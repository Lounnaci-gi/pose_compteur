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6\Gestion de Stock Seghouane\"/>
    </mc:Choice>
  </mc:AlternateContent>
  <bookViews>
    <workbookView xWindow="555" yWindow="75" windowWidth="11700" windowHeight="6825" firstSheet="6" activeTab="11"/>
  </bookViews>
  <sheets>
    <sheet name="JANVIER 2016" sheetId="1" r:id="rId1"/>
    <sheet name="FEVRIER 2016" sheetId="2" r:id="rId2"/>
    <sheet name="MARS 2016" sheetId="3" r:id="rId3"/>
    <sheet name="AVRIL 2016" sheetId="4" r:id="rId4"/>
    <sheet name="MAI 2016" sheetId="5" r:id="rId5"/>
    <sheet name="JUIN 2016" sheetId="6" r:id="rId6"/>
    <sheet name="JUILLET 2016" sheetId="7" r:id="rId7"/>
    <sheet name="AOUT 2016" sheetId="8" r:id="rId8"/>
    <sheet name="SEPTEMBRE 2016" sheetId="9" r:id="rId9"/>
    <sheet name="OCTOBRE 2016" sheetId="10" r:id="rId10"/>
    <sheet name="NOVEMBRE 2016" sheetId="11" r:id="rId11"/>
    <sheet name="DECEMBRE 2016" sheetId="12" r:id="rId12"/>
  </sheets>
  <calcPr calcId="162913"/>
</workbook>
</file>

<file path=xl/calcChain.xml><?xml version="1.0" encoding="utf-8"?>
<calcChain xmlns="http://schemas.openxmlformats.org/spreadsheetml/2006/main">
  <c r="J41" i="12" l="1"/>
  <c r="I41" i="12"/>
  <c r="H41" i="12"/>
  <c r="G41" i="12"/>
  <c r="E41" i="12"/>
  <c r="D41" i="12"/>
  <c r="C41" i="12"/>
  <c r="B41" i="12"/>
  <c r="K40" i="12"/>
  <c r="F40" i="12"/>
  <c r="L40" i="12" s="1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K41" i="12" s="1"/>
  <c r="F10" i="12"/>
  <c r="F41" i="12" s="1"/>
  <c r="J41" i="11"/>
  <c r="I41" i="11"/>
  <c r="H41" i="11"/>
  <c r="G41" i="11"/>
  <c r="E41" i="11"/>
  <c r="D41" i="11"/>
  <c r="C41" i="11"/>
  <c r="B41" i="11"/>
  <c r="K40" i="11"/>
  <c r="F40" i="11"/>
  <c r="K39" i="11"/>
  <c r="F39" i="11"/>
  <c r="K38" i="11"/>
  <c r="F38" i="11"/>
  <c r="K37" i="11"/>
  <c r="F37" i="11"/>
  <c r="K36" i="11"/>
  <c r="F36" i="11"/>
  <c r="K35" i="11"/>
  <c r="F35" i="11"/>
  <c r="K34" i="11"/>
  <c r="F34" i="11"/>
  <c r="K33" i="11"/>
  <c r="F33" i="11"/>
  <c r="K32" i="11"/>
  <c r="F32" i="11"/>
  <c r="K31" i="11"/>
  <c r="F31" i="11"/>
  <c r="K30" i="11"/>
  <c r="F30" i="11"/>
  <c r="K29" i="11"/>
  <c r="F29" i="11"/>
  <c r="K28" i="11"/>
  <c r="F28" i="11"/>
  <c r="K27" i="11"/>
  <c r="F27" i="11"/>
  <c r="K26" i="11"/>
  <c r="F26" i="11"/>
  <c r="K25" i="11"/>
  <c r="F25" i="11"/>
  <c r="K24" i="11"/>
  <c r="F24" i="11"/>
  <c r="K23" i="11"/>
  <c r="F23" i="11"/>
  <c r="K22" i="11"/>
  <c r="F22" i="11"/>
  <c r="K21" i="11"/>
  <c r="F21" i="11"/>
  <c r="K20" i="11"/>
  <c r="F20" i="11"/>
  <c r="K19" i="11"/>
  <c r="F19" i="11"/>
  <c r="K18" i="11"/>
  <c r="F18" i="11"/>
  <c r="K17" i="11"/>
  <c r="F17" i="11"/>
  <c r="K16" i="11"/>
  <c r="F16" i="11"/>
  <c r="K15" i="11"/>
  <c r="F15" i="11"/>
  <c r="K14" i="11"/>
  <c r="F14" i="11"/>
  <c r="K13" i="11"/>
  <c r="F13" i="11"/>
  <c r="K12" i="11"/>
  <c r="F12" i="11"/>
  <c r="K11" i="11"/>
  <c r="F11" i="11"/>
  <c r="K10" i="11"/>
  <c r="K41" i="11" s="1"/>
  <c r="F10" i="11"/>
  <c r="F41" i="11" s="1"/>
  <c r="J41" i="10"/>
  <c r="I41" i="10"/>
  <c r="H41" i="10"/>
  <c r="G41" i="10"/>
  <c r="E41" i="10"/>
  <c r="D41" i="10"/>
  <c r="C41" i="10"/>
  <c r="B41" i="10"/>
  <c r="K40" i="10"/>
  <c r="F40" i="10"/>
  <c r="K39" i="10"/>
  <c r="F39" i="10"/>
  <c r="K38" i="10"/>
  <c r="F38" i="10"/>
  <c r="K37" i="10"/>
  <c r="F37" i="10"/>
  <c r="K36" i="10"/>
  <c r="F36" i="10"/>
  <c r="K35" i="10"/>
  <c r="F35" i="10"/>
  <c r="K34" i="10"/>
  <c r="F34" i="10"/>
  <c r="K33" i="10"/>
  <c r="F33" i="10"/>
  <c r="K32" i="10"/>
  <c r="F32" i="10"/>
  <c r="K31" i="10"/>
  <c r="F31" i="10"/>
  <c r="K30" i="10"/>
  <c r="F30" i="10"/>
  <c r="K29" i="10"/>
  <c r="F29" i="10"/>
  <c r="K28" i="10"/>
  <c r="F28" i="10"/>
  <c r="K27" i="10"/>
  <c r="F27" i="10"/>
  <c r="K26" i="10"/>
  <c r="F26" i="10"/>
  <c r="K25" i="10"/>
  <c r="F25" i="10"/>
  <c r="K24" i="10"/>
  <c r="F24" i="10"/>
  <c r="K23" i="10"/>
  <c r="F23" i="10"/>
  <c r="K22" i="10"/>
  <c r="F22" i="10"/>
  <c r="K21" i="10"/>
  <c r="F21" i="10"/>
  <c r="K20" i="10"/>
  <c r="F20" i="10"/>
  <c r="K19" i="10"/>
  <c r="F19" i="10"/>
  <c r="K18" i="10"/>
  <c r="F18" i="10"/>
  <c r="K17" i="10"/>
  <c r="F17" i="10"/>
  <c r="K16" i="10"/>
  <c r="F16" i="10"/>
  <c r="K15" i="10"/>
  <c r="F15" i="10"/>
  <c r="K14" i="10"/>
  <c r="F14" i="10"/>
  <c r="K13" i="10"/>
  <c r="F13" i="10"/>
  <c r="K12" i="10"/>
  <c r="F12" i="10"/>
  <c r="K11" i="10"/>
  <c r="F11" i="10"/>
  <c r="K10" i="10"/>
  <c r="K41" i="10" s="1"/>
  <c r="F10" i="10"/>
  <c r="F41" i="10" s="1"/>
  <c r="J41" i="9"/>
  <c r="I41" i="9"/>
  <c r="H41" i="9"/>
  <c r="G41" i="9"/>
  <c r="E41" i="9"/>
  <c r="D41" i="9"/>
  <c r="C41" i="9"/>
  <c r="B41" i="9"/>
  <c r="K40" i="9"/>
  <c r="F40" i="9"/>
  <c r="K39" i="9"/>
  <c r="F39" i="9"/>
  <c r="K38" i="9"/>
  <c r="F38" i="9"/>
  <c r="K37" i="9"/>
  <c r="F37" i="9"/>
  <c r="K36" i="9"/>
  <c r="F36" i="9"/>
  <c r="K35" i="9"/>
  <c r="F35" i="9"/>
  <c r="K34" i="9"/>
  <c r="F34" i="9"/>
  <c r="K33" i="9"/>
  <c r="F33" i="9"/>
  <c r="K32" i="9"/>
  <c r="F32" i="9"/>
  <c r="K31" i="9"/>
  <c r="F31" i="9"/>
  <c r="K30" i="9"/>
  <c r="F30" i="9"/>
  <c r="K29" i="9"/>
  <c r="F29" i="9"/>
  <c r="K28" i="9"/>
  <c r="F28" i="9"/>
  <c r="K27" i="9"/>
  <c r="F27" i="9"/>
  <c r="K26" i="9"/>
  <c r="F26" i="9"/>
  <c r="K25" i="9"/>
  <c r="F25" i="9"/>
  <c r="K24" i="9"/>
  <c r="F24" i="9"/>
  <c r="K23" i="9"/>
  <c r="F23" i="9"/>
  <c r="K22" i="9"/>
  <c r="F22" i="9"/>
  <c r="K21" i="9"/>
  <c r="F21" i="9"/>
  <c r="K20" i="9"/>
  <c r="F20" i="9"/>
  <c r="K19" i="9"/>
  <c r="F19" i="9"/>
  <c r="K18" i="9"/>
  <c r="F18" i="9"/>
  <c r="K17" i="9"/>
  <c r="F17" i="9"/>
  <c r="L17" i="9" s="1"/>
  <c r="K16" i="9"/>
  <c r="F16" i="9"/>
  <c r="L16" i="9" s="1"/>
  <c r="K15" i="9"/>
  <c r="F15" i="9"/>
  <c r="L15" i="9" s="1"/>
  <c r="K14" i="9"/>
  <c r="F14" i="9"/>
  <c r="L14" i="9" s="1"/>
  <c r="K13" i="9"/>
  <c r="F13" i="9"/>
  <c r="L13" i="9" s="1"/>
  <c r="K12" i="9"/>
  <c r="F12" i="9"/>
  <c r="L12" i="9" s="1"/>
  <c r="K11" i="9"/>
  <c r="F11" i="9"/>
  <c r="K10" i="9"/>
  <c r="F10" i="9"/>
  <c r="L10" i="9" s="1"/>
  <c r="J41" i="8"/>
  <c r="I41" i="8"/>
  <c r="H41" i="8"/>
  <c r="G41" i="8"/>
  <c r="E41" i="8"/>
  <c r="D41" i="8"/>
  <c r="C41" i="8"/>
  <c r="B41" i="8"/>
  <c r="K40" i="8"/>
  <c r="F40" i="8"/>
  <c r="L40" i="8" s="1"/>
  <c r="K39" i="8"/>
  <c r="F39" i="8"/>
  <c r="L39" i="8" s="1"/>
  <c r="K38" i="8"/>
  <c r="F38" i="8"/>
  <c r="L38" i="8" s="1"/>
  <c r="K37" i="8"/>
  <c r="F37" i="8"/>
  <c r="L37" i="8" s="1"/>
  <c r="K36" i="8"/>
  <c r="F36" i="8"/>
  <c r="L36" i="8" s="1"/>
  <c r="K35" i="8"/>
  <c r="F35" i="8"/>
  <c r="L35" i="8" s="1"/>
  <c r="K34" i="8"/>
  <c r="F34" i="8"/>
  <c r="L34" i="8" s="1"/>
  <c r="K33" i="8"/>
  <c r="F33" i="8"/>
  <c r="L33" i="8" s="1"/>
  <c r="K32" i="8"/>
  <c r="F32" i="8"/>
  <c r="L32" i="8" s="1"/>
  <c r="K31" i="8"/>
  <c r="F31" i="8"/>
  <c r="L31" i="8" s="1"/>
  <c r="K30" i="8"/>
  <c r="F30" i="8"/>
  <c r="L30" i="8" s="1"/>
  <c r="K29" i="8"/>
  <c r="F29" i="8"/>
  <c r="L29" i="8" s="1"/>
  <c r="K28" i="8"/>
  <c r="F28" i="8"/>
  <c r="L28" i="8" s="1"/>
  <c r="K27" i="8"/>
  <c r="F27" i="8"/>
  <c r="L27" i="8" s="1"/>
  <c r="K26" i="8"/>
  <c r="F26" i="8"/>
  <c r="L26" i="8" s="1"/>
  <c r="K25" i="8"/>
  <c r="F25" i="8"/>
  <c r="L25" i="8" s="1"/>
  <c r="K24" i="8"/>
  <c r="F24" i="8"/>
  <c r="L24" i="8" s="1"/>
  <c r="K23" i="8"/>
  <c r="F23" i="8"/>
  <c r="L23" i="8" s="1"/>
  <c r="K22" i="8"/>
  <c r="F22" i="8"/>
  <c r="L22" i="8" s="1"/>
  <c r="K21" i="8"/>
  <c r="F21" i="8"/>
  <c r="L21" i="8" s="1"/>
  <c r="K20" i="8"/>
  <c r="F20" i="8"/>
  <c r="L20" i="8" s="1"/>
  <c r="K19" i="8"/>
  <c r="F19" i="8"/>
  <c r="L19" i="8" s="1"/>
  <c r="K18" i="8"/>
  <c r="F18" i="8"/>
  <c r="L18" i="8" s="1"/>
  <c r="K17" i="8"/>
  <c r="F17" i="8"/>
  <c r="L17" i="8" s="1"/>
  <c r="K16" i="8"/>
  <c r="F16" i="8"/>
  <c r="L16" i="8" s="1"/>
  <c r="K15" i="8"/>
  <c r="F15" i="8"/>
  <c r="L15" i="8" s="1"/>
  <c r="K14" i="8"/>
  <c r="F14" i="8"/>
  <c r="L14" i="8" s="1"/>
  <c r="K13" i="8"/>
  <c r="F13" i="8"/>
  <c r="L13" i="8" s="1"/>
  <c r="K12" i="8"/>
  <c r="F12" i="8"/>
  <c r="L12" i="8" s="1"/>
  <c r="K11" i="8"/>
  <c r="F11" i="8"/>
  <c r="K10" i="8"/>
  <c r="K41" i="8" s="1"/>
  <c r="F10" i="8"/>
  <c r="L10" i="8" s="1"/>
  <c r="F41" i="8" l="1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9" i="9"/>
  <c r="L40" i="9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11" i="11"/>
  <c r="L12" i="11"/>
  <c r="L13" i="11"/>
  <c r="L14" i="11"/>
  <c r="L15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10" i="12"/>
  <c r="L41" i="12" s="1"/>
  <c r="G47" i="12" s="1"/>
  <c r="G48" i="12" s="1"/>
  <c r="G50" i="12" s="1"/>
  <c r="L16" i="11"/>
  <c r="L10" i="11"/>
  <c r="K41" i="9"/>
  <c r="L38" i="9"/>
  <c r="L10" i="10"/>
  <c r="L41" i="10" s="1"/>
  <c r="G47" i="10" s="1"/>
  <c r="G48" i="10" s="1"/>
  <c r="G50" i="10" s="1"/>
  <c r="F41" i="9"/>
  <c r="L11" i="9"/>
  <c r="L11" i="8"/>
  <c r="L41" i="8" s="1"/>
  <c r="G47" i="8" s="1"/>
  <c r="G48" i="8" s="1"/>
  <c r="G50" i="8" s="1"/>
  <c r="J41" i="7"/>
  <c r="I41" i="7"/>
  <c r="H41" i="7"/>
  <c r="G41" i="7"/>
  <c r="E41" i="7"/>
  <c r="D41" i="7"/>
  <c r="C41" i="7"/>
  <c r="B41" i="7"/>
  <c r="K40" i="7"/>
  <c r="F40" i="7"/>
  <c r="L40" i="7" s="1"/>
  <c r="K39" i="7"/>
  <c r="F39" i="7"/>
  <c r="L39" i="7" s="1"/>
  <c r="K38" i="7"/>
  <c r="F38" i="7"/>
  <c r="L38" i="7" s="1"/>
  <c r="K37" i="7"/>
  <c r="F37" i="7"/>
  <c r="L37" i="7" s="1"/>
  <c r="K36" i="7"/>
  <c r="F36" i="7"/>
  <c r="L36" i="7" s="1"/>
  <c r="K35" i="7"/>
  <c r="F35" i="7"/>
  <c r="L35" i="7" s="1"/>
  <c r="K34" i="7"/>
  <c r="F34" i="7"/>
  <c r="L34" i="7" s="1"/>
  <c r="K33" i="7"/>
  <c r="F33" i="7"/>
  <c r="L33" i="7" s="1"/>
  <c r="K32" i="7"/>
  <c r="F32" i="7"/>
  <c r="L32" i="7" s="1"/>
  <c r="K31" i="7"/>
  <c r="F31" i="7"/>
  <c r="L31" i="7" s="1"/>
  <c r="K30" i="7"/>
  <c r="F30" i="7"/>
  <c r="L30" i="7" s="1"/>
  <c r="K29" i="7"/>
  <c r="F29" i="7"/>
  <c r="L29" i="7" s="1"/>
  <c r="K28" i="7"/>
  <c r="F28" i="7"/>
  <c r="L28" i="7" s="1"/>
  <c r="K27" i="7"/>
  <c r="F27" i="7"/>
  <c r="L27" i="7" s="1"/>
  <c r="K26" i="7"/>
  <c r="F26" i="7"/>
  <c r="L26" i="7" s="1"/>
  <c r="K25" i="7"/>
  <c r="F25" i="7"/>
  <c r="L25" i="7" s="1"/>
  <c r="K24" i="7"/>
  <c r="F24" i="7"/>
  <c r="L24" i="7" s="1"/>
  <c r="K23" i="7"/>
  <c r="F23" i="7"/>
  <c r="L23" i="7" s="1"/>
  <c r="K22" i="7"/>
  <c r="F22" i="7"/>
  <c r="L22" i="7" s="1"/>
  <c r="K21" i="7"/>
  <c r="F21" i="7"/>
  <c r="L21" i="7" s="1"/>
  <c r="K20" i="7"/>
  <c r="F20" i="7"/>
  <c r="L20" i="7" s="1"/>
  <c r="K19" i="7"/>
  <c r="F19" i="7"/>
  <c r="L19" i="7" s="1"/>
  <c r="K18" i="7"/>
  <c r="F18" i="7"/>
  <c r="L18" i="7" s="1"/>
  <c r="K17" i="7"/>
  <c r="F17" i="7"/>
  <c r="L17" i="7" s="1"/>
  <c r="K16" i="7"/>
  <c r="F16" i="7"/>
  <c r="L16" i="7" s="1"/>
  <c r="K15" i="7"/>
  <c r="F15" i="7"/>
  <c r="L15" i="7" s="1"/>
  <c r="K14" i="7"/>
  <c r="F14" i="7"/>
  <c r="L14" i="7" s="1"/>
  <c r="K13" i="7"/>
  <c r="F13" i="7"/>
  <c r="L13" i="7" s="1"/>
  <c r="K12" i="7"/>
  <c r="F12" i="7"/>
  <c r="L12" i="7" s="1"/>
  <c r="K11" i="7"/>
  <c r="F11" i="7"/>
  <c r="L11" i="7" s="1"/>
  <c r="K10" i="7"/>
  <c r="K41" i="7" s="1"/>
  <c r="F10" i="7"/>
  <c r="J41" i="6"/>
  <c r="I41" i="6"/>
  <c r="H41" i="6"/>
  <c r="G41" i="6"/>
  <c r="E41" i="6"/>
  <c r="D41" i="6"/>
  <c r="C41" i="6"/>
  <c r="B41" i="6"/>
  <c r="K40" i="6"/>
  <c r="F40" i="6"/>
  <c r="L40" i="6" s="1"/>
  <c r="K39" i="6"/>
  <c r="F39" i="6"/>
  <c r="L39" i="6" s="1"/>
  <c r="K38" i="6"/>
  <c r="F38" i="6"/>
  <c r="L38" i="6" s="1"/>
  <c r="K37" i="6"/>
  <c r="F37" i="6"/>
  <c r="L37" i="6" s="1"/>
  <c r="K36" i="6"/>
  <c r="F36" i="6"/>
  <c r="K35" i="6"/>
  <c r="F35" i="6"/>
  <c r="K34" i="6"/>
  <c r="F34" i="6"/>
  <c r="L34" i="6" s="1"/>
  <c r="K33" i="6"/>
  <c r="F33" i="6"/>
  <c r="L33" i="6" s="1"/>
  <c r="K32" i="6"/>
  <c r="F32" i="6"/>
  <c r="L32" i="6" s="1"/>
  <c r="K31" i="6"/>
  <c r="F31" i="6"/>
  <c r="L31" i="6" s="1"/>
  <c r="K30" i="6"/>
  <c r="F30" i="6"/>
  <c r="L30" i="6" s="1"/>
  <c r="K29" i="6"/>
  <c r="F29" i="6"/>
  <c r="L29" i="6" s="1"/>
  <c r="K28" i="6"/>
  <c r="F28" i="6"/>
  <c r="L28" i="6" s="1"/>
  <c r="K27" i="6"/>
  <c r="F27" i="6"/>
  <c r="L27" i="6" s="1"/>
  <c r="K26" i="6"/>
  <c r="F26" i="6"/>
  <c r="L26" i="6" s="1"/>
  <c r="K25" i="6"/>
  <c r="F25" i="6"/>
  <c r="L25" i="6" s="1"/>
  <c r="K24" i="6"/>
  <c r="F24" i="6"/>
  <c r="L24" i="6" s="1"/>
  <c r="K23" i="6"/>
  <c r="F23" i="6"/>
  <c r="L23" i="6" s="1"/>
  <c r="K22" i="6"/>
  <c r="F22" i="6"/>
  <c r="L22" i="6" s="1"/>
  <c r="K21" i="6"/>
  <c r="F21" i="6"/>
  <c r="L21" i="6" s="1"/>
  <c r="K20" i="6"/>
  <c r="F20" i="6"/>
  <c r="L20" i="6" s="1"/>
  <c r="K19" i="6"/>
  <c r="F19" i="6"/>
  <c r="L19" i="6" s="1"/>
  <c r="K18" i="6"/>
  <c r="F18" i="6"/>
  <c r="L18" i="6" s="1"/>
  <c r="K17" i="6"/>
  <c r="F17" i="6"/>
  <c r="L17" i="6" s="1"/>
  <c r="K16" i="6"/>
  <c r="F16" i="6"/>
  <c r="L16" i="6" s="1"/>
  <c r="K15" i="6"/>
  <c r="F15" i="6"/>
  <c r="L15" i="6" s="1"/>
  <c r="K14" i="6"/>
  <c r="F14" i="6"/>
  <c r="L14" i="6" s="1"/>
  <c r="K13" i="6"/>
  <c r="F13" i="6"/>
  <c r="L13" i="6" s="1"/>
  <c r="K12" i="6"/>
  <c r="F12" i="6"/>
  <c r="L12" i="6" s="1"/>
  <c r="K11" i="6"/>
  <c r="F11" i="6"/>
  <c r="K10" i="6"/>
  <c r="K41" i="6" s="1"/>
  <c r="F10" i="6"/>
  <c r="L10" i="6" s="1"/>
  <c r="J41" i="5"/>
  <c r="I41" i="5"/>
  <c r="H41" i="5"/>
  <c r="G41" i="5"/>
  <c r="E41" i="5"/>
  <c r="D41" i="5"/>
  <c r="C41" i="5"/>
  <c r="B41" i="5"/>
  <c r="K40" i="5"/>
  <c r="F40" i="5"/>
  <c r="K39" i="5"/>
  <c r="F39" i="5"/>
  <c r="K38" i="5"/>
  <c r="F38" i="5"/>
  <c r="K37" i="5"/>
  <c r="F37" i="5"/>
  <c r="K36" i="5"/>
  <c r="F36" i="5"/>
  <c r="K35" i="5"/>
  <c r="F35" i="5"/>
  <c r="K34" i="5"/>
  <c r="F34" i="5"/>
  <c r="K33" i="5"/>
  <c r="F33" i="5"/>
  <c r="K32" i="5"/>
  <c r="F32" i="5"/>
  <c r="K31" i="5"/>
  <c r="F31" i="5"/>
  <c r="K30" i="5"/>
  <c r="F30" i="5"/>
  <c r="K29" i="5"/>
  <c r="F29" i="5"/>
  <c r="K28" i="5"/>
  <c r="F28" i="5"/>
  <c r="K27" i="5"/>
  <c r="F27" i="5"/>
  <c r="K26" i="5"/>
  <c r="F26" i="5"/>
  <c r="K25" i="5"/>
  <c r="F25" i="5"/>
  <c r="K24" i="5"/>
  <c r="F24" i="5"/>
  <c r="K23" i="5"/>
  <c r="F23" i="5"/>
  <c r="K22" i="5"/>
  <c r="F22" i="5"/>
  <c r="K21" i="5"/>
  <c r="F21" i="5"/>
  <c r="K20" i="5"/>
  <c r="F20" i="5"/>
  <c r="K19" i="5"/>
  <c r="F19" i="5"/>
  <c r="K18" i="5"/>
  <c r="F18" i="5"/>
  <c r="K17" i="5"/>
  <c r="F17" i="5"/>
  <c r="K16" i="5"/>
  <c r="F16" i="5"/>
  <c r="K15" i="5"/>
  <c r="F15" i="5"/>
  <c r="K14" i="5"/>
  <c r="F14" i="5"/>
  <c r="K13" i="5"/>
  <c r="F13" i="5"/>
  <c r="K12" i="5"/>
  <c r="F12" i="5"/>
  <c r="K11" i="5"/>
  <c r="F11" i="5"/>
  <c r="K10" i="5"/>
  <c r="K41" i="5" s="1"/>
  <c r="F10" i="5"/>
  <c r="J41" i="4"/>
  <c r="I41" i="4"/>
  <c r="H41" i="4"/>
  <c r="G41" i="4"/>
  <c r="E41" i="4"/>
  <c r="D41" i="4"/>
  <c r="C41" i="4"/>
  <c r="B41" i="4"/>
  <c r="K40" i="4"/>
  <c r="F40" i="4"/>
  <c r="K39" i="4"/>
  <c r="F39" i="4"/>
  <c r="K38" i="4"/>
  <c r="F38" i="4"/>
  <c r="K37" i="4"/>
  <c r="F37" i="4"/>
  <c r="K36" i="4"/>
  <c r="F36" i="4"/>
  <c r="K35" i="4"/>
  <c r="F35" i="4"/>
  <c r="K34" i="4"/>
  <c r="F34" i="4"/>
  <c r="K33" i="4"/>
  <c r="F33" i="4"/>
  <c r="K32" i="4"/>
  <c r="F32" i="4"/>
  <c r="K31" i="4"/>
  <c r="F31" i="4"/>
  <c r="K30" i="4"/>
  <c r="F30" i="4"/>
  <c r="K29" i="4"/>
  <c r="F29" i="4"/>
  <c r="K28" i="4"/>
  <c r="F28" i="4"/>
  <c r="K27" i="4"/>
  <c r="F27" i="4"/>
  <c r="K26" i="4"/>
  <c r="F26" i="4"/>
  <c r="K25" i="4"/>
  <c r="F25" i="4"/>
  <c r="K24" i="4"/>
  <c r="F24" i="4"/>
  <c r="K23" i="4"/>
  <c r="F23" i="4"/>
  <c r="K22" i="4"/>
  <c r="F22" i="4"/>
  <c r="K21" i="4"/>
  <c r="F21" i="4"/>
  <c r="K20" i="4"/>
  <c r="F20" i="4"/>
  <c r="K19" i="4"/>
  <c r="F19" i="4"/>
  <c r="K18" i="4"/>
  <c r="F18" i="4"/>
  <c r="K17" i="4"/>
  <c r="F17" i="4"/>
  <c r="K16" i="4"/>
  <c r="F16" i="4"/>
  <c r="K15" i="4"/>
  <c r="F15" i="4"/>
  <c r="K14" i="4"/>
  <c r="F14" i="4"/>
  <c r="K13" i="4"/>
  <c r="F13" i="4"/>
  <c r="K12" i="4"/>
  <c r="F12" i="4"/>
  <c r="K11" i="4"/>
  <c r="F11" i="4"/>
  <c r="K10" i="4"/>
  <c r="F10" i="4"/>
  <c r="F41" i="4" s="1"/>
  <c r="J41" i="3"/>
  <c r="I41" i="3"/>
  <c r="H41" i="3"/>
  <c r="G41" i="3"/>
  <c r="E41" i="3"/>
  <c r="D41" i="3"/>
  <c r="C41" i="3"/>
  <c r="B41" i="3"/>
  <c r="K40" i="3"/>
  <c r="F40" i="3"/>
  <c r="K39" i="3"/>
  <c r="F39" i="3"/>
  <c r="K38" i="3"/>
  <c r="F38" i="3"/>
  <c r="K37" i="3"/>
  <c r="F37" i="3"/>
  <c r="K36" i="3"/>
  <c r="F36" i="3"/>
  <c r="K35" i="3"/>
  <c r="F35" i="3"/>
  <c r="K34" i="3"/>
  <c r="F34" i="3"/>
  <c r="K33" i="3"/>
  <c r="F33" i="3"/>
  <c r="K32" i="3"/>
  <c r="F32" i="3"/>
  <c r="K31" i="3"/>
  <c r="F31" i="3"/>
  <c r="K30" i="3"/>
  <c r="F30" i="3"/>
  <c r="K29" i="3"/>
  <c r="F29" i="3"/>
  <c r="K28" i="3"/>
  <c r="F28" i="3"/>
  <c r="K27" i="3"/>
  <c r="F27" i="3"/>
  <c r="K26" i="3"/>
  <c r="F26" i="3"/>
  <c r="K25" i="3"/>
  <c r="F25" i="3"/>
  <c r="K24" i="3"/>
  <c r="F24" i="3"/>
  <c r="K23" i="3"/>
  <c r="F23" i="3"/>
  <c r="K22" i="3"/>
  <c r="F22" i="3"/>
  <c r="K21" i="3"/>
  <c r="F21" i="3"/>
  <c r="K20" i="3"/>
  <c r="F20" i="3"/>
  <c r="K19" i="3"/>
  <c r="F19" i="3"/>
  <c r="K18" i="3"/>
  <c r="F18" i="3"/>
  <c r="K17" i="3"/>
  <c r="F17" i="3"/>
  <c r="K16" i="3"/>
  <c r="F16" i="3"/>
  <c r="K15" i="3"/>
  <c r="F15" i="3"/>
  <c r="K14" i="3"/>
  <c r="F14" i="3"/>
  <c r="K13" i="3"/>
  <c r="F13" i="3"/>
  <c r="K12" i="3"/>
  <c r="F12" i="3"/>
  <c r="K11" i="3"/>
  <c r="F11" i="3"/>
  <c r="K10" i="3"/>
  <c r="F10" i="3"/>
  <c r="L41" i="9" l="1"/>
  <c r="G47" i="9" s="1"/>
  <c r="G48" i="9" s="1"/>
  <c r="G50" i="9" s="1"/>
  <c r="F41" i="6"/>
  <c r="L36" i="6"/>
  <c r="L41" i="11"/>
  <c r="G47" i="11" s="1"/>
  <c r="G48" i="11" s="1"/>
  <c r="G50" i="11" s="1"/>
  <c r="F41" i="7"/>
  <c r="L10" i="7"/>
  <c r="L41" i="7" s="1"/>
  <c r="G47" i="7" s="1"/>
  <c r="G48" i="7" s="1"/>
  <c r="G50" i="7" s="1"/>
  <c r="L35" i="6"/>
  <c r="L11" i="6"/>
  <c r="F41" i="5"/>
  <c r="K41" i="3"/>
  <c r="K41" i="4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11" i="5"/>
  <c r="L12" i="5"/>
  <c r="L14" i="5"/>
  <c r="L15" i="5"/>
  <c r="L16" i="5"/>
  <c r="L17" i="5"/>
  <c r="L18" i="5"/>
  <c r="L19" i="5"/>
  <c r="L20" i="5"/>
  <c r="L21" i="5"/>
  <c r="L22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23" i="5"/>
  <c r="L13" i="5"/>
  <c r="L10" i="5"/>
  <c r="F41" i="3"/>
  <c r="L10" i="4"/>
  <c r="L41" i="4" s="1"/>
  <c r="G47" i="4" s="1"/>
  <c r="G48" i="4" s="1"/>
  <c r="G50" i="4" s="1"/>
  <c r="L10" i="3"/>
  <c r="J41" i="2"/>
  <c r="I41" i="2"/>
  <c r="H41" i="2"/>
  <c r="G41" i="2"/>
  <c r="E41" i="2"/>
  <c r="D41" i="2"/>
  <c r="C41" i="2"/>
  <c r="B41" i="2"/>
  <c r="K40" i="2"/>
  <c r="F40" i="2"/>
  <c r="K39" i="2"/>
  <c r="F39" i="2"/>
  <c r="K38" i="2"/>
  <c r="F38" i="2"/>
  <c r="K37" i="2"/>
  <c r="F37" i="2"/>
  <c r="K36" i="2"/>
  <c r="F36" i="2"/>
  <c r="K35" i="2"/>
  <c r="F35" i="2"/>
  <c r="K34" i="2"/>
  <c r="F34" i="2"/>
  <c r="K33" i="2"/>
  <c r="F33" i="2"/>
  <c r="K32" i="2"/>
  <c r="F32" i="2"/>
  <c r="K31" i="2"/>
  <c r="F31" i="2"/>
  <c r="K30" i="2"/>
  <c r="F30" i="2"/>
  <c r="K29" i="2"/>
  <c r="F29" i="2"/>
  <c r="K28" i="2"/>
  <c r="F28" i="2"/>
  <c r="K27" i="2"/>
  <c r="F27" i="2"/>
  <c r="K26" i="2"/>
  <c r="F26" i="2"/>
  <c r="K25" i="2"/>
  <c r="F25" i="2"/>
  <c r="K24" i="2"/>
  <c r="F24" i="2"/>
  <c r="K23" i="2"/>
  <c r="F23" i="2"/>
  <c r="K22" i="2"/>
  <c r="F22" i="2"/>
  <c r="K21" i="2"/>
  <c r="F21" i="2"/>
  <c r="K20" i="2"/>
  <c r="F20" i="2"/>
  <c r="K19" i="2"/>
  <c r="F19" i="2"/>
  <c r="K18" i="2"/>
  <c r="F18" i="2"/>
  <c r="K17" i="2"/>
  <c r="F17" i="2"/>
  <c r="K16" i="2"/>
  <c r="F16" i="2"/>
  <c r="K15" i="2"/>
  <c r="F15" i="2"/>
  <c r="K14" i="2"/>
  <c r="F14" i="2"/>
  <c r="K13" i="2"/>
  <c r="F13" i="2"/>
  <c r="K12" i="2"/>
  <c r="F12" i="2"/>
  <c r="K11" i="2"/>
  <c r="F11" i="2"/>
  <c r="K10" i="2"/>
  <c r="K41" i="2" s="1"/>
  <c r="F10" i="2"/>
  <c r="L41" i="6" l="1"/>
  <c r="G47" i="6" s="1"/>
  <c r="G48" i="6" s="1"/>
  <c r="G50" i="6" s="1"/>
  <c r="L10" i="2"/>
  <c r="F4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3"/>
  <c r="G47" i="3" s="1"/>
  <c r="G48" i="3" s="1"/>
  <c r="G50" i="3" s="1"/>
  <c r="L41" i="5"/>
  <c r="G47" i="5" s="1"/>
  <c r="G48" i="5" s="1"/>
  <c r="G50" i="5" s="1"/>
  <c r="L11" i="2"/>
  <c r="H41" i="1"/>
  <c r="I41" i="1"/>
  <c r="J41" i="1"/>
  <c r="G41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10" i="1"/>
  <c r="C41" i="1"/>
  <c r="D41" i="1"/>
  <c r="E41" i="1"/>
  <c r="B41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L38" i="1" s="1"/>
  <c r="F39" i="1"/>
  <c r="F40" i="1"/>
  <c r="L40" i="1" s="1"/>
  <c r="F10" i="1"/>
  <c r="L39" i="1" l="1"/>
  <c r="L10" i="1"/>
  <c r="L35" i="1"/>
  <c r="L11" i="1"/>
  <c r="L32" i="1"/>
  <c r="L41" i="2"/>
  <c r="G47" i="2" s="1"/>
  <c r="G48" i="2" s="1"/>
  <c r="G50" i="2" s="1"/>
  <c r="L26" i="1"/>
  <c r="L18" i="1"/>
  <c r="L16" i="1"/>
  <c r="L12" i="1"/>
  <c r="L37" i="1"/>
  <c r="L36" i="1"/>
  <c r="L24" i="1"/>
  <c r="L31" i="1"/>
  <c r="L30" i="1"/>
  <c r="L14" i="1"/>
  <c r="L33" i="1"/>
  <c r="L27" i="1"/>
  <c r="L25" i="1"/>
  <c r="L23" i="1"/>
  <c r="L19" i="1"/>
  <c r="L13" i="1"/>
  <c r="L29" i="1"/>
  <c r="L21" i="1"/>
  <c r="L17" i="1"/>
  <c r="L15" i="1"/>
  <c r="L34" i="1"/>
  <c r="L28" i="1"/>
  <c r="F41" i="1"/>
  <c r="L22" i="1"/>
  <c r="L20" i="1"/>
  <c r="K41" i="1"/>
  <c r="L41" i="1" l="1"/>
  <c r="G47" i="1" s="1"/>
  <c r="G48" i="1" s="1"/>
  <c r="G50" i="1" s="1"/>
</calcChain>
</file>

<file path=xl/sharedStrings.xml><?xml version="1.0" encoding="utf-8"?>
<sst xmlns="http://schemas.openxmlformats.org/spreadsheetml/2006/main" count="408" uniqueCount="42">
  <si>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</si>
  <si>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</si>
  <si>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</si>
  <si>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</si>
  <si>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</si>
  <si>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</si>
  <si>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</si>
  <si>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</si>
  <si>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</si>
  <si>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</si>
  <si>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</si>
  <si>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</si>
  <si>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</si>
  <si>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</si>
  <si>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</si>
  <si>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</si>
  <si>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</si>
  <si>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</si>
  <si>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</si>
  <si>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</si>
  <si>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</si>
  <si>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</si>
  <si>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</si>
  <si>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</si>
  <si>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</si>
  <si>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</si>
  <si>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</si>
  <si>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</si>
  <si>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r>
      <t xml:space="preserve">Antenne </t>
    </r>
    <r>
      <rPr>
        <sz val="10"/>
        <rFont val="Arial"/>
        <family val="2"/>
      </rPr>
      <t>: SEGHOUANE</t>
    </r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</si>
  <si>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</si>
  <si>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</si>
  <si>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</si>
  <si>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£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</si>
  <si>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</si>
  <si>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</si>
  <si>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</si>
  <si>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</si>
  <si>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</si>
  <si>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</si>
  <si>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</si>
  <si>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deNOVEMBER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</si>
  <si>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Decembre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</si>
</sst>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26">
    <xf numFmtId="0" fontId="0" fillId="0" borderId="0" xfId="0"/>
    <xf numFmtId="0" fontId="7" fillId="0" borderId="0" xfId="3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42</xdr:row>
      <xdr:rowOff>133350</xdr:rowOff>
    </xdr:from>
    <xdr:to>
      <xdr:col>11</xdr:col>
      <xdr:colOff>444500</xdr:colOff>
      <xdr:row>49</xdr:row>
      <xdr:rowOff>44450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53075" y="856297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52487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22007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22007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42</xdr:row>
      <xdr:rowOff>95250</xdr:rowOff>
    </xdr:from>
    <xdr:to>
      <xdr:col>11</xdr:col>
      <xdr:colOff>434975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43550" y="80867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46" workbookViewId="0">
      <selection activeCell="L51" sqref="A1:L51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3" t="s">
        <v>0</v>
      </c>
      <c r="B1" s="113"/>
      <c r="C1" s="113"/>
      <c r="D1" s="113"/>
      <c r="E1" s="38"/>
      <c r="F1" s="39"/>
      <c r="G1" s="114" t="s">
        <v>1</v>
      </c>
      <c r="H1" s="114"/>
      <c r="I1" s="114"/>
      <c r="J1" s="114"/>
      <c r="K1" s="114"/>
      <c r="L1" s="114"/>
    </row>
    <row r="2" spans="1:12" ht="15.75" x14ac:dyDescent="0.25">
      <c r="A2" s="114" t="s">
        <v>2</v>
      </c>
      <c r="B2" s="114"/>
      <c r="C2" s="114"/>
      <c r="D2" s="114"/>
      <c r="E2" s="38"/>
      <c r="F2" s="39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8"/>
      <c r="F3" s="39"/>
      <c r="G3" s="39"/>
      <c r="H3" s="125" t="s">
        <v>28</v>
      </c>
      <c r="I3" s="125"/>
      <c r="J3" s="125"/>
      <c r="K3" s="125"/>
      <c r="L3" s="2"/>
    </row>
    <row r="4" spans="1:12" ht="6" customHeight="1" x14ac:dyDescent="0.25">
      <c r="A4" s="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3" t="s">
        <v>5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</row>
    <row r="6" spans="1:12" ht="15.75" x14ac:dyDescent="0.25">
      <c r="A6" s="114" t="s">
        <v>29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</row>
    <row r="7" spans="1:12" ht="4.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16"/>
      <c r="I7" s="116"/>
      <c r="J7" s="14"/>
      <c r="K7" s="40"/>
      <c r="L7" s="4"/>
    </row>
    <row r="8" spans="1:12" x14ac:dyDescent="0.25">
      <c r="A8" s="117" t="s">
        <v>7</v>
      </c>
      <c r="B8" s="119" t="s">
        <v>8</v>
      </c>
      <c r="C8" s="120"/>
      <c r="D8" s="120"/>
      <c r="E8" s="120"/>
      <c r="F8" s="121"/>
      <c r="G8" s="122" t="s">
        <v>9</v>
      </c>
      <c r="H8" s="120"/>
      <c r="I8" s="120"/>
      <c r="J8" s="120"/>
      <c r="K8" s="121"/>
      <c r="L8" s="123" t="s">
        <v>10</v>
      </c>
    </row>
    <row r="9" spans="1:12" ht="15.75" thickBot="1" x14ac:dyDescent="0.3">
      <c r="A9" s="118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4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12">
        <f>SUM(B10:B40)</f>
        <v>0</v>
      </c>
      <c r="C41" s="12">
        <f t="shared" ref="C41:E41" si="3">SUM(C10:C40)</f>
        <v>0</v>
      </c>
      <c r="D41" s="12">
        <f t="shared" si="3"/>
        <v>0</v>
      </c>
      <c r="E41" s="12">
        <f t="shared" si="3"/>
        <v>0</v>
      </c>
      <c r="F41" s="17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3.7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6"/>
      <c r="B43" s="106"/>
      <c r="C43" s="106"/>
      <c r="D43" s="106"/>
      <c r="E43" s="106"/>
      <c r="F43" s="106"/>
      <c r="G43" s="107" t="s">
        <v>17</v>
      </c>
      <c r="H43" s="108"/>
      <c r="I43" s="108" t="s">
        <v>18</v>
      </c>
      <c r="J43" s="109"/>
      <c r="K43" s="13"/>
      <c r="L43" s="15"/>
    </row>
    <row r="44" spans="1:12" ht="15.75" thickBot="1" x14ac:dyDescent="0.3">
      <c r="A44" s="16"/>
      <c r="B44" s="93" t="s">
        <v>19</v>
      </c>
      <c r="C44" s="94"/>
      <c r="D44" s="94"/>
      <c r="E44" s="94"/>
      <c r="F44" s="94"/>
      <c r="G44" s="104">
        <v>4</v>
      </c>
      <c r="H44" s="110"/>
      <c r="I44" s="111"/>
      <c r="J44" s="112"/>
      <c r="K44" s="13"/>
      <c r="L44" s="15"/>
    </row>
    <row r="45" spans="1:12" ht="15.75" thickBot="1" x14ac:dyDescent="0.3">
      <c r="A45" s="16"/>
      <c r="B45" s="93" t="s">
        <v>20</v>
      </c>
      <c r="C45" s="94"/>
      <c r="D45" s="94"/>
      <c r="E45" s="94"/>
      <c r="F45" s="94"/>
      <c r="G45" s="95">
        <v>0</v>
      </c>
      <c r="H45" s="96"/>
      <c r="I45" s="95"/>
      <c r="J45" s="96"/>
      <c r="K45" s="13"/>
      <c r="L45" s="15"/>
    </row>
    <row r="46" spans="1:12" ht="15.75" thickBot="1" x14ac:dyDescent="0.3">
      <c r="A46" s="16"/>
      <c r="B46" s="101" t="s">
        <v>21</v>
      </c>
      <c r="C46" s="101"/>
      <c r="D46" s="101"/>
      <c r="E46" s="101"/>
      <c r="F46" s="93"/>
      <c r="G46" s="102">
        <v>0</v>
      </c>
      <c r="H46" s="103"/>
      <c r="I46" s="104"/>
      <c r="J46" s="105"/>
      <c r="K46" s="13"/>
      <c r="L46" s="15"/>
    </row>
    <row r="47" spans="1:12" ht="15.75" thickBot="1" x14ac:dyDescent="0.3">
      <c r="A47" s="16"/>
      <c r="B47" s="93" t="s">
        <v>22</v>
      </c>
      <c r="C47" s="94"/>
      <c r="D47" s="94"/>
      <c r="E47" s="94"/>
      <c r="F47" s="94"/>
      <c r="G47" s="100">
        <f>L41+G46</f>
        <v>0</v>
      </c>
      <c r="H47" s="96"/>
      <c r="I47" s="95"/>
      <c r="J47" s="96"/>
      <c r="K47" s="13"/>
      <c r="L47" s="15"/>
    </row>
    <row r="48" spans="1:12" ht="15.75" thickBot="1" x14ac:dyDescent="0.3">
      <c r="A48" s="5"/>
      <c r="B48" s="93" t="s">
        <v>23</v>
      </c>
      <c r="C48" s="94"/>
      <c r="D48" s="94"/>
      <c r="E48" s="94"/>
      <c r="F48" s="94"/>
      <c r="G48" s="100">
        <f>G44+G45-G47</f>
        <v>4</v>
      </c>
      <c r="H48" s="96"/>
      <c r="I48" s="95"/>
      <c r="J48" s="96"/>
      <c r="K48" s="13"/>
      <c r="L48" s="4"/>
    </row>
    <row r="49" spans="1:12" ht="15.75" thickBot="1" x14ac:dyDescent="0.3">
      <c r="A49" s="5"/>
      <c r="B49" s="93" t="s">
        <v>24</v>
      </c>
      <c r="C49" s="94"/>
      <c r="D49" s="94"/>
      <c r="E49" s="94"/>
      <c r="F49" s="94"/>
      <c r="G49" s="95">
        <v>4</v>
      </c>
      <c r="H49" s="96"/>
      <c r="I49" s="95"/>
      <c r="J49" s="96"/>
      <c r="K49" s="13"/>
      <c r="L49" s="4"/>
    </row>
    <row r="50" spans="1:12" ht="15.75" thickBot="1" x14ac:dyDescent="0.3">
      <c r="A50" s="5"/>
      <c r="B50" s="93" t="s">
        <v>25</v>
      </c>
      <c r="C50" s="94"/>
      <c r="D50" s="94"/>
      <c r="E50" s="94"/>
      <c r="F50" s="94"/>
      <c r="G50" s="97">
        <f>G48-G49</f>
        <v>0</v>
      </c>
      <c r="H50" s="98"/>
      <c r="I50" s="99"/>
      <c r="J50" s="98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H3:K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40" workbookViewId="0">
      <selection activeCell="E58" sqref="E58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3" t="s">
        <v>0</v>
      </c>
      <c r="B1" s="113"/>
      <c r="C1" s="113"/>
      <c r="D1" s="113"/>
      <c r="E1" s="38"/>
      <c r="F1" s="39"/>
      <c r="G1" s="114" t="s">
        <v>1</v>
      </c>
      <c r="H1" s="114"/>
      <c r="I1" s="114"/>
      <c r="J1" s="114"/>
      <c r="K1" s="114"/>
      <c r="L1" s="114"/>
    </row>
    <row r="2" spans="1:12" ht="15.75" x14ac:dyDescent="0.25">
      <c r="A2" s="114" t="s">
        <v>2</v>
      </c>
      <c r="B2" s="114"/>
      <c r="C2" s="114"/>
      <c r="D2" s="114"/>
      <c r="E2" s="38"/>
      <c r="F2" s="39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8"/>
      <c r="F3" s="39"/>
      <c r="G3" s="39"/>
      <c r="H3" s="125" t="s">
        <v>28</v>
      </c>
      <c r="I3" s="125"/>
      <c r="J3" s="125"/>
      <c r="K3" s="125"/>
      <c r="L3" s="2"/>
    </row>
    <row r="4" spans="1:12" x14ac:dyDescent="0.25">
      <c r="A4" s="53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3" t="s">
        <v>5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</row>
    <row r="6" spans="1:12" ht="15.75" x14ac:dyDescent="0.25">
      <c r="A6" s="114" t="s">
        <v>30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</row>
    <row r="7" spans="1:12" ht="3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16"/>
      <c r="I7" s="116"/>
      <c r="J7" s="14"/>
      <c r="K7" s="40"/>
      <c r="L7" s="4"/>
    </row>
    <row r="8" spans="1:12" x14ac:dyDescent="0.25">
      <c r="A8" s="117" t="s">
        <v>7</v>
      </c>
      <c r="B8" s="119" t="s">
        <v>8</v>
      </c>
      <c r="C8" s="120"/>
      <c r="D8" s="120"/>
      <c r="E8" s="120"/>
      <c r="F8" s="121"/>
      <c r="G8" s="122" t="s">
        <v>9</v>
      </c>
      <c r="H8" s="120"/>
      <c r="I8" s="120"/>
      <c r="J8" s="120"/>
      <c r="K8" s="121"/>
      <c r="L8" s="123" t="s">
        <v>10</v>
      </c>
    </row>
    <row r="9" spans="1:12" ht="15.75" thickBot="1" x14ac:dyDescent="0.3">
      <c r="A9" s="118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4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52">
        <f>SUM(B10:B40)</f>
        <v>0</v>
      </c>
      <c r="C41" s="52">
        <f t="shared" ref="C41:E41" si="3">SUM(C10:C40)</f>
        <v>0</v>
      </c>
      <c r="D41" s="52">
        <f t="shared" si="3"/>
        <v>0</v>
      </c>
      <c r="E41" s="52">
        <f t="shared" si="3"/>
        <v>0</v>
      </c>
      <c r="F41" s="51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4.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6"/>
      <c r="B43" s="106"/>
      <c r="C43" s="106"/>
      <c r="D43" s="106"/>
      <c r="E43" s="106"/>
      <c r="F43" s="106"/>
      <c r="G43" s="107" t="s">
        <v>17</v>
      </c>
      <c r="H43" s="108"/>
      <c r="I43" s="108" t="s">
        <v>18</v>
      </c>
      <c r="J43" s="109"/>
      <c r="K43" s="13"/>
      <c r="L43" s="15"/>
    </row>
    <row r="44" spans="1:12" ht="15.75" thickBot="1" x14ac:dyDescent="0.3">
      <c r="A44" s="16"/>
      <c r="B44" s="93" t="s">
        <v>19</v>
      </c>
      <c r="C44" s="94"/>
      <c r="D44" s="94"/>
      <c r="E44" s="94"/>
      <c r="F44" s="94"/>
      <c r="G44" s="104">
        <v>4</v>
      </c>
      <c r="H44" s="110"/>
      <c r="I44" s="111"/>
      <c r="J44" s="112"/>
      <c r="K44" s="13"/>
      <c r="L44" s="15"/>
    </row>
    <row r="45" spans="1:12" ht="15.75" thickBot="1" x14ac:dyDescent="0.3">
      <c r="A45" s="16"/>
      <c r="B45" s="93" t="s">
        <v>20</v>
      </c>
      <c r="C45" s="94"/>
      <c r="D45" s="94"/>
      <c r="E45" s="94"/>
      <c r="F45" s="94"/>
      <c r="G45" s="95">
        <v>0</v>
      </c>
      <c r="H45" s="96"/>
      <c r="I45" s="95"/>
      <c r="J45" s="96"/>
      <c r="K45" s="13"/>
      <c r="L45" s="15"/>
    </row>
    <row r="46" spans="1:12" ht="15.75" thickBot="1" x14ac:dyDescent="0.3">
      <c r="A46" s="16"/>
      <c r="B46" s="101" t="s">
        <v>21</v>
      </c>
      <c r="C46" s="101"/>
      <c r="D46" s="101"/>
      <c r="E46" s="101"/>
      <c r="F46" s="93"/>
      <c r="G46" s="102">
        <v>0</v>
      </c>
      <c r="H46" s="103"/>
      <c r="I46" s="104"/>
      <c r="J46" s="105"/>
      <c r="K46" s="13"/>
      <c r="L46" s="15"/>
    </row>
    <row r="47" spans="1:12" ht="15.75" thickBot="1" x14ac:dyDescent="0.3">
      <c r="A47" s="16"/>
      <c r="B47" s="93" t="s">
        <v>22</v>
      </c>
      <c r="C47" s="94"/>
      <c r="D47" s="94"/>
      <c r="E47" s="94"/>
      <c r="F47" s="94"/>
      <c r="G47" s="100">
        <f>L41+G46</f>
        <v>0</v>
      </c>
      <c r="H47" s="96"/>
      <c r="I47" s="95"/>
      <c r="J47" s="96"/>
      <c r="K47" s="13"/>
      <c r="L47" s="15"/>
    </row>
    <row r="48" spans="1:12" ht="15.75" thickBot="1" x14ac:dyDescent="0.3">
      <c r="A48" s="5"/>
      <c r="B48" s="93" t="s">
        <v>23</v>
      </c>
      <c r="C48" s="94"/>
      <c r="D48" s="94"/>
      <c r="E48" s="94"/>
      <c r="F48" s="94"/>
      <c r="G48" s="100">
        <f>G44+G45-G47</f>
        <v>4</v>
      </c>
      <c r="H48" s="96"/>
      <c r="I48" s="95"/>
      <c r="J48" s="96"/>
      <c r="K48" s="13"/>
      <c r="L48" s="4"/>
    </row>
    <row r="49" spans="1:12" ht="15.75" thickBot="1" x14ac:dyDescent="0.3">
      <c r="A49" s="5"/>
      <c r="B49" s="93" t="s">
        <v>24</v>
      </c>
      <c r="C49" s="94"/>
      <c r="D49" s="94"/>
      <c r="E49" s="94"/>
      <c r="F49" s="94"/>
      <c r="G49" s="95">
        <v>4</v>
      </c>
      <c r="H49" s="96"/>
      <c r="I49" s="95"/>
      <c r="J49" s="96"/>
      <c r="K49" s="13"/>
      <c r="L49" s="4"/>
    </row>
    <row r="50" spans="1:12" ht="15.75" thickBot="1" x14ac:dyDescent="0.3">
      <c r="A50" s="5"/>
      <c r="B50" s="93" t="s">
        <v>25</v>
      </c>
      <c r="C50" s="94"/>
      <c r="D50" s="94"/>
      <c r="E50" s="94"/>
      <c r="F50" s="94"/>
      <c r="G50" s="97">
        <f>G48-G49</f>
        <v>0</v>
      </c>
      <c r="H50" s="98"/>
      <c r="I50" s="99"/>
      <c r="J50" s="98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H3:K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selection activeCell="B12" sqref="B12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3" t="s">
        <v>0</v>
      </c>
      <c r="B1" s="113"/>
      <c r="C1" s="113"/>
      <c r="D1" s="113"/>
      <c r="E1" s="38"/>
      <c r="F1" s="39"/>
      <c r="G1" s="114" t="s">
        <v>1</v>
      </c>
      <c r="H1" s="114"/>
      <c r="I1" s="114"/>
      <c r="J1" s="114"/>
      <c r="K1" s="114"/>
      <c r="L1" s="114"/>
    </row>
    <row r="2" spans="1:12" ht="15.75" x14ac:dyDescent="0.25">
      <c r="A2" s="114" t="s">
        <v>2</v>
      </c>
      <c r="B2" s="114"/>
      <c r="C2" s="114"/>
      <c r="D2" s="114"/>
      <c r="E2" s="38"/>
      <c r="F2" s="39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8"/>
      <c r="F3" s="39"/>
      <c r="G3" s="39"/>
      <c r="H3" s="125" t="s">
        <v>28</v>
      </c>
      <c r="I3" s="125"/>
      <c r="J3" s="125"/>
      <c r="K3" s="125"/>
      <c r="L3" s="2"/>
    </row>
    <row r="4" spans="1:12" x14ac:dyDescent="0.25">
      <c r="A4" s="56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3" t="s">
        <v>5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</row>
    <row r="6" spans="1:12" ht="15.75" x14ac:dyDescent="0.25">
      <c r="A6" s="114" t="s">
        <v>31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</row>
    <row r="7" spans="1:12" ht="3" customHeight="1" thickBot="1" x14ac:dyDescent="0.3">
      <c r="A7" s="60" t="s">
        <v>32</v>
      </c>
      <c r="B7" s="13"/>
      <c r="C7" s="14"/>
      <c r="D7" s="14"/>
      <c r="E7" s="14"/>
      <c r="F7" s="13"/>
      <c r="G7" s="13"/>
      <c r="H7" s="116"/>
      <c r="I7" s="116"/>
      <c r="J7" s="14"/>
      <c r="K7" s="40"/>
      <c r="L7" s="4"/>
    </row>
    <row r="8" spans="1:12" x14ac:dyDescent="0.25">
      <c r="A8" s="117" t="s">
        <v>7</v>
      </c>
      <c r="B8" s="119" t="s">
        <v>8</v>
      </c>
      <c r="C8" s="120"/>
      <c r="D8" s="120"/>
      <c r="E8" s="120"/>
      <c r="F8" s="121"/>
      <c r="G8" s="122" t="s">
        <v>9</v>
      </c>
      <c r="H8" s="120"/>
      <c r="I8" s="120"/>
      <c r="J8" s="120"/>
      <c r="K8" s="121"/>
      <c r="L8" s="123" t="s">
        <v>10</v>
      </c>
    </row>
    <row r="9" spans="1:12" ht="15.75" thickBot="1" x14ac:dyDescent="0.3">
      <c r="A9" s="118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4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>
        <v>4</v>
      </c>
      <c r="H36" s="25"/>
      <c r="I36" s="25"/>
      <c r="J36" s="25"/>
      <c r="K36" s="18">
        <f t="shared" si="1"/>
        <v>4</v>
      </c>
      <c r="L36" s="8">
        <f t="shared" si="2"/>
        <v>4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55">
        <f>SUM(B10:B40)</f>
        <v>0</v>
      </c>
      <c r="C41" s="55">
        <f t="shared" ref="C41:E41" si="3">SUM(C10:C40)</f>
        <v>0</v>
      </c>
      <c r="D41" s="55">
        <f t="shared" si="3"/>
        <v>0</v>
      </c>
      <c r="E41" s="55">
        <f t="shared" si="3"/>
        <v>0</v>
      </c>
      <c r="F41" s="54">
        <f>SUM(F10:F40)</f>
        <v>0</v>
      </c>
      <c r="G41" s="19">
        <f>SUM(G10:G40)</f>
        <v>4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4</v>
      </c>
      <c r="L41" s="19">
        <f t="shared" si="4"/>
        <v>4</v>
      </c>
    </row>
    <row r="42" spans="1:12" ht="4.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6"/>
      <c r="B43" s="106"/>
      <c r="C43" s="106"/>
      <c r="D43" s="106"/>
      <c r="E43" s="106"/>
      <c r="F43" s="106"/>
      <c r="G43" s="107" t="s">
        <v>17</v>
      </c>
      <c r="H43" s="108"/>
      <c r="I43" s="108" t="s">
        <v>18</v>
      </c>
      <c r="J43" s="109"/>
      <c r="K43" s="13"/>
      <c r="L43" s="15"/>
    </row>
    <row r="44" spans="1:12" ht="15.75" thickBot="1" x14ac:dyDescent="0.3">
      <c r="A44" s="16"/>
      <c r="B44" s="93" t="s">
        <v>19</v>
      </c>
      <c r="C44" s="94"/>
      <c r="D44" s="94"/>
      <c r="E44" s="94"/>
      <c r="F44" s="94"/>
      <c r="G44" s="104">
        <v>4</v>
      </c>
      <c r="H44" s="110"/>
      <c r="I44" s="111"/>
      <c r="J44" s="112"/>
      <c r="K44" s="13"/>
      <c r="L44" s="15"/>
    </row>
    <row r="45" spans="1:12" ht="15.75" thickBot="1" x14ac:dyDescent="0.3">
      <c r="A45" s="16"/>
      <c r="B45" s="93" t="s">
        <v>20</v>
      </c>
      <c r="C45" s="94"/>
      <c r="D45" s="94"/>
      <c r="E45" s="94"/>
      <c r="F45" s="94"/>
      <c r="G45" s="95">
        <v>20</v>
      </c>
      <c r="H45" s="96"/>
      <c r="I45" s="95"/>
      <c r="J45" s="96"/>
      <c r="K45" s="13"/>
      <c r="L45" s="15"/>
    </row>
    <row r="46" spans="1:12" ht="15.75" thickBot="1" x14ac:dyDescent="0.3">
      <c r="A46" s="16"/>
      <c r="B46" s="101" t="s">
        <v>21</v>
      </c>
      <c r="C46" s="101"/>
      <c r="D46" s="101"/>
      <c r="E46" s="101"/>
      <c r="F46" s="93"/>
      <c r="G46" s="102">
        <v>0</v>
      </c>
      <c r="H46" s="103"/>
      <c r="I46" s="104"/>
      <c r="J46" s="105"/>
      <c r="K46" s="13"/>
      <c r="L46" s="15"/>
    </row>
    <row r="47" spans="1:12" ht="15.75" thickBot="1" x14ac:dyDescent="0.3">
      <c r="A47" s="16"/>
      <c r="B47" s="93" t="s">
        <v>22</v>
      </c>
      <c r="C47" s="94"/>
      <c r="D47" s="94"/>
      <c r="E47" s="94"/>
      <c r="F47" s="94"/>
      <c r="G47" s="100">
        <f>L41+G46</f>
        <v>4</v>
      </c>
      <c r="H47" s="96"/>
      <c r="I47" s="95"/>
      <c r="J47" s="96"/>
      <c r="K47" s="13"/>
      <c r="L47" s="15"/>
    </row>
    <row r="48" spans="1:12" ht="15.75" thickBot="1" x14ac:dyDescent="0.3">
      <c r="A48" s="5"/>
      <c r="B48" s="93" t="s">
        <v>23</v>
      </c>
      <c r="C48" s="94"/>
      <c r="D48" s="94"/>
      <c r="E48" s="94"/>
      <c r="F48" s="94"/>
      <c r="G48" s="100">
        <f>G44+G45-G47</f>
        <v>20</v>
      </c>
      <c r="H48" s="96"/>
      <c r="I48" s="95"/>
      <c r="J48" s="96"/>
      <c r="K48" s="13"/>
      <c r="L48" s="4"/>
    </row>
    <row r="49" spans="1:12" ht="15.75" thickBot="1" x14ac:dyDescent="0.3">
      <c r="A49" s="5"/>
      <c r="B49" s="93" t="s">
        <v>24</v>
      </c>
      <c r="C49" s="94"/>
      <c r="D49" s="94"/>
      <c r="E49" s="94"/>
      <c r="F49" s="94"/>
      <c r="G49" s="95">
        <v>20</v>
      </c>
      <c r="H49" s="96"/>
      <c r="I49" s="95"/>
      <c r="J49" s="96"/>
      <c r="K49" s="13"/>
      <c r="L49" s="4"/>
    </row>
    <row r="50" spans="1:12" ht="15.75" thickBot="1" x14ac:dyDescent="0.3">
      <c r="A50" s="5"/>
      <c r="B50" s="93" t="s">
        <v>25</v>
      </c>
      <c r="C50" s="94"/>
      <c r="D50" s="94"/>
      <c r="E50" s="94"/>
      <c r="F50" s="94"/>
      <c r="G50" s="97">
        <f>G48-G49</f>
        <v>0</v>
      </c>
      <c r="H50" s="98"/>
      <c r="I50" s="99"/>
      <c r="J50" s="98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H3:K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selection activeCell="G21" sqref="G21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3" t="s">
        <v>0</v>
      </c>
      <c r="B1" s="113"/>
      <c r="C1" s="113"/>
      <c r="D1" s="113"/>
      <c r="E1" s="38"/>
      <c r="F1" s="39"/>
      <c r="G1" s="114" t="s">
        <v>1</v>
      </c>
      <c r="H1" s="114"/>
      <c r="I1" s="114"/>
      <c r="J1" s="114"/>
      <c r="K1" s="114"/>
      <c r="L1" s="114"/>
    </row>
    <row r="2" spans="1:12" ht="15.75" x14ac:dyDescent="0.25">
      <c r="A2" s="114" t="s">
        <v>2</v>
      </c>
      <c r="B2" s="114"/>
      <c r="C2" s="114"/>
      <c r="D2" s="114"/>
      <c r="E2" s="38"/>
      <c r="F2" s="39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8"/>
      <c r="F3" s="39"/>
      <c r="G3" s="39"/>
      <c r="H3" s="125" t="s">
        <v>28</v>
      </c>
      <c r="I3" s="125"/>
      <c r="J3" s="125"/>
      <c r="K3" s="125"/>
      <c r="L3" s="2"/>
    </row>
    <row r="4" spans="1:12" ht="4.5" customHeight="1" x14ac:dyDescent="0.25">
      <c r="A4" s="57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3" t="s">
        <v>5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</row>
    <row r="6" spans="1:12" ht="15.75" x14ac:dyDescent="0.25">
      <c r="A6" s="114" t="s">
        <v>33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</row>
    <row r="7" spans="1:12" ht="3" customHeight="1" thickBot="1" x14ac:dyDescent="0.3">
      <c r="A7" s="60" t="s">
        <v>32</v>
      </c>
      <c r="B7" s="13"/>
      <c r="C7" s="14"/>
      <c r="D7" s="14"/>
      <c r="E7" s="14"/>
      <c r="F7" s="13"/>
      <c r="G7" s="13"/>
      <c r="H7" s="116"/>
      <c r="I7" s="116"/>
      <c r="J7" s="14"/>
      <c r="K7" s="40"/>
      <c r="L7" s="4"/>
    </row>
    <row r="8" spans="1:12" x14ac:dyDescent="0.25">
      <c r="A8" s="117" t="s">
        <v>7</v>
      </c>
      <c r="B8" s="119" t="s">
        <v>8</v>
      </c>
      <c r="C8" s="120"/>
      <c r="D8" s="120"/>
      <c r="E8" s="120"/>
      <c r="F8" s="121"/>
      <c r="G8" s="122" t="s">
        <v>9</v>
      </c>
      <c r="H8" s="120"/>
      <c r="I8" s="120"/>
      <c r="J8" s="120"/>
      <c r="K8" s="121"/>
      <c r="L8" s="123" t="s">
        <v>10</v>
      </c>
    </row>
    <row r="9" spans="1:12" ht="15.75" thickBot="1" x14ac:dyDescent="0.3">
      <c r="A9" s="118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4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>
        <v>1</v>
      </c>
      <c r="C12" s="25"/>
      <c r="D12" s="25"/>
      <c r="E12" s="27"/>
      <c r="F12" s="20">
        <f t="shared" si="0"/>
        <v>1</v>
      </c>
      <c r="G12" s="33"/>
      <c r="H12" s="25"/>
      <c r="I12" s="25"/>
      <c r="J12" s="25"/>
      <c r="K12" s="18">
        <f t="shared" si="1"/>
        <v>0</v>
      </c>
      <c r="L12" s="8">
        <f t="shared" si="2"/>
        <v>1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>
        <v>3</v>
      </c>
      <c r="H13" s="25"/>
      <c r="I13" s="25"/>
      <c r="J13" s="25"/>
      <c r="K13" s="18">
        <f t="shared" si="1"/>
        <v>3</v>
      </c>
      <c r="L13" s="8">
        <f t="shared" si="2"/>
        <v>3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>
        <v>1</v>
      </c>
      <c r="H23" s="25"/>
      <c r="I23" s="25"/>
      <c r="J23" s="25"/>
      <c r="K23" s="18">
        <f t="shared" si="1"/>
        <v>1</v>
      </c>
      <c r="L23" s="8">
        <f t="shared" si="2"/>
        <v>1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59">
        <f>SUM(B10:B40)</f>
        <v>1</v>
      </c>
      <c r="C41" s="59">
        <f t="shared" ref="C41:E41" si="3">SUM(C10:C40)</f>
        <v>0</v>
      </c>
      <c r="D41" s="59">
        <f t="shared" si="3"/>
        <v>0</v>
      </c>
      <c r="E41" s="59">
        <f t="shared" si="3"/>
        <v>0</v>
      </c>
      <c r="F41" s="58">
        <f>SUM(F10:F40)</f>
        <v>1</v>
      </c>
      <c r="G41" s="19">
        <f>SUM(G10:G40)</f>
        <v>4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4</v>
      </c>
      <c r="L41" s="19">
        <f t="shared" si="4"/>
        <v>5</v>
      </c>
    </row>
    <row r="42" spans="1:12" ht="4.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6"/>
      <c r="B43" s="106"/>
      <c r="C43" s="106"/>
      <c r="D43" s="106"/>
      <c r="E43" s="106"/>
      <c r="F43" s="106"/>
      <c r="G43" s="107" t="s">
        <v>17</v>
      </c>
      <c r="H43" s="108"/>
      <c r="I43" s="108" t="s">
        <v>18</v>
      </c>
      <c r="J43" s="109"/>
      <c r="K43" s="13"/>
      <c r="L43" s="15"/>
    </row>
    <row r="44" spans="1:12" ht="15.75" thickBot="1" x14ac:dyDescent="0.3">
      <c r="A44" s="16"/>
      <c r="B44" s="93" t="s">
        <v>19</v>
      </c>
      <c r="C44" s="94"/>
      <c r="D44" s="94"/>
      <c r="E44" s="94"/>
      <c r="F44" s="94"/>
      <c r="G44" s="104">
        <v>20</v>
      </c>
      <c r="H44" s="110"/>
      <c r="I44" s="111"/>
      <c r="J44" s="112"/>
      <c r="K44" s="13"/>
      <c r="L44" s="15"/>
    </row>
    <row r="45" spans="1:12" ht="15.75" thickBot="1" x14ac:dyDescent="0.3">
      <c r="A45" s="16"/>
      <c r="B45" s="93" t="s">
        <v>20</v>
      </c>
      <c r="C45" s="94"/>
      <c r="D45" s="94"/>
      <c r="E45" s="94"/>
      <c r="F45" s="94"/>
      <c r="G45" s="95">
        <v>0</v>
      </c>
      <c r="H45" s="96"/>
      <c r="I45" s="95"/>
      <c r="J45" s="96"/>
      <c r="K45" s="13"/>
      <c r="L45" s="15"/>
    </row>
    <row r="46" spans="1:12" ht="15.75" thickBot="1" x14ac:dyDescent="0.3">
      <c r="A46" s="16"/>
      <c r="B46" s="101" t="s">
        <v>21</v>
      </c>
      <c r="C46" s="101"/>
      <c r="D46" s="101"/>
      <c r="E46" s="101"/>
      <c r="F46" s="93"/>
      <c r="G46" s="102">
        <v>0</v>
      </c>
      <c r="H46" s="103"/>
      <c r="I46" s="104"/>
      <c r="J46" s="105"/>
      <c r="K46" s="13"/>
      <c r="L46" s="15"/>
    </row>
    <row r="47" spans="1:12" ht="15.75" thickBot="1" x14ac:dyDescent="0.3">
      <c r="A47" s="16"/>
      <c r="B47" s="93" t="s">
        <v>22</v>
      </c>
      <c r="C47" s="94"/>
      <c r="D47" s="94"/>
      <c r="E47" s="94"/>
      <c r="F47" s="94"/>
      <c r="G47" s="100">
        <f>L41+G46</f>
        <v>5</v>
      </c>
      <c r="H47" s="96"/>
      <c r="I47" s="95"/>
      <c r="J47" s="96"/>
      <c r="K47" s="13"/>
      <c r="L47" s="15"/>
    </row>
    <row r="48" spans="1:12" ht="15.75" thickBot="1" x14ac:dyDescent="0.3">
      <c r="A48" s="5"/>
      <c r="B48" s="93" t="s">
        <v>23</v>
      </c>
      <c r="C48" s="94"/>
      <c r="D48" s="94"/>
      <c r="E48" s="94"/>
      <c r="F48" s="94"/>
      <c r="G48" s="100">
        <f>G44+G45-G47</f>
        <v>15</v>
      </c>
      <c r="H48" s="96"/>
      <c r="I48" s="95"/>
      <c r="J48" s="96"/>
      <c r="K48" s="13"/>
      <c r="L48" s="4"/>
    </row>
    <row r="49" spans="1:12" ht="15.75" thickBot="1" x14ac:dyDescent="0.3">
      <c r="A49" s="5"/>
      <c r="B49" s="93" t="s">
        <v>24</v>
      </c>
      <c r="C49" s="94"/>
      <c r="D49" s="94"/>
      <c r="E49" s="94"/>
      <c r="F49" s="94"/>
      <c r="G49" s="95">
        <v>15</v>
      </c>
      <c r="H49" s="96"/>
      <c r="I49" s="95"/>
      <c r="J49" s="96"/>
      <c r="K49" s="13"/>
      <c r="L49" s="4"/>
    </row>
    <row r="50" spans="1:12" ht="15.75" thickBot="1" x14ac:dyDescent="0.3">
      <c r="A50" s="5"/>
      <c r="B50" s="93" t="s">
        <v>25</v>
      </c>
      <c r="C50" s="94"/>
      <c r="D50" s="94"/>
      <c r="E50" s="94"/>
      <c r="F50" s="94"/>
      <c r="G50" s="97">
        <f>G48-G49</f>
        <v>0</v>
      </c>
      <c r="H50" s="98"/>
      <c r="I50" s="99"/>
      <c r="J50" s="98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28" workbookViewId="0">
      <selection activeCell="A7" sqref="A7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3" t="s">
        <v>0</v>
      </c>
      <c r="B1" s="113"/>
      <c r="C1" s="113"/>
      <c r="D1" s="113"/>
      <c r="E1" s="38"/>
      <c r="F1" s="39"/>
      <c r="G1" s="114" t="s">
        <v>1</v>
      </c>
      <c r="H1" s="114"/>
      <c r="I1" s="114"/>
      <c r="J1" s="114"/>
      <c r="K1" s="114"/>
      <c r="L1" s="114"/>
    </row>
    <row r="2" spans="1:12" ht="15.75" x14ac:dyDescent="0.25">
      <c r="A2" s="114" t="s">
        <v>2</v>
      </c>
      <c r="B2" s="114"/>
      <c r="C2" s="114"/>
      <c r="D2" s="114"/>
      <c r="E2" s="38"/>
      <c r="F2" s="39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8"/>
      <c r="F3" s="39"/>
      <c r="G3" s="39"/>
      <c r="H3" s="125" t="s">
        <v>28</v>
      </c>
      <c r="I3" s="125"/>
      <c r="J3" s="125"/>
      <c r="K3" s="125"/>
      <c r="L3" s="2"/>
    </row>
    <row r="4" spans="1:12" ht="4.5" customHeight="1" x14ac:dyDescent="0.25">
      <c r="A4" s="6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3" t="s">
        <v>5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</row>
    <row r="6" spans="1:12" ht="15.75" x14ac:dyDescent="0.25">
      <c r="A6" s="114" t="s">
        <v>34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</row>
    <row r="7" spans="1:12" ht="3" customHeight="1" thickBot="1" x14ac:dyDescent="0.3">
      <c r="A7" s="64" t="s">
        <v>34</v>
      </c>
      <c r="B7" s="13"/>
      <c r="C7" s="14"/>
      <c r="D7" s="14"/>
      <c r="E7" s="14"/>
      <c r="F7" s="13"/>
      <c r="G7" s="13"/>
      <c r="H7" s="116"/>
      <c r="I7" s="116"/>
      <c r="J7" s="14"/>
      <c r="K7" s="40"/>
      <c r="L7" s="4"/>
    </row>
    <row r="8" spans="1:12" x14ac:dyDescent="0.25">
      <c r="A8" s="117" t="s">
        <v>7</v>
      </c>
      <c r="B8" s="119" t="s">
        <v>8</v>
      </c>
      <c r="C8" s="120"/>
      <c r="D8" s="120"/>
      <c r="E8" s="120"/>
      <c r="F8" s="121"/>
      <c r="G8" s="122" t="s">
        <v>9</v>
      </c>
      <c r="H8" s="120"/>
      <c r="I8" s="120"/>
      <c r="J8" s="120"/>
      <c r="K8" s="121"/>
      <c r="L8" s="123" t="s">
        <v>10</v>
      </c>
    </row>
    <row r="9" spans="1:12" ht="15.75" thickBot="1" x14ac:dyDescent="0.3">
      <c r="A9" s="118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4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>
        <v>1</v>
      </c>
      <c r="C11" s="25"/>
      <c r="D11" s="25"/>
      <c r="E11" s="26"/>
      <c r="F11" s="20">
        <f t="shared" ref="F11:F40" si="0">SUM(B11:E11)</f>
        <v>1</v>
      </c>
      <c r="G11" s="33">
        <v>1</v>
      </c>
      <c r="H11" s="25"/>
      <c r="I11" s="25"/>
      <c r="J11" s="25"/>
      <c r="K11" s="18">
        <f t="shared" ref="K11:K40" si="1">SUM(G11:J11)</f>
        <v>1</v>
      </c>
      <c r="L11" s="8">
        <f t="shared" ref="L11:L40" si="2">SUM(F11+K11)</f>
        <v>2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>
        <v>1</v>
      </c>
      <c r="C19" s="25"/>
      <c r="D19" s="25"/>
      <c r="E19" s="26"/>
      <c r="F19" s="20">
        <f t="shared" si="0"/>
        <v>1</v>
      </c>
      <c r="G19" s="35"/>
      <c r="H19" s="25"/>
      <c r="I19" s="25"/>
      <c r="J19" s="25"/>
      <c r="K19" s="18">
        <f t="shared" si="1"/>
        <v>0</v>
      </c>
      <c r="L19" s="8">
        <f t="shared" si="2"/>
        <v>1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>
        <v>1</v>
      </c>
      <c r="C32" s="25"/>
      <c r="D32" s="25"/>
      <c r="E32" s="26"/>
      <c r="F32" s="20">
        <f t="shared" si="0"/>
        <v>1</v>
      </c>
      <c r="G32" s="33"/>
      <c r="H32" s="25"/>
      <c r="I32" s="25"/>
      <c r="J32" s="25"/>
      <c r="K32" s="18">
        <f t="shared" si="1"/>
        <v>0</v>
      </c>
      <c r="L32" s="8">
        <f t="shared" si="2"/>
        <v>1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>
        <v>1</v>
      </c>
      <c r="H35" s="25"/>
      <c r="I35" s="25"/>
      <c r="J35" s="25"/>
      <c r="K35" s="18">
        <f t="shared" si="1"/>
        <v>1</v>
      </c>
      <c r="L35" s="8">
        <f t="shared" si="2"/>
        <v>1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63">
        <f>SUM(B10:B40)</f>
        <v>3</v>
      </c>
      <c r="C41" s="63">
        <f t="shared" ref="C41:E41" si="3">SUM(C10:C40)</f>
        <v>0</v>
      </c>
      <c r="D41" s="63">
        <f t="shared" si="3"/>
        <v>0</v>
      </c>
      <c r="E41" s="63">
        <f t="shared" si="3"/>
        <v>0</v>
      </c>
      <c r="F41" s="62">
        <f>SUM(F10:F40)</f>
        <v>3</v>
      </c>
      <c r="G41" s="19">
        <f>SUM(G10:G40)</f>
        <v>2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2</v>
      </c>
      <c r="L41" s="19">
        <f t="shared" si="4"/>
        <v>5</v>
      </c>
    </row>
    <row r="42" spans="1:12" ht="4.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6"/>
      <c r="B43" s="106"/>
      <c r="C43" s="106"/>
      <c r="D43" s="106"/>
      <c r="E43" s="106"/>
      <c r="F43" s="106"/>
      <c r="G43" s="107" t="s">
        <v>17</v>
      </c>
      <c r="H43" s="108"/>
      <c r="I43" s="108" t="s">
        <v>18</v>
      </c>
      <c r="J43" s="109"/>
      <c r="K43" s="13"/>
      <c r="L43" s="15"/>
    </row>
    <row r="44" spans="1:12" ht="15.75" thickBot="1" x14ac:dyDescent="0.3">
      <c r="A44" s="16"/>
      <c r="B44" s="93" t="s">
        <v>19</v>
      </c>
      <c r="C44" s="94"/>
      <c r="D44" s="94"/>
      <c r="E44" s="94"/>
      <c r="F44" s="94"/>
      <c r="G44" s="104">
        <v>15</v>
      </c>
      <c r="H44" s="110"/>
      <c r="I44" s="111"/>
      <c r="J44" s="112"/>
      <c r="K44" s="13"/>
      <c r="L44" s="15"/>
    </row>
    <row r="45" spans="1:12" ht="15.75" thickBot="1" x14ac:dyDescent="0.3">
      <c r="A45" s="16"/>
      <c r="B45" s="93" t="s">
        <v>20</v>
      </c>
      <c r="C45" s="94"/>
      <c r="D45" s="94"/>
      <c r="E45" s="94"/>
      <c r="F45" s="94"/>
      <c r="G45" s="95">
        <v>0</v>
      </c>
      <c r="H45" s="96"/>
      <c r="I45" s="95"/>
      <c r="J45" s="96"/>
      <c r="K45" s="13"/>
      <c r="L45" s="15"/>
    </row>
    <row r="46" spans="1:12" ht="15.75" thickBot="1" x14ac:dyDescent="0.3">
      <c r="A46" s="16"/>
      <c r="B46" s="101" t="s">
        <v>21</v>
      </c>
      <c r="C46" s="101"/>
      <c r="D46" s="101"/>
      <c r="E46" s="101"/>
      <c r="F46" s="93"/>
      <c r="G46" s="102">
        <v>0</v>
      </c>
      <c r="H46" s="103"/>
      <c r="I46" s="104"/>
      <c r="J46" s="105"/>
      <c r="K46" s="13"/>
      <c r="L46" s="15"/>
    </row>
    <row r="47" spans="1:12" ht="15.75" thickBot="1" x14ac:dyDescent="0.3">
      <c r="A47" s="16"/>
      <c r="B47" s="93" t="s">
        <v>22</v>
      </c>
      <c r="C47" s="94"/>
      <c r="D47" s="94"/>
      <c r="E47" s="94"/>
      <c r="F47" s="94"/>
      <c r="G47" s="100">
        <f>L41+G46</f>
        <v>5</v>
      </c>
      <c r="H47" s="96"/>
      <c r="I47" s="95"/>
      <c r="J47" s="96"/>
      <c r="K47" s="13"/>
      <c r="L47" s="15"/>
    </row>
    <row r="48" spans="1:12" ht="15.75" thickBot="1" x14ac:dyDescent="0.3">
      <c r="A48" s="5"/>
      <c r="B48" s="93" t="s">
        <v>23</v>
      </c>
      <c r="C48" s="94"/>
      <c r="D48" s="94"/>
      <c r="E48" s="94"/>
      <c r="F48" s="94"/>
      <c r="G48" s="100">
        <f>G44+G45-G47</f>
        <v>10</v>
      </c>
      <c r="H48" s="96"/>
      <c r="I48" s="95"/>
      <c r="J48" s="96"/>
      <c r="K48" s="13"/>
      <c r="L48" s="4"/>
    </row>
    <row r="49" spans="1:12" ht="15.75" thickBot="1" x14ac:dyDescent="0.3">
      <c r="A49" s="5"/>
      <c r="B49" s="93" t="s">
        <v>24</v>
      </c>
      <c r="C49" s="94"/>
      <c r="D49" s="94"/>
      <c r="E49" s="94"/>
      <c r="F49" s="94"/>
      <c r="G49" s="95">
        <v>10</v>
      </c>
      <c r="H49" s="96"/>
      <c r="I49" s="95"/>
      <c r="J49" s="96"/>
      <c r="K49" s="13"/>
      <c r="L49" s="4"/>
    </row>
    <row r="50" spans="1:12" ht="15.75" thickBot="1" x14ac:dyDescent="0.3">
      <c r="A50" s="5"/>
      <c r="B50" s="93" t="s">
        <v>25</v>
      </c>
      <c r="C50" s="94"/>
      <c r="D50" s="94"/>
      <c r="E50" s="94"/>
      <c r="F50" s="94"/>
      <c r="G50" s="97">
        <f>G48-G49</f>
        <v>0</v>
      </c>
      <c r="H50" s="98"/>
      <c r="I50" s="99"/>
      <c r="J50" s="98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28" workbookViewId="0">
      <selection activeCell="I47" sqref="I47:J47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3" t="s">
        <v>0</v>
      </c>
      <c r="B1" s="113"/>
      <c r="C1" s="113"/>
      <c r="D1" s="113"/>
      <c r="E1" s="38"/>
      <c r="F1" s="39"/>
      <c r="G1" s="114" t="s">
        <v>1</v>
      </c>
      <c r="H1" s="114"/>
      <c r="I1" s="114"/>
      <c r="J1" s="114"/>
      <c r="K1" s="114"/>
      <c r="L1" s="114"/>
    </row>
    <row r="2" spans="1:12" ht="15.75" x14ac:dyDescent="0.25">
      <c r="A2" s="114" t="s">
        <v>2</v>
      </c>
      <c r="B2" s="114"/>
      <c r="C2" s="114"/>
      <c r="D2" s="114"/>
      <c r="E2" s="38"/>
      <c r="F2" s="39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8"/>
      <c r="F3" s="39"/>
      <c r="G3" s="39"/>
      <c r="H3" s="125" t="s">
        <v>28</v>
      </c>
      <c r="I3" s="125"/>
      <c r="J3" s="125"/>
      <c r="K3" s="125"/>
      <c r="L3" s="2"/>
    </row>
    <row r="4" spans="1:12" ht="4.5" customHeight="1" x14ac:dyDescent="0.25">
      <c r="A4" s="66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3" t="s">
        <v>5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</row>
    <row r="6" spans="1:12" ht="15.75" x14ac:dyDescent="0.25">
      <c r="A6" s="114" t="s">
        <v>35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</row>
    <row r="7" spans="1:12" ht="3" customHeight="1" thickBot="1" x14ac:dyDescent="0.3">
      <c r="A7" s="65" t="s">
        <v>34</v>
      </c>
      <c r="B7" s="13"/>
      <c r="C7" s="14"/>
      <c r="D7" s="14"/>
      <c r="E7" s="14"/>
      <c r="F7" s="13"/>
      <c r="G7" s="13"/>
      <c r="H7" s="116"/>
      <c r="I7" s="116"/>
      <c r="J7" s="14"/>
      <c r="K7" s="40"/>
      <c r="L7" s="4"/>
    </row>
    <row r="8" spans="1:12" x14ac:dyDescent="0.25">
      <c r="A8" s="117" t="s">
        <v>7</v>
      </c>
      <c r="B8" s="119" t="s">
        <v>8</v>
      </c>
      <c r="C8" s="120"/>
      <c r="D8" s="120"/>
      <c r="E8" s="120"/>
      <c r="F8" s="121"/>
      <c r="G8" s="122" t="s">
        <v>9</v>
      </c>
      <c r="H8" s="120"/>
      <c r="I8" s="120"/>
      <c r="J8" s="120"/>
      <c r="K8" s="121"/>
      <c r="L8" s="123" t="s">
        <v>10</v>
      </c>
    </row>
    <row r="9" spans="1:12" ht="15.75" thickBot="1" x14ac:dyDescent="0.3">
      <c r="A9" s="118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4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>
        <v>1</v>
      </c>
      <c r="C21" s="25"/>
      <c r="D21" s="25"/>
      <c r="E21" s="26"/>
      <c r="F21" s="20">
        <f t="shared" si="0"/>
        <v>1</v>
      </c>
      <c r="G21" s="33"/>
      <c r="H21" s="36"/>
      <c r="I21" s="36"/>
      <c r="J21" s="36"/>
      <c r="K21" s="18">
        <f t="shared" si="1"/>
        <v>0</v>
      </c>
      <c r="L21" s="8">
        <f t="shared" si="2"/>
        <v>1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>
        <v>1</v>
      </c>
      <c r="C25" s="25"/>
      <c r="D25" s="25"/>
      <c r="E25" s="26"/>
      <c r="F25" s="20">
        <f t="shared" si="0"/>
        <v>1</v>
      </c>
      <c r="G25" s="33"/>
      <c r="H25" s="25"/>
      <c r="I25" s="25"/>
      <c r="J25" s="25"/>
      <c r="K25" s="18">
        <f t="shared" si="1"/>
        <v>0</v>
      </c>
      <c r="L25" s="8">
        <f t="shared" si="2"/>
        <v>1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>
        <v>1</v>
      </c>
      <c r="C30" s="25"/>
      <c r="D30" s="25"/>
      <c r="E30" s="26"/>
      <c r="F30" s="20">
        <f t="shared" si="0"/>
        <v>1</v>
      </c>
      <c r="G30" s="33"/>
      <c r="H30" s="25"/>
      <c r="I30" s="25"/>
      <c r="J30" s="25"/>
      <c r="K30" s="18">
        <f t="shared" si="1"/>
        <v>0</v>
      </c>
      <c r="L30" s="8">
        <f t="shared" si="2"/>
        <v>1</v>
      </c>
    </row>
    <row r="31" spans="1:12" ht="15.75" thickBot="1" x14ac:dyDescent="0.3">
      <c r="A31" s="9">
        <v>22</v>
      </c>
      <c r="B31" s="24">
        <v>1</v>
      </c>
      <c r="C31" s="25"/>
      <c r="D31" s="25"/>
      <c r="E31" s="26"/>
      <c r="F31" s="20">
        <f t="shared" si="0"/>
        <v>1</v>
      </c>
      <c r="G31" s="33"/>
      <c r="H31" s="25"/>
      <c r="I31" s="25"/>
      <c r="J31" s="25"/>
      <c r="K31" s="18">
        <f t="shared" si="1"/>
        <v>0</v>
      </c>
      <c r="L31" s="8">
        <f t="shared" si="2"/>
        <v>1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>
        <v>2</v>
      </c>
      <c r="H32" s="25"/>
      <c r="I32" s="25"/>
      <c r="J32" s="25"/>
      <c r="K32" s="18">
        <f t="shared" si="1"/>
        <v>2</v>
      </c>
      <c r="L32" s="8">
        <f t="shared" si="2"/>
        <v>2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>
        <v>1</v>
      </c>
      <c r="C39" s="25"/>
      <c r="D39" s="25"/>
      <c r="E39" s="26"/>
      <c r="F39" s="20">
        <f t="shared" si="0"/>
        <v>1</v>
      </c>
      <c r="G39" s="33"/>
      <c r="H39" s="25"/>
      <c r="I39" s="25"/>
      <c r="J39" s="25"/>
      <c r="K39" s="18">
        <f t="shared" si="1"/>
        <v>0</v>
      </c>
      <c r="L39" s="8">
        <f t="shared" si="2"/>
        <v>1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68">
        <f>SUM(B10:B40)</f>
        <v>5</v>
      </c>
      <c r="C41" s="68">
        <f t="shared" ref="C41:E41" si="3">SUM(C10:C40)</f>
        <v>0</v>
      </c>
      <c r="D41" s="68">
        <f t="shared" si="3"/>
        <v>0</v>
      </c>
      <c r="E41" s="68">
        <f t="shared" si="3"/>
        <v>0</v>
      </c>
      <c r="F41" s="67">
        <f>SUM(F10:F40)</f>
        <v>5</v>
      </c>
      <c r="G41" s="19">
        <f>SUM(G10:G40)</f>
        <v>2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2</v>
      </c>
      <c r="L41" s="19">
        <f t="shared" si="4"/>
        <v>7</v>
      </c>
    </row>
    <row r="42" spans="1:12" ht="4.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6"/>
      <c r="B43" s="106"/>
      <c r="C43" s="106"/>
      <c r="D43" s="106"/>
      <c r="E43" s="106"/>
      <c r="F43" s="106"/>
      <c r="G43" s="107" t="s">
        <v>17</v>
      </c>
      <c r="H43" s="108"/>
      <c r="I43" s="108" t="s">
        <v>18</v>
      </c>
      <c r="J43" s="109"/>
      <c r="K43" s="13"/>
      <c r="L43" s="15"/>
    </row>
    <row r="44" spans="1:12" ht="15.75" thickBot="1" x14ac:dyDescent="0.3">
      <c r="A44" s="16"/>
      <c r="B44" s="93" t="s">
        <v>19</v>
      </c>
      <c r="C44" s="94"/>
      <c r="D44" s="94"/>
      <c r="E44" s="94"/>
      <c r="F44" s="94"/>
      <c r="G44" s="104">
        <v>10</v>
      </c>
      <c r="H44" s="110"/>
      <c r="I44" s="111"/>
      <c r="J44" s="112"/>
      <c r="K44" s="13"/>
      <c r="L44" s="15"/>
    </row>
    <row r="45" spans="1:12" ht="15.75" thickBot="1" x14ac:dyDescent="0.3">
      <c r="A45" s="16"/>
      <c r="B45" s="93" t="s">
        <v>20</v>
      </c>
      <c r="C45" s="94"/>
      <c r="D45" s="94"/>
      <c r="E45" s="94"/>
      <c r="F45" s="94"/>
      <c r="G45" s="95">
        <v>10</v>
      </c>
      <c r="H45" s="96"/>
      <c r="I45" s="95"/>
      <c r="J45" s="96"/>
      <c r="K45" s="13"/>
      <c r="L45" s="15"/>
    </row>
    <row r="46" spans="1:12" ht="15.75" thickBot="1" x14ac:dyDescent="0.3">
      <c r="A46" s="16"/>
      <c r="B46" s="101" t="s">
        <v>21</v>
      </c>
      <c r="C46" s="101"/>
      <c r="D46" s="101"/>
      <c r="E46" s="101"/>
      <c r="F46" s="93"/>
      <c r="G46" s="102">
        <v>0</v>
      </c>
      <c r="H46" s="103"/>
      <c r="I46" s="104"/>
      <c r="J46" s="105"/>
      <c r="K46" s="13"/>
      <c r="L46" s="15"/>
    </row>
    <row r="47" spans="1:12" ht="15.75" thickBot="1" x14ac:dyDescent="0.3">
      <c r="A47" s="16"/>
      <c r="B47" s="93" t="s">
        <v>22</v>
      </c>
      <c r="C47" s="94"/>
      <c r="D47" s="94"/>
      <c r="E47" s="94"/>
      <c r="F47" s="94"/>
      <c r="G47" s="100">
        <f>L41+G46</f>
        <v>7</v>
      </c>
      <c r="H47" s="96"/>
      <c r="I47" s="95"/>
      <c r="J47" s="96"/>
      <c r="K47" s="13"/>
      <c r="L47" s="15"/>
    </row>
    <row r="48" spans="1:12" ht="15.75" thickBot="1" x14ac:dyDescent="0.3">
      <c r="A48" s="5"/>
      <c r="B48" s="93" t="s">
        <v>23</v>
      </c>
      <c r="C48" s="94"/>
      <c r="D48" s="94"/>
      <c r="E48" s="94"/>
      <c r="F48" s="94"/>
      <c r="G48" s="100">
        <f>G44+G45-G47</f>
        <v>13</v>
      </c>
      <c r="H48" s="96"/>
      <c r="I48" s="95"/>
      <c r="J48" s="96"/>
      <c r="K48" s="13"/>
      <c r="L48" s="4"/>
    </row>
    <row r="49" spans="1:12" ht="15.75" thickBot="1" x14ac:dyDescent="0.3">
      <c r="A49" s="5"/>
      <c r="B49" s="93" t="s">
        <v>24</v>
      </c>
      <c r="C49" s="94"/>
      <c r="D49" s="94"/>
      <c r="E49" s="94"/>
      <c r="F49" s="94"/>
      <c r="G49" s="95">
        <v>13</v>
      </c>
      <c r="H49" s="96"/>
      <c r="I49" s="95"/>
      <c r="J49" s="96"/>
      <c r="K49" s="13"/>
      <c r="L49" s="4"/>
    </row>
    <row r="50" spans="1:12" ht="15.75" thickBot="1" x14ac:dyDescent="0.3">
      <c r="A50" s="5"/>
      <c r="B50" s="93" t="s">
        <v>25</v>
      </c>
      <c r="C50" s="94"/>
      <c r="D50" s="94"/>
      <c r="E50" s="94"/>
      <c r="F50" s="94"/>
      <c r="G50" s="97">
        <f>G48-G49</f>
        <v>0</v>
      </c>
      <c r="H50" s="98"/>
      <c r="I50" s="99"/>
      <c r="J50" s="98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4" workbookViewId="0">
      <selection activeCell="M47" sqref="M47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3" t="s">
        <v>0</v>
      </c>
      <c r="B1" s="113"/>
      <c r="C1" s="113"/>
      <c r="D1" s="113"/>
      <c r="E1" s="38"/>
      <c r="F1" s="39"/>
      <c r="G1" s="114" t="s">
        <v>1</v>
      </c>
      <c r="H1" s="114"/>
      <c r="I1" s="114"/>
      <c r="J1" s="114"/>
      <c r="K1" s="114"/>
      <c r="L1" s="114"/>
    </row>
    <row r="2" spans="1:12" ht="15.75" x14ac:dyDescent="0.25">
      <c r="A2" s="114" t="s">
        <v>2</v>
      </c>
      <c r="B2" s="114"/>
      <c r="C2" s="114"/>
      <c r="D2" s="114"/>
      <c r="E2" s="38"/>
      <c r="F2" s="39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8"/>
      <c r="F3" s="39"/>
      <c r="G3" s="39"/>
      <c r="H3" s="125" t="s">
        <v>28</v>
      </c>
      <c r="I3" s="125"/>
      <c r="J3" s="125"/>
      <c r="K3" s="125"/>
      <c r="L3" s="2"/>
    </row>
    <row r="4" spans="1:12" ht="4.5" customHeight="1" x14ac:dyDescent="0.25">
      <c r="A4" s="70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3" t="s">
        <v>5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</row>
    <row r="6" spans="1:12" ht="15.75" x14ac:dyDescent="0.25">
      <c r="A6" s="114" t="s">
        <v>36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</row>
    <row r="7" spans="1:12" ht="3" customHeight="1" thickBot="1" x14ac:dyDescent="0.3">
      <c r="A7" s="69" t="s">
        <v>34</v>
      </c>
      <c r="B7" s="13"/>
      <c r="C7" s="14"/>
      <c r="D7" s="14"/>
      <c r="E7" s="14"/>
      <c r="F7" s="13"/>
      <c r="G7" s="13"/>
      <c r="H7" s="116"/>
      <c r="I7" s="116"/>
      <c r="J7" s="14"/>
      <c r="K7" s="40"/>
      <c r="L7" s="4"/>
    </row>
    <row r="8" spans="1:12" x14ac:dyDescent="0.25">
      <c r="A8" s="117" t="s">
        <v>7</v>
      </c>
      <c r="B8" s="119" t="s">
        <v>8</v>
      </c>
      <c r="C8" s="120"/>
      <c r="D8" s="120"/>
      <c r="E8" s="120"/>
      <c r="F8" s="121"/>
      <c r="G8" s="122" t="s">
        <v>9</v>
      </c>
      <c r="H8" s="120"/>
      <c r="I8" s="120"/>
      <c r="J8" s="120"/>
      <c r="K8" s="121"/>
      <c r="L8" s="123" t="s">
        <v>10</v>
      </c>
    </row>
    <row r="9" spans="1:12" ht="15.75" thickBot="1" x14ac:dyDescent="0.3">
      <c r="A9" s="118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4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>
        <v>1</v>
      </c>
      <c r="C13" s="25"/>
      <c r="D13" s="25"/>
      <c r="E13" s="26"/>
      <c r="F13" s="20">
        <f t="shared" si="0"/>
        <v>1</v>
      </c>
      <c r="G13" s="34"/>
      <c r="H13" s="25"/>
      <c r="I13" s="25"/>
      <c r="J13" s="25"/>
      <c r="K13" s="18">
        <f t="shared" si="1"/>
        <v>0</v>
      </c>
      <c r="L13" s="8">
        <f t="shared" si="2"/>
        <v>1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>
        <v>2</v>
      </c>
      <c r="H23" s="25"/>
      <c r="I23" s="25"/>
      <c r="J23" s="25"/>
      <c r="K23" s="18">
        <f t="shared" si="1"/>
        <v>2</v>
      </c>
      <c r="L23" s="8">
        <f t="shared" si="2"/>
        <v>2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>
        <v>2</v>
      </c>
      <c r="H26" s="25"/>
      <c r="I26" s="25"/>
      <c r="J26" s="25"/>
      <c r="K26" s="18">
        <f t="shared" si="1"/>
        <v>2</v>
      </c>
      <c r="L26" s="8">
        <f t="shared" si="2"/>
        <v>2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>
        <v>1</v>
      </c>
      <c r="H29" s="25"/>
      <c r="I29" s="25"/>
      <c r="J29" s="25"/>
      <c r="K29" s="18">
        <f t="shared" si="1"/>
        <v>1</v>
      </c>
      <c r="L29" s="8">
        <f t="shared" si="2"/>
        <v>1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>
        <v>1</v>
      </c>
      <c r="H37" s="25"/>
      <c r="I37" s="25"/>
      <c r="J37" s="25"/>
      <c r="K37" s="18">
        <f t="shared" si="1"/>
        <v>1</v>
      </c>
      <c r="L37" s="8">
        <f t="shared" si="2"/>
        <v>1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72">
        <f>SUM(B10:B40)</f>
        <v>1</v>
      </c>
      <c r="C41" s="72">
        <f t="shared" ref="C41:E41" si="3">SUM(C10:C40)</f>
        <v>0</v>
      </c>
      <c r="D41" s="72">
        <f t="shared" si="3"/>
        <v>0</v>
      </c>
      <c r="E41" s="72">
        <f t="shared" si="3"/>
        <v>0</v>
      </c>
      <c r="F41" s="71">
        <f>SUM(F10:F40)</f>
        <v>1</v>
      </c>
      <c r="G41" s="19">
        <f>SUM(G10:G40)</f>
        <v>6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6</v>
      </c>
      <c r="L41" s="19">
        <f t="shared" si="4"/>
        <v>7</v>
      </c>
    </row>
    <row r="42" spans="1:12" ht="4.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6"/>
      <c r="B43" s="106"/>
      <c r="C43" s="106"/>
      <c r="D43" s="106"/>
      <c r="E43" s="106"/>
      <c r="F43" s="106"/>
      <c r="G43" s="107" t="s">
        <v>17</v>
      </c>
      <c r="H43" s="108"/>
      <c r="I43" s="108" t="s">
        <v>18</v>
      </c>
      <c r="J43" s="109"/>
      <c r="K43" s="13"/>
      <c r="L43" s="15"/>
    </row>
    <row r="44" spans="1:12" ht="15.75" thickBot="1" x14ac:dyDescent="0.3">
      <c r="A44" s="16"/>
      <c r="B44" s="93" t="s">
        <v>19</v>
      </c>
      <c r="C44" s="94"/>
      <c r="D44" s="94"/>
      <c r="E44" s="94"/>
      <c r="F44" s="94"/>
      <c r="G44" s="104">
        <v>13</v>
      </c>
      <c r="H44" s="110"/>
      <c r="I44" s="111"/>
      <c r="J44" s="112"/>
      <c r="K44" s="13"/>
      <c r="L44" s="15"/>
    </row>
    <row r="45" spans="1:12" ht="15.75" thickBot="1" x14ac:dyDescent="0.3">
      <c r="A45" s="16"/>
      <c r="B45" s="93" t="s">
        <v>20</v>
      </c>
      <c r="C45" s="94"/>
      <c r="D45" s="94"/>
      <c r="E45" s="94"/>
      <c r="F45" s="94"/>
      <c r="G45" s="95">
        <v>0</v>
      </c>
      <c r="H45" s="96"/>
      <c r="I45" s="95"/>
      <c r="J45" s="96"/>
      <c r="K45" s="13"/>
      <c r="L45" s="15"/>
    </row>
    <row r="46" spans="1:12" ht="15.75" thickBot="1" x14ac:dyDescent="0.3">
      <c r="A46" s="16"/>
      <c r="B46" s="101" t="s">
        <v>21</v>
      </c>
      <c r="C46" s="101"/>
      <c r="D46" s="101"/>
      <c r="E46" s="101"/>
      <c r="F46" s="93"/>
      <c r="G46" s="102">
        <v>0</v>
      </c>
      <c r="H46" s="103"/>
      <c r="I46" s="104"/>
      <c r="J46" s="105"/>
      <c r="K46" s="13"/>
      <c r="L46" s="15"/>
    </row>
    <row r="47" spans="1:12" ht="15.75" thickBot="1" x14ac:dyDescent="0.3">
      <c r="A47" s="16"/>
      <c r="B47" s="93" t="s">
        <v>22</v>
      </c>
      <c r="C47" s="94"/>
      <c r="D47" s="94"/>
      <c r="E47" s="94"/>
      <c r="F47" s="94"/>
      <c r="G47" s="100">
        <f>L41+G46</f>
        <v>7</v>
      </c>
      <c r="H47" s="96"/>
      <c r="I47" s="95"/>
      <c r="J47" s="96"/>
      <c r="K47" s="13"/>
      <c r="L47" s="15"/>
    </row>
    <row r="48" spans="1:12" ht="15.75" thickBot="1" x14ac:dyDescent="0.3">
      <c r="A48" s="5"/>
      <c r="B48" s="93" t="s">
        <v>23</v>
      </c>
      <c r="C48" s="94"/>
      <c r="D48" s="94"/>
      <c r="E48" s="94"/>
      <c r="F48" s="94"/>
      <c r="G48" s="100">
        <f>G44+G45-G47</f>
        <v>6</v>
      </c>
      <c r="H48" s="96"/>
      <c r="I48" s="95"/>
      <c r="J48" s="96"/>
      <c r="K48" s="13"/>
      <c r="L48" s="4"/>
    </row>
    <row r="49" spans="1:12" ht="15.75" thickBot="1" x14ac:dyDescent="0.3">
      <c r="A49" s="5"/>
      <c r="B49" s="93" t="s">
        <v>24</v>
      </c>
      <c r="C49" s="94"/>
      <c r="D49" s="94"/>
      <c r="E49" s="94"/>
      <c r="F49" s="94"/>
      <c r="G49" s="95">
        <v>6</v>
      </c>
      <c r="H49" s="96"/>
      <c r="I49" s="95"/>
      <c r="J49" s="96"/>
      <c r="K49" s="13"/>
      <c r="L49" s="4"/>
    </row>
    <row r="50" spans="1:12" ht="15.75" thickBot="1" x14ac:dyDescent="0.3">
      <c r="A50" s="5"/>
      <c r="B50" s="93" t="s">
        <v>25</v>
      </c>
      <c r="C50" s="94"/>
      <c r="D50" s="94"/>
      <c r="E50" s="94"/>
      <c r="F50" s="94"/>
      <c r="G50" s="97">
        <f>G48-G49</f>
        <v>0</v>
      </c>
      <c r="H50" s="98"/>
      <c r="I50" s="99"/>
      <c r="J50" s="98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4" workbookViewId="0">
      <selection activeCell="A7" sqref="A7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3" t="s">
        <v>0</v>
      </c>
      <c r="B1" s="113"/>
      <c r="C1" s="113"/>
      <c r="D1" s="113"/>
      <c r="E1" s="38"/>
      <c r="F1" s="39"/>
      <c r="G1" s="114" t="s">
        <v>1</v>
      </c>
      <c r="H1" s="114"/>
      <c r="I1" s="114"/>
      <c r="J1" s="114"/>
      <c r="K1" s="114"/>
      <c r="L1" s="114"/>
    </row>
    <row r="2" spans="1:12" ht="15.75" x14ac:dyDescent="0.25">
      <c r="A2" s="114" t="s">
        <v>2</v>
      </c>
      <c r="B2" s="114"/>
      <c r="C2" s="114"/>
      <c r="D2" s="114"/>
      <c r="E2" s="38"/>
      <c r="F2" s="39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8"/>
      <c r="F3" s="39"/>
      <c r="G3" s="39"/>
      <c r="H3" s="125" t="s">
        <v>28</v>
      </c>
      <c r="I3" s="125"/>
      <c r="J3" s="125"/>
      <c r="K3" s="125"/>
      <c r="L3" s="2"/>
    </row>
    <row r="4" spans="1:12" ht="4.5" customHeight="1" x14ac:dyDescent="0.25">
      <c r="A4" s="76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3" t="s">
        <v>5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</row>
    <row r="6" spans="1:12" ht="15.75" x14ac:dyDescent="0.25">
      <c r="A6" s="114" t="s">
        <v>37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</row>
    <row r="7" spans="1:12" ht="3" customHeight="1" thickBot="1" x14ac:dyDescent="0.3">
      <c r="A7" s="75" t="s">
        <v>34</v>
      </c>
      <c r="B7" s="13"/>
      <c r="C7" s="14"/>
      <c r="D7" s="14"/>
      <c r="E7" s="14"/>
      <c r="F7" s="13"/>
      <c r="G7" s="13"/>
      <c r="H7" s="116"/>
      <c r="I7" s="116"/>
      <c r="J7" s="14"/>
      <c r="K7" s="40"/>
      <c r="L7" s="4"/>
    </row>
    <row r="8" spans="1:12" x14ac:dyDescent="0.25">
      <c r="A8" s="117" t="s">
        <v>7</v>
      </c>
      <c r="B8" s="119" t="s">
        <v>8</v>
      </c>
      <c r="C8" s="120"/>
      <c r="D8" s="120"/>
      <c r="E8" s="120"/>
      <c r="F8" s="121"/>
      <c r="G8" s="122" t="s">
        <v>9</v>
      </c>
      <c r="H8" s="120"/>
      <c r="I8" s="120"/>
      <c r="J8" s="120"/>
      <c r="K8" s="121"/>
      <c r="L8" s="123" t="s">
        <v>10</v>
      </c>
    </row>
    <row r="9" spans="1:12" ht="15.75" thickBot="1" x14ac:dyDescent="0.3">
      <c r="A9" s="118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4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>
        <v>1</v>
      </c>
      <c r="C31" s="25"/>
      <c r="D31" s="25"/>
      <c r="E31" s="26"/>
      <c r="F31" s="20">
        <f t="shared" si="0"/>
        <v>1</v>
      </c>
      <c r="G31" s="33"/>
      <c r="H31" s="25"/>
      <c r="I31" s="25"/>
      <c r="J31" s="25"/>
      <c r="K31" s="18">
        <f t="shared" si="1"/>
        <v>0</v>
      </c>
      <c r="L31" s="8">
        <f t="shared" si="2"/>
        <v>1</v>
      </c>
    </row>
    <row r="32" spans="1:12" ht="15.75" thickBot="1" x14ac:dyDescent="0.3">
      <c r="A32" s="9">
        <v>23</v>
      </c>
      <c r="B32" s="24">
        <v>1</v>
      </c>
      <c r="C32" s="25"/>
      <c r="D32" s="25"/>
      <c r="E32" s="26"/>
      <c r="F32" s="20">
        <f t="shared" si="0"/>
        <v>1</v>
      </c>
      <c r="G32" s="33"/>
      <c r="H32" s="25"/>
      <c r="I32" s="25"/>
      <c r="J32" s="25"/>
      <c r="K32" s="18">
        <f t="shared" si="1"/>
        <v>0</v>
      </c>
      <c r="L32" s="8">
        <f t="shared" si="2"/>
        <v>1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74">
        <f>SUM(B10:B40)</f>
        <v>2</v>
      </c>
      <c r="C41" s="74">
        <f t="shared" ref="C41:E41" si="3">SUM(C10:C40)</f>
        <v>0</v>
      </c>
      <c r="D41" s="74">
        <f t="shared" si="3"/>
        <v>0</v>
      </c>
      <c r="E41" s="74">
        <f t="shared" si="3"/>
        <v>0</v>
      </c>
      <c r="F41" s="73">
        <f>SUM(F10:F40)</f>
        <v>2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2</v>
      </c>
    </row>
    <row r="42" spans="1:12" ht="4.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6"/>
      <c r="B43" s="106"/>
      <c r="C43" s="106"/>
      <c r="D43" s="106"/>
      <c r="E43" s="106"/>
      <c r="F43" s="106"/>
      <c r="G43" s="107" t="s">
        <v>17</v>
      </c>
      <c r="H43" s="108"/>
      <c r="I43" s="108" t="s">
        <v>18</v>
      </c>
      <c r="J43" s="109"/>
      <c r="K43" s="13"/>
      <c r="L43" s="15"/>
    </row>
    <row r="44" spans="1:12" ht="15.75" thickBot="1" x14ac:dyDescent="0.3">
      <c r="A44" s="16"/>
      <c r="B44" s="93" t="s">
        <v>19</v>
      </c>
      <c r="C44" s="94"/>
      <c r="D44" s="94"/>
      <c r="E44" s="94"/>
      <c r="F44" s="94"/>
      <c r="G44" s="104">
        <v>6</v>
      </c>
      <c r="H44" s="110"/>
      <c r="I44" s="111"/>
      <c r="J44" s="112"/>
      <c r="K44" s="13"/>
      <c r="L44" s="15"/>
    </row>
    <row r="45" spans="1:12" ht="15.75" thickBot="1" x14ac:dyDescent="0.3">
      <c r="A45" s="16"/>
      <c r="B45" s="93" t="s">
        <v>20</v>
      </c>
      <c r="C45" s="94"/>
      <c r="D45" s="94"/>
      <c r="E45" s="94"/>
      <c r="F45" s="94"/>
      <c r="G45" s="95">
        <v>0</v>
      </c>
      <c r="H45" s="96"/>
      <c r="I45" s="95"/>
      <c r="J45" s="96"/>
      <c r="K45" s="13"/>
      <c r="L45" s="15"/>
    </row>
    <row r="46" spans="1:12" ht="15.75" thickBot="1" x14ac:dyDescent="0.3">
      <c r="A46" s="16"/>
      <c r="B46" s="101" t="s">
        <v>21</v>
      </c>
      <c r="C46" s="101"/>
      <c r="D46" s="101"/>
      <c r="E46" s="101"/>
      <c r="F46" s="93"/>
      <c r="G46" s="102">
        <v>0</v>
      </c>
      <c r="H46" s="103"/>
      <c r="I46" s="104"/>
      <c r="J46" s="105"/>
      <c r="K46" s="13"/>
      <c r="L46" s="15"/>
    </row>
    <row r="47" spans="1:12" ht="15.75" thickBot="1" x14ac:dyDescent="0.3">
      <c r="A47" s="16"/>
      <c r="B47" s="93" t="s">
        <v>22</v>
      </c>
      <c r="C47" s="94"/>
      <c r="D47" s="94"/>
      <c r="E47" s="94"/>
      <c r="F47" s="94"/>
      <c r="G47" s="100">
        <f>L41+G46</f>
        <v>2</v>
      </c>
      <c r="H47" s="96"/>
      <c r="I47" s="95"/>
      <c r="J47" s="96"/>
      <c r="K47" s="13"/>
      <c r="L47" s="15"/>
    </row>
    <row r="48" spans="1:12" ht="15.75" thickBot="1" x14ac:dyDescent="0.3">
      <c r="A48" s="5"/>
      <c r="B48" s="93" t="s">
        <v>23</v>
      </c>
      <c r="C48" s="94"/>
      <c r="D48" s="94"/>
      <c r="E48" s="94"/>
      <c r="F48" s="94"/>
      <c r="G48" s="100">
        <f>G44+G45-G47</f>
        <v>4</v>
      </c>
      <c r="H48" s="96"/>
      <c r="I48" s="95"/>
      <c r="J48" s="96"/>
      <c r="K48" s="13"/>
      <c r="L48" s="4"/>
    </row>
    <row r="49" spans="1:12" ht="15.75" thickBot="1" x14ac:dyDescent="0.3">
      <c r="A49" s="5"/>
      <c r="B49" s="93" t="s">
        <v>24</v>
      </c>
      <c r="C49" s="94"/>
      <c r="D49" s="94"/>
      <c r="E49" s="94"/>
      <c r="F49" s="94"/>
      <c r="G49" s="95">
        <v>4</v>
      </c>
      <c r="H49" s="96"/>
      <c r="I49" s="95"/>
      <c r="J49" s="96"/>
      <c r="K49" s="13"/>
      <c r="L49" s="4"/>
    </row>
    <row r="50" spans="1:12" ht="15.75" thickBot="1" x14ac:dyDescent="0.3">
      <c r="A50" s="5"/>
      <c r="B50" s="93" t="s">
        <v>25</v>
      </c>
      <c r="C50" s="94"/>
      <c r="D50" s="94"/>
      <c r="E50" s="94"/>
      <c r="F50" s="94"/>
      <c r="G50" s="97">
        <f>G48-G49</f>
        <v>0</v>
      </c>
      <c r="H50" s="98"/>
      <c r="I50" s="99"/>
      <c r="J50" s="98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H3:K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1" workbookViewId="0">
      <selection activeCell="G48" sqref="G48:H48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3" t="s">
        <v>0</v>
      </c>
      <c r="B1" s="113"/>
      <c r="C1" s="113"/>
      <c r="D1" s="113"/>
      <c r="E1" s="38"/>
      <c r="F1" s="39"/>
      <c r="G1" s="114" t="s">
        <v>1</v>
      </c>
      <c r="H1" s="114"/>
      <c r="I1" s="114"/>
      <c r="J1" s="114"/>
      <c r="K1" s="114"/>
      <c r="L1" s="114"/>
    </row>
    <row r="2" spans="1:12" ht="15.75" x14ac:dyDescent="0.25">
      <c r="A2" s="114" t="s">
        <v>2</v>
      </c>
      <c r="B2" s="114"/>
      <c r="C2" s="114"/>
      <c r="D2" s="114"/>
      <c r="E2" s="38"/>
      <c r="F2" s="39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8"/>
      <c r="F3" s="39"/>
      <c r="G3" s="39"/>
      <c r="H3" s="125" t="s">
        <v>28</v>
      </c>
      <c r="I3" s="125"/>
      <c r="J3" s="125"/>
      <c r="K3" s="125"/>
      <c r="L3" s="2"/>
    </row>
    <row r="4" spans="1:12" ht="4.5" customHeight="1" x14ac:dyDescent="0.25">
      <c r="A4" s="78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3" t="s">
        <v>5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</row>
    <row r="6" spans="1:12" ht="15.75" x14ac:dyDescent="0.25">
      <c r="A6" s="114" t="s">
        <v>38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</row>
    <row r="7" spans="1:12" ht="3" customHeight="1" thickBot="1" x14ac:dyDescent="0.3">
      <c r="A7" s="77" t="s">
        <v>34</v>
      </c>
      <c r="B7" s="13"/>
      <c r="C7" s="14"/>
      <c r="D7" s="14"/>
      <c r="E7" s="14"/>
      <c r="F7" s="13"/>
      <c r="G7" s="13"/>
      <c r="H7" s="116"/>
      <c r="I7" s="116"/>
      <c r="J7" s="14"/>
      <c r="K7" s="40"/>
      <c r="L7" s="4"/>
    </row>
    <row r="8" spans="1:12" x14ac:dyDescent="0.25">
      <c r="A8" s="117" t="s">
        <v>7</v>
      </c>
      <c r="B8" s="119" t="s">
        <v>8</v>
      </c>
      <c r="C8" s="120"/>
      <c r="D8" s="120"/>
      <c r="E8" s="120"/>
      <c r="F8" s="121"/>
      <c r="G8" s="122" t="s">
        <v>9</v>
      </c>
      <c r="H8" s="120"/>
      <c r="I8" s="120"/>
      <c r="J8" s="120"/>
      <c r="K8" s="121"/>
      <c r="L8" s="123" t="s">
        <v>10</v>
      </c>
    </row>
    <row r="9" spans="1:12" ht="15.75" thickBot="1" x14ac:dyDescent="0.3">
      <c r="A9" s="118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4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>
        <v>1</v>
      </c>
      <c r="C38" s="25"/>
      <c r="D38" s="25"/>
      <c r="E38" s="26"/>
      <c r="F38" s="20">
        <f t="shared" si="0"/>
        <v>1</v>
      </c>
      <c r="G38" s="33">
        <v>2</v>
      </c>
      <c r="H38" s="25"/>
      <c r="I38" s="25"/>
      <c r="J38" s="25"/>
      <c r="K38" s="18">
        <f t="shared" si="1"/>
        <v>2</v>
      </c>
      <c r="L38" s="8">
        <f t="shared" si="2"/>
        <v>3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80">
        <f>SUM(B10:B40)</f>
        <v>1</v>
      </c>
      <c r="C41" s="80">
        <f t="shared" ref="C41:E41" si="3">SUM(C10:C40)</f>
        <v>0</v>
      </c>
      <c r="D41" s="80">
        <f t="shared" si="3"/>
        <v>0</v>
      </c>
      <c r="E41" s="80">
        <f t="shared" si="3"/>
        <v>0</v>
      </c>
      <c r="F41" s="79">
        <f>SUM(F10:F40)</f>
        <v>1</v>
      </c>
      <c r="G41" s="19">
        <f>SUM(G10:G40)</f>
        <v>2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2</v>
      </c>
      <c r="L41" s="19">
        <f t="shared" si="4"/>
        <v>3</v>
      </c>
    </row>
    <row r="42" spans="1:12" ht="4.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6"/>
      <c r="B43" s="106"/>
      <c r="C43" s="106"/>
      <c r="D43" s="106"/>
      <c r="E43" s="106"/>
      <c r="F43" s="106"/>
      <c r="G43" s="107" t="s">
        <v>17</v>
      </c>
      <c r="H43" s="108"/>
      <c r="I43" s="108" t="s">
        <v>18</v>
      </c>
      <c r="J43" s="109"/>
      <c r="K43" s="13"/>
      <c r="L43" s="15"/>
    </row>
    <row r="44" spans="1:12" ht="15.75" thickBot="1" x14ac:dyDescent="0.3">
      <c r="A44" s="16"/>
      <c r="B44" s="93" t="s">
        <v>19</v>
      </c>
      <c r="C44" s="94"/>
      <c r="D44" s="94"/>
      <c r="E44" s="94"/>
      <c r="F44" s="94"/>
      <c r="G44" s="104">
        <v>4</v>
      </c>
      <c r="H44" s="110"/>
      <c r="I44" s="111"/>
      <c r="J44" s="112"/>
      <c r="K44" s="13"/>
      <c r="L44" s="15"/>
    </row>
    <row r="45" spans="1:12" ht="15.75" thickBot="1" x14ac:dyDescent="0.3">
      <c r="A45" s="16"/>
      <c r="B45" s="93" t="s">
        <v>20</v>
      </c>
      <c r="C45" s="94"/>
      <c r="D45" s="94"/>
      <c r="E45" s="94"/>
      <c r="F45" s="94"/>
      <c r="G45" s="95">
        <v>0</v>
      </c>
      <c r="H45" s="96"/>
      <c r="I45" s="95"/>
      <c r="J45" s="96"/>
      <c r="K45" s="13"/>
      <c r="L45" s="15"/>
    </row>
    <row r="46" spans="1:12" ht="15.75" thickBot="1" x14ac:dyDescent="0.3">
      <c r="A46" s="16"/>
      <c r="B46" s="101" t="s">
        <v>21</v>
      </c>
      <c r="C46" s="101"/>
      <c r="D46" s="101"/>
      <c r="E46" s="101"/>
      <c r="F46" s="93"/>
      <c r="G46" s="102">
        <v>0</v>
      </c>
      <c r="H46" s="103"/>
      <c r="I46" s="104"/>
      <c r="J46" s="105"/>
      <c r="K46" s="13"/>
      <c r="L46" s="15"/>
    </row>
    <row r="47" spans="1:12" ht="15.75" thickBot="1" x14ac:dyDescent="0.3">
      <c r="A47" s="16"/>
      <c r="B47" s="93" t="s">
        <v>22</v>
      </c>
      <c r="C47" s="94"/>
      <c r="D47" s="94"/>
      <c r="E47" s="94"/>
      <c r="F47" s="94"/>
      <c r="G47" s="100">
        <f>L41+G46</f>
        <v>3</v>
      </c>
      <c r="H47" s="96"/>
      <c r="I47" s="95"/>
      <c r="J47" s="96"/>
      <c r="K47" s="13"/>
      <c r="L47" s="15"/>
    </row>
    <row r="48" spans="1:12" ht="15.75" thickBot="1" x14ac:dyDescent="0.3">
      <c r="A48" s="5"/>
      <c r="B48" s="93" t="s">
        <v>23</v>
      </c>
      <c r="C48" s="94"/>
      <c r="D48" s="94"/>
      <c r="E48" s="94"/>
      <c r="F48" s="94"/>
      <c r="G48" s="100">
        <f>G44+G45-G47</f>
        <v>1</v>
      </c>
      <c r="H48" s="96"/>
      <c r="I48" s="95"/>
      <c r="J48" s="96"/>
      <c r="K48" s="13"/>
      <c r="L48" s="4"/>
    </row>
    <row r="49" spans="1:12" ht="15.75" thickBot="1" x14ac:dyDescent="0.3">
      <c r="A49" s="5"/>
      <c r="B49" s="93" t="s">
        <v>24</v>
      </c>
      <c r="C49" s="94"/>
      <c r="D49" s="94"/>
      <c r="E49" s="94"/>
      <c r="F49" s="94"/>
      <c r="G49" s="95">
        <v>1</v>
      </c>
      <c r="H49" s="96"/>
      <c r="I49" s="95"/>
      <c r="J49" s="96"/>
      <c r="K49" s="13"/>
      <c r="L49" s="4"/>
    </row>
    <row r="50" spans="1:12" ht="15.75" thickBot="1" x14ac:dyDescent="0.3">
      <c r="A50" s="5"/>
      <c r="B50" s="93" t="s">
        <v>25</v>
      </c>
      <c r="C50" s="94"/>
      <c r="D50" s="94"/>
      <c r="E50" s="94"/>
      <c r="F50" s="94"/>
      <c r="G50" s="97">
        <f>G48-G49</f>
        <v>0</v>
      </c>
      <c r="H50" s="98"/>
      <c r="I50" s="99"/>
      <c r="J50" s="98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43" workbookViewId="0">
      <selection activeCell="G49" sqref="G49:H49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3" t="s">
        <v>0</v>
      </c>
      <c r="B1" s="113"/>
      <c r="C1" s="113"/>
      <c r="D1" s="113"/>
      <c r="E1" s="38"/>
      <c r="F1" s="39"/>
      <c r="G1" s="114" t="s">
        <v>1</v>
      </c>
      <c r="H1" s="114"/>
      <c r="I1" s="114"/>
      <c r="J1" s="114"/>
      <c r="K1" s="114"/>
      <c r="L1" s="114"/>
    </row>
    <row r="2" spans="1:12" ht="15.75" x14ac:dyDescent="0.25">
      <c r="A2" s="114" t="s">
        <v>2</v>
      </c>
      <c r="B2" s="114"/>
      <c r="C2" s="114"/>
      <c r="D2" s="114"/>
      <c r="E2" s="38"/>
      <c r="F2" s="39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8"/>
      <c r="F3" s="39"/>
      <c r="G3" s="39"/>
      <c r="H3" s="125" t="s">
        <v>28</v>
      </c>
      <c r="I3" s="125"/>
      <c r="J3" s="125"/>
      <c r="K3" s="125"/>
      <c r="L3" s="2"/>
    </row>
    <row r="4" spans="1:12" ht="4.5" customHeight="1" x14ac:dyDescent="0.25">
      <c r="A4" s="82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3" t="s">
        <v>5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</row>
    <row r="6" spans="1:12" ht="15.75" x14ac:dyDescent="0.25">
      <c r="A6" s="114" t="s">
        <v>39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</row>
    <row r="7" spans="1:12" ht="3" customHeight="1" thickBot="1" x14ac:dyDescent="0.3">
      <c r="A7" s="81" t="s">
        <v>34</v>
      </c>
      <c r="B7" s="13"/>
      <c r="C7" s="14"/>
      <c r="D7" s="14"/>
      <c r="E7" s="14"/>
      <c r="F7" s="13"/>
      <c r="G7" s="13"/>
      <c r="H7" s="116"/>
      <c r="I7" s="116"/>
      <c r="J7" s="14"/>
      <c r="K7" s="40"/>
      <c r="L7" s="4"/>
    </row>
    <row r="8" spans="1:12" x14ac:dyDescent="0.25">
      <c r="A8" s="117" t="s">
        <v>7</v>
      </c>
      <c r="B8" s="119" t="s">
        <v>8</v>
      </c>
      <c r="C8" s="120"/>
      <c r="D8" s="120"/>
      <c r="E8" s="120"/>
      <c r="F8" s="121"/>
      <c r="G8" s="122" t="s">
        <v>9</v>
      </c>
      <c r="H8" s="120"/>
      <c r="I8" s="120"/>
      <c r="J8" s="120"/>
      <c r="K8" s="121"/>
      <c r="L8" s="123" t="s">
        <v>10</v>
      </c>
    </row>
    <row r="9" spans="1:12" ht="15.75" thickBot="1" x14ac:dyDescent="0.3">
      <c r="A9" s="118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4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84">
        <f>SUM(B10:B40)</f>
        <v>0</v>
      </c>
      <c r="C41" s="84">
        <f t="shared" ref="C41:E41" si="3">SUM(C10:C40)</f>
        <v>0</v>
      </c>
      <c r="D41" s="84">
        <f t="shared" si="3"/>
        <v>0</v>
      </c>
      <c r="E41" s="84">
        <f t="shared" si="3"/>
        <v>0</v>
      </c>
      <c r="F41" s="83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4.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6"/>
      <c r="B43" s="106"/>
      <c r="C43" s="106"/>
      <c r="D43" s="106"/>
      <c r="E43" s="106"/>
      <c r="F43" s="106"/>
      <c r="G43" s="107" t="s">
        <v>17</v>
      </c>
      <c r="H43" s="108"/>
      <c r="I43" s="108" t="s">
        <v>18</v>
      </c>
      <c r="J43" s="109"/>
      <c r="K43" s="13"/>
      <c r="L43" s="15"/>
    </row>
    <row r="44" spans="1:12" ht="15.75" thickBot="1" x14ac:dyDescent="0.3">
      <c r="A44" s="16"/>
      <c r="B44" s="93" t="s">
        <v>19</v>
      </c>
      <c r="C44" s="94"/>
      <c r="D44" s="94"/>
      <c r="E44" s="94"/>
      <c r="F44" s="94"/>
      <c r="G44" s="104">
        <v>1</v>
      </c>
      <c r="H44" s="110"/>
      <c r="I44" s="111"/>
      <c r="J44" s="112"/>
      <c r="K44" s="13"/>
      <c r="L44" s="15"/>
    </row>
    <row r="45" spans="1:12" ht="15.75" thickBot="1" x14ac:dyDescent="0.3">
      <c r="A45" s="16"/>
      <c r="B45" s="93" t="s">
        <v>20</v>
      </c>
      <c r="C45" s="94"/>
      <c r="D45" s="94"/>
      <c r="E45" s="94"/>
      <c r="F45" s="94"/>
      <c r="G45" s="95">
        <v>10</v>
      </c>
      <c r="H45" s="96"/>
      <c r="I45" s="95"/>
      <c r="J45" s="96"/>
      <c r="K45" s="13"/>
      <c r="L45" s="15"/>
    </row>
    <row r="46" spans="1:12" ht="15.75" thickBot="1" x14ac:dyDescent="0.3">
      <c r="A46" s="16"/>
      <c r="B46" s="101" t="s">
        <v>21</v>
      </c>
      <c r="C46" s="101"/>
      <c r="D46" s="101"/>
      <c r="E46" s="101"/>
      <c r="F46" s="93"/>
      <c r="G46" s="102">
        <v>0</v>
      </c>
      <c r="H46" s="103"/>
      <c r="I46" s="104"/>
      <c r="J46" s="105"/>
      <c r="K46" s="13"/>
      <c r="L46" s="15"/>
    </row>
    <row r="47" spans="1:12" ht="15.75" thickBot="1" x14ac:dyDescent="0.3">
      <c r="A47" s="16"/>
      <c r="B47" s="93" t="s">
        <v>22</v>
      </c>
      <c r="C47" s="94"/>
      <c r="D47" s="94"/>
      <c r="E47" s="94"/>
      <c r="F47" s="94"/>
      <c r="G47" s="100">
        <f>L41+G46</f>
        <v>0</v>
      </c>
      <c r="H47" s="96"/>
      <c r="I47" s="95"/>
      <c r="J47" s="96"/>
      <c r="K47" s="13"/>
      <c r="L47" s="15"/>
    </row>
    <row r="48" spans="1:12" ht="15.75" thickBot="1" x14ac:dyDescent="0.3">
      <c r="A48" s="5"/>
      <c r="B48" s="93" t="s">
        <v>23</v>
      </c>
      <c r="C48" s="94"/>
      <c r="D48" s="94"/>
      <c r="E48" s="94"/>
      <c r="F48" s="94"/>
      <c r="G48" s="100">
        <f>G44+G45-G47</f>
        <v>11</v>
      </c>
      <c r="H48" s="96"/>
      <c r="I48" s="95"/>
      <c r="J48" s="96"/>
      <c r="K48" s="13"/>
      <c r="L48" s="4"/>
    </row>
    <row r="49" spans="1:12" ht="15.75" thickBot="1" x14ac:dyDescent="0.3">
      <c r="A49" s="5"/>
      <c r="B49" s="93" t="s">
        <v>24</v>
      </c>
      <c r="C49" s="94"/>
      <c r="D49" s="94"/>
      <c r="E49" s="94"/>
      <c r="F49" s="94"/>
      <c r="G49" s="95">
        <v>11</v>
      </c>
      <c r="H49" s="96"/>
      <c r="I49" s="95"/>
      <c r="J49" s="96"/>
      <c r="K49" s="13"/>
      <c r="L49" s="4"/>
    </row>
    <row r="50" spans="1:12" ht="15.75" thickBot="1" x14ac:dyDescent="0.3">
      <c r="A50" s="5"/>
      <c r="B50" s="93" t="s">
        <v>25</v>
      </c>
      <c r="C50" s="94"/>
      <c r="D50" s="94"/>
      <c r="E50" s="94"/>
      <c r="F50" s="94"/>
      <c r="G50" s="97">
        <f>G48-G49</f>
        <v>0</v>
      </c>
      <c r="H50" s="98"/>
      <c r="I50" s="99"/>
      <c r="J50" s="98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13" workbookViewId="0">
      <selection activeCell="O15" sqref="O15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3" t="s">
        <v>0</v>
      </c>
      <c r="B1" s="113"/>
      <c r="C1" s="113"/>
      <c r="D1" s="113"/>
      <c r="E1" s="38"/>
      <c r="F1" s="39"/>
      <c r="G1" s="114" t="s">
        <v>1</v>
      </c>
      <c r="H1" s="114"/>
      <c r="I1" s="114"/>
      <c r="J1" s="114"/>
      <c r="K1" s="114"/>
      <c r="L1" s="114"/>
    </row>
    <row r="2" spans="1:12" ht="15.75" x14ac:dyDescent="0.25">
      <c r="A2" s="114" t="s">
        <v>2</v>
      </c>
      <c r="B2" s="114"/>
      <c r="C2" s="114"/>
      <c r="D2" s="114"/>
      <c r="E2" s="38"/>
      <c r="F2" s="39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8"/>
      <c r="F3" s="39"/>
      <c r="G3" s="39"/>
      <c r="H3" s="125" t="s">
        <v>28</v>
      </c>
      <c r="I3" s="125"/>
      <c r="J3" s="125"/>
      <c r="K3" s="125"/>
      <c r="L3" s="2"/>
    </row>
    <row r="4" spans="1:12" ht="4.5" customHeight="1" x14ac:dyDescent="0.25">
      <c r="A4" s="86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3" t="s">
        <v>5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</row>
    <row r="6" spans="1:12" ht="15.75" x14ac:dyDescent="0.25">
      <c r="A6" s="114" t="s">
        <v>40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</row>
    <row r="7" spans="1:12" ht="3" customHeight="1" thickBot="1" x14ac:dyDescent="0.3">
      <c r="A7" s="85" t="s">
        <v>34</v>
      </c>
      <c r="B7" s="13"/>
      <c r="C7" s="14"/>
      <c r="D7" s="14"/>
      <c r="E7" s="14"/>
      <c r="F7" s="13"/>
      <c r="G7" s="13"/>
      <c r="H7" s="116"/>
      <c r="I7" s="116"/>
      <c r="J7" s="14"/>
      <c r="K7" s="40"/>
      <c r="L7" s="4"/>
    </row>
    <row r="8" spans="1:12" x14ac:dyDescent="0.25">
      <c r="A8" s="117" t="s">
        <v>7</v>
      </c>
      <c r="B8" s="119" t="s">
        <v>8</v>
      </c>
      <c r="C8" s="120"/>
      <c r="D8" s="120"/>
      <c r="E8" s="120"/>
      <c r="F8" s="121"/>
      <c r="G8" s="122" t="s">
        <v>9</v>
      </c>
      <c r="H8" s="120"/>
      <c r="I8" s="120"/>
      <c r="J8" s="120"/>
      <c r="K8" s="121"/>
      <c r="L8" s="123" t="s">
        <v>10</v>
      </c>
    </row>
    <row r="9" spans="1:12" ht="15.75" thickBot="1" x14ac:dyDescent="0.3">
      <c r="A9" s="118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4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>
        <v>2</v>
      </c>
      <c r="H16" s="25"/>
      <c r="I16" s="25"/>
      <c r="J16" s="25">
        <v>1</v>
      </c>
      <c r="K16" s="18">
        <f t="shared" si="1"/>
        <v>3</v>
      </c>
      <c r="L16" s="8">
        <f t="shared" si="2"/>
        <v>3</v>
      </c>
    </row>
    <row r="17" spans="1:12" ht="15.75" thickBot="1" x14ac:dyDescent="0.3">
      <c r="A17" s="9">
        <v>8</v>
      </c>
      <c r="B17" s="24">
        <v>1</v>
      </c>
      <c r="C17" s="25"/>
      <c r="D17" s="25"/>
      <c r="E17" s="26"/>
      <c r="F17" s="20">
        <f t="shared" si="0"/>
        <v>1</v>
      </c>
      <c r="G17" s="33"/>
      <c r="H17" s="25"/>
      <c r="I17" s="25"/>
      <c r="J17" s="25"/>
      <c r="K17" s="18">
        <f t="shared" si="1"/>
        <v>0</v>
      </c>
      <c r="L17" s="8">
        <f t="shared" si="2"/>
        <v>1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>
        <v>1</v>
      </c>
      <c r="C26" s="50"/>
      <c r="D26" s="28"/>
      <c r="E26" s="26"/>
      <c r="F26" s="20">
        <f t="shared" si="0"/>
        <v>1</v>
      </c>
      <c r="G26" s="33"/>
      <c r="H26" s="25"/>
      <c r="I26" s="25"/>
      <c r="J26" s="25"/>
      <c r="K26" s="18">
        <f t="shared" si="1"/>
        <v>0</v>
      </c>
      <c r="L26" s="8">
        <f t="shared" si="2"/>
        <v>1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88">
        <f>SUM(B10:B40)</f>
        <v>2</v>
      </c>
      <c r="C41" s="88">
        <f t="shared" ref="C41:E41" si="3">SUM(C10:C40)</f>
        <v>0</v>
      </c>
      <c r="D41" s="88">
        <f t="shared" si="3"/>
        <v>0</v>
      </c>
      <c r="E41" s="88">
        <f t="shared" si="3"/>
        <v>0</v>
      </c>
      <c r="F41" s="87">
        <f>SUM(F10:F40)</f>
        <v>2</v>
      </c>
      <c r="G41" s="19">
        <f>SUM(G10:G40)</f>
        <v>2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1</v>
      </c>
      <c r="K41" s="19">
        <f t="shared" si="4"/>
        <v>3</v>
      </c>
      <c r="L41" s="19">
        <f t="shared" si="4"/>
        <v>5</v>
      </c>
    </row>
    <row r="42" spans="1:12" ht="4.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6"/>
      <c r="B43" s="106"/>
      <c r="C43" s="106"/>
      <c r="D43" s="106"/>
      <c r="E43" s="106"/>
      <c r="F43" s="106"/>
      <c r="G43" s="107" t="s">
        <v>17</v>
      </c>
      <c r="H43" s="108"/>
      <c r="I43" s="108" t="s">
        <v>18</v>
      </c>
      <c r="J43" s="109"/>
      <c r="K43" s="13"/>
      <c r="L43" s="15"/>
    </row>
    <row r="44" spans="1:12" ht="15.75" thickBot="1" x14ac:dyDescent="0.3">
      <c r="A44" s="16"/>
      <c r="B44" s="93" t="s">
        <v>19</v>
      </c>
      <c r="C44" s="94"/>
      <c r="D44" s="94"/>
      <c r="E44" s="94"/>
      <c r="F44" s="94"/>
      <c r="G44" s="104">
        <v>11</v>
      </c>
      <c r="H44" s="110"/>
      <c r="I44" s="111"/>
      <c r="J44" s="112"/>
      <c r="K44" s="13"/>
      <c r="L44" s="15"/>
    </row>
    <row r="45" spans="1:12" ht="15.75" thickBot="1" x14ac:dyDescent="0.3">
      <c r="A45" s="16"/>
      <c r="B45" s="93" t="s">
        <v>20</v>
      </c>
      <c r="C45" s="94"/>
      <c r="D45" s="94"/>
      <c r="E45" s="94"/>
      <c r="F45" s="94"/>
      <c r="G45" s="95">
        <v>20</v>
      </c>
      <c r="H45" s="96"/>
      <c r="I45" s="95"/>
      <c r="J45" s="96"/>
      <c r="K45" s="13"/>
      <c r="L45" s="15"/>
    </row>
    <row r="46" spans="1:12" ht="15.75" thickBot="1" x14ac:dyDescent="0.3">
      <c r="A46" s="16"/>
      <c r="B46" s="101" t="s">
        <v>21</v>
      </c>
      <c r="C46" s="101"/>
      <c r="D46" s="101"/>
      <c r="E46" s="101"/>
      <c r="F46" s="93"/>
      <c r="G46" s="102">
        <v>0</v>
      </c>
      <c r="H46" s="103"/>
      <c r="I46" s="104"/>
      <c r="J46" s="105"/>
      <c r="K46" s="13"/>
      <c r="L46" s="15"/>
    </row>
    <row r="47" spans="1:12" ht="15.75" thickBot="1" x14ac:dyDescent="0.3">
      <c r="A47" s="16"/>
      <c r="B47" s="93" t="s">
        <v>22</v>
      </c>
      <c r="C47" s="94"/>
      <c r="D47" s="94"/>
      <c r="E47" s="94"/>
      <c r="F47" s="94"/>
      <c r="G47" s="100">
        <f>L41+G46</f>
        <v>5</v>
      </c>
      <c r="H47" s="96"/>
      <c r="I47" s="95"/>
      <c r="J47" s="96"/>
      <c r="K47" s="13"/>
      <c r="L47" s="15"/>
    </row>
    <row r="48" spans="1:12" ht="15.75" thickBot="1" x14ac:dyDescent="0.3">
      <c r="A48" s="5"/>
      <c r="B48" s="93" t="s">
        <v>23</v>
      </c>
      <c r="C48" s="94"/>
      <c r="D48" s="94"/>
      <c r="E48" s="94"/>
      <c r="F48" s="94"/>
      <c r="G48" s="100">
        <f>G44+G45-G47</f>
        <v>26</v>
      </c>
      <c r="H48" s="96"/>
      <c r="I48" s="95"/>
      <c r="J48" s="96"/>
      <c r="K48" s="13"/>
      <c r="L48" s="4"/>
    </row>
    <row r="49" spans="1:12" ht="15.75" thickBot="1" x14ac:dyDescent="0.3">
      <c r="A49" s="5"/>
      <c r="B49" s="93" t="s">
        <v>24</v>
      </c>
      <c r="C49" s="94"/>
      <c r="D49" s="94"/>
      <c r="E49" s="94"/>
      <c r="F49" s="94"/>
      <c r="G49" s="95">
        <v>26</v>
      </c>
      <c r="H49" s="96"/>
      <c r="I49" s="95"/>
      <c r="J49" s="96"/>
      <c r="K49" s="13"/>
      <c r="L49" s="4"/>
    </row>
    <row r="50" spans="1:12" ht="15.75" thickBot="1" x14ac:dyDescent="0.3">
      <c r="A50" s="5"/>
      <c r="B50" s="93" t="s">
        <v>25</v>
      </c>
      <c r="C50" s="94"/>
      <c r="D50" s="94"/>
      <c r="E50" s="94"/>
      <c r="F50" s="94"/>
      <c r="G50" s="97">
        <f>G48-G49</f>
        <v>0</v>
      </c>
      <c r="H50" s="98"/>
      <c r="I50" s="99"/>
      <c r="J50" s="98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topLeftCell="A31" workbookViewId="0">
      <selection activeCell="A7" sqref="A7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3" t="s">
        <v>0</v>
      </c>
      <c r="B1" s="113"/>
      <c r="C1" s="113"/>
      <c r="D1" s="113"/>
      <c r="E1" s="38"/>
      <c r="F1" s="39"/>
      <c r="G1" s="114" t="s">
        <v>1</v>
      </c>
      <c r="H1" s="114"/>
      <c r="I1" s="114"/>
      <c r="J1" s="114"/>
      <c r="K1" s="114"/>
      <c r="L1" s="114"/>
    </row>
    <row r="2" spans="1:12" ht="15.75" x14ac:dyDescent="0.25">
      <c r="A2" s="114" t="s">
        <v>2</v>
      </c>
      <c r="B2" s="114"/>
      <c r="C2" s="114"/>
      <c r="D2" s="114"/>
      <c r="E2" s="38"/>
      <c r="F2" s="39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8"/>
      <c r="F3" s="39"/>
      <c r="G3" s="39"/>
      <c r="H3" s="125" t="s">
        <v>28</v>
      </c>
      <c r="I3" s="125"/>
      <c r="J3" s="125"/>
      <c r="K3" s="125"/>
      <c r="L3" s="2"/>
    </row>
    <row r="4" spans="1:12" ht="4.5" customHeight="1" x14ac:dyDescent="0.25">
      <c r="A4" s="90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3" t="s">
        <v>5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</row>
    <row r="6" spans="1:12" ht="15.75" x14ac:dyDescent="0.25">
      <c r="A6" s="114" t="s">
        <v>41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</row>
    <row r="7" spans="1:12" ht="3" customHeight="1" thickBot="1" x14ac:dyDescent="0.3">
      <c r="A7" s="89" t="s">
        <v>34</v>
      </c>
      <c r="B7" s="13"/>
      <c r="C7" s="14"/>
      <c r="D7" s="14"/>
      <c r="E7" s="14"/>
      <c r="F7" s="13"/>
      <c r="G7" s="13"/>
      <c r="H7" s="116"/>
      <c r="I7" s="116"/>
      <c r="J7" s="14"/>
      <c r="K7" s="40"/>
      <c r="L7" s="4"/>
    </row>
    <row r="8" spans="1:12" x14ac:dyDescent="0.25">
      <c r="A8" s="117" t="s">
        <v>7</v>
      </c>
      <c r="B8" s="119" t="s">
        <v>8</v>
      </c>
      <c r="C8" s="120"/>
      <c r="D8" s="120"/>
      <c r="E8" s="120"/>
      <c r="F8" s="121"/>
      <c r="G8" s="122" t="s">
        <v>9</v>
      </c>
      <c r="H8" s="120"/>
      <c r="I8" s="120"/>
      <c r="J8" s="120"/>
      <c r="K8" s="121"/>
      <c r="L8" s="123" t="s">
        <v>10</v>
      </c>
    </row>
    <row r="9" spans="1:12" ht="15.75" thickBot="1" x14ac:dyDescent="0.3">
      <c r="A9" s="118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24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>
        <v>2</v>
      </c>
      <c r="H10" s="32"/>
      <c r="I10" s="32"/>
      <c r="J10" s="32"/>
      <c r="K10" s="18">
        <f>SUM(G10:J10)</f>
        <v>2</v>
      </c>
      <c r="L10" s="8">
        <f>SUM(F10+K10)</f>
        <v>2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>
        <v>3</v>
      </c>
      <c r="C15" s="25"/>
      <c r="D15" s="25"/>
      <c r="E15" s="26"/>
      <c r="F15" s="20">
        <f t="shared" si="0"/>
        <v>3</v>
      </c>
      <c r="G15" s="33"/>
      <c r="H15" s="25"/>
      <c r="I15" s="25"/>
      <c r="J15" s="25"/>
      <c r="K15" s="18">
        <f t="shared" si="1"/>
        <v>0</v>
      </c>
      <c r="L15" s="8">
        <f t="shared" si="2"/>
        <v>3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>
        <v>5</v>
      </c>
      <c r="H27" s="25"/>
      <c r="I27" s="25"/>
      <c r="J27" s="25"/>
      <c r="K27" s="18">
        <f t="shared" si="1"/>
        <v>5</v>
      </c>
      <c r="L27" s="8">
        <f t="shared" si="2"/>
        <v>5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>
        <v>3</v>
      </c>
      <c r="H28" s="25"/>
      <c r="I28" s="25"/>
      <c r="J28" s="25"/>
      <c r="K28" s="18">
        <f t="shared" si="1"/>
        <v>3</v>
      </c>
      <c r="L28" s="8">
        <f t="shared" si="2"/>
        <v>3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92">
        <f>SUM(B10:B40)</f>
        <v>3</v>
      </c>
      <c r="C41" s="92">
        <f t="shared" ref="C41:E41" si="3">SUM(C10:C40)</f>
        <v>0</v>
      </c>
      <c r="D41" s="92">
        <f t="shared" si="3"/>
        <v>0</v>
      </c>
      <c r="E41" s="92">
        <f t="shared" si="3"/>
        <v>0</v>
      </c>
      <c r="F41" s="91">
        <f>SUM(F10:F40)</f>
        <v>3</v>
      </c>
      <c r="G41" s="19">
        <f>SUM(G10:G40)</f>
        <v>10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10</v>
      </c>
      <c r="L41" s="19">
        <f t="shared" si="4"/>
        <v>13</v>
      </c>
    </row>
    <row r="42" spans="1:12" ht="4.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06"/>
      <c r="B43" s="106"/>
      <c r="C43" s="106"/>
      <c r="D43" s="106"/>
      <c r="E43" s="106"/>
      <c r="F43" s="106"/>
      <c r="G43" s="107" t="s">
        <v>17</v>
      </c>
      <c r="H43" s="108"/>
      <c r="I43" s="108" t="s">
        <v>18</v>
      </c>
      <c r="J43" s="109"/>
      <c r="K43" s="13"/>
      <c r="L43" s="15"/>
    </row>
    <row r="44" spans="1:12" ht="15.75" thickBot="1" x14ac:dyDescent="0.3">
      <c r="A44" s="16"/>
      <c r="B44" s="93" t="s">
        <v>19</v>
      </c>
      <c r="C44" s="94"/>
      <c r="D44" s="94"/>
      <c r="E44" s="94"/>
      <c r="F44" s="94"/>
      <c r="G44" s="104">
        <v>26</v>
      </c>
      <c r="H44" s="110"/>
      <c r="I44" s="111"/>
      <c r="J44" s="112"/>
      <c r="K44" s="13"/>
      <c r="L44" s="15"/>
    </row>
    <row r="45" spans="1:12" ht="15.75" thickBot="1" x14ac:dyDescent="0.3">
      <c r="A45" s="16"/>
      <c r="B45" s="93" t="s">
        <v>20</v>
      </c>
      <c r="C45" s="94"/>
      <c r="D45" s="94"/>
      <c r="E45" s="94"/>
      <c r="F45" s="94"/>
      <c r="G45" s="95">
        <v>0</v>
      </c>
      <c r="H45" s="96"/>
      <c r="I45" s="95"/>
      <c r="J45" s="96"/>
      <c r="K45" s="13"/>
      <c r="L45" s="15"/>
    </row>
    <row r="46" spans="1:12" ht="15.75" thickBot="1" x14ac:dyDescent="0.3">
      <c r="A46" s="16"/>
      <c r="B46" s="101" t="s">
        <v>21</v>
      </c>
      <c r="C46" s="101"/>
      <c r="D46" s="101"/>
      <c r="E46" s="101"/>
      <c r="F46" s="93"/>
      <c r="G46" s="102">
        <v>0</v>
      </c>
      <c r="H46" s="103"/>
      <c r="I46" s="104"/>
      <c r="J46" s="105"/>
      <c r="K46" s="13"/>
      <c r="L46" s="15"/>
    </row>
    <row r="47" spans="1:12" ht="15.75" thickBot="1" x14ac:dyDescent="0.3">
      <c r="A47" s="16"/>
      <c r="B47" s="93" t="s">
        <v>22</v>
      </c>
      <c r="C47" s="94"/>
      <c r="D47" s="94"/>
      <c r="E47" s="94"/>
      <c r="F47" s="94"/>
      <c r="G47" s="100">
        <f>L41+G46</f>
        <v>13</v>
      </c>
      <c r="H47" s="96"/>
      <c r="I47" s="95"/>
      <c r="J47" s="96"/>
      <c r="K47" s="13"/>
      <c r="L47" s="15"/>
    </row>
    <row r="48" spans="1:12" ht="15.75" thickBot="1" x14ac:dyDescent="0.3">
      <c r="A48" s="5"/>
      <c r="B48" s="93" t="s">
        <v>23</v>
      </c>
      <c r="C48" s="94"/>
      <c r="D48" s="94"/>
      <c r="E48" s="94"/>
      <c r="F48" s="94"/>
      <c r="G48" s="100">
        <f>G44+G45-G47</f>
        <v>13</v>
      </c>
      <c r="H48" s="96"/>
      <c r="I48" s="95"/>
      <c r="J48" s="96"/>
      <c r="K48" s="13"/>
      <c r="L48" s="4"/>
    </row>
    <row r="49" spans="1:12" ht="15.75" thickBot="1" x14ac:dyDescent="0.3">
      <c r="A49" s="5"/>
      <c r="B49" s="93" t="s">
        <v>24</v>
      </c>
      <c r="C49" s="94"/>
      <c r="D49" s="94"/>
      <c r="E49" s="94"/>
      <c r="F49" s="94"/>
      <c r="G49" s="95">
        <v>13</v>
      </c>
      <c r="H49" s="96"/>
      <c r="I49" s="95"/>
      <c r="J49" s="96"/>
      <c r="K49" s="13"/>
      <c r="L49" s="4"/>
    </row>
    <row r="50" spans="1:12" ht="15.75" thickBot="1" x14ac:dyDescent="0.3">
      <c r="A50" s="5"/>
      <c r="B50" s="93" t="s">
        <v>25</v>
      </c>
      <c r="C50" s="94"/>
      <c r="D50" s="94"/>
      <c r="E50" s="94"/>
      <c r="F50" s="94"/>
      <c r="G50" s="97">
        <f>G48-G49</f>
        <v>0</v>
      </c>
      <c r="H50" s="98"/>
      <c r="I50" s="99"/>
      <c r="J50" s="98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JANVIER 2016</vt:lpstr>
      <vt:lpstr>FEVRIER 2016</vt:lpstr>
      <vt:lpstr>MARS 2016</vt:lpstr>
      <vt:lpstr>AVRIL 2016</vt:lpstr>
      <vt:lpstr>MAI 2016</vt:lpstr>
      <vt:lpstr>JUIN 2016</vt:lpstr>
      <vt:lpstr>JUILLET 2016</vt:lpstr>
      <vt:lpstr>AOUT 2016</vt:lpstr>
      <vt:lpstr>SEPTEMBRE 2016</vt:lpstr>
      <vt:lpstr>OCTOBRE 2016</vt:lpstr>
      <vt:lpstr>NOVEMBRE 2016</vt:lpstr>
      <vt:lpstr>DECEMBRE 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2016-11-08T15:49:38Z</cp:lastPrinted>
  <dcterms:created xsi:type="dcterms:W3CDTF">2014-12-31T15:22:06Z</dcterms:created>
  <dcterms:modified xsi:type="dcterms:W3CDTF">2018-01-07T14:03:57Z</dcterms:modified>
</cp:coreProperties>
</file>