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15" yWindow="195" windowWidth="6900" windowHeight="2025" firstSheet="6" activeTab="10"/>
  </bookViews>
  <sheets>
    <sheet name="Janvier 2016" sheetId="1" r:id="rId1"/>
    <sheet name="Février 2016" sheetId="2" r:id="rId2"/>
    <sheet name="Mars 2016" sheetId="3" r:id="rId3"/>
    <sheet name="Avril 2016" sheetId="4" r:id="rId4"/>
    <sheet name="Mai 2016" sheetId="5" r:id="rId5"/>
    <sheet name="JUIN 2016" sheetId="6" r:id="rId6"/>
    <sheet name="JUILLET 2016" sheetId="7" r:id="rId7"/>
    <sheet name="AOUT 2016" sheetId="8" r:id="rId8"/>
    <sheet name="SEPTEMBRE 2016" sheetId="9" r:id="rId9"/>
    <sheet name="OCTOBRE 2016" sheetId="10" r:id="rId10"/>
    <sheet name="NOVEMBRE 2016" sheetId="11" r:id="rId11"/>
    <sheet name="DECEMBRE 2016" sheetId="12" r:id="rId12"/>
  </sheets>
  <definedNames>
    <definedName name="_xlnm.Print_Titles" localSheetId="7">'AOUT 2016'!$1:$6</definedName>
    <definedName name="_xlnm.Print_Titles" localSheetId="3">'Avril 2016'!$1:$6</definedName>
    <definedName name="_xlnm.Print_Titles" localSheetId="11">'DECEMBRE 2016'!$1:$6</definedName>
    <definedName name="_xlnm.Print_Titles" localSheetId="1">'Février 2016'!$1:$6</definedName>
    <definedName name="_xlnm.Print_Titles" localSheetId="0">'Janvier 2016'!$1:$6</definedName>
    <definedName name="_xlnm.Print_Titles" localSheetId="6">'JUILLET 2016'!$1:$6</definedName>
    <definedName name="_xlnm.Print_Titles" localSheetId="5">'JUIN 2016'!$1:$6</definedName>
    <definedName name="_xlnm.Print_Titles" localSheetId="4">'Mai 2016'!$1:$6</definedName>
    <definedName name="_xlnm.Print_Titles" localSheetId="2">'Mars 2016'!$1:$6</definedName>
    <definedName name="_xlnm.Print_Titles" localSheetId="10">'NOVEMBRE 2016'!$1:$6</definedName>
    <definedName name="_xlnm.Print_Titles" localSheetId="9">'OCTOBRE 2016'!$1:$6</definedName>
    <definedName name="_xlnm.Print_Titles" localSheetId="8">'SEPTEMBRE 2016'!$1:$6</definedName>
  </definedNames>
  <calcPr calcId="125725"/>
</workbook>
</file>

<file path=xl/calcChain.xml><?xml version="1.0" encoding="utf-8"?>
<calcChain xmlns="http://schemas.openxmlformats.org/spreadsheetml/2006/main">
  <c r="A9" i="12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8"/>
  <c r="K4"/>
  <c r="K3"/>
  <c r="K2"/>
  <c r="A9" i="1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8"/>
  <c r="K4"/>
  <c r="K3"/>
  <c r="K2"/>
  <c r="A9" i="10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8"/>
  <c r="K4"/>
  <c r="K3"/>
  <c r="K2"/>
  <c r="A9" i="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8"/>
  <c r="K4"/>
  <c r="K3"/>
  <c r="K2"/>
  <c r="A8" i="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A8" i="7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A8" i="6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A8" i="5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K5" i="11" l="1"/>
  <c r="K5" i="12"/>
  <c r="K5" i="10"/>
  <c r="K5" i="9"/>
  <c r="K5" i="8"/>
  <c r="K5" i="7"/>
  <c r="K5" i="6"/>
  <c r="K5" i="5"/>
  <c r="A8" i="4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A8" i="3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K5" i="4" l="1"/>
  <c r="K5" i="3"/>
  <c r="A8" i="2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/>
  <c r="K3"/>
  <c r="K2"/>
  <c r="K5" l="1"/>
  <c r="A8" i="1"/>
  <c r="A9" l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 l="1"/>
  <c r="K3"/>
  <c r="K2" l="1"/>
  <c r="K5" s="1"/>
</calcChain>
</file>

<file path=xl/sharedStrings.xml><?xml version="1.0" encoding="utf-8"?>
<sst xmlns="http://schemas.openxmlformats.org/spreadsheetml/2006/main" count="424" uniqueCount="136">
  <si>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</si>
  <si>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</si>
  <si>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</si>
  <si>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</si>
  <si>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</si>
  <si>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</si>
  <si>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</si>
  <si>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</si>
  <si>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</si>
  <si>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</si>
  <si>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</si>
  <si>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</si>
  <si>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</si>
  <si>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</si>
  <si>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</si>
  <si>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</si>
  <si>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: Seghouane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</si>
  <si>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</si>
  <si>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</si>
  <si>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HA 0386</t>
  </si>
  <si>
    <t>095541</t>
  </si>
  <si>
    <t>HA 0307</t>
  </si>
  <si>
    <t>095542</t>
  </si>
  <si>
    <t>HA 0567</t>
  </si>
  <si>
    <t>095543</t>
  </si>
  <si>
    <t>HA 0176</t>
  </si>
  <si>
    <t>095544</t>
  </si>
  <si>
    <t>Elimination Forfait</t>
  </si>
  <si>
    <t>15/21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</si>
  <si>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</si>
  <si>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</si>
  <si>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2015095545</t>
  </si>
  <si>
    <t>HA 0630</t>
  </si>
  <si>
    <t>2015095546</t>
  </si>
  <si>
    <t>HA 0392</t>
  </si>
  <si>
    <t>2015095547</t>
  </si>
  <si>
    <t>HA 0489</t>
  </si>
  <si>
    <t>2015095548</t>
  </si>
  <si>
    <t>HA 0617</t>
  </si>
  <si>
    <t>2015095549</t>
  </si>
  <si>
    <t>HA</t>
  </si>
  <si>
    <t>NB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</si>
  <si>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</si>
  <si>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2015095550</t>
  </si>
  <si>
    <t>HA 0452</t>
  </si>
  <si>
    <t>2015096062</t>
  </si>
  <si>
    <t>2015096063</t>
  </si>
  <si>
    <t>2015096061</t>
  </si>
  <si>
    <t>HA 0693</t>
  </si>
  <si>
    <t>2015096064</t>
  </si>
  <si>
    <t>Belmdjahed a/krim</t>
  </si>
  <si>
    <t>Sarour lakhdar</t>
  </si>
  <si>
    <t>Djerdjour nadji</t>
  </si>
  <si>
    <t>Benzid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</si>
  <si>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</si>
  <si>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NB( Laref nadji)</t>
  </si>
  <si>
    <t>NB(Mosbah a/rahmane)</t>
  </si>
  <si>
    <t>096065</t>
  </si>
  <si>
    <t>096066</t>
  </si>
  <si>
    <t>NB(Yagoub khadidja)</t>
  </si>
  <si>
    <t>096067</t>
  </si>
  <si>
    <t>NB(Khattar rabah)</t>
  </si>
  <si>
    <t>096068</t>
  </si>
  <si>
    <t>NB(Rebah a/krim)</t>
  </si>
  <si>
    <t>106351</t>
  </si>
  <si>
    <t>096069</t>
  </si>
  <si>
    <t>HA 0475</t>
  </si>
  <si>
    <t>096070</t>
  </si>
  <si>
    <t>HA 0414</t>
  </si>
  <si>
    <r>
      <t xml:space="preserve">Mois de JUILLET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</si>
  <si>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HA 0196</t>
  </si>
  <si>
    <t>106353</t>
  </si>
  <si>
    <t>HA 0655</t>
  </si>
  <si>
    <t>106354</t>
  </si>
  <si>
    <t>HA 0041</t>
  </si>
  <si>
    <t>106355</t>
  </si>
  <si>
    <t>HA 0395</t>
  </si>
  <si>
    <t>106356</t>
  </si>
  <si>
    <t>HA 0090</t>
  </si>
  <si>
    <t>106357</t>
  </si>
  <si>
    <t>HA 0095</t>
  </si>
  <si>
    <t>106358</t>
  </si>
  <si>
    <t>106352</t>
  </si>
  <si>
    <t>NB(Khattar ahmed)</t>
  </si>
  <si>
    <t>106359</t>
  </si>
  <si>
    <t>106360</t>
  </si>
  <si>
    <t>NB(Mamri djilali)</t>
  </si>
  <si>
    <t>NB(Chergui A/rahmane)</t>
  </si>
  <si>
    <r>
      <t xml:space="preserve">Mois de AOUT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</si>
  <si>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 xml:space="preserve">Mois de SEPTEMBRE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</si>
  <si>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070041</t>
  </si>
  <si>
    <t>NB(Bouti hadda)</t>
  </si>
  <si>
    <t>HA 0165</t>
  </si>
  <si>
    <t>070042</t>
  </si>
  <si>
    <t>HA 0513</t>
  </si>
  <si>
    <t>070043</t>
  </si>
  <si>
    <r>
      <t xml:space="preserve">Mois de OCTOBRE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</si>
  <si>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 xml:space="preserve">Mois de DECEMBRE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</si>
  <si>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070050</t>
  </si>
  <si>
    <t>NB(TALHA BELKHAIRAT)</t>
  </si>
  <si>
    <t>279071</t>
  </si>
  <si>
    <t>NB(KHETAR DJEMIL)</t>
  </si>
  <si>
    <t>279072</t>
  </si>
  <si>
    <t>NB(BELKHEIRI KADOUR)</t>
  </si>
  <si>
    <t>HA 0416</t>
  </si>
  <si>
    <t>070048</t>
  </si>
  <si>
    <t>HA 0417</t>
  </si>
  <si>
    <t>070049</t>
  </si>
  <si>
    <t>HA 0150</t>
  </si>
  <si>
    <t>279073</t>
  </si>
  <si>
    <t>HA 0278</t>
  </si>
  <si>
    <t>279074</t>
  </si>
  <si>
    <t>279075</t>
  </si>
  <si>
    <t>279076</t>
  </si>
  <si>
    <t>279077</t>
  </si>
  <si>
    <t>279078</t>
  </si>
  <si>
    <t>279079</t>
  </si>
  <si>
    <t>279080</t>
  </si>
  <si>
    <t>HA 0211</t>
  </si>
  <si>
    <t>HA 0627</t>
  </si>
  <si>
    <t>HA 0067</t>
  </si>
  <si>
    <t>HA 0379</t>
  </si>
  <si>
    <t>HA 0636</t>
  </si>
  <si>
    <t>HA 0026</t>
  </si>
  <si>
    <r>
      <t xml:space="preserve">Mois de NOVEMBRE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</si>
  <si>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070044</t>
  </si>
  <si>
    <t>NB(DAHMANI SIHEM)</t>
  </si>
  <si>
    <t>H3 0001</t>
  </si>
  <si>
    <t>20/27</t>
  </si>
  <si>
    <t>005767</t>
  </si>
  <si>
    <t>070047</t>
  </si>
  <si>
    <t>NB(TALHA ISMAIL)</t>
  </si>
  <si>
    <t>HA 0089</t>
  </si>
  <si>
    <t>070045</t>
  </si>
  <si>
    <t>HA 0552</t>
  </si>
  <si>
    <t>070046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</si>
</sst>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52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0" xfId="1" applyNumberFormat="1" applyFont="1" applyBorder="1" applyAlignment="1">
      <alignment horizontal="center" vertical="center"/>
    </xf>
    <xf numFmtId="49" fontId="1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9524</xdr:rowOff>
    </xdr:from>
    <xdr:to>
      <xdr:col>6</xdr:col>
      <xdr:colOff>1</xdr:colOff>
      <xdr:row>16</xdr:row>
      <xdr:rowOff>19049</xdr:rowOff>
    </xdr:to>
    <xdr:cxnSp macro="">
      <xdr:nvCxnSpPr>
        <xdr:cNvPr id="3" name="Straight Connector 2"/>
        <xdr:cNvCxnSpPr/>
      </xdr:nvCxnSpPr>
      <xdr:spPr>
        <a:xfrm rot="10800000" flipV="1">
          <a:off x="409576" y="1323974"/>
          <a:ext cx="4029075" cy="1914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6</xdr:row>
      <xdr:rowOff>9525</xdr:rowOff>
    </xdr:from>
    <xdr:to>
      <xdr:col>6</xdr:col>
      <xdr:colOff>0</xdr:colOff>
      <xdr:row>16</xdr:row>
      <xdr:rowOff>9525</xdr:rowOff>
    </xdr:to>
    <xdr:cxnSp macro="">
      <xdr:nvCxnSpPr>
        <xdr:cNvPr id="3" name="Straight Connector 2"/>
        <xdr:cNvCxnSpPr/>
      </xdr:nvCxnSpPr>
      <xdr:spPr>
        <a:xfrm rot="10800000" flipV="1">
          <a:off x="400050" y="1323975"/>
          <a:ext cx="4038600" cy="190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10</xdr:row>
      <xdr:rowOff>9525</xdr:rowOff>
    </xdr:from>
    <xdr:to>
      <xdr:col>5</xdr:col>
      <xdr:colOff>1171576</xdr:colOff>
      <xdr:row>16</xdr:row>
      <xdr:rowOff>9525</xdr:rowOff>
    </xdr:to>
    <xdr:cxnSp macro="">
      <xdr:nvCxnSpPr>
        <xdr:cNvPr id="3" name="Straight Connector 2"/>
        <xdr:cNvCxnSpPr/>
      </xdr:nvCxnSpPr>
      <xdr:spPr>
        <a:xfrm rot="10800000" flipV="1">
          <a:off x="400051" y="2085975"/>
          <a:ext cx="4105275" cy="1143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9525</xdr:rowOff>
    </xdr:from>
    <xdr:to>
      <xdr:col>6</xdr:col>
      <xdr:colOff>0</xdr:colOff>
      <xdr:row>26</xdr:row>
      <xdr:rowOff>19050</xdr:rowOff>
    </xdr:to>
    <xdr:cxnSp macro="">
      <xdr:nvCxnSpPr>
        <xdr:cNvPr id="3" name="Straight Connector 2"/>
        <xdr:cNvCxnSpPr/>
      </xdr:nvCxnSpPr>
      <xdr:spPr>
        <a:xfrm flipH="1">
          <a:off x="419100" y="2276475"/>
          <a:ext cx="4124325" cy="2867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11</xdr:row>
      <xdr:rowOff>19050</xdr:rowOff>
    </xdr:from>
    <xdr:to>
      <xdr:col>5</xdr:col>
      <xdr:colOff>1171575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390525" y="2286000"/>
          <a:ext cx="4114800" cy="3400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390527</xdr:colOff>
      <xdr:row>13</xdr:row>
      <xdr:rowOff>28575</xdr:rowOff>
    </xdr:from>
    <xdr:to>
      <xdr:col>7</xdr:col>
      <xdr:colOff>19050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390527" y="2676525"/>
          <a:ext cx="4171948" cy="3009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1200150</xdr:colOff>
      <xdr:row>29</xdr:row>
      <xdr:rowOff>19050</xdr:rowOff>
    </xdr:to>
    <xdr:cxnSp macro="">
      <xdr:nvCxnSpPr>
        <xdr:cNvPr id="3" name="Straight Connector 2"/>
        <xdr:cNvCxnSpPr/>
      </xdr:nvCxnSpPr>
      <xdr:spPr>
        <a:xfrm flipH="1">
          <a:off x="409575" y="2647950"/>
          <a:ext cx="4124325" cy="3067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38100</xdr:rowOff>
    </xdr:from>
    <xdr:to>
      <xdr:col>5</xdr:col>
      <xdr:colOff>1200150</xdr:colOff>
      <xdr:row>29</xdr:row>
      <xdr:rowOff>19050</xdr:rowOff>
    </xdr:to>
    <xdr:cxnSp macro="">
      <xdr:nvCxnSpPr>
        <xdr:cNvPr id="2" name="Straight Connector 1"/>
        <xdr:cNvCxnSpPr/>
      </xdr:nvCxnSpPr>
      <xdr:spPr>
        <a:xfrm flipH="1">
          <a:off x="409576" y="1733550"/>
          <a:ext cx="4124324" cy="398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0</xdr:rowOff>
    </xdr:from>
    <xdr:to>
      <xdr:col>5</xdr:col>
      <xdr:colOff>1181100</xdr:colOff>
      <xdr:row>28</xdr:row>
      <xdr:rowOff>161925</xdr:rowOff>
    </xdr:to>
    <xdr:cxnSp macro="">
      <xdr:nvCxnSpPr>
        <xdr:cNvPr id="5" name="Straight Connector 4"/>
        <xdr:cNvCxnSpPr/>
      </xdr:nvCxnSpPr>
      <xdr:spPr>
        <a:xfrm flipH="1">
          <a:off x="466725" y="1885950"/>
          <a:ext cx="4048125" cy="378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1190626</xdr:colOff>
      <xdr:row>29</xdr:row>
      <xdr:rowOff>9525</xdr:rowOff>
    </xdr:to>
    <xdr:cxnSp macro="">
      <xdr:nvCxnSpPr>
        <xdr:cNvPr id="2" name="Straight Connector 1"/>
        <xdr:cNvCxnSpPr/>
      </xdr:nvCxnSpPr>
      <xdr:spPr>
        <a:xfrm flipH="1">
          <a:off x="419100" y="1323975"/>
          <a:ext cx="4105276" cy="438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0</xdr:rowOff>
    </xdr:from>
    <xdr:to>
      <xdr:col>5</xdr:col>
      <xdr:colOff>1409700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47675" y="2266950"/>
          <a:ext cx="4295775" cy="341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19050</xdr:rowOff>
    </xdr:from>
    <xdr:to>
      <xdr:col>5</xdr:col>
      <xdr:colOff>1457325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09575" y="3810000"/>
          <a:ext cx="4381500" cy="187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1" sqref="F21"/>
    </sheetView>
  </sheetViews>
  <sheetFormatPr defaultColWidth="11.42578125" defaultRowHeight="1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0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0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17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0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topLeftCell="A7" workbookViewId="0">
      <selection activeCell="F16" sqref="E15:F16"/>
    </sheetView>
  </sheetViews>
  <sheetFormatPr defaultColWidth="11.42578125" defaultRowHeight="1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0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0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18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0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8" sqref="F8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4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0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29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4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19</v>
      </c>
      <c r="C7" s="11" t="s">
        <v>28</v>
      </c>
      <c r="D7" s="9" t="s">
        <v>20</v>
      </c>
      <c r="E7" s="14">
        <v>42456</v>
      </c>
      <c r="F7" s="22" t="s">
        <v>27</v>
      </c>
      <c r="G7" s="12">
        <v>1</v>
      </c>
      <c r="H7" s="13"/>
      <c r="I7" s="2"/>
      <c r="J7" s="2"/>
    </row>
    <row r="8" spans="1:11" ht="15" customHeight="1">
      <c r="A8" s="17">
        <f>+A7+1</f>
        <v>2</v>
      </c>
      <c r="B8" s="14" t="s">
        <v>21</v>
      </c>
      <c r="C8" s="11" t="s">
        <v>28</v>
      </c>
      <c r="D8" s="9" t="s">
        <v>22</v>
      </c>
      <c r="E8" s="14">
        <v>42456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1" t="s">
        <v>23</v>
      </c>
      <c r="C9" s="11" t="s">
        <v>28</v>
      </c>
      <c r="D9" s="9" t="s">
        <v>24</v>
      </c>
      <c r="E9" s="14">
        <v>42456</v>
      </c>
      <c r="F9" s="22" t="s">
        <v>27</v>
      </c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 t="s">
        <v>25</v>
      </c>
      <c r="C10" s="11" t="s">
        <v>28</v>
      </c>
      <c r="D10" s="9" t="s">
        <v>26</v>
      </c>
      <c r="E10" s="14">
        <v>42456</v>
      </c>
      <c r="F10" s="22" t="s">
        <v>27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4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1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30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5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40</v>
      </c>
      <c r="C7" s="11" t="s">
        <v>28</v>
      </c>
      <c r="D7" s="9" t="s">
        <v>31</v>
      </c>
      <c r="E7" s="14">
        <v>42463</v>
      </c>
      <c r="F7" s="22" t="s">
        <v>41</v>
      </c>
      <c r="G7" s="12">
        <v>1</v>
      </c>
      <c r="H7" s="45" t="s">
        <v>50</v>
      </c>
      <c r="I7" s="2"/>
      <c r="J7" s="2"/>
    </row>
    <row r="8" spans="1:11" ht="15" customHeight="1">
      <c r="A8" s="17">
        <f>+A7+1</f>
        <v>2</v>
      </c>
      <c r="B8" s="14" t="s">
        <v>32</v>
      </c>
      <c r="C8" s="11" t="s">
        <v>28</v>
      </c>
      <c r="D8" s="9" t="s">
        <v>33</v>
      </c>
      <c r="E8" s="14">
        <v>42464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1" t="s">
        <v>34</v>
      </c>
      <c r="C9" s="11" t="s">
        <v>28</v>
      </c>
      <c r="D9" s="9" t="s">
        <v>35</v>
      </c>
      <c r="E9" s="14">
        <v>42464</v>
      </c>
      <c r="F9" s="22" t="s">
        <v>27</v>
      </c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 t="s">
        <v>36</v>
      </c>
      <c r="C10" s="11" t="s">
        <v>28</v>
      </c>
      <c r="D10" s="9" t="s">
        <v>37</v>
      </c>
      <c r="E10" s="14">
        <v>42464</v>
      </c>
      <c r="F10" s="22" t="s">
        <v>27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38</v>
      </c>
      <c r="C11" s="11" t="s">
        <v>28</v>
      </c>
      <c r="D11" s="9" t="s">
        <v>39</v>
      </c>
      <c r="E11" s="14">
        <v>42474</v>
      </c>
      <c r="F11" s="22" t="s">
        <v>27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E14" sqref="E14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2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3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42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5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40</v>
      </c>
      <c r="C7" s="11" t="s">
        <v>28</v>
      </c>
      <c r="D7" s="9" t="s">
        <v>43</v>
      </c>
      <c r="E7" s="14">
        <v>42492</v>
      </c>
      <c r="F7" s="22" t="s">
        <v>41</v>
      </c>
      <c r="G7" s="12">
        <v>1</v>
      </c>
      <c r="H7" s="45" t="s">
        <v>51</v>
      </c>
      <c r="I7" s="2"/>
      <c r="J7" s="2"/>
    </row>
    <row r="8" spans="1:11" ht="15" customHeight="1">
      <c r="A8" s="17">
        <f>+A7+1</f>
        <v>2</v>
      </c>
      <c r="B8" s="14" t="s">
        <v>44</v>
      </c>
      <c r="C8" s="11" t="s">
        <v>28</v>
      </c>
      <c r="D8" s="9" t="s">
        <v>45</v>
      </c>
      <c r="E8" s="14">
        <v>42492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40</v>
      </c>
      <c r="C9" s="11" t="s">
        <v>28</v>
      </c>
      <c r="D9" s="9" t="s">
        <v>47</v>
      </c>
      <c r="E9" s="14">
        <v>42500</v>
      </c>
      <c r="F9" s="22" t="s">
        <v>41</v>
      </c>
      <c r="G9" s="12">
        <v>1</v>
      </c>
      <c r="H9" s="45" t="s">
        <v>53</v>
      </c>
      <c r="I9" s="2"/>
      <c r="J9" s="2"/>
    </row>
    <row r="10" spans="1:11" ht="15" customHeight="1">
      <c r="A10" s="17">
        <f t="shared" si="0"/>
        <v>4</v>
      </c>
      <c r="B10" s="21" t="s">
        <v>40</v>
      </c>
      <c r="C10" s="11" t="s">
        <v>28</v>
      </c>
      <c r="D10" s="9" t="s">
        <v>46</v>
      </c>
      <c r="E10" s="14">
        <v>42513</v>
      </c>
      <c r="F10" s="22" t="s">
        <v>41</v>
      </c>
      <c r="G10" s="12">
        <v>1</v>
      </c>
      <c r="H10" s="1" t="s">
        <v>52</v>
      </c>
      <c r="I10" s="1"/>
      <c r="J10" s="1"/>
    </row>
    <row r="11" spans="1:11" ht="15" customHeight="1">
      <c r="A11" s="17">
        <f t="shared" si="0"/>
        <v>5</v>
      </c>
      <c r="B11" s="14" t="s">
        <v>48</v>
      </c>
      <c r="C11" s="11" t="s">
        <v>28</v>
      </c>
      <c r="D11" s="9" t="s">
        <v>49</v>
      </c>
      <c r="E11" s="14">
        <v>42516</v>
      </c>
      <c r="F11" s="22" t="s">
        <v>27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7:F11">
    <sortCondition ref="E7:E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9" sqref="A1:F29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2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5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54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7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40</v>
      </c>
      <c r="C7" s="11" t="s">
        <v>28</v>
      </c>
      <c r="D7" s="9" t="s">
        <v>57</v>
      </c>
      <c r="E7" s="14">
        <v>42533</v>
      </c>
      <c r="F7" s="22" t="s">
        <v>55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4" t="s">
        <v>40</v>
      </c>
      <c r="C8" s="11" t="s">
        <v>28</v>
      </c>
      <c r="D8" s="9" t="s">
        <v>58</v>
      </c>
      <c r="E8" s="14">
        <v>42537</v>
      </c>
      <c r="F8" s="22" t="s">
        <v>56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40</v>
      </c>
      <c r="C9" s="11" t="s">
        <v>28</v>
      </c>
      <c r="D9" s="9" t="s">
        <v>60</v>
      </c>
      <c r="E9" s="14">
        <v>42542</v>
      </c>
      <c r="F9" s="22" t="s">
        <v>59</v>
      </c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 t="s">
        <v>40</v>
      </c>
      <c r="C10" s="11" t="s">
        <v>28</v>
      </c>
      <c r="D10" s="9" t="s">
        <v>62</v>
      </c>
      <c r="E10" s="14">
        <v>42543</v>
      </c>
      <c r="F10" s="22" t="s">
        <v>61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68</v>
      </c>
      <c r="C11" s="11" t="s">
        <v>28</v>
      </c>
      <c r="D11" s="9" t="s">
        <v>65</v>
      </c>
      <c r="E11" s="14">
        <v>42544</v>
      </c>
      <c r="F11" s="22" t="s">
        <v>27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 t="s">
        <v>66</v>
      </c>
      <c r="C12" s="11" t="s">
        <v>28</v>
      </c>
      <c r="D12" s="9" t="s">
        <v>67</v>
      </c>
      <c r="E12" s="14">
        <v>42544</v>
      </c>
      <c r="F12" s="22" t="s">
        <v>27</v>
      </c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 t="s">
        <v>40</v>
      </c>
      <c r="C13" s="11" t="s">
        <v>28</v>
      </c>
      <c r="D13" s="9" t="s">
        <v>64</v>
      </c>
      <c r="E13" s="14">
        <v>42551</v>
      </c>
      <c r="F13" s="22" t="s">
        <v>63</v>
      </c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7:F13">
    <sortCondition ref="D7:D1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9" sqref="A1:F29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6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1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69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7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 t="s">
        <v>40</v>
      </c>
      <c r="C7" s="11" t="s">
        <v>28</v>
      </c>
      <c r="D7" s="9" t="s">
        <v>82</v>
      </c>
      <c r="E7" s="14">
        <v>42555</v>
      </c>
      <c r="F7" s="22" t="s">
        <v>83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5" t="s">
        <v>70</v>
      </c>
      <c r="C8" s="11" t="s">
        <v>28</v>
      </c>
      <c r="D8" s="9" t="s">
        <v>71</v>
      </c>
      <c r="E8" s="14">
        <v>42565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72</v>
      </c>
      <c r="C9" s="11" t="s">
        <v>28</v>
      </c>
      <c r="D9" s="9" t="s">
        <v>73</v>
      </c>
      <c r="E9" s="14">
        <v>42565</v>
      </c>
      <c r="F9" s="22" t="s">
        <v>27</v>
      </c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 t="s">
        <v>74</v>
      </c>
      <c r="C10" s="11" t="s">
        <v>28</v>
      </c>
      <c r="D10" s="9" t="s">
        <v>75</v>
      </c>
      <c r="E10" s="14">
        <v>42568</v>
      </c>
      <c r="F10" s="22" t="s">
        <v>27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76</v>
      </c>
      <c r="C11" s="11" t="s">
        <v>28</v>
      </c>
      <c r="D11" s="9" t="s">
        <v>77</v>
      </c>
      <c r="E11" s="14">
        <v>42568</v>
      </c>
      <c r="F11" s="22" t="s">
        <v>27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 t="s">
        <v>78</v>
      </c>
      <c r="C12" s="11" t="s">
        <v>28</v>
      </c>
      <c r="D12" s="9" t="s">
        <v>79</v>
      </c>
      <c r="E12" s="14">
        <v>42571</v>
      </c>
      <c r="F12" s="22" t="s">
        <v>27</v>
      </c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 t="s">
        <v>80</v>
      </c>
      <c r="C13" s="11" t="s">
        <v>28</v>
      </c>
      <c r="D13" s="9" t="s">
        <v>81</v>
      </c>
      <c r="E13" s="14">
        <v>42579</v>
      </c>
      <c r="F13" s="22" t="s">
        <v>27</v>
      </c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7:F13">
    <sortCondition ref="E7:E1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9" sqref="A1:F29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0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2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88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2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 t="s">
        <v>40</v>
      </c>
      <c r="C7" s="11" t="s">
        <v>28</v>
      </c>
      <c r="D7" s="9" t="s">
        <v>84</v>
      </c>
      <c r="E7" s="14">
        <v>42604</v>
      </c>
      <c r="F7" s="22" t="s">
        <v>86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5" t="s">
        <v>40</v>
      </c>
      <c r="C8" s="11" t="s">
        <v>28</v>
      </c>
      <c r="D8" s="9" t="s">
        <v>85</v>
      </c>
      <c r="E8" s="14">
        <v>42605</v>
      </c>
      <c r="F8" s="22" t="s">
        <v>87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/>
      <c r="C9" s="11"/>
      <c r="D9" s="9"/>
      <c r="E9" s="14"/>
      <c r="F9" s="22"/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9" sqref="F9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2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1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89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3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 t="s">
        <v>40</v>
      </c>
      <c r="C7" s="11" t="s">
        <v>28</v>
      </c>
      <c r="D7" s="9" t="s">
        <v>90</v>
      </c>
      <c r="E7" s="14">
        <v>42642</v>
      </c>
      <c r="F7" s="22" t="s">
        <v>91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5" t="s">
        <v>92</v>
      </c>
      <c r="C8" s="11" t="s">
        <v>28</v>
      </c>
      <c r="D8" s="9" t="s">
        <v>93</v>
      </c>
      <c r="E8" s="14">
        <v>42642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94</v>
      </c>
      <c r="C9" s="11" t="s">
        <v>28</v>
      </c>
      <c r="D9" s="9" t="s">
        <v>95</v>
      </c>
      <c r="E9" s="14">
        <v>42642</v>
      </c>
      <c r="F9" s="22" t="s">
        <v>27</v>
      </c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A6" sqref="A6"/>
    </sheetView>
  </sheetViews>
  <sheetFormatPr defaultColWidth="11.42578125" defaultRowHeight="15"/>
  <cols>
    <col min="1" max="1" width="6.140625" customWidth="1"/>
    <col min="2" max="2" width="9.5703125" customWidth="1"/>
    <col min="6" max="6" width="18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0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0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96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0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/>
      <c r="C7" s="11"/>
      <c r="D7" s="9"/>
      <c r="E7" s="14"/>
      <c r="F7" s="22"/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5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/>
      <c r="C9" s="11"/>
      <c r="D9" s="9"/>
      <c r="E9" s="14"/>
      <c r="F9" s="22"/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selection activeCell="F29" sqref="A1:F29"/>
    </sheetView>
  </sheetViews>
  <sheetFormatPr defaultColWidth="11.42578125" defaultRowHeight="15"/>
  <cols>
    <col min="1" max="1" width="6.140625" customWidth="1"/>
    <col min="2" max="2" width="9.5703125" customWidth="1"/>
    <col min="6" max="6" width="21.28515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3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2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124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5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 t="s">
        <v>40</v>
      </c>
      <c r="C7" s="11" t="s">
        <v>28</v>
      </c>
      <c r="D7" s="9" t="s">
        <v>125</v>
      </c>
      <c r="E7" s="14">
        <v>42676</v>
      </c>
      <c r="F7" s="22" t="s">
        <v>126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5" t="s">
        <v>127</v>
      </c>
      <c r="C8" s="11" t="s">
        <v>128</v>
      </c>
      <c r="D8" s="9" t="s">
        <v>129</v>
      </c>
      <c r="E8" s="14">
        <v>42701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40</v>
      </c>
      <c r="C9" s="11" t="s">
        <v>28</v>
      </c>
      <c r="D9" s="9" t="s">
        <v>130</v>
      </c>
      <c r="E9" s="14">
        <v>42691</v>
      </c>
      <c r="F9" s="22" t="s">
        <v>131</v>
      </c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4" t="s">
        <v>132</v>
      </c>
      <c r="C10" s="11" t="s">
        <v>28</v>
      </c>
      <c r="D10" s="9" t="s">
        <v>133</v>
      </c>
      <c r="E10" s="14">
        <v>42682</v>
      </c>
      <c r="F10" s="22" t="s">
        <v>27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134</v>
      </c>
      <c r="C11" s="11" t="s">
        <v>28</v>
      </c>
      <c r="D11" s="9" t="s">
        <v>135</v>
      </c>
      <c r="E11" s="14">
        <v>42682</v>
      </c>
      <c r="F11" s="22" t="s">
        <v>27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F29" sqref="A1:F29"/>
    </sheetView>
  </sheetViews>
  <sheetFormatPr defaultColWidth="11.42578125" defaultRowHeight="15"/>
  <cols>
    <col min="1" max="1" width="6.140625" customWidth="1"/>
    <col min="2" max="2" width="9.5703125" customWidth="1"/>
    <col min="6" max="6" width="22.140625" customWidth="1"/>
    <col min="7" max="7" width="2.42578125" hidden="1" customWidth="1"/>
    <col min="8" max="8" width="29.85546875" customWidth="1"/>
  </cols>
  <sheetData>
    <row r="1" spans="1:11" ht="18">
      <c r="A1" s="46" t="s">
        <v>0</v>
      </c>
      <c r="B1" s="46"/>
      <c r="C1" s="46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0" t="s">
        <v>2</v>
      </c>
      <c r="B2" s="50"/>
      <c r="C2" s="50"/>
      <c r="D2" s="6"/>
      <c r="E2" s="5" t="s">
        <v>3</v>
      </c>
      <c r="F2" s="5"/>
      <c r="G2" s="4"/>
      <c r="H2" s="4"/>
      <c r="I2" s="47" t="s">
        <v>4</v>
      </c>
      <c r="J2" s="48"/>
      <c r="K2" s="18">
        <f ca="1">SUMIF(F7:F133,"Elimination*",G7:G83)</f>
        <v>10</v>
      </c>
    </row>
    <row r="3" spans="1:11">
      <c r="A3" s="51" t="s">
        <v>5</v>
      </c>
      <c r="B3" s="51"/>
      <c r="C3" s="51"/>
      <c r="D3" s="5"/>
      <c r="E3" s="5" t="s">
        <v>16</v>
      </c>
      <c r="F3" s="4"/>
      <c r="G3" s="4"/>
      <c r="H3" s="4"/>
      <c r="I3" s="47" t="s">
        <v>6</v>
      </c>
      <c r="J3" s="48"/>
      <c r="K3" s="18">
        <f ca="1">SUMIF(F7:F133,"NB*",G7:G83)</f>
        <v>3</v>
      </c>
    </row>
    <row r="4" spans="1:11" ht="18">
      <c r="A4" s="46" t="s">
        <v>7</v>
      </c>
      <c r="B4" s="46"/>
      <c r="C4" s="46"/>
      <c r="D4" s="46"/>
      <c r="E4" s="46"/>
      <c r="F4" s="46"/>
      <c r="G4" s="4"/>
      <c r="H4" s="4"/>
      <c r="I4" s="47" t="s">
        <v>8</v>
      </c>
      <c r="J4" s="48"/>
      <c r="K4" s="18">
        <f ca="1">SUMIF(F7:F133,"Ve*",G7:G83)</f>
        <v>0</v>
      </c>
    </row>
    <row r="5" spans="1:11" ht="15.75">
      <c r="A5" s="49" t="s">
        <v>97</v>
      </c>
      <c r="B5" s="49"/>
      <c r="C5" s="49"/>
      <c r="D5" s="49"/>
      <c r="E5" s="49"/>
      <c r="F5" s="49"/>
      <c r="G5" s="19"/>
      <c r="H5" s="19"/>
      <c r="I5" s="47" t="s">
        <v>9</v>
      </c>
      <c r="J5" s="48"/>
      <c r="K5" s="20">
        <f ca="1">SUM(K2:K4)</f>
        <v>13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4" t="s">
        <v>104</v>
      </c>
      <c r="C7" s="11" t="s">
        <v>28</v>
      </c>
      <c r="D7" s="9" t="s">
        <v>105</v>
      </c>
      <c r="E7" s="14">
        <v>42705</v>
      </c>
      <c r="F7" s="22" t="s">
        <v>27</v>
      </c>
      <c r="G7" s="12">
        <v>1</v>
      </c>
      <c r="H7" s="45"/>
      <c r="I7" s="2"/>
      <c r="J7" s="2"/>
    </row>
    <row r="8" spans="1:11" ht="15" customHeight="1">
      <c r="A8" s="17">
        <f>+A7+1</f>
        <v>2</v>
      </c>
      <c r="B8" s="14" t="s">
        <v>106</v>
      </c>
      <c r="C8" s="11" t="s">
        <v>28</v>
      </c>
      <c r="D8" s="9" t="s">
        <v>107</v>
      </c>
      <c r="E8" s="14">
        <v>42705</v>
      </c>
      <c r="F8" s="22" t="s">
        <v>27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14" t="s">
        <v>40</v>
      </c>
      <c r="C9" s="11" t="s">
        <v>28</v>
      </c>
      <c r="D9" s="9" t="s">
        <v>98</v>
      </c>
      <c r="E9" s="14">
        <v>42710</v>
      </c>
      <c r="F9" s="22" t="s">
        <v>99</v>
      </c>
      <c r="G9" s="12">
        <v>1</v>
      </c>
      <c r="H9" s="45"/>
      <c r="I9" s="2"/>
      <c r="J9" s="2"/>
    </row>
    <row r="10" spans="1:11" ht="15" customHeight="1">
      <c r="A10" s="17">
        <f t="shared" si="0"/>
        <v>4</v>
      </c>
      <c r="B10" s="15" t="s">
        <v>40</v>
      </c>
      <c r="C10" s="11" t="s">
        <v>28</v>
      </c>
      <c r="D10" s="9" t="s">
        <v>100</v>
      </c>
      <c r="E10" s="14">
        <v>42710</v>
      </c>
      <c r="F10" s="22" t="s">
        <v>101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40</v>
      </c>
      <c r="C11" s="11" t="s">
        <v>28</v>
      </c>
      <c r="D11" s="9" t="s">
        <v>102</v>
      </c>
      <c r="E11" s="14">
        <v>42710</v>
      </c>
      <c r="F11" s="22" t="s">
        <v>103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 t="s">
        <v>108</v>
      </c>
      <c r="C12" s="11" t="s">
        <v>28</v>
      </c>
      <c r="D12" s="9" t="s">
        <v>109</v>
      </c>
      <c r="E12" s="14">
        <v>42722</v>
      </c>
      <c r="F12" s="22" t="s">
        <v>27</v>
      </c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 t="s">
        <v>110</v>
      </c>
      <c r="C13" s="11" t="s">
        <v>28</v>
      </c>
      <c r="D13" s="9" t="s">
        <v>111</v>
      </c>
      <c r="E13" s="14">
        <v>42722</v>
      </c>
      <c r="F13" s="22" t="s">
        <v>27</v>
      </c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 t="s">
        <v>118</v>
      </c>
      <c r="C14" s="11" t="s">
        <v>28</v>
      </c>
      <c r="D14" s="9" t="s">
        <v>112</v>
      </c>
      <c r="E14" s="14">
        <v>42722</v>
      </c>
      <c r="F14" s="22" t="s">
        <v>27</v>
      </c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 t="s">
        <v>119</v>
      </c>
      <c r="C15" s="11" t="s">
        <v>28</v>
      </c>
      <c r="D15" s="9" t="s">
        <v>113</v>
      </c>
      <c r="E15" s="14">
        <v>42722</v>
      </c>
      <c r="F15" s="22" t="s">
        <v>27</v>
      </c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 t="s">
        <v>120</v>
      </c>
      <c r="C16" s="11" t="s">
        <v>28</v>
      </c>
      <c r="D16" s="9" t="s">
        <v>114</v>
      </c>
      <c r="E16" s="14">
        <v>42722</v>
      </c>
      <c r="F16" s="22" t="s">
        <v>27</v>
      </c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 t="s">
        <v>121</v>
      </c>
      <c r="C17" s="11" t="s">
        <v>28</v>
      </c>
      <c r="D17" s="9" t="s">
        <v>115</v>
      </c>
      <c r="E17" s="10">
        <v>42723</v>
      </c>
      <c r="F17" s="22" t="s">
        <v>27</v>
      </c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 t="s">
        <v>122</v>
      </c>
      <c r="C18" s="11" t="s">
        <v>28</v>
      </c>
      <c r="D18" s="9" t="s">
        <v>116</v>
      </c>
      <c r="E18" s="10">
        <v>42723</v>
      </c>
      <c r="F18" s="22" t="s">
        <v>27</v>
      </c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 t="s">
        <v>123</v>
      </c>
      <c r="C19" s="11" t="s">
        <v>28</v>
      </c>
      <c r="D19" s="9" t="s">
        <v>117</v>
      </c>
      <c r="E19" s="10">
        <v>42723</v>
      </c>
      <c r="F19" s="22" t="s">
        <v>27</v>
      </c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7:F19">
    <sortCondition ref="E7:E19"/>
    <sortCondition ref="D7:D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Janvier 2016</vt:lpstr>
      <vt:lpstr>Février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  <vt:lpstr>'AOUT 2016'!Print_Titles</vt:lpstr>
      <vt:lpstr>'Avril 2016'!Print_Titles</vt:lpstr>
      <vt:lpstr>'DECEMBRE 2016'!Print_Titles</vt:lpstr>
      <vt:lpstr>'Février 2016'!Print_Titles</vt:lpstr>
      <vt:lpstr>'Janvier 2016'!Print_Titles</vt:lpstr>
      <vt:lpstr>'JUILLET 2016'!Print_Titles</vt:lpstr>
      <vt:lpstr>'JUIN 2016'!Print_Titles</vt:lpstr>
      <vt:lpstr>'Mai 2016'!Print_Titles</vt:lpstr>
      <vt:lpstr>'Mars 2016'!Print_Titles</vt:lpstr>
      <vt:lpstr>'NOVEMBRE 2016'!Print_Titles</vt:lpstr>
      <vt:lpstr>'OCTOBRE 2016'!Print_Titles</vt:lpstr>
      <vt:lpstr>'SEPTEMBRE 2016'!Print_Titles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2017-02-04T09:37:59Z</cp:lastPrinted>
  <dcterms:created xsi:type="dcterms:W3CDTF">2014-12-31T15:00:30Z</dcterms:created>
  <dcterms:modified xsi:type="dcterms:W3CDTF">2017-02-04T09:38:50Z</dcterms:modified>
</cp:coreProperties>
</file>