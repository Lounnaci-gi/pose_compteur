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555" yWindow="75" windowWidth="11700" windowHeight="6825" firstSheet="6" activeTab="10"/>
  </bookViews>
  <sheets>
    <sheet name="JANVIER 2016" sheetId="1" r:id="rId1"/>
    <sheet name="FEVRIER 2016" sheetId="2" r:id="rId2"/>
    <sheet name="MARS 2016" sheetId="3" r:id="rId3"/>
    <sheet name="AVRIL 2016" sheetId="4" r:id="rId4"/>
    <sheet name="MAI 2016" sheetId="5" r:id="rId5"/>
    <sheet name="JUIN 2016" sheetId="6" r:id="rId6"/>
    <sheet name="JUILLET 2016" sheetId="7" r:id="rId7"/>
    <sheet name="AOUT 2016" sheetId="8" r:id="rId8"/>
    <sheet name="SEPTEMBRE 2016" sheetId="9" r:id="rId9"/>
    <sheet name="OCTOBRE 2016" sheetId="10" r:id="rId10"/>
    <sheet name="NOVEMBRE 2016" sheetId="11" r:id="rId11"/>
    <sheet name="DECEMBRE 2016" sheetId="12" r:id="rId12"/>
  </sheets>
  <calcPr calcId="125725"/>
</workbook>
</file>

<file path=xl/calcChain.xml><?xml version="1.0" encoding="utf-8"?>
<calcChain xmlns="http://schemas.openxmlformats.org/spreadsheetml/2006/main">
  <c r="J41" i="12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1" s="1"/>
  <c r="J41" i="11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K41" s="1"/>
  <c r="F11"/>
  <c r="L11" s="1"/>
  <c r="K10"/>
  <c r="F10"/>
  <c r="F41" s="1"/>
  <c r="J41" i="10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K41" s="1"/>
  <c r="F11"/>
  <c r="L11" s="1"/>
  <c r="K10"/>
  <c r="F10"/>
  <c r="F41" s="1"/>
  <c r="J41" i="9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J41" i="8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F41" s="1"/>
  <c r="J41" i="7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F41" s="1"/>
  <c r="J41" i="6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K41" s="1"/>
  <c r="F11"/>
  <c r="L11" s="1"/>
  <c r="K10"/>
  <c r="F10"/>
  <c r="F41" s="1"/>
  <c r="J41" i="5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F41" s="1"/>
  <c r="J41" i="4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J41" i="3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F41" s="1"/>
  <c r="L28" i="12" l="1"/>
  <c r="K41"/>
  <c r="L10"/>
  <c r="L41" s="1"/>
  <c r="G47" s="1"/>
  <c r="G48" s="1"/>
  <c r="G50" s="1"/>
  <c r="L10" i="11"/>
  <c r="L41" s="1"/>
  <c r="G47" s="1"/>
  <c r="G48" s="1"/>
  <c r="G50" s="1"/>
  <c r="L10" i="10"/>
  <c r="L41" s="1"/>
  <c r="G47" s="1"/>
  <c r="G48" s="1"/>
  <c r="G50" s="1"/>
  <c r="L11" i="9"/>
  <c r="L41" s="1"/>
  <c r="G47" s="1"/>
  <c r="G48" s="1"/>
  <c r="G50" s="1"/>
  <c r="L10" i="8"/>
  <c r="L41" s="1"/>
  <c r="G47" s="1"/>
  <c r="G48" s="1"/>
  <c r="G50" s="1"/>
  <c r="L10" i="7"/>
  <c r="L41" s="1"/>
  <c r="G47" s="1"/>
  <c r="G48" s="1"/>
  <c r="G50" s="1"/>
  <c r="L24" i="6"/>
  <c r="L10"/>
  <c r="L20" i="4"/>
  <c r="F41"/>
  <c r="L10" i="5"/>
  <c r="L41" s="1"/>
  <c r="G47" s="1"/>
  <c r="G48" s="1"/>
  <c r="G50" s="1"/>
  <c r="L10" i="4"/>
  <c r="L10" i="3"/>
  <c r="L41" s="1"/>
  <c r="G47" s="1"/>
  <c r="G48" s="1"/>
  <c r="G50" s="1"/>
  <c r="J40" i="2"/>
  <c r="I40"/>
  <c r="H40"/>
  <c r="G40"/>
  <c r="E40"/>
  <c r="D40"/>
  <c r="C40"/>
  <c r="B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K11"/>
  <c r="F11"/>
  <c r="K10"/>
  <c r="F10"/>
  <c r="K9"/>
  <c r="K40" s="1"/>
  <c r="F9"/>
  <c r="L41" i="6" l="1"/>
  <c r="G47" s="1"/>
  <c r="G48" s="1"/>
  <c r="G50" s="1"/>
  <c r="L9" i="2"/>
  <c r="F4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1" i="4"/>
  <c r="G47" s="1"/>
  <c r="G48" s="1"/>
  <c r="G50" s="1"/>
  <c r="L10" i="2"/>
  <c r="L40" s="1"/>
  <c r="G46" s="1"/>
  <c r="G47" s="1"/>
  <c r="G49" s="1"/>
  <c r="H41" i="1"/>
  <c r="I41"/>
  <c r="J41"/>
  <c r="G41"/>
  <c r="K11"/>
  <c r="K12"/>
  <c r="L12" s="1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L40" s="1"/>
  <c r="K10"/>
  <c r="C41"/>
  <c r="D41"/>
  <c r="E41"/>
  <c r="B41"/>
  <c r="F11"/>
  <c r="L11" s="1"/>
  <c r="F12"/>
  <c r="F13"/>
  <c r="F14"/>
  <c r="F15"/>
  <c r="F16"/>
  <c r="F17"/>
  <c r="F18"/>
  <c r="F19"/>
  <c r="L19" s="1"/>
  <c r="F20"/>
  <c r="F21"/>
  <c r="F22"/>
  <c r="F23"/>
  <c r="L23" s="1"/>
  <c r="F24"/>
  <c r="F25"/>
  <c r="F26"/>
  <c r="F27"/>
  <c r="L27" s="1"/>
  <c r="F28"/>
  <c r="F29"/>
  <c r="F30"/>
  <c r="F31"/>
  <c r="L31" s="1"/>
  <c r="F32"/>
  <c r="F33"/>
  <c r="F34"/>
  <c r="F35"/>
  <c r="L35" s="1"/>
  <c r="F36"/>
  <c r="F37"/>
  <c r="F38"/>
  <c r="F39"/>
  <c r="L39" s="1"/>
  <c r="F40"/>
  <c r="F10"/>
  <c r="L10" s="1"/>
  <c r="L38" l="1"/>
  <c r="L36"/>
  <c r="L32"/>
  <c r="L24"/>
  <c r="L18"/>
  <c r="L29"/>
  <c r="L21"/>
  <c r="L17"/>
  <c r="L33"/>
  <c r="L26"/>
  <c r="L37"/>
  <c r="L25"/>
  <c r="L13"/>
  <c r="L16"/>
  <c r="L15"/>
  <c r="L30"/>
  <c r="L14"/>
  <c r="L34"/>
  <c r="L28"/>
  <c r="F41"/>
  <c r="L22"/>
  <c r="L20"/>
  <c r="K41"/>
  <c r="L41" l="1"/>
  <c r="G47" s="1"/>
  <c r="G48" s="1"/>
  <c r="G50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<sst xmlns="http://schemas.openxmlformats.org/spreadsheetml/2006/main" count="409" uniqueCount="42">
  <si>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</si>
  <si>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</si>
  <si>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</si>
  <si>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</si>
  <si>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</si>
  <si>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</si>
  <si>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</si>
  <si>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</si>
  <si>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</si>
  <si>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</si>
  <si>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</si>
  <si>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</si>
  <si>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</si>
  <si>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</si>
  <si>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</si>
  <si>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</si>
  <si>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</si>
  <si>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</si>
  <si>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</si>
  <si>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</si>
  <si>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</si>
  <si>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</si>
  <si>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</si>
  <si>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</si>
  <si>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</si>
  <si>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</si>
  <si>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</si>
  <si>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</si>
  <si>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 xml:space="preserve">Antenne </t>
    </r>
    <r>
      <rPr>
        <sz val="10"/>
        <rFont val="Arial"/>
        <family val="2"/>
      </rPr>
      <t xml:space="preserve"> : ROBAIA</t>
    </r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</si>
  <si>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</si>
  <si>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</si>
  <si>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</si>
  <si>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</si>
  <si>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</si>
  <si>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</si>
  <si>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</si>
  <si>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</si>
  <si>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</si>
  <si>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</si>
  <si>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</si>
  <si>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01 Compteur Fraction Ouled Saîfia</t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</si>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</sst>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13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95250</xdr:rowOff>
    </xdr:from>
    <xdr:to>
      <xdr:col>11</xdr:col>
      <xdr:colOff>501650</xdr:colOff>
      <xdr:row>49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5248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41</xdr:row>
      <xdr:rowOff>114300</xdr:rowOff>
    </xdr:from>
    <xdr:to>
      <xdr:col>11</xdr:col>
      <xdr:colOff>454025</xdr:colOff>
      <xdr:row>48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5439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3153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3153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3153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3153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1629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1629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1629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1629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1629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42</xdr:row>
      <xdr:rowOff>114300</xdr:rowOff>
    </xdr:from>
    <xdr:to>
      <xdr:col>11</xdr:col>
      <xdr:colOff>454025</xdr:colOff>
      <xdr:row>49</xdr:row>
      <xdr:rowOff>25400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62600" y="81629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opLeftCell="A34" workbookViewId="0">
      <selection activeCell="G49" sqref="G49:H49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6" customHeight="1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29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3.75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12">
        <f>SUM(B10:B40)</f>
        <v>0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18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0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18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18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topLeftCell="A43" workbookViewId="0">
      <selection activeCell="G10" sqref="G1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18">
      <c r="A4" s="80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2" ht="15.75">
      <c r="A5" s="81" t="s">
        <v>30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</row>
    <row r="6" spans="1:12" ht="4.5" customHeight="1" thickBot="1">
      <c r="A6" s="3" t="s">
        <v>6</v>
      </c>
      <c r="B6" s="13"/>
      <c r="C6" s="14"/>
      <c r="D6" s="14"/>
      <c r="E6" s="14"/>
      <c r="F6" s="13"/>
      <c r="G6" s="13"/>
      <c r="H6" s="84"/>
      <c r="I6" s="84"/>
      <c r="J6" s="14"/>
      <c r="K6" s="40"/>
      <c r="L6" s="4"/>
    </row>
    <row r="7" spans="1:12">
      <c r="A7" s="85" t="s">
        <v>7</v>
      </c>
      <c r="B7" s="87" t="s">
        <v>8</v>
      </c>
      <c r="C7" s="88"/>
      <c r="D7" s="88"/>
      <c r="E7" s="88"/>
      <c r="F7" s="89"/>
      <c r="G7" s="90" t="s">
        <v>9</v>
      </c>
      <c r="H7" s="88"/>
      <c r="I7" s="88"/>
      <c r="J7" s="88"/>
      <c r="K7" s="89"/>
      <c r="L7" s="91" t="s">
        <v>10</v>
      </c>
    </row>
    <row r="8" spans="1:12" ht="15.75" thickBot="1">
      <c r="A8" s="86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2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52">
        <f>SUM(B9:B39)</f>
        <v>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4.5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3"/>
      <c r="B42" s="93"/>
      <c r="C42" s="93"/>
      <c r="D42" s="93"/>
      <c r="E42" s="93"/>
      <c r="F42" s="93"/>
      <c r="G42" s="94" t="s">
        <v>17</v>
      </c>
      <c r="H42" s="95"/>
      <c r="I42" s="95" t="s">
        <v>18</v>
      </c>
      <c r="J42" s="96"/>
      <c r="K42" s="13"/>
      <c r="L42" s="15"/>
    </row>
    <row r="43" spans="1:12" ht="15.75" thickBot="1">
      <c r="A43" s="16"/>
      <c r="B43" s="97" t="s">
        <v>19</v>
      </c>
      <c r="C43" s="98"/>
      <c r="D43" s="98"/>
      <c r="E43" s="98"/>
      <c r="F43" s="98"/>
      <c r="G43" s="99">
        <v>18</v>
      </c>
      <c r="H43" s="100"/>
      <c r="I43" s="101"/>
      <c r="J43" s="102"/>
      <c r="K43" s="13"/>
      <c r="L43" s="15"/>
    </row>
    <row r="44" spans="1:12" ht="15.75" thickBot="1">
      <c r="A44" s="16"/>
      <c r="B44" s="97" t="s">
        <v>20</v>
      </c>
      <c r="C44" s="98"/>
      <c r="D44" s="98"/>
      <c r="E44" s="98"/>
      <c r="F44" s="98"/>
      <c r="G44" s="103">
        <v>0</v>
      </c>
      <c r="H44" s="104"/>
      <c r="I44" s="103"/>
      <c r="J44" s="104"/>
      <c r="K44" s="13"/>
      <c r="L44" s="15"/>
    </row>
    <row r="45" spans="1:12" ht="15.75" thickBot="1">
      <c r="A45" s="16"/>
      <c r="B45" s="105" t="s">
        <v>21</v>
      </c>
      <c r="C45" s="105"/>
      <c r="D45" s="105"/>
      <c r="E45" s="105"/>
      <c r="F45" s="97"/>
      <c r="G45" s="106">
        <v>0</v>
      </c>
      <c r="H45" s="107"/>
      <c r="I45" s="99"/>
      <c r="J45" s="108"/>
      <c r="K45" s="13"/>
      <c r="L45" s="15"/>
    </row>
    <row r="46" spans="1:12" ht="15.75" thickBot="1">
      <c r="A46" s="16"/>
      <c r="B46" s="97" t="s">
        <v>22</v>
      </c>
      <c r="C46" s="98"/>
      <c r="D46" s="98"/>
      <c r="E46" s="98"/>
      <c r="F46" s="98"/>
      <c r="G46" s="109">
        <f>L40+G45</f>
        <v>0</v>
      </c>
      <c r="H46" s="104"/>
      <c r="I46" s="103"/>
      <c r="J46" s="104"/>
      <c r="K46" s="13"/>
      <c r="L46" s="15"/>
    </row>
    <row r="47" spans="1:12" ht="15.75" thickBot="1">
      <c r="A47" s="5"/>
      <c r="B47" s="97" t="s">
        <v>23</v>
      </c>
      <c r="C47" s="98"/>
      <c r="D47" s="98"/>
      <c r="E47" s="98"/>
      <c r="F47" s="98"/>
      <c r="G47" s="109">
        <f>G43+G44-G46</f>
        <v>18</v>
      </c>
      <c r="H47" s="104"/>
      <c r="I47" s="103"/>
      <c r="J47" s="104"/>
      <c r="K47" s="13"/>
      <c r="L47" s="4"/>
    </row>
    <row r="48" spans="1:12" ht="15.75" thickBot="1">
      <c r="A48" s="5"/>
      <c r="B48" s="97" t="s">
        <v>24</v>
      </c>
      <c r="C48" s="98"/>
      <c r="D48" s="98"/>
      <c r="E48" s="98"/>
      <c r="F48" s="98"/>
      <c r="G48" s="103">
        <v>18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25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A7" sqref="A7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5">
        <f>SUM(B10:B40)</f>
        <v>0</v>
      </c>
      <c r="C41" s="55">
        <f t="shared" ref="C41:E41" si="3">SUM(C10:C40)</f>
        <v>0</v>
      </c>
      <c r="D41" s="55">
        <f t="shared" si="3"/>
        <v>0</v>
      </c>
      <c r="E41" s="55">
        <f t="shared" si="3"/>
        <v>0</v>
      </c>
      <c r="F41" s="54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18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0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18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18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1"/>
  <sheetViews>
    <sheetView topLeftCell="A34" workbookViewId="0">
      <selection activeCell="G50" sqref="G50:H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31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>
        <v>1</v>
      </c>
      <c r="C13" s="25"/>
      <c r="D13" s="25"/>
      <c r="E13" s="26"/>
      <c r="F13" s="20">
        <f t="shared" si="0"/>
        <v>1</v>
      </c>
      <c r="G13" s="34">
        <v>7</v>
      </c>
      <c r="H13" s="25"/>
      <c r="I13" s="25"/>
      <c r="J13" s="25"/>
      <c r="K13" s="18">
        <f t="shared" si="1"/>
        <v>7</v>
      </c>
      <c r="L13" s="8">
        <f t="shared" si="2"/>
        <v>8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>
        <v>1</v>
      </c>
      <c r="C19" s="25"/>
      <c r="D19" s="25"/>
      <c r="E19" s="26"/>
      <c r="F19" s="20">
        <f t="shared" si="0"/>
        <v>1</v>
      </c>
      <c r="G19" s="35"/>
      <c r="H19" s="25"/>
      <c r="I19" s="25"/>
      <c r="J19" s="25"/>
      <c r="K19" s="18">
        <f t="shared" si="1"/>
        <v>0</v>
      </c>
      <c r="L19" s="8">
        <f t="shared" si="2"/>
        <v>1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5">
        <f>SUM(B10:B40)</f>
        <v>2</v>
      </c>
      <c r="C41" s="55">
        <f t="shared" ref="C41:E41" si="3">SUM(C10:C40)</f>
        <v>0</v>
      </c>
      <c r="D41" s="55">
        <f t="shared" si="3"/>
        <v>0</v>
      </c>
      <c r="E41" s="55">
        <f t="shared" si="3"/>
        <v>0</v>
      </c>
      <c r="F41" s="54">
        <f>SUM(F10:F40)</f>
        <v>2</v>
      </c>
      <c r="G41" s="19">
        <f>SUM(G10:G40)</f>
        <v>7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7</v>
      </c>
      <c r="L41" s="19">
        <f t="shared" si="4"/>
        <v>9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18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9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9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9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G49" sqref="G49:H49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>
      <c r="A4" s="5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33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7">
        <f>SUM(B10:B40)</f>
        <v>0</v>
      </c>
      <c r="C41" s="57">
        <f t="shared" ref="C41:E41" si="3">SUM(C10:C40)</f>
        <v>0</v>
      </c>
      <c r="D41" s="57">
        <f t="shared" si="3"/>
        <v>0</v>
      </c>
      <c r="E41" s="57">
        <f t="shared" si="3"/>
        <v>0</v>
      </c>
      <c r="F41" s="56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9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0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9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9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D12" sqref="D1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3" customHeight="1">
      <c r="A4" s="59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34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1</v>
      </c>
      <c r="H30" s="25"/>
      <c r="I30" s="25"/>
      <c r="J30" s="25"/>
      <c r="K30" s="18">
        <f t="shared" si="1"/>
        <v>1</v>
      </c>
      <c r="L30" s="8">
        <f t="shared" si="2"/>
        <v>1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61">
        <f>SUM(B10:B40)</f>
        <v>0</v>
      </c>
      <c r="C41" s="61">
        <f t="shared" ref="C41:E41" si="3">SUM(C10:C40)</f>
        <v>0</v>
      </c>
      <c r="D41" s="61">
        <f t="shared" si="3"/>
        <v>0</v>
      </c>
      <c r="E41" s="61">
        <f t="shared" si="3"/>
        <v>0</v>
      </c>
      <c r="F41" s="60">
        <f>SUM(F10:F40)</f>
        <v>0</v>
      </c>
      <c r="G41" s="19">
        <f>SUM(G10:G40)</f>
        <v>1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</v>
      </c>
      <c r="L41" s="19">
        <f t="shared" si="4"/>
        <v>1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9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1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8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8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1"/>
  <sheetViews>
    <sheetView topLeftCell="A25" workbookViewId="0">
      <selection activeCell="A7" sqref="A7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3" customHeight="1">
      <c r="A4" s="64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35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63">
        <f>SUM(B10:B40)</f>
        <v>0</v>
      </c>
      <c r="C41" s="63">
        <f t="shared" ref="C41:E41" si="3">SUM(C10:C40)</f>
        <v>0</v>
      </c>
      <c r="D41" s="63">
        <f t="shared" si="3"/>
        <v>0</v>
      </c>
      <c r="E41" s="63">
        <f t="shared" si="3"/>
        <v>0</v>
      </c>
      <c r="F41" s="62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8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0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8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8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1"/>
  <sheetViews>
    <sheetView topLeftCell="A34" workbookViewId="0">
      <selection activeCell="A7" sqref="A7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3" customHeight="1">
      <c r="A4" s="65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36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67">
        <f>SUM(B10:B40)</f>
        <v>0</v>
      </c>
      <c r="C41" s="67">
        <f t="shared" ref="C41:E41" si="3">SUM(C10:C40)</f>
        <v>0</v>
      </c>
      <c r="D41" s="67">
        <f t="shared" si="3"/>
        <v>0</v>
      </c>
      <c r="E41" s="67">
        <f t="shared" si="3"/>
        <v>0</v>
      </c>
      <c r="F41" s="66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8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0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8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8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1"/>
  <sheetViews>
    <sheetView topLeftCell="A37" workbookViewId="0">
      <selection activeCell="A7" sqref="A7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3" customHeight="1">
      <c r="A4" s="7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37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69">
        <f>SUM(B10:B40)</f>
        <v>0</v>
      </c>
      <c r="C41" s="69">
        <f t="shared" ref="C41:E41" si="3">SUM(C10:C40)</f>
        <v>0</v>
      </c>
      <c r="D41" s="69">
        <f t="shared" si="3"/>
        <v>0</v>
      </c>
      <c r="E41" s="69">
        <f t="shared" si="3"/>
        <v>0</v>
      </c>
      <c r="F41" s="68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8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0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8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8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G49" sqref="G49:H49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3" customHeight="1">
      <c r="A4" s="7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38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7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73">
        <f>SUM(B10:B40)</f>
        <v>0</v>
      </c>
      <c r="C41" s="73">
        <f t="shared" ref="C41:E41" si="3">SUM(C10:C40)</f>
        <v>0</v>
      </c>
      <c r="D41" s="73">
        <f t="shared" si="3"/>
        <v>0</v>
      </c>
      <c r="E41" s="73">
        <f t="shared" si="3"/>
        <v>0</v>
      </c>
      <c r="F41" s="72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8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1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0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9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9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3"/>
  <sheetViews>
    <sheetView tabSelected="1" topLeftCell="A34" workbookViewId="0">
      <selection activeCell="L53" sqref="A1:L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3" customHeight="1">
      <c r="A4" s="7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39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>
        <v>4</v>
      </c>
      <c r="C16" s="25"/>
      <c r="D16" s="25"/>
      <c r="E16" s="27"/>
      <c r="F16" s="20">
        <f t="shared" si="0"/>
        <v>4</v>
      </c>
      <c r="G16" s="33"/>
      <c r="H16" s="25"/>
      <c r="I16" s="25"/>
      <c r="J16" s="25"/>
      <c r="K16" s="18">
        <f t="shared" si="1"/>
        <v>0</v>
      </c>
      <c r="L16" s="8">
        <f t="shared" si="2"/>
        <v>4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75">
        <f>SUM(B10:B40)</f>
        <v>4</v>
      </c>
      <c r="C41" s="75">
        <f t="shared" ref="C41:E41" si="3">SUM(C10:C40)</f>
        <v>0</v>
      </c>
      <c r="D41" s="75">
        <f t="shared" si="3"/>
        <v>0</v>
      </c>
      <c r="E41" s="75">
        <f t="shared" si="3"/>
        <v>0</v>
      </c>
      <c r="F41" s="74">
        <f>SUM(F10:F40)</f>
        <v>4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4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9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4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5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4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1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>
      <c r="B53" t="s">
        <v>40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1"/>
  <sheetViews>
    <sheetView topLeftCell="A30" workbookViewId="0">
      <selection activeCell="E38" sqref="E38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0" t="s">
        <v>0</v>
      </c>
      <c r="B1" s="80"/>
      <c r="C1" s="80"/>
      <c r="D1" s="80"/>
      <c r="E1" s="38"/>
      <c r="F1" s="39"/>
      <c r="G1" s="81" t="s">
        <v>1</v>
      </c>
      <c r="H1" s="81"/>
      <c r="I1" s="81"/>
      <c r="J1" s="81"/>
      <c r="K1" s="81"/>
      <c r="L1" s="81"/>
    </row>
    <row r="2" spans="1:12" ht="15.75">
      <c r="A2" s="81" t="s">
        <v>2</v>
      </c>
      <c r="B2" s="81"/>
      <c r="C2" s="81"/>
      <c r="D2" s="81"/>
      <c r="E2" s="38"/>
      <c r="F2" s="39"/>
      <c r="G2" s="82" t="s">
        <v>3</v>
      </c>
      <c r="H2" s="82"/>
      <c r="I2" s="82"/>
      <c r="J2" s="82"/>
      <c r="K2" s="82"/>
      <c r="L2" s="82"/>
    </row>
    <row r="3" spans="1:12">
      <c r="A3" s="82" t="s">
        <v>4</v>
      </c>
      <c r="B3" s="82"/>
      <c r="C3" s="82"/>
      <c r="D3" s="82"/>
      <c r="E3" s="38"/>
      <c r="F3" s="39"/>
      <c r="G3" s="82" t="s">
        <v>28</v>
      </c>
      <c r="H3" s="82"/>
      <c r="I3" s="82"/>
      <c r="J3" s="82"/>
      <c r="K3" s="82"/>
      <c r="L3" s="82"/>
    </row>
    <row r="4" spans="1:12" ht="3" customHeight="1">
      <c r="A4" s="77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0" t="s">
        <v>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5.75">
      <c r="A6" s="81" t="s">
        <v>41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9" customHeight="1" thickBot="1">
      <c r="A7" s="3" t="s">
        <v>6</v>
      </c>
      <c r="B7" s="13"/>
      <c r="C7" s="14"/>
      <c r="D7" s="14"/>
      <c r="E7" s="14"/>
      <c r="F7" s="13"/>
      <c r="G7" s="13"/>
      <c r="H7" s="84"/>
      <c r="I7" s="84"/>
      <c r="J7" s="14"/>
      <c r="K7" s="40"/>
      <c r="L7" s="4"/>
    </row>
    <row r="8" spans="1:12">
      <c r="A8" s="85" t="s">
        <v>7</v>
      </c>
      <c r="B8" s="87" t="s">
        <v>8</v>
      </c>
      <c r="C8" s="88"/>
      <c r="D8" s="88"/>
      <c r="E8" s="88"/>
      <c r="F8" s="89"/>
      <c r="G8" s="90" t="s">
        <v>9</v>
      </c>
      <c r="H8" s="88"/>
      <c r="I8" s="88"/>
      <c r="J8" s="88"/>
      <c r="K8" s="89"/>
      <c r="L8" s="91" t="s">
        <v>10</v>
      </c>
    </row>
    <row r="9" spans="1:12" ht="15.75" thickBot="1">
      <c r="A9" s="86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2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>
        <v>1</v>
      </c>
      <c r="H10" s="32"/>
      <c r="I10" s="32"/>
      <c r="J10" s="32"/>
      <c r="K10" s="18">
        <f>SUM(G10:J10)</f>
        <v>1</v>
      </c>
      <c r="L10" s="8">
        <f>SUM(F10+K10)</f>
        <v>1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7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>
        <v>2</v>
      </c>
      <c r="C34" s="25"/>
      <c r="D34" s="25"/>
      <c r="E34" s="26"/>
      <c r="F34" s="20">
        <f t="shared" si="0"/>
        <v>2</v>
      </c>
      <c r="G34" s="33"/>
      <c r="H34" s="25"/>
      <c r="I34" s="25"/>
      <c r="J34" s="25"/>
      <c r="K34" s="18">
        <f t="shared" si="1"/>
        <v>0</v>
      </c>
      <c r="L34" s="8">
        <f t="shared" si="2"/>
        <v>2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79">
        <f>SUM(B10:B40)</f>
        <v>2</v>
      </c>
      <c r="C41" s="79">
        <f t="shared" ref="C41:E41" si="3">SUM(C10:C40)</f>
        <v>0</v>
      </c>
      <c r="D41" s="79">
        <f t="shared" si="3"/>
        <v>0</v>
      </c>
      <c r="E41" s="79">
        <f t="shared" si="3"/>
        <v>0</v>
      </c>
      <c r="F41" s="78">
        <f>SUM(F10:F40)</f>
        <v>2</v>
      </c>
      <c r="G41" s="19">
        <f>SUM(G10:G40)</f>
        <v>1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</v>
      </c>
      <c r="L41" s="19">
        <f t="shared" si="4"/>
        <v>3</v>
      </c>
    </row>
    <row r="42" spans="1:12" ht="4.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3"/>
      <c r="B43" s="93"/>
      <c r="C43" s="93"/>
      <c r="D43" s="93"/>
      <c r="E43" s="93"/>
      <c r="F43" s="93"/>
      <c r="G43" s="94" t="s">
        <v>17</v>
      </c>
      <c r="H43" s="95"/>
      <c r="I43" s="95" t="s">
        <v>18</v>
      </c>
      <c r="J43" s="96"/>
      <c r="K43" s="13"/>
      <c r="L43" s="15"/>
    </row>
    <row r="44" spans="1:12" ht="15.75" thickBot="1">
      <c r="A44" s="16"/>
      <c r="B44" s="97" t="s">
        <v>19</v>
      </c>
      <c r="C44" s="98"/>
      <c r="D44" s="98"/>
      <c r="E44" s="98"/>
      <c r="F44" s="98"/>
      <c r="G44" s="99">
        <v>4</v>
      </c>
      <c r="H44" s="100"/>
      <c r="I44" s="101"/>
      <c r="J44" s="102"/>
      <c r="K44" s="13"/>
      <c r="L44" s="15"/>
    </row>
    <row r="45" spans="1:12" ht="15.75" thickBot="1">
      <c r="A45" s="16"/>
      <c r="B45" s="97" t="s">
        <v>20</v>
      </c>
      <c r="C45" s="98"/>
      <c r="D45" s="98"/>
      <c r="E45" s="98"/>
      <c r="F45" s="98"/>
      <c r="G45" s="103">
        <v>0</v>
      </c>
      <c r="H45" s="104"/>
      <c r="I45" s="103"/>
      <c r="J45" s="104"/>
      <c r="K45" s="13"/>
      <c r="L45" s="15"/>
    </row>
    <row r="46" spans="1:12" ht="15.75" thickBot="1">
      <c r="A46" s="16"/>
      <c r="B46" s="105" t="s">
        <v>21</v>
      </c>
      <c r="C46" s="105"/>
      <c r="D46" s="105"/>
      <c r="E46" s="105"/>
      <c r="F46" s="97"/>
      <c r="G46" s="106">
        <v>0</v>
      </c>
      <c r="H46" s="107"/>
      <c r="I46" s="99"/>
      <c r="J46" s="108"/>
      <c r="K46" s="13"/>
      <c r="L46" s="15"/>
    </row>
    <row r="47" spans="1:12" ht="15.75" thickBot="1">
      <c r="A47" s="16"/>
      <c r="B47" s="97" t="s">
        <v>22</v>
      </c>
      <c r="C47" s="98"/>
      <c r="D47" s="98"/>
      <c r="E47" s="98"/>
      <c r="F47" s="98"/>
      <c r="G47" s="109">
        <f>L41+G46</f>
        <v>3</v>
      </c>
      <c r="H47" s="104"/>
      <c r="I47" s="103"/>
      <c r="J47" s="104"/>
      <c r="K47" s="13"/>
      <c r="L47" s="15"/>
    </row>
    <row r="48" spans="1:12" ht="15.75" thickBot="1">
      <c r="A48" s="5"/>
      <c r="B48" s="97" t="s">
        <v>23</v>
      </c>
      <c r="C48" s="98"/>
      <c r="D48" s="98"/>
      <c r="E48" s="98"/>
      <c r="F48" s="98"/>
      <c r="G48" s="109">
        <f>G44+G45-G47</f>
        <v>1</v>
      </c>
      <c r="H48" s="104"/>
      <c r="I48" s="103"/>
      <c r="J48" s="104"/>
      <c r="K48" s="13"/>
      <c r="L48" s="4"/>
    </row>
    <row r="49" spans="1:12" ht="15.75" thickBot="1">
      <c r="A49" s="5"/>
      <c r="B49" s="97" t="s">
        <v>24</v>
      </c>
      <c r="C49" s="98"/>
      <c r="D49" s="98"/>
      <c r="E49" s="98"/>
      <c r="F49" s="98"/>
      <c r="G49" s="103">
        <v>1</v>
      </c>
      <c r="H49" s="104"/>
      <c r="I49" s="103"/>
      <c r="J49" s="104"/>
      <c r="K49" s="13"/>
      <c r="L49" s="4"/>
    </row>
    <row r="50" spans="1:12" ht="15.75" thickBot="1">
      <c r="A50" s="5"/>
      <c r="B50" s="97" t="s">
        <v>25</v>
      </c>
      <c r="C50" s="98"/>
      <c r="D50" s="98"/>
      <c r="E50" s="98"/>
      <c r="F50" s="98"/>
      <c r="G50" s="110">
        <f>G48-G49</f>
        <v>0</v>
      </c>
      <c r="H50" s="111"/>
      <c r="I50" s="112"/>
      <c r="J50" s="111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2016</vt:lpstr>
      <vt:lpstr>FEVRIER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2017-02-04T09:35:27Z</cp:lastPrinted>
  <dcterms:created xsi:type="dcterms:W3CDTF">2014-12-31T15:22:06Z</dcterms:created>
  <dcterms:modified xsi:type="dcterms:W3CDTF">2017-02-04T09:35:29Z</dcterms:modified>
</cp:coreProperties>
</file>