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555" yWindow="75" windowWidth="11700" windowHeight="6825" firstSheet="6" activeTab="11"/>
  </bookViews>
  <sheets>
    <sheet name="JANVIER 2016" sheetId="1" r:id="rId1"/>
    <sheet name="FEVRIER 2016" sheetId="2" r:id="rId2"/>
    <sheet name="MARS 2016" sheetId="4" r:id="rId3"/>
    <sheet name="AVRIL 2016" sheetId="5" r:id="rId4"/>
    <sheet name="MAI 2016" sheetId="6" r:id="rId5"/>
    <sheet name="JUIN 2016" sheetId="7" r:id="rId6"/>
    <sheet name="JUILLET 2016" sheetId="8" r:id="rId7"/>
    <sheet name="AOUT 2016" sheetId="9" r:id="rId8"/>
    <sheet name="SEPTEMBRE 2016" sheetId="10" r:id="rId9"/>
    <sheet name="OCTOBRE 2016" sheetId="11" r:id="rId10"/>
    <sheet name="NOVEMBRE 2016" sheetId="12" r:id="rId11"/>
    <sheet name="DECEMBRE 2016" sheetId="13" r:id="rId12"/>
  </sheets>
  <calcPr calcId="125725"/>
</workbook>
</file>

<file path=xl/calcChain.xml><?xml version="1.0" encoding="utf-8"?>
<calcChain xmlns="http://schemas.openxmlformats.org/spreadsheetml/2006/main">
  <c r="J41" i="13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L14"/>
  <c r="K14"/>
  <c r="F14"/>
  <c r="K13"/>
  <c r="F13"/>
  <c r="L13" s="1"/>
  <c r="K12"/>
  <c r="F12"/>
  <c r="L12" s="1"/>
  <c r="K11"/>
  <c r="K41" s="1"/>
  <c r="F11"/>
  <c r="L11" s="1"/>
  <c r="K10"/>
  <c r="F10"/>
  <c r="F41" s="1"/>
  <c r="J41" i="12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K41" s="1"/>
  <c r="F11"/>
  <c r="L11" s="1"/>
  <c r="K10"/>
  <c r="F10"/>
  <c r="F41" s="1"/>
  <c r="J41" i="11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K41" s="1"/>
  <c r="F11"/>
  <c r="L11" s="1"/>
  <c r="L10"/>
  <c r="K10"/>
  <c r="F10"/>
  <c r="F41" s="1"/>
  <c r="J41" i="10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F41" s="1"/>
  <c r="J41" i="9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K41" s="1"/>
  <c r="F11"/>
  <c r="L11" s="1"/>
  <c r="K10"/>
  <c r="F10"/>
  <c r="F41" s="1"/>
  <c r="J41" i="8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F41" s="1"/>
  <c r="J41" i="7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F41" s="1"/>
  <c r="J41" i="6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1" s="1"/>
  <c r="J41" i="5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K41" s="1"/>
  <c r="F10"/>
  <c r="L10" s="1"/>
  <c r="J41" i="4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L10" i="13" l="1"/>
  <c r="L41" s="1"/>
  <c r="G47" s="1"/>
  <c r="G48" s="1"/>
  <c r="G50" s="1"/>
  <c r="L10" i="12"/>
  <c r="L41" s="1"/>
  <c r="G47" s="1"/>
  <c r="G48" s="1"/>
  <c r="G50" s="1"/>
  <c r="L41" i="11"/>
  <c r="G47" s="1"/>
  <c r="G48" s="1"/>
  <c r="G50" s="1"/>
  <c r="L10" i="10"/>
  <c r="L41" s="1"/>
  <c r="G47" s="1"/>
  <c r="G48" s="1"/>
  <c r="G50" s="1"/>
  <c r="L10" i="9"/>
  <c r="L41" s="1"/>
  <c r="G47" s="1"/>
  <c r="G48" s="1"/>
  <c r="G50" s="1"/>
  <c r="L10" i="8"/>
  <c r="L41" s="1"/>
  <c r="G47" s="1"/>
  <c r="G48" s="1"/>
  <c r="G50" s="1"/>
  <c r="L10" i="7"/>
  <c r="L41" s="1"/>
  <c r="G47" s="1"/>
  <c r="G48" s="1"/>
  <c r="G50" s="1"/>
  <c r="K41" i="6"/>
  <c r="L10"/>
  <c r="L41" s="1"/>
  <c r="G47" s="1"/>
  <c r="G48" s="1"/>
  <c r="G50" s="1"/>
  <c r="F41" i="5"/>
  <c r="L11"/>
  <c r="L41" s="1"/>
  <c r="G47" s="1"/>
  <c r="G48" s="1"/>
  <c r="G50" s="1"/>
  <c r="L11" i="4"/>
  <c r="L41" s="1"/>
  <c r="G47" s="1"/>
  <c r="G48" s="1"/>
  <c r="G50" s="1"/>
  <c r="J41" i="2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1" s="1"/>
  <c r="K41" l="1"/>
  <c r="L10"/>
  <c r="L41" s="1"/>
  <c r="G47" s="1"/>
  <c r="G48" s="1"/>
  <c r="G50" s="1"/>
  <c r="H41" i="1"/>
  <c r="I41"/>
  <c r="J41"/>
  <c r="G41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C41"/>
  <c r="D41"/>
  <c r="E41"/>
  <c r="B41"/>
  <c r="F11"/>
  <c r="L11" s="1"/>
  <c r="F12"/>
  <c r="L12" s="1"/>
  <c r="F13"/>
  <c r="F14"/>
  <c r="F15"/>
  <c r="F16"/>
  <c r="F17"/>
  <c r="F18"/>
  <c r="L18" s="1"/>
  <c r="F19"/>
  <c r="F20"/>
  <c r="F21"/>
  <c r="F22"/>
  <c r="F23"/>
  <c r="F24"/>
  <c r="F25"/>
  <c r="F26"/>
  <c r="L26" s="1"/>
  <c r="F27"/>
  <c r="F28"/>
  <c r="F29"/>
  <c r="F30"/>
  <c r="F31"/>
  <c r="F32"/>
  <c r="F33"/>
  <c r="L33" s="1"/>
  <c r="F34"/>
  <c r="F35"/>
  <c r="L35" s="1"/>
  <c r="F36"/>
  <c r="L36" s="1"/>
  <c r="F37"/>
  <c r="F38"/>
  <c r="L38" s="1"/>
  <c r="F39"/>
  <c r="L39" s="1"/>
  <c r="F40"/>
  <c r="L40" s="1"/>
  <c r="F10"/>
  <c r="L10" s="1"/>
  <c r="L32" l="1"/>
  <c r="L27"/>
  <c r="L19"/>
  <c r="L24"/>
  <c r="L31"/>
  <c r="L23"/>
  <c r="L29"/>
  <c r="L21"/>
  <c r="L17"/>
  <c r="L16"/>
  <c r="L15"/>
  <c r="L37"/>
  <c r="L25"/>
  <c r="L13"/>
  <c r="L30"/>
  <c r="L14"/>
  <c r="L34"/>
  <c r="L28"/>
  <c r="F41"/>
  <c r="L22"/>
  <c r="L20"/>
  <c r="K41"/>
  <c r="L41" l="1"/>
  <c r="G47" s="1"/>
  <c r="G48" s="1"/>
  <c r="G50" s="1"/>
</calcChain>
</file>

<file path=xl/sharedStrings.xml><?xml version="1.0" encoding="utf-8"?>
<sst xmlns="http://schemas.openxmlformats.org/spreadsheetml/2006/main" count="410" uniqueCount="43">
  <si>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</si>
  <si>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</si>
  <si>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</si>
  <si>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</si>
  <si>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</si>
  <si>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</si>
  <si>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</si>
  <si>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</si>
  <si>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</si>
  <si>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</si>
  <si>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</si>
  <si>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</si>
  <si>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</si>
  <si>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</si>
  <si>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</si>
  <si>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</si>
  <si>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</si>
  <si>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</si>
  <si>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</si>
  <si>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</si>
  <si>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</si>
  <si>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</si>
  <si>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</si>
  <si>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</si>
  <si>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</si>
  <si>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</si>
  <si>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</si>
  <si>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</si>
  <si>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: OULED DHIED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</si>
  <si>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</si>
  <si>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</si>
  <si>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</si>
  <si>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</si>
  <si>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</si>
  <si>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</si>
  <si>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</si>
  <si>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</si>
  <si>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</si>
  <si>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</si>
  <si>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NOVEMBR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</si>
  <si>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01 COMPT  150  EL ZAOUIA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</si>
  <si>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</si>
  <si>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01 COMPT  150  Reservoir Abba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</si>
</sst>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17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95250</xdr:rowOff>
    </xdr:from>
    <xdr:to>
      <xdr:col>11</xdr:col>
      <xdr:colOff>482600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5248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5534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5534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5534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29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7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12">
        <f>SUM(B10:B40)</f>
        <v>0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0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0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0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0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30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2">
        <f>SUM(B10:B40)</f>
        <v>0</v>
      </c>
      <c r="C41" s="52">
        <f t="shared" ref="C41:E41" si="3">SUM(C10:C40)</f>
        <v>0</v>
      </c>
      <c r="D41" s="52">
        <f t="shared" si="3"/>
        <v>0</v>
      </c>
      <c r="E41" s="52">
        <f t="shared" si="3"/>
        <v>0</v>
      </c>
      <c r="F41" s="51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0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10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0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10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10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G57" sqref="G5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5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31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>
        <v>5</v>
      </c>
      <c r="H26" s="25"/>
      <c r="I26" s="25"/>
      <c r="J26" s="25"/>
      <c r="K26" s="18">
        <f t="shared" si="1"/>
        <v>5</v>
      </c>
      <c r="L26" s="8">
        <f t="shared" si="2"/>
        <v>5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5">
        <f>SUM(B10:B40)</f>
        <v>0</v>
      </c>
      <c r="C41" s="55">
        <f t="shared" ref="C41:E41" si="3">SUM(C10:C40)</f>
        <v>0</v>
      </c>
      <c r="D41" s="55">
        <f t="shared" si="3"/>
        <v>0</v>
      </c>
      <c r="E41" s="55">
        <f t="shared" si="3"/>
        <v>0</v>
      </c>
      <c r="F41" s="54">
        <f>SUM(F10:F40)</f>
        <v>0</v>
      </c>
      <c r="G41" s="19">
        <f>SUM(G10:G40)</f>
        <v>5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5</v>
      </c>
      <c r="L41" s="19">
        <f t="shared" si="4"/>
        <v>5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10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5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5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5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topLeftCell="A34" workbookViewId="0">
      <selection activeCell="G48" sqref="G48:H4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59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32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>
        <v>1</v>
      </c>
      <c r="C23" s="25"/>
      <c r="D23" s="25"/>
      <c r="E23" s="26"/>
      <c r="F23" s="20">
        <f t="shared" si="0"/>
        <v>1</v>
      </c>
      <c r="G23" s="37"/>
      <c r="H23" s="25"/>
      <c r="I23" s="25"/>
      <c r="J23" s="25"/>
      <c r="K23" s="18">
        <f t="shared" si="1"/>
        <v>0</v>
      </c>
      <c r="L23" s="8">
        <f t="shared" si="2"/>
        <v>1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8">
        <f>SUM(B10:B40)</f>
        <v>1</v>
      </c>
      <c r="C41" s="58">
        <f t="shared" ref="C41:E41" si="3">SUM(C10:C40)</f>
        <v>0</v>
      </c>
      <c r="D41" s="58">
        <f t="shared" si="3"/>
        <v>0</v>
      </c>
      <c r="E41" s="58">
        <f t="shared" si="3"/>
        <v>0</v>
      </c>
      <c r="F41" s="57">
        <f>SUM(F10:F40)</f>
        <v>1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1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5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1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4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4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topLeftCell="A7" workbookViewId="0">
      <selection activeCell="A7" sqref="A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62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33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61">
        <f>SUM(B10:B40)</f>
        <v>0</v>
      </c>
      <c r="C41" s="61">
        <f t="shared" ref="C41:E41" si="3">SUM(C10:C40)</f>
        <v>0</v>
      </c>
      <c r="D41" s="61">
        <f t="shared" si="3"/>
        <v>0</v>
      </c>
      <c r="E41" s="61">
        <f t="shared" si="3"/>
        <v>0</v>
      </c>
      <c r="F41" s="60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4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0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4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4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G45" sqref="G45:H45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6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34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>
        <v>2</v>
      </c>
      <c r="C28" s="25"/>
      <c r="D28" s="25"/>
      <c r="E28" s="26"/>
      <c r="F28" s="20">
        <f t="shared" si="0"/>
        <v>2</v>
      </c>
      <c r="G28" s="33"/>
      <c r="H28" s="25"/>
      <c r="I28" s="25"/>
      <c r="J28" s="25"/>
      <c r="K28" s="18">
        <f t="shared" si="1"/>
        <v>0</v>
      </c>
      <c r="L28" s="8">
        <f t="shared" si="2"/>
        <v>2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65">
        <f>SUM(B10:B40)</f>
        <v>2</v>
      </c>
      <c r="C41" s="65">
        <f t="shared" ref="C41:E41" si="3">SUM(C10:C40)</f>
        <v>0</v>
      </c>
      <c r="D41" s="65">
        <f t="shared" si="3"/>
        <v>0</v>
      </c>
      <c r="E41" s="65">
        <f t="shared" si="3"/>
        <v>0</v>
      </c>
      <c r="F41" s="64">
        <f>SUM(F10:F40)</f>
        <v>2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2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4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1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2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3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3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selection activeCell="G44" sqref="G44:H44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6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67">
        <f>SUM(B10:B40)</f>
        <v>0</v>
      </c>
      <c r="C41" s="67">
        <f t="shared" ref="C41:E41" si="3">SUM(C10:C40)</f>
        <v>0</v>
      </c>
      <c r="D41" s="67">
        <f t="shared" si="3"/>
        <v>0</v>
      </c>
      <c r="E41" s="67">
        <f t="shared" si="3"/>
        <v>0</v>
      </c>
      <c r="F41" s="66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3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0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3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3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G50" sqref="G50:H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69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>
        <v>1</v>
      </c>
      <c r="C10" s="22">
        <v>1</v>
      </c>
      <c r="D10" s="22"/>
      <c r="E10" s="23"/>
      <c r="F10" s="20">
        <f>SUM(B10:E10)</f>
        <v>2</v>
      </c>
      <c r="G10" s="49"/>
      <c r="H10" s="32"/>
      <c r="I10" s="32"/>
      <c r="J10" s="32"/>
      <c r="K10" s="18">
        <f>SUM(G10:J10)</f>
        <v>0</v>
      </c>
      <c r="L10" s="8">
        <f>SUM(F10+K10)</f>
        <v>2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71">
        <f>SUM(B10:B40)</f>
        <v>1</v>
      </c>
      <c r="C41" s="71">
        <f t="shared" ref="C41:E41" si="3">SUM(C10:C40)</f>
        <v>1</v>
      </c>
      <c r="D41" s="71">
        <f t="shared" si="3"/>
        <v>0</v>
      </c>
      <c r="E41" s="71">
        <f t="shared" si="3"/>
        <v>0</v>
      </c>
      <c r="F41" s="70">
        <f>SUM(F10:F40)</f>
        <v>2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2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3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2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1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1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A7" sqref="A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72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74">
        <f>SUM(B10:B40)</f>
        <v>0</v>
      </c>
      <c r="C41" s="74">
        <f t="shared" ref="C41:E41" si="3">SUM(C10:C40)</f>
        <v>0</v>
      </c>
      <c r="D41" s="74">
        <f t="shared" si="3"/>
        <v>0</v>
      </c>
      <c r="E41" s="74">
        <f t="shared" si="3"/>
        <v>0</v>
      </c>
      <c r="F41" s="73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1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0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1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1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G50" sqref="G50:H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77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76">
        <f>SUM(B10:B40)</f>
        <v>0</v>
      </c>
      <c r="C41" s="76">
        <f t="shared" ref="C41:E41" si="3">SUM(C10:C40)</f>
        <v>0</v>
      </c>
      <c r="D41" s="76">
        <f t="shared" si="3"/>
        <v>0</v>
      </c>
      <c r="E41" s="76">
        <f t="shared" si="3"/>
        <v>0</v>
      </c>
      <c r="F41" s="75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1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2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0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3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3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3"/>
  <sheetViews>
    <sheetView topLeftCell="A31" workbookViewId="0">
      <selection activeCell="B53" sqref="B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7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39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80">
        <f>SUM(B10:B40)</f>
        <v>0</v>
      </c>
      <c r="C41" s="80">
        <f t="shared" ref="C41:E41" si="3">SUM(C10:C40)</f>
        <v>0</v>
      </c>
      <c r="D41" s="80">
        <f t="shared" si="3"/>
        <v>0</v>
      </c>
      <c r="E41" s="80">
        <f t="shared" si="3"/>
        <v>0</v>
      </c>
      <c r="F41" s="79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3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10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0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13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12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1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>
      <c r="B53" t="s">
        <v>40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3"/>
  <sheetViews>
    <sheetView tabSelected="1" topLeftCell="A30" workbookViewId="0">
      <selection activeCell="B53" sqref="B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4" t="s">
        <v>0</v>
      </c>
      <c r="B1" s="104"/>
      <c r="C1" s="104"/>
      <c r="D1" s="104"/>
      <c r="E1" s="38"/>
      <c r="F1" s="39"/>
      <c r="G1" s="105" t="s">
        <v>1</v>
      </c>
      <c r="H1" s="105"/>
      <c r="I1" s="105"/>
      <c r="J1" s="105"/>
      <c r="K1" s="105"/>
      <c r="L1" s="105"/>
    </row>
    <row r="2" spans="1:12" ht="15.75">
      <c r="A2" s="105" t="s">
        <v>2</v>
      </c>
      <c r="B2" s="105"/>
      <c r="C2" s="105"/>
      <c r="D2" s="105"/>
      <c r="E2" s="38"/>
      <c r="F2" s="39"/>
      <c r="G2" s="116" t="s">
        <v>3</v>
      </c>
      <c r="H2" s="116"/>
      <c r="I2" s="116"/>
      <c r="J2" s="116"/>
      <c r="K2" s="116"/>
      <c r="L2" s="116"/>
    </row>
    <row r="3" spans="1:12">
      <c r="A3" s="116" t="s">
        <v>4</v>
      </c>
      <c r="B3" s="116"/>
      <c r="C3" s="116"/>
      <c r="D3" s="116"/>
      <c r="E3" s="38"/>
      <c r="F3" s="39"/>
      <c r="G3" s="116" t="s">
        <v>28</v>
      </c>
      <c r="H3" s="116"/>
      <c r="I3" s="116"/>
      <c r="J3" s="116"/>
      <c r="K3" s="116"/>
      <c r="L3" s="116"/>
    </row>
    <row r="4" spans="1:12">
      <c r="A4" s="8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4" t="s">
        <v>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>
      <c r="A6" s="105" t="s">
        <v>41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 ht="4.5" customHeight="1" thickBot="1">
      <c r="A7" s="3" t="s">
        <v>6</v>
      </c>
      <c r="B7" s="13"/>
      <c r="C7" s="14"/>
      <c r="D7" s="14"/>
      <c r="E7" s="14"/>
      <c r="F7" s="13"/>
      <c r="G7" s="13"/>
      <c r="H7" s="107"/>
      <c r="I7" s="107"/>
      <c r="J7" s="14"/>
      <c r="K7" s="40"/>
      <c r="L7" s="4"/>
    </row>
    <row r="8" spans="1:12">
      <c r="A8" s="108" t="s">
        <v>7</v>
      </c>
      <c r="B8" s="110" t="s">
        <v>8</v>
      </c>
      <c r="C8" s="111"/>
      <c r="D8" s="111"/>
      <c r="E8" s="111"/>
      <c r="F8" s="112"/>
      <c r="G8" s="113" t="s">
        <v>9</v>
      </c>
      <c r="H8" s="111"/>
      <c r="I8" s="111"/>
      <c r="J8" s="111"/>
      <c r="K8" s="112"/>
      <c r="L8" s="114" t="s">
        <v>10</v>
      </c>
    </row>
    <row r="9" spans="1:12" ht="15.75" thickBot="1">
      <c r="A9" s="109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5"/>
    </row>
    <row r="10" spans="1:12" ht="15.75" thickBot="1">
      <c r="A10" s="7">
        <v>1</v>
      </c>
      <c r="B10" s="21">
        <v>1</v>
      </c>
      <c r="C10" s="22"/>
      <c r="D10" s="22"/>
      <c r="E10" s="23"/>
      <c r="F10" s="20">
        <f>SUM(B10:E10)</f>
        <v>1</v>
      </c>
      <c r="G10" s="49"/>
      <c r="H10" s="32"/>
      <c r="I10" s="32"/>
      <c r="J10" s="32"/>
      <c r="K10" s="18">
        <f>SUM(G10:J10)</f>
        <v>0</v>
      </c>
      <c r="L10" s="8">
        <f>SUM(F10+K10)</f>
        <v>1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>
        <v>1</v>
      </c>
      <c r="C23" s="25"/>
      <c r="D23" s="25"/>
      <c r="E23" s="26"/>
      <c r="F23" s="20">
        <f t="shared" si="0"/>
        <v>1</v>
      </c>
      <c r="G23" s="37"/>
      <c r="H23" s="25"/>
      <c r="I23" s="25"/>
      <c r="J23" s="25"/>
      <c r="K23" s="18">
        <f t="shared" si="1"/>
        <v>0</v>
      </c>
      <c r="L23" s="8">
        <f t="shared" si="2"/>
        <v>1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>
        <v>1</v>
      </c>
      <c r="F36" s="20">
        <f t="shared" si="0"/>
        <v>1</v>
      </c>
      <c r="G36" s="48"/>
      <c r="H36" s="25"/>
      <c r="I36" s="25"/>
      <c r="J36" s="25"/>
      <c r="K36" s="18">
        <f t="shared" si="1"/>
        <v>0</v>
      </c>
      <c r="L36" s="8">
        <f t="shared" si="2"/>
        <v>1</v>
      </c>
    </row>
    <row r="37" spans="1:12" ht="15.75" thickBot="1">
      <c r="A37" s="9">
        <v>28</v>
      </c>
      <c r="B37" s="24">
        <v>2</v>
      </c>
      <c r="C37" s="25"/>
      <c r="D37" s="25"/>
      <c r="E37" s="26"/>
      <c r="F37" s="20">
        <f t="shared" si="0"/>
        <v>2</v>
      </c>
      <c r="G37" s="33"/>
      <c r="H37" s="25"/>
      <c r="I37" s="25"/>
      <c r="J37" s="25"/>
      <c r="K37" s="18">
        <f t="shared" si="1"/>
        <v>0</v>
      </c>
      <c r="L37" s="8">
        <f t="shared" si="2"/>
        <v>2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83">
        <f>SUM(B10:B40)</f>
        <v>4</v>
      </c>
      <c r="C41" s="83">
        <f t="shared" ref="C41:E41" si="3">SUM(C10:C40)</f>
        <v>0</v>
      </c>
      <c r="D41" s="83">
        <f t="shared" si="3"/>
        <v>0</v>
      </c>
      <c r="E41" s="83">
        <f t="shared" si="3"/>
        <v>1</v>
      </c>
      <c r="F41" s="82">
        <f>SUM(F10:F40)</f>
        <v>5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5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7"/>
      <c r="B43" s="97"/>
      <c r="C43" s="97"/>
      <c r="D43" s="97"/>
      <c r="E43" s="97"/>
      <c r="F43" s="97"/>
      <c r="G43" s="98" t="s">
        <v>17</v>
      </c>
      <c r="H43" s="99"/>
      <c r="I43" s="99" t="s">
        <v>18</v>
      </c>
      <c r="J43" s="100"/>
      <c r="K43" s="13"/>
      <c r="L43" s="15"/>
    </row>
    <row r="44" spans="1:12" ht="15.75" thickBot="1">
      <c r="A44" s="16"/>
      <c r="B44" s="84" t="s">
        <v>19</v>
      </c>
      <c r="C44" s="85"/>
      <c r="D44" s="85"/>
      <c r="E44" s="85"/>
      <c r="F44" s="85"/>
      <c r="G44" s="95">
        <v>12</v>
      </c>
      <c r="H44" s="101"/>
      <c r="I44" s="102"/>
      <c r="J44" s="103"/>
      <c r="K44" s="13"/>
      <c r="L44" s="15"/>
    </row>
    <row r="45" spans="1:12" ht="15.75" thickBot="1">
      <c r="A45" s="16"/>
      <c r="B45" s="84" t="s">
        <v>20</v>
      </c>
      <c r="C45" s="85"/>
      <c r="D45" s="85"/>
      <c r="E45" s="85"/>
      <c r="F45" s="85"/>
      <c r="G45" s="86">
        <v>0</v>
      </c>
      <c r="H45" s="87"/>
      <c r="I45" s="86"/>
      <c r="J45" s="87"/>
      <c r="K45" s="13"/>
      <c r="L45" s="15"/>
    </row>
    <row r="46" spans="1:12" ht="15.75" thickBot="1">
      <c r="A46" s="16"/>
      <c r="B46" s="92" t="s">
        <v>21</v>
      </c>
      <c r="C46" s="92"/>
      <c r="D46" s="92"/>
      <c r="E46" s="92"/>
      <c r="F46" s="84"/>
      <c r="G46" s="93">
        <v>0</v>
      </c>
      <c r="H46" s="94"/>
      <c r="I46" s="95"/>
      <c r="J46" s="96"/>
      <c r="K46" s="13"/>
      <c r="L46" s="15"/>
    </row>
    <row r="47" spans="1:12" ht="15.75" thickBot="1">
      <c r="A47" s="16"/>
      <c r="B47" s="84" t="s">
        <v>22</v>
      </c>
      <c r="C47" s="85"/>
      <c r="D47" s="85"/>
      <c r="E47" s="85"/>
      <c r="F47" s="85"/>
      <c r="G47" s="91">
        <f>L41+G46</f>
        <v>5</v>
      </c>
      <c r="H47" s="87"/>
      <c r="I47" s="86"/>
      <c r="J47" s="87"/>
      <c r="K47" s="13"/>
      <c r="L47" s="15"/>
    </row>
    <row r="48" spans="1:12" ht="15.75" thickBot="1">
      <c r="A48" s="5"/>
      <c r="B48" s="84" t="s">
        <v>23</v>
      </c>
      <c r="C48" s="85"/>
      <c r="D48" s="85"/>
      <c r="E48" s="85"/>
      <c r="F48" s="85"/>
      <c r="G48" s="91">
        <f>G44+G45-G47</f>
        <v>7</v>
      </c>
      <c r="H48" s="87"/>
      <c r="I48" s="86"/>
      <c r="J48" s="87"/>
      <c r="K48" s="13"/>
      <c r="L48" s="4"/>
    </row>
    <row r="49" spans="1:12" ht="15.75" thickBot="1">
      <c r="A49" s="5"/>
      <c r="B49" s="84" t="s">
        <v>24</v>
      </c>
      <c r="C49" s="85"/>
      <c r="D49" s="85"/>
      <c r="E49" s="85"/>
      <c r="F49" s="85"/>
      <c r="G49" s="86">
        <v>7</v>
      </c>
      <c r="H49" s="87"/>
      <c r="I49" s="86"/>
      <c r="J49" s="87"/>
      <c r="K49" s="13"/>
      <c r="L49" s="4"/>
    </row>
    <row r="50" spans="1:12" ht="15.75" thickBot="1">
      <c r="A50" s="5"/>
      <c r="B50" s="84" t="s">
        <v>25</v>
      </c>
      <c r="C50" s="85"/>
      <c r="D50" s="85"/>
      <c r="E50" s="85"/>
      <c r="F50" s="85"/>
      <c r="G50" s="88">
        <f>G48-G49</f>
        <v>0</v>
      </c>
      <c r="H50" s="89"/>
      <c r="I50" s="90"/>
      <c r="J50" s="89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>
      <c r="B53" t="s">
        <v>42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2016</vt:lpstr>
      <vt:lpstr>FEVRIER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2017-01-04T15:29:19Z</cp:lastPrinted>
  <dcterms:created xsi:type="dcterms:W3CDTF">2014-12-31T15:22:06Z</dcterms:created>
  <dcterms:modified xsi:type="dcterms:W3CDTF">2017-01-08T12:48:59Z</dcterms:modified>
</cp:coreProperties>
</file>