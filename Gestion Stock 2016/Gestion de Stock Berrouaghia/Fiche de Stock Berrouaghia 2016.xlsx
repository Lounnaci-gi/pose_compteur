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555" yWindow="75" windowWidth="11700" windowHeight="6825" firstSheet="6" activeTab="11"/>
  </bookViews>
  <sheets>
    <sheet name="JANVIER 2016" sheetId="1" r:id="rId1"/>
    <sheet name="FEVRIER 2016" sheetId="2" r:id="rId2"/>
    <sheet name="MARS 2016" sheetId="4" r:id="rId3"/>
    <sheet name="AVRIL 2016" sheetId="6" r:id="rId4"/>
    <sheet name="MAI 2016" sheetId="7" r:id="rId5"/>
    <sheet name="JUIN 2016" sheetId="8" r:id="rId6"/>
    <sheet name="JUILLET 2016" sheetId="9" r:id="rId7"/>
    <sheet name="AOUT 2016" sheetId="10" r:id="rId8"/>
    <sheet name="SEPTEMBRE 2016" sheetId="11" r:id="rId9"/>
    <sheet name="OCTOBRE 2016" sheetId="12" r:id="rId10"/>
    <sheet name="NOVEMBRE 2016" sheetId="13" r:id="rId11"/>
    <sheet name="DECEMBRE 2016" sheetId="14" r:id="rId12"/>
  </sheets>
  <calcPr calcId="125725"/>
</workbook>
</file>

<file path=xl/calcChain.xml><?xml version="1.0" encoding="utf-8"?>
<calcChain xmlns="http://schemas.openxmlformats.org/spreadsheetml/2006/main">
  <c r="F17" i="13"/>
  <c r="J40" i="14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K40" s="1"/>
  <c r="F9"/>
  <c r="F40" s="1"/>
  <c r="J40" i="13"/>
  <c r="I40"/>
  <c r="H40"/>
  <c r="G40"/>
  <c r="E40"/>
  <c r="D40"/>
  <c r="C40"/>
  <c r="B40"/>
  <c r="K39"/>
  <c r="F39"/>
  <c r="K38"/>
  <c r="F38"/>
  <c r="K37"/>
  <c r="F37"/>
  <c r="K36"/>
  <c r="F36"/>
  <c r="K35"/>
  <c r="F35"/>
  <c r="K34"/>
  <c r="F34"/>
  <c r="K33"/>
  <c r="F33"/>
  <c r="K32"/>
  <c r="F32"/>
  <c r="K31"/>
  <c r="F31"/>
  <c r="K30"/>
  <c r="F30"/>
  <c r="K29"/>
  <c r="F29"/>
  <c r="K28"/>
  <c r="F28"/>
  <c r="K27"/>
  <c r="F27"/>
  <c r="K26"/>
  <c r="F26"/>
  <c r="K25"/>
  <c r="F25"/>
  <c r="K24"/>
  <c r="F24"/>
  <c r="K23"/>
  <c r="F23"/>
  <c r="K22"/>
  <c r="F22"/>
  <c r="K21"/>
  <c r="F21"/>
  <c r="K20"/>
  <c r="F20"/>
  <c r="K19"/>
  <c r="F19"/>
  <c r="K18"/>
  <c r="F18"/>
  <c r="K17"/>
  <c r="K16"/>
  <c r="F16"/>
  <c r="K15"/>
  <c r="F15"/>
  <c r="K14"/>
  <c r="F14"/>
  <c r="K13"/>
  <c r="F13"/>
  <c r="K12"/>
  <c r="F12"/>
  <c r="K11"/>
  <c r="F11"/>
  <c r="K10"/>
  <c r="F10"/>
  <c r="K9"/>
  <c r="K40" s="1"/>
  <c r="F9"/>
  <c r="J40" i="12"/>
  <c r="I40"/>
  <c r="H40"/>
  <c r="G40"/>
  <c r="E40"/>
  <c r="D40"/>
  <c r="C40"/>
  <c r="B40"/>
  <c r="K39"/>
  <c r="F39"/>
  <c r="K38"/>
  <c r="F38"/>
  <c r="L38" s="1"/>
  <c r="K37"/>
  <c r="F37"/>
  <c r="L37" s="1"/>
  <c r="K36"/>
  <c r="F36"/>
  <c r="L36" s="1"/>
  <c r="K35"/>
  <c r="F35"/>
  <c r="L35" s="1"/>
  <c r="K34"/>
  <c r="F34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K24"/>
  <c r="F24"/>
  <c r="K23"/>
  <c r="F23"/>
  <c r="K22"/>
  <c r="F22"/>
  <c r="K21"/>
  <c r="F21"/>
  <c r="K20"/>
  <c r="F20"/>
  <c r="K19"/>
  <c r="F19"/>
  <c r="K18"/>
  <c r="F18"/>
  <c r="K17"/>
  <c r="F17"/>
  <c r="K16"/>
  <c r="F16"/>
  <c r="K15"/>
  <c r="F15"/>
  <c r="K14"/>
  <c r="F14"/>
  <c r="K13"/>
  <c r="F13"/>
  <c r="K12"/>
  <c r="F12"/>
  <c r="K11"/>
  <c r="F11"/>
  <c r="K10"/>
  <c r="K40" s="1"/>
  <c r="F10"/>
  <c r="L10" s="1"/>
  <c r="K9"/>
  <c r="F9"/>
  <c r="F40" s="1"/>
  <c r="J40" i="11"/>
  <c r="I40"/>
  <c r="H40"/>
  <c r="G40"/>
  <c r="E40"/>
  <c r="D40"/>
  <c r="C40"/>
  <c r="B40"/>
  <c r="K39"/>
  <c r="F39"/>
  <c r="L39" s="1"/>
  <c r="K38"/>
  <c r="F38"/>
  <c r="L38" s="1"/>
  <c r="K37"/>
  <c r="F37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K30"/>
  <c r="F30"/>
  <c r="K29"/>
  <c r="F29"/>
  <c r="K28"/>
  <c r="F28"/>
  <c r="K27"/>
  <c r="F27"/>
  <c r="K26"/>
  <c r="F26"/>
  <c r="K25"/>
  <c r="F25"/>
  <c r="K24"/>
  <c r="F24"/>
  <c r="K23"/>
  <c r="F23"/>
  <c r="K22"/>
  <c r="F22"/>
  <c r="K21"/>
  <c r="F21"/>
  <c r="K20"/>
  <c r="F20"/>
  <c r="K19"/>
  <c r="F19"/>
  <c r="K18"/>
  <c r="F18"/>
  <c r="K17"/>
  <c r="F17"/>
  <c r="K16"/>
  <c r="F16"/>
  <c r="L16" s="1"/>
  <c r="K15"/>
  <c r="F15"/>
  <c r="L15" s="1"/>
  <c r="K14"/>
  <c r="F14"/>
  <c r="K13"/>
  <c r="F13"/>
  <c r="L13" s="1"/>
  <c r="K12"/>
  <c r="F12"/>
  <c r="L12" s="1"/>
  <c r="K11"/>
  <c r="F11"/>
  <c r="L11" s="1"/>
  <c r="K10"/>
  <c r="F10"/>
  <c r="K9"/>
  <c r="F9"/>
  <c r="F40" s="1"/>
  <c r="J40" i="10"/>
  <c r="I40"/>
  <c r="H40"/>
  <c r="G40"/>
  <c r="E40"/>
  <c r="D40"/>
  <c r="C40"/>
  <c r="B40"/>
  <c r="K39"/>
  <c r="F39"/>
  <c r="K38"/>
  <c r="F38"/>
  <c r="K37"/>
  <c r="F37"/>
  <c r="K36"/>
  <c r="F36"/>
  <c r="K35"/>
  <c r="F35"/>
  <c r="K34"/>
  <c r="F34"/>
  <c r="K33"/>
  <c r="F33"/>
  <c r="K32"/>
  <c r="F32"/>
  <c r="K31"/>
  <c r="F31"/>
  <c r="K30"/>
  <c r="F30"/>
  <c r="K29"/>
  <c r="F29"/>
  <c r="K28"/>
  <c r="F28"/>
  <c r="K27"/>
  <c r="F27"/>
  <c r="K26"/>
  <c r="F26"/>
  <c r="K25"/>
  <c r="F25"/>
  <c r="K24"/>
  <c r="F24"/>
  <c r="K23"/>
  <c r="F23"/>
  <c r="K22"/>
  <c r="F22"/>
  <c r="K21"/>
  <c r="F21"/>
  <c r="K20"/>
  <c r="F20"/>
  <c r="K19"/>
  <c r="F19"/>
  <c r="K18"/>
  <c r="F18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F40" s="1"/>
  <c r="K9"/>
  <c r="F9"/>
  <c r="L9" s="1"/>
  <c r="J40" i="9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K40" s="1"/>
  <c r="F9"/>
  <c r="F40" s="1"/>
  <c r="J40" i="8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K9"/>
  <c r="K40" s="1"/>
  <c r="F9"/>
  <c r="L9" s="1"/>
  <c r="J40" i="7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K40" s="1"/>
  <c r="F9"/>
  <c r="F40" s="1"/>
  <c r="J40" i="6"/>
  <c r="I40"/>
  <c r="H40"/>
  <c r="G40"/>
  <c r="E40"/>
  <c r="D40"/>
  <c r="C40"/>
  <c r="B40"/>
  <c r="K39"/>
  <c r="F39"/>
  <c r="K38"/>
  <c r="F38"/>
  <c r="K37"/>
  <c r="F37"/>
  <c r="K36"/>
  <c r="F36"/>
  <c r="K35"/>
  <c r="F35"/>
  <c r="K34"/>
  <c r="F34"/>
  <c r="K33"/>
  <c r="F33"/>
  <c r="K32"/>
  <c r="F32"/>
  <c r="K31"/>
  <c r="F31"/>
  <c r="K30"/>
  <c r="F30"/>
  <c r="K29"/>
  <c r="F29"/>
  <c r="K28"/>
  <c r="F28"/>
  <c r="K27"/>
  <c r="F27"/>
  <c r="K26"/>
  <c r="F26"/>
  <c r="K25"/>
  <c r="F25"/>
  <c r="K24"/>
  <c r="F24"/>
  <c r="K23"/>
  <c r="F23"/>
  <c r="K22"/>
  <c r="F22"/>
  <c r="K21"/>
  <c r="F21"/>
  <c r="K20"/>
  <c r="F20"/>
  <c r="K19"/>
  <c r="F19"/>
  <c r="K18"/>
  <c r="F18"/>
  <c r="K17"/>
  <c r="F17"/>
  <c r="K16"/>
  <c r="F16"/>
  <c r="K15"/>
  <c r="F15"/>
  <c r="K14"/>
  <c r="F14"/>
  <c r="K13"/>
  <c r="F13"/>
  <c r="K12"/>
  <c r="F12"/>
  <c r="K11"/>
  <c r="F11"/>
  <c r="K10"/>
  <c r="F10"/>
  <c r="K9"/>
  <c r="F9"/>
  <c r="J40" i="4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K10"/>
  <c r="F10"/>
  <c r="K9"/>
  <c r="K40" s="1"/>
  <c r="F9"/>
  <c r="L9" s="1"/>
  <c r="F40" i="13" l="1"/>
  <c r="L19" i="14"/>
  <c r="L32"/>
  <c r="L9"/>
  <c r="L11" i="13"/>
  <c r="L12"/>
  <c r="L13"/>
  <c r="L14"/>
  <c r="L15"/>
  <c r="L16"/>
  <c r="L17"/>
  <c r="L18"/>
  <c r="L19"/>
  <c r="L20"/>
  <c r="L21"/>
  <c r="L24"/>
  <c r="L25"/>
  <c r="L26"/>
  <c r="L27"/>
  <c r="L28"/>
  <c r="L29"/>
  <c r="L30"/>
  <c r="L31"/>
  <c r="L32"/>
  <c r="L33"/>
  <c r="L34"/>
  <c r="L35"/>
  <c r="L36"/>
  <c r="L37"/>
  <c r="L38"/>
  <c r="L39"/>
  <c r="L23"/>
  <c r="L22"/>
  <c r="L34" i="12"/>
  <c r="L11"/>
  <c r="L10" i="13"/>
  <c r="L9"/>
  <c r="L39" i="12"/>
  <c r="L25"/>
  <c r="L12"/>
  <c r="L13"/>
  <c r="L14"/>
  <c r="L15"/>
  <c r="L16"/>
  <c r="L17"/>
  <c r="L18"/>
  <c r="L19"/>
  <c r="L20"/>
  <c r="L21"/>
  <c r="L22"/>
  <c r="L23"/>
  <c r="L24"/>
  <c r="L9"/>
  <c r="L17" i="11"/>
  <c r="L37"/>
  <c r="L14"/>
  <c r="K40"/>
  <c r="L10"/>
  <c r="L18"/>
  <c r="L19"/>
  <c r="L20"/>
  <c r="L21"/>
  <c r="L22"/>
  <c r="L23"/>
  <c r="L24"/>
  <c r="L25"/>
  <c r="L26"/>
  <c r="L27"/>
  <c r="L28"/>
  <c r="L29"/>
  <c r="L30"/>
  <c r="L31"/>
  <c r="L9"/>
  <c r="K40" i="10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10"/>
  <c r="L20" i="9"/>
  <c r="L9"/>
  <c r="L40" s="1"/>
  <c r="G46" s="1"/>
  <c r="G47" s="1"/>
  <c r="G49" s="1"/>
  <c r="L23" i="6"/>
  <c r="L24"/>
  <c r="L26"/>
  <c r="L27"/>
  <c r="L28"/>
  <c r="L29"/>
  <c r="L30"/>
  <c r="L31"/>
  <c r="L32"/>
  <c r="L33"/>
  <c r="L34"/>
  <c r="L35"/>
  <c r="L36"/>
  <c r="L37"/>
  <c r="L38"/>
  <c r="L39"/>
  <c r="L29" i="8"/>
  <c r="F40"/>
  <c r="L20"/>
  <c r="L10"/>
  <c r="L35" i="7"/>
  <c r="L22"/>
  <c r="L9"/>
  <c r="K40" i="6"/>
  <c r="L25"/>
  <c r="L10"/>
  <c r="L11"/>
  <c r="L12"/>
  <c r="L13"/>
  <c r="L14"/>
  <c r="L15"/>
  <c r="L16"/>
  <c r="L17"/>
  <c r="L18"/>
  <c r="L19"/>
  <c r="L20"/>
  <c r="L21"/>
  <c r="L22"/>
  <c r="F40"/>
  <c r="L9"/>
  <c r="F40" i="4"/>
  <c r="L11"/>
  <c r="L10"/>
  <c r="J39" i="2"/>
  <c r="I39"/>
  <c r="H39"/>
  <c r="G39"/>
  <c r="E39"/>
  <c r="D39"/>
  <c r="C39"/>
  <c r="B39"/>
  <c r="K38"/>
  <c r="F38"/>
  <c r="K37"/>
  <c r="F37"/>
  <c r="K36"/>
  <c r="F36"/>
  <c r="K35"/>
  <c r="F35"/>
  <c r="K34"/>
  <c r="F34"/>
  <c r="K33"/>
  <c r="F33"/>
  <c r="K32"/>
  <c r="F32"/>
  <c r="K31"/>
  <c r="F31"/>
  <c r="K30"/>
  <c r="F30"/>
  <c r="K29"/>
  <c r="F29"/>
  <c r="K28"/>
  <c r="F28"/>
  <c r="K27"/>
  <c r="F27"/>
  <c r="K26"/>
  <c r="F26"/>
  <c r="K25"/>
  <c r="F25"/>
  <c r="K24"/>
  <c r="F24"/>
  <c r="K23"/>
  <c r="F23"/>
  <c r="K22"/>
  <c r="F22"/>
  <c r="K21"/>
  <c r="F21"/>
  <c r="K20"/>
  <c r="F20"/>
  <c r="K19"/>
  <c r="F19"/>
  <c r="K18"/>
  <c r="F18"/>
  <c r="K17"/>
  <c r="F17"/>
  <c r="K16"/>
  <c r="F16"/>
  <c r="K15"/>
  <c r="F15"/>
  <c r="K14"/>
  <c r="F14"/>
  <c r="K13"/>
  <c r="F13"/>
  <c r="K12"/>
  <c r="F12"/>
  <c r="K11"/>
  <c r="F11"/>
  <c r="K10"/>
  <c r="F10"/>
  <c r="K9"/>
  <c r="F9"/>
  <c r="K8"/>
  <c r="K39" s="1"/>
  <c r="F8"/>
  <c r="L40" i="14" l="1"/>
  <c r="G46" s="1"/>
  <c r="G47" s="1"/>
  <c r="G49" s="1"/>
  <c r="L40" i="13"/>
  <c r="G46" s="1"/>
  <c r="G47" s="1"/>
  <c r="G49" s="1"/>
  <c r="L40" i="12"/>
  <c r="G46" s="1"/>
  <c r="G47" s="1"/>
  <c r="G49" s="1"/>
  <c r="L40" i="11"/>
  <c r="G46" s="1"/>
  <c r="G47" s="1"/>
  <c r="G49" s="1"/>
  <c r="L40" i="10"/>
  <c r="G46" s="1"/>
  <c r="G47" s="1"/>
  <c r="G49" s="1"/>
  <c r="L40" i="8"/>
  <c r="G46" s="1"/>
  <c r="G47" s="1"/>
  <c r="G49" s="1"/>
  <c r="L40" i="7"/>
  <c r="G46" s="1"/>
  <c r="G47" s="1"/>
  <c r="G49" s="1"/>
  <c r="L40" i="6"/>
  <c r="G46" s="1"/>
  <c r="G47" s="1"/>
  <c r="G49" s="1"/>
  <c r="L8" i="2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40" i="4"/>
  <c r="G46" s="1"/>
  <c r="G47" s="1"/>
  <c r="G49" s="1"/>
  <c r="F39" i="2"/>
  <c r="L9"/>
  <c r="H40" i="1"/>
  <c r="I40"/>
  <c r="J40"/>
  <c r="G40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9"/>
  <c r="C40"/>
  <c r="D40"/>
  <c r="E40"/>
  <c r="B40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L37" s="1"/>
  <c r="F38"/>
  <c r="F39"/>
  <c r="L39" s="1"/>
  <c r="F9"/>
  <c r="L39" i="2" l="1"/>
  <c r="G45" s="1"/>
  <c r="G46" s="1"/>
  <c r="G48" s="1"/>
  <c r="L35" i="1"/>
  <c r="L31"/>
  <c r="L25"/>
  <c r="L23"/>
  <c r="L17"/>
  <c r="L11"/>
  <c r="L9"/>
  <c r="L38"/>
  <c r="L34"/>
  <c r="L32"/>
  <c r="L30"/>
  <c r="L26"/>
  <c r="L22"/>
  <c r="L18"/>
  <c r="L10"/>
  <c r="L20"/>
  <c r="L16"/>
  <c r="L28"/>
  <c r="L36"/>
  <c r="L24"/>
  <c r="L12"/>
  <c r="L15"/>
  <c r="L14"/>
  <c r="L29"/>
  <c r="L13"/>
  <c r="L33"/>
  <c r="L27"/>
  <c r="F40"/>
  <c r="L21"/>
  <c r="L19"/>
  <c r="K40"/>
  <c r="L40" l="1"/>
  <c r="G46" s="1"/>
  <c r="G47" s="1"/>
  <c r="G49" s="1"/>
</calcChain>
</file>

<file path=xl/sharedStrings.xml><?xml version="1.0" encoding="utf-8"?>
<sst xmlns="http://schemas.openxmlformats.org/spreadsheetml/2006/main" count="422" uniqueCount="66">
  <si>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</si>
  <si>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</si>
  <si>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</si>
  <si>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</si>
  <si>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</si>
  <si>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</si>
  <si>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</si>
  <si>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</si>
  <si>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</si>
  <si>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</si>
  <si>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</si>
  <si>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</si>
  <si>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</si>
  <si>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</si>
  <si>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</si>
  <si>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</si>
  <si>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</si>
  <si>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</si>
  <si>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</si>
  <si>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</si>
  <si>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</si>
  <si>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</si>
  <si>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</si>
  <si>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</si>
  <si>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</si>
  <si>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</si>
  <si>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</si>
  <si>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</si>
  <si>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</si>
  <si>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</si>
  <si>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60 Compteurs 15/21 Réintégré Oumaria</t>
  </si>
  <si>
    <t>10 Compteurs 15/21 Ouled Dheid</t>
  </si>
  <si>
    <t>800 Compteurs 15/21 Réintégré Zoubairia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</si>
  <si>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</si>
  <si>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20 Compteurs 15/21 Réintégré Seghouane</t>
  </si>
  <si>
    <t>40 Compteurs 15/21 Réintégré Oumaria</t>
  </si>
  <si>
    <t>602 Compteurs 15/21 Réintégré Zoubairia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</si>
  <si>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</si>
  <si>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200 Compteurs 15/21 Réintégré KSAR EL BOUKHARI</t>
  </si>
  <si>
    <t>90 Compteurs 15/21 Réintégré Zoubiria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</si>
  <si>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</si>
  <si>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28 Compteurs 15/21 Réintégré Oumaria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</si>
  <si>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</si>
  <si>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01 Compteur 20/27 Réintégré Ouled dheid</t>
  </si>
  <si>
    <t>10 Compteurs 15/21 Réintégré Seghouane</t>
  </si>
  <si>
    <t>42 Compteurs 15/21 Réintégré Oumaria</t>
  </si>
  <si>
    <r>
      <t xml:space="preserve">Mois de JUILLET </t>
    </r>
    <r>
      <rPr>
        <sz val="11"/>
        <rFont val="Arial"/>
        <family val="2"/>
      </rPr>
      <t>2016</t>
    </r>
  </si>
  <si>
    <r>
      <t xml:space="preserve">Mois de AOUT </t>
    </r>
    <r>
      <rPr>
        <sz val="11"/>
        <rFont val="Arial"/>
        <family val="2"/>
      </rPr>
      <t>2016</t>
    </r>
  </si>
  <si>
    <t>20 Compteurs 15/21 Réintégré Centre KEB</t>
  </si>
  <si>
    <t>10 Compteurs 15/21 Réintégré Antenne Oumaria</t>
  </si>
  <si>
    <r>
      <t xml:space="preserve">Mois de SEPTEMBRE </t>
    </r>
    <r>
      <rPr>
        <sz val="11"/>
        <rFont val="Arial"/>
        <family val="2"/>
      </rPr>
      <t>2016</t>
    </r>
  </si>
  <si>
    <t>50 Compteurs 15/21 Réintégré Antenne Oumaria</t>
  </si>
  <si>
    <r>
      <t xml:space="preserve">Mois de OCTOBRE </t>
    </r>
    <r>
      <rPr>
        <sz val="11"/>
        <rFont val="Arial"/>
        <family val="2"/>
      </rPr>
      <t>2016</t>
    </r>
  </si>
  <si>
    <t>10 Compteurs 15/21 Réintégré Antenne Seghouane</t>
  </si>
  <si>
    <t>30 Compteurs 15/21 Réintégré Antenne Oumaria</t>
  </si>
  <si>
    <t>02 Compteurs 150 Réintégré Antenne Ouled Dheid</t>
  </si>
  <si>
    <t>01 Compteurs 80 Réintégré Antenne Robaia</t>
  </si>
  <si>
    <t>50 Compteurs 15/21 Réintégré Centre Médéa</t>
  </si>
  <si>
    <t>10 Compteurs 15/21 Réintégré Antenne Ouled Dheid</t>
  </si>
  <si>
    <t>10 Compteurs 15/21 Réintégré Centre KEB</t>
  </si>
  <si>
    <t>20 Compteurs 15/21 Réintégré Antenne ZOUBIRIA</t>
  </si>
  <si>
    <r>
      <t xml:space="preserve">Mois de NOVEMBRE </t>
    </r>
    <r>
      <rPr>
        <sz val="11"/>
        <rFont val="Arial"/>
        <family val="2"/>
      </rPr>
      <t>2016</t>
    </r>
  </si>
  <si>
    <t>20 Compteurs 15/21 Réintégré Antenne Seghouane</t>
  </si>
  <si>
    <t>01 Compteur POTENCE  AIN OMRANE</t>
  </si>
  <si>
    <r>
      <t xml:space="preserve">Mois de DECEMBRE </t>
    </r>
    <r>
      <rPr>
        <sz val="11"/>
        <rFont val="Arial"/>
        <family val="2"/>
      </rPr>
      <t>2016</t>
    </r>
  </si>
  <si>
    <t>40 Compteurs 15/21 Réintégré Antenne Zoubiria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</si>
</sst>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 style="thin">
        <color indexed="22"/>
      </bottom>
      <diagonal/>
    </border>
    <border>
      <left style="medium">
        <color indexed="64"/>
      </left>
      <right/>
      <top style="thin">
        <color indexed="22"/>
      </top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15">
    <xf numFmtId="0" fontId="0" fillId="0" borderId="0" xfId="0"/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13" xfId="3" applyFill="1" applyBorder="1" applyAlignment="1" applyProtection="1">
      <alignment horizontal="center" vertical="center" wrapText="1"/>
      <protection locked="0"/>
    </xf>
    <xf numFmtId="0" fontId="7" fillId="2" borderId="43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2" borderId="32" xfId="3" applyFill="1" applyBorder="1" applyAlignment="1" applyProtection="1">
      <alignment vertical="center" wrapText="1"/>
      <protection locked="0"/>
    </xf>
    <xf numFmtId="0" fontId="7" fillId="2" borderId="28" xfId="3" applyFill="1" applyBorder="1" applyAlignment="1" applyProtection="1">
      <alignment vertical="center" wrapText="1"/>
      <protection locked="0"/>
    </xf>
    <xf numFmtId="0" fontId="7" fillId="2" borderId="28" xfId="3" applyFill="1" applyBorder="1" applyAlignment="1" applyProtection="1">
      <alignment horizontal="center" vertical="center" wrapText="1"/>
      <protection locked="0"/>
    </xf>
    <xf numFmtId="0" fontId="7" fillId="2" borderId="27" xfId="3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6" fillId="0" borderId="0" xfId="0" applyFont="1"/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6963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40</xdr:row>
      <xdr:rowOff>66674</xdr:rowOff>
    </xdr:from>
    <xdr:to>
      <xdr:col>11</xdr:col>
      <xdr:colOff>482600</xdr:colOff>
      <xdr:row>46</xdr:row>
      <xdr:rowOff>177799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91175" y="8305799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66674</xdr:rowOff>
    </xdr:from>
    <xdr:to>
      <xdr:col>11</xdr:col>
      <xdr:colOff>482600</xdr:colOff>
      <xdr:row>47</xdr:row>
      <xdr:rowOff>177799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305799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66674</xdr:rowOff>
    </xdr:from>
    <xdr:to>
      <xdr:col>11</xdr:col>
      <xdr:colOff>482600</xdr:colOff>
      <xdr:row>47</xdr:row>
      <xdr:rowOff>177799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305799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66674</xdr:rowOff>
    </xdr:from>
    <xdr:to>
      <xdr:col>11</xdr:col>
      <xdr:colOff>482600</xdr:colOff>
      <xdr:row>47</xdr:row>
      <xdr:rowOff>177799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020049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66674</xdr:rowOff>
    </xdr:from>
    <xdr:to>
      <xdr:col>11</xdr:col>
      <xdr:colOff>482600</xdr:colOff>
      <xdr:row>47</xdr:row>
      <xdr:rowOff>177799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020049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66674</xdr:rowOff>
    </xdr:from>
    <xdr:to>
      <xdr:col>11</xdr:col>
      <xdr:colOff>482600</xdr:colOff>
      <xdr:row>47</xdr:row>
      <xdr:rowOff>177799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7058024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66674</xdr:rowOff>
    </xdr:from>
    <xdr:to>
      <xdr:col>11</xdr:col>
      <xdr:colOff>482600</xdr:colOff>
      <xdr:row>47</xdr:row>
      <xdr:rowOff>177799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7058024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66674</xdr:rowOff>
    </xdr:from>
    <xdr:to>
      <xdr:col>11</xdr:col>
      <xdr:colOff>482600</xdr:colOff>
      <xdr:row>47</xdr:row>
      <xdr:rowOff>177799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7058024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66674</xdr:rowOff>
    </xdr:from>
    <xdr:to>
      <xdr:col>11</xdr:col>
      <xdr:colOff>482600</xdr:colOff>
      <xdr:row>47</xdr:row>
      <xdr:rowOff>177799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7058024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66674</xdr:rowOff>
    </xdr:from>
    <xdr:to>
      <xdr:col>11</xdr:col>
      <xdr:colOff>482600</xdr:colOff>
      <xdr:row>47</xdr:row>
      <xdr:rowOff>177799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7058024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66674</xdr:rowOff>
    </xdr:from>
    <xdr:to>
      <xdr:col>11</xdr:col>
      <xdr:colOff>482600</xdr:colOff>
      <xdr:row>47</xdr:row>
      <xdr:rowOff>177799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7058024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opLeftCell="A40" workbookViewId="0">
      <selection activeCell="L50" sqref="A1:L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2" t="s">
        <v>0</v>
      </c>
      <c r="B1" s="102"/>
      <c r="C1" s="102"/>
      <c r="D1" s="102"/>
      <c r="E1" s="37"/>
      <c r="F1" s="38"/>
      <c r="G1" s="103" t="s">
        <v>1</v>
      </c>
      <c r="H1" s="103"/>
      <c r="I1" s="103"/>
      <c r="J1" s="103"/>
      <c r="K1" s="103"/>
      <c r="L1" s="103"/>
    </row>
    <row r="2" spans="1:12" ht="15.75">
      <c r="A2" s="103" t="s">
        <v>2</v>
      </c>
      <c r="B2" s="103"/>
      <c r="C2" s="103"/>
      <c r="D2" s="103"/>
      <c r="E2" s="37"/>
      <c r="F2" s="38"/>
      <c r="G2" s="114" t="s">
        <v>3</v>
      </c>
      <c r="H2" s="114"/>
      <c r="I2" s="114"/>
      <c r="J2" s="114"/>
      <c r="K2" s="114"/>
      <c r="L2" s="114"/>
    </row>
    <row r="3" spans="1:12">
      <c r="A3" s="114" t="s">
        <v>4</v>
      </c>
      <c r="B3" s="114"/>
      <c r="C3" s="114"/>
      <c r="D3" s="114"/>
      <c r="E3" s="37"/>
      <c r="F3" s="38"/>
      <c r="G3" s="38"/>
      <c r="H3" s="37"/>
      <c r="I3" s="37"/>
      <c r="J3" s="37"/>
      <c r="K3" s="38"/>
      <c r="L3" s="1"/>
    </row>
    <row r="4" spans="1:12" ht="18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5.75">
      <c r="A5" s="103" t="s">
        <v>29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3.75" customHeight="1" thickBot="1">
      <c r="A6" s="2" t="s">
        <v>6</v>
      </c>
      <c r="B6" s="12"/>
      <c r="C6" s="13"/>
      <c r="D6" s="13"/>
      <c r="E6" s="13"/>
      <c r="F6" s="12"/>
      <c r="G6" s="12"/>
      <c r="H6" s="105"/>
      <c r="I6" s="105"/>
      <c r="J6" s="13"/>
      <c r="K6" s="39"/>
      <c r="L6" s="3"/>
    </row>
    <row r="7" spans="1:12">
      <c r="A7" s="106" t="s">
        <v>7</v>
      </c>
      <c r="B7" s="108" t="s">
        <v>8</v>
      </c>
      <c r="C7" s="109"/>
      <c r="D7" s="109"/>
      <c r="E7" s="109"/>
      <c r="F7" s="110"/>
      <c r="G7" s="111" t="s">
        <v>9</v>
      </c>
      <c r="H7" s="109"/>
      <c r="I7" s="109"/>
      <c r="J7" s="109"/>
      <c r="K7" s="110"/>
      <c r="L7" s="112" t="s">
        <v>10</v>
      </c>
    </row>
    <row r="8" spans="1:12" ht="15.75" thickBot="1">
      <c r="A8" s="10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13"/>
    </row>
    <row r="9" spans="1:12" ht="15.75" thickBot="1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>
      <c r="A11" s="8">
        <v>3</v>
      </c>
      <c r="B11" s="23">
        <v>3</v>
      </c>
      <c r="C11" s="24"/>
      <c r="D11" s="24"/>
      <c r="E11" s="26"/>
      <c r="F11" s="19">
        <f t="shared" si="0"/>
        <v>3</v>
      </c>
      <c r="G11" s="32"/>
      <c r="H11" s="24"/>
      <c r="I11" s="24"/>
      <c r="J11" s="24"/>
      <c r="K11" s="17">
        <f t="shared" si="1"/>
        <v>0</v>
      </c>
      <c r="L11" s="7">
        <f t="shared" si="2"/>
        <v>3</v>
      </c>
    </row>
    <row r="12" spans="1:12" ht="15.75" thickBot="1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>
      <c r="A19" s="8">
        <v>11</v>
      </c>
      <c r="B19" s="23"/>
      <c r="C19" s="24"/>
      <c r="D19" s="24"/>
      <c r="E19" s="25"/>
      <c r="F19" s="19">
        <f t="shared" si="0"/>
        <v>0</v>
      </c>
      <c r="G19" s="32">
        <v>1</v>
      </c>
      <c r="H19" s="24"/>
      <c r="I19" s="24"/>
      <c r="J19" s="24"/>
      <c r="K19" s="17">
        <f t="shared" si="1"/>
        <v>1</v>
      </c>
      <c r="L19" s="7">
        <f t="shared" si="2"/>
        <v>1</v>
      </c>
    </row>
    <row r="20" spans="1:12" ht="15.75" thickBot="1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>
      <c r="A21" s="8">
        <v>13</v>
      </c>
      <c r="B21" s="23"/>
      <c r="C21" s="24"/>
      <c r="D21" s="24"/>
      <c r="E21" s="25"/>
      <c r="F21" s="19">
        <f t="shared" si="0"/>
        <v>0</v>
      </c>
      <c r="G21" s="36">
        <v>1</v>
      </c>
      <c r="H21" s="24"/>
      <c r="I21" s="24"/>
      <c r="J21" s="24"/>
      <c r="K21" s="17">
        <f t="shared" si="1"/>
        <v>1</v>
      </c>
      <c r="L21" s="7">
        <f t="shared" si="2"/>
        <v>1</v>
      </c>
    </row>
    <row r="22" spans="1:12" ht="15.75" thickBot="1">
      <c r="A22" s="8">
        <v>14</v>
      </c>
      <c r="B22" s="23"/>
      <c r="C22" s="24"/>
      <c r="D22" s="24"/>
      <c r="E22" s="25"/>
      <c r="F22" s="19">
        <f t="shared" si="0"/>
        <v>0</v>
      </c>
      <c r="G22" s="36">
        <v>3</v>
      </c>
      <c r="H22" s="24"/>
      <c r="I22" s="24"/>
      <c r="J22" s="24"/>
      <c r="K22" s="17">
        <f t="shared" si="1"/>
        <v>3</v>
      </c>
      <c r="L22" s="7">
        <f t="shared" si="2"/>
        <v>3</v>
      </c>
    </row>
    <row r="23" spans="1:12" ht="15.75" thickBot="1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>
      <c r="A26" s="8">
        <v>18</v>
      </c>
      <c r="B26" s="23">
        <v>2</v>
      </c>
      <c r="C26" s="24"/>
      <c r="D26" s="24"/>
      <c r="E26" s="25"/>
      <c r="F26" s="19">
        <f t="shared" si="0"/>
        <v>2</v>
      </c>
      <c r="G26" s="32"/>
      <c r="H26" s="24"/>
      <c r="I26" s="24"/>
      <c r="J26" s="24"/>
      <c r="K26" s="17">
        <f t="shared" si="1"/>
        <v>0</v>
      </c>
      <c r="L26" s="7">
        <f t="shared" si="2"/>
        <v>2</v>
      </c>
    </row>
    <row r="27" spans="1:12" ht="15.75" thickBot="1">
      <c r="A27" s="8">
        <v>19</v>
      </c>
      <c r="B27" s="23"/>
      <c r="C27" s="24">
        <v>1</v>
      </c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>
      <c r="A28" s="8">
        <v>20</v>
      </c>
      <c r="B28" s="23"/>
      <c r="C28" s="24"/>
      <c r="D28" s="24"/>
      <c r="E28" s="25"/>
      <c r="F28" s="19">
        <f t="shared" si="0"/>
        <v>0</v>
      </c>
      <c r="G28" s="32">
        <v>5</v>
      </c>
      <c r="H28" s="24"/>
      <c r="I28" s="24"/>
      <c r="J28" s="24"/>
      <c r="K28" s="17">
        <f t="shared" si="1"/>
        <v>5</v>
      </c>
      <c r="L28" s="7">
        <f t="shared" si="2"/>
        <v>5</v>
      </c>
    </row>
    <row r="29" spans="1:12" ht="15.75" thickBot="1">
      <c r="A29" s="8">
        <v>21</v>
      </c>
      <c r="B29" s="23"/>
      <c r="C29" s="24"/>
      <c r="D29" s="24"/>
      <c r="E29" s="25"/>
      <c r="F29" s="19">
        <f t="shared" si="0"/>
        <v>0</v>
      </c>
      <c r="G29" s="32">
        <v>4</v>
      </c>
      <c r="H29" s="24"/>
      <c r="I29" s="24"/>
      <c r="J29" s="24"/>
      <c r="K29" s="17">
        <f t="shared" si="1"/>
        <v>4</v>
      </c>
      <c r="L29" s="7">
        <f t="shared" si="2"/>
        <v>4</v>
      </c>
    </row>
    <row r="30" spans="1:12" ht="15.75" thickBot="1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>
      <c r="A33" s="8">
        <v>25</v>
      </c>
      <c r="B33" s="23"/>
      <c r="C33" s="24"/>
      <c r="D33" s="24"/>
      <c r="E33" s="25"/>
      <c r="F33" s="19">
        <f t="shared" si="0"/>
        <v>0</v>
      </c>
      <c r="G33" s="32">
        <v>2</v>
      </c>
      <c r="H33" s="24"/>
      <c r="I33" s="24"/>
      <c r="J33" s="24"/>
      <c r="K33" s="17">
        <f t="shared" si="1"/>
        <v>2</v>
      </c>
      <c r="L33" s="7">
        <f t="shared" si="2"/>
        <v>2</v>
      </c>
    </row>
    <row r="34" spans="1:12" ht="15.75" thickBot="1">
      <c r="A34" s="8">
        <v>26</v>
      </c>
      <c r="B34" s="23"/>
      <c r="C34" s="24"/>
      <c r="D34" s="24"/>
      <c r="E34" s="25"/>
      <c r="F34" s="19">
        <f t="shared" si="0"/>
        <v>0</v>
      </c>
      <c r="G34" s="32">
        <v>2</v>
      </c>
      <c r="H34" s="24"/>
      <c r="I34" s="24"/>
      <c r="J34" s="24"/>
      <c r="K34" s="17">
        <f t="shared" si="1"/>
        <v>2</v>
      </c>
      <c r="L34" s="7">
        <f t="shared" si="2"/>
        <v>2</v>
      </c>
    </row>
    <row r="35" spans="1:12" ht="15.75" thickBot="1">
      <c r="A35" s="8">
        <v>27</v>
      </c>
      <c r="B35" s="46"/>
      <c r="C35" s="24"/>
      <c r="D35" s="24"/>
      <c r="E35" s="25"/>
      <c r="F35" s="19">
        <f t="shared" si="0"/>
        <v>0</v>
      </c>
      <c r="G35" s="47">
        <v>2</v>
      </c>
      <c r="H35" s="24"/>
      <c r="I35" s="24"/>
      <c r="J35" s="24"/>
      <c r="K35" s="17">
        <f t="shared" si="1"/>
        <v>2</v>
      </c>
      <c r="L35" s="7">
        <f t="shared" si="2"/>
        <v>2</v>
      </c>
    </row>
    <row r="36" spans="1:12" ht="15.75" thickBot="1">
      <c r="A36" s="8">
        <v>28</v>
      </c>
      <c r="B36" s="23"/>
      <c r="C36" s="24"/>
      <c r="D36" s="24"/>
      <c r="E36" s="25"/>
      <c r="F36" s="19">
        <f t="shared" si="0"/>
        <v>0</v>
      </c>
      <c r="G36" s="32">
        <v>2</v>
      </c>
      <c r="H36" s="24"/>
      <c r="I36" s="24"/>
      <c r="J36" s="24"/>
      <c r="K36" s="17">
        <f t="shared" si="1"/>
        <v>2</v>
      </c>
      <c r="L36" s="7">
        <f t="shared" si="2"/>
        <v>2</v>
      </c>
    </row>
    <row r="37" spans="1:12" ht="15.75" thickBot="1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>
      <c r="A40" s="10"/>
      <c r="B40" s="11">
        <f>SUM(B9:B39)</f>
        <v>5</v>
      </c>
      <c r="C40" s="11">
        <f t="shared" ref="C40:E40" si="3">SUM(C9:C39)</f>
        <v>1</v>
      </c>
      <c r="D40" s="11">
        <f t="shared" si="3"/>
        <v>0</v>
      </c>
      <c r="E40" s="11">
        <f t="shared" si="3"/>
        <v>0</v>
      </c>
      <c r="F40" s="16">
        <f>SUM(F9:F39)</f>
        <v>6</v>
      </c>
      <c r="G40" s="18">
        <f>SUM(G9:G39)</f>
        <v>22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22</v>
      </c>
      <c r="L40" s="18">
        <f t="shared" si="4"/>
        <v>28</v>
      </c>
    </row>
    <row r="41" spans="1:12" ht="15.75" thickBot="1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>
      <c r="A42" s="95"/>
      <c r="B42" s="95"/>
      <c r="C42" s="95"/>
      <c r="D42" s="95"/>
      <c r="E42" s="95"/>
      <c r="F42" s="95"/>
      <c r="G42" s="96" t="s">
        <v>17</v>
      </c>
      <c r="H42" s="97"/>
      <c r="I42" s="97" t="s">
        <v>18</v>
      </c>
      <c r="J42" s="98"/>
      <c r="K42" s="12"/>
      <c r="L42" s="14"/>
    </row>
    <row r="43" spans="1:12" ht="15.75" thickBot="1">
      <c r="A43" s="15"/>
      <c r="B43" s="82" t="s">
        <v>19</v>
      </c>
      <c r="C43" s="83"/>
      <c r="D43" s="83"/>
      <c r="E43" s="83"/>
      <c r="F43" s="83"/>
      <c r="G43" s="93">
        <v>37</v>
      </c>
      <c r="H43" s="99"/>
      <c r="I43" s="100"/>
      <c r="J43" s="101"/>
      <c r="K43" s="12"/>
      <c r="L43" s="14"/>
    </row>
    <row r="44" spans="1:12" ht="15.75" thickBot="1">
      <c r="A44" s="15"/>
      <c r="B44" s="82" t="s">
        <v>20</v>
      </c>
      <c r="C44" s="83"/>
      <c r="D44" s="83"/>
      <c r="E44" s="83"/>
      <c r="F44" s="83"/>
      <c r="G44" s="84">
        <v>110</v>
      </c>
      <c r="H44" s="85"/>
      <c r="I44" s="84"/>
      <c r="J44" s="85"/>
      <c r="K44" s="12"/>
      <c r="L44" s="14"/>
    </row>
    <row r="45" spans="1:12" ht="15.75" thickBot="1">
      <c r="A45" s="15"/>
      <c r="B45" s="90" t="s">
        <v>21</v>
      </c>
      <c r="C45" s="90"/>
      <c r="D45" s="90"/>
      <c r="E45" s="90"/>
      <c r="F45" s="82"/>
      <c r="G45" s="91">
        <v>2</v>
      </c>
      <c r="H45" s="92"/>
      <c r="I45" s="93"/>
      <c r="J45" s="94"/>
      <c r="K45" s="12"/>
      <c r="L45" s="14"/>
    </row>
    <row r="46" spans="1:12" ht="15.75" thickBot="1">
      <c r="A46" s="15"/>
      <c r="B46" s="82" t="s">
        <v>22</v>
      </c>
      <c r="C46" s="83"/>
      <c r="D46" s="83"/>
      <c r="E46" s="83"/>
      <c r="F46" s="83"/>
      <c r="G46" s="89">
        <f>L40+G45</f>
        <v>30</v>
      </c>
      <c r="H46" s="85"/>
      <c r="I46" s="84"/>
      <c r="J46" s="85"/>
      <c r="K46" s="12"/>
      <c r="L46" s="14"/>
    </row>
    <row r="47" spans="1:12" ht="15.75" thickBot="1">
      <c r="A47" s="4"/>
      <c r="B47" s="82" t="s">
        <v>23</v>
      </c>
      <c r="C47" s="83"/>
      <c r="D47" s="83"/>
      <c r="E47" s="83"/>
      <c r="F47" s="83"/>
      <c r="G47" s="89">
        <f>G43+G44-G46</f>
        <v>117</v>
      </c>
      <c r="H47" s="85"/>
      <c r="I47" s="84"/>
      <c r="J47" s="85"/>
      <c r="K47" s="12"/>
      <c r="L47" s="3"/>
    </row>
    <row r="48" spans="1:12" ht="15.75" thickBot="1">
      <c r="A48" s="4"/>
      <c r="B48" s="82" t="s">
        <v>24</v>
      </c>
      <c r="C48" s="83"/>
      <c r="D48" s="83"/>
      <c r="E48" s="83"/>
      <c r="F48" s="83"/>
      <c r="G48" s="84">
        <v>117</v>
      </c>
      <c r="H48" s="85"/>
      <c r="I48" s="84"/>
      <c r="J48" s="85"/>
      <c r="K48" s="12"/>
      <c r="L48" s="3"/>
    </row>
    <row r="49" spans="1:12" ht="15.75" thickBot="1">
      <c r="A49" s="4"/>
      <c r="B49" s="82" t="s">
        <v>25</v>
      </c>
      <c r="C49" s="83"/>
      <c r="D49" s="83"/>
      <c r="E49" s="83"/>
      <c r="F49" s="83"/>
      <c r="G49" s="86">
        <f>G47-G48</f>
        <v>0</v>
      </c>
      <c r="H49" s="87"/>
      <c r="I49" s="88"/>
      <c r="J49" s="87"/>
      <c r="K49" s="12"/>
      <c r="L49" s="3"/>
    </row>
    <row r="50" spans="1:12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6">
    <mergeCell ref="A1:D1"/>
    <mergeCell ref="G1:L1"/>
    <mergeCell ref="A2:D2"/>
    <mergeCell ref="G2:L2"/>
    <mergeCell ref="A3:D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2"/>
  <sheetViews>
    <sheetView topLeftCell="A34" workbookViewId="0">
      <selection activeCell="L52" sqref="A1:L52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2" t="s">
        <v>0</v>
      </c>
      <c r="B1" s="102"/>
      <c r="C1" s="102"/>
      <c r="D1" s="102"/>
      <c r="E1" s="37"/>
      <c r="F1" s="38"/>
      <c r="G1" s="103" t="s">
        <v>1</v>
      </c>
      <c r="H1" s="103"/>
      <c r="I1" s="103"/>
      <c r="J1" s="103"/>
      <c r="K1" s="103"/>
      <c r="L1" s="103"/>
    </row>
    <row r="2" spans="1:12" ht="15.75">
      <c r="A2" s="103" t="s">
        <v>2</v>
      </c>
      <c r="B2" s="103"/>
      <c r="C2" s="103"/>
      <c r="D2" s="103"/>
      <c r="E2" s="37"/>
      <c r="F2" s="38"/>
      <c r="G2" s="114" t="s">
        <v>3</v>
      </c>
      <c r="H2" s="114"/>
      <c r="I2" s="114"/>
      <c r="J2" s="114"/>
      <c r="K2" s="114"/>
      <c r="L2" s="114"/>
    </row>
    <row r="3" spans="1:12">
      <c r="A3" s="114" t="s">
        <v>4</v>
      </c>
      <c r="B3" s="114"/>
      <c r="C3" s="114"/>
      <c r="D3" s="114"/>
      <c r="E3" s="37"/>
      <c r="F3" s="38"/>
      <c r="G3" s="38"/>
      <c r="H3" s="37"/>
      <c r="I3" s="37"/>
      <c r="J3" s="37"/>
      <c r="K3" s="38"/>
      <c r="L3" s="1"/>
    </row>
    <row r="4" spans="1:12" ht="18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6.5" thickBot="1">
      <c r="A5" s="103" t="s">
        <v>28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>
      <c r="A6" s="106" t="s">
        <v>7</v>
      </c>
      <c r="B6" s="108" t="s">
        <v>8</v>
      </c>
      <c r="C6" s="109"/>
      <c r="D6" s="109"/>
      <c r="E6" s="109"/>
      <c r="F6" s="110"/>
      <c r="G6" s="111" t="s">
        <v>9</v>
      </c>
      <c r="H6" s="109"/>
      <c r="I6" s="109"/>
      <c r="J6" s="109"/>
      <c r="K6" s="110"/>
      <c r="L6" s="112" t="s">
        <v>10</v>
      </c>
    </row>
    <row r="7" spans="1:12" ht="15.75" thickBot="1">
      <c r="A7" s="107"/>
      <c r="B7" s="40" t="s">
        <v>11</v>
      </c>
      <c r="C7" s="41" t="s">
        <v>12</v>
      </c>
      <c r="D7" s="41" t="s">
        <v>13</v>
      </c>
      <c r="E7" s="41" t="s">
        <v>14</v>
      </c>
      <c r="F7" s="42" t="s">
        <v>15</v>
      </c>
      <c r="G7" s="43" t="s">
        <v>11</v>
      </c>
      <c r="H7" s="41" t="s">
        <v>12</v>
      </c>
      <c r="I7" s="41" t="s">
        <v>13</v>
      </c>
      <c r="J7" s="41" t="s">
        <v>14</v>
      </c>
      <c r="K7" s="42" t="s">
        <v>16</v>
      </c>
      <c r="L7" s="113"/>
    </row>
    <row r="8" spans="1:12" ht="14.85" customHeight="1" thickBot="1">
      <c r="A8" s="6">
        <v>1</v>
      </c>
      <c r="B8" s="20"/>
      <c r="C8" s="21"/>
      <c r="D8" s="21"/>
      <c r="E8" s="22"/>
      <c r="F8" s="19">
        <f>SUM(B8:E8)</f>
        <v>0</v>
      </c>
      <c r="G8" s="48"/>
      <c r="H8" s="31"/>
      <c r="I8" s="31"/>
      <c r="J8" s="31"/>
      <c r="K8" s="17">
        <f>SUM(G8:J8)</f>
        <v>0</v>
      </c>
      <c r="L8" s="7">
        <f>SUM(F8+K8)</f>
        <v>0</v>
      </c>
    </row>
    <row r="9" spans="1:12" ht="14.85" customHeight="1" thickBot="1">
      <c r="A9" s="8">
        <v>2</v>
      </c>
      <c r="B9" s="23"/>
      <c r="C9" s="24"/>
      <c r="D9" s="24"/>
      <c r="E9" s="25"/>
      <c r="F9" s="19">
        <f t="shared" ref="F9:F38" si="0">SUM(B9:E9)</f>
        <v>0</v>
      </c>
      <c r="G9" s="32">
        <v>1</v>
      </c>
      <c r="H9" s="24"/>
      <c r="I9" s="24"/>
      <c r="J9" s="24"/>
      <c r="K9" s="17">
        <f t="shared" ref="K9:K38" si="1">SUM(G9:J9)</f>
        <v>1</v>
      </c>
      <c r="L9" s="7">
        <f t="shared" ref="L9:L38" si="2">SUM(F9+K9)</f>
        <v>1</v>
      </c>
    </row>
    <row r="10" spans="1:12" ht="14.85" customHeight="1" thickBot="1">
      <c r="A10" s="8">
        <v>3</v>
      </c>
      <c r="B10" s="23"/>
      <c r="C10" s="24"/>
      <c r="D10" s="24"/>
      <c r="E10" s="26"/>
      <c r="F10" s="19">
        <f t="shared" si="0"/>
        <v>0</v>
      </c>
      <c r="G10" s="32"/>
      <c r="H10" s="24"/>
      <c r="I10" s="24"/>
      <c r="J10" s="24"/>
      <c r="K10" s="17">
        <f t="shared" si="1"/>
        <v>0</v>
      </c>
      <c r="L10" s="7">
        <f t="shared" si="2"/>
        <v>0</v>
      </c>
    </row>
    <row r="11" spans="1:12" ht="14.85" customHeight="1" thickBot="1">
      <c r="A11" s="8">
        <v>4</v>
      </c>
      <c r="B11" s="23"/>
      <c r="C11" s="24"/>
      <c r="D11" s="24"/>
      <c r="E11" s="25"/>
      <c r="F11" s="19">
        <f t="shared" si="0"/>
        <v>0</v>
      </c>
      <c r="G11" s="33">
        <v>1</v>
      </c>
      <c r="H11" s="24"/>
      <c r="I11" s="24"/>
      <c r="J11" s="24"/>
      <c r="K11" s="17">
        <f t="shared" si="1"/>
        <v>1</v>
      </c>
      <c r="L11" s="7">
        <f t="shared" si="2"/>
        <v>1</v>
      </c>
    </row>
    <row r="12" spans="1:12" ht="14.85" customHeight="1" thickBot="1">
      <c r="A12" s="8">
        <v>5</v>
      </c>
      <c r="B12" s="23"/>
      <c r="C12" s="24"/>
      <c r="D12" s="24"/>
      <c r="E12" s="25"/>
      <c r="F12" s="19">
        <f t="shared" si="0"/>
        <v>0</v>
      </c>
      <c r="G12" s="32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4.85" customHeight="1" thickBot="1">
      <c r="A13" s="8">
        <v>6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4.85" customHeight="1" thickBot="1">
      <c r="A14" s="8">
        <v>7</v>
      </c>
      <c r="B14" s="23"/>
      <c r="C14" s="24"/>
      <c r="D14" s="24"/>
      <c r="E14" s="25"/>
      <c r="F14" s="19">
        <f t="shared" si="0"/>
        <v>0</v>
      </c>
      <c r="G14" s="32">
        <v>8</v>
      </c>
      <c r="H14" s="24"/>
      <c r="I14" s="24"/>
      <c r="J14" s="24"/>
      <c r="K14" s="17">
        <f t="shared" si="1"/>
        <v>8</v>
      </c>
      <c r="L14" s="7">
        <f t="shared" si="2"/>
        <v>8</v>
      </c>
    </row>
    <row r="15" spans="1:12" ht="14.85" customHeight="1" thickBot="1">
      <c r="A15" s="8">
        <v>8</v>
      </c>
      <c r="B15" s="23"/>
      <c r="C15" s="24"/>
      <c r="D15" s="24"/>
      <c r="E15" s="25"/>
      <c r="F15" s="19">
        <f t="shared" si="0"/>
        <v>0</v>
      </c>
      <c r="G15" s="32">
        <v>2</v>
      </c>
      <c r="H15" s="24"/>
      <c r="I15" s="24"/>
      <c r="J15" s="24"/>
      <c r="K15" s="17">
        <f t="shared" si="1"/>
        <v>2</v>
      </c>
      <c r="L15" s="7">
        <f t="shared" si="2"/>
        <v>2</v>
      </c>
    </row>
    <row r="16" spans="1:12" ht="14.85" customHeight="1" thickBot="1">
      <c r="A16" s="8">
        <v>9</v>
      </c>
      <c r="B16" s="23"/>
      <c r="C16" s="24"/>
      <c r="D16" s="24"/>
      <c r="E16" s="25"/>
      <c r="F16" s="19">
        <f t="shared" si="0"/>
        <v>0</v>
      </c>
      <c r="G16" s="32">
        <v>3</v>
      </c>
      <c r="H16" s="24"/>
      <c r="I16" s="24"/>
      <c r="J16" s="24"/>
      <c r="K16" s="17">
        <f t="shared" si="1"/>
        <v>3</v>
      </c>
      <c r="L16" s="7">
        <f t="shared" si="2"/>
        <v>3</v>
      </c>
    </row>
    <row r="17" spans="1:12" ht="14.85" customHeight="1" thickBot="1">
      <c r="A17" s="8">
        <v>10</v>
      </c>
      <c r="B17" s="23">
        <v>1</v>
      </c>
      <c r="C17" s="24"/>
      <c r="D17" s="24"/>
      <c r="E17" s="25"/>
      <c r="F17" s="19">
        <f t="shared" si="0"/>
        <v>1</v>
      </c>
      <c r="G17" s="34"/>
      <c r="H17" s="24"/>
      <c r="I17" s="24"/>
      <c r="J17" s="24"/>
      <c r="K17" s="17">
        <f t="shared" si="1"/>
        <v>0</v>
      </c>
      <c r="L17" s="7">
        <f t="shared" si="2"/>
        <v>1</v>
      </c>
    </row>
    <row r="18" spans="1:12" ht="14.85" customHeight="1" thickBot="1">
      <c r="A18" s="8">
        <v>11</v>
      </c>
      <c r="B18" s="23"/>
      <c r="C18" s="24">
        <v>1</v>
      </c>
      <c r="D18" s="24"/>
      <c r="E18" s="25"/>
      <c r="F18" s="19">
        <f t="shared" si="0"/>
        <v>1</v>
      </c>
      <c r="G18" s="32">
        <v>17</v>
      </c>
      <c r="H18" s="24"/>
      <c r="I18" s="24"/>
      <c r="J18" s="24"/>
      <c r="K18" s="17">
        <f t="shared" si="1"/>
        <v>17</v>
      </c>
      <c r="L18" s="7">
        <f t="shared" si="2"/>
        <v>18</v>
      </c>
    </row>
    <row r="19" spans="1:12" ht="14.85" customHeight="1" thickBot="1">
      <c r="A19" s="8">
        <v>12</v>
      </c>
      <c r="B19" s="23"/>
      <c r="C19" s="24"/>
      <c r="D19" s="24"/>
      <c r="E19" s="25"/>
      <c r="F19" s="19">
        <f t="shared" si="0"/>
        <v>0</v>
      </c>
      <c r="G19" s="32"/>
      <c r="H19" s="35"/>
      <c r="I19" s="35"/>
      <c r="J19" s="35"/>
      <c r="K19" s="17">
        <f t="shared" si="1"/>
        <v>0</v>
      </c>
      <c r="L19" s="7">
        <f t="shared" si="2"/>
        <v>0</v>
      </c>
    </row>
    <row r="20" spans="1:12" ht="14.85" customHeight="1" thickBot="1">
      <c r="A20" s="8">
        <v>13</v>
      </c>
      <c r="B20" s="23"/>
      <c r="C20" s="24"/>
      <c r="D20" s="24"/>
      <c r="E20" s="25"/>
      <c r="F20" s="19">
        <f t="shared" si="0"/>
        <v>0</v>
      </c>
      <c r="G20" s="36"/>
      <c r="H20" s="24"/>
      <c r="I20" s="24"/>
      <c r="J20" s="24"/>
      <c r="K20" s="17">
        <f t="shared" si="1"/>
        <v>0</v>
      </c>
      <c r="L20" s="7">
        <f t="shared" si="2"/>
        <v>0</v>
      </c>
    </row>
    <row r="21" spans="1:12" ht="14.85" customHeight="1" thickBot="1">
      <c r="A21" s="8">
        <v>14</v>
      </c>
      <c r="B21" s="23">
        <v>5</v>
      </c>
      <c r="C21" s="24"/>
      <c r="D21" s="24">
        <v>2</v>
      </c>
      <c r="E21" s="25"/>
      <c r="F21" s="19">
        <f t="shared" si="0"/>
        <v>7</v>
      </c>
      <c r="G21" s="36">
        <v>2</v>
      </c>
      <c r="H21" s="24"/>
      <c r="I21" s="24"/>
      <c r="J21" s="24"/>
      <c r="K21" s="17">
        <f t="shared" si="1"/>
        <v>2</v>
      </c>
      <c r="L21" s="7">
        <f t="shared" si="2"/>
        <v>9</v>
      </c>
    </row>
    <row r="22" spans="1:12" ht="14.85" customHeight="1" thickBot="1">
      <c r="A22" s="8">
        <v>15</v>
      </c>
      <c r="B22" s="23"/>
      <c r="C22" s="24"/>
      <c r="D22" s="24"/>
      <c r="E22" s="25"/>
      <c r="F22" s="19">
        <f t="shared" si="0"/>
        <v>0</v>
      </c>
      <c r="G22" s="32">
        <v>1</v>
      </c>
      <c r="H22" s="24"/>
      <c r="I22" s="24"/>
      <c r="J22" s="24"/>
      <c r="K22" s="17">
        <f t="shared" si="1"/>
        <v>1</v>
      </c>
      <c r="L22" s="7">
        <f t="shared" si="2"/>
        <v>1</v>
      </c>
    </row>
    <row r="23" spans="1:12" ht="14.85" customHeight="1" thickBot="1">
      <c r="A23" s="8">
        <v>16</v>
      </c>
      <c r="B23" s="23"/>
      <c r="C23" s="24"/>
      <c r="D23" s="24"/>
      <c r="E23" s="25"/>
      <c r="F23" s="19">
        <f t="shared" si="0"/>
        <v>0</v>
      </c>
      <c r="G23" s="32">
        <v>3</v>
      </c>
      <c r="H23" s="24"/>
      <c r="I23" s="24"/>
      <c r="J23" s="24"/>
      <c r="K23" s="17">
        <f t="shared" si="1"/>
        <v>3</v>
      </c>
      <c r="L23" s="7">
        <f t="shared" si="2"/>
        <v>3</v>
      </c>
    </row>
    <row r="24" spans="1:12" ht="14.85" customHeight="1" thickBot="1">
      <c r="A24" s="8">
        <v>17</v>
      </c>
      <c r="B24" s="23"/>
      <c r="C24" s="49"/>
      <c r="D24" s="27"/>
      <c r="E24" s="25"/>
      <c r="F24" s="19">
        <f t="shared" si="0"/>
        <v>0</v>
      </c>
      <c r="G24" s="32">
        <v>2</v>
      </c>
      <c r="H24" s="24"/>
      <c r="I24" s="24"/>
      <c r="J24" s="24"/>
      <c r="K24" s="17">
        <f t="shared" si="1"/>
        <v>2</v>
      </c>
      <c r="L24" s="7">
        <f t="shared" si="2"/>
        <v>2</v>
      </c>
    </row>
    <row r="25" spans="1:12" ht="14.85" customHeight="1" thickBot="1">
      <c r="A25" s="8">
        <v>18</v>
      </c>
      <c r="B25" s="23"/>
      <c r="C25" s="24">
        <v>1</v>
      </c>
      <c r="D25" s="24"/>
      <c r="E25" s="25"/>
      <c r="F25" s="19">
        <f t="shared" si="0"/>
        <v>1</v>
      </c>
      <c r="G25" s="32"/>
      <c r="H25" s="24"/>
      <c r="I25" s="24"/>
      <c r="J25" s="24"/>
      <c r="K25" s="17">
        <f t="shared" si="1"/>
        <v>0</v>
      </c>
      <c r="L25" s="7">
        <f t="shared" si="2"/>
        <v>1</v>
      </c>
    </row>
    <row r="26" spans="1:12" ht="14.85" customHeight="1" thickBot="1">
      <c r="A26" s="8">
        <v>19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4.85" customHeight="1" thickBot="1">
      <c r="A27" s="8">
        <v>20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4.85" customHeight="1" thickBot="1">
      <c r="A28" s="8">
        <v>21</v>
      </c>
      <c r="B28" s="23">
        <v>1</v>
      </c>
      <c r="C28" s="24"/>
      <c r="D28" s="24"/>
      <c r="E28" s="25"/>
      <c r="F28" s="19">
        <f t="shared" si="0"/>
        <v>1</v>
      </c>
      <c r="G28" s="32"/>
      <c r="H28" s="24"/>
      <c r="I28" s="24"/>
      <c r="J28" s="24"/>
      <c r="K28" s="17">
        <f t="shared" si="1"/>
        <v>0</v>
      </c>
      <c r="L28" s="7">
        <f t="shared" si="2"/>
        <v>1</v>
      </c>
    </row>
    <row r="29" spans="1:12" ht="14.85" customHeight="1" thickBot="1">
      <c r="A29" s="8">
        <v>22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4.85" customHeight="1" thickBot="1">
      <c r="A30" s="8">
        <v>23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4.85" customHeight="1" thickBot="1">
      <c r="A31" s="8">
        <v>24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4.85" customHeight="1" thickBot="1">
      <c r="A32" s="8">
        <v>25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4.85" customHeight="1" thickBot="1">
      <c r="A33" s="8">
        <v>26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4.85" customHeight="1" thickBot="1">
      <c r="A34" s="8">
        <v>27</v>
      </c>
      <c r="B34" s="46"/>
      <c r="C34" s="24"/>
      <c r="D34" s="24"/>
      <c r="E34" s="25"/>
      <c r="F34" s="19">
        <f t="shared" si="0"/>
        <v>0</v>
      </c>
      <c r="G34" s="47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4.85" customHeight="1" thickBot="1">
      <c r="A35" s="8">
        <v>28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4.85" customHeight="1" thickBot="1">
      <c r="A36" s="8">
        <v>29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4.85" customHeight="1" thickBot="1">
      <c r="A37" s="8">
        <v>30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4.85" customHeight="1" thickBot="1">
      <c r="A38" s="9">
        <v>31</v>
      </c>
      <c r="B38" s="28"/>
      <c r="C38" s="29"/>
      <c r="D38" s="29"/>
      <c r="E38" s="30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4.85" customHeight="1" thickBot="1">
      <c r="A39" s="10"/>
      <c r="B39" s="51">
        <f>SUM(B8:B38)</f>
        <v>7</v>
      </c>
      <c r="C39" s="51">
        <f t="shared" ref="C39:E39" si="3">SUM(C8:C38)</f>
        <v>2</v>
      </c>
      <c r="D39" s="51">
        <f t="shared" si="3"/>
        <v>2</v>
      </c>
      <c r="E39" s="51">
        <f t="shared" si="3"/>
        <v>0</v>
      </c>
      <c r="F39" s="50">
        <f>SUM(F8:F38)</f>
        <v>11</v>
      </c>
      <c r="G39" s="18">
        <f>SUM(G8:G38)</f>
        <v>40</v>
      </c>
      <c r="H39" s="18">
        <f t="shared" ref="H39:L39" si="4">SUM(H8:H38)</f>
        <v>0</v>
      </c>
      <c r="I39" s="18">
        <f t="shared" si="4"/>
        <v>0</v>
      </c>
      <c r="J39" s="18">
        <f t="shared" si="4"/>
        <v>0</v>
      </c>
      <c r="K39" s="18">
        <f t="shared" si="4"/>
        <v>40</v>
      </c>
      <c r="L39" s="18">
        <f t="shared" si="4"/>
        <v>51</v>
      </c>
    </row>
    <row r="40" spans="1:12" ht="5.25" customHeight="1" thickBot="1">
      <c r="A40" s="12"/>
      <c r="B40" s="12"/>
      <c r="C40" s="13"/>
      <c r="D40" s="13"/>
      <c r="E40" s="13"/>
      <c r="F40" s="12"/>
      <c r="G40" s="12"/>
      <c r="H40" s="13"/>
      <c r="I40" s="13"/>
      <c r="J40" s="13"/>
      <c r="K40" s="12"/>
      <c r="L40" s="14"/>
    </row>
    <row r="41" spans="1:12" ht="15.75" thickBot="1">
      <c r="A41" s="95"/>
      <c r="B41" s="95"/>
      <c r="C41" s="95"/>
      <c r="D41" s="95"/>
      <c r="E41" s="95"/>
      <c r="F41" s="95"/>
      <c r="G41" s="96" t="s">
        <v>17</v>
      </c>
      <c r="H41" s="97"/>
      <c r="I41" s="97" t="s">
        <v>18</v>
      </c>
      <c r="J41" s="98"/>
      <c r="K41" s="12"/>
      <c r="L41" s="14"/>
    </row>
    <row r="42" spans="1:12" ht="15.75" thickBot="1">
      <c r="A42" s="15"/>
      <c r="B42" s="82" t="s">
        <v>19</v>
      </c>
      <c r="C42" s="83"/>
      <c r="D42" s="83"/>
      <c r="E42" s="83"/>
      <c r="F42" s="83"/>
      <c r="G42" s="93">
        <v>117</v>
      </c>
      <c r="H42" s="99"/>
      <c r="I42" s="100"/>
      <c r="J42" s="101"/>
      <c r="K42" s="12"/>
      <c r="L42" s="14"/>
    </row>
    <row r="43" spans="1:12" ht="15.75" thickBot="1">
      <c r="A43" s="15"/>
      <c r="B43" s="82" t="s">
        <v>20</v>
      </c>
      <c r="C43" s="83"/>
      <c r="D43" s="83"/>
      <c r="E43" s="83"/>
      <c r="F43" s="83"/>
      <c r="G43" s="84">
        <v>860</v>
      </c>
      <c r="H43" s="85"/>
      <c r="I43" s="84"/>
      <c r="J43" s="85"/>
      <c r="K43" s="12"/>
      <c r="L43" s="14"/>
    </row>
    <row r="44" spans="1:12" ht="15.75" thickBot="1">
      <c r="A44" s="15"/>
      <c r="B44" s="90" t="s">
        <v>21</v>
      </c>
      <c r="C44" s="90"/>
      <c r="D44" s="90"/>
      <c r="E44" s="90"/>
      <c r="F44" s="82"/>
      <c r="G44" s="91">
        <v>0</v>
      </c>
      <c r="H44" s="92"/>
      <c r="I44" s="93"/>
      <c r="J44" s="94"/>
      <c r="K44" s="12"/>
      <c r="L44" s="14"/>
    </row>
    <row r="45" spans="1:12" ht="15.75" thickBot="1">
      <c r="A45" s="15"/>
      <c r="B45" s="82" t="s">
        <v>22</v>
      </c>
      <c r="C45" s="83"/>
      <c r="D45" s="83"/>
      <c r="E45" s="83"/>
      <c r="F45" s="83"/>
      <c r="G45" s="89">
        <f>L39+G44</f>
        <v>51</v>
      </c>
      <c r="H45" s="85"/>
      <c r="I45" s="84"/>
      <c r="J45" s="85"/>
      <c r="K45" s="12"/>
      <c r="L45" s="14"/>
    </row>
    <row r="46" spans="1:12" ht="15.75" thickBot="1">
      <c r="A46" s="4"/>
      <c r="B46" s="82" t="s">
        <v>23</v>
      </c>
      <c r="C46" s="83"/>
      <c r="D46" s="83"/>
      <c r="E46" s="83"/>
      <c r="F46" s="83"/>
      <c r="G46" s="89">
        <f>G42+G43-G45</f>
        <v>926</v>
      </c>
      <c r="H46" s="85"/>
      <c r="I46" s="84"/>
      <c r="J46" s="85"/>
      <c r="K46" s="12"/>
      <c r="L46" s="3"/>
    </row>
    <row r="47" spans="1:12" ht="15.75" thickBot="1">
      <c r="A47" s="4"/>
      <c r="B47" s="82" t="s">
        <v>24</v>
      </c>
      <c r="C47" s="83"/>
      <c r="D47" s="83"/>
      <c r="E47" s="83"/>
      <c r="F47" s="83"/>
      <c r="G47" s="84">
        <v>56</v>
      </c>
      <c r="H47" s="85"/>
      <c r="I47" s="84"/>
      <c r="J47" s="85"/>
      <c r="K47" s="12"/>
      <c r="L47" s="3"/>
    </row>
    <row r="48" spans="1:12" ht="15.75" thickBot="1">
      <c r="A48" s="4"/>
      <c r="B48" s="82" t="s">
        <v>25</v>
      </c>
      <c r="C48" s="83"/>
      <c r="D48" s="83"/>
      <c r="E48" s="83"/>
      <c r="F48" s="83"/>
      <c r="G48" s="86">
        <f>G46-G47</f>
        <v>870</v>
      </c>
      <c r="H48" s="87"/>
      <c r="I48" s="88"/>
      <c r="J48" s="87"/>
      <c r="K48" s="12"/>
      <c r="L48" s="3"/>
    </row>
    <row r="49" spans="1:12">
      <c r="A49" s="5" t="s">
        <v>26</v>
      </c>
      <c r="B49" s="38"/>
      <c r="C49" s="44"/>
      <c r="D49" s="44"/>
      <c r="E49" s="44"/>
      <c r="F49" s="38"/>
      <c r="G49" s="38"/>
      <c r="H49" s="44"/>
      <c r="I49" s="45" t="s">
        <v>27</v>
      </c>
      <c r="J49" s="44"/>
      <c r="K49" s="38"/>
      <c r="L49" s="1"/>
    </row>
    <row r="50" spans="1:12">
      <c r="B50" t="s">
        <v>30</v>
      </c>
    </row>
    <row r="51" spans="1:12">
      <c r="B51" t="s">
        <v>32</v>
      </c>
    </row>
    <row r="52" spans="1:12">
      <c r="B52" t="s">
        <v>31</v>
      </c>
    </row>
  </sheetData>
  <mergeCells count="35">
    <mergeCell ref="A4:L4"/>
    <mergeCell ref="A1:D1"/>
    <mergeCell ref="G1:L1"/>
    <mergeCell ref="A2:D2"/>
    <mergeCell ref="G2:L2"/>
    <mergeCell ref="A3:D3"/>
    <mergeCell ref="A5:L5"/>
    <mergeCell ref="A6:A7"/>
    <mergeCell ref="B6:F6"/>
    <mergeCell ref="G6:K6"/>
    <mergeCell ref="L6:L7"/>
    <mergeCell ref="A41:F41"/>
    <mergeCell ref="G41:H41"/>
    <mergeCell ref="I41:J41"/>
    <mergeCell ref="B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4"/>
  <sheetViews>
    <sheetView topLeftCell="A34" workbookViewId="0">
      <selection activeCell="H55" sqref="H55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2" t="s">
        <v>0</v>
      </c>
      <c r="B1" s="102"/>
      <c r="C1" s="102"/>
      <c r="D1" s="102"/>
      <c r="E1" s="37"/>
      <c r="F1" s="38"/>
      <c r="G1" s="103" t="s">
        <v>1</v>
      </c>
      <c r="H1" s="103"/>
      <c r="I1" s="103"/>
      <c r="J1" s="103"/>
      <c r="K1" s="103"/>
      <c r="L1" s="103"/>
    </row>
    <row r="2" spans="1:12" ht="15.75">
      <c r="A2" s="103" t="s">
        <v>2</v>
      </c>
      <c r="B2" s="103"/>
      <c r="C2" s="103"/>
      <c r="D2" s="103"/>
      <c r="E2" s="37"/>
      <c r="F2" s="38"/>
      <c r="G2" s="114" t="s">
        <v>3</v>
      </c>
      <c r="H2" s="114"/>
      <c r="I2" s="114"/>
      <c r="J2" s="114"/>
      <c r="K2" s="114"/>
      <c r="L2" s="114"/>
    </row>
    <row r="3" spans="1:12">
      <c r="A3" s="114" t="s">
        <v>4</v>
      </c>
      <c r="B3" s="114"/>
      <c r="C3" s="114"/>
      <c r="D3" s="114"/>
      <c r="E3" s="37"/>
      <c r="F3" s="38"/>
      <c r="G3" s="38"/>
      <c r="H3" s="37"/>
      <c r="I3" s="37"/>
      <c r="J3" s="37"/>
      <c r="K3" s="38"/>
      <c r="L3" s="1"/>
    </row>
    <row r="4" spans="1:12" ht="18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5.75" customHeight="1" thickBot="1">
      <c r="A5" s="103" t="s">
        <v>33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.75" hidden="1" thickBot="1">
      <c r="A6" s="2" t="s">
        <v>6</v>
      </c>
      <c r="B6" s="12"/>
      <c r="C6" s="13"/>
      <c r="D6" s="13"/>
      <c r="E6" s="13"/>
      <c r="F6" s="12"/>
      <c r="G6" s="12"/>
      <c r="H6" s="105"/>
      <c r="I6" s="105"/>
      <c r="J6" s="13"/>
      <c r="K6" s="39"/>
      <c r="L6" s="3"/>
    </row>
    <row r="7" spans="1:12">
      <c r="A7" s="106" t="s">
        <v>7</v>
      </c>
      <c r="B7" s="108" t="s">
        <v>8</v>
      </c>
      <c r="C7" s="109"/>
      <c r="D7" s="109"/>
      <c r="E7" s="109"/>
      <c r="F7" s="110"/>
      <c r="G7" s="111" t="s">
        <v>9</v>
      </c>
      <c r="H7" s="109"/>
      <c r="I7" s="109"/>
      <c r="J7" s="109"/>
      <c r="K7" s="110"/>
      <c r="L7" s="112" t="s">
        <v>10</v>
      </c>
    </row>
    <row r="8" spans="1:12" ht="15.75" thickBot="1">
      <c r="A8" s="10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13"/>
    </row>
    <row r="9" spans="1:12" ht="15.75" thickBot="1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>
      <c r="A11" s="8">
        <v>3</v>
      </c>
      <c r="B11" s="23">
        <v>2</v>
      </c>
      <c r="C11" s="24"/>
      <c r="D11" s="24"/>
      <c r="E11" s="26"/>
      <c r="F11" s="19">
        <f t="shared" si="0"/>
        <v>2</v>
      </c>
      <c r="G11" s="32">
        <v>3</v>
      </c>
      <c r="H11" s="24"/>
      <c r="I11" s="24"/>
      <c r="J11" s="24"/>
      <c r="K11" s="17">
        <f t="shared" si="1"/>
        <v>3</v>
      </c>
      <c r="L11" s="7">
        <f t="shared" si="2"/>
        <v>5</v>
      </c>
    </row>
    <row r="12" spans="1:12" ht="15.75" thickBot="1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>
      <c r="A16" s="8">
        <v>8</v>
      </c>
      <c r="B16" s="23"/>
      <c r="C16" s="24"/>
      <c r="D16" s="24"/>
      <c r="E16" s="25"/>
      <c r="F16" s="19">
        <f t="shared" si="0"/>
        <v>0</v>
      </c>
      <c r="G16" s="32">
        <v>7</v>
      </c>
      <c r="H16" s="24"/>
      <c r="I16" s="24"/>
      <c r="J16" s="24"/>
      <c r="K16" s="17">
        <f t="shared" si="1"/>
        <v>7</v>
      </c>
      <c r="L16" s="7">
        <f t="shared" si="2"/>
        <v>7</v>
      </c>
    </row>
    <row r="17" spans="1:12" ht="15.75" thickBot="1">
      <c r="A17" s="8">
        <v>9</v>
      </c>
      <c r="B17" s="23"/>
      <c r="C17" s="24"/>
      <c r="D17" s="24"/>
      <c r="E17" s="25"/>
      <c r="F17" s="19">
        <f t="shared" si="0"/>
        <v>0</v>
      </c>
      <c r="G17" s="32">
        <v>1</v>
      </c>
      <c r="H17" s="24"/>
      <c r="I17" s="24"/>
      <c r="J17" s="24"/>
      <c r="K17" s="17">
        <f t="shared" si="1"/>
        <v>1</v>
      </c>
      <c r="L17" s="7">
        <f t="shared" si="2"/>
        <v>1</v>
      </c>
    </row>
    <row r="18" spans="1:12" ht="15.75" thickBot="1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>
      <c r="A22" s="8">
        <v>14</v>
      </c>
      <c r="B22" s="23">
        <v>2</v>
      </c>
      <c r="C22" s="24"/>
      <c r="D22" s="24"/>
      <c r="E22" s="25"/>
      <c r="F22" s="19">
        <f t="shared" si="0"/>
        <v>2</v>
      </c>
      <c r="G22" s="36">
        <v>3</v>
      </c>
      <c r="H22" s="24"/>
      <c r="I22" s="24"/>
      <c r="J22" s="24"/>
      <c r="K22" s="17">
        <f t="shared" si="1"/>
        <v>3</v>
      </c>
      <c r="L22" s="7">
        <f t="shared" si="2"/>
        <v>5</v>
      </c>
    </row>
    <row r="23" spans="1:12" ht="15.75" thickBot="1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>
      <c r="A25" s="8">
        <v>17</v>
      </c>
      <c r="B25" s="23">
        <v>3</v>
      </c>
      <c r="C25" s="49"/>
      <c r="D25" s="27"/>
      <c r="E25" s="25"/>
      <c r="F25" s="19">
        <f t="shared" si="0"/>
        <v>3</v>
      </c>
      <c r="G25" s="32">
        <v>1</v>
      </c>
      <c r="H25" s="24"/>
      <c r="I25" s="24"/>
      <c r="J25" s="24"/>
      <c r="K25" s="17">
        <f t="shared" si="1"/>
        <v>1</v>
      </c>
      <c r="L25" s="7">
        <f t="shared" si="2"/>
        <v>4</v>
      </c>
    </row>
    <row r="26" spans="1:12" ht="15.75" thickBot="1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>
      <c r="A38" s="8">
        <v>30</v>
      </c>
      <c r="B38" s="23">
        <v>2</v>
      </c>
      <c r="C38" s="24"/>
      <c r="D38" s="24"/>
      <c r="E38" s="25"/>
      <c r="F38" s="19">
        <f t="shared" si="0"/>
        <v>2</v>
      </c>
      <c r="G38" s="32"/>
      <c r="H38" s="24"/>
      <c r="I38" s="24"/>
      <c r="J38" s="24"/>
      <c r="K38" s="17">
        <f t="shared" si="1"/>
        <v>0</v>
      </c>
      <c r="L38" s="7">
        <f t="shared" si="2"/>
        <v>2</v>
      </c>
    </row>
    <row r="39" spans="1:12" ht="15.75" thickBot="1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>
      <c r="A40" s="10"/>
      <c r="B40" s="53">
        <f>SUM(B9:B39)</f>
        <v>9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9</v>
      </c>
      <c r="G40" s="18">
        <f>SUM(G9:G39)</f>
        <v>15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15</v>
      </c>
      <c r="L40" s="18">
        <f t="shared" si="4"/>
        <v>24</v>
      </c>
    </row>
    <row r="41" spans="1:12" ht="6.75" customHeight="1" thickBot="1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>
      <c r="A42" s="95"/>
      <c r="B42" s="95"/>
      <c r="C42" s="95"/>
      <c r="D42" s="95"/>
      <c r="E42" s="95"/>
      <c r="F42" s="95"/>
      <c r="G42" s="96" t="s">
        <v>17</v>
      </c>
      <c r="H42" s="97"/>
      <c r="I42" s="97" t="s">
        <v>18</v>
      </c>
      <c r="J42" s="98"/>
      <c r="K42" s="12"/>
      <c r="L42" s="14"/>
    </row>
    <row r="43" spans="1:12" ht="15.75" thickBot="1">
      <c r="A43" s="15"/>
      <c r="B43" s="82" t="s">
        <v>19</v>
      </c>
      <c r="C43" s="83"/>
      <c r="D43" s="83"/>
      <c r="E43" s="83"/>
      <c r="F43" s="83"/>
      <c r="G43" s="93">
        <v>56</v>
      </c>
      <c r="H43" s="99"/>
      <c r="I43" s="100"/>
      <c r="J43" s="101"/>
      <c r="K43" s="12"/>
      <c r="L43" s="14"/>
    </row>
    <row r="44" spans="1:12" ht="15.75" thickBot="1">
      <c r="A44" s="15"/>
      <c r="B44" s="82" t="s">
        <v>20</v>
      </c>
      <c r="C44" s="83"/>
      <c r="D44" s="83"/>
      <c r="E44" s="83"/>
      <c r="F44" s="83"/>
      <c r="G44" s="84">
        <v>1014</v>
      </c>
      <c r="H44" s="85"/>
      <c r="I44" s="84"/>
      <c r="J44" s="85"/>
      <c r="K44" s="12"/>
      <c r="L44" s="14"/>
    </row>
    <row r="45" spans="1:12" ht="15.75" thickBot="1">
      <c r="A45" s="15"/>
      <c r="B45" s="90" t="s">
        <v>21</v>
      </c>
      <c r="C45" s="90"/>
      <c r="D45" s="90"/>
      <c r="E45" s="90"/>
      <c r="F45" s="82"/>
      <c r="G45" s="91">
        <v>13</v>
      </c>
      <c r="H45" s="92"/>
      <c r="I45" s="93"/>
      <c r="J45" s="94"/>
      <c r="K45" s="12"/>
      <c r="L45" s="14"/>
    </row>
    <row r="46" spans="1:12" ht="15.75" thickBot="1">
      <c r="A46" s="15"/>
      <c r="B46" s="82" t="s">
        <v>22</v>
      </c>
      <c r="C46" s="83"/>
      <c r="D46" s="83"/>
      <c r="E46" s="83"/>
      <c r="F46" s="83"/>
      <c r="G46" s="89">
        <f>L40+G45</f>
        <v>37</v>
      </c>
      <c r="H46" s="85"/>
      <c r="I46" s="84"/>
      <c r="J46" s="85"/>
      <c r="K46" s="12"/>
      <c r="L46" s="14"/>
    </row>
    <row r="47" spans="1:12" ht="15.75" thickBot="1">
      <c r="A47" s="4"/>
      <c r="B47" s="82" t="s">
        <v>23</v>
      </c>
      <c r="C47" s="83"/>
      <c r="D47" s="83"/>
      <c r="E47" s="83"/>
      <c r="F47" s="83"/>
      <c r="G47" s="89">
        <f>G43+G44-G46</f>
        <v>1033</v>
      </c>
      <c r="H47" s="85"/>
      <c r="I47" s="84"/>
      <c r="J47" s="85"/>
      <c r="K47" s="12"/>
      <c r="L47" s="3"/>
    </row>
    <row r="48" spans="1:12" ht="15.75" thickBot="1">
      <c r="A48" s="4"/>
      <c r="B48" s="82" t="s">
        <v>24</v>
      </c>
      <c r="C48" s="83"/>
      <c r="D48" s="83"/>
      <c r="E48" s="83"/>
      <c r="F48" s="83"/>
      <c r="G48" s="84">
        <v>371</v>
      </c>
      <c r="H48" s="85"/>
      <c r="I48" s="84"/>
      <c r="J48" s="85"/>
      <c r="K48" s="12"/>
      <c r="L48" s="3"/>
    </row>
    <row r="49" spans="1:12" ht="15.75" thickBot="1">
      <c r="A49" s="4"/>
      <c r="B49" s="82" t="s">
        <v>25</v>
      </c>
      <c r="C49" s="83"/>
      <c r="D49" s="83"/>
      <c r="E49" s="83"/>
      <c r="F49" s="83"/>
      <c r="G49" s="86">
        <f>G47-G48</f>
        <v>662</v>
      </c>
      <c r="H49" s="87"/>
      <c r="I49" s="88"/>
      <c r="J49" s="87"/>
      <c r="K49" s="12"/>
      <c r="L49" s="3"/>
    </row>
    <row r="50" spans="1:12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>
      <c r="B52" t="s">
        <v>36</v>
      </c>
    </row>
    <row r="53" spans="1:12">
      <c r="B53" t="s">
        <v>34</v>
      </c>
    </row>
    <row r="54" spans="1:12">
      <c r="B54" t="s">
        <v>35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2"/>
  <sheetViews>
    <sheetView topLeftCell="A34" workbookViewId="0">
      <selection activeCell="G53" sqref="G53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2" t="s">
        <v>0</v>
      </c>
      <c r="B1" s="102"/>
      <c r="C1" s="102"/>
      <c r="D1" s="102"/>
      <c r="E1" s="37"/>
      <c r="F1" s="38"/>
      <c r="G1" s="103" t="s">
        <v>1</v>
      </c>
      <c r="H1" s="103"/>
      <c r="I1" s="103"/>
      <c r="J1" s="103"/>
      <c r="K1" s="103"/>
      <c r="L1" s="103"/>
    </row>
    <row r="2" spans="1:12" ht="15.75">
      <c r="A2" s="103" t="s">
        <v>2</v>
      </c>
      <c r="B2" s="103"/>
      <c r="C2" s="103"/>
      <c r="D2" s="103"/>
      <c r="E2" s="37"/>
      <c r="F2" s="38"/>
      <c r="G2" s="114" t="s">
        <v>3</v>
      </c>
      <c r="H2" s="114"/>
      <c r="I2" s="114"/>
      <c r="J2" s="114"/>
      <c r="K2" s="114"/>
      <c r="L2" s="114"/>
    </row>
    <row r="3" spans="1:12">
      <c r="A3" s="114" t="s">
        <v>4</v>
      </c>
      <c r="B3" s="114"/>
      <c r="C3" s="114"/>
      <c r="D3" s="114"/>
      <c r="E3" s="37"/>
      <c r="F3" s="38"/>
      <c r="G3" s="38"/>
      <c r="H3" s="37"/>
      <c r="I3" s="37"/>
      <c r="J3" s="37"/>
      <c r="K3" s="38"/>
      <c r="L3" s="1"/>
    </row>
    <row r="4" spans="1:12" ht="15.75" customHeight="1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5.75">
      <c r="A5" s="103" t="s">
        <v>37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2.25" customHeight="1" thickBot="1">
      <c r="A6" s="2" t="s">
        <v>6</v>
      </c>
      <c r="B6" s="12"/>
      <c r="C6" s="13"/>
      <c r="D6" s="13"/>
      <c r="E6" s="13"/>
      <c r="F6" s="12"/>
      <c r="G6" s="12"/>
      <c r="H6" s="105"/>
      <c r="I6" s="105"/>
      <c r="J6" s="13"/>
      <c r="K6" s="39"/>
      <c r="L6" s="3"/>
    </row>
    <row r="7" spans="1:12">
      <c r="A7" s="106" t="s">
        <v>7</v>
      </c>
      <c r="B7" s="108" t="s">
        <v>8</v>
      </c>
      <c r="C7" s="109"/>
      <c r="D7" s="109"/>
      <c r="E7" s="109"/>
      <c r="F7" s="110"/>
      <c r="G7" s="111" t="s">
        <v>9</v>
      </c>
      <c r="H7" s="109"/>
      <c r="I7" s="109"/>
      <c r="J7" s="109"/>
      <c r="K7" s="110"/>
      <c r="L7" s="112" t="s">
        <v>10</v>
      </c>
    </row>
    <row r="8" spans="1:12" ht="15.75" thickBot="1">
      <c r="A8" s="10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13"/>
    </row>
    <row r="9" spans="1:12" ht="15.75" thickBot="1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>
      <c r="A13" s="8">
        <v>5</v>
      </c>
      <c r="B13" s="23"/>
      <c r="C13" s="24"/>
      <c r="D13" s="24"/>
      <c r="E13" s="25"/>
      <c r="F13" s="19">
        <f t="shared" si="0"/>
        <v>0</v>
      </c>
      <c r="G13" s="32">
        <v>1</v>
      </c>
      <c r="H13" s="24"/>
      <c r="I13" s="24"/>
      <c r="J13" s="24"/>
      <c r="K13" s="17">
        <f t="shared" si="1"/>
        <v>1</v>
      </c>
      <c r="L13" s="7">
        <f t="shared" si="2"/>
        <v>1</v>
      </c>
    </row>
    <row r="14" spans="1:12" ht="15.75" thickBot="1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>
      <c r="A15" s="8">
        <v>7</v>
      </c>
      <c r="B15" s="23">
        <v>1</v>
      </c>
      <c r="C15" s="24"/>
      <c r="D15" s="24"/>
      <c r="E15" s="25"/>
      <c r="F15" s="19">
        <f t="shared" si="0"/>
        <v>1</v>
      </c>
      <c r="G15" s="32">
        <v>10</v>
      </c>
      <c r="H15" s="24"/>
      <c r="I15" s="24"/>
      <c r="J15" s="24"/>
      <c r="K15" s="17">
        <f t="shared" si="1"/>
        <v>10</v>
      </c>
      <c r="L15" s="7">
        <f t="shared" si="2"/>
        <v>11</v>
      </c>
    </row>
    <row r="16" spans="1:12" ht="15.75" thickBot="1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>
      <c r="A18" s="8">
        <v>10</v>
      </c>
      <c r="B18" s="23"/>
      <c r="C18" s="24"/>
      <c r="D18" s="24"/>
      <c r="E18" s="25"/>
      <c r="F18" s="19">
        <f t="shared" si="0"/>
        <v>0</v>
      </c>
      <c r="G18" s="34">
        <v>2</v>
      </c>
      <c r="H18" s="24"/>
      <c r="I18" s="24"/>
      <c r="J18" s="24"/>
      <c r="K18" s="17">
        <f t="shared" si="1"/>
        <v>2</v>
      </c>
      <c r="L18" s="7">
        <f t="shared" si="2"/>
        <v>2</v>
      </c>
    </row>
    <row r="19" spans="1:12" ht="15.75" thickBot="1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>
      <c r="A20" s="8">
        <v>12</v>
      </c>
      <c r="B20" s="23"/>
      <c r="C20" s="24"/>
      <c r="D20" s="24"/>
      <c r="E20" s="25"/>
      <c r="F20" s="19">
        <f t="shared" si="0"/>
        <v>0</v>
      </c>
      <c r="G20" s="32">
        <v>2</v>
      </c>
      <c r="H20" s="35"/>
      <c r="I20" s="35"/>
      <c r="J20" s="35"/>
      <c r="K20" s="17">
        <f t="shared" si="1"/>
        <v>2</v>
      </c>
      <c r="L20" s="7">
        <f t="shared" si="2"/>
        <v>2</v>
      </c>
    </row>
    <row r="21" spans="1:12" ht="15.75" thickBot="1">
      <c r="A21" s="8">
        <v>13</v>
      </c>
      <c r="B21" s="23"/>
      <c r="C21" s="24"/>
      <c r="D21" s="24"/>
      <c r="E21" s="25"/>
      <c r="F21" s="19">
        <f t="shared" si="0"/>
        <v>0</v>
      </c>
      <c r="G21" s="36">
        <v>4</v>
      </c>
      <c r="H21" s="24"/>
      <c r="I21" s="24"/>
      <c r="J21" s="24"/>
      <c r="K21" s="17">
        <f t="shared" si="1"/>
        <v>4</v>
      </c>
      <c r="L21" s="7">
        <f t="shared" si="2"/>
        <v>4</v>
      </c>
    </row>
    <row r="22" spans="1:12" ht="15.75" thickBot="1">
      <c r="A22" s="8">
        <v>14</v>
      </c>
      <c r="B22" s="23">
        <v>4</v>
      </c>
      <c r="C22" s="24"/>
      <c r="D22" s="24">
        <v>1</v>
      </c>
      <c r="E22" s="25"/>
      <c r="F22" s="19">
        <f t="shared" si="0"/>
        <v>5</v>
      </c>
      <c r="G22" s="36"/>
      <c r="H22" s="24"/>
      <c r="I22" s="24"/>
      <c r="J22" s="24"/>
      <c r="K22" s="17">
        <f t="shared" si="1"/>
        <v>0</v>
      </c>
      <c r="L22" s="7">
        <f t="shared" si="2"/>
        <v>5</v>
      </c>
    </row>
    <row r="23" spans="1:12" ht="15.75" thickBot="1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>
      <c r="A34" s="8">
        <v>26</v>
      </c>
      <c r="B34" s="23">
        <v>6</v>
      </c>
      <c r="C34" s="24"/>
      <c r="D34" s="24"/>
      <c r="E34" s="25"/>
      <c r="F34" s="19">
        <f t="shared" si="0"/>
        <v>6</v>
      </c>
      <c r="G34" s="32"/>
      <c r="H34" s="24"/>
      <c r="I34" s="24"/>
      <c r="J34" s="24"/>
      <c r="K34" s="17">
        <f t="shared" si="1"/>
        <v>0</v>
      </c>
      <c r="L34" s="7">
        <f t="shared" si="2"/>
        <v>6</v>
      </c>
    </row>
    <row r="35" spans="1:12" ht="15.75" thickBot="1">
      <c r="A35" s="8">
        <v>27</v>
      </c>
      <c r="B35" s="46"/>
      <c r="C35" s="24"/>
      <c r="D35" s="24"/>
      <c r="E35" s="25"/>
      <c r="F35" s="19">
        <f t="shared" si="0"/>
        <v>0</v>
      </c>
      <c r="G35" s="47">
        <v>1</v>
      </c>
      <c r="H35" s="24"/>
      <c r="I35" s="24"/>
      <c r="J35" s="24"/>
      <c r="K35" s="17">
        <f t="shared" si="1"/>
        <v>1</v>
      </c>
      <c r="L35" s="7">
        <f t="shared" si="2"/>
        <v>1</v>
      </c>
    </row>
    <row r="36" spans="1:12" ht="15.75" thickBot="1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>
      <c r="A40" s="10"/>
      <c r="B40" s="55">
        <f>SUM(B9:B39)</f>
        <v>11</v>
      </c>
      <c r="C40" s="55">
        <f t="shared" ref="C40:E40" si="3">SUM(C9:C39)</f>
        <v>0</v>
      </c>
      <c r="D40" s="55">
        <f t="shared" si="3"/>
        <v>1</v>
      </c>
      <c r="E40" s="55">
        <f t="shared" si="3"/>
        <v>0</v>
      </c>
      <c r="F40" s="54">
        <f>SUM(F9:F39)</f>
        <v>12</v>
      </c>
      <c r="G40" s="18">
        <f>SUM(G9:G39)</f>
        <v>20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20</v>
      </c>
      <c r="L40" s="18">
        <f t="shared" si="4"/>
        <v>32</v>
      </c>
    </row>
    <row r="41" spans="1:12" ht="6.75" customHeight="1" thickBot="1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>
      <c r="A42" s="95"/>
      <c r="B42" s="95"/>
      <c r="C42" s="95"/>
      <c r="D42" s="95"/>
      <c r="E42" s="95"/>
      <c r="F42" s="95"/>
      <c r="G42" s="96" t="s">
        <v>17</v>
      </c>
      <c r="H42" s="97"/>
      <c r="I42" s="97" t="s">
        <v>18</v>
      </c>
      <c r="J42" s="98"/>
      <c r="K42" s="12"/>
      <c r="L42" s="14"/>
    </row>
    <row r="43" spans="1:12" ht="15.75" thickBot="1">
      <c r="A43" s="15"/>
      <c r="B43" s="82" t="s">
        <v>19</v>
      </c>
      <c r="C43" s="83"/>
      <c r="D43" s="83"/>
      <c r="E43" s="83"/>
      <c r="F43" s="83"/>
      <c r="G43" s="93">
        <v>371</v>
      </c>
      <c r="H43" s="99"/>
      <c r="I43" s="100"/>
      <c r="J43" s="101"/>
      <c r="K43" s="12"/>
      <c r="L43" s="14"/>
    </row>
    <row r="44" spans="1:12" ht="15.75" thickBot="1">
      <c r="A44" s="15"/>
      <c r="B44" s="82" t="s">
        <v>20</v>
      </c>
      <c r="C44" s="83"/>
      <c r="D44" s="83"/>
      <c r="E44" s="83"/>
      <c r="F44" s="83"/>
      <c r="G44" s="84">
        <v>0</v>
      </c>
      <c r="H44" s="85"/>
      <c r="I44" s="84"/>
      <c r="J44" s="85"/>
      <c r="K44" s="12"/>
      <c r="L44" s="14"/>
    </row>
    <row r="45" spans="1:12" ht="15.75" thickBot="1">
      <c r="A45" s="15"/>
      <c r="B45" s="90" t="s">
        <v>21</v>
      </c>
      <c r="C45" s="90"/>
      <c r="D45" s="90"/>
      <c r="E45" s="90"/>
      <c r="F45" s="82"/>
      <c r="G45" s="91">
        <v>0</v>
      </c>
      <c r="H45" s="92"/>
      <c r="I45" s="93"/>
      <c r="J45" s="94"/>
      <c r="K45" s="12"/>
      <c r="L45" s="14"/>
    </row>
    <row r="46" spans="1:12" ht="15.75" thickBot="1">
      <c r="A46" s="15"/>
      <c r="B46" s="82" t="s">
        <v>22</v>
      </c>
      <c r="C46" s="83"/>
      <c r="D46" s="83"/>
      <c r="E46" s="83"/>
      <c r="F46" s="83"/>
      <c r="G46" s="89">
        <f>L40+G45</f>
        <v>32</v>
      </c>
      <c r="H46" s="85"/>
      <c r="I46" s="84"/>
      <c r="J46" s="85"/>
      <c r="K46" s="12"/>
      <c r="L46" s="14"/>
    </row>
    <row r="47" spans="1:12" ht="15.75" thickBot="1">
      <c r="A47" s="4"/>
      <c r="B47" s="82" t="s">
        <v>23</v>
      </c>
      <c r="C47" s="83"/>
      <c r="D47" s="83"/>
      <c r="E47" s="83"/>
      <c r="F47" s="83"/>
      <c r="G47" s="89">
        <f>G43+G44-G46</f>
        <v>339</v>
      </c>
      <c r="H47" s="85"/>
      <c r="I47" s="84"/>
      <c r="J47" s="85"/>
      <c r="K47" s="12"/>
      <c r="L47" s="3"/>
    </row>
    <row r="48" spans="1:12" ht="15.75" thickBot="1">
      <c r="A48" s="4"/>
      <c r="B48" s="82" t="s">
        <v>24</v>
      </c>
      <c r="C48" s="83"/>
      <c r="D48" s="83"/>
      <c r="E48" s="83"/>
      <c r="F48" s="83"/>
      <c r="G48" s="84">
        <v>49</v>
      </c>
      <c r="H48" s="85"/>
      <c r="I48" s="84"/>
      <c r="J48" s="85"/>
      <c r="K48" s="12"/>
      <c r="L48" s="3"/>
    </row>
    <row r="49" spans="1:12" ht="15.75" thickBot="1">
      <c r="A49" s="4"/>
      <c r="B49" s="82" t="s">
        <v>25</v>
      </c>
      <c r="C49" s="83"/>
      <c r="D49" s="83"/>
      <c r="E49" s="83"/>
      <c r="F49" s="83"/>
      <c r="G49" s="86">
        <f>G47-G48</f>
        <v>290</v>
      </c>
      <c r="H49" s="87"/>
      <c r="I49" s="88"/>
      <c r="J49" s="87"/>
      <c r="K49" s="12"/>
      <c r="L49" s="3"/>
    </row>
    <row r="50" spans="1:12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1" spans="1:12">
      <c r="B51" t="s">
        <v>38</v>
      </c>
    </row>
    <row r="52" spans="1:12">
      <c r="B52" t="s">
        <v>39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paperSize="9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2"/>
  <sheetViews>
    <sheetView topLeftCell="A34" workbookViewId="0">
      <selection activeCell="B52" sqref="B52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2" t="s">
        <v>0</v>
      </c>
      <c r="B1" s="102"/>
      <c r="C1" s="102"/>
      <c r="D1" s="102"/>
      <c r="E1" s="37"/>
      <c r="F1" s="38"/>
      <c r="G1" s="103" t="s">
        <v>1</v>
      </c>
      <c r="H1" s="103"/>
      <c r="I1" s="103"/>
      <c r="J1" s="103"/>
      <c r="K1" s="103"/>
      <c r="L1" s="103"/>
    </row>
    <row r="2" spans="1:12" ht="15.75">
      <c r="A2" s="103" t="s">
        <v>2</v>
      </c>
      <c r="B2" s="103"/>
      <c r="C2" s="103"/>
      <c r="D2" s="103"/>
      <c r="E2" s="37"/>
      <c r="F2" s="38"/>
      <c r="G2" s="114" t="s">
        <v>3</v>
      </c>
      <c r="H2" s="114"/>
      <c r="I2" s="114"/>
      <c r="J2" s="114"/>
      <c r="K2" s="114"/>
      <c r="L2" s="114"/>
    </row>
    <row r="3" spans="1:12">
      <c r="A3" s="114" t="s">
        <v>4</v>
      </c>
      <c r="B3" s="114"/>
      <c r="C3" s="114"/>
      <c r="D3" s="114"/>
      <c r="E3" s="37"/>
      <c r="F3" s="38"/>
      <c r="G3" s="38"/>
      <c r="H3" s="37"/>
      <c r="I3" s="37"/>
      <c r="J3" s="37"/>
      <c r="K3" s="38"/>
      <c r="L3" s="1"/>
    </row>
    <row r="4" spans="1:12" ht="18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5.75">
      <c r="A5" s="103" t="s">
        <v>40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2.25" customHeight="1" thickBot="1">
      <c r="A6" s="2" t="s">
        <v>6</v>
      </c>
      <c r="B6" s="12"/>
      <c r="C6" s="13"/>
      <c r="D6" s="13"/>
      <c r="E6" s="13"/>
      <c r="F6" s="12"/>
      <c r="G6" s="12"/>
      <c r="H6" s="105"/>
      <c r="I6" s="105"/>
      <c r="J6" s="13"/>
      <c r="K6" s="39"/>
      <c r="L6" s="3"/>
    </row>
    <row r="7" spans="1:12">
      <c r="A7" s="106" t="s">
        <v>7</v>
      </c>
      <c r="B7" s="108" t="s">
        <v>8</v>
      </c>
      <c r="C7" s="109"/>
      <c r="D7" s="109"/>
      <c r="E7" s="109"/>
      <c r="F7" s="110"/>
      <c r="G7" s="111" t="s">
        <v>9</v>
      </c>
      <c r="H7" s="109"/>
      <c r="I7" s="109"/>
      <c r="J7" s="109"/>
      <c r="K7" s="110"/>
      <c r="L7" s="112" t="s">
        <v>10</v>
      </c>
    </row>
    <row r="8" spans="1:12" ht="15.75" thickBot="1">
      <c r="A8" s="10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13"/>
    </row>
    <row r="9" spans="1:12" ht="15.75" thickBot="1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>
      <c r="A20" s="8">
        <v>12</v>
      </c>
      <c r="B20" s="23"/>
      <c r="C20" s="24"/>
      <c r="D20" s="24"/>
      <c r="E20" s="25"/>
      <c r="F20" s="19">
        <f t="shared" si="0"/>
        <v>0</v>
      </c>
      <c r="G20" s="32">
        <v>6</v>
      </c>
      <c r="H20" s="35"/>
      <c r="I20" s="35"/>
      <c r="J20" s="35"/>
      <c r="K20" s="17">
        <f t="shared" si="1"/>
        <v>6</v>
      </c>
      <c r="L20" s="7">
        <f t="shared" si="2"/>
        <v>6</v>
      </c>
    </row>
    <row r="21" spans="1:12" ht="15.75" thickBot="1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>
      <c r="A26" s="8">
        <v>18</v>
      </c>
      <c r="B26" s="23">
        <v>1</v>
      </c>
      <c r="C26" s="24"/>
      <c r="D26" s="24">
        <v>2</v>
      </c>
      <c r="E26" s="25"/>
      <c r="F26" s="19">
        <f t="shared" si="0"/>
        <v>3</v>
      </c>
      <c r="G26" s="32"/>
      <c r="H26" s="24"/>
      <c r="I26" s="24"/>
      <c r="J26" s="24"/>
      <c r="K26" s="17">
        <f t="shared" si="1"/>
        <v>0</v>
      </c>
      <c r="L26" s="7">
        <f t="shared" si="2"/>
        <v>3</v>
      </c>
    </row>
    <row r="27" spans="1:12" ht="15.75" thickBot="1">
      <c r="A27" s="8">
        <v>19</v>
      </c>
      <c r="B27" s="23">
        <v>1</v>
      </c>
      <c r="C27" s="24"/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>
      <c r="A31" s="8">
        <v>23</v>
      </c>
      <c r="B31" s="23">
        <v>2</v>
      </c>
      <c r="C31" s="24"/>
      <c r="D31" s="24"/>
      <c r="E31" s="25"/>
      <c r="F31" s="19">
        <f t="shared" si="0"/>
        <v>2</v>
      </c>
      <c r="G31" s="32"/>
      <c r="H31" s="24"/>
      <c r="I31" s="24"/>
      <c r="J31" s="24"/>
      <c r="K31" s="17">
        <f t="shared" si="1"/>
        <v>0</v>
      </c>
      <c r="L31" s="7">
        <f t="shared" si="2"/>
        <v>2</v>
      </c>
    </row>
    <row r="32" spans="1:12" ht="15.75" thickBot="1">
      <c r="A32" s="8">
        <v>24</v>
      </c>
      <c r="B32" s="23">
        <v>2</v>
      </c>
      <c r="C32" s="24"/>
      <c r="D32" s="24"/>
      <c r="E32" s="25"/>
      <c r="F32" s="19">
        <f t="shared" si="0"/>
        <v>2</v>
      </c>
      <c r="G32" s="32"/>
      <c r="H32" s="24"/>
      <c r="I32" s="24">
        <v>1</v>
      </c>
      <c r="J32" s="24"/>
      <c r="K32" s="17">
        <f t="shared" si="1"/>
        <v>1</v>
      </c>
      <c r="L32" s="7">
        <f t="shared" si="2"/>
        <v>3</v>
      </c>
    </row>
    <row r="33" spans="1:12" ht="15.75" thickBot="1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>
      <c r="A40" s="10"/>
      <c r="B40" s="57">
        <f>SUM(B9:B39)</f>
        <v>6</v>
      </c>
      <c r="C40" s="57">
        <f t="shared" ref="C40:E40" si="3">SUM(C9:C39)</f>
        <v>0</v>
      </c>
      <c r="D40" s="57">
        <f t="shared" si="3"/>
        <v>2</v>
      </c>
      <c r="E40" s="57">
        <f t="shared" si="3"/>
        <v>0</v>
      </c>
      <c r="F40" s="56">
        <f>SUM(F9:F39)</f>
        <v>8</v>
      </c>
      <c r="G40" s="18">
        <f>SUM(G9:G39)</f>
        <v>6</v>
      </c>
      <c r="H40" s="18">
        <f t="shared" ref="H40:L40" si="4">SUM(H9:H39)</f>
        <v>0</v>
      </c>
      <c r="I40" s="18">
        <f t="shared" si="4"/>
        <v>1</v>
      </c>
      <c r="J40" s="18">
        <f t="shared" si="4"/>
        <v>0</v>
      </c>
      <c r="K40" s="18">
        <f t="shared" si="4"/>
        <v>7</v>
      </c>
      <c r="L40" s="18">
        <f t="shared" si="4"/>
        <v>15</v>
      </c>
    </row>
    <row r="41" spans="1:12" ht="6.75" customHeight="1" thickBot="1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>
      <c r="A42" s="95"/>
      <c r="B42" s="95"/>
      <c r="C42" s="95"/>
      <c r="D42" s="95"/>
      <c r="E42" s="95"/>
      <c r="F42" s="95"/>
      <c r="G42" s="96" t="s">
        <v>17</v>
      </c>
      <c r="H42" s="97"/>
      <c r="I42" s="97" t="s">
        <v>18</v>
      </c>
      <c r="J42" s="98"/>
      <c r="K42" s="12"/>
      <c r="L42" s="14"/>
    </row>
    <row r="43" spans="1:12" ht="15.75" thickBot="1">
      <c r="A43" s="15"/>
      <c r="B43" s="82" t="s">
        <v>19</v>
      </c>
      <c r="C43" s="83"/>
      <c r="D43" s="83"/>
      <c r="E43" s="83"/>
      <c r="F43" s="83"/>
      <c r="G43" s="93">
        <v>49</v>
      </c>
      <c r="H43" s="99"/>
      <c r="I43" s="100"/>
      <c r="J43" s="101"/>
      <c r="K43" s="12"/>
      <c r="L43" s="14"/>
    </row>
    <row r="44" spans="1:12" ht="15.75" thickBot="1">
      <c r="A44" s="15"/>
      <c r="B44" s="82" t="s">
        <v>20</v>
      </c>
      <c r="C44" s="83"/>
      <c r="D44" s="83"/>
      <c r="E44" s="83"/>
      <c r="F44" s="83"/>
      <c r="G44" s="84">
        <v>102</v>
      </c>
      <c r="H44" s="85"/>
      <c r="I44" s="84"/>
      <c r="J44" s="85"/>
      <c r="K44" s="12"/>
      <c r="L44" s="14"/>
    </row>
    <row r="45" spans="1:12" ht="15.75" thickBot="1">
      <c r="A45" s="15"/>
      <c r="B45" s="90" t="s">
        <v>21</v>
      </c>
      <c r="C45" s="90"/>
      <c r="D45" s="90"/>
      <c r="E45" s="90"/>
      <c r="F45" s="82"/>
      <c r="G45" s="91">
        <v>0</v>
      </c>
      <c r="H45" s="92"/>
      <c r="I45" s="93"/>
      <c r="J45" s="94"/>
      <c r="K45" s="12"/>
      <c r="L45" s="14"/>
    </row>
    <row r="46" spans="1:12" ht="15.75" thickBot="1">
      <c r="A46" s="15"/>
      <c r="B46" s="82" t="s">
        <v>22</v>
      </c>
      <c r="C46" s="83"/>
      <c r="D46" s="83"/>
      <c r="E46" s="83"/>
      <c r="F46" s="83"/>
      <c r="G46" s="89">
        <f>L40+G45</f>
        <v>15</v>
      </c>
      <c r="H46" s="85"/>
      <c r="I46" s="84"/>
      <c r="J46" s="85"/>
      <c r="K46" s="12"/>
      <c r="L46" s="14"/>
    </row>
    <row r="47" spans="1:12" ht="15.75" thickBot="1">
      <c r="A47" s="4"/>
      <c r="B47" s="82" t="s">
        <v>23</v>
      </c>
      <c r="C47" s="83"/>
      <c r="D47" s="83"/>
      <c r="E47" s="83"/>
      <c r="F47" s="83"/>
      <c r="G47" s="89">
        <f>G43+G44-G46</f>
        <v>136</v>
      </c>
      <c r="H47" s="85"/>
      <c r="I47" s="84"/>
      <c r="J47" s="85"/>
      <c r="K47" s="12"/>
      <c r="L47" s="3"/>
    </row>
    <row r="48" spans="1:12" ht="15.75" thickBot="1">
      <c r="A48" s="4"/>
      <c r="B48" s="82" t="s">
        <v>24</v>
      </c>
      <c r="C48" s="83"/>
      <c r="D48" s="83"/>
      <c r="E48" s="83"/>
      <c r="F48" s="83"/>
      <c r="G48" s="84">
        <v>108</v>
      </c>
      <c r="H48" s="85"/>
      <c r="I48" s="84"/>
      <c r="J48" s="85"/>
      <c r="K48" s="12"/>
      <c r="L48" s="3"/>
    </row>
    <row r="49" spans="1:12" ht="15.75" thickBot="1">
      <c r="A49" s="4"/>
      <c r="B49" s="82" t="s">
        <v>25</v>
      </c>
      <c r="C49" s="83"/>
      <c r="D49" s="83"/>
      <c r="E49" s="83"/>
      <c r="F49" s="83"/>
      <c r="G49" s="86">
        <f>G47-G48</f>
        <v>28</v>
      </c>
      <c r="H49" s="87"/>
      <c r="I49" s="88"/>
      <c r="J49" s="87"/>
      <c r="K49" s="12"/>
      <c r="L49" s="3"/>
    </row>
    <row r="50" spans="1:12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>
      <c r="B52" t="s">
        <v>41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3"/>
  <sheetViews>
    <sheetView topLeftCell="A37" workbookViewId="0">
      <selection activeCell="I59" sqref="I59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2" t="s">
        <v>0</v>
      </c>
      <c r="B1" s="102"/>
      <c r="C1" s="102"/>
      <c r="D1" s="102"/>
      <c r="E1" s="37"/>
      <c r="F1" s="38"/>
      <c r="G1" s="103" t="s">
        <v>1</v>
      </c>
      <c r="H1" s="103"/>
      <c r="I1" s="103"/>
      <c r="J1" s="103"/>
      <c r="K1" s="103"/>
      <c r="L1" s="103"/>
    </row>
    <row r="2" spans="1:12" ht="15.75">
      <c r="A2" s="103" t="s">
        <v>2</v>
      </c>
      <c r="B2" s="103"/>
      <c r="C2" s="103"/>
      <c r="D2" s="103"/>
      <c r="E2" s="37"/>
      <c r="F2" s="38"/>
      <c r="G2" s="114" t="s">
        <v>3</v>
      </c>
      <c r="H2" s="114"/>
      <c r="I2" s="114"/>
      <c r="J2" s="114"/>
      <c r="K2" s="114"/>
      <c r="L2" s="114"/>
    </row>
    <row r="3" spans="1:12">
      <c r="A3" s="114" t="s">
        <v>4</v>
      </c>
      <c r="B3" s="114"/>
      <c r="C3" s="114"/>
      <c r="D3" s="114"/>
      <c r="E3" s="37"/>
      <c r="F3" s="38"/>
      <c r="G3" s="38"/>
      <c r="H3" s="37"/>
      <c r="I3" s="37"/>
      <c r="J3" s="37"/>
      <c r="K3" s="38"/>
      <c r="L3" s="1"/>
    </row>
    <row r="4" spans="1:12" ht="18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5.75">
      <c r="A5" s="103" t="s">
        <v>42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2.25" customHeight="1" thickBot="1">
      <c r="A6" s="2" t="s">
        <v>6</v>
      </c>
      <c r="B6" s="12"/>
      <c r="C6" s="13"/>
      <c r="D6" s="13"/>
      <c r="E6" s="13"/>
      <c r="F6" s="12"/>
      <c r="G6" s="12"/>
      <c r="H6" s="105"/>
      <c r="I6" s="105"/>
      <c r="J6" s="13"/>
      <c r="K6" s="39"/>
      <c r="L6" s="3"/>
    </row>
    <row r="7" spans="1:12" ht="14.1" customHeight="1">
      <c r="A7" s="106" t="s">
        <v>7</v>
      </c>
      <c r="B7" s="108" t="s">
        <v>8</v>
      </c>
      <c r="C7" s="109"/>
      <c r="D7" s="109"/>
      <c r="E7" s="109"/>
      <c r="F7" s="110"/>
      <c r="G7" s="111" t="s">
        <v>9</v>
      </c>
      <c r="H7" s="109"/>
      <c r="I7" s="109"/>
      <c r="J7" s="109"/>
      <c r="K7" s="110"/>
      <c r="L7" s="112" t="s">
        <v>10</v>
      </c>
    </row>
    <row r="8" spans="1:12" ht="14.1" customHeight="1" thickBot="1">
      <c r="A8" s="10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13"/>
    </row>
    <row r="9" spans="1:12" ht="14.1" customHeight="1" thickBot="1">
      <c r="A9" s="6">
        <v>1</v>
      </c>
      <c r="B9" s="20">
        <v>4</v>
      </c>
      <c r="C9" s="21"/>
      <c r="D9" s="21"/>
      <c r="E9" s="22"/>
      <c r="F9" s="19">
        <f>SUM(B9:E9)</f>
        <v>4</v>
      </c>
      <c r="G9" s="48"/>
      <c r="H9" s="31"/>
      <c r="I9" s="31"/>
      <c r="J9" s="31"/>
      <c r="K9" s="17">
        <f>SUM(G9:J9)</f>
        <v>0</v>
      </c>
      <c r="L9" s="7">
        <f>SUM(F9+K9)</f>
        <v>4</v>
      </c>
    </row>
    <row r="10" spans="1:12" ht="14.1" customHeight="1" thickBot="1">
      <c r="A10" s="8">
        <v>2</v>
      </c>
      <c r="B10" s="23">
        <v>2</v>
      </c>
      <c r="C10" s="24"/>
      <c r="D10" s="24"/>
      <c r="E10" s="25"/>
      <c r="F10" s="19">
        <f t="shared" ref="F10:F39" si="0">SUM(B10:E10)</f>
        <v>2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2</v>
      </c>
    </row>
    <row r="11" spans="1:12" ht="14.1" customHeight="1" thickBot="1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4.1" customHeight="1" thickBot="1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4.1" customHeight="1" thickBot="1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4.1" customHeight="1" thickBot="1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4.1" customHeight="1" thickBot="1">
      <c r="A15" s="8">
        <v>7</v>
      </c>
      <c r="B15" s="23"/>
      <c r="C15" s="24"/>
      <c r="D15" s="24">
        <v>1</v>
      </c>
      <c r="E15" s="25"/>
      <c r="F15" s="19">
        <f t="shared" si="0"/>
        <v>1</v>
      </c>
      <c r="G15" s="32"/>
      <c r="H15" s="24"/>
      <c r="I15" s="24"/>
      <c r="J15" s="24"/>
      <c r="K15" s="17">
        <f t="shared" si="1"/>
        <v>0</v>
      </c>
      <c r="L15" s="7">
        <f t="shared" si="2"/>
        <v>1</v>
      </c>
    </row>
    <row r="16" spans="1:12" ht="14.1" customHeight="1" thickBot="1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4.1" customHeight="1" thickBot="1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4.1" customHeight="1" thickBot="1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4.1" customHeight="1" thickBot="1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4.1" customHeight="1" thickBot="1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4.1" customHeight="1" thickBot="1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4.1" customHeight="1" thickBot="1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4.1" customHeight="1" thickBot="1">
      <c r="A23" s="8">
        <v>15</v>
      </c>
      <c r="B23" s="23"/>
      <c r="C23" s="24"/>
      <c r="D23" s="24">
        <v>1</v>
      </c>
      <c r="E23" s="25"/>
      <c r="F23" s="19">
        <f t="shared" si="0"/>
        <v>1</v>
      </c>
      <c r="G23" s="32"/>
      <c r="H23" s="24"/>
      <c r="I23" s="24"/>
      <c r="J23" s="24"/>
      <c r="K23" s="17">
        <f t="shared" si="1"/>
        <v>0</v>
      </c>
      <c r="L23" s="7">
        <f t="shared" si="2"/>
        <v>1</v>
      </c>
    </row>
    <row r="24" spans="1:12" ht="14.1" customHeight="1" thickBot="1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4.1" customHeight="1" thickBot="1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4.1" customHeight="1" thickBot="1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4.1" customHeight="1" thickBot="1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4.1" customHeight="1" thickBot="1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4.1" customHeight="1" thickBot="1">
      <c r="A29" s="8">
        <v>21</v>
      </c>
      <c r="B29" s="23"/>
      <c r="C29" s="24"/>
      <c r="D29" s="24"/>
      <c r="E29" s="25"/>
      <c r="F29" s="19">
        <f t="shared" si="0"/>
        <v>0</v>
      </c>
      <c r="G29" s="32">
        <v>1</v>
      </c>
      <c r="H29" s="24"/>
      <c r="I29" s="24"/>
      <c r="J29" s="24"/>
      <c r="K29" s="17">
        <f t="shared" si="1"/>
        <v>1</v>
      </c>
      <c r="L29" s="7">
        <f t="shared" si="2"/>
        <v>1</v>
      </c>
    </row>
    <row r="30" spans="1:12" ht="14.1" customHeight="1" thickBot="1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4.1" customHeight="1" thickBot="1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4.1" customHeight="1" thickBot="1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4.1" customHeight="1" thickBot="1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4.1" customHeight="1" thickBot="1">
      <c r="A34" s="8">
        <v>26</v>
      </c>
      <c r="B34" s="23"/>
      <c r="C34" s="24"/>
      <c r="D34" s="24"/>
      <c r="E34" s="25"/>
      <c r="F34" s="19">
        <f t="shared" si="0"/>
        <v>0</v>
      </c>
      <c r="G34" s="32">
        <v>1</v>
      </c>
      <c r="H34" s="24"/>
      <c r="I34" s="24"/>
      <c r="J34" s="24"/>
      <c r="K34" s="17">
        <f t="shared" si="1"/>
        <v>1</v>
      </c>
      <c r="L34" s="7">
        <f t="shared" si="2"/>
        <v>1</v>
      </c>
    </row>
    <row r="35" spans="1:12" ht="14.1" customHeight="1" thickBot="1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4.1" customHeight="1" thickBot="1">
      <c r="A36" s="8">
        <v>28</v>
      </c>
      <c r="B36" s="23">
        <v>1</v>
      </c>
      <c r="C36" s="24"/>
      <c r="D36" s="24"/>
      <c r="E36" s="25"/>
      <c r="F36" s="19">
        <f t="shared" si="0"/>
        <v>1</v>
      </c>
      <c r="G36" s="32"/>
      <c r="H36" s="24"/>
      <c r="I36" s="24"/>
      <c r="J36" s="24"/>
      <c r="K36" s="17">
        <f t="shared" si="1"/>
        <v>0</v>
      </c>
      <c r="L36" s="7">
        <f t="shared" si="2"/>
        <v>1</v>
      </c>
    </row>
    <row r="37" spans="1:12" ht="14.1" customHeight="1" thickBot="1">
      <c r="A37" s="8">
        <v>29</v>
      </c>
      <c r="B37" s="23"/>
      <c r="C37" s="24"/>
      <c r="D37" s="24"/>
      <c r="E37" s="25"/>
      <c r="F37" s="19">
        <f t="shared" si="0"/>
        <v>0</v>
      </c>
      <c r="G37" s="32">
        <v>12</v>
      </c>
      <c r="H37" s="24"/>
      <c r="I37" s="24"/>
      <c r="J37" s="24"/>
      <c r="K37" s="17">
        <f t="shared" si="1"/>
        <v>12</v>
      </c>
      <c r="L37" s="7">
        <f t="shared" si="2"/>
        <v>12</v>
      </c>
    </row>
    <row r="38" spans="1:12" ht="14.1" customHeight="1" thickBot="1">
      <c r="A38" s="8">
        <v>30</v>
      </c>
      <c r="B38" s="23"/>
      <c r="C38" s="24"/>
      <c r="D38" s="24"/>
      <c r="E38" s="25"/>
      <c r="F38" s="19">
        <f t="shared" si="0"/>
        <v>0</v>
      </c>
      <c r="G38" s="32">
        <v>9</v>
      </c>
      <c r="H38" s="24"/>
      <c r="I38" s="24"/>
      <c r="J38" s="24"/>
      <c r="K38" s="17">
        <f t="shared" si="1"/>
        <v>9</v>
      </c>
      <c r="L38" s="7">
        <f t="shared" si="2"/>
        <v>9</v>
      </c>
    </row>
    <row r="39" spans="1:12" ht="14.1" customHeight="1" thickBot="1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4.1" customHeight="1" thickBot="1">
      <c r="A40" s="10"/>
      <c r="B40" s="59">
        <f>SUM(B9:B39)</f>
        <v>7</v>
      </c>
      <c r="C40" s="59">
        <f t="shared" ref="C40:E40" si="3">SUM(C9:C39)</f>
        <v>0</v>
      </c>
      <c r="D40" s="59">
        <f t="shared" si="3"/>
        <v>2</v>
      </c>
      <c r="E40" s="59">
        <f t="shared" si="3"/>
        <v>0</v>
      </c>
      <c r="F40" s="58">
        <f>SUM(F9:F39)</f>
        <v>9</v>
      </c>
      <c r="G40" s="18">
        <f>SUM(G9:G39)</f>
        <v>23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23</v>
      </c>
      <c r="L40" s="18">
        <f t="shared" si="4"/>
        <v>32</v>
      </c>
    </row>
    <row r="41" spans="1:12" ht="6.75" customHeight="1" thickBot="1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>
      <c r="A42" s="95"/>
      <c r="B42" s="95"/>
      <c r="C42" s="95"/>
      <c r="D42" s="95"/>
      <c r="E42" s="95"/>
      <c r="F42" s="95"/>
      <c r="G42" s="96" t="s">
        <v>17</v>
      </c>
      <c r="H42" s="97"/>
      <c r="I42" s="97" t="s">
        <v>18</v>
      </c>
      <c r="J42" s="98"/>
      <c r="K42" s="12"/>
      <c r="L42" s="14"/>
    </row>
    <row r="43" spans="1:12" ht="15.75" thickBot="1">
      <c r="A43" s="15"/>
      <c r="B43" s="82" t="s">
        <v>19</v>
      </c>
      <c r="C43" s="83"/>
      <c r="D43" s="83"/>
      <c r="E43" s="83"/>
      <c r="F43" s="83"/>
      <c r="G43" s="93">
        <v>108</v>
      </c>
      <c r="H43" s="99"/>
      <c r="I43" s="100"/>
      <c r="J43" s="101"/>
      <c r="K43" s="12"/>
      <c r="L43" s="14"/>
    </row>
    <row r="44" spans="1:12" ht="15.75" thickBot="1">
      <c r="A44" s="15"/>
      <c r="B44" s="82" t="s">
        <v>20</v>
      </c>
      <c r="C44" s="83"/>
      <c r="D44" s="83"/>
      <c r="E44" s="83"/>
      <c r="F44" s="83"/>
      <c r="G44" s="84">
        <v>121</v>
      </c>
      <c r="H44" s="85"/>
      <c r="I44" s="84"/>
      <c r="J44" s="85"/>
      <c r="K44" s="12"/>
      <c r="L44" s="14"/>
    </row>
    <row r="45" spans="1:12" ht="15.75" thickBot="1">
      <c r="A45" s="15"/>
      <c r="B45" s="90" t="s">
        <v>21</v>
      </c>
      <c r="C45" s="90"/>
      <c r="D45" s="90"/>
      <c r="E45" s="90"/>
      <c r="F45" s="82"/>
      <c r="G45" s="91">
        <v>2</v>
      </c>
      <c r="H45" s="92"/>
      <c r="I45" s="93"/>
      <c r="J45" s="94"/>
      <c r="K45" s="12"/>
      <c r="L45" s="14"/>
    </row>
    <row r="46" spans="1:12" ht="15.75" thickBot="1">
      <c r="A46" s="15"/>
      <c r="B46" s="82" t="s">
        <v>22</v>
      </c>
      <c r="C46" s="83"/>
      <c r="D46" s="83"/>
      <c r="E46" s="83"/>
      <c r="F46" s="83"/>
      <c r="G46" s="89">
        <f>L40+G45</f>
        <v>34</v>
      </c>
      <c r="H46" s="85"/>
      <c r="I46" s="84"/>
      <c r="J46" s="85"/>
      <c r="K46" s="12"/>
      <c r="L46" s="14"/>
    </row>
    <row r="47" spans="1:12" ht="15.75" thickBot="1">
      <c r="A47" s="4"/>
      <c r="B47" s="82" t="s">
        <v>23</v>
      </c>
      <c r="C47" s="83"/>
      <c r="D47" s="83"/>
      <c r="E47" s="83"/>
      <c r="F47" s="83"/>
      <c r="G47" s="89">
        <f>G43+G44-G46</f>
        <v>195</v>
      </c>
      <c r="H47" s="85"/>
      <c r="I47" s="84"/>
      <c r="J47" s="85"/>
      <c r="K47" s="12"/>
      <c r="L47" s="3"/>
    </row>
    <row r="48" spans="1:12" ht="15.75" thickBot="1">
      <c r="A48" s="4"/>
      <c r="B48" s="82" t="s">
        <v>24</v>
      </c>
      <c r="C48" s="83"/>
      <c r="D48" s="83"/>
      <c r="E48" s="83"/>
      <c r="F48" s="83"/>
      <c r="G48" s="84">
        <v>142</v>
      </c>
      <c r="H48" s="85"/>
      <c r="I48" s="84"/>
      <c r="J48" s="85"/>
      <c r="K48" s="12"/>
      <c r="L48" s="3"/>
    </row>
    <row r="49" spans="1:12" ht="15.75" thickBot="1">
      <c r="A49" s="4"/>
      <c r="B49" s="82" t="s">
        <v>25</v>
      </c>
      <c r="C49" s="83"/>
      <c r="D49" s="83"/>
      <c r="E49" s="83"/>
      <c r="F49" s="83"/>
      <c r="G49" s="86">
        <f>G47-G48</f>
        <v>53</v>
      </c>
      <c r="H49" s="87"/>
      <c r="I49" s="88"/>
      <c r="J49" s="87"/>
      <c r="K49" s="12"/>
      <c r="L49" s="3"/>
    </row>
    <row r="50" spans="1:12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1" spans="1:12">
      <c r="C51" t="s">
        <v>45</v>
      </c>
    </row>
    <row r="52" spans="1:12">
      <c r="C52" t="s">
        <v>43</v>
      </c>
    </row>
    <row r="53" spans="1:12">
      <c r="C53" t="s">
        <v>44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paperSize="9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0"/>
  <sheetViews>
    <sheetView topLeftCell="A34" workbookViewId="0">
      <selection activeCell="D38" sqref="D38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2" t="s">
        <v>0</v>
      </c>
      <c r="B1" s="102"/>
      <c r="C1" s="102"/>
      <c r="D1" s="102"/>
      <c r="E1" s="37"/>
      <c r="F1" s="38"/>
      <c r="G1" s="103" t="s">
        <v>1</v>
      </c>
      <c r="H1" s="103"/>
      <c r="I1" s="103"/>
      <c r="J1" s="103"/>
      <c r="K1" s="103"/>
      <c r="L1" s="103"/>
    </row>
    <row r="2" spans="1:12" ht="15.75">
      <c r="A2" s="103" t="s">
        <v>2</v>
      </c>
      <c r="B2" s="103"/>
      <c r="C2" s="103"/>
      <c r="D2" s="103"/>
      <c r="E2" s="37"/>
      <c r="F2" s="38"/>
      <c r="G2" s="114" t="s">
        <v>3</v>
      </c>
      <c r="H2" s="114"/>
      <c r="I2" s="114"/>
      <c r="J2" s="114"/>
      <c r="K2" s="114"/>
      <c r="L2" s="114"/>
    </row>
    <row r="3" spans="1:12">
      <c r="A3" s="114" t="s">
        <v>4</v>
      </c>
      <c r="B3" s="114"/>
      <c r="C3" s="114"/>
      <c r="D3" s="114"/>
      <c r="E3" s="37"/>
      <c r="F3" s="38"/>
      <c r="G3" s="38"/>
      <c r="H3" s="37"/>
      <c r="I3" s="37"/>
      <c r="J3" s="37"/>
      <c r="K3" s="38"/>
      <c r="L3" s="1"/>
    </row>
    <row r="4" spans="1:12" ht="18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5.75">
      <c r="A5" s="103" t="s">
        <v>46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2.25" customHeight="1" thickBot="1">
      <c r="A6" s="2" t="s">
        <v>6</v>
      </c>
      <c r="B6" s="12"/>
      <c r="C6" s="13"/>
      <c r="D6" s="13"/>
      <c r="E6" s="13"/>
      <c r="F6" s="12"/>
      <c r="G6" s="12"/>
      <c r="H6" s="105"/>
      <c r="I6" s="105"/>
      <c r="J6" s="13"/>
      <c r="K6" s="39"/>
      <c r="L6" s="3"/>
    </row>
    <row r="7" spans="1:12" ht="14.1" customHeight="1">
      <c r="A7" s="106" t="s">
        <v>7</v>
      </c>
      <c r="B7" s="108" t="s">
        <v>8</v>
      </c>
      <c r="C7" s="109"/>
      <c r="D7" s="109"/>
      <c r="E7" s="109"/>
      <c r="F7" s="110"/>
      <c r="G7" s="111" t="s">
        <v>9</v>
      </c>
      <c r="H7" s="109"/>
      <c r="I7" s="109"/>
      <c r="J7" s="109"/>
      <c r="K7" s="110"/>
      <c r="L7" s="112" t="s">
        <v>10</v>
      </c>
    </row>
    <row r="8" spans="1:12" ht="14.1" customHeight="1" thickBot="1">
      <c r="A8" s="10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13"/>
    </row>
    <row r="9" spans="1:12" ht="14.1" customHeight="1" thickBot="1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4.1" customHeight="1" thickBot="1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4.1" customHeight="1" thickBot="1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4.1" customHeight="1" thickBot="1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4.1" customHeight="1" thickBot="1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4.1" customHeight="1" thickBot="1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4.1" customHeight="1" thickBot="1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4.1" customHeight="1" thickBot="1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4.1" customHeight="1" thickBot="1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4.1" customHeight="1" thickBot="1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4.1" customHeight="1" thickBot="1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4.1" customHeight="1" thickBot="1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>
        <v>1</v>
      </c>
      <c r="I20" s="35"/>
      <c r="J20" s="35"/>
      <c r="K20" s="17">
        <f t="shared" si="1"/>
        <v>1</v>
      </c>
      <c r="L20" s="7">
        <f t="shared" si="2"/>
        <v>1</v>
      </c>
    </row>
    <row r="21" spans="1:12" ht="14.1" customHeight="1" thickBot="1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4.1" customHeight="1" thickBot="1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4.1" customHeight="1" thickBot="1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4.1" customHeight="1" thickBot="1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4.1" customHeight="1" thickBot="1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4.1" customHeight="1" thickBot="1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4.1" customHeight="1" thickBot="1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4.1" customHeight="1" thickBot="1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4.1" customHeight="1" thickBot="1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4.1" customHeight="1" thickBot="1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4.1" customHeight="1" thickBot="1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4.1" customHeight="1" thickBot="1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4.1" customHeight="1" thickBot="1">
      <c r="A33" s="8">
        <v>25</v>
      </c>
      <c r="B33" s="23">
        <v>2</v>
      </c>
      <c r="C33" s="24"/>
      <c r="D33" s="24"/>
      <c r="E33" s="25"/>
      <c r="F33" s="19">
        <f t="shared" si="0"/>
        <v>2</v>
      </c>
      <c r="G33" s="32">
        <v>1</v>
      </c>
      <c r="H33" s="24"/>
      <c r="I33" s="24"/>
      <c r="J33" s="24"/>
      <c r="K33" s="17">
        <f t="shared" si="1"/>
        <v>1</v>
      </c>
      <c r="L33" s="7">
        <f t="shared" si="2"/>
        <v>3</v>
      </c>
    </row>
    <row r="34" spans="1:12" ht="14.1" customHeight="1" thickBot="1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>
        <v>1</v>
      </c>
      <c r="I34" s="24"/>
      <c r="J34" s="24"/>
      <c r="K34" s="17">
        <f t="shared" si="1"/>
        <v>1</v>
      </c>
      <c r="L34" s="7">
        <f t="shared" si="2"/>
        <v>1</v>
      </c>
    </row>
    <row r="35" spans="1:12" ht="14.1" customHeight="1" thickBot="1">
      <c r="A35" s="8">
        <v>27</v>
      </c>
      <c r="B35" s="23">
        <v>2</v>
      </c>
      <c r="C35" s="24"/>
      <c r="D35" s="24"/>
      <c r="E35" s="25"/>
      <c r="F35" s="19">
        <f t="shared" si="0"/>
        <v>2</v>
      </c>
      <c r="G35" s="47"/>
      <c r="H35" s="24"/>
      <c r="I35" s="24"/>
      <c r="J35" s="24"/>
      <c r="K35" s="17">
        <f t="shared" si="1"/>
        <v>0</v>
      </c>
      <c r="L35" s="7">
        <f t="shared" si="2"/>
        <v>2</v>
      </c>
    </row>
    <row r="36" spans="1:12" ht="14.1" customHeight="1" thickBot="1">
      <c r="A36" s="8">
        <v>28</v>
      </c>
      <c r="B36" s="23">
        <v>6</v>
      </c>
      <c r="C36" s="24"/>
      <c r="D36" s="24"/>
      <c r="E36" s="25"/>
      <c r="F36" s="19">
        <f t="shared" si="0"/>
        <v>6</v>
      </c>
      <c r="G36" s="32"/>
      <c r="H36" s="24"/>
      <c r="I36" s="24"/>
      <c r="J36" s="24"/>
      <c r="K36" s="17">
        <f t="shared" si="1"/>
        <v>0</v>
      </c>
      <c r="L36" s="7">
        <f t="shared" si="2"/>
        <v>6</v>
      </c>
    </row>
    <row r="37" spans="1:12" ht="14.1" customHeight="1" thickBot="1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4.1" customHeight="1" thickBot="1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4.1" customHeight="1" thickBot="1">
      <c r="A39" s="9">
        <v>31</v>
      </c>
      <c r="B39" s="23">
        <v>2</v>
      </c>
      <c r="C39" s="24"/>
      <c r="D39" s="27">
        <v>1</v>
      </c>
      <c r="E39" s="25"/>
      <c r="F39" s="19">
        <f t="shared" si="0"/>
        <v>3</v>
      </c>
      <c r="G39" s="32">
        <v>5</v>
      </c>
      <c r="H39" s="24"/>
      <c r="I39" s="24"/>
      <c r="J39" s="24"/>
      <c r="K39" s="17">
        <f t="shared" si="1"/>
        <v>5</v>
      </c>
      <c r="L39" s="7">
        <f t="shared" si="2"/>
        <v>8</v>
      </c>
    </row>
    <row r="40" spans="1:12" ht="14.1" customHeight="1" thickBot="1">
      <c r="A40" s="10"/>
      <c r="B40" s="61">
        <f>SUM(B9:B39)</f>
        <v>12</v>
      </c>
      <c r="C40" s="61">
        <f t="shared" ref="C40:E40" si="3">SUM(C9:C39)</f>
        <v>0</v>
      </c>
      <c r="D40" s="61">
        <f t="shared" si="3"/>
        <v>1</v>
      </c>
      <c r="E40" s="61">
        <f t="shared" si="3"/>
        <v>0</v>
      </c>
      <c r="F40" s="60">
        <f>SUM(F9:F39)</f>
        <v>13</v>
      </c>
      <c r="G40" s="18">
        <f>SUM(G9:G39)</f>
        <v>6</v>
      </c>
      <c r="H40" s="18">
        <f t="shared" ref="H40:L40" si="4">SUM(H9:H39)</f>
        <v>2</v>
      </c>
      <c r="I40" s="18">
        <f t="shared" si="4"/>
        <v>0</v>
      </c>
      <c r="J40" s="18">
        <f t="shared" si="4"/>
        <v>0</v>
      </c>
      <c r="K40" s="18">
        <f t="shared" si="4"/>
        <v>8</v>
      </c>
      <c r="L40" s="18">
        <f t="shared" si="4"/>
        <v>21</v>
      </c>
    </row>
    <row r="41" spans="1:12" ht="6.75" customHeight="1" thickBot="1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>
      <c r="A42" s="95"/>
      <c r="B42" s="95"/>
      <c r="C42" s="95"/>
      <c r="D42" s="95"/>
      <c r="E42" s="95"/>
      <c r="F42" s="95"/>
      <c r="G42" s="96" t="s">
        <v>17</v>
      </c>
      <c r="H42" s="97"/>
      <c r="I42" s="97" t="s">
        <v>18</v>
      </c>
      <c r="J42" s="98"/>
      <c r="K42" s="12"/>
      <c r="L42" s="14"/>
    </row>
    <row r="43" spans="1:12" ht="15.75" thickBot="1">
      <c r="A43" s="15"/>
      <c r="B43" s="82" t="s">
        <v>19</v>
      </c>
      <c r="C43" s="83"/>
      <c r="D43" s="83"/>
      <c r="E43" s="83"/>
      <c r="F43" s="83"/>
      <c r="G43" s="93">
        <v>142</v>
      </c>
      <c r="H43" s="99"/>
      <c r="I43" s="100"/>
      <c r="J43" s="101"/>
      <c r="K43" s="12"/>
      <c r="L43" s="14"/>
    </row>
    <row r="44" spans="1:12" ht="15.75" thickBot="1">
      <c r="A44" s="15"/>
      <c r="B44" s="82" t="s">
        <v>20</v>
      </c>
      <c r="C44" s="83"/>
      <c r="D44" s="83"/>
      <c r="E44" s="83"/>
      <c r="F44" s="83"/>
      <c r="G44" s="84">
        <v>0</v>
      </c>
      <c r="H44" s="85"/>
      <c r="I44" s="84"/>
      <c r="J44" s="85"/>
      <c r="K44" s="12"/>
      <c r="L44" s="14"/>
    </row>
    <row r="45" spans="1:12" ht="15.75" thickBot="1">
      <c r="A45" s="15"/>
      <c r="B45" s="90" t="s">
        <v>21</v>
      </c>
      <c r="C45" s="90"/>
      <c r="D45" s="90"/>
      <c r="E45" s="90"/>
      <c r="F45" s="82"/>
      <c r="G45" s="91">
        <v>32</v>
      </c>
      <c r="H45" s="92"/>
      <c r="I45" s="93"/>
      <c r="J45" s="94"/>
      <c r="K45" s="12"/>
      <c r="L45" s="14"/>
    </row>
    <row r="46" spans="1:12" ht="15.75" thickBot="1">
      <c r="A46" s="15"/>
      <c r="B46" s="82" t="s">
        <v>22</v>
      </c>
      <c r="C46" s="83"/>
      <c r="D46" s="83"/>
      <c r="E46" s="83"/>
      <c r="F46" s="83"/>
      <c r="G46" s="89">
        <f>L40+G45</f>
        <v>53</v>
      </c>
      <c r="H46" s="85"/>
      <c r="I46" s="84"/>
      <c r="J46" s="85"/>
      <c r="K46" s="12"/>
      <c r="L46" s="14"/>
    </row>
    <row r="47" spans="1:12" ht="15.75" thickBot="1">
      <c r="A47" s="4"/>
      <c r="B47" s="82" t="s">
        <v>23</v>
      </c>
      <c r="C47" s="83"/>
      <c r="D47" s="83"/>
      <c r="E47" s="83"/>
      <c r="F47" s="83"/>
      <c r="G47" s="89">
        <f>G43+G44-G46</f>
        <v>89</v>
      </c>
      <c r="H47" s="85"/>
      <c r="I47" s="84"/>
      <c r="J47" s="85"/>
      <c r="K47" s="12"/>
      <c r="L47" s="3"/>
    </row>
    <row r="48" spans="1:12" ht="15.75" thickBot="1">
      <c r="A48" s="4"/>
      <c r="B48" s="82" t="s">
        <v>24</v>
      </c>
      <c r="C48" s="83"/>
      <c r="D48" s="83"/>
      <c r="E48" s="83"/>
      <c r="F48" s="83"/>
      <c r="G48" s="84">
        <v>89</v>
      </c>
      <c r="H48" s="85"/>
      <c r="I48" s="84"/>
      <c r="J48" s="85"/>
      <c r="K48" s="12"/>
      <c r="L48" s="3"/>
    </row>
    <row r="49" spans="1:12" ht="15.75" thickBot="1">
      <c r="A49" s="4"/>
      <c r="B49" s="82" t="s">
        <v>25</v>
      </c>
      <c r="C49" s="83"/>
      <c r="D49" s="83"/>
      <c r="E49" s="83"/>
      <c r="F49" s="83"/>
      <c r="G49" s="86">
        <f>G47-G48</f>
        <v>0</v>
      </c>
      <c r="H49" s="87"/>
      <c r="I49" s="88"/>
      <c r="J49" s="87"/>
      <c r="K49" s="12"/>
      <c r="L49" s="3"/>
    </row>
    <row r="50" spans="1:12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paperSize="9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3"/>
  <sheetViews>
    <sheetView topLeftCell="A34" workbookViewId="0">
      <selection activeCell="B53" sqref="B53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2" t="s">
        <v>0</v>
      </c>
      <c r="B1" s="102"/>
      <c r="C1" s="102"/>
      <c r="D1" s="102"/>
      <c r="E1" s="37"/>
      <c r="F1" s="38"/>
      <c r="G1" s="103" t="s">
        <v>1</v>
      </c>
      <c r="H1" s="103"/>
      <c r="I1" s="103"/>
      <c r="J1" s="103"/>
      <c r="K1" s="103"/>
      <c r="L1" s="103"/>
    </row>
    <row r="2" spans="1:12" ht="15.75">
      <c r="A2" s="103" t="s">
        <v>2</v>
      </c>
      <c r="B2" s="103"/>
      <c r="C2" s="103"/>
      <c r="D2" s="103"/>
      <c r="E2" s="37"/>
      <c r="F2" s="38"/>
      <c r="G2" s="114" t="s">
        <v>3</v>
      </c>
      <c r="H2" s="114"/>
      <c r="I2" s="114"/>
      <c r="J2" s="114"/>
      <c r="K2" s="114"/>
      <c r="L2" s="114"/>
    </row>
    <row r="3" spans="1:12">
      <c r="A3" s="114" t="s">
        <v>4</v>
      </c>
      <c r="B3" s="114"/>
      <c r="C3" s="114"/>
      <c r="D3" s="114"/>
      <c r="E3" s="37"/>
      <c r="F3" s="38"/>
      <c r="G3" s="38"/>
      <c r="H3" s="37"/>
      <c r="I3" s="37"/>
      <c r="J3" s="37"/>
      <c r="K3" s="38"/>
      <c r="L3" s="1"/>
    </row>
    <row r="4" spans="1:12" ht="18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5.75">
      <c r="A5" s="103" t="s">
        <v>47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2.25" customHeight="1" thickBot="1">
      <c r="A6" s="2" t="s">
        <v>6</v>
      </c>
      <c r="B6" s="12"/>
      <c r="C6" s="13"/>
      <c r="D6" s="13"/>
      <c r="E6" s="13"/>
      <c r="F6" s="12"/>
      <c r="G6" s="12"/>
      <c r="H6" s="105"/>
      <c r="I6" s="105"/>
      <c r="J6" s="13"/>
      <c r="K6" s="39"/>
      <c r="L6" s="3"/>
    </row>
    <row r="7" spans="1:12" ht="14.1" customHeight="1">
      <c r="A7" s="106" t="s">
        <v>7</v>
      </c>
      <c r="B7" s="108" t="s">
        <v>8</v>
      </c>
      <c r="C7" s="109"/>
      <c r="D7" s="109"/>
      <c r="E7" s="109"/>
      <c r="F7" s="110"/>
      <c r="G7" s="111" t="s">
        <v>9</v>
      </c>
      <c r="H7" s="109"/>
      <c r="I7" s="109"/>
      <c r="J7" s="109"/>
      <c r="K7" s="110"/>
      <c r="L7" s="112" t="s">
        <v>10</v>
      </c>
    </row>
    <row r="8" spans="1:12" ht="14.1" customHeight="1" thickBot="1">
      <c r="A8" s="10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13"/>
    </row>
    <row r="9" spans="1:12" ht="14.1" customHeight="1" thickBot="1">
      <c r="A9" s="68">
        <v>1</v>
      </c>
      <c r="B9" s="20"/>
      <c r="C9" s="21"/>
      <c r="D9" s="21"/>
      <c r="E9" s="70"/>
      <c r="F9" s="19">
        <f>SUM(B9:E9)</f>
        <v>0</v>
      </c>
      <c r="G9" s="48">
        <v>5</v>
      </c>
      <c r="H9" s="31"/>
      <c r="I9" s="31"/>
      <c r="J9" s="31"/>
      <c r="K9" s="17">
        <f>SUM(G9:J9)</f>
        <v>5</v>
      </c>
      <c r="L9" s="7">
        <f>SUM(F9+K9)</f>
        <v>5</v>
      </c>
    </row>
    <row r="10" spans="1:12" ht="14.1" customHeight="1" thickBot="1">
      <c r="A10" s="66">
        <v>2</v>
      </c>
      <c r="B10" s="23">
        <v>1</v>
      </c>
      <c r="C10" s="24"/>
      <c r="D10" s="24"/>
      <c r="E10" s="71"/>
      <c r="F10" s="19">
        <f t="shared" ref="F10:F39" si="0">SUM(B10:E10)</f>
        <v>1</v>
      </c>
      <c r="G10" s="32"/>
      <c r="H10" s="24">
        <v>1</v>
      </c>
      <c r="I10" s="24"/>
      <c r="J10" s="24"/>
      <c r="K10" s="17">
        <f t="shared" ref="K10:K39" si="1">SUM(G10:J10)</f>
        <v>1</v>
      </c>
      <c r="L10" s="7">
        <f t="shared" ref="L10:L39" si="2">SUM(F10+K10)</f>
        <v>2</v>
      </c>
    </row>
    <row r="11" spans="1:12" ht="14.1" customHeight="1" thickBot="1">
      <c r="A11" s="66">
        <v>3</v>
      </c>
      <c r="B11" s="23"/>
      <c r="C11" s="24"/>
      <c r="D11" s="24"/>
      <c r="E11" s="72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4.1" customHeight="1" thickBot="1">
      <c r="A12" s="66">
        <v>4</v>
      </c>
      <c r="B12" s="23"/>
      <c r="C12" s="24"/>
      <c r="D12" s="24"/>
      <c r="E12" s="71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4.1" customHeight="1" thickBot="1">
      <c r="A13" s="66">
        <v>5</v>
      </c>
      <c r="B13" s="23"/>
      <c r="C13" s="24"/>
      <c r="D13" s="24"/>
      <c r="E13" s="71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4.1" customHeight="1" thickBot="1">
      <c r="A14" s="66">
        <v>6</v>
      </c>
      <c r="B14" s="23"/>
      <c r="C14" s="24"/>
      <c r="D14" s="24"/>
      <c r="E14" s="71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4.1" customHeight="1" thickBot="1">
      <c r="A15" s="66">
        <v>7</v>
      </c>
      <c r="B15" s="23"/>
      <c r="C15" s="24"/>
      <c r="D15" s="24"/>
      <c r="E15" s="71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4.1" customHeight="1" thickBot="1">
      <c r="A16" s="66">
        <v>8</v>
      </c>
      <c r="B16" s="23"/>
      <c r="C16" s="24"/>
      <c r="D16" s="24"/>
      <c r="E16" s="71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4.1" customHeight="1" thickBot="1">
      <c r="A17" s="66">
        <v>9</v>
      </c>
      <c r="B17" s="23"/>
      <c r="C17" s="24"/>
      <c r="D17" s="24"/>
      <c r="E17" s="71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4.1" customHeight="1" thickBot="1">
      <c r="A18" s="66">
        <v>10</v>
      </c>
      <c r="B18" s="23">
        <v>3</v>
      </c>
      <c r="C18" s="24"/>
      <c r="D18" s="24"/>
      <c r="E18" s="71"/>
      <c r="F18" s="19">
        <f t="shared" si="0"/>
        <v>3</v>
      </c>
      <c r="G18" s="34"/>
      <c r="H18" s="24"/>
      <c r="I18" s="24"/>
      <c r="J18" s="24"/>
      <c r="K18" s="17">
        <f t="shared" si="1"/>
        <v>0</v>
      </c>
      <c r="L18" s="7">
        <f t="shared" si="2"/>
        <v>3</v>
      </c>
    </row>
    <row r="19" spans="1:12" ht="14.1" customHeight="1" thickBot="1">
      <c r="A19" s="66">
        <v>11</v>
      </c>
      <c r="B19" s="23">
        <v>2</v>
      </c>
      <c r="C19" s="24"/>
      <c r="D19" s="24"/>
      <c r="E19" s="71"/>
      <c r="F19" s="19">
        <f t="shared" si="0"/>
        <v>2</v>
      </c>
      <c r="G19" s="32"/>
      <c r="H19" s="24"/>
      <c r="I19" s="24"/>
      <c r="J19" s="24"/>
      <c r="K19" s="17">
        <f t="shared" si="1"/>
        <v>0</v>
      </c>
      <c r="L19" s="7">
        <f t="shared" si="2"/>
        <v>2</v>
      </c>
    </row>
    <row r="20" spans="1:12" ht="14.1" customHeight="1" thickBot="1">
      <c r="A20" s="66">
        <v>12</v>
      </c>
      <c r="B20" s="23"/>
      <c r="C20" s="24"/>
      <c r="D20" s="24"/>
      <c r="E20" s="71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4.1" customHeight="1" thickBot="1">
      <c r="A21" s="66">
        <v>13</v>
      </c>
      <c r="B21" s="23"/>
      <c r="C21" s="24"/>
      <c r="D21" s="24"/>
      <c r="E21" s="71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4.1" customHeight="1" thickBot="1">
      <c r="A22" s="66">
        <v>14</v>
      </c>
      <c r="B22" s="23">
        <v>1</v>
      </c>
      <c r="C22" s="24"/>
      <c r="D22" s="24"/>
      <c r="E22" s="71"/>
      <c r="F22" s="19">
        <f t="shared" si="0"/>
        <v>1</v>
      </c>
      <c r="G22" s="36">
        <v>1</v>
      </c>
      <c r="H22" s="24"/>
      <c r="I22" s="24"/>
      <c r="J22" s="24"/>
      <c r="K22" s="17">
        <f t="shared" si="1"/>
        <v>1</v>
      </c>
      <c r="L22" s="7">
        <f t="shared" si="2"/>
        <v>2</v>
      </c>
    </row>
    <row r="23" spans="1:12" ht="14.1" customHeight="1" thickBot="1">
      <c r="A23" s="66">
        <v>15</v>
      </c>
      <c r="B23" s="23">
        <v>4</v>
      </c>
      <c r="C23" s="24"/>
      <c r="D23" s="24"/>
      <c r="E23" s="71"/>
      <c r="F23" s="19">
        <f t="shared" si="0"/>
        <v>4</v>
      </c>
      <c r="G23" s="32"/>
      <c r="H23" s="24"/>
      <c r="I23" s="24"/>
      <c r="J23" s="24"/>
      <c r="K23" s="17">
        <f t="shared" si="1"/>
        <v>0</v>
      </c>
      <c r="L23" s="7">
        <f t="shared" si="2"/>
        <v>4</v>
      </c>
    </row>
    <row r="24" spans="1:12" ht="14.1" customHeight="1" thickBot="1">
      <c r="A24" s="66">
        <v>16</v>
      </c>
      <c r="B24" s="23"/>
      <c r="C24" s="24"/>
      <c r="D24" s="24"/>
      <c r="E24" s="71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4.1" customHeight="1" thickBot="1">
      <c r="A25" s="66">
        <v>17</v>
      </c>
      <c r="B25" s="23">
        <v>2</v>
      </c>
      <c r="C25" s="67"/>
      <c r="D25" s="27">
        <v>1</v>
      </c>
      <c r="E25" s="71"/>
      <c r="F25" s="19">
        <f t="shared" si="0"/>
        <v>3</v>
      </c>
      <c r="G25" s="32"/>
      <c r="H25" s="24"/>
      <c r="I25" s="24"/>
      <c r="J25" s="24"/>
      <c r="K25" s="17">
        <f t="shared" si="1"/>
        <v>0</v>
      </c>
      <c r="L25" s="7">
        <f t="shared" si="2"/>
        <v>3</v>
      </c>
    </row>
    <row r="26" spans="1:12" ht="14.1" customHeight="1" thickBot="1">
      <c r="A26" s="66">
        <v>18</v>
      </c>
      <c r="B26" s="23"/>
      <c r="C26" s="24"/>
      <c r="D26" s="24"/>
      <c r="E26" s="71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4.1" customHeight="1" thickBot="1">
      <c r="A27" s="66">
        <v>19</v>
      </c>
      <c r="B27" s="23"/>
      <c r="C27" s="24"/>
      <c r="D27" s="24"/>
      <c r="E27" s="71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4.1" customHeight="1" thickBot="1">
      <c r="A28" s="66">
        <v>20</v>
      </c>
      <c r="B28" s="23"/>
      <c r="C28" s="24"/>
      <c r="D28" s="24"/>
      <c r="E28" s="71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4.1" customHeight="1" thickBot="1">
      <c r="A29" s="66">
        <v>21</v>
      </c>
      <c r="B29" s="23"/>
      <c r="C29" s="24"/>
      <c r="D29" s="24"/>
      <c r="E29" s="71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4.1" customHeight="1" thickBot="1">
      <c r="A30" s="66">
        <v>22</v>
      </c>
      <c r="B30" s="23"/>
      <c r="C30" s="24"/>
      <c r="D30" s="24"/>
      <c r="E30" s="71"/>
      <c r="F30" s="19">
        <f t="shared" si="0"/>
        <v>0</v>
      </c>
      <c r="G30" s="32">
        <v>1</v>
      </c>
      <c r="H30" s="24"/>
      <c r="I30" s="24"/>
      <c r="J30" s="24"/>
      <c r="K30" s="17">
        <f t="shared" si="1"/>
        <v>1</v>
      </c>
      <c r="L30" s="7">
        <f t="shared" si="2"/>
        <v>1</v>
      </c>
    </row>
    <row r="31" spans="1:12" ht="14.1" customHeight="1" thickBot="1">
      <c r="A31" s="66">
        <v>23</v>
      </c>
      <c r="B31" s="23"/>
      <c r="C31" s="24"/>
      <c r="D31" s="24"/>
      <c r="E31" s="71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4.1" customHeight="1" thickBot="1">
      <c r="A32" s="66">
        <v>24</v>
      </c>
      <c r="B32" s="23"/>
      <c r="C32" s="24"/>
      <c r="D32" s="24"/>
      <c r="E32" s="71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4.1" customHeight="1" thickBot="1">
      <c r="A33" s="66">
        <v>25</v>
      </c>
      <c r="B33" s="23"/>
      <c r="C33" s="24"/>
      <c r="D33" s="24"/>
      <c r="E33" s="71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4.1" customHeight="1" thickBot="1">
      <c r="A34" s="66">
        <v>26</v>
      </c>
      <c r="B34" s="23"/>
      <c r="C34" s="24"/>
      <c r="D34" s="24"/>
      <c r="E34" s="71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4.1" customHeight="1" thickBot="1">
      <c r="A35" s="66">
        <v>27</v>
      </c>
      <c r="B35" s="23"/>
      <c r="C35" s="24"/>
      <c r="D35" s="24"/>
      <c r="E35" s="71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4.1" customHeight="1" thickBot="1">
      <c r="A36" s="66">
        <v>28</v>
      </c>
      <c r="B36" s="23">
        <v>3</v>
      </c>
      <c r="C36" s="24"/>
      <c r="D36" s="27">
        <v>1</v>
      </c>
      <c r="E36" s="71"/>
      <c r="F36" s="19">
        <f t="shared" si="0"/>
        <v>4</v>
      </c>
      <c r="G36" s="32"/>
      <c r="H36" s="24"/>
      <c r="I36" s="24"/>
      <c r="J36" s="24"/>
      <c r="K36" s="17">
        <f t="shared" si="1"/>
        <v>0</v>
      </c>
      <c r="L36" s="7">
        <f t="shared" si="2"/>
        <v>4</v>
      </c>
    </row>
    <row r="37" spans="1:12" ht="14.1" customHeight="1" thickBot="1">
      <c r="A37" s="66">
        <v>29</v>
      </c>
      <c r="B37" s="23"/>
      <c r="C37" s="24"/>
      <c r="D37" s="24"/>
      <c r="E37" s="71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4.1" customHeight="1" thickBot="1">
      <c r="A38" s="66">
        <v>30</v>
      </c>
      <c r="B38" s="23">
        <v>1</v>
      </c>
      <c r="C38" s="24"/>
      <c r="D38" s="24"/>
      <c r="E38" s="71"/>
      <c r="F38" s="19">
        <f t="shared" si="0"/>
        <v>1</v>
      </c>
      <c r="G38" s="32">
        <v>1</v>
      </c>
      <c r="H38" s="24"/>
      <c r="I38" s="24"/>
      <c r="J38" s="24"/>
      <c r="K38" s="17">
        <f t="shared" si="1"/>
        <v>1</v>
      </c>
      <c r="L38" s="7">
        <f t="shared" si="2"/>
        <v>2</v>
      </c>
    </row>
    <row r="39" spans="1:12" ht="14.1" customHeight="1" thickBot="1">
      <c r="A39" s="69">
        <v>31</v>
      </c>
      <c r="B39" s="28"/>
      <c r="C39" s="29"/>
      <c r="D39" s="29"/>
      <c r="E39" s="73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4.1" customHeight="1" thickBot="1">
      <c r="A40" s="10"/>
      <c r="B40" s="63">
        <f>SUM(B9:B39)</f>
        <v>17</v>
      </c>
      <c r="C40" s="63">
        <f t="shared" ref="C40:E40" si="3">SUM(C9:C39)</f>
        <v>0</v>
      </c>
      <c r="D40" s="63">
        <f t="shared" si="3"/>
        <v>2</v>
      </c>
      <c r="E40" s="63">
        <f t="shared" si="3"/>
        <v>0</v>
      </c>
      <c r="F40" s="62">
        <f>SUM(F9:F39)</f>
        <v>19</v>
      </c>
      <c r="G40" s="18">
        <f>SUM(G9:G39)</f>
        <v>8</v>
      </c>
      <c r="H40" s="18">
        <f t="shared" ref="H40:L40" si="4">SUM(H9:H39)</f>
        <v>1</v>
      </c>
      <c r="I40" s="18">
        <f t="shared" si="4"/>
        <v>0</v>
      </c>
      <c r="J40" s="18">
        <f t="shared" si="4"/>
        <v>0</v>
      </c>
      <c r="K40" s="18">
        <f t="shared" si="4"/>
        <v>9</v>
      </c>
      <c r="L40" s="18">
        <f t="shared" si="4"/>
        <v>28</v>
      </c>
    </row>
    <row r="41" spans="1:12" ht="6.75" customHeight="1" thickBot="1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>
      <c r="A42" s="95"/>
      <c r="B42" s="95"/>
      <c r="C42" s="95"/>
      <c r="D42" s="95"/>
      <c r="E42" s="95"/>
      <c r="F42" s="95"/>
      <c r="G42" s="96" t="s">
        <v>17</v>
      </c>
      <c r="H42" s="97"/>
      <c r="I42" s="97" t="s">
        <v>18</v>
      </c>
      <c r="J42" s="98"/>
      <c r="K42" s="12"/>
      <c r="L42" s="14"/>
    </row>
    <row r="43" spans="1:12" ht="15.75" thickBot="1">
      <c r="A43" s="15"/>
      <c r="B43" s="82" t="s">
        <v>19</v>
      </c>
      <c r="C43" s="83"/>
      <c r="D43" s="83"/>
      <c r="E43" s="83"/>
      <c r="F43" s="83"/>
      <c r="G43" s="93">
        <v>89</v>
      </c>
      <c r="H43" s="99"/>
      <c r="I43" s="100"/>
      <c r="J43" s="101"/>
      <c r="K43" s="12"/>
      <c r="L43" s="14"/>
    </row>
    <row r="44" spans="1:12" ht="15.75" thickBot="1">
      <c r="A44" s="15"/>
      <c r="B44" s="82" t="s">
        <v>20</v>
      </c>
      <c r="C44" s="83"/>
      <c r="D44" s="83"/>
      <c r="E44" s="83"/>
      <c r="F44" s="83"/>
      <c r="G44" s="84">
        <v>50</v>
      </c>
      <c r="H44" s="85"/>
      <c r="I44" s="84"/>
      <c r="J44" s="85"/>
      <c r="K44" s="12"/>
      <c r="L44" s="14"/>
    </row>
    <row r="45" spans="1:12" ht="15.75" thickBot="1">
      <c r="A45" s="15"/>
      <c r="B45" s="90" t="s">
        <v>21</v>
      </c>
      <c r="C45" s="90"/>
      <c r="D45" s="90"/>
      <c r="E45" s="90"/>
      <c r="F45" s="82"/>
      <c r="G45" s="91">
        <v>2</v>
      </c>
      <c r="H45" s="92"/>
      <c r="I45" s="93"/>
      <c r="J45" s="94"/>
      <c r="K45" s="12"/>
      <c r="L45" s="14"/>
    </row>
    <row r="46" spans="1:12" ht="15.75" thickBot="1">
      <c r="A46" s="15"/>
      <c r="B46" s="82" t="s">
        <v>22</v>
      </c>
      <c r="C46" s="83"/>
      <c r="D46" s="83"/>
      <c r="E46" s="83"/>
      <c r="F46" s="83"/>
      <c r="G46" s="89">
        <f>L40+G45</f>
        <v>30</v>
      </c>
      <c r="H46" s="85"/>
      <c r="I46" s="84"/>
      <c r="J46" s="85"/>
      <c r="K46" s="12"/>
      <c r="L46" s="14"/>
    </row>
    <row r="47" spans="1:12" ht="15.75" thickBot="1">
      <c r="A47" s="4"/>
      <c r="B47" s="82" t="s">
        <v>23</v>
      </c>
      <c r="C47" s="83"/>
      <c r="D47" s="83"/>
      <c r="E47" s="83"/>
      <c r="F47" s="83"/>
      <c r="G47" s="89">
        <f>G43+G44-G46</f>
        <v>109</v>
      </c>
      <c r="H47" s="85"/>
      <c r="I47" s="84"/>
      <c r="J47" s="85"/>
      <c r="K47" s="12"/>
      <c r="L47" s="3"/>
    </row>
    <row r="48" spans="1:12" ht="15.75" thickBot="1">
      <c r="A48" s="4"/>
      <c r="B48" s="82" t="s">
        <v>24</v>
      </c>
      <c r="C48" s="83"/>
      <c r="D48" s="83"/>
      <c r="E48" s="83"/>
      <c r="F48" s="83"/>
      <c r="G48" s="84">
        <v>79</v>
      </c>
      <c r="H48" s="85"/>
      <c r="I48" s="84"/>
      <c r="J48" s="85"/>
      <c r="K48" s="12"/>
      <c r="L48" s="3"/>
    </row>
    <row r="49" spans="1:12" ht="15.75" thickBot="1">
      <c r="A49" s="4"/>
      <c r="B49" s="82" t="s">
        <v>25</v>
      </c>
      <c r="C49" s="83"/>
      <c r="D49" s="83"/>
      <c r="E49" s="83"/>
      <c r="F49" s="83"/>
      <c r="G49" s="86">
        <f>G47-G48</f>
        <v>30</v>
      </c>
      <c r="H49" s="87"/>
      <c r="I49" s="88"/>
      <c r="J49" s="87"/>
      <c r="K49" s="12"/>
      <c r="L49" s="3"/>
    </row>
    <row r="50" spans="1:12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>
      <c r="B52" t="s">
        <v>48</v>
      </c>
    </row>
    <row r="53" spans="1:12">
      <c r="B53" t="s">
        <v>49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paperSize="9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2"/>
  <sheetViews>
    <sheetView topLeftCell="A29" workbookViewId="0">
      <selection activeCell="B52" sqref="B52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2" t="s">
        <v>0</v>
      </c>
      <c r="B1" s="102"/>
      <c r="C1" s="102"/>
      <c r="D1" s="102"/>
      <c r="E1" s="37"/>
      <c r="F1" s="38"/>
      <c r="G1" s="103" t="s">
        <v>1</v>
      </c>
      <c r="H1" s="103"/>
      <c r="I1" s="103"/>
      <c r="J1" s="103"/>
      <c r="K1" s="103"/>
      <c r="L1" s="103"/>
    </row>
    <row r="2" spans="1:12" ht="15.75">
      <c r="A2" s="103" t="s">
        <v>2</v>
      </c>
      <c r="B2" s="103"/>
      <c r="C2" s="103"/>
      <c r="D2" s="103"/>
      <c r="E2" s="37"/>
      <c r="F2" s="38"/>
      <c r="G2" s="114" t="s">
        <v>3</v>
      </c>
      <c r="H2" s="114"/>
      <c r="I2" s="114"/>
      <c r="J2" s="114"/>
      <c r="K2" s="114"/>
      <c r="L2" s="114"/>
    </row>
    <row r="3" spans="1:12">
      <c r="A3" s="114" t="s">
        <v>4</v>
      </c>
      <c r="B3" s="114"/>
      <c r="C3" s="114"/>
      <c r="D3" s="114"/>
      <c r="E3" s="37"/>
      <c r="F3" s="38"/>
      <c r="G3" s="38"/>
      <c r="H3" s="37"/>
      <c r="I3" s="37"/>
      <c r="J3" s="37"/>
      <c r="K3" s="38"/>
      <c r="L3" s="1"/>
    </row>
    <row r="4" spans="1:12" ht="18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5.75">
      <c r="A5" s="103" t="s">
        <v>50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2.25" customHeight="1" thickBot="1">
      <c r="A6" s="2" t="s">
        <v>6</v>
      </c>
      <c r="B6" s="12"/>
      <c r="C6" s="13"/>
      <c r="D6" s="13"/>
      <c r="E6" s="13"/>
      <c r="F6" s="12"/>
      <c r="G6" s="12"/>
      <c r="H6" s="105"/>
      <c r="I6" s="105"/>
      <c r="J6" s="13"/>
      <c r="K6" s="39"/>
      <c r="L6" s="3"/>
    </row>
    <row r="7" spans="1:12" ht="14.1" customHeight="1">
      <c r="A7" s="106" t="s">
        <v>7</v>
      </c>
      <c r="B7" s="108" t="s">
        <v>8</v>
      </c>
      <c r="C7" s="109"/>
      <c r="D7" s="109"/>
      <c r="E7" s="109"/>
      <c r="F7" s="110"/>
      <c r="G7" s="111" t="s">
        <v>9</v>
      </c>
      <c r="H7" s="109"/>
      <c r="I7" s="109"/>
      <c r="J7" s="109"/>
      <c r="K7" s="110"/>
      <c r="L7" s="112" t="s">
        <v>10</v>
      </c>
    </row>
    <row r="8" spans="1:12" ht="14.1" customHeight="1" thickBot="1">
      <c r="A8" s="10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13"/>
    </row>
    <row r="9" spans="1:12" ht="14.1" customHeight="1" thickBot="1">
      <c r="A9" s="68">
        <v>1</v>
      </c>
      <c r="B9" s="20"/>
      <c r="C9" s="21"/>
      <c r="D9" s="21"/>
      <c r="E9" s="70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4.1" customHeight="1" thickBot="1">
      <c r="A10" s="66">
        <v>2</v>
      </c>
      <c r="B10" s="23"/>
      <c r="C10" s="24"/>
      <c r="D10" s="24"/>
      <c r="E10" s="71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4.1" customHeight="1" thickBot="1">
      <c r="A11" s="66">
        <v>3</v>
      </c>
      <c r="B11" s="23"/>
      <c r="C11" s="24"/>
      <c r="D11" s="24"/>
      <c r="E11" s="72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4.1" customHeight="1" thickBot="1">
      <c r="A12" s="66">
        <v>4</v>
      </c>
      <c r="B12" s="23"/>
      <c r="C12" s="24"/>
      <c r="D12" s="24"/>
      <c r="E12" s="71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4.1" customHeight="1" thickBot="1">
      <c r="A13" s="66">
        <v>5</v>
      </c>
      <c r="B13" s="23"/>
      <c r="C13" s="24"/>
      <c r="D13" s="24"/>
      <c r="E13" s="71"/>
      <c r="F13" s="19">
        <f t="shared" si="0"/>
        <v>0</v>
      </c>
      <c r="G13" s="32">
        <v>1</v>
      </c>
      <c r="H13" s="24"/>
      <c r="I13" s="24"/>
      <c r="J13" s="24"/>
      <c r="K13" s="17">
        <f t="shared" si="1"/>
        <v>1</v>
      </c>
      <c r="L13" s="7">
        <f t="shared" si="2"/>
        <v>1</v>
      </c>
    </row>
    <row r="14" spans="1:12" ht="14.1" customHeight="1" thickBot="1">
      <c r="A14" s="66">
        <v>6</v>
      </c>
      <c r="B14" s="23"/>
      <c r="C14" s="24"/>
      <c r="D14" s="24"/>
      <c r="E14" s="71"/>
      <c r="F14" s="19">
        <f t="shared" si="0"/>
        <v>0</v>
      </c>
      <c r="G14" s="32">
        <v>1</v>
      </c>
      <c r="H14" s="24"/>
      <c r="I14" s="24"/>
      <c r="J14" s="24"/>
      <c r="K14" s="17">
        <f t="shared" si="1"/>
        <v>1</v>
      </c>
      <c r="L14" s="7">
        <f t="shared" si="2"/>
        <v>1</v>
      </c>
    </row>
    <row r="15" spans="1:12" ht="14.1" customHeight="1" thickBot="1">
      <c r="A15" s="66">
        <v>7</v>
      </c>
      <c r="B15" s="23"/>
      <c r="C15" s="24"/>
      <c r="D15" s="24"/>
      <c r="E15" s="71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4.1" customHeight="1" thickBot="1">
      <c r="A16" s="66">
        <v>8</v>
      </c>
      <c r="B16" s="23">
        <v>1</v>
      </c>
      <c r="C16" s="24"/>
      <c r="D16" s="24"/>
      <c r="E16" s="71"/>
      <c r="F16" s="19">
        <f t="shared" si="0"/>
        <v>1</v>
      </c>
      <c r="G16" s="32">
        <v>1</v>
      </c>
      <c r="H16" s="24"/>
      <c r="I16" s="24"/>
      <c r="J16" s="24"/>
      <c r="K16" s="17">
        <f t="shared" si="1"/>
        <v>1</v>
      </c>
      <c r="L16" s="7">
        <f t="shared" si="2"/>
        <v>2</v>
      </c>
    </row>
    <row r="17" spans="1:12" ht="14.1" customHeight="1" thickBot="1">
      <c r="A17" s="66">
        <v>9</v>
      </c>
      <c r="B17" s="23"/>
      <c r="C17" s="24"/>
      <c r="D17" s="24"/>
      <c r="E17" s="71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4.1" customHeight="1" thickBot="1">
      <c r="A18" s="66">
        <v>10</v>
      </c>
      <c r="B18" s="23"/>
      <c r="C18" s="24"/>
      <c r="D18" s="24"/>
      <c r="E18" s="71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4.1" customHeight="1" thickBot="1">
      <c r="A19" s="66">
        <v>11</v>
      </c>
      <c r="B19" s="23"/>
      <c r="C19" s="24"/>
      <c r="D19" s="24"/>
      <c r="E19" s="71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4.1" customHeight="1" thickBot="1">
      <c r="A20" s="66">
        <v>12</v>
      </c>
      <c r="B20" s="23"/>
      <c r="C20" s="24"/>
      <c r="D20" s="24"/>
      <c r="E20" s="71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4.1" customHeight="1" thickBot="1">
      <c r="A21" s="66">
        <v>13</v>
      </c>
      <c r="B21" s="23"/>
      <c r="C21" s="24"/>
      <c r="D21" s="24"/>
      <c r="E21" s="71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4.1" customHeight="1" thickBot="1">
      <c r="A22" s="66">
        <v>14</v>
      </c>
      <c r="B22" s="23"/>
      <c r="C22" s="24"/>
      <c r="D22" s="24"/>
      <c r="E22" s="71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4.1" customHeight="1" thickBot="1">
      <c r="A23" s="66">
        <v>15</v>
      </c>
      <c r="B23" s="23"/>
      <c r="C23" s="24"/>
      <c r="D23" s="24"/>
      <c r="E23" s="71"/>
      <c r="F23" s="19">
        <f t="shared" si="0"/>
        <v>0</v>
      </c>
      <c r="G23" s="32">
        <v>3</v>
      </c>
      <c r="H23" s="24"/>
      <c r="I23" s="24"/>
      <c r="J23" s="24"/>
      <c r="K23" s="17">
        <f t="shared" si="1"/>
        <v>3</v>
      </c>
      <c r="L23" s="7">
        <f t="shared" si="2"/>
        <v>3</v>
      </c>
    </row>
    <row r="24" spans="1:12" ht="14.1" customHeight="1" thickBot="1">
      <c r="A24" s="66">
        <v>16</v>
      </c>
      <c r="B24" s="23"/>
      <c r="C24" s="24"/>
      <c r="D24" s="24"/>
      <c r="E24" s="71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4.1" customHeight="1" thickBot="1">
      <c r="A25" s="66">
        <v>17</v>
      </c>
      <c r="B25" s="23"/>
      <c r="C25" s="67"/>
      <c r="D25" s="27"/>
      <c r="E25" s="71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4.1" customHeight="1" thickBot="1">
      <c r="A26" s="66">
        <v>18</v>
      </c>
      <c r="B26" s="23"/>
      <c r="C26" s="24"/>
      <c r="D26" s="24"/>
      <c r="E26" s="71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4.1" customHeight="1" thickBot="1">
      <c r="A27" s="66">
        <v>19</v>
      </c>
      <c r="B27" s="23">
        <v>1</v>
      </c>
      <c r="C27" s="24"/>
      <c r="D27" s="24"/>
      <c r="E27" s="71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4.1" customHeight="1" thickBot="1">
      <c r="A28" s="66">
        <v>20</v>
      </c>
      <c r="B28" s="23">
        <v>1</v>
      </c>
      <c r="C28" s="24"/>
      <c r="D28" s="24"/>
      <c r="E28" s="71"/>
      <c r="F28" s="19">
        <f t="shared" si="0"/>
        <v>1</v>
      </c>
      <c r="G28" s="32">
        <v>9</v>
      </c>
      <c r="H28" s="24"/>
      <c r="I28" s="24"/>
      <c r="J28" s="24"/>
      <c r="K28" s="17">
        <f t="shared" si="1"/>
        <v>9</v>
      </c>
      <c r="L28" s="7">
        <f t="shared" si="2"/>
        <v>10</v>
      </c>
    </row>
    <row r="29" spans="1:12" ht="14.1" customHeight="1" thickBot="1">
      <c r="A29" s="66">
        <v>21</v>
      </c>
      <c r="B29" s="23">
        <v>1</v>
      </c>
      <c r="C29" s="24">
        <v>1</v>
      </c>
      <c r="D29" s="24"/>
      <c r="E29" s="71"/>
      <c r="F29" s="19">
        <f t="shared" si="0"/>
        <v>2</v>
      </c>
      <c r="G29" s="32"/>
      <c r="H29" s="24"/>
      <c r="I29" s="24"/>
      <c r="J29" s="24"/>
      <c r="K29" s="17">
        <f t="shared" si="1"/>
        <v>0</v>
      </c>
      <c r="L29" s="7">
        <f t="shared" si="2"/>
        <v>2</v>
      </c>
    </row>
    <row r="30" spans="1:12" ht="14.1" customHeight="1" thickBot="1">
      <c r="A30" s="66">
        <v>22</v>
      </c>
      <c r="B30" s="23"/>
      <c r="C30" s="24"/>
      <c r="D30" s="24"/>
      <c r="E30" s="71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4.1" customHeight="1" thickBot="1">
      <c r="A31" s="66">
        <v>23</v>
      </c>
      <c r="B31" s="23"/>
      <c r="C31" s="24"/>
      <c r="D31" s="24"/>
      <c r="E31" s="71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4.1" customHeight="1" thickBot="1">
      <c r="A32" s="66">
        <v>24</v>
      </c>
      <c r="B32" s="23"/>
      <c r="C32" s="24"/>
      <c r="D32" s="24"/>
      <c r="E32" s="71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4.1" customHeight="1" thickBot="1">
      <c r="A33" s="66">
        <v>25</v>
      </c>
      <c r="B33" s="23"/>
      <c r="C33" s="24"/>
      <c r="D33" s="24"/>
      <c r="E33" s="71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4.1" customHeight="1" thickBot="1">
      <c r="A34" s="66">
        <v>26</v>
      </c>
      <c r="B34" s="23"/>
      <c r="C34" s="24"/>
      <c r="D34" s="24"/>
      <c r="E34" s="71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4.1" customHeight="1" thickBot="1">
      <c r="A35" s="66">
        <v>27</v>
      </c>
      <c r="B35" s="23"/>
      <c r="C35" s="24"/>
      <c r="D35" s="24"/>
      <c r="E35" s="71"/>
      <c r="F35" s="19">
        <f t="shared" si="0"/>
        <v>0</v>
      </c>
      <c r="G35" s="47">
        <v>5</v>
      </c>
      <c r="H35" s="24"/>
      <c r="I35" s="24"/>
      <c r="J35" s="24"/>
      <c r="K35" s="17">
        <f t="shared" si="1"/>
        <v>5</v>
      </c>
      <c r="L35" s="7">
        <f t="shared" si="2"/>
        <v>5</v>
      </c>
    </row>
    <row r="36" spans="1:12" ht="14.1" customHeight="1" thickBot="1">
      <c r="A36" s="66">
        <v>28</v>
      </c>
      <c r="B36" s="23"/>
      <c r="C36" s="24"/>
      <c r="D36" s="27"/>
      <c r="E36" s="71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4.1" customHeight="1" thickBot="1">
      <c r="A37" s="66">
        <v>29</v>
      </c>
      <c r="B37" s="23">
        <v>1</v>
      </c>
      <c r="C37" s="24"/>
      <c r="D37" s="24"/>
      <c r="E37" s="71"/>
      <c r="F37" s="19">
        <f t="shared" si="0"/>
        <v>1</v>
      </c>
      <c r="G37" s="32">
        <v>7</v>
      </c>
      <c r="H37" s="24">
        <v>3</v>
      </c>
      <c r="I37" s="24"/>
      <c r="J37" s="24"/>
      <c r="K37" s="17">
        <f t="shared" si="1"/>
        <v>10</v>
      </c>
      <c r="L37" s="7">
        <f t="shared" si="2"/>
        <v>11</v>
      </c>
    </row>
    <row r="38" spans="1:12" ht="14.1" customHeight="1" thickBot="1">
      <c r="A38" s="66">
        <v>30</v>
      </c>
      <c r="B38" s="23"/>
      <c r="C38" s="24"/>
      <c r="D38" s="24"/>
      <c r="E38" s="71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4.1" customHeight="1" thickBot="1">
      <c r="A39" s="69">
        <v>31</v>
      </c>
      <c r="B39" s="28"/>
      <c r="C39" s="29"/>
      <c r="D39" s="29"/>
      <c r="E39" s="73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4.1" customHeight="1" thickBot="1">
      <c r="A40" s="10"/>
      <c r="B40" s="65">
        <f>SUM(B9:B39)</f>
        <v>5</v>
      </c>
      <c r="C40" s="65">
        <f t="shared" ref="C40:E40" si="3">SUM(C9:C39)</f>
        <v>1</v>
      </c>
      <c r="D40" s="65">
        <f t="shared" si="3"/>
        <v>0</v>
      </c>
      <c r="E40" s="65">
        <f t="shared" si="3"/>
        <v>0</v>
      </c>
      <c r="F40" s="64">
        <f>SUM(F9:F39)</f>
        <v>6</v>
      </c>
      <c r="G40" s="18">
        <f>SUM(G9:G39)</f>
        <v>27</v>
      </c>
      <c r="H40" s="18">
        <f t="shared" ref="H40:L40" si="4">SUM(H9:H39)</f>
        <v>3</v>
      </c>
      <c r="I40" s="18">
        <f t="shared" si="4"/>
        <v>0</v>
      </c>
      <c r="J40" s="18">
        <f t="shared" si="4"/>
        <v>0</v>
      </c>
      <c r="K40" s="18">
        <f t="shared" si="4"/>
        <v>30</v>
      </c>
      <c r="L40" s="18">
        <f t="shared" si="4"/>
        <v>36</v>
      </c>
    </row>
    <row r="41" spans="1:12" ht="6.75" customHeight="1" thickBot="1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>
      <c r="A42" s="95"/>
      <c r="B42" s="95"/>
      <c r="C42" s="95"/>
      <c r="D42" s="95"/>
      <c r="E42" s="95"/>
      <c r="F42" s="95"/>
      <c r="G42" s="96" t="s">
        <v>17</v>
      </c>
      <c r="H42" s="97"/>
      <c r="I42" s="97" t="s">
        <v>18</v>
      </c>
      <c r="J42" s="98"/>
      <c r="K42" s="12"/>
      <c r="L42" s="14"/>
    </row>
    <row r="43" spans="1:12" ht="15.75" thickBot="1">
      <c r="A43" s="15"/>
      <c r="B43" s="82" t="s">
        <v>19</v>
      </c>
      <c r="C43" s="83"/>
      <c r="D43" s="83"/>
      <c r="E43" s="83"/>
      <c r="F43" s="83"/>
      <c r="G43" s="93">
        <v>79</v>
      </c>
      <c r="H43" s="99"/>
      <c r="I43" s="100"/>
      <c r="J43" s="101"/>
      <c r="K43" s="12"/>
      <c r="L43" s="14"/>
    </row>
    <row r="44" spans="1:12" ht="15.75" thickBot="1">
      <c r="A44" s="15"/>
      <c r="B44" s="82" t="s">
        <v>20</v>
      </c>
      <c r="C44" s="83"/>
      <c r="D44" s="83"/>
      <c r="E44" s="83"/>
      <c r="F44" s="83"/>
      <c r="G44" s="84">
        <v>200</v>
      </c>
      <c r="H44" s="85"/>
      <c r="I44" s="84"/>
      <c r="J44" s="85"/>
      <c r="K44" s="12"/>
      <c r="L44" s="14"/>
    </row>
    <row r="45" spans="1:12" ht="15.75" thickBot="1">
      <c r="A45" s="15"/>
      <c r="B45" s="90" t="s">
        <v>21</v>
      </c>
      <c r="C45" s="90"/>
      <c r="D45" s="90"/>
      <c r="E45" s="90"/>
      <c r="F45" s="82"/>
      <c r="G45" s="91">
        <v>1</v>
      </c>
      <c r="H45" s="92"/>
      <c r="I45" s="93"/>
      <c r="J45" s="94"/>
      <c r="K45" s="12"/>
      <c r="L45" s="14"/>
    </row>
    <row r="46" spans="1:12" ht="15.75" thickBot="1">
      <c r="A46" s="15"/>
      <c r="B46" s="82" t="s">
        <v>22</v>
      </c>
      <c r="C46" s="83"/>
      <c r="D46" s="83"/>
      <c r="E46" s="83"/>
      <c r="F46" s="83"/>
      <c r="G46" s="89">
        <f>L40+G45</f>
        <v>37</v>
      </c>
      <c r="H46" s="85"/>
      <c r="I46" s="84"/>
      <c r="J46" s="85"/>
      <c r="K46" s="12"/>
      <c r="L46" s="14"/>
    </row>
    <row r="47" spans="1:12" ht="15.75" thickBot="1">
      <c r="A47" s="4"/>
      <c r="B47" s="82" t="s">
        <v>23</v>
      </c>
      <c r="C47" s="83"/>
      <c r="D47" s="83"/>
      <c r="E47" s="83"/>
      <c r="F47" s="83"/>
      <c r="G47" s="89">
        <f>G43+G44-G46</f>
        <v>242</v>
      </c>
      <c r="H47" s="85"/>
      <c r="I47" s="84"/>
      <c r="J47" s="85"/>
      <c r="K47" s="12"/>
      <c r="L47" s="3"/>
    </row>
    <row r="48" spans="1:12" ht="15.75" thickBot="1">
      <c r="A48" s="4"/>
      <c r="B48" s="82" t="s">
        <v>24</v>
      </c>
      <c r="C48" s="83"/>
      <c r="D48" s="83"/>
      <c r="E48" s="83"/>
      <c r="F48" s="83"/>
      <c r="G48" s="84">
        <v>192</v>
      </c>
      <c r="H48" s="85"/>
      <c r="I48" s="84"/>
      <c r="J48" s="85"/>
      <c r="K48" s="12"/>
      <c r="L48" s="3"/>
    </row>
    <row r="49" spans="1:12" ht="15.75" thickBot="1">
      <c r="A49" s="4"/>
      <c r="B49" s="82" t="s">
        <v>25</v>
      </c>
      <c r="C49" s="83"/>
      <c r="D49" s="83"/>
      <c r="E49" s="83"/>
      <c r="F49" s="83"/>
      <c r="G49" s="86">
        <f>G47-G48</f>
        <v>50</v>
      </c>
      <c r="H49" s="87"/>
      <c r="I49" s="88"/>
      <c r="J49" s="87"/>
      <c r="K49" s="12"/>
      <c r="L49" s="3"/>
    </row>
    <row r="50" spans="1:12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>
      <c r="B52" t="s">
        <v>51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paperSize="9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6"/>
  <sheetViews>
    <sheetView topLeftCell="A32" workbookViewId="0">
      <selection activeCell="G48" sqref="G48:H48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2" t="s">
        <v>0</v>
      </c>
      <c r="B1" s="102"/>
      <c r="C1" s="102"/>
      <c r="D1" s="102"/>
      <c r="E1" s="37"/>
      <c r="F1" s="38"/>
      <c r="G1" s="103" t="s">
        <v>1</v>
      </c>
      <c r="H1" s="103"/>
      <c r="I1" s="103"/>
      <c r="J1" s="103"/>
      <c r="K1" s="103"/>
      <c r="L1" s="103"/>
    </row>
    <row r="2" spans="1:12" ht="15.75">
      <c r="A2" s="103" t="s">
        <v>2</v>
      </c>
      <c r="B2" s="103"/>
      <c r="C2" s="103"/>
      <c r="D2" s="103"/>
      <c r="E2" s="37"/>
      <c r="F2" s="38"/>
      <c r="G2" s="114" t="s">
        <v>3</v>
      </c>
      <c r="H2" s="114"/>
      <c r="I2" s="114"/>
      <c r="J2" s="114"/>
      <c r="K2" s="114"/>
      <c r="L2" s="114"/>
    </row>
    <row r="3" spans="1:12">
      <c r="A3" s="114" t="s">
        <v>4</v>
      </c>
      <c r="B3" s="114"/>
      <c r="C3" s="114"/>
      <c r="D3" s="114"/>
      <c r="E3" s="37"/>
      <c r="F3" s="38"/>
      <c r="G3" s="38"/>
      <c r="H3" s="37"/>
      <c r="I3" s="37"/>
      <c r="J3" s="37"/>
      <c r="K3" s="38"/>
      <c r="L3" s="1"/>
    </row>
    <row r="4" spans="1:12" ht="18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5.75">
      <c r="A5" s="103" t="s">
        <v>52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2.25" customHeight="1" thickBot="1">
      <c r="A6" s="2" t="s">
        <v>6</v>
      </c>
      <c r="B6" s="12"/>
      <c r="C6" s="13"/>
      <c r="D6" s="13"/>
      <c r="E6" s="13"/>
      <c r="F6" s="12"/>
      <c r="G6" s="12"/>
      <c r="H6" s="105"/>
      <c r="I6" s="105"/>
      <c r="J6" s="13"/>
      <c r="K6" s="39"/>
      <c r="L6" s="3"/>
    </row>
    <row r="7" spans="1:12" ht="14.1" customHeight="1">
      <c r="A7" s="106" t="s">
        <v>7</v>
      </c>
      <c r="B7" s="108" t="s">
        <v>8</v>
      </c>
      <c r="C7" s="109"/>
      <c r="D7" s="109"/>
      <c r="E7" s="109"/>
      <c r="F7" s="110"/>
      <c r="G7" s="111" t="s">
        <v>9</v>
      </c>
      <c r="H7" s="109"/>
      <c r="I7" s="109"/>
      <c r="J7" s="109"/>
      <c r="K7" s="110"/>
      <c r="L7" s="112" t="s">
        <v>10</v>
      </c>
    </row>
    <row r="8" spans="1:12" ht="14.1" customHeight="1" thickBot="1">
      <c r="A8" s="10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13"/>
    </row>
    <row r="9" spans="1:12" ht="14.1" customHeight="1" thickBot="1">
      <c r="A9" s="68">
        <v>1</v>
      </c>
      <c r="B9" s="20"/>
      <c r="C9" s="21"/>
      <c r="D9" s="21"/>
      <c r="E9" s="70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4.1" customHeight="1" thickBot="1">
      <c r="A10" s="66">
        <v>2</v>
      </c>
      <c r="B10" s="23"/>
      <c r="C10" s="24"/>
      <c r="D10" s="24"/>
      <c r="E10" s="71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4.1" customHeight="1" thickBot="1">
      <c r="A11" s="66">
        <v>3</v>
      </c>
      <c r="B11" s="23"/>
      <c r="C11" s="24"/>
      <c r="D11" s="24"/>
      <c r="E11" s="72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4.1" customHeight="1" thickBot="1">
      <c r="A12" s="66">
        <v>4</v>
      </c>
      <c r="B12" s="23">
        <v>2</v>
      </c>
      <c r="C12" s="24"/>
      <c r="D12" s="24"/>
      <c r="E12" s="71"/>
      <c r="F12" s="19">
        <f t="shared" si="0"/>
        <v>2</v>
      </c>
      <c r="G12" s="33"/>
      <c r="H12" s="24"/>
      <c r="I12" s="24"/>
      <c r="J12" s="24"/>
      <c r="K12" s="17">
        <f t="shared" si="1"/>
        <v>0</v>
      </c>
      <c r="L12" s="7">
        <f t="shared" si="2"/>
        <v>2</v>
      </c>
    </row>
    <row r="13" spans="1:12" ht="14.1" customHeight="1" thickBot="1">
      <c r="A13" s="66">
        <v>5</v>
      </c>
      <c r="B13" s="23"/>
      <c r="C13" s="24"/>
      <c r="D13" s="24">
        <v>1</v>
      </c>
      <c r="E13" s="71"/>
      <c r="F13" s="19">
        <f t="shared" si="0"/>
        <v>1</v>
      </c>
      <c r="G13" s="32"/>
      <c r="H13" s="24"/>
      <c r="I13" s="24"/>
      <c r="J13" s="24"/>
      <c r="K13" s="17">
        <f t="shared" si="1"/>
        <v>0</v>
      </c>
      <c r="L13" s="7">
        <f t="shared" si="2"/>
        <v>1</v>
      </c>
    </row>
    <row r="14" spans="1:12" ht="14.1" customHeight="1" thickBot="1">
      <c r="A14" s="66">
        <v>6</v>
      </c>
      <c r="B14" s="23">
        <v>1</v>
      </c>
      <c r="C14" s="24"/>
      <c r="D14" s="24"/>
      <c r="E14" s="71"/>
      <c r="F14" s="19">
        <f t="shared" si="0"/>
        <v>1</v>
      </c>
      <c r="G14" s="32"/>
      <c r="H14" s="24"/>
      <c r="I14" s="24"/>
      <c r="J14" s="24"/>
      <c r="K14" s="17">
        <f t="shared" si="1"/>
        <v>0</v>
      </c>
      <c r="L14" s="7">
        <f t="shared" si="2"/>
        <v>1</v>
      </c>
    </row>
    <row r="15" spans="1:12" ht="14.1" customHeight="1" thickBot="1">
      <c r="A15" s="66">
        <v>7</v>
      </c>
      <c r="B15" s="23"/>
      <c r="C15" s="24"/>
      <c r="D15" s="24"/>
      <c r="E15" s="71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4.1" customHeight="1" thickBot="1">
      <c r="A16" s="66">
        <v>8</v>
      </c>
      <c r="B16" s="23"/>
      <c r="C16" s="24"/>
      <c r="D16" s="24"/>
      <c r="E16" s="71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4.1" customHeight="1" thickBot="1">
      <c r="A17" s="66">
        <v>9</v>
      </c>
      <c r="B17" s="23">
        <v>1</v>
      </c>
      <c r="C17" s="24"/>
      <c r="D17" s="24">
        <v>1</v>
      </c>
      <c r="E17" s="71"/>
      <c r="F17" s="19">
        <f t="shared" si="0"/>
        <v>2</v>
      </c>
      <c r="G17" s="32">
        <v>5</v>
      </c>
      <c r="H17" s="24"/>
      <c r="I17" s="24"/>
      <c r="J17" s="24"/>
      <c r="K17" s="17">
        <f t="shared" si="1"/>
        <v>5</v>
      </c>
      <c r="L17" s="7">
        <f t="shared" si="2"/>
        <v>7</v>
      </c>
    </row>
    <row r="18" spans="1:12" ht="14.1" customHeight="1" thickBot="1">
      <c r="A18" s="66">
        <v>10</v>
      </c>
      <c r="B18" s="23"/>
      <c r="C18" s="24"/>
      <c r="D18" s="24"/>
      <c r="E18" s="71"/>
      <c r="F18" s="19">
        <f t="shared" si="0"/>
        <v>0</v>
      </c>
      <c r="G18" s="34">
        <v>7</v>
      </c>
      <c r="H18" s="24"/>
      <c r="I18" s="24"/>
      <c r="J18" s="24"/>
      <c r="K18" s="17">
        <f t="shared" si="1"/>
        <v>7</v>
      </c>
      <c r="L18" s="7">
        <f t="shared" si="2"/>
        <v>7</v>
      </c>
    </row>
    <row r="19" spans="1:12" ht="14.1" customHeight="1" thickBot="1">
      <c r="A19" s="66">
        <v>11</v>
      </c>
      <c r="B19" s="23"/>
      <c r="C19" s="24"/>
      <c r="D19" s="24"/>
      <c r="E19" s="71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4.1" customHeight="1" thickBot="1">
      <c r="A20" s="66">
        <v>12</v>
      </c>
      <c r="B20" s="23"/>
      <c r="C20" s="24"/>
      <c r="D20" s="24"/>
      <c r="E20" s="71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4.1" customHeight="1" thickBot="1">
      <c r="A21" s="66">
        <v>13</v>
      </c>
      <c r="B21" s="23"/>
      <c r="C21" s="24"/>
      <c r="D21" s="24"/>
      <c r="E21" s="71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4.1" customHeight="1" thickBot="1">
      <c r="A22" s="66">
        <v>14</v>
      </c>
      <c r="B22" s="23">
        <v>1</v>
      </c>
      <c r="C22" s="24"/>
      <c r="D22" s="24"/>
      <c r="E22" s="71"/>
      <c r="F22" s="19">
        <f t="shared" si="0"/>
        <v>1</v>
      </c>
      <c r="G22" s="36">
        <v>7</v>
      </c>
      <c r="H22" s="24"/>
      <c r="I22" s="24"/>
      <c r="J22" s="24"/>
      <c r="K22" s="17">
        <f t="shared" si="1"/>
        <v>7</v>
      </c>
      <c r="L22" s="7">
        <f t="shared" si="2"/>
        <v>8</v>
      </c>
    </row>
    <row r="23" spans="1:12" ht="14.1" customHeight="1" thickBot="1">
      <c r="A23" s="66">
        <v>15</v>
      </c>
      <c r="B23" s="23"/>
      <c r="C23" s="24"/>
      <c r="D23" s="24"/>
      <c r="E23" s="71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4.1" customHeight="1" thickBot="1">
      <c r="A24" s="66">
        <v>16</v>
      </c>
      <c r="B24" s="23"/>
      <c r="C24" s="24"/>
      <c r="D24" s="24"/>
      <c r="E24" s="71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4.1" customHeight="1" thickBot="1">
      <c r="A25" s="66">
        <v>17</v>
      </c>
      <c r="B25" s="23"/>
      <c r="C25" s="67"/>
      <c r="D25" s="27"/>
      <c r="E25" s="71"/>
      <c r="F25" s="19">
        <f t="shared" si="0"/>
        <v>0</v>
      </c>
      <c r="G25" s="32"/>
      <c r="H25" s="24">
        <v>1</v>
      </c>
      <c r="I25" s="24"/>
      <c r="J25" s="24"/>
      <c r="K25" s="17">
        <f t="shared" si="1"/>
        <v>1</v>
      </c>
      <c r="L25" s="7">
        <f t="shared" si="2"/>
        <v>1</v>
      </c>
    </row>
    <row r="26" spans="1:12" ht="14.1" customHeight="1" thickBot="1">
      <c r="A26" s="66">
        <v>18</v>
      </c>
      <c r="B26" s="23"/>
      <c r="C26" s="24"/>
      <c r="D26" s="24"/>
      <c r="E26" s="71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4.1" customHeight="1" thickBot="1">
      <c r="A27" s="66">
        <v>19</v>
      </c>
      <c r="B27" s="23"/>
      <c r="C27" s="24"/>
      <c r="D27" s="24"/>
      <c r="E27" s="71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4.1" customHeight="1" thickBot="1">
      <c r="A28" s="66">
        <v>20</v>
      </c>
      <c r="B28" s="23"/>
      <c r="C28" s="24"/>
      <c r="D28" s="24"/>
      <c r="E28" s="71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4.1" customHeight="1" thickBot="1">
      <c r="A29" s="66">
        <v>21</v>
      </c>
      <c r="B29" s="23"/>
      <c r="C29" s="24"/>
      <c r="D29" s="24"/>
      <c r="E29" s="71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4.1" customHeight="1" thickBot="1">
      <c r="A30" s="66">
        <v>22</v>
      </c>
      <c r="B30" s="23"/>
      <c r="C30" s="24"/>
      <c r="D30" s="24"/>
      <c r="E30" s="71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4.1" customHeight="1" thickBot="1">
      <c r="A31" s="66">
        <v>23</v>
      </c>
      <c r="B31" s="23">
        <v>1</v>
      </c>
      <c r="C31" s="24"/>
      <c r="D31" s="24"/>
      <c r="E31" s="71"/>
      <c r="F31" s="19">
        <f t="shared" si="0"/>
        <v>1</v>
      </c>
      <c r="G31" s="32"/>
      <c r="H31" s="24"/>
      <c r="I31" s="24"/>
      <c r="J31" s="24"/>
      <c r="K31" s="17">
        <f t="shared" si="1"/>
        <v>0</v>
      </c>
      <c r="L31" s="7">
        <f t="shared" si="2"/>
        <v>1</v>
      </c>
    </row>
    <row r="32" spans="1:12" ht="14.1" customHeight="1" thickBot="1">
      <c r="A32" s="66">
        <v>24</v>
      </c>
      <c r="B32" s="23">
        <v>1</v>
      </c>
      <c r="C32" s="24"/>
      <c r="D32" s="24">
        <v>1</v>
      </c>
      <c r="E32" s="71"/>
      <c r="F32" s="19">
        <f t="shared" si="0"/>
        <v>2</v>
      </c>
      <c r="G32" s="32"/>
      <c r="H32" s="24"/>
      <c r="I32" s="24"/>
      <c r="J32" s="24"/>
      <c r="K32" s="17">
        <f t="shared" si="1"/>
        <v>0</v>
      </c>
      <c r="L32" s="7">
        <f t="shared" si="2"/>
        <v>2</v>
      </c>
    </row>
    <row r="33" spans="1:12" ht="14.1" customHeight="1" thickBot="1">
      <c r="A33" s="66">
        <v>25</v>
      </c>
      <c r="B33" s="23">
        <v>2</v>
      </c>
      <c r="C33" s="24"/>
      <c r="D33" s="24">
        <v>1</v>
      </c>
      <c r="E33" s="71"/>
      <c r="F33" s="19">
        <f t="shared" si="0"/>
        <v>3</v>
      </c>
      <c r="G33" s="32"/>
      <c r="H33" s="24"/>
      <c r="I33" s="24"/>
      <c r="J33" s="24"/>
      <c r="K33" s="17">
        <f t="shared" si="1"/>
        <v>0</v>
      </c>
      <c r="L33" s="7">
        <f t="shared" si="2"/>
        <v>3</v>
      </c>
    </row>
    <row r="34" spans="1:12" ht="14.1" customHeight="1" thickBot="1">
      <c r="A34" s="66">
        <v>26</v>
      </c>
      <c r="B34" s="23"/>
      <c r="C34" s="24"/>
      <c r="D34" s="24"/>
      <c r="E34" s="71"/>
      <c r="F34" s="19">
        <f t="shared" si="0"/>
        <v>0</v>
      </c>
      <c r="G34" s="32"/>
      <c r="H34" s="24">
        <v>1</v>
      </c>
      <c r="I34" s="24"/>
      <c r="J34" s="24"/>
      <c r="K34" s="17">
        <f t="shared" si="1"/>
        <v>1</v>
      </c>
      <c r="L34" s="7">
        <f t="shared" si="2"/>
        <v>1</v>
      </c>
    </row>
    <row r="35" spans="1:12" ht="14.1" customHeight="1" thickBot="1">
      <c r="A35" s="66">
        <v>27</v>
      </c>
      <c r="B35" s="23"/>
      <c r="C35" s="24"/>
      <c r="D35" s="24"/>
      <c r="E35" s="71"/>
      <c r="F35" s="19">
        <f t="shared" si="0"/>
        <v>0</v>
      </c>
      <c r="G35" s="47">
        <v>1</v>
      </c>
      <c r="H35" s="24"/>
      <c r="I35" s="24"/>
      <c r="J35" s="24"/>
      <c r="K35" s="17">
        <f t="shared" si="1"/>
        <v>1</v>
      </c>
      <c r="L35" s="7">
        <f t="shared" si="2"/>
        <v>1</v>
      </c>
    </row>
    <row r="36" spans="1:12" ht="14.1" customHeight="1" thickBot="1">
      <c r="A36" s="66">
        <v>28</v>
      </c>
      <c r="B36" s="23"/>
      <c r="C36" s="24"/>
      <c r="D36" s="27"/>
      <c r="E36" s="71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4.1" customHeight="1" thickBot="1">
      <c r="A37" s="66">
        <v>29</v>
      </c>
      <c r="B37" s="23"/>
      <c r="C37" s="24"/>
      <c r="D37" s="24"/>
      <c r="E37" s="71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4.1" customHeight="1" thickBot="1">
      <c r="A38" s="66">
        <v>30</v>
      </c>
      <c r="B38" s="23"/>
      <c r="C38" s="24"/>
      <c r="D38" s="24"/>
      <c r="E38" s="71"/>
      <c r="F38" s="19">
        <f t="shared" si="0"/>
        <v>0</v>
      </c>
      <c r="G38" s="32">
        <v>1</v>
      </c>
      <c r="H38" s="24"/>
      <c r="I38" s="24"/>
      <c r="J38" s="24"/>
      <c r="K38" s="17">
        <f t="shared" si="1"/>
        <v>1</v>
      </c>
      <c r="L38" s="7">
        <f t="shared" si="2"/>
        <v>1</v>
      </c>
    </row>
    <row r="39" spans="1:12" ht="14.1" customHeight="1" thickBot="1">
      <c r="A39" s="69">
        <v>31</v>
      </c>
      <c r="B39" s="28">
        <v>1</v>
      </c>
      <c r="C39" s="29">
        <v>1</v>
      </c>
      <c r="D39" s="29"/>
      <c r="E39" s="73"/>
      <c r="F39" s="19">
        <f t="shared" si="0"/>
        <v>2</v>
      </c>
      <c r="G39" s="32"/>
      <c r="H39" s="24"/>
      <c r="I39" s="24"/>
      <c r="J39" s="24"/>
      <c r="K39" s="17">
        <f t="shared" si="1"/>
        <v>0</v>
      </c>
      <c r="L39" s="7">
        <f t="shared" si="2"/>
        <v>2</v>
      </c>
    </row>
    <row r="40" spans="1:12" ht="14.1" customHeight="1" thickBot="1">
      <c r="A40" s="10"/>
      <c r="B40" s="75">
        <f>SUM(B9:B39)</f>
        <v>10</v>
      </c>
      <c r="C40" s="75">
        <f t="shared" ref="C40:E40" si="3">SUM(C9:C39)</f>
        <v>1</v>
      </c>
      <c r="D40" s="75">
        <f t="shared" si="3"/>
        <v>4</v>
      </c>
      <c r="E40" s="75">
        <f t="shared" si="3"/>
        <v>0</v>
      </c>
      <c r="F40" s="74">
        <f>SUM(F9:F39)</f>
        <v>15</v>
      </c>
      <c r="G40" s="18">
        <f>SUM(G9:G39)</f>
        <v>21</v>
      </c>
      <c r="H40" s="18">
        <f t="shared" ref="H40:L40" si="4">SUM(H9:H39)</f>
        <v>2</v>
      </c>
      <c r="I40" s="18">
        <f t="shared" si="4"/>
        <v>0</v>
      </c>
      <c r="J40" s="18">
        <f t="shared" si="4"/>
        <v>0</v>
      </c>
      <c r="K40" s="18">
        <f t="shared" si="4"/>
        <v>23</v>
      </c>
      <c r="L40" s="18">
        <f t="shared" si="4"/>
        <v>38</v>
      </c>
    </row>
    <row r="41" spans="1:12" ht="6.75" customHeight="1" thickBot="1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>
      <c r="A42" s="95"/>
      <c r="B42" s="95"/>
      <c r="C42" s="95"/>
      <c r="D42" s="95"/>
      <c r="E42" s="95"/>
      <c r="F42" s="95"/>
      <c r="G42" s="96" t="s">
        <v>17</v>
      </c>
      <c r="H42" s="97"/>
      <c r="I42" s="97" t="s">
        <v>18</v>
      </c>
      <c r="J42" s="98"/>
      <c r="K42" s="12"/>
      <c r="L42" s="14"/>
    </row>
    <row r="43" spans="1:12" ht="15.75" thickBot="1">
      <c r="A43" s="15"/>
      <c r="B43" s="82" t="s">
        <v>19</v>
      </c>
      <c r="C43" s="83"/>
      <c r="D43" s="83"/>
      <c r="E43" s="83"/>
      <c r="F43" s="83"/>
      <c r="G43" s="93">
        <v>192</v>
      </c>
      <c r="H43" s="99"/>
      <c r="I43" s="100"/>
      <c r="J43" s="101"/>
      <c r="K43" s="12"/>
      <c r="L43" s="14"/>
    </row>
    <row r="44" spans="1:12" ht="15.75" thickBot="1">
      <c r="A44" s="15"/>
      <c r="B44" s="82" t="s">
        <v>20</v>
      </c>
      <c r="C44" s="83"/>
      <c r="D44" s="83"/>
      <c r="E44" s="83"/>
      <c r="F44" s="83"/>
      <c r="G44" s="84">
        <v>3</v>
      </c>
      <c r="H44" s="85"/>
      <c r="I44" s="84"/>
      <c r="J44" s="85"/>
      <c r="K44" s="12"/>
      <c r="L44" s="14"/>
    </row>
    <row r="45" spans="1:12" ht="15.75" thickBot="1">
      <c r="A45" s="15"/>
      <c r="B45" s="90" t="s">
        <v>21</v>
      </c>
      <c r="C45" s="90"/>
      <c r="D45" s="90"/>
      <c r="E45" s="90"/>
      <c r="F45" s="82"/>
      <c r="G45" s="91">
        <v>1</v>
      </c>
      <c r="H45" s="92"/>
      <c r="I45" s="93"/>
      <c r="J45" s="94"/>
      <c r="K45" s="12"/>
      <c r="L45" s="14"/>
    </row>
    <row r="46" spans="1:12" ht="15.75" thickBot="1">
      <c r="A46" s="15"/>
      <c r="B46" s="82" t="s">
        <v>22</v>
      </c>
      <c r="C46" s="83"/>
      <c r="D46" s="83"/>
      <c r="E46" s="83"/>
      <c r="F46" s="83"/>
      <c r="G46" s="89">
        <f>L40+G45</f>
        <v>39</v>
      </c>
      <c r="H46" s="85"/>
      <c r="I46" s="84"/>
      <c r="J46" s="85"/>
      <c r="K46" s="12"/>
      <c r="L46" s="14"/>
    </row>
    <row r="47" spans="1:12" ht="15.75" thickBot="1">
      <c r="A47" s="4"/>
      <c r="B47" s="82" t="s">
        <v>23</v>
      </c>
      <c r="C47" s="83"/>
      <c r="D47" s="83"/>
      <c r="E47" s="83"/>
      <c r="F47" s="83"/>
      <c r="G47" s="89">
        <f>G43+G44-G46</f>
        <v>156</v>
      </c>
      <c r="H47" s="85"/>
      <c r="I47" s="84"/>
      <c r="J47" s="85"/>
      <c r="K47" s="12"/>
      <c r="L47" s="3"/>
    </row>
    <row r="48" spans="1:12" ht="15.75" thickBot="1">
      <c r="A48" s="4"/>
      <c r="B48" s="82" t="s">
        <v>24</v>
      </c>
      <c r="C48" s="83"/>
      <c r="D48" s="83"/>
      <c r="E48" s="83"/>
      <c r="F48" s="83"/>
      <c r="G48" s="84">
        <v>63</v>
      </c>
      <c r="H48" s="85"/>
      <c r="I48" s="84"/>
      <c r="J48" s="85"/>
      <c r="K48" s="12"/>
      <c r="L48" s="3"/>
    </row>
    <row r="49" spans="1:12" ht="15.75" thickBot="1">
      <c r="A49" s="4"/>
      <c r="B49" s="82" t="s">
        <v>25</v>
      </c>
      <c r="C49" s="83"/>
      <c r="D49" s="83"/>
      <c r="E49" s="83"/>
      <c r="F49" s="83"/>
      <c r="G49" s="86">
        <f>G47-G48</f>
        <v>93</v>
      </c>
      <c r="H49" s="87"/>
      <c r="I49" s="88"/>
      <c r="J49" s="87"/>
      <c r="K49" s="12"/>
      <c r="L49" s="3"/>
    </row>
    <row r="50" spans="1:12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>
      <c r="B52" t="s">
        <v>53</v>
      </c>
    </row>
    <row r="53" spans="1:12">
      <c r="B53" t="s">
        <v>54</v>
      </c>
    </row>
    <row r="54" spans="1:12">
      <c r="B54" t="s">
        <v>55</v>
      </c>
    </row>
    <row r="55" spans="1:12">
      <c r="B55" t="s">
        <v>56</v>
      </c>
    </row>
    <row r="56" spans="1:12">
      <c r="B56" t="s">
        <v>57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paperSize="9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7"/>
  <sheetViews>
    <sheetView topLeftCell="A34" workbookViewId="0">
      <selection activeCell="A5" sqref="A5:L5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2" t="s">
        <v>0</v>
      </c>
      <c r="B1" s="102"/>
      <c r="C1" s="102"/>
      <c r="D1" s="102"/>
      <c r="E1" s="37"/>
      <c r="F1" s="38"/>
      <c r="G1" s="103" t="s">
        <v>1</v>
      </c>
      <c r="H1" s="103"/>
      <c r="I1" s="103"/>
      <c r="J1" s="103"/>
      <c r="K1" s="103"/>
      <c r="L1" s="103"/>
    </row>
    <row r="2" spans="1:12" ht="15.75">
      <c r="A2" s="103" t="s">
        <v>2</v>
      </c>
      <c r="B2" s="103"/>
      <c r="C2" s="103"/>
      <c r="D2" s="103"/>
      <c r="E2" s="37"/>
      <c r="F2" s="38"/>
      <c r="G2" s="114" t="s">
        <v>3</v>
      </c>
      <c r="H2" s="114"/>
      <c r="I2" s="114"/>
      <c r="J2" s="114"/>
      <c r="K2" s="114"/>
      <c r="L2" s="114"/>
    </row>
    <row r="3" spans="1:12">
      <c r="A3" s="114" t="s">
        <v>4</v>
      </c>
      <c r="B3" s="114"/>
      <c r="C3" s="114"/>
      <c r="D3" s="114"/>
      <c r="E3" s="37"/>
      <c r="F3" s="38"/>
      <c r="G3" s="38"/>
      <c r="H3" s="37"/>
      <c r="I3" s="37"/>
      <c r="J3" s="37"/>
      <c r="K3" s="38"/>
      <c r="L3" s="1"/>
    </row>
    <row r="4" spans="1:12" ht="18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5.75">
      <c r="A5" s="103" t="s">
        <v>61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2.25" customHeight="1" thickBot="1">
      <c r="A6" s="2" t="s">
        <v>6</v>
      </c>
      <c r="B6" s="12"/>
      <c r="C6" s="13"/>
      <c r="D6" s="13"/>
      <c r="E6" s="13"/>
      <c r="F6" s="12"/>
      <c r="G6" s="12"/>
      <c r="H6" s="105"/>
      <c r="I6" s="105"/>
      <c r="J6" s="13"/>
      <c r="K6" s="39"/>
      <c r="L6" s="3"/>
    </row>
    <row r="7" spans="1:12" ht="14.1" customHeight="1">
      <c r="A7" s="106" t="s">
        <v>7</v>
      </c>
      <c r="B7" s="108" t="s">
        <v>8</v>
      </c>
      <c r="C7" s="109"/>
      <c r="D7" s="109"/>
      <c r="E7" s="109"/>
      <c r="F7" s="110"/>
      <c r="G7" s="111" t="s">
        <v>9</v>
      </c>
      <c r="H7" s="109"/>
      <c r="I7" s="109"/>
      <c r="J7" s="109"/>
      <c r="K7" s="110"/>
      <c r="L7" s="112" t="s">
        <v>10</v>
      </c>
    </row>
    <row r="8" spans="1:12" ht="14.1" customHeight="1" thickBot="1">
      <c r="A8" s="10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13"/>
    </row>
    <row r="9" spans="1:12" ht="14.1" customHeight="1" thickBot="1">
      <c r="A9" s="68">
        <v>1</v>
      </c>
      <c r="B9" s="20"/>
      <c r="C9" s="21"/>
      <c r="D9" s="21"/>
      <c r="E9" s="70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4.1" customHeight="1" thickBot="1">
      <c r="A10" s="66">
        <v>2</v>
      </c>
      <c r="B10" s="23"/>
      <c r="C10" s="24"/>
      <c r="D10" s="24"/>
      <c r="E10" s="71"/>
      <c r="F10" s="19">
        <f t="shared" ref="F10:F39" si="0">SUM(B10:E10)</f>
        <v>0</v>
      </c>
      <c r="G10" s="32"/>
      <c r="H10" s="27">
        <v>2</v>
      </c>
      <c r="I10" s="24"/>
      <c r="J10" s="24"/>
      <c r="K10" s="17">
        <f t="shared" ref="K10:K39" si="1">SUM(G10:J10)</f>
        <v>2</v>
      </c>
      <c r="L10" s="7">
        <f t="shared" ref="L10:L39" si="2">SUM(F10+K10)</f>
        <v>2</v>
      </c>
    </row>
    <row r="11" spans="1:12" ht="14.1" customHeight="1" thickBot="1">
      <c r="A11" s="66">
        <v>3</v>
      </c>
      <c r="B11" s="23"/>
      <c r="C11" s="24"/>
      <c r="D11" s="24"/>
      <c r="E11" s="72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4.1" customHeight="1" thickBot="1">
      <c r="A12" s="66">
        <v>4</v>
      </c>
      <c r="B12" s="23"/>
      <c r="C12" s="24"/>
      <c r="D12" s="24"/>
      <c r="E12" s="71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4.1" customHeight="1" thickBot="1">
      <c r="A13" s="66">
        <v>5</v>
      </c>
      <c r="B13" s="23"/>
      <c r="C13" s="24"/>
      <c r="D13" s="24"/>
      <c r="E13" s="71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4.1" customHeight="1" thickBot="1">
      <c r="A14" s="66">
        <v>6</v>
      </c>
      <c r="B14" s="23"/>
      <c r="C14" s="24"/>
      <c r="D14" s="24"/>
      <c r="E14" s="71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4.1" customHeight="1" thickBot="1">
      <c r="A15" s="66">
        <v>7</v>
      </c>
      <c r="B15" s="23"/>
      <c r="C15" s="24"/>
      <c r="D15" s="24"/>
      <c r="E15" s="71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4.1" customHeight="1" thickBot="1">
      <c r="A16" s="66">
        <v>8</v>
      </c>
      <c r="B16" s="23"/>
      <c r="C16" s="24"/>
      <c r="D16" s="24"/>
      <c r="E16" s="71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4.1" customHeight="1" thickBot="1">
      <c r="A17" s="66">
        <v>9</v>
      </c>
      <c r="B17" s="23">
        <v>3</v>
      </c>
      <c r="C17" s="24"/>
      <c r="D17" s="24"/>
      <c r="E17" s="71"/>
      <c r="F17" s="19">
        <f t="shared" si="0"/>
        <v>3</v>
      </c>
      <c r="G17" s="32"/>
      <c r="H17" s="24"/>
      <c r="I17" s="24"/>
      <c r="J17" s="24"/>
      <c r="K17" s="17">
        <f t="shared" si="1"/>
        <v>0</v>
      </c>
      <c r="L17" s="7">
        <f t="shared" si="2"/>
        <v>3</v>
      </c>
    </row>
    <row r="18" spans="1:12" ht="14.1" customHeight="1" thickBot="1">
      <c r="A18" s="66">
        <v>10</v>
      </c>
      <c r="B18" s="23">
        <v>1</v>
      </c>
      <c r="C18" s="24"/>
      <c r="D18" s="24"/>
      <c r="E18" s="71"/>
      <c r="F18" s="19">
        <f t="shared" si="0"/>
        <v>1</v>
      </c>
      <c r="G18" s="34">
        <v>1</v>
      </c>
      <c r="H18" s="24"/>
      <c r="I18" s="24"/>
      <c r="J18" s="24"/>
      <c r="K18" s="17">
        <f t="shared" si="1"/>
        <v>1</v>
      </c>
      <c r="L18" s="7">
        <f t="shared" si="2"/>
        <v>2</v>
      </c>
    </row>
    <row r="19" spans="1:12" ht="14.1" customHeight="1" thickBot="1">
      <c r="A19" s="66">
        <v>11</v>
      </c>
      <c r="B19" s="23"/>
      <c r="C19" s="24"/>
      <c r="D19" s="24"/>
      <c r="E19" s="71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4.1" customHeight="1" thickBot="1">
      <c r="A20" s="66">
        <v>12</v>
      </c>
      <c r="B20" s="23"/>
      <c r="C20" s="24"/>
      <c r="D20" s="24"/>
      <c r="E20" s="71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4.1" customHeight="1" thickBot="1">
      <c r="A21" s="66">
        <v>13</v>
      </c>
      <c r="B21" s="23">
        <v>2</v>
      </c>
      <c r="C21" s="24"/>
      <c r="D21" s="24"/>
      <c r="E21" s="71"/>
      <c r="F21" s="19">
        <f t="shared" si="0"/>
        <v>2</v>
      </c>
      <c r="G21" s="36"/>
      <c r="H21" s="24"/>
      <c r="I21" s="24"/>
      <c r="J21" s="24"/>
      <c r="K21" s="17">
        <f t="shared" si="1"/>
        <v>0</v>
      </c>
      <c r="L21" s="7">
        <f t="shared" si="2"/>
        <v>2</v>
      </c>
    </row>
    <row r="22" spans="1:12" ht="14.1" customHeight="1" thickBot="1">
      <c r="A22" s="66">
        <v>14</v>
      </c>
      <c r="B22" s="23">
        <v>3</v>
      </c>
      <c r="C22" s="24"/>
      <c r="D22" s="24"/>
      <c r="E22" s="71"/>
      <c r="F22" s="19">
        <f t="shared" si="0"/>
        <v>3</v>
      </c>
      <c r="G22" s="36">
        <v>1</v>
      </c>
      <c r="H22" s="24"/>
      <c r="I22" s="24"/>
      <c r="J22" s="24"/>
      <c r="K22" s="17">
        <f t="shared" si="1"/>
        <v>1</v>
      </c>
      <c r="L22" s="7">
        <f t="shared" si="2"/>
        <v>4</v>
      </c>
    </row>
    <row r="23" spans="1:12" ht="14.1" customHeight="1" thickBot="1">
      <c r="A23" s="66">
        <v>15</v>
      </c>
      <c r="B23" s="23">
        <v>1</v>
      </c>
      <c r="C23" s="24"/>
      <c r="D23" s="24"/>
      <c r="E23" s="71"/>
      <c r="F23" s="19">
        <f t="shared" si="0"/>
        <v>1</v>
      </c>
      <c r="G23" s="32">
        <v>3</v>
      </c>
      <c r="H23" s="24"/>
      <c r="I23" s="24"/>
      <c r="J23" s="24"/>
      <c r="K23" s="17">
        <f t="shared" si="1"/>
        <v>3</v>
      </c>
      <c r="L23" s="7">
        <f t="shared" si="2"/>
        <v>4</v>
      </c>
    </row>
    <row r="24" spans="1:12" ht="14.1" customHeight="1" thickBot="1">
      <c r="A24" s="66">
        <v>16</v>
      </c>
      <c r="B24" s="23"/>
      <c r="C24" s="24"/>
      <c r="D24" s="24"/>
      <c r="E24" s="71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4.1" customHeight="1" thickBot="1">
      <c r="A25" s="66">
        <v>17</v>
      </c>
      <c r="B25" s="23">
        <v>5</v>
      </c>
      <c r="C25" s="67"/>
      <c r="D25" s="27"/>
      <c r="E25" s="71"/>
      <c r="F25" s="19">
        <f t="shared" si="0"/>
        <v>5</v>
      </c>
      <c r="G25" s="32"/>
      <c r="H25" s="24"/>
      <c r="I25" s="24"/>
      <c r="J25" s="24"/>
      <c r="K25" s="17">
        <f t="shared" si="1"/>
        <v>0</v>
      </c>
      <c r="L25" s="7">
        <f t="shared" si="2"/>
        <v>5</v>
      </c>
    </row>
    <row r="26" spans="1:12" ht="14.1" customHeight="1" thickBot="1">
      <c r="A26" s="66">
        <v>18</v>
      </c>
      <c r="B26" s="23"/>
      <c r="C26" s="24"/>
      <c r="D26" s="24"/>
      <c r="E26" s="71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4.1" customHeight="1" thickBot="1">
      <c r="A27" s="66">
        <v>19</v>
      </c>
      <c r="B27" s="23"/>
      <c r="C27" s="24"/>
      <c r="D27" s="24"/>
      <c r="E27" s="71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4.1" customHeight="1" thickBot="1">
      <c r="A28" s="66">
        <v>20</v>
      </c>
      <c r="B28" s="23"/>
      <c r="C28" s="24"/>
      <c r="D28" s="24"/>
      <c r="E28" s="71"/>
      <c r="F28" s="19">
        <f t="shared" si="0"/>
        <v>0</v>
      </c>
      <c r="G28" s="32">
        <v>5</v>
      </c>
      <c r="H28" s="24"/>
      <c r="I28" s="24"/>
      <c r="J28" s="24"/>
      <c r="K28" s="17">
        <f t="shared" si="1"/>
        <v>5</v>
      </c>
      <c r="L28" s="7">
        <f t="shared" si="2"/>
        <v>5</v>
      </c>
    </row>
    <row r="29" spans="1:12" ht="14.1" customHeight="1" thickBot="1">
      <c r="A29" s="66">
        <v>21</v>
      </c>
      <c r="B29" s="23"/>
      <c r="C29" s="24"/>
      <c r="D29" s="24"/>
      <c r="E29" s="71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4.1" customHeight="1" thickBot="1">
      <c r="A30" s="66">
        <v>22</v>
      </c>
      <c r="B30" s="23"/>
      <c r="C30" s="24"/>
      <c r="D30" s="24"/>
      <c r="E30" s="71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4.1" customHeight="1" thickBot="1">
      <c r="A31" s="66">
        <v>23</v>
      </c>
      <c r="B31" s="23"/>
      <c r="C31" s="24"/>
      <c r="D31" s="24"/>
      <c r="E31" s="71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4.1" customHeight="1" thickBot="1">
      <c r="A32" s="66">
        <v>24</v>
      </c>
      <c r="B32" s="23"/>
      <c r="C32" s="24"/>
      <c r="D32" s="24"/>
      <c r="E32" s="71"/>
      <c r="F32" s="19">
        <f t="shared" si="0"/>
        <v>0</v>
      </c>
      <c r="G32" s="32">
        <v>1</v>
      </c>
      <c r="H32" s="24"/>
      <c r="I32" s="24"/>
      <c r="J32" s="24"/>
      <c r="K32" s="17">
        <f t="shared" si="1"/>
        <v>1</v>
      </c>
      <c r="L32" s="7">
        <f t="shared" si="2"/>
        <v>1</v>
      </c>
    </row>
    <row r="33" spans="1:12" ht="14.1" customHeight="1" thickBot="1">
      <c r="A33" s="66">
        <v>25</v>
      </c>
      <c r="B33" s="23"/>
      <c r="C33" s="24"/>
      <c r="D33" s="24"/>
      <c r="E33" s="71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4.1" customHeight="1" thickBot="1">
      <c r="A34" s="66">
        <v>26</v>
      </c>
      <c r="B34" s="23"/>
      <c r="C34" s="24"/>
      <c r="D34" s="24"/>
      <c r="E34" s="71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4.1" customHeight="1" thickBot="1">
      <c r="A35" s="66">
        <v>27</v>
      </c>
      <c r="B35" s="23">
        <v>3</v>
      </c>
      <c r="C35" s="24"/>
      <c r="D35" s="24"/>
      <c r="E35" s="71"/>
      <c r="F35" s="19">
        <f t="shared" si="0"/>
        <v>3</v>
      </c>
      <c r="G35" s="47"/>
      <c r="H35" s="24"/>
      <c r="I35" s="24"/>
      <c r="J35" s="24"/>
      <c r="K35" s="17">
        <f t="shared" si="1"/>
        <v>0</v>
      </c>
      <c r="L35" s="7">
        <f t="shared" si="2"/>
        <v>3</v>
      </c>
    </row>
    <row r="36" spans="1:12" ht="14.1" customHeight="1" thickBot="1">
      <c r="A36" s="66">
        <v>28</v>
      </c>
      <c r="B36" s="23"/>
      <c r="C36" s="24"/>
      <c r="D36" s="27"/>
      <c r="E36" s="72">
        <v>1</v>
      </c>
      <c r="F36" s="19">
        <f t="shared" si="0"/>
        <v>1</v>
      </c>
      <c r="G36" s="32"/>
      <c r="H36" s="24"/>
      <c r="I36" s="24"/>
      <c r="J36" s="24"/>
      <c r="K36" s="17">
        <f t="shared" si="1"/>
        <v>0</v>
      </c>
      <c r="L36" s="7">
        <f t="shared" si="2"/>
        <v>1</v>
      </c>
    </row>
    <row r="37" spans="1:12" ht="14.1" customHeight="1" thickBot="1">
      <c r="A37" s="66">
        <v>29</v>
      </c>
      <c r="B37" s="23">
        <v>1</v>
      </c>
      <c r="C37" s="24"/>
      <c r="D37" s="24"/>
      <c r="E37" s="71"/>
      <c r="F37" s="19">
        <f t="shared" si="0"/>
        <v>1</v>
      </c>
      <c r="G37" s="32"/>
      <c r="H37" s="24"/>
      <c r="I37" s="24"/>
      <c r="J37" s="24"/>
      <c r="K37" s="17">
        <f t="shared" si="1"/>
        <v>0</v>
      </c>
      <c r="L37" s="7">
        <f t="shared" si="2"/>
        <v>1</v>
      </c>
    </row>
    <row r="38" spans="1:12" ht="14.1" customHeight="1" thickBot="1">
      <c r="A38" s="66">
        <v>30</v>
      </c>
      <c r="B38" s="23">
        <v>2</v>
      </c>
      <c r="C38" s="24"/>
      <c r="D38" s="24"/>
      <c r="E38" s="71"/>
      <c r="F38" s="19">
        <f t="shared" si="0"/>
        <v>2</v>
      </c>
      <c r="G38" s="32"/>
      <c r="H38" s="24"/>
      <c r="I38" s="24"/>
      <c r="J38" s="24"/>
      <c r="K38" s="17">
        <f t="shared" si="1"/>
        <v>0</v>
      </c>
      <c r="L38" s="7">
        <f t="shared" si="2"/>
        <v>2</v>
      </c>
    </row>
    <row r="39" spans="1:12" ht="14.1" customHeight="1" thickBot="1">
      <c r="A39" s="69">
        <v>31</v>
      </c>
      <c r="B39" s="28"/>
      <c r="C39" s="29"/>
      <c r="D39" s="29"/>
      <c r="E39" s="73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4.1" customHeight="1" thickBot="1">
      <c r="A40" s="10"/>
      <c r="B40" s="77">
        <f>SUM(B9:B39)</f>
        <v>21</v>
      </c>
      <c r="C40" s="77">
        <f t="shared" ref="C40:E40" si="3">SUM(C9:C39)</f>
        <v>0</v>
      </c>
      <c r="D40" s="77">
        <f t="shared" si="3"/>
        <v>0</v>
      </c>
      <c r="E40" s="77">
        <f t="shared" si="3"/>
        <v>1</v>
      </c>
      <c r="F40" s="76">
        <f>SUM(F9:F39)</f>
        <v>22</v>
      </c>
      <c r="G40" s="18">
        <f>SUM(G9:G39)</f>
        <v>11</v>
      </c>
      <c r="H40" s="18">
        <f t="shared" ref="H40:L40" si="4">SUM(H9:H39)</f>
        <v>2</v>
      </c>
      <c r="I40" s="18">
        <f t="shared" si="4"/>
        <v>0</v>
      </c>
      <c r="J40" s="18">
        <f t="shared" si="4"/>
        <v>0</v>
      </c>
      <c r="K40" s="18">
        <f t="shared" si="4"/>
        <v>13</v>
      </c>
      <c r="L40" s="18">
        <f t="shared" si="4"/>
        <v>35</v>
      </c>
    </row>
    <row r="41" spans="1:12" ht="6.75" customHeight="1" thickBot="1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>
      <c r="A42" s="95"/>
      <c r="B42" s="95"/>
      <c r="C42" s="95"/>
      <c r="D42" s="95"/>
      <c r="E42" s="95"/>
      <c r="F42" s="95"/>
      <c r="G42" s="96" t="s">
        <v>17</v>
      </c>
      <c r="H42" s="97"/>
      <c r="I42" s="97" t="s">
        <v>18</v>
      </c>
      <c r="J42" s="98"/>
      <c r="K42" s="12"/>
      <c r="L42" s="14"/>
    </row>
    <row r="43" spans="1:12" ht="15.75" thickBot="1">
      <c r="A43" s="15"/>
      <c r="B43" s="82" t="s">
        <v>19</v>
      </c>
      <c r="C43" s="83"/>
      <c r="D43" s="83"/>
      <c r="E43" s="83"/>
      <c r="F43" s="83"/>
      <c r="G43" s="93">
        <v>63</v>
      </c>
      <c r="H43" s="99"/>
      <c r="I43" s="100"/>
      <c r="J43" s="101"/>
      <c r="K43" s="12"/>
      <c r="L43" s="14"/>
    </row>
    <row r="44" spans="1:12" ht="15.75" thickBot="1">
      <c r="A44" s="15"/>
      <c r="B44" s="82" t="s">
        <v>20</v>
      </c>
      <c r="C44" s="83"/>
      <c r="D44" s="83"/>
      <c r="E44" s="83"/>
      <c r="F44" s="83"/>
      <c r="G44" s="84">
        <v>204</v>
      </c>
      <c r="H44" s="85"/>
      <c r="I44" s="84"/>
      <c r="J44" s="85"/>
      <c r="K44" s="12"/>
      <c r="L44" s="14"/>
    </row>
    <row r="45" spans="1:12" ht="15.75" thickBot="1">
      <c r="A45" s="15"/>
      <c r="B45" s="90" t="s">
        <v>21</v>
      </c>
      <c r="C45" s="90"/>
      <c r="D45" s="90"/>
      <c r="E45" s="90"/>
      <c r="F45" s="82"/>
      <c r="G45" s="91">
        <v>70</v>
      </c>
      <c r="H45" s="92"/>
      <c r="I45" s="93"/>
      <c r="J45" s="94"/>
      <c r="K45" s="12"/>
      <c r="L45" s="14"/>
    </row>
    <row r="46" spans="1:12" ht="15.75" thickBot="1">
      <c r="A46" s="15"/>
      <c r="B46" s="82" t="s">
        <v>22</v>
      </c>
      <c r="C46" s="83"/>
      <c r="D46" s="83"/>
      <c r="E46" s="83"/>
      <c r="F46" s="83"/>
      <c r="G46" s="89">
        <f>L40+G45</f>
        <v>105</v>
      </c>
      <c r="H46" s="85"/>
      <c r="I46" s="84"/>
      <c r="J46" s="85"/>
      <c r="K46" s="12"/>
      <c r="L46" s="14"/>
    </row>
    <row r="47" spans="1:12" ht="15.75" thickBot="1">
      <c r="A47" s="4"/>
      <c r="B47" s="82" t="s">
        <v>23</v>
      </c>
      <c r="C47" s="83"/>
      <c r="D47" s="83"/>
      <c r="E47" s="83"/>
      <c r="F47" s="83"/>
      <c r="G47" s="89">
        <f>G43+G44-G46</f>
        <v>162</v>
      </c>
      <c r="H47" s="85"/>
      <c r="I47" s="84"/>
      <c r="J47" s="85"/>
      <c r="K47" s="12"/>
      <c r="L47" s="3"/>
    </row>
    <row r="48" spans="1:12" ht="15.75" thickBot="1">
      <c r="A48" s="4"/>
      <c r="B48" s="82" t="s">
        <v>24</v>
      </c>
      <c r="C48" s="83"/>
      <c r="D48" s="83"/>
      <c r="E48" s="83"/>
      <c r="F48" s="83"/>
      <c r="G48" s="84">
        <v>51</v>
      </c>
      <c r="H48" s="85"/>
      <c r="I48" s="84"/>
      <c r="J48" s="85"/>
      <c r="K48" s="12"/>
      <c r="L48" s="3"/>
    </row>
    <row r="49" spans="1:12" ht="15.75" thickBot="1">
      <c r="A49" s="4"/>
      <c r="B49" s="82" t="s">
        <v>25</v>
      </c>
      <c r="C49" s="83"/>
      <c r="D49" s="83"/>
      <c r="E49" s="83"/>
      <c r="F49" s="83"/>
      <c r="G49" s="86">
        <f>G47-G48</f>
        <v>111</v>
      </c>
      <c r="H49" s="87"/>
      <c r="I49" s="88"/>
      <c r="J49" s="87"/>
      <c r="K49" s="12"/>
      <c r="L49" s="3"/>
    </row>
    <row r="50" spans="1:12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>
      <c r="B52" s="78" t="s">
        <v>63</v>
      </c>
    </row>
    <row r="53" spans="1:12">
      <c r="B53" s="81" t="s">
        <v>62</v>
      </c>
    </row>
    <row r="54" spans="1:12">
      <c r="B54" s="81" t="s">
        <v>51</v>
      </c>
    </row>
    <row r="55" spans="1:12">
      <c r="B55" s="81" t="s">
        <v>58</v>
      </c>
    </row>
    <row r="56" spans="1:12">
      <c r="B56" s="81" t="s">
        <v>59</v>
      </c>
    </row>
    <row r="57" spans="1:12">
      <c r="B57" s="81" t="s">
        <v>60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paperSize="9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57"/>
  <sheetViews>
    <sheetView tabSelected="1" topLeftCell="A31" workbookViewId="0">
      <selection activeCell="B53" sqref="B53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102" t="s">
        <v>0</v>
      </c>
      <c r="B1" s="102"/>
      <c r="C1" s="102"/>
      <c r="D1" s="102"/>
      <c r="E1" s="37"/>
      <c r="F1" s="38"/>
      <c r="G1" s="103" t="s">
        <v>1</v>
      </c>
      <c r="H1" s="103"/>
      <c r="I1" s="103"/>
      <c r="J1" s="103"/>
      <c r="K1" s="103"/>
      <c r="L1" s="103"/>
    </row>
    <row r="2" spans="1:12" ht="15.75">
      <c r="A2" s="103" t="s">
        <v>2</v>
      </c>
      <c r="B2" s="103"/>
      <c r="C2" s="103"/>
      <c r="D2" s="103"/>
      <c r="E2" s="37"/>
      <c r="F2" s="38"/>
      <c r="G2" s="114" t="s">
        <v>3</v>
      </c>
      <c r="H2" s="114"/>
      <c r="I2" s="114"/>
      <c r="J2" s="114"/>
      <c r="K2" s="114"/>
      <c r="L2" s="114"/>
    </row>
    <row r="3" spans="1:12">
      <c r="A3" s="114" t="s">
        <v>4</v>
      </c>
      <c r="B3" s="114"/>
      <c r="C3" s="114"/>
      <c r="D3" s="114"/>
      <c r="E3" s="37"/>
      <c r="F3" s="38"/>
      <c r="G3" s="38"/>
      <c r="H3" s="37"/>
      <c r="I3" s="37"/>
      <c r="J3" s="37"/>
      <c r="K3" s="38"/>
      <c r="L3" s="1"/>
    </row>
    <row r="4" spans="1:12" ht="18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5.75">
      <c r="A5" s="103" t="s">
        <v>64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2.25" customHeight="1" thickBot="1">
      <c r="A6" s="2" t="s">
        <v>6</v>
      </c>
      <c r="B6" s="12"/>
      <c r="C6" s="13"/>
      <c r="D6" s="13"/>
      <c r="E6" s="13"/>
      <c r="F6" s="12"/>
      <c r="G6" s="12"/>
      <c r="H6" s="105"/>
      <c r="I6" s="105"/>
      <c r="J6" s="13"/>
      <c r="K6" s="39"/>
      <c r="L6" s="3"/>
    </row>
    <row r="7" spans="1:12" ht="14.1" customHeight="1">
      <c r="A7" s="106" t="s">
        <v>7</v>
      </c>
      <c r="B7" s="108" t="s">
        <v>8</v>
      </c>
      <c r="C7" s="109"/>
      <c r="D7" s="109"/>
      <c r="E7" s="109"/>
      <c r="F7" s="110"/>
      <c r="G7" s="111" t="s">
        <v>9</v>
      </c>
      <c r="H7" s="109"/>
      <c r="I7" s="109"/>
      <c r="J7" s="109"/>
      <c r="K7" s="110"/>
      <c r="L7" s="112" t="s">
        <v>10</v>
      </c>
    </row>
    <row r="8" spans="1:12" ht="14.1" customHeight="1" thickBot="1">
      <c r="A8" s="10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13"/>
    </row>
    <row r="9" spans="1:12" ht="14.1" customHeight="1" thickBot="1">
      <c r="A9" s="68">
        <v>1</v>
      </c>
      <c r="B9" s="20">
        <v>1</v>
      </c>
      <c r="C9" s="21"/>
      <c r="D9" s="21"/>
      <c r="E9" s="70"/>
      <c r="F9" s="19">
        <f>SUM(B9:E9)</f>
        <v>1</v>
      </c>
      <c r="G9" s="48"/>
      <c r="H9" s="31"/>
      <c r="I9" s="31"/>
      <c r="J9" s="31"/>
      <c r="K9" s="17">
        <f>SUM(G9:J9)</f>
        <v>0</v>
      </c>
      <c r="L9" s="7">
        <f>SUM(F9+K9)</f>
        <v>1</v>
      </c>
    </row>
    <row r="10" spans="1:12" ht="14.1" customHeight="1" thickBot="1">
      <c r="A10" s="66">
        <v>2</v>
      </c>
      <c r="B10" s="23"/>
      <c r="C10" s="24"/>
      <c r="D10" s="24"/>
      <c r="E10" s="71"/>
      <c r="F10" s="19">
        <f t="shared" ref="F10:F39" si="0">SUM(B10:E10)</f>
        <v>0</v>
      </c>
      <c r="G10" s="32"/>
      <c r="H10" s="27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4.1" customHeight="1" thickBot="1">
      <c r="A11" s="66">
        <v>3</v>
      </c>
      <c r="B11" s="23"/>
      <c r="C11" s="24"/>
      <c r="D11" s="24"/>
      <c r="E11" s="72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4.1" customHeight="1" thickBot="1">
      <c r="A12" s="66">
        <v>4</v>
      </c>
      <c r="B12" s="23">
        <v>1</v>
      </c>
      <c r="C12" s="24"/>
      <c r="D12" s="24"/>
      <c r="E12" s="71"/>
      <c r="F12" s="19">
        <f t="shared" si="0"/>
        <v>1</v>
      </c>
      <c r="G12" s="33"/>
      <c r="H12" s="24"/>
      <c r="I12" s="24"/>
      <c r="J12" s="24"/>
      <c r="K12" s="17">
        <f t="shared" si="1"/>
        <v>0</v>
      </c>
      <c r="L12" s="7">
        <f t="shared" si="2"/>
        <v>1</v>
      </c>
    </row>
    <row r="13" spans="1:12" ht="14.1" customHeight="1" thickBot="1">
      <c r="A13" s="66">
        <v>5</v>
      </c>
      <c r="B13" s="23">
        <v>3</v>
      </c>
      <c r="C13" s="24"/>
      <c r="D13" s="24"/>
      <c r="E13" s="71"/>
      <c r="F13" s="19">
        <f t="shared" si="0"/>
        <v>3</v>
      </c>
      <c r="G13" s="32"/>
      <c r="H13" s="24"/>
      <c r="I13" s="24"/>
      <c r="J13" s="24"/>
      <c r="K13" s="17">
        <f t="shared" si="1"/>
        <v>0</v>
      </c>
      <c r="L13" s="7">
        <f t="shared" si="2"/>
        <v>3</v>
      </c>
    </row>
    <row r="14" spans="1:12" ht="14.1" customHeight="1" thickBot="1">
      <c r="A14" s="66">
        <v>6</v>
      </c>
      <c r="B14" s="23">
        <v>2</v>
      </c>
      <c r="C14" s="24"/>
      <c r="D14" s="24"/>
      <c r="E14" s="71"/>
      <c r="F14" s="19">
        <f t="shared" si="0"/>
        <v>2</v>
      </c>
      <c r="G14" s="32"/>
      <c r="H14" s="24"/>
      <c r="I14" s="24"/>
      <c r="J14" s="24"/>
      <c r="K14" s="17">
        <f t="shared" si="1"/>
        <v>0</v>
      </c>
      <c r="L14" s="7">
        <f t="shared" si="2"/>
        <v>2</v>
      </c>
    </row>
    <row r="15" spans="1:12" ht="14.1" customHeight="1" thickBot="1">
      <c r="A15" s="66">
        <v>7</v>
      </c>
      <c r="B15" s="23"/>
      <c r="C15" s="24">
        <v>1</v>
      </c>
      <c r="D15" s="24"/>
      <c r="E15" s="71"/>
      <c r="F15" s="19">
        <f t="shared" si="0"/>
        <v>1</v>
      </c>
      <c r="G15" s="32"/>
      <c r="H15" s="24"/>
      <c r="I15" s="24"/>
      <c r="J15" s="24"/>
      <c r="K15" s="17">
        <f t="shared" si="1"/>
        <v>0</v>
      </c>
      <c r="L15" s="7">
        <f t="shared" si="2"/>
        <v>1</v>
      </c>
    </row>
    <row r="16" spans="1:12" ht="14.1" customHeight="1" thickBot="1">
      <c r="A16" s="66">
        <v>8</v>
      </c>
      <c r="B16" s="23">
        <v>3</v>
      </c>
      <c r="C16" s="24"/>
      <c r="D16" s="24">
        <v>2</v>
      </c>
      <c r="E16" s="71"/>
      <c r="F16" s="19">
        <f t="shared" si="0"/>
        <v>5</v>
      </c>
      <c r="G16" s="32"/>
      <c r="H16" s="24"/>
      <c r="I16" s="24"/>
      <c r="J16" s="24"/>
      <c r="K16" s="17">
        <f t="shared" si="1"/>
        <v>0</v>
      </c>
      <c r="L16" s="7">
        <f t="shared" si="2"/>
        <v>5</v>
      </c>
    </row>
    <row r="17" spans="1:12" ht="14.1" customHeight="1" thickBot="1">
      <c r="A17" s="66">
        <v>9</v>
      </c>
      <c r="B17" s="23"/>
      <c r="C17" s="24"/>
      <c r="D17" s="24"/>
      <c r="E17" s="71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4.1" customHeight="1" thickBot="1">
      <c r="A18" s="66">
        <v>10</v>
      </c>
      <c r="B18" s="23"/>
      <c r="C18" s="24"/>
      <c r="D18" s="24"/>
      <c r="E18" s="71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4.1" customHeight="1" thickBot="1">
      <c r="A19" s="66">
        <v>11</v>
      </c>
      <c r="B19" s="23">
        <v>1</v>
      </c>
      <c r="C19" s="24"/>
      <c r="D19" s="24"/>
      <c r="E19" s="71"/>
      <c r="F19" s="19">
        <f t="shared" si="0"/>
        <v>1</v>
      </c>
      <c r="G19" s="32">
        <v>1</v>
      </c>
      <c r="H19" s="24"/>
      <c r="I19" s="24"/>
      <c r="J19" s="24"/>
      <c r="K19" s="17">
        <f t="shared" si="1"/>
        <v>1</v>
      </c>
      <c r="L19" s="7">
        <f t="shared" si="2"/>
        <v>2</v>
      </c>
    </row>
    <row r="20" spans="1:12" ht="14.1" customHeight="1" thickBot="1">
      <c r="A20" s="66">
        <v>12</v>
      </c>
      <c r="B20" s="23"/>
      <c r="C20" s="24"/>
      <c r="D20" s="24"/>
      <c r="E20" s="71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4.1" customHeight="1" thickBot="1">
      <c r="A21" s="66">
        <v>13</v>
      </c>
      <c r="B21" s="23">
        <v>2</v>
      </c>
      <c r="C21" s="24"/>
      <c r="D21" s="24"/>
      <c r="E21" s="71"/>
      <c r="F21" s="19">
        <f t="shared" si="0"/>
        <v>2</v>
      </c>
      <c r="G21" s="36"/>
      <c r="H21" s="24"/>
      <c r="I21" s="24"/>
      <c r="J21" s="24"/>
      <c r="K21" s="17">
        <f t="shared" si="1"/>
        <v>0</v>
      </c>
      <c r="L21" s="7">
        <f t="shared" si="2"/>
        <v>2</v>
      </c>
    </row>
    <row r="22" spans="1:12" ht="14.1" customHeight="1" thickBot="1">
      <c r="A22" s="66">
        <v>14</v>
      </c>
      <c r="B22" s="23">
        <v>1</v>
      </c>
      <c r="C22" s="24"/>
      <c r="D22" s="24"/>
      <c r="E22" s="71"/>
      <c r="F22" s="19">
        <f t="shared" si="0"/>
        <v>1</v>
      </c>
      <c r="G22" s="36"/>
      <c r="H22" s="24"/>
      <c r="I22" s="24"/>
      <c r="J22" s="24"/>
      <c r="K22" s="17">
        <f t="shared" si="1"/>
        <v>0</v>
      </c>
      <c r="L22" s="7">
        <f t="shared" si="2"/>
        <v>1</v>
      </c>
    </row>
    <row r="23" spans="1:12" ht="14.1" customHeight="1" thickBot="1">
      <c r="A23" s="66">
        <v>15</v>
      </c>
      <c r="B23" s="23"/>
      <c r="C23" s="24"/>
      <c r="D23" s="24"/>
      <c r="E23" s="71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4.1" customHeight="1" thickBot="1">
      <c r="A24" s="66">
        <v>16</v>
      </c>
      <c r="B24" s="23"/>
      <c r="C24" s="24"/>
      <c r="D24" s="24"/>
      <c r="E24" s="71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4.1" customHeight="1" thickBot="1">
      <c r="A25" s="66">
        <v>17</v>
      </c>
      <c r="B25" s="23"/>
      <c r="C25" s="67"/>
      <c r="D25" s="27"/>
      <c r="E25" s="71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4.1" customHeight="1" thickBot="1">
      <c r="A26" s="66">
        <v>18</v>
      </c>
      <c r="B26" s="23">
        <v>3</v>
      </c>
      <c r="C26" s="24"/>
      <c r="D26" s="24"/>
      <c r="E26" s="71"/>
      <c r="F26" s="19">
        <f t="shared" si="0"/>
        <v>3</v>
      </c>
      <c r="G26" s="32"/>
      <c r="H26" s="24"/>
      <c r="I26" s="24"/>
      <c r="J26" s="24"/>
      <c r="K26" s="17">
        <f t="shared" si="1"/>
        <v>0</v>
      </c>
      <c r="L26" s="7">
        <f t="shared" si="2"/>
        <v>3</v>
      </c>
    </row>
    <row r="27" spans="1:12" ht="14.1" customHeight="1" thickBot="1">
      <c r="A27" s="66">
        <v>19</v>
      </c>
      <c r="B27" s="23"/>
      <c r="C27" s="24"/>
      <c r="D27" s="24"/>
      <c r="E27" s="71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4.1" customHeight="1" thickBot="1">
      <c r="A28" s="66">
        <v>20</v>
      </c>
      <c r="B28" s="23">
        <v>2</v>
      </c>
      <c r="C28" s="24"/>
      <c r="D28" s="24"/>
      <c r="E28" s="71"/>
      <c r="F28" s="19">
        <f t="shared" si="0"/>
        <v>2</v>
      </c>
      <c r="G28" s="32"/>
      <c r="H28" s="24"/>
      <c r="I28" s="24"/>
      <c r="J28" s="24"/>
      <c r="K28" s="17">
        <f t="shared" si="1"/>
        <v>0</v>
      </c>
      <c r="L28" s="7">
        <f t="shared" si="2"/>
        <v>2</v>
      </c>
    </row>
    <row r="29" spans="1:12" ht="14.1" customHeight="1" thickBot="1">
      <c r="A29" s="66">
        <v>21</v>
      </c>
      <c r="B29" s="23"/>
      <c r="C29" s="24"/>
      <c r="D29" s="24"/>
      <c r="E29" s="71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4.1" customHeight="1" thickBot="1">
      <c r="A30" s="66">
        <v>22</v>
      </c>
      <c r="B30" s="23"/>
      <c r="C30" s="24">
        <v>1</v>
      </c>
      <c r="D30" s="24"/>
      <c r="E30" s="71"/>
      <c r="F30" s="19">
        <f t="shared" si="0"/>
        <v>1</v>
      </c>
      <c r="G30" s="32"/>
      <c r="H30" s="24"/>
      <c r="I30" s="24"/>
      <c r="J30" s="24"/>
      <c r="K30" s="17">
        <f t="shared" si="1"/>
        <v>0</v>
      </c>
      <c r="L30" s="7">
        <f t="shared" si="2"/>
        <v>1</v>
      </c>
    </row>
    <row r="31" spans="1:12" ht="14.1" customHeight="1" thickBot="1">
      <c r="A31" s="66">
        <v>23</v>
      </c>
      <c r="B31" s="23"/>
      <c r="C31" s="24"/>
      <c r="D31" s="24"/>
      <c r="E31" s="71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4.1" customHeight="1" thickBot="1">
      <c r="A32" s="66">
        <v>24</v>
      </c>
      <c r="B32" s="23"/>
      <c r="C32" s="24"/>
      <c r="D32" s="24"/>
      <c r="E32" s="71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4.1" customHeight="1" thickBot="1">
      <c r="A33" s="66">
        <v>25</v>
      </c>
      <c r="B33" s="23">
        <v>1</v>
      </c>
      <c r="C33" s="24"/>
      <c r="D33" s="24"/>
      <c r="E33" s="71"/>
      <c r="F33" s="19">
        <f t="shared" si="0"/>
        <v>1</v>
      </c>
      <c r="G33" s="32">
        <v>2</v>
      </c>
      <c r="H33" s="24"/>
      <c r="I33" s="24"/>
      <c r="J33" s="24"/>
      <c r="K33" s="17">
        <f t="shared" si="1"/>
        <v>2</v>
      </c>
      <c r="L33" s="7">
        <f t="shared" si="2"/>
        <v>3</v>
      </c>
    </row>
    <row r="34" spans="1:12" ht="14.1" customHeight="1" thickBot="1">
      <c r="A34" s="66">
        <v>26</v>
      </c>
      <c r="B34" s="23"/>
      <c r="C34" s="24"/>
      <c r="D34" s="24"/>
      <c r="E34" s="71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4.1" customHeight="1" thickBot="1">
      <c r="A35" s="66">
        <v>27</v>
      </c>
      <c r="B35" s="23"/>
      <c r="C35" s="24"/>
      <c r="D35" s="24"/>
      <c r="E35" s="71"/>
      <c r="F35" s="19">
        <f t="shared" si="0"/>
        <v>0</v>
      </c>
      <c r="G35" s="47">
        <v>1</v>
      </c>
      <c r="H35" s="24"/>
      <c r="I35" s="24"/>
      <c r="J35" s="24"/>
      <c r="K35" s="17">
        <f t="shared" si="1"/>
        <v>1</v>
      </c>
      <c r="L35" s="7">
        <f t="shared" si="2"/>
        <v>1</v>
      </c>
    </row>
    <row r="36" spans="1:12" ht="14.1" customHeight="1" thickBot="1">
      <c r="A36" s="66">
        <v>28</v>
      </c>
      <c r="B36" s="23">
        <v>2</v>
      </c>
      <c r="C36" s="24">
        <v>1</v>
      </c>
      <c r="D36" s="27"/>
      <c r="E36" s="72"/>
      <c r="F36" s="19">
        <f t="shared" si="0"/>
        <v>3</v>
      </c>
      <c r="G36" s="32">
        <v>5</v>
      </c>
      <c r="H36" s="24"/>
      <c r="I36" s="24"/>
      <c r="J36" s="24"/>
      <c r="K36" s="17">
        <f t="shared" si="1"/>
        <v>5</v>
      </c>
      <c r="L36" s="7">
        <f t="shared" si="2"/>
        <v>8</v>
      </c>
    </row>
    <row r="37" spans="1:12" ht="14.1" customHeight="1" thickBot="1">
      <c r="A37" s="66">
        <v>29</v>
      </c>
      <c r="B37" s="23"/>
      <c r="C37" s="24"/>
      <c r="D37" s="24"/>
      <c r="E37" s="71"/>
      <c r="F37" s="19">
        <f t="shared" si="0"/>
        <v>0</v>
      </c>
      <c r="G37" s="32">
        <v>5</v>
      </c>
      <c r="H37" s="24"/>
      <c r="I37" s="24">
        <v>1</v>
      </c>
      <c r="J37" s="24"/>
      <c r="K37" s="17">
        <f t="shared" si="1"/>
        <v>6</v>
      </c>
      <c r="L37" s="7">
        <f t="shared" si="2"/>
        <v>6</v>
      </c>
    </row>
    <row r="38" spans="1:12" ht="14.1" customHeight="1" thickBot="1">
      <c r="A38" s="66">
        <v>30</v>
      </c>
      <c r="B38" s="23"/>
      <c r="C38" s="24"/>
      <c r="D38" s="24"/>
      <c r="E38" s="71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4.1" customHeight="1" thickBot="1">
      <c r="A39" s="69">
        <v>31</v>
      </c>
      <c r="B39" s="28"/>
      <c r="C39" s="29"/>
      <c r="D39" s="29"/>
      <c r="E39" s="73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4.1" customHeight="1" thickBot="1">
      <c r="A40" s="10"/>
      <c r="B40" s="80">
        <f>SUM(B9:B39)</f>
        <v>22</v>
      </c>
      <c r="C40" s="80">
        <f t="shared" ref="C40:E40" si="3">SUM(C9:C39)</f>
        <v>3</v>
      </c>
      <c r="D40" s="80">
        <f t="shared" si="3"/>
        <v>2</v>
      </c>
      <c r="E40" s="80">
        <f t="shared" si="3"/>
        <v>0</v>
      </c>
      <c r="F40" s="79">
        <f>SUM(F9:F39)</f>
        <v>27</v>
      </c>
      <c r="G40" s="18">
        <f>SUM(G9:G39)</f>
        <v>14</v>
      </c>
      <c r="H40" s="18">
        <f t="shared" ref="H40:L40" si="4">SUM(H9:H39)</f>
        <v>0</v>
      </c>
      <c r="I40" s="18">
        <f t="shared" si="4"/>
        <v>1</v>
      </c>
      <c r="J40" s="18">
        <f t="shared" si="4"/>
        <v>0</v>
      </c>
      <c r="K40" s="18">
        <f t="shared" si="4"/>
        <v>15</v>
      </c>
      <c r="L40" s="18">
        <f t="shared" si="4"/>
        <v>42</v>
      </c>
    </row>
    <row r="41" spans="1:12" ht="6.75" customHeight="1" thickBot="1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>
      <c r="A42" s="95"/>
      <c r="B42" s="95"/>
      <c r="C42" s="95"/>
      <c r="D42" s="95"/>
      <c r="E42" s="95"/>
      <c r="F42" s="95"/>
      <c r="G42" s="96" t="s">
        <v>17</v>
      </c>
      <c r="H42" s="97"/>
      <c r="I42" s="97" t="s">
        <v>18</v>
      </c>
      <c r="J42" s="98"/>
      <c r="K42" s="12"/>
      <c r="L42" s="14"/>
    </row>
    <row r="43" spans="1:12" ht="15.75" thickBot="1">
      <c r="A43" s="15"/>
      <c r="B43" s="82" t="s">
        <v>19</v>
      </c>
      <c r="C43" s="83"/>
      <c r="D43" s="83"/>
      <c r="E43" s="83"/>
      <c r="F43" s="83"/>
      <c r="G43" s="93">
        <v>51</v>
      </c>
      <c r="H43" s="99"/>
      <c r="I43" s="100"/>
      <c r="J43" s="101"/>
      <c r="K43" s="12"/>
      <c r="L43" s="14"/>
    </row>
    <row r="44" spans="1:12" ht="15.75" thickBot="1">
      <c r="A44" s="15"/>
      <c r="B44" s="82" t="s">
        <v>20</v>
      </c>
      <c r="C44" s="83"/>
      <c r="D44" s="83"/>
      <c r="E44" s="83"/>
      <c r="F44" s="83"/>
      <c r="G44" s="84">
        <v>100</v>
      </c>
      <c r="H44" s="85"/>
      <c r="I44" s="84"/>
      <c r="J44" s="85"/>
      <c r="K44" s="12"/>
      <c r="L44" s="14"/>
    </row>
    <row r="45" spans="1:12" ht="15.75" thickBot="1">
      <c r="A45" s="15"/>
      <c r="B45" s="90" t="s">
        <v>21</v>
      </c>
      <c r="C45" s="90"/>
      <c r="D45" s="90"/>
      <c r="E45" s="90"/>
      <c r="F45" s="82"/>
      <c r="G45" s="91">
        <v>3</v>
      </c>
      <c r="H45" s="92"/>
      <c r="I45" s="93"/>
      <c r="J45" s="94"/>
      <c r="K45" s="12"/>
      <c r="L45" s="14"/>
    </row>
    <row r="46" spans="1:12" ht="15.75" thickBot="1">
      <c r="A46" s="15"/>
      <c r="B46" s="82" t="s">
        <v>22</v>
      </c>
      <c r="C46" s="83"/>
      <c r="D46" s="83"/>
      <c r="E46" s="83"/>
      <c r="F46" s="83"/>
      <c r="G46" s="89">
        <f>L40+G45</f>
        <v>45</v>
      </c>
      <c r="H46" s="85"/>
      <c r="I46" s="84"/>
      <c r="J46" s="85"/>
      <c r="K46" s="12"/>
      <c r="L46" s="14"/>
    </row>
    <row r="47" spans="1:12" ht="15.75" thickBot="1">
      <c r="A47" s="4"/>
      <c r="B47" s="82" t="s">
        <v>23</v>
      </c>
      <c r="C47" s="83"/>
      <c r="D47" s="83"/>
      <c r="E47" s="83"/>
      <c r="F47" s="83"/>
      <c r="G47" s="89">
        <f>G43+G44-G46</f>
        <v>106</v>
      </c>
      <c r="H47" s="85"/>
      <c r="I47" s="84"/>
      <c r="J47" s="85"/>
      <c r="K47" s="12"/>
      <c r="L47" s="3"/>
    </row>
    <row r="48" spans="1:12" ht="15.75" thickBot="1">
      <c r="A48" s="4"/>
      <c r="B48" s="82" t="s">
        <v>24</v>
      </c>
      <c r="C48" s="83"/>
      <c r="D48" s="83"/>
      <c r="E48" s="83"/>
      <c r="F48" s="83"/>
      <c r="G48" s="84">
        <v>66</v>
      </c>
      <c r="H48" s="85"/>
      <c r="I48" s="84"/>
      <c r="J48" s="85"/>
      <c r="K48" s="12"/>
      <c r="L48" s="3"/>
    </row>
    <row r="49" spans="1:12" ht="15.75" thickBot="1">
      <c r="A49" s="4"/>
      <c r="B49" s="82" t="s">
        <v>25</v>
      </c>
      <c r="C49" s="83"/>
      <c r="D49" s="83"/>
      <c r="E49" s="83"/>
      <c r="F49" s="83"/>
      <c r="G49" s="86">
        <f>G47-G48</f>
        <v>40</v>
      </c>
      <c r="H49" s="87"/>
      <c r="I49" s="88"/>
      <c r="J49" s="87"/>
      <c r="K49" s="12"/>
      <c r="L49" s="3"/>
    </row>
    <row r="50" spans="1:12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>
      <c r="B52" s="81" t="s">
        <v>65</v>
      </c>
    </row>
    <row r="53" spans="1:12">
      <c r="B53" s="81"/>
    </row>
    <row r="54" spans="1:12">
      <c r="B54" s="81"/>
    </row>
    <row r="55" spans="1:12">
      <c r="B55" s="81"/>
    </row>
    <row r="56" spans="1:12">
      <c r="B56" s="81"/>
    </row>
    <row r="57" spans="1:12">
      <c r="B57" s="81"/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paperSize="9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2016</vt:lpstr>
      <vt:lpstr>FEVRIER 2016</vt:lpstr>
      <vt:lpstr>MARS 2016</vt:lpstr>
      <vt:lpstr>AVRIL 2016</vt:lpstr>
      <vt:lpstr>MAI 2016</vt:lpstr>
      <vt:lpstr>JUIN 2016</vt:lpstr>
      <vt:lpstr>JUILLET 2016</vt:lpstr>
      <vt:lpstr>AOUT 2016</vt:lpstr>
      <vt:lpstr>SEPTEMBRE 2016</vt:lpstr>
      <vt:lpstr>OCTOBRE 2016</vt:lpstr>
      <vt:lpstr>NOVEMBRE 2016</vt:lpstr>
      <vt:lpstr>DECEMBRE 2016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2017-01-05T07:38:46Z</cp:lastPrinted>
  <dcterms:created xsi:type="dcterms:W3CDTF">2014-12-31T15:22:06Z</dcterms:created>
  <dcterms:modified xsi:type="dcterms:W3CDTF">2017-01-05T12:18:20Z</dcterms:modified>
</cp:coreProperties>
</file>