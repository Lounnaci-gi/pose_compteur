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6\Gestion de Stock Berrouaghia\"/>
    </mc:Choice>
  </mc:AlternateContent>
  <bookViews>
    <workbookView xWindow="315" yWindow="195" windowWidth="6900" windowHeight="2025" firstSheet="6" activeTab="10"/>
  </bookViews>
  <sheets>
    <sheet name="Janvier 2016" sheetId="1" r:id="rId1"/>
    <sheet name="Février 2016" sheetId="2" r:id="rId2"/>
    <sheet name="Mars 2016" sheetId="3" r:id="rId3"/>
    <sheet name="Avril 2016" sheetId="4" r:id="rId4"/>
    <sheet name="Mai 2016" sheetId="5" r:id="rId5"/>
    <sheet name="Juin 2016" sheetId="6" r:id="rId6"/>
    <sheet name="Juillet 2016" sheetId="7" r:id="rId7"/>
    <sheet name="Aout 2016" sheetId="8" r:id="rId8"/>
    <sheet name="Septembre 2016" sheetId="9" r:id="rId9"/>
    <sheet name="Octobre 2016" sheetId="10" r:id="rId10"/>
    <sheet name="Novembre 2016" sheetId="11" r:id="rId11"/>
    <sheet name="Decembre 2016" sheetId="12" r:id="rId12"/>
  </sheets>
  <definedNames>
    <definedName name="_xlnm.Print_Titles" localSheetId="0">'Janvier 2016'!$1:$6</definedName>
  </definedNames>
  <calcPr calcId="152511"/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K4" i="12"/>
  <c r="K3" i="12"/>
  <c r="K2" i="12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K4" i="11"/>
  <c r="K3" i="11"/>
  <c r="K2" i="11"/>
  <c r="A41" i="11" l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K5" i="11"/>
  <c r="K5" i="12"/>
  <c r="K2" i="9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K4" i="10"/>
  <c r="K3" i="10"/>
  <c r="K2" i="10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K4" i="9"/>
  <c r="K3" i="9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K4" i="8"/>
  <c r="K3" i="8"/>
  <c r="K2" i="8"/>
  <c r="K5" i="10" l="1"/>
  <c r="K5" i="9"/>
  <c r="K5" i="8"/>
  <c r="K3" i="7"/>
  <c r="K4" i="7"/>
  <c r="K2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K2" i="6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K4" i="6"/>
  <c r="K3" i="6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4" i="5"/>
  <c r="K3" i="5"/>
  <c r="K2" i="5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K4" i="4"/>
  <c r="K3" i="4"/>
  <c r="K2" i="4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K4" i="3"/>
  <c r="K3" i="3"/>
  <c r="K2" i="3"/>
  <c r="K5" i="6" l="1"/>
  <c r="K5" i="5"/>
  <c r="K5" i="4"/>
  <c r="A28" i="3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K5" i="3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K4" i="2"/>
  <c r="K3" i="2"/>
  <c r="K2" i="2"/>
  <c r="K5" i="2" l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K2" i="1"/>
  <c r="K5" i="1" s="1"/>
  <c r="A41" i="9"/>
  <c r="A42" i="9" s="1"/>
  <c r="A43" i="9" s="1"/>
</calcChain>
</file>

<file path=xl/sharedStrings.xml><?xml version="1.0" encoding="utf-8"?>
<sst xmlns="http://schemas.openxmlformats.org/spreadsheetml/2006/main" count="2413" uniqueCount="1241">
  <si>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</si>
  <si>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</si>
  <si>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</si>
  <si>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</si>
  <si>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</si>
  <si>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</si>
  <si>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</si>
  <si>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</si>
  <si>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</si>
  <si>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</si>
  <si>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</si>
  <si>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</si>
  <si>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</si>
  <si>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</si>
  <si>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</si>
  <si>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</si>
  <si>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</si>
  <si>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</si>
  <si>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15/21</t>
  </si>
  <si>
    <t>2015195743</t>
  </si>
  <si>
    <t>NB(N°393/2015)</t>
  </si>
  <si>
    <t>2015195744</t>
  </si>
  <si>
    <t>NB(N°368/2015)</t>
  </si>
  <si>
    <t>2015195745</t>
  </si>
  <si>
    <t>NB(N°282/2015)</t>
  </si>
  <si>
    <t>2015195750</t>
  </si>
  <si>
    <t>Elimination Forfait</t>
  </si>
  <si>
    <t>B1 0207</t>
  </si>
  <si>
    <t>20/27</t>
  </si>
  <si>
    <t>006810</t>
  </si>
  <si>
    <t>2015195906</t>
  </si>
  <si>
    <t>2015195907</t>
  </si>
  <si>
    <t>B2 1793</t>
  </si>
  <si>
    <t>2015195905</t>
  </si>
  <si>
    <t>B4 0325</t>
  </si>
  <si>
    <t>2015195904</t>
  </si>
  <si>
    <t>B2 0395</t>
  </si>
  <si>
    <t>2015195798</t>
  </si>
  <si>
    <t>B2 1873</t>
  </si>
  <si>
    <t>NB(N°399/2015)</t>
  </si>
  <si>
    <t>Toumi rachid</t>
  </si>
  <si>
    <t>NB(N°400/2015)</t>
  </si>
  <si>
    <t>Soualhi houcine</t>
  </si>
  <si>
    <t>2015195908</t>
  </si>
  <si>
    <t>2015195602</t>
  </si>
  <si>
    <t>B1 1476</t>
  </si>
  <si>
    <t>B3 2685</t>
  </si>
  <si>
    <t>2015195741</t>
  </si>
  <si>
    <t>B2 0575</t>
  </si>
  <si>
    <t>2015195742</t>
  </si>
  <si>
    <t>B3 3437</t>
  </si>
  <si>
    <t>B3 3342</t>
  </si>
  <si>
    <t>2015195910</t>
  </si>
  <si>
    <t>NB(CRMA)</t>
  </si>
  <si>
    <t>B3 2916</t>
  </si>
  <si>
    <t>2015195605</t>
  </si>
  <si>
    <t>VENTE</t>
  </si>
  <si>
    <t>B3 2967</t>
  </si>
  <si>
    <t>2015195607</t>
  </si>
  <si>
    <t>B2 1730</t>
  </si>
  <si>
    <t>2015195603</t>
  </si>
  <si>
    <t>B1 1977</t>
  </si>
  <si>
    <t>2015195606</t>
  </si>
  <si>
    <t>B4 0999</t>
  </si>
  <si>
    <t>2015195909</t>
  </si>
  <si>
    <t>2015195601</t>
  </si>
  <si>
    <t>2015195604</t>
  </si>
  <si>
    <t>2015195608</t>
  </si>
  <si>
    <t>2015195609</t>
  </si>
  <si>
    <t>B1 0822</t>
  </si>
  <si>
    <t>B1 1640</t>
  </si>
  <si>
    <t>B1 0402</t>
  </si>
  <si>
    <t>S/C</t>
  </si>
  <si>
    <t>B2 1150</t>
  </si>
  <si>
    <t>2015195610</t>
  </si>
  <si>
    <t>B2 1734</t>
  </si>
  <si>
    <t>2015195821</t>
  </si>
  <si>
    <t>B2 1015</t>
  </si>
  <si>
    <t>2015195822</t>
  </si>
  <si>
    <t>2015195823</t>
  </si>
  <si>
    <t>B3 2186</t>
  </si>
  <si>
    <t>2015195828</t>
  </si>
  <si>
    <t>B1 0525</t>
  </si>
  <si>
    <t>2015195824</t>
  </si>
  <si>
    <t>B2 1007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</si>
  <si>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</si>
  <si>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B4 1845</t>
  </si>
  <si>
    <t>2015195825</t>
  </si>
  <si>
    <t>B2 1553</t>
  </si>
  <si>
    <t>005351</t>
  </si>
  <si>
    <t>B3 2319</t>
  </si>
  <si>
    <t>2015097301</t>
  </si>
  <si>
    <t>B4 1777</t>
  </si>
  <si>
    <t>2015097304</t>
  </si>
  <si>
    <t>B2 1836</t>
  </si>
  <si>
    <t>2015097027</t>
  </si>
  <si>
    <t>B2 1886</t>
  </si>
  <si>
    <t>2015097026</t>
  </si>
  <si>
    <t>B3 2224</t>
  </si>
  <si>
    <t>2015195826</t>
  </si>
  <si>
    <t>B3 2215</t>
  </si>
  <si>
    <t>2015195829</t>
  </si>
  <si>
    <t>B3 2229</t>
  </si>
  <si>
    <t>2015195830</t>
  </si>
  <si>
    <t>B3 2274</t>
  </si>
  <si>
    <t>2015097303</t>
  </si>
  <si>
    <t>B1 0490</t>
  </si>
  <si>
    <t>B1 0487</t>
  </si>
  <si>
    <t>2015195827</t>
  </si>
  <si>
    <t>2015097030</t>
  </si>
  <si>
    <t>2015097021</t>
  </si>
  <si>
    <t>2015097022</t>
  </si>
  <si>
    <t>B1 0465</t>
  </si>
  <si>
    <t>B1 0550</t>
  </si>
  <si>
    <t>B3 2809</t>
  </si>
  <si>
    <t>2015097023</t>
  </si>
  <si>
    <t>2015097024</t>
  </si>
  <si>
    <t>B4</t>
  </si>
  <si>
    <t>NB(N°390/2015)</t>
  </si>
  <si>
    <t>Sabour med ben tayeb</t>
  </si>
  <si>
    <t>B1 0160</t>
  </si>
  <si>
    <t>2015097302</t>
  </si>
  <si>
    <t>B1 0382</t>
  </si>
  <si>
    <t>2015097028</t>
  </si>
  <si>
    <t>B1 0366</t>
  </si>
  <si>
    <t>2015097029</t>
  </si>
  <si>
    <t>B1 1318</t>
  </si>
  <si>
    <t>2015097307</t>
  </si>
  <si>
    <t>2015097308</t>
  </si>
  <si>
    <t>B1 0016</t>
  </si>
  <si>
    <t>B1 1482</t>
  </si>
  <si>
    <t>2015097309</t>
  </si>
  <si>
    <t>B1 2110</t>
  </si>
  <si>
    <t>2015097305</t>
  </si>
  <si>
    <t>2015097025</t>
  </si>
  <si>
    <t>NB</t>
  </si>
  <si>
    <t>ECOLE BENAISSA</t>
  </si>
  <si>
    <t>B2 0786</t>
  </si>
  <si>
    <t>2015097141</t>
  </si>
  <si>
    <t>B2 0704</t>
  </si>
  <si>
    <t>2015097142</t>
  </si>
  <si>
    <t>B2 0070</t>
  </si>
  <si>
    <t>2015097143</t>
  </si>
  <si>
    <t>B2 1472</t>
  </si>
  <si>
    <t>2015097145</t>
  </si>
  <si>
    <t>B2 2066</t>
  </si>
  <si>
    <t>2015097144</t>
  </si>
  <si>
    <t>B2 1475</t>
  </si>
  <si>
    <t>2015097148</t>
  </si>
  <si>
    <t>B2 2195</t>
  </si>
  <si>
    <t>2015097146</t>
  </si>
  <si>
    <t>B2 2365</t>
  </si>
  <si>
    <t>2015097150</t>
  </si>
  <si>
    <t>B2 2013</t>
  </si>
  <si>
    <t>B2 1919</t>
  </si>
  <si>
    <t>2015097149</t>
  </si>
  <si>
    <t>2015097147</t>
  </si>
  <si>
    <t>2015097306</t>
  </si>
  <si>
    <t>NB(N°009/2016)</t>
  </si>
  <si>
    <t>Lakli laid</t>
  </si>
  <si>
    <t>2015097173</t>
  </si>
  <si>
    <t>NB(N°0002/2016)</t>
  </si>
  <si>
    <t>Ali ahmed cherif</t>
  </si>
  <si>
    <t>2015097310</t>
  </si>
  <si>
    <t>NB(N°154/2015)</t>
  </si>
  <si>
    <t>Lamrani noureddine</t>
  </si>
  <si>
    <t>2015097172</t>
  </si>
  <si>
    <t>NB(N°394/2015)</t>
  </si>
  <si>
    <t>2015097171</t>
  </si>
  <si>
    <t>NB(N°406/2015)</t>
  </si>
  <si>
    <t>2015097174</t>
  </si>
  <si>
    <t>NB(N°175/2014)</t>
  </si>
  <si>
    <t>2015097175</t>
  </si>
  <si>
    <t>NB(N°0001/2016)</t>
  </si>
  <si>
    <t>Benlahoual fethi</t>
  </si>
  <si>
    <t>Benkhelfa rabah</t>
  </si>
  <si>
    <t>Chikhi amar</t>
  </si>
  <si>
    <t>Benoua ahmed</t>
  </si>
  <si>
    <t>B2 1800</t>
  </si>
  <si>
    <t>2015096355</t>
  </si>
  <si>
    <t>B3 0070</t>
  </si>
  <si>
    <t>005352</t>
  </si>
  <si>
    <t>B3 0488</t>
  </si>
  <si>
    <t>2015096354</t>
  </si>
  <si>
    <t>B1 0660</t>
  </si>
  <si>
    <t>2015097179</t>
  </si>
  <si>
    <t>B1 0743</t>
  </si>
  <si>
    <t>2015097180</t>
  </si>
  <si>
    <t>B1 1294</t>
  </si>
  <si>
    <t>2015097178</t>
  </si>
  <si>
    <t>B1 0677</t>
  </si>
  <si>
    <t>2015097176</t>
  </si>
  <si>
    <t>B1 0622</t>
  </si>
  <si>
    <t>2015097177</t>
  </si>
  <si>
    <t>005353</t>
  </si>
  <si>
    <t>Fontaine 400 logts</t>
  </si>
  <si>
    <t>2015096352</t>
  </si>
  <si>
    <t>NB(N°404/2015)</t>
  </si>
  <si>
    <t>Boutoumi med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</si>
  <si>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</si>
  <si>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B2 1802</t>
  </si>
  <si>
    <t>2015096353</t>
  </si>
  <si>
    <t>2015096357</t>
  </si>
  <si>
    <t>2015096358</t>
  </si>
  <si>
    <t>NB(N°396/2015)</t>
  </si>
  <si>
    <t>NB(N°357/2015)</t>
  </si>
  <si>
    <t>Saad saoud mhamed</t>
  </si>
  <si>
    <t>Messous yahia</t>
  </si>
  <si>
    <t>B4 0719</t>
  </si>
  <si>
    <t>2015096359</t>
  </si>
  <si>
    <t>B4 0726</t>
  </si>
  <si>
    <t>2015096351</t>
  </si>
  <si>
    <t>B4 0761</t>
  </si>
  <si>
    <t>2015096360</t>
  </si>
  <si>
    <t>B1 1885</t>
  </si>
  <si>
    <t>2015097080</t>
  </si>
  <si>
    <t>B3 4007</t>
  </si>
  <si>
    <t>2015097078</t>
  </si>
  <si>
    <t>B1 1902</t>
  </si>
  <si>
    <t>2015097071</t>
  </si>
  <si>
    <t>B3 3615</t>
  </si>
  <si>
    <t>2015097076</t>
  </si>
  <si>
    <t>B3 4388</t>
  </si>
  <si>
    <t>2015097077</t>
  </si>
  <si>
    <t>B3 2358</t>
  </si>
  <si>
    <t>005360</t>
  </si>
  <si>
    <t>B3 2482</t>
  </si>
  <si>
    <t>005359</t>
  </si>
  <si>
    <t>B1 1188</t>
  </si>
  <si>
    <t>2015097072</t>
  </si>
  <si>
    <t>2015096356</t>
  </si>
  <si>
    <t>2015096711</t>
  </si>
  <si>
    <t>2015096712</t>
  </si>
  <si>
    <t>NB(N°0023/2016)</t>
  </si>
  <si>
    <t>NB(N°398/2015)</t>
  </si>
  <si>
    <t>Bouamra Ameur</t>
  </si>
  <si>
    <t>Touati Malika</t>
  </si>
  <si>
    <t>B1 0563</t>
  </si>
  <si>
    <t>005357</t>
  </si>
  <si>
    <t>B1 1002</t>
  </si>
  <si>
    <t>2015097075</t>
  </si>
  <si>
    <t>B1 1062</t>
  </si>
  <si>
    <t>2015097073</t>
  </si>
  <si>
    <t>B3 2235</t>
  </si>
  <si>
    <t>2015096713</t>
  </si>
  <si>
    <t>Kheireddine med</t>
  </si>
  <si>
    <t>B3 1600</t>
  </si>
  <si>
    <t>014457</t>
  </si>
  <si>
    <t>2015096270</t>
  </si>
  <si>
    <t>2015097074</t>
  </si>
  <si>
    <t>Aboub zerrouk</t>
  </si>
  <si>
    <t>2015096269</t>
  </si>
  <si>
    <t>Ladek kamel</t>
  </si>
  <si>
    <t>Ferah abdeslam</t>
  </si>
  <si>
    <t>B3 2896</t>
  </si>
  <si>
    <t>2015096715</t>
  </si>
  <si>
    <t>2015095522</t>
  </si>
  <si>
    <t>2015095523</t>
  </si>
  <si>
    <t>2015095524</t>
  </si>
  <si>
    <t>2015095525</t>
  </si>
  <si>
    <t>2015095526</t>
  </si>
  <si>
    <t>2015095527</t>
  </si>
  <si>
    <t>2015095528</t>
  </si>
  <si>
    <t>2015095529</t>
  </si>
  <si>
    <t>2015095530</t>
  </si>
  <si>
    <t>Hamzaoui moussa</t>
  </si>
  <si>
    <t>2015095521</t>
  </si>
  <si>
    <t>2015096714</t>
  </si>
  <si>
    <t>Haddara Abdelhakim</t>
  </si>
  <si>
    <t>Fergani M'hamed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</si>
  <si>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</si>
  <si>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B4 0682</t>
  </si>
  <si>
    <t>B2 0217</t>
  </si>
  <si>
    <t>2015095848</t>
  </si>
  <si>
    <t>B2 0355</t>
  </si>
  <si>
    <t>2015096266</t>
  </si>
  <si>
    <t>2015095841</t>
  </si>
  <si>
    <t>B2 0204</t>
  </si>
  <si>
    <t>2015095842</t>
  </si>
  <si>
    <t>B3 3487</t>
  </si>
  <si>
    <t>2015095850</t>
  </si>
  <si>
    <t>B3 3507</t>
  </si>
  <si>
    <t>2015095847</t>
  </si>
  <si>
    <t>B3 3480</t>
  </si>
  <si>
    <t>2015095846</t>
  </si>
  <si>
    <t>2015095844</t>
  </si>
  <si>
    <t>B3 3401</t>
  </si>
  <si>
    <t>B3 3473</t>
  </si>
  <si>
    <t>2015095843</t>
  </si>
  <si>
    <t>B2 0012</t>
  </si>
  <si>
    <t>2015095849</t>
  </si>
  <si>
    <t>B2 0208</t>
  </si>
  <si>
    <t>2015095845</t>
  </si>
  <si>
    <t>2015096267</t>
  </si>
  <si>
    <t>Maadadi benalia</t>
  </si>
  <si>
    <t>B2 2151</t>
  </si>
  <si>
    <t>2015096268</t>
  </si>
  <si>
    <t>B3 0365</t>
  </si>
  <si>
    <t>014452</t>
  </si>
  <si>
    <t>2015096717</t>
  </si>
  <si>
    <t>2015097079</t>
  </si>
  <si>
    <t>B4 0125</t>
  </si>
  <si>
    <t>B4 0345</t>
  </si>
  <si>
    <t>2015096716</t>
  </si>
  <si>
    <t>2015096718</t>
  </si>
  <si>
    <t>2015096719</t>
  </si>
  <si>
    <t>2015096720</t>
  </si>
  <si>
    <t>B3 4090</t>
  </si>
  <si>
    <t>B3 4076</t>
  </si>
  <si>
    <t>B3 4086</t>
  </si>
  <si>
    <t>2015094961</t>
  </si>
  <si>
    <t>2015094962</t>
  </si>
  <si>
    <t>2015094963</t>
  </si>
  <si>
    <t>2015094964</t>
  </si>
  <si>
    <t>Bouras foudil</t>
  </si>
  <si>
    <t>Lahmak hlima</t>
  </si>
  <si>
    <t>Saki hocine</t>
  </si>
  <si>
    <t>Korchi lila</t>
  </si>
  <si>
    <t>NB (0043/2016)</t>
  </si>
  <si>
    <t>2015094965</t>
  </si>
  <si>
    <t>NB (0006/2016)</t>
  </si>
  <si>
    <t>NB (0045/2016)</t>
  </si>
  <si>
    <t>NB (0419/2016)</t>
  </si>
  <si>
    <t>NB (0063/2016)</t>
  </si>
  <si>
    <t>Benamar mohamed</t>
  </si>
  <si>
    <t>B3 1191</t>
  </si>
  <si>
    <t>2015094966</t>
  </si>
  <si>
    <t>Debab rabah</t>
  </si>
  <si>
    <t>2015094967</t>
  </si>
  <si>
    <t>Kara ali</t>
  </si>
  <si>
    <t>2015094968</t>
  </si>
  <si>
    <t>Saad saoud hadj salah</t>
  </si>
  <si>
    <t>2015094969</t>
  </si>
  <si>
    <t>Debab A/rezzak</t>
  </si>
  <si>
    <t>2015094970</t>
  </si>
  <si>
    <t>Cheggou aek</t>
  </si>
  <si>
    <t>2015094720</t>
  </si>
  <si>
    <t>Hales omar</t>
  </si>
  <si>
    <t>B3 4318</t>
  </si>
  <si>
    <t>2015096262</t>
  </si>
  <si>
    <t>ST</t>
  </si>
  <si>
    <t>XG 0792</t>
  </si>
  <si>
    <t>BB 0229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</si>
  <si>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</si>
  <si>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B3 3482</t>
  </si>
  <si>
    <t>2015094714</t>
  </si>
  <si>
    <t>B3 4106</t>
  </si>
  <si>
    <t>2015094713</t>
  </si>
  <si>
    <t>B3 4327</t>
  </si>
  <si>
    <t>2015094712</t>
  </si>
  <si>
    <t>B4 1650</t>
  </si>
  <si>
    <t>2015096261</t>
  </si>
  <si>
    <t>B4 1668</t>
  </si>
  <si>
    <t>2015096263</t>
  </si>
  <si>
    <t>B3 2430</t>
  </si>
  <si>
    <t>2015094715</t>
  </si>
  <si>
    <t>2015097338</t>
  </si>
  <si>
    <t>2015097339</t>
  </si>
  <si>
    <t>2015097340</t>
  </si>
  <si>
    <t>BC 0023</t>
  </si>
  <si>
    <t>Hasnaoui a/hamid</t>
  </si>
  <si>
    <t>Hannachi djaafar</t>
  </si>
  <si>
    <t>Ali rachid</t>
  </si>
  <si>
    <t>NB(N°0058/2016)</t>
  </si>
  <si>
    <t>NB(N°0007/2016)</t>
  </si>
  <si>
    <t>NB(N°0035/2016)</t>
  </si>
  <si>
    <t>2015097337</t>
  </si>
  <si>
    <t>NB(N°0067/2016)</t>
  </si>
  <si>
    <t>Loualiche soufiane</t>
  </si>
  <si>
    <t>2015097336</t>
  </si>
  <si>
    <t>2015097335</t>
  </si>
  <si>
    <t>NB(N°0004/2016)</t>
  </si>
  <si>
    <t>NB(N°0078/2014)</t>
  </si>
  <si>
    <t>Rezig aicha</t>
  </si>
  <si>
    <t>Haissane Aek</t>
  </si>
  <si>
    <t>BC 0413</t>
  </si>
  <si>
    <t>005354</t>
  </si>
  <si>
    <t>2015097334</t>
  </si>
  <si>
    <t>NB(N°0061/2016)</t>
  </si>
  <si>
    <t>NB(N°0003/2014)</t>
  </si>
  <si>
    <t>2016106556</t>
  </si>
  <si>
    <t>NB(N°0020/2016)</t>
  </si>
  <si>
    <t>Boudiaf med</t>
  </si>
  <si>
    <t>2016106557</t>
  </si>
  <si>
    <t>2016106558</t>
  </si>
  <si>
    <t>2016106559</t>
  </si>
  <si>
    <t>NB(N°0063/2016)</t>
  </si>
  <si>
    <t>Aissou kamel</t>
  </si>
  <si>
    <t>NB(N°0054/2016)</t>
  </si>
  <si>
    <t>Bouaichaoui a/rahmane</t>
  </si>
  <si>
    <t>NB(N°0044/2016)</t>
  </si>
  <si>
    <t>Ferah a/rezak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</si>
  <si>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</si>
  <si>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2016106555</t>
  </si>
  <si>
    <t>2016106560</t>
  </si>
  <si>
    <t>NB(N°0080/2016)</t>
  </si>
  <si>
    <t>NB(N°0355/2016)</t>
  </si>
  <si>
    <t>Soumati med</t>
  </si>
  <si>
    <t>Brahimi khaled</t>
  </si>
  <si>
    <t>B3 2195</t>
  </si>
  <si>
    <t>014456</t>
  </si>
  <si>
    <t>2016106551</t>
  </si>
  <si>
    <t>NB(N°0003/2016)</t>
  </si>
  <si>
    <t>Chaouchi med</t>
  </si>
  <si>
    <t>2015097331</t>
  </si>
  <si>
    <t>2016106552</t>
  </si>
  <si>
    <t>NB(N°0071/2016)</t>
  </si>
  <si>
    <t>Avocat ferrah</t>
  </si>
  <si>
    <t>B2 2148</t>
  </si>
  <si>
    <t>2016106553</t>
  </si>
  <si>
    <t>B3 3651</t>
  </si>
  <si>
    <t>2016106554</t>
  </si>
  <si>
    <t>B4 2149</t>
  </si>
  <si>
    <t>2016107203</t>
  </si>
  <si>
    <t>NB(N°0096/2015)</t>
  </si>
  <si>
    <t>Gaad toufik</t>
  </si>
  <si>
    <t>Voir Chef DC (CPT CASSE)</t>
  </si>
  <si>
    <t>B3 2779</t>
  </si>
  <si>
    <t>B4 0339</t>
  </si>
  <si>
    <t>2016106565</t>
  </si>
  <si>
    <t>B4 0525</t>
  </si>
  <si>
    <t>2016106564</t>
  </si>
  <si>
    <t>B4 0535</t>
  </si>
  <si>
    <t>2016106563</t>
  </si>
  <si>
    <t>B4 0210</t>
  </si>
  <si>
    <t>2016106566</t>
  </si>
  <si>
    <t>B4 0160</t>
  </si>
  <si>
    <t>2016106567</t>
  </si>
  <si>
    <t>B4 0262</t>
  </si>
  <si>
    <t>2016107208</t>
  </si>
  <si>
    <t>B4 0187</t>
  </si>
  <si>
    <t>2016107204</t>
  </si>
  <si>
    <t>B4 0246</t>
  </si>
  <si>
    <t>2016106561</t>
  </si>
  <si>
    <t>B4 0071</t>
  </si>
  <si>
    <t>2016106570</t>
  </si>
  <si>
    <t>B4 0252</t>
  </si>
  <si>
    <t>2016106562</t>
  </si>
  <si>
    <t>B4 0093</t>
  </si>
  <si>
    <t>2016106569</t>
  </si>
  <si>
    <t>B4 0065</t>
  </si>
  <si>
    <t>2016106568</t>
  </si>
  <si>
    <t>B2 0551</t>
  </si>
  <si>
    <t>2016107206</t>
  </si>
  <si>
    <t>2016107210</t>
  </si>
  <si>
    <t>B3 0110</t>
  </si>
  <si>
    <t>2016002469</t>
  </si>
  <si>
    <t>2016002470</t>
  </si>
  <si>
    <t>B3 0116</t>
  </si>
  <si>
    <t>B3 4216</t>
  </si>
  <si>
    <t>2016107207</t>
  </si>
  <si>
    <t>2016107205</t>
  </si>
  <si>
    <t>B2 0491</t>
  </si>
  <si>
    <t>B4 0802</t>
  </si>
  <si>
    <t>2016107202</t>
  </si>
  <si>
    <t>B3 4160</t>
  </si>
  <si>
    <t>2016107209</t>
  </si>
  <si>
    <t>B4 0768</t>
  </si>
  <si>
    <t>2016107201</t>
  </si>
  <si>
    <t>B2 1733</t>
  </si>
  <si>
    <t>2016138870</t>
  </si>
  <si>
    <t>B1 1430</t>
  </si>
  <si>
    <t>E13XG03600R</t>
  </si>
  <si>
    <t>BB 0151</t>
  </si>
  <si>
    <t>B4 2029</t>
  </si>
  <si>
    <t>2016138869</t>
  </si>
  <si>
    <t>2016138868</t>
  </si>
  <si>
    <t>2016138867</t>
  </si>
  <si>
    <t>BB 0096</t>
  </si>
  <si>
    <t>2016002467</t>
  </si>
  <si>
    <t>XG</t>
  </si>
  <si>
    <t>2016138866</t>
  </si>
  <si>
    <t>2016137911</t>
  </si>
  <si>
    <t>2016137912</t>
  </si>
  <si>
    <t>2016137913</t>
  </si>
  <si>
    <t>2016137914</t>
  </si>
  <si>
    <t>2016137915</t>
  </si>
  <si>
    <t>2016137916</t>
  </si>
  <si>
    <t>2016137917</t>
  </si>
  <si>
    <t>2016137918</t>
  </si>
  <si>
    <t>2016137919</t>
  </si>
  <si>
    <t>2016137920</t>
  </si>
  <si>
    <t>2016138241</t>
  </si>
  <si>
    <t>2016138242</t>
  </si>
  <si>
    <t>2016138243</t>
  </si>
  <si>
    <t>2016138244</t>
  </si>
  <si>
    <t>2016138245</t>
  </si>
  <si>
    <t>2016138246</t>
  </si>
  <si>
    <t>2016138247</t>
  </si>
  <si>
    <t>2016138248</t>
  </si>
  <si>
    <t>2016138249</t>
  </si>
  <si>
    <t>2016138250</t>
  </si>
  <si>
    <t>2016138521</t>
  </si>
  <si>
    <t>2016138522</t>
  </si>
  <si>
    <t>2016138523</t>
  </si>
  <si>
    <t>2016138524</t>
  </si>
  <si>
    <t>2016138525</t>
  </si>
  <si>
    <t>2016138526</t>
  </si>
  <si>
    <t>2016138527</t>
  </si>
  <si>
    <t>2016138528</t>
  </si>
  <si>
    <t>2016138529</t>
  </si>
  <si>
    <t>2016138530</t>
  </si>
  <si>
    <t>2016138861</t>
  </si>
  <si>
    <t>2016138862</t>
  </si>
  <si>
    <t>NB(N°052/2016)</t>
  </si>
  <si>
    <t>NB(N°033/2016)</t>
  </si>
  <si>
    <t>Khelladi med</t>
  </si>
  <si>
    <t>Taleb zohra</t>
  </si>
  <si>
    <t>Bouziane noureddine</t>
  </si>
  <si>
    <t>Benzidoun a/cherif</t>
  </si>
  <si>
    <t>2016138863</t>
  </si>
  <si>
    <t>2016138864</t>
  </si>
  <si>
    <t>2016138865</t>
  </si>
  <si>
    <t>NB(N°077/2016)</t>
  </si>
  <si>
    <t>Daya boudjemaa</t>
  </si>
  <si>
    <t>NB(N°0108/2016)</t>
  </si>
  <si>
    <t>Khelifa med</t>
  </si>
  <si>
    <t>NB(N°0110/2016)</t>
  </si>
  <si>
    <t>Boudiaf aissa</t>
  </si>
  <si>
    <t>2016138381</t>
  </si>
  <si>
    <t>2016138382</t>
  </si>
  <si>
    <t>2016138383</t>
  </si>
  <si>
    <t>NB(N°0112/2016)</t>
  </si>
  <si>
    <t>Zeroual med</t>
  </si>
  <si>
    <t>NB(N°0107/2016)</t>
  </si>
  <si>
    <t>Aissaoui med</t>
  </si>
  <si>
    <t>NB(N°0099/2016)</t>
  </si>
  <si>
    <t>Seksali med</t>
  </si>
  <si>
    <t>2016138036</t>
  </si>
  <si>
    <t>2016138037</t>
  </si>
  <si>
    <t>2016138038</t>
  </si>
  <si>
    <t>NB(N°0091/2016)</t>
  </si>
  <si>
    <t>Bet boumerzag a/hamid</t>
  </si>
  <si>
    <t>NB(N°0102/2016)</t>
  </si>
  <si>
    <t>Hamidia hamza</t>
  </si>
  <si>
    <t>NB(N°0111/2016)</t>
  </si>
  <si>
    <t>Nechadi amine</t>
  </si>
  <si>
    <t>B2 0141</t>
  </si>
  <si>
    <t>2016138389</t>
  </si>
  <si>
    <t>B2 0350</t>
  </si>
  <si>
    <t>2016138386</t>
  </si>
  <si>
    <t>2016138384</t>
  </si>
  <si>
    <t>B2 0192</t>
  </si>
  <si>
    <t>2016138390</t>
  </si>
  <si>
    <t>B2 0030</t>
  </si>
  <si>
    <t>2016138385</t>
  </si>
  <si>
    <r>
      <t xml:space="preserve">Mois de Aout </t>
    </r>
    <r>
      <rPr>
        <sz val="11"/>
        <rFont val="Arial"/>
        <family val="2"/>
      </rPr>
      <t>2016</t>
    </r>
  </si>
  <si>
    <r>
      <t xml:space="preserve">Mois de Juillet </t>
    </r>
    <r>
      <rPr>
        <sz val="11"/>
        <rFont val="Arial"/>
        <family val="2"/>
      </rPr>
      <t>2016</t>
    </r>
  </si>
  <si>
    <t>B3 2699</t>
  </si>
  <si>
    <t>2016138040</t>
  </si>
  <si>
    <t>B2 1401</t>
  </si>
  <si>
    <t>2016138387</t>
  </si>
  <si>
    <t>B3 4451</t>
  </si>
  <si>
    <t>2016138388</t>
  </si>
  <si>
    <t>2016138039</t>
  </si>
  <si>
    <t>B3 3949</t>
  </si>
  <si>
    <t>2016138034</t>
  </si>
  <si>
    <t>B2 1370</t>
  </si>
  <si>
    <t>B2 0031</t>
  </si>
  <si>
    <t>B5 0064</t>
  </si>
  <si>
    <t>45329237</t>
  </si>
  <si>
    <t>2016138121</t>
  </si>
  <si>
    <t>NB(N°0120/2016)</t>
  </si>
  <si>
    <t>Daia djelloul</t>
  </si>
  <si>
    <t>B1 1338</t>
  </si>
  <si>
    <t>2016138031</t>
  </si>
  <si>
    <t>2016138035</t>
  </si>
  <si>
    <t>NB(N°0386/2015)</t>
  </si>
  <si>
    <t>2016138033</t>
  </si>
  <si>
    <t>NB(N°0082/2016)</t>
  </si>
  <si>
    <t>2016138032</t>
  </si>
  <si>
    <t>NB(N°0106/2016)</t>
  </si>
  <si>
    <t>Alloun yahia</t>
  </si>
  <si>
    <t>Lardjoune slimane</t>
  </si>
  <si>
    <t>Kefaifi med</t>
  </si>
  <si>
    <t>2016138122</t>
  </si>
  <si>
    <t>2016138123</t>
  </si>
  <si>
    <t>NB(N°0116/2016)</t>
  </si>
  <si>
    <t>NB(N°0117/2016)</t>
  </si>
  <si>
    <t>Benaissa mahfoud</t>
  </si>
  <si>
    <t>Benaissa boualem</t>
  </si>
  <si>
    <t>2016138124</t>
  </si>
  <si>
    <t>NB(N°300/2014)</t>
  </si>
  <si>
    <t>Fergani ahmed</t>
  </si>
  <si>
    <t>2016138125</t>
  </si>
  <si>
    <t>B2 2121</t>
  </si>
  <si>
    <t>2016138126</t>
  </si>
  <si>
    <t>2016138127</t>
  </si>
  <si>
    <t>2016138128</t>
  </si>
  <si>
    <t>2016138129</t>
  </si>
  <si>
    <t>Coiffeur bakhtaoui</t>
  </si>
  <si>
    <t>Bennoua a/rahmane</t>
  </si>
  <si>
    <t>Bouchenafa ahmed</t>
  </si>
  <si>
    <t>Latrouci mokhtar</t>
  </si>
  <si>
    <t>2016137961</t>
  </si>
  <si>
    <t>2016137962</t>
  </si>
  <si>
    <t>2016137963</t>
  </si>
  <si>
    <t>NB(N°0114/2016)</t>
  </si>
  <si>
    <t>NB(N°0055/2016)</t>
  </si>
  <si>
    <t>NB(N°389/2015)</t>
  </si>
  <si>
    <t>NB(N°103/2016)</t>
  </si>
  <si>
    <t>NB(N°0032/2014)</t>
  </si>
  <si>
    <t>NB(N°0119/2016)</t>
  </si>
  <si>
    <t>NB(N°0109/2016)</t>
  </si>
  <si>
    <t>Zerga nacer</t>
  </si>
  <si>
    <t>Mag menasri med</t>
  </si>
  <si>
    <t>Khelifa ahmed</t>
  </si>
  <si>
    <t>B4 0013</t>
  </si>
  <si>
    <t>2016138130</t>
  </si>
  <si>
    <t>B2 0628</t>
  </si>
  <si>
    <t>2016137968</t>
  </si>
  <si>
    <t>2016137964</t>
  </si>
  <si>
    <t>NB(N°0074/2016)</t>
  </si>
  <si>
    <t>Oualha lachraoui</t>
  </si>
  <si>
    <t>2016137970</t>
  </si>
  <si>
    <t>NB(N°0126/2016)</t>
  </si>
  <si>
    <t>Aboub med</t>
  </si>
  <si>
    <t>2016137965</t>
  </si>
  <si>
    <t>NB(N°0098/2016)</t>
  </si>
  <si>
    <t>Mohamedi brahim</t>
  </si>
  <si>
    <t>2016137969</t>
  </si>
  <si>
    <t>NB(2009)</t>
  </si>
  <si>
    <t>Khiar aicha</t>
  </si>
  <si>
    <t>B1 2409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</si>
  <si>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</si>
  <si>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2016137966</t>
  </si>
  <si>
    <t>B1 1063</t>
  </si>
  <si>
    <t>2016137967</t>
  </si>
  <si>
    <t>NB(N°0311/2014)</t>
  </si>
  <si>
    <t>Mazouni Brahim</t>
  </si>
  <si>
    <r>
      <t xml:space="preserve">Mois de Septembre </t>
    </r>
    <r>
      <rPr>
        <b/>
        <sz val="11"/>
        <rFont val="Arial"/>
        <family val="2"/>
      </rPr>
      <t>2016</t>
    </r>
  </si>
  <si>
    <t>B1 0407</t>
  </si>
  <si>
    <t>2016066191</t>
  </si>
  <si>
    <t>2016066193</t>
  </si>
  <si>
    <t>B1 0035</t>
  </si>
  <si>
    <t>B3 2874</t>
  </si>
  <si>
    <t>2016066192</t>
  </si>
  <si>
    <t>2016066194</t>
  </si>
  <si>
    <t>NB(N°0072/2016)</t>
  </si>
  <si>
    <t>Khelifa messaoud</t>
  </si>
  <si>
    <t>B1 1704</t>
  </si>
  <si>
    <t>2016066195</t>
  </si>
  <si>
    <t>2016066196</t>
  </si>
  <si>
    <t>NB(N°0128/2016)</t>
  </si>
  <si>
    <t>Ferah Aek</t>
  </si>
  <si>
    <t>B1 0724</t>
  </si>
  <si>
    <t>2016066198</t>
  </si>
  <si>
    <t>2016066197</t>
  </si>
  <si>
    <t>NB(N°141/2016)</t>
  </si>
  <si>
    <t>Labidi attalah</t>
  </si>
  <si>
    <t>2016066199</t>
  </si>
  <si>
    <t>2016066200</t>
  </si>
  <si>
    <t>NB(N°136/2016)</t>
  </si>
  <si>
    <t>Belaissa toufik</t>
  </si>
  <si>
    <t>NB(N°145/2016)</t>
  </si>
  <si>
    <t>Coiff Gherdine med</t>
  </si>
  <si>
    <t>Labidi turki</t>
  </si>
  <si>
    <t>B3 2329</t>
  </si>
  <si>
    <t>2016106411</t>
  </si>
  <si>
    <t>2016106417</t>
  </si>
  <si>
    <t>B4 2008</t>
  </si>
  <si>
    <t>2016106418</t>
  </si>
  <si>
    <t>BB 0007</t>
  </si>
  <si>
    <t>BB 0217</t>
  </si>
  <si>
    <t>2016002468</t>
  </si>
  <si>
    <t>BB 0059</t>
  </si>
  <si>
    <t>45332183</t>
  </si>
  <si>
    <t>2016106419</t>
  </si>
  <si>
    <t>2016106420</t>
  </si>
  <si>
    <t>NB(N°335/2016)</t>
  </si>
  <si>
    <t>2016106412</t>
  </si>
  <si>
    <t>2016106416</t>
  </si>
  <si>
    <r>
      <t xml:space="preserve">Mois de Octobre </t>
    </r>
    <r>
      <rPr>
        <b/>
        <sz val="11"/>
        <rFont val="Arial"/>
        <family val="2"/>
      </rPr>
      <t>2016</t>
    </r>
  </si>
  <si>
    <t>NB(N°0130/2016)</t>
  </si>
  <si>
    <t>Tandjaoui safia</t>
  </si>
  <si>
    <t>2016106413</t>
  </si>
  <si>
    <t>NB(N°0155/2016)</t>
  </si>
  <si>
    <t>Khadraoui salem</t>
  </si>
  <si>
    <t>2016106414</t>
  </si>
  <si>
    <t>NB(N°0041/2016)</t>
  </si>
  <si>
    <t>Damiche A/cherif</t>
  </si>
  <si>
    <t>B3 4742</t>
  </si>
  <si>
    <t>2016002462</t>
  </si>
  <si>
    <t>NB(N°0330/2014)</t>
  </si>
  <si>
    <t>Sarl tabelec</t>
  </si>
  <si>
    <t>B4 0824</t>
  </si>
  <si>
    <t>B4 0352</t>
  </si>
  <si>
    <t>B4 0405</t>
  </si>
  <si>
    <t>B4 0861</t>
  </si>
  <si>
    <t>B4 0419</t>
  </si>
  <si>
    <t>B4 0205</t>
  </si>
  <si>
    <t>B4 1666</t>
  </si>
  <si>
    <t>2016211487</t>
  </si>
  <si>
    <t>B3 3171</t>
  </si>
  <si>
    <t>2016067513</t>
  </si>
  <si>
    <t>B3 4783</t>
  </si>
  <si>
    <t>2016067519</t>
  </si>
  <si>
    <t>B3 3296</t>
  </si>
  <si>
    <t>2016067515</t>
  </si>
  <si>
    <t>B2 0046</t>
  </si>
  <si>
    <t>2016067511</t>
  </si>
  <si>
    <t>B2 0133</t>
  </si>
  <si>
    <t>2016067517</t>
  </si>
  <si>
    <t>B2 0351</t>
  </si>
  <si>
    <t>2016067512</t>
  </si>
  <si>
    <t>B3 5139</t>
  </si>
  <si>
    <t>B3 5140</t>
  </si>
  <si>
    <t>2016067520</t>
  </si>
  <si>
    <t>B3 5152</t>
  </si>
  <si>
    <t>B4 0920</t>
  </si>
  <si>
    <t>B2 2095</t>
  </si>
  <si>
    <t>B3 4316</t>
  </si>
  <si>
    <t>B3 3202</t>
  </si>
  <si>
    <t>B3 4623</t>
  </si>
  <si>
    <t>2016211646</t>
  </si>
  <si>
    <t>B2 1307</t>
  </si>
  <si>
    <t>2016211643</t>
  </si>
  <si>
    <t>2016067518</t>
  </si>
  <si>
    <t>B3 3814</t>
  </si>
  <si>
    <t>2016211650</t>
  </si>
  <si>
    <t>B2 1530</t>
  </si>
  <si>
    <t>2016211642</t>
  </si>
  <si>
    <t>B1 1913</t>
  </si>
  <si>
    <t>2016211644</t>
  </si>
  <si>
    <t>B3 3990</t>
  </si>
  <si>
    <t>2016211641</t>
  </si>
  <si>
    <t>B2 1309</t>
  </si>
  <si>
    <t>2016211645</t>
  </si>
  <si>
    <t>B2 2214</t>
  </si>
  <si>
    <t>2016211648</t>
  </si>
  <si>
    <t>B3 2707</t>
  </si>
  <si>
    <t>B2 1565</t>
  </si>
  <si>
    <t>2016211647</t>
  </si>
  <si>
    <t>B2 1341</t>
  </si>
  <si>
    <t>2016002461</t>
  </si>
  <si>
    <t>2016106415</t>
  </si>
  <si>
    <t>2016211490</t>
  </si>
  <si>
    <t>2016211489</t>
  </si>
  <si>
    <t>2016215204</t>
  </si>
  <si>
    <t>2016215201</t>
  </si>
  <si>
    <t>2016215203</t>
  </si>
  <si>
    <t>2016215202</t>
  </si>
  <si>
    <t>2016215509</t>
  </si>
  <si>
    <t>B1 0893</t>
  </si>
  <si>
    <t>B1 0906</t>
  </si>
  <si>
    <t>B1 1373</t>
  </si>
  <si>
    <t>B1 1210</t>
  </si>
  <si>
    <t>B2 0741</t>
  </si>
  <si>
    <t>B2 0323</t>
  </si>
  <si>
    <t>B1 0887</t>
  </si>
  <si>
    <t>2016211649</t>
  </si>
  <si>
    <t>NB(N°146/2016)</t>
  </si>
  <si>
    <t>Fergani med</t>
  </si>
  <si>
    <t>NB(N°137/2016)</t>
  </si>
  <si>
    <t>Guernina kheira</t>
  </si>
  <si>
    <t>2016211870</t>
  </si>
  <si>
    <t>BB 0130</t>
  </si>
  <si>
    <t>2016215210</t>
  </si>
  <si>
    <t>NB(N°0085/2016)</t>
  </si>
  <si>
    <t>Benaissa ali</t>
  </si>
  <si>
    <t>2016211868</t>
  </si>
  <si>
    <t>NB(N°0105/2016)</t>
  </si>
  <si>
    <t>Benali kahina ep benaissa</t>
  </si>
  <si>
    <t>2016211869</t>
  </si>
  <si>
    <t>NB(N°0100/2016)</t>
  </si>
  <si>
    <t>Bouchibane houcine</t>
  </si>
  <si>
    <t>2016211867</t>
  </si>
  <si>
    <t>NB(N°0140/2016)</t>
  </si>
  <si>
    <t>Arib med</t>
  </si>
  <si>
    <t>2016211866</t>
  </si>
  <si>
    <t>NB(N°0125/2016)</t>
  </si>
  <si>
    <t>Bensalah samir</t>
  </si>
  <si>
    <t>2016211865</t>
  </si>
  <si>
    <t>NB(N°0099/2015)</t>
  </si>
  <si>
    <t>Saad saoud ahmed</t>
  </si>
  <si>
    <t>2016002466</t>
  </si>
  <si>
    <t>2016211863</t>
  </si>
  <si>
    <t>2016211864</t>
  </si>
  <si>
    <t>B2 1822</t>
  </si>
  <si>
    <t>B2 1513</t>
  </si>
  <si>
    <t>BB 0020</t>
  </si>
  <si>
    <t>B4 0912</t>
  </si>
  <si>
    <t>2016211861</t>
  </si>
  <si>
    <t>BB 0230</t>
  </si>
  <si>
    <t>2016215424</t>
  </si>
  <si>
    <t>2016215425</t>
  </si>
  <si>
    <t>Benaissa n/eddine</t>
  </si>
  <si>
    <t>Chef D'agence</t>
  </si>
  <si>
    <r>
      <t xml:space="preserve">Mois de Novembre </t>
    </r>
    <r>
      <rPr>
        <b/>
        <sz val="11"/>
        <rFont val="Arial"/>
        <family val="2"/>
      </rPr>
      <t>2016</t>
    </r>
  </si>
  <si>
    <t>2016000341</t>
  </si>
  <si>
    <t>BB 0128</t>
  </si>
  <si>
    <t>BB 0088</t>
  </si>
  <si>
    <t>2016002465</t>
  </si>
  <si>
    <t>CEM ECOLE HASNAOUI</t>
  </si>
  <si>
    <t>B3 3244</t>
  </si>
  <si>
    <t>2016278839</t>
  </si>
  <si>
    <t>2016215421</t>
  </si>
  <si>
    <t>Boukarta A/rahim</t>
  </si>
  <si>
    <t>2016215423</t>
  </si>
  <si>
    <t>NB(N°0010/2016)</t>
  </si>
  <si>
    <t>NB(N°0231/2015)</t>
  </si>
  <si>
    <t>Zekkour med</t>
  </si>
  <si>
    <t>2016215422</t>
  </si>
  <si>
    <t>NB(N°0090/2016)</t>
  </si>
  <si>
    <t>El kous zoubir</t>
  </si>
  <si>
    <t>2016211862</t>
  </si>
  <si>
    <t>NB(N°0374/2016)</t>
  </si>
  <si>
    <t>Benattalah achour</t>
  </si>
  <si>
    <t>B4 1786</t>
  </si>
  <si>
    <t>2016215430</t>
  </si>
  <si>
    <t>2016215427</t>
  </si>
  <si>
    <t>NB(N°0307/2014)</t>
  </si>
  <si>
    <t>Ali Rabah</t>
  </si>
  <si>
    <t>2016215426</t>
  </si>
  <si>
    <t>Boumahdi aek</t>
  </si>
  <si>
    <t>2016215429</t>
  </si>
  <si>
    <t>2016215428</t>
  </si>
  <si>
    <t>Belzakour ali</t>
  </si>
  <si>
    <t>Habache med</t>
  </si>
  <si>
    <t>2016211571</t>
  </si>
  <si>
    <t>NB(N°0192/2014)</t>
  </si>
  <si>
    <t>Chelfaoui rabah</t>
  </si>
  <si>
    <t>B4 1379</t>
  </si>
  <si>
    <t>2016211572</t>
  </si>
  <si>
    <t>NB(N°0181/2016)</t>
  </si>
  <si>
    <t>B4 0916</t>
  </si>
  <si>
    <t>2016211543</t>
  </si>
  <si>
    <t>B4 0917</t>
  </si>
  <si>
    <t>2016211542</t>
  </si>
  <si>
    <t>2016211541</t>
  </si>
  <si>
    <t>B1 1198</t>
  </si>
  <si>
    <t>2016211544</t>
  </si>
  <si>
    <t>Vente</t>
  </si>
  <si>
    <t>Potence RS Ain Omrane</t>
  </si>
  <si>
    <t>2016211574</t>
  </si>
  <si>
    <t>NB(N°0165/2016)</t>
  </si>
  <si>
    <t>Bouaissa billel</t>
  </si>
  <si>
    <t>2016211575</t>
  </si>
  <si>
    <t>NB(N°0168/2016)</t>
  </si>
  <si>
    <t>Kara med</t>
  </si>
  <si>
    <t>2016211576</t>
  </si>
  <si>
    <t>NB(N°0164/2016)</t>
  </si>
  <si>
    <t>Ferrah yamina</t>
  </si>
  <si>
    <t>2016211577</t>
  </si>
  <si>
    <t>NB(N°0162/2016)</t>
  </si>
  <si>
    <t>Ferrah aek</t>
  </si>
  <si>
    <t>2016211578</t>
  </si>
  <si>
    <t>NB(N°0163/2016)</t>
  </si>
  <si>
    <t>Ferrah azzeddine</t>
  </si>
  <si>
    <t>B4 0953</t>
  </si>
  <si>
    <t>2016211579</t>
  </si>
  <si>
    <t>B4 0951</t>
  </si>
  <si>
    <t>2016211580</t>
  </si>
  <si>
    <t>B1 1724</t>
  </si>
  <si>
    <t>2016211546</t>
  </si>
  <si>
    <t>B3 0839</t>
  </si>
  <si>
    <t>2016211547</t>
  </si>
  <si>
    <t>B3 0128</t>
  </si>
  <si>
    <t>B1 0115</t>
  </si>
  <si>
    <t>002463</t>
  </si>
  <si>
    <t>2016279130</t>
  </si>
  <si>
    <t>NB(N°0030/2016)</t>
  </si>
  <si>
    <t>2016279129</t>
  </si>
  <si>
    <t>NB(N°0051/2016)</t>
  </si>
  <si>
    <t>Alloune n/eddine</t>
  </si>
  <si>
    <t>Alloune boualem</t>
  </si>
  <si>
    <t>2016211550</t>
  </si>
  <si>
    <t>NB(N°0148/2016)</t>
  </si>
  <si>
    <t>Zitouni ouahid</t>
  </si>
  <si>
    <t>00323</t>
  </si>
  <si>
    <t>Sarl maghribine</t>
  </si>
  <si>
    <t>2016211548</t>
  </si>
  <si>
    <t>NB(N°0171/2016)</t>
  </si>
  <si>
    <t>Bouchenafa lakhdar</t>
  </si>
  <si>
    <t>2016280456</t>
  </si>
  <si>
    <t>NB(N°0190/2016)</t>
  </si>
  <si>
    <t>Chikhaoui bachir</t>
  </si>
  <si>
    <t>2016280457</t>
  </si>
  <si>
    <t>NB(N°0175/2016)</t>
  </si>
  <si>
    <t>Boulesnam berkhissa</t>
  </si>
  <si>
    <r>
      <t xml:space="preserve">Mois de Decembre </t>
    </r>
    <r>
      <rPr>
        <b/>
        <sz val="11"/>
        <rFont val="Arial"/>
        <family val="2"/>
      </rPr>
      <t>2016</t>
    </r>
  </si>
  <si>
    <t>2016280460</t>
  </si>
  <si>
    <t>2016280458</t>
  </si>
  <si>
    <t>NB(N°0018/2016)</t>
  </si>
  <si>
    <t>Kefaifi messaoud</t>
  </si>
  <si>
    <t>NB(N°0152/2016)</t>
  </si>
  <si>
    <t>Sahi mahfoud</t>
  </si>
  <si>
    <t>2016280453</t>
  </si>
  <si>
    <t>NB(N°0118/2016)</t>
  </si>
  <si>
    <t>Benrached benaissa</t>
  </si>
  <si>
    <t>2016280459</t>
  </si>
  <si>
    <t>NB(N°0176/2016)</t>
  </si>
  <si>
    <t>Bessam lakhdar</t>
  </si>
  <si>
    <t>Berraf brahim</t>
  </si>
  <si>
    <t>2016280454</t>
  </si>
  <si>
    <t>NB(N°0149/2016)</t>
  </si>
  <si>
    <t>Ziouane med</t>
  </si>
  <si>
    <t>2016280455</t>
  </si>
  <si>
    <t>NB(N°0115/2016)</t>
  </si>
  <si>
    <t>Ouabel redha</t>
  </si>
  <si>
    <t>2016211549</t>
  </si>
  <si>
    <t>NB(N°0138/2016)</t>
  </si>
  <si>
    <t>Sonelgaz Agence B/ghia</t>
  </si>
  <si>
    <t>2016278831</t>
  </si>
  <si>
    <t>NB(N°0184/2016)</t>
  </si>
  <si>
    <t>Zenkar madjid</t>
  </si>
  <si>
    <t>B3 3797</t>
  </si>
  <si>
    <t>2016280452</t>
  </si>
  <si>
    <t>2016278834</t>
  </si>
  <si>
    <t>Bouziane rachid</t>
  </si>
  <si>
    <t>2016278833</t>
  </si>
  <si>
    <t>Bouziane ali</t>
  </si>
  <si>
    <t>2016278838</t>
  </si>
  <si>
    <t>NB(N°0093/2016)</t>
  </si>
  <si>
    <t>2016278832</t>
  </si>
  <si>
    <t>NB(N°0200/2016)</t>
  </si>
  <si>
    <t>Belhadj n/eddine</t>
  </si>
  <si>
    <t>Benslimane hakim</t>
  </si>
  <si>
    <t>Anaiba Ahmed</t>
  </si>
  <si>
    <t>2016211573</t>
  </si>
  <si>
    <t>NB(N°0172/2016)</t>
  </si>
  <si>
    <t>NB(N°0094/2016)</t>
  </si>
  <si>
    <t>NB(N°0143/2016)</t>
  </si>
  <si>
    <t>45329238</t>
  </si>
  <si>
    <t>2016211545</t>
  </si>
  <si>
    <t>002464</t>
  </si>
  <si>
    <t>2016278836</t>
  </si>
  <si>
    <t>NB(N°0170/2016)</t>
  </si>
  <si>
    <t>Khelifa ali</t>
  </si>
  <si>
    <t>2016278840</t>
  </si>
  <si>
    <t>Abdelah kamel</t>
  </si>
  <si>
    <t>NB(N°002/2013)</t>
  </si>
  <si>
    <t>2016278835</t>
  </si>
  <si>
    <t>NB(N°0197/2016)</t>
  </si>
  <si>
    <t>Attab abderahmane</t>
  </si>
  <si>
    <t>NB(N°0159/2016)</t>
  </si>
  <si>
    <t>NB(N°0160/2016)</t>
  </si>
  <si>
    <t>2016280451</t>
  </si>
  <si>
    <t>NB(N°0161/2016)</t>
  </si>
  <si>
    <t>2016278837</t>
  </si>
  <si>
    <t>NB(N°0113/2016)</t>
  </si>
  <si>
    <t>Benattalah hocine</t>
  </si>
  <si>
    <t>B4 1016</t>
  </si>
  <si>
    <t>NB(N°186/2016)</t>
  </si>
  <si>
    <t>Tifour laid</t>
  </si>
  <si>
    <t>2016280482</t>
  </si>
  <si>
    <t>2016280484</t>
  </si>
  <si>
    <t>NB(N°0048/2016)</t>
  </si>
  <si>
    <t>Bakhti med</t>
  </si>
  <si>
    <t>2016280485</t>
  </si>
  <si>
    <t>NB(N°0154/2016)</t>
  </si>
  <si>
    <t>Attari rabah</t>
  </si>
  <si>
    <t>2016280481</t>
  </si>
  <si>
    <t>NB(N°0150/2016)</t>
  </si>
  <si>
    <t>Bentebrour med</t>
  </si>
  <si>
    <t>2016280483</t>
  </si>
  <si>
    <t>NB(N°0202/2016)</t>
  </si>
  <si>
    <t>Bouaissa benafous</t>
  </si>
  <si>
    <t>2016280486</t>
  </si>
  <si>
    <t>B4 0966</t>
  </si>
  <si>
    <t>B1 0964</t>
  </si>
  <si>
    <t>2016280490</t>
  </si>
  <si>
    <t>2016280489</t>
  </si>
  <si>
    <t>2016280487</t>
  </si>
  <si>
    <t>NB(N°0213/2016)</t>
  </si>
  <si>
    <t>Etablissement de readaptation</t>
  </si>
  <si>
    <t>2016279155</t>
  </si>
  <si>
    <t>B3 4426</t>
  </si>
  <si>
    <t>B1 1795</t>
  </si>
  <si>
    <t>2016279160</t>
  </si>
  <si>
    <t>B1 0262</t>
  </si>
  <si>
    <t>2016280488</t>
  </si>
  <si>
    <t>NB(N°174/2016)</t>
  </si>
  <si>
    <t>Yahiaoui yahia</t>
  </si>
  <si>
    <t>B2 1841</t>
  </si>
  <si>
    <t>2016279747</t>
  </si>
  <si>
    <t>B4 0217</t>
  </si>
  <si>
    <t>2016279750</t>
  </si>
  <si>
    <t>B2 0108</t>
  </si>
  <si>
    <t>2016279749</t>
  </si>
  <si>
    <t>B2 1834</t>
  </si>
  <si>
    <t>2016279746</t>
  </si>
  <si>
    <t>CHEF D'AGENCE</t>
  </si>
  <si>
    <t>B2 0016</t>
  </si>
  <si>
    <t>2016279748</t>
  </si>
  <si>
    <t>2016002335</t>
  </si>
  <si>
    <t>NB(N°177/2016)</t>
  </si>
  <si>
    <t>Surêté de daîra</t>
  </si>
  <si>
    <t>2016279156</t>
  </si>
  <si>
    <t>2016279158</t>
  </si>
  <si>
    <t>NB(N°0095/2016)</t>
  </si>
  <si>
    <t>Deghiche lakhdar</t>
  </si>
  <si>
    <t>Adoul ali</t>
  </si>
  <si>
    <t>B2 0478</t>
  </si>
  <si>
    <t>2016278949</t>
  </si>
  <si>
    <t>B4 0727</t>
  </si>
  <si>
    <t>2016278946</t>
  </si>
  <si>
    <t>B2 0502</t>
  </si>
  <si>
    <t>2016278941</t>
  </si>
  <si>
    <t>B2 0707</t>
  </si>
  <si>
    <t>2016278947</t>
  </si>
  <si>
    <t>B2 0655</t>
  </si>
  <si>
    <t>2016278948</t>
  </si>
  <si>
    <t>BC 0483</t>
  </si>
  <si>
    <t>2016280581</t>
  </si>
  <si>
    <t>2016280582</t>
  </si>
  <si>
    <t>2016280583</t>
  </si>
  <si>
    <t>2016280584</t>
  </si>
  <si>
    <t>2016280585</t>
  </si>
  <si>
    <t>2016280586</t>
  </si>
  <si>
    <t>2016280587</t>
  </si>
  <si>
    <t>2016280588</t>
  </si>
  <si>
    <t>2016280589</t>
  </si>
  <si>
    <t>2016280590</t>
  </si>
  <si>
    <t>2016280571</t>
  </si>
  <si>
    <t>2016280572</t>
  </si>
  <si>
    <t>2016280573</t>
  </si>
  <si>
    <t>2016280574</t>
  </si>
  <si>
    <t>2016280575</t>
  </si>
  <si>
    <t>2016280576</t>
  </si>
  <si>
    <t>2016280577</t>
  </si>
  <si>
    <t>2016280578</t>
  </si>
  <si>
    <t>2016280579</t>
  </si>
  <si>
    <t>2016280580</t>
  </si>
  <si>
    <t>2016279091</t>
  </si>
  <si>
    <t>2016279092</t>
  </si>
  <si>
    <t>2016279093</t>
  </si>
  <si>
    <t>2016279094</t>
  </si>
  <si>
    <t>2016279095</t>
  </si>
  <si>
    <t>2016279096</t>
  </si>
  <si>
    <t>2016279097</t>
  </si>
  <si>
    <t>2016279098</t>
  </si>
  <si>
    <t>2016279099</t>
  </si>
  <si>
    <t>2016279100</t>
  </si>
  <si>
    <t>2016278901</t>
  </si>
  <si>
    <t>2016278902</t>
  </si>
  <si>
    <t>2016278903</t>
  </si>
  <si>
    <t>2016278904</t>
  </si>
  <si>
    <t>2016278905</t>
  </si>
  <si>
    <t>2016278906</t>
  </si>
  <si>
    <t>2016278907</t>
  </si>
  <si>
    <t>2016278908</t>
  </si>
  <si>
    <t>2016278909</t>
  </si>
  <si>
    <t>2016278910</t>
  </si>
  <si>
    <t>2016279161</t>
  </si>
  <si>
    <t>2016279162</t>
  </si>
  <si>
    <t>2016279163</t>
  </si>
  <si>
    <t>2016279164</t>
  </si>
  <si>
    <t>2016279165</t>
  </si>
  <si>
    <t>2016279166</t>
  </si>
  <si>
    <t>2016279167</t>
  </si>
  <si>
    <t>2016279168</t>
  </si>
  <si>
    <t>2016279169</t>
  </si>
  <si>
    <t>2016279170</t>
  </si>
  <si>
    <t>2016280471</t>
  </si>
  <si>
    <t>2016280472</t>
  </si>
  <si>
    <t>2016280473</t>
  </si>
  <si>
    <t>2016280474</t>
  </si>
  <si>
    <t>2016280475</t>
  </si>
  <si>
    <t>2016280476</t>
  </si>
  <si>
    <t>2016280477</t>
  </si>
  <si>
    <t>2016280478</t>
  </si>
  <si>
    <t>2016280479</t>
  </si>
  <si>
    <t>2016280480</t>
  </si>
  <si>
    <t>2016279191</t>
  </si>
  <si>
    <t>2016279192</t>
  </si>
  <si>
    <t>2016279193</t>
  </si>
  <si>
    <t>2016279194</t>
  </si>
  <si>
    <t>2016279195</t>
  </si>
  <si>
    <t>2016279196</t>
  </si>
  <si>
    <t>2016279197</t>
  </si>
  <si>
    <t>2016279198</t>
  </si>
  <si>
    <t>XG 0781</t>
  </si>
  <si>
    <t>B1 2433</t>
  </si>
  <si>
    <t>B4 2159</t>
  </si>
  <si>
    <t>B2 2621</t>
  </si>
  <si>
    <t>B2 2594</t>
  </si>
  <si>
    <t>B1 2671</t>
  </si>
  <si>
    <t>B1 2427</t>
  </si>
  <si>
    <t>B2 2572</t>
  </si>
  <si>
    <t>B3 5196</t>
  </si>
  <si>
    <t>Benlahoual med ben houcine</t>
  </si>
  <si>
    <t>Mohammedi hadda</t>
  </si>
  <si>
    <t>Khazaz boumediene</t>
  </si>
  <si>
    <t>B2 2586</t>
  </si>
  <si>
    <t>B1 2426</t>
  </si>
  <si>
    <t>Voir chef de centre</t>
  </si>
  <si>
    <t>BB 0118</t>
  </si>
  <si>
    <t>B4 2156</t>
  </si>
  <si>
    <t>B4 2161</t>
  </si>
  <si>
    <t>B2 2573</t>
  </si>
  <si>
    <t>B1 2373</t>
  </si>
  <si>
    <t>B4 2160</t>
  </si>
  <si>
    <t>B1 2430</t>
  </si>
  <si>
    <t>BC 0559</t>
  </si>
  <si>
    <t>BC 0554</t>
  </si>
  <si>
    <t>B1 2431</t>
  </si>
  <si>
    <t>B1 2421</t>
  </si>
  <si>
    <t>B2 2577</t>
  </si>
  <si>
    <t>B1 2420</t>
  </si>
  <si>
    <t>B3 5197</t>
  </si>
  <si>
    <t>BC 0560</t>
  </si>
  <si>
    <t>B2 2580</t>
  </si>
  <si>
    <t>B2 2581</t>
  </si>
  <si>
    <t>B2 2582</t>
  </si>
  <si>
    <t>B4 2158</t>
  </si>
  <si>
    <t>B2 2584</t>
  </si>
  <si>
    <t>B2 2583</t>
  </si>
  <si>
    <t>B2 2568</t>
  </si>
  <si>
    <t>BC 0553</t>
  </si>
  <si>
    <t>B1 2226</t>
  </si>
  <si>
    <t>B2 2570</t>
  </si>
  <si>
    <t>B1 2429</t>
  </si>
  <si>
    <t>B1 2422</t>
  </si>
  <si>
    <t>B2 2585</t>
  </si>
  <si>
    <t>B1 2428</t>
  </si>
  <si>
    <t>BC 0556</t>
  </si>
  <si>
    <t>BC 0558</t>
  </si>
  <si>
    <t>B3 5198</t>
  </si>
  <si>
    <t>BC 0563</t>
  </si>
  <si>
    <t>B2 2589</t>
  </si>
  <si>
    <t>B2 2591</t>
  </si>
  <si>
    <t>B2 2335</t>
  </si>
  <si>
    <t>Bouatou a/halim</t>
  </si>
  <si>
    <t>B1 2555</t>
  </si>
  <si>
    <t>Aichour benazouz</t>
  </si>
  <si>
    <t>B2 2590</t>
  </si>
  <si>
    <t>B2 2560</t>
  </si>
  <si>
    <t>B2 2595</t>
  </si>
  <si>
    <t>B2 2588</t>
  </si>
  <si>
    <t>B1 2559</t>
  </si>
  <si>
    <t>B2 2596</t>
  </si>
  <si>
    <t>BC 0565</t>
  </si>
  <si>
    <t>B3 5372</t>
  </si>
  <si>
    <t>B3 5373</t>
  </si>
  <si>
    <t>B1 2553</t>
  </si>
  <si>
    <t>B1 2563</t>
  </si>
  <si>
    <t>B4 2163</t>
  </si>
  <si>
    <t>B4 2164</t>
  </si>
  <si>
    <t>BC 0564</t>
  </si>
  <si>
    <t>B1 2562</t>
  </si>
  <si>
    <t>B1 2561</t>
  </si>
  <si>
    <t>B1 2558</t>
  </si>
  <si>
    <t>B3 5374</t>
  </si>
  <si>
    <t>B2 2599</t>
  </si>
  <si>
    <t>B2 2598</t>
  </si>
  <si>
    <t>B2 2592</t>
  </si>
  <si>
    <t>B1 2557</t>
  </si>
  <si>
    <t>B1 2556</t>
  </si>
  <si>
    <t>BC 0562</t>
  </si>
  <si>
    <t>BC 0567</t>
  </si>
  <si>
    <t>B1 2663</t>
  </si>
  <si>
    <t>B1 2664</t>
  </si>
  <si>
    <t>B2 2601</t>
  </si>
  <si>
    <t>B2 2600</t>
  </si>
  <si>
    <t>B2 2606</t>
  </si>
  <si>
    <t>B2 2597</t>
  </si>
  <si>
    <t>BC 0574</t>
  </si>
  <si>
    <t>BC 0566</t>
  </si>
  <si>
    <t>B2 2593</t>
  </si>
  <si>
    <t>B2 2607</t>
  </si>
  <si>
    <t>B2 2604</t>
  </si>
  <si>
    <t>B2 2610</t>
  </si>
  <si>
    <t>BC 0570</t>
  </si>
  <si>
    <t>Ouabel malika</t>
  </si>
  <si>
    <t>B3 5376</t>
  </si>
  <si>
    <t>B2 2602</t>
  </si>
  <si>
    <t>B1 2665</t>
  </si>
  <si>
    <t>BC 0571</t>
  </si>
  <si>
    <t>B2 2603</t>
  </si>
  <si>
    <t>B5 0065</t>
  </si>
  <si>
    <t>B2 2609</t>
  </si>
  <si>
    <t>B1 2668</t>
  </si>
  <si>
    <t>B1 2564</t>
  </si>
  <si>
    <t>B2 2472</t>
  </si>
  <si>
    <t>B4 2165</t>
  </si>
  <si>
    <t>B4 2166</t>
  </si>
  <si>
    <t>B2 2605</t>
  </si>
  <si>
    <t>BC 0569</t>
  </si>
  <si>
    <t>B1 2670</t>
  </si>
  <si>
    <t>BC 0568</t>
  </si>
  <si>
    <t>B3 5378</t>
  </si>
  <si>
    <t>B3 5379</t>
  </si>
  <si>
    <t>B2 2612</t>
  </si>
  <si>
    <t>B2 2611</t>
  </si>
  <si>
    <t>B1 2672</t>
  </si>
  <si>
    <t>B2 2616</t>
  </si>
  <si>
    <t>B1 2666</t>
  </si>
  <si>
    <t>BC 0572</t>
  </si>
  <si>
    <t>BC 0573</t>
  </si>
  <si>
    <t>B2 2618</t>
  </si>
  <si>
    <t>B2 2613</t>
  </si>
  <si>
    <t>B2 2615</t>
  </si>
  <si>
    <t>B2 2614</t>
  </si>
  <si>
    <t>B2 2620</t>
  </si>
  <si>
    <t>B2 2619</t>
  </si>
  <si>
    <t>B4 2169</t>
  </si>
  <si>
    <t>B5 0066</t>
  </si>
  <si>
    <t>BC 0575</t>
  </si>
  <si>
    <t>B4 2171</t>
  </si>
  <si>
    <t>B1 2667</t>
  </si>
  <si>
    <t>B2 2625</t>
  </si>
  <si>
    <t>B1 2680</t>
  </si>
  <si>
    <t>B1 2678</t>
  </si>
  <si>
    <t>B2 2628</t>
  </si>
  <si>
    <t>BC 0582</t>
  </si>
  <si>
    <t>B2 2626</t>
  </si>
  <si>
    <t>B2 2622</t>
  </si>
  <si>
    <t>BC 0583</t>
  </si>
  <si>
    <t>B1 2677</t>
  </si>
  <si>
    <t>B1 2674</t>
  </si>
  <si>
    <t>B4 2168</t>
  </si>
  <si>
    <t>B2 2632</t>
  </si>
  <si>
    <t>B2 2624</t>
  </si>
  <si>
    <t>B4 2167</t>
  </si>
  <si>
    <t>B1 2675</t>
  </si>
  <si>
    <t>B1 2673</t>
  </si>
  <si>
    <t>B2 2631</t>
  </si>
  <si>
    <t>B1 2676</t>
  </si>
  <si>
    <t>B2 2617</t>
  </si>
  <si>
    <t>B2 2629</t>
  </si>
  <si>
    <t>B3 5375</t>
  </si>
  <si>
    <t>B3 5380</t>
  </si>
  <si>
    <t>B2 2633</t>
  </si>
  <si>
    <t>B3 3108</t>
  </si>
  <si>
    <t>B3 5377</t>
  </si>
  <si>
    <t>BB 0238</t>
  </si>
  <si>
    <t>BC 0601</t>
  </si>
  <si>
    <t>BB 0235</t>
  </si>
  <si>
    <t>BB 0239</t>
  </si>
  <si>
    <t>13 1407</t>
  </si>
  <si>
    <t>NB(N°0225/2014)</t>
  </si>
  <si>
    <t>NB(N°0292/2014)</t>
  </si>
  <si>
    <t>NB(N°0034/2016)</t>
  </si>
  <si>
    <t>B3 5664</t>
  </si>
  <si>
    <t>B2 1749</t>
  </si>
  <si>
    <t>2016215205</t>
  </si>
  <si>
    <t>2016215206</t>
  </si>
  <si>
    <t>2016215207</t>
  </si>
  <si>
    <t>2016215208</t>
  </si>
  <si>
    <t>B2 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</si>
</sst>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sz val="1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6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8" fillId="0" borderId="0" xfId="1" applyFont="1" applyAlignment="1">
      <alignment vertical="center" wrapText="1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1" fillId="0" borderId="0" xfId="1" applyNumberFormat="1" applyFont="1" applyAlignment="1">
      <alignment vertical="center" wrapText="1"/>
    </xf>
    <xf numFmtId="0" fontId="1" fillId="0" borderId="0" xfId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14" fontId="15" fillId="0" borderId="1" xfId="0" applyNumberFormat="1" applyFont="1" applyBorder="1" applyAlignment="1">
      <alignment horizontal="center"/>
    </xf>
    <xf numFmtId="0" fontId="1" fillId="0" borderId="0" xfId="1" applyFill="1"/>
    <xf numFmtId="0" fontId="9" fillId="0" borderId="4" xfId="1" applyFont="1" applyBorder="1" applyAlignment="1">
      <alignment horizontal="righ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20</xdr:row>
      <xdr:rowOff>161925</xdr:rowOff>
    </xdr:from>
    <xdr:to>
      <xdr:col>5</xdr:col>
      <xdr:colOff>1095375</xdr:colOff>
      <xdr:row>37</xdr:row>
      <xdr:rowOff>171450</xdr:rowOff>
    </xdr:to>
    <xdr:cxnSp macro="">
      <xdr:nvCxnSpPr>
        <xdr:cNvPr id="3" name="Straight Connector 2"/>
        <xdr:cNvCxnSpPr/>
      </xdr:nvCxnSpPr>
      <xdr:spPr>
        <a:xfrm flipH="1">
          <a:off x="552450" y="4305300"/>
          <a:ext cx="4029075" cy="3248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>
      <selection activeCell="B11" sqref="B11"/>
    </sheetView>
  </sheetViews>
  <sheetFormatPr baseColWidth="10" defaultColWidth="11.42578125" defaultRowHeight="15" x14ac:dyDescent="0.25"/>
  <cols>
    <col min="1" max="1" width="8.85546875" bestFit="1" customWidth="1"/>
    <col min="2" max="2" width="14.85546875" bestFit="1" customWidth="1"/>
    <col min="6" max="6" width="17.7109375" customWidth="1"/>
    <col min="7" max="7" width="3.28515625" hidden="1" customWidth="1"/>
    <col min="8" max="8" width="29.85546875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 ca="1">SUMIF(F7:F128,"Elimination*",G7:G78)</f>
        <v>22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 ca="1">SUMIF(F7:F128,"NB*",G7:G78)</f>
        <v>6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 ca="1">SUMIF(F7:F128,"Ve*",G7:G78)</f>
        <v>2</v>
      </c>
    </row>
    <row r="5" spans="1:11" ht="15.75" x14ac:dyDescent="0.25">
      <c r="A5" s="57" t="s">
        <v>17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 ca="1">SUM(K2:K4)</f>
        <v>30</v>
      </c>
    </row>
    <row r="6" spans="1:11" ht="21.6" customHeight="1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1079</v>
      </c>
      <c r="C7" s="11" t="s">
        <v>18</v>
      </c>
      <c r="D7" s="9" t="s">
        <v>19</v>
      </c>
      <c r="E7" s="14">
        <v>42372</v>
      </c>
      <c r="F7" s="24" t="s">
        <v>20</v>
      </c>
      <c r="G7" s="19">
        <v>1</v>
      </c>
      <c r="H7" s="2" t="s">
        <v>1081</v>
      </c>
      <c r="I7" s="18"/>
      <c r="J7" s="18"/>
      <c r="K7" s="1"/>
    </row>
    <row r="8" spans="1:11" ht="15" customHeight="1" x14ac:dyDescent="0.25">
      <c r="A8" s="17">
        <f>+A7+1</f>
        <v>2</v>
      </c>
      <c r="B8" s="15" t="s">
        <v>1078</v>
      </c>
      <c r="C8" s="11" t="s">
        <v>18</v>
      </c>
      <c r="D8" s="9" t="s">
        <v>21</v>
      </c>
      <c r="E8" s="14">
        <v>42372</v>
      </c>
      <c r="F8" s="24" t="s">
        <v>22</v>
      </c>
      <c r="G8" s="19">
        <v>1</v>
      </c>
      <c r="H8" s="2" t="s">
        <v>1082</v>
      </c>
      <c r="I8" s="2"/>
      <c r="J8" s="2"/>
      <c r="K8" s="1"/>
    </row>
    <row r="9" spans="1:11" ht="15" customHeight="1" x14ac:dyDescent="0.25">
      <c r="A9" s="17">
        <f t="shared" ref="A9:A36" si="0">+A8+1</f>
        <v>3</v>
      </c>
      <c r="B9" s="15" t="s">
        <v>1080</v>
      </c>
      <c r="C9" s="11" t="s">
        <v>18</v>
      </c>
      <c r="D9" s="9" t="s">
        <v>23</v>
      </c>
      <c r="E9" s="14">
        <v>42372</v>
      </c>
      <c r="F9" s="24" t="s">
        <v>24</v>
      </c>
      <c r="G9" s="19">
        <v>1</v>
      </c>
      <c r="H9" s="2" t="s">
        <v>1083</v>
      </c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38</v>
      </c>
      <c r="C10" s="11" t="s">
        <v>18</v>
      </c>
      <c r="D10" s="9" t="s">
        <v>25</v>
      </c>
      <c r="E10" s="14">
        <v>42380</v>
      </c>
      <c r="F10" s="24" t="s">
        <v>26</v>
      </c>
      <c r="G10" s="19">
        <v>1</v>
      </c>
      <c r="H10" s="2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27</v>
      </c>
      <c r="C11" s="11" t="s">
        <v>28</v>
      </c>
      <c r="D11" s="9" t="s">
        <v>29</v>
      </c>
      <c r="E11" s="14">
        <v>42382</v>
      </c>
      <c r="F11" s="24" t="s">
        <v>26</v>
      </c>
      <c r="G11" s="19">
        <v>1</v>
      </c>
      <c r="H11" s="2"/>
      <c r="I11" s="2"/>
      <c r="J11" s="2"/>
      <c r="K11" s="1"/>
    </row>
    <row r="12" spans="1:11" ht="15" customHeight="1" x14ac:dyDescent="0.25">
      <c r="A12" s="17">
        <f t="shared" si="0"/>
        <v>6</v>
      </c>
      <c r="B12" s="15" t="s">
        <v>36</v>
      </c>
      <c r="C12" s="11" t="s">
        <v>18</v>
      </c>
      <c r="D12" s="9" t="s">
        <v>37</v>
      </c>
      <c r="E12" s="14">
        <v>42383</v>
      </c>
      <c r="F12" s="24" t="s">
        <v>26</v>
      </c>
      <c r="G12" s="12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34</v>
      </c>
      <c r="C13" s="11" t="s">
        <v>18</v>
      </c>
      <c r="D13" s="9" t="s">
        <v>35</v>
      </c>
      <c r="E13" s="14">
        <v>42383</v>
      </c>
      <c r="F13" s="24" t="s">
        <v>26</v>
      </c>
      <c r="G13" s="12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32</v>
      </c>
      <c r="C14" s="11" t="s">
        <v>18</v>
      </c>
      <c r="D14" s="9" t="s">
        <v>33</v>
      </c>
      <c r="E14" s="14">
        <v>42383</v>
      </c>
      <c r="F14" s="24" t="s">
        <v>26</v>
      </c>
      <c r="G14" s="12">
        <v>1</v>
      </c>
      <c r="H14" s="2"/>
      <c r="I14" s="2"/>
      <c r="J14" s="2"/>
      <c r="K14" s="1"/>
    </row>
    <row r="15" spans="1:11" ht="15" customHeight="1" x14ac:dyDescent="0.25">
      <c r="A15" s="17">
        <f t="shared" si="0"/>
        <v>9</v>
      </c>
      <c r="B15" s="10" t="s">
        <v>1084</v>
      </c>
      <c r="C15" s="11" t="s">
        <v>18</v>
      </c>
      <c r="D15" s="9" t="s">
        <v>30</v>
      </c>
      <c r="E15" s="14">
        <v>42387</v>
      </c>
      <c r="F15" s="24" t="s">
        <v>39</v>
      </c>
      <c r="G15" s="19">
        <v>1</v>
      </c>
      <c r="H15" s="2" t="s">
        <v>40</v>
      </c>
      <c r="I15" s="2"/>
      <c r="J15" s="2"/>
    </row>
    <row r="16" spans="1:11" ht="15" customHeight="1" x14ac:dyDescent="0.25">
      <c r="A16" s="17">
        <f t="shared" si="0"/>
        <v>10</v>
      </c>
      <c r="B16" s="15" t="s">
        <v>1085</v>
      </c>
      <c r="C16" s="11" t="s">
        <v>18</v>
      </c>
      <c r="D16" s="9" t="s">
        <v>31</v>
      </c>
      <c r="E16" s="14">
        <v>42387</v>
      </c>
      <c r="F16" s="24" t="s">
        <v>41</v>
      </c>
      <c r="G16" s="19">
        <v>1</v>
      </c>
      <c r="H16" s="2" t="s">
        <v>42</v>
      </c>
      <c r="I16" s="2"/>
      <c r="J16" s="2"/>
    </row>
    <row r="17" spans="1:10" ht="15" customHeight="1" x14ac:dyDescent="0.25">
      <c r="A17" s="17">
        <f t="shared" si="0"/>
        <v>11</v>
      </c>
      <c r="B17" s="14" t="s">
        <v>1087</v>
      </c>
      <c r="C17" s="11" t="s">
        <v>18</v>
      </c>
      <c r="D17" s="9" t="s">
        <v>43</v>
      </c>
      <c r="E17" s="10">
        <v>42388</v>
      </c>
      <c r="F17" s="24" t="s">
        <v>53</v>
      </c>
      <c r="G17" s="12">
        <v>1</v>
      </c>
      <c r="H17" s="46" t="s">
        <v>1086</v>
      </c>
      <c r="I17" s="2"/>
      <c r="J17" s="2"/>
    </row>
    <row r="18" spans="1:10" ht="15" customHeight="1" x14ac:dyDescent="0.25">
      <c r="A18" s="17">
        <f t="shared" si="0"/>
        <v>12</v>
      </c>
      <c r="B18" s="14" t="s">
        <v>50</v>
      </c>
      <c r="C18" s="11" t="s">
        <v>18</v>
      </c>
      <c r="D18" s="9" t="s">
        <v>65</v>
      </c>
      <c r="E18" s="10">
        <v>42389</v>
      </c>
      <c r="F18" s="24" t="s">
        <v>26</v>
      </c>
      <c r="G18" s="12">
        <v>1</v>
      </c>
      <c r="H18" s="13"/>
      <c r="I18" s="2"/>
      <c r="J18" s="2"/>
    </row>
    <row r="19" spans="1:10" ht="15" customHeight="1" x14ac:dyDescent="0.25">
      <c r="A19" s="17">
        <f t="shared" si="0"/>
        <v>13</v>
      </c>
      <c r="B19" s="15" t="s">
        <v>45</v>
      </c>
      <c r="C19" s="11" t="s">
        <v>18</v>
      </c>
      <c r="D19" s="9" t="s">
        <v>44</v>
      </c>
      <c r="E19" s="10">
        <v>42389</v>
      </c>
      <c r="F19" s="24" t="s">
        <v>26</v>
      </c>
      <c r="G19" s="12">
        <v>1</v>
      </c>
      <c r="H19" s="13"/>
      <c r="I19" s="2"/>
      <c r="J19" s="2"/>
    </row>
    <row r="20" spans="1:10" ht="15" customHeight="1" x14ac:dyDescent="0.25">
      <c r="A20" s="17">
        <f t="shared" si="0"/>
        <v>14</v>
      </c>
      <c r="B20" s="14" t="s">
        <v>46</v>
      </c>
      <c r="C20" s="11" t="s">
        <v>18</v>
      </c>
      <c r="D20" s="9" t="s">
        <v>47</v>
      </c>
      <c r="E20" s="10">
        <v>42389</v>
      </c>
      <c r="F20" s="24" t="s">
        <v>26</v>
      </c>
      <c r="G20" s="12">
        <v>1</v>
      </c>
      <c r="H20" s="13"/>
      <c r="I20" s="2"/>
      <c r="J20" s="2"/>
    </row>
    <row r="21" spans="1:10" ht="15" customHeight="1" x14ac:dyDescent="0.25">
      <c r="A21" s="17">
        <f t="shared" si="0"/>
        <v>15</v>
      </c>
      <c r="B21" s="14" t="s">
        <v>48</v>
      </c>
      <c r="C21" s="11" t="s">
        <v>18</v>
      </c>
      <c r="D21" s="9" t="s">
        <v>49</v>
      </c>
      <c r="E21" s="10">
        <v>42389</v>
      </c>
      <c r="F21" s="24" t="s">
        <v>26</v>
      </c>
      <c r="G21" s="12">
        <v>1</v>
      </c>
      <c r="H21" s="13"/>
      <c r="I21" s="2"/>
      <c r="J21" s="2"/>
    </row>
    <row r="22" spans="1:10" ht="15" customHeight="1" x14ac:dyDescent="0.25">
      <c r="A22" s="17">
        <f t="shared" si="0"/>
        <v>16</v>
      </c>
      <c r="B22" s="15" t="s">
        <v>51</v>
      </c>
      <c r="C22" s="11" t="s">
        <v>18</v>
      </c>
      <c r="D22" s="9" t="s">
        <v>52</v>
      </c>
      <c r="E22" s="10">
        <v>42389</v>
      </c>
      <c r="F22" s="24" t="s">
        <v>26</v>
      </c>
      <c r="G22" s="12">
        <v>1</v>
      </c>
      <c r="H22" s="13"/>
      <c r="I22" s="2"/>
      <c r="J22" s="2"/>
    </row>
    <row r="23" spans="1:10" ht="15" customHeight="1" x14ac:dyDescent="0.25">
      <c r="A23" s="17">
        <f t="shared" si="0"/>
        <v>17</v>
      </c>
      <c r="B23" s="14" t="s">
        <v>59</v>
      </c>
      <c r="C23" s="11" t="s">
        <v>18</v>
      </c>
      <c r="D23" s="9" t="s">
        <v>60</v>
      </c>
      <c r="E23" s="14">
        <v>42390</v>
      </c>
      <c r="F23" s="24" t="s">
        <v>26</v>
      </c>
      <c r="G23" s="12">
        <v>1</v>
      </c>
      <c r="H23" s="13"/>
      <c r="I23" s="2"/>
      <c r="J23" s="2"/>
    </row>
    <row r="24" spans="1:10" ht="15" customHeight="1" x14ac:dyDescent="0.25">
      <c r="A24" s="17">
        <f t="shared" si="0"/>
        <v>18</v>
      </c>
      <c r="B24" s="14" t="s">
        <v>54</v>
      </c>
      <c r="C24" s="11" t="s">
        <v>18</v>
      </c>
      <c r="D24" s="9" t="s">
        <v>55</v>
      </c>
      <c r="E24" s="14">
        <v>42390</v>
      </c>
      <c r="F24" s="24" t="s">
        <v>56</v>
      </c>
      <c r="G24" s="12">
        <v>1</v>
      </c>
      <c r="H24" s="13"/>
      <c r="I24" s="2"/>
      <c r="J24" s="2"/>
    </row>
    <row r="25" spans="1:10" ht="15" customHeight="1" x14ac:dyDescent="0.25">
      <c r="A25" s="17">
        <f t="shared" si="0"/>
        <v>19</v>
      </c>
      <c r="B25" s="15" t="s">
        <v>61</v>
      </c>
      <c r="C25" s="11" t="s">
        <v>18</v>
      </c>
      <c r="D25" s="9" t="s">
        <v>62</v>
      </c>
      <c r="E25" s="14">
        <v>42390</v>
      </c>
      <c r="F25" s="24" t="s">
        <v>26</v>
      </c>
      <c r="G25" s="12">
        <v>1</v>
      </c>
      <c r="H25" s="13"/>
      <c r="I25" s="2"/>
      <c r="J25" s="2"/>
    </row>
    <row r="26" spans="1:10" ht="15" customHeight="1" x14ac:dyDescent="0.25">
      <c r="A26" s="17">
        <f t="shared" si="0"/>
        <v>20</v>
      </c>
      <c r="B26" s="14" t="s">
        <v>57</v>
      </c>
      <c r="C26" s="11" t="s">
        <v>18</v>
      </c>
      <c r="D26" s="9" t="s">
        <v>58</v>
      </c>
      <c r="E26" s="14">
        <v>42390</v>
      </c>
      <c r="F26" s="24" t="s">
        <v>26</v>
      </c>
      <c r="G26" s="12">
        <v>1</v>
      </c>
      <c r="H26" s="13"/>
      <c r="I26" s="2"/>
      <c r="J26" s="2"/>
    </row>
    <row r="27" spans="1:10" ht="15" customHeight="1" x14ac:dyDescent="0.25">
      <c r="A27" s="17">
        <f t="shared" si="0"/>
        <v>21</v>
      </c>
      <c r="B27" s="14" t="s">
        <v>63</v>
      </c>
      <c r="C27" s="11" t="s">
        <v>18</v>
      </c>
      <c r="D27" s="9" t="s">
        <v>64</v>
      </c>
      <c r="E27" s="14">
        <v>42390</v>
      </c>
      <c r="F27" s="24" t="s">
        <v>26</v>
      </c>
      <c r="G27" s="12">
        <v>1</v>
      </c>
      <c r="H27" s="13"/>
      <c r="I27" s="2"/>
      <c r="J27" s="2"/>
    </row>
    <row r="28" spans="1:10" ht="15" customHeight="1" x14ac:dyDescent="0.25">
      <c r="A28" s="17">
        <f t="shared" si="0"/>
        <v>22</v>
      </c>
      <c r="B28" s="14" t="s">
        <v>70</v>
      </c>
      <c r="C28" s="11" t="s">
        <v>18</v>
      </c>
      <c r="D28" s="9" t="s">
        <v>66</v>
      </c>
      <c r="E28" s="14">
        <v>42394</v>
      </c>
      <c r="F28" s="24" t="s">
        <v>26</v>
      </c>
      <c r="G28" s="12">
        <v>1</v>
      </c>
      <c r="H28" s="13"/>
      <c r="I28" s="2"/>
      <c r="J28" s="2"/>
    </row>
    <row r="29" spans="1:10" ht="15" customHeight="1" x14ac:dyDescent="0.25">
      <c r="A29" s="17">
        <f t="shared" si="0"/>
        <v>23</v>
      </c>
      <c r="B29" s="14" t="s">
        <v>71</v>
      </c>
      <c r="C29" s="11" t="s">
        <v>18</v>
      </c>
      <c r="D29" s="9" t="s">
        <v>67</v>
      </c>
      <c r="E29" s="14">
        <v>42394</v>
      </c>
      <c r="F29" s="24" t="s">
        <v>26</v>
      </c>
      <c r="G29" s="12">
        <v>1</v>
      </c>
      <c r="H29" s="46" t="s">
        <v>72</v>
      </c>
      <c r="I29" s="2"/>
      <c r="J29" s="2"/>
    </row>
    <row r="30" spans="1:10" ht="15" customHeight="1" x14ac:dyDescent="0.25">
      <c r="A30" s="17">
        <f t="shared" si="0"/>
        <v>24</v>
      </c>
      <c r="B30" s="14" t="s">
        <v>69</v>
      </c>
      <c r="C30" s="11" t="s">
        <v>18</v>
      </c>
      <c r="D30" s="9" t="s">
        <v>68</v>
      </c>
      <c r="E30" s="14">
        <v>42394</v>
      </c>
      <c r="F30" s="24" t="s">
        <v>56</v>
      </c>
      <c r="G30" s="12">
        <v>1</v>
      </c>
      <c r="H30" s="1"/>
      <c r="I30" s="1"/>
      <c r="J30" s="1"/>
    </row>
    <row r="31" spans="1:10" ht="15" customHeight="1" x14ac:dyDescent="0.25">
      <c r="A31" s="17">
        <f t="shared" si="0"/>
        <v>25</v>
      </c>
      <c r="B31" s="14" t="s">
        <v>73</v>
      </c>
      <c r="C31" s="11" t="s">
        <v>18</v>
      </c>
      <c r="D31" s="9" t="s">
        <v>74</v>
      </c>
      <c r="E31" s="14">
        <v>42395</v>
      </c>
      <c r="F31" s="24" t="s">
        <v>26</v>
      </c>
      <c r="G31" s="12">
        <v>1</v>
      </c>
      <c r="H31" s="1"/>
      <c r="I31" s="1"/>
      <c r="J31" s="1"/>
    </row>
    <row r="32" spans="1:10" ht="15" customHeight="1" x14ac:dyDescent="0.25">
      <c r="A32" s="17">
        <f t="shared" si="0"/>
        <v>26</v>
      </c>
      <c r="B32" s="14" t="s">
        <v>75</v>
      </c>
      <c r="C32" s="11" t="s">
        <v>18</v>
      </c>
      <c r="D32" s="9" t="s">
        <v>76</v>
      </c>
      <c r="E32" s="14">
        <v>42395</v>
      </c>
      <c r="F32" s="24" t="s">
        <v>26</v>
      </c>
      <c r="G32" s="12">
        <v>1</v>
      </c>
      <c r="H32" s="1"/>
      <c r="I32" s="1"/>
      <c r="J32" s="1"/>
    </row>
    <row r="33" spans="1:10" ht="15" customHeight="1" x14ac:dyDescent="0.25">
      <c r="A33" s="17">
        <f t="shared" si="0"/>
        <v>27</v>
      </c>
      <c r="B33" s="14" t="s">
        <v>77</v>
      </c>
      <c r="C33" s="11" t="s">
        <v>18</v>
      </c>
      <c r="D33" s="9" t="s">
        <v>78</v>
      </c>
      <c r="E33" s="14">
        <v>42396</v>
      </c>
      <c r="F33" s="24" t="s">
        <v>26</v>
      </c>
      <c r="G33" s="12">
        <v>1</v>
      </c>
      <c r="H33" s="1"/>
      <c r="I33" s="1"/>
      <c r="J33" s="1"/>
    </row>
    <row r="34" spans="1:10" ht="15" customHeight="1" x14ac:dyDescent="0.25">
      <c r="A34" s="17">
        <f t="shared" si="0"/>
        <v>28</v>
      </c>
      <c r="B34" s="14" t="s">
        <v>84</v>
      </c>
      <c r="C34" s="11" t="s">
        <v>18</v>
      </c>
      <c r="D34" s="9" t="s">
        <v>79</v>
      </c>
      <c r="E34" s="14">
        <v>42396</v>
      </c>
      <c r="F34" s="24" t="s">
        <v>26</v>
      </c>
      <c r="G34" s="12">
        <v>1</v>
      </c>
      <c r="H34" s="1"/>
      <c r="I34" s="1"/>
      <c r="J34" s="1"/>
    </row>
    <row r="35" spans="1:10" ht="15" customHeight="1" x14ac:dyDescent="0.25">
      <c r="A35" s="17">
        <f t="shared" si="0"/>
        <v>29</v>
      </c>
      <c r="B35" s="14" t="s">
        <v>82</v>
      </c>
      <c r="C35" s="11" t="s">
        <v>18</v>
      </c>
      <c r="D35" s="9" t="s">
        <v>83</v>
      </c>
      <c r="E35" s="14">
        <v>42397</v>
      </c>
      <c r="F35" s="24" t="s">
        <v>26</v>
      </c>
      <c r="G35" s="12">
        <v>1</v>
      </c>
      <c r="H35" s="1"/>
      <c r="I35" s="1"/>
      <c r="J35" s="1"/>
    </row>
    <row r="36" spans="1:10" ht="15" customHeight="1" x14ac:dyDescent="0.25">
      <c r="A36" s="17">
        <f t="shared" si="0"/>
        <v>30</v>
      </c>
      <c r="B36" s="14" t="s">
        <v>80</v>
      </c>
      <c r="C36" s="11" t="s">
        <v>18</v>
      </c>
      <c r="D36" s="9" t="s">
        <v>81</v>
      </c>
      <c r="E36" s="14">
        <v>42397</v>
      </c>
      <c r="F36" s="24" t="s">
        <v>26</v>
      </c>
      <c r="G36" s="12">
        <v>1</v>
      </c>
      <c r="H36" s="1"/>
      <c r="I36" s="1"/>
      <c r="J36" s="1"/>
    </row>
    <row r="37" spans="1:10" ht="15" customHeight="1" x14ac:dyDescent="0.25">
      <c r="A37" s="26"/>
      <c r="B37" s="27"/>
      <c r="C37" s="28"/>
      <c r="D37" s="29"/>
      <c r="E37" s="30"/>
      <c r="F37" s="31"/>
      <c r="G37" s="25">
        <v>1</v>
      </c>
    </row>
    <row r="38" spans="1:10" ht="15" customHeight="1" x14ac:dyDescent="0.25">
      <c r="A38" s="26"/>
      <c r="B38" s="27"/>
      <c r="C38" s="32"/>
      <c r="D38" s="33"/>
      <c r="E38" s="30"/>
      <c r="F38" s="31"/>
      <c r="G38" s="25">
        <v>1</v>
      </c>
    </row>
    <row r="39" spans="1:10" ht="15" customHeight="1" x14ac:dyDescent="0.25">
      <c r="A39" s="26"/>
      <c r="B39" s="27"/>
      <c r="C39" s="32"/>
      <c r="D39" s="33"/>
      <c r="E39" s="30"/>
      <c r="F39" s="31"/>
      <c r="G39" s="25">
        <v>1</v>
      </c>
    </row>
    <row r="40" spans="1:10" ht="15" customHeight="1" x14ac:dyDescent="0.25">
      <c r="A40" s="26"/>
      <c r="B40" s="27"/>
      <c r="C40" s="32"/>
      <c r="D40" s="33"/>
      <c r="E40" s="30"/>
      <c r="F40" s="31"/>
      <c r="G40" s="25">
        <v>1</v>
      </c>
    </row>
    <row r="41" spans="1:10" ht="15" customHeight="1" x14ac:dyDescent="0.25">
      <c r="A41" s="26"/>
      <c r="B41" s="27"/>
      <c r="C41" s="32"/>
      <c r="D41" s="33"/>
      <c r="E41" s="30"/>
      <c r="F41" s="31"/>
      <c r="G41" s="25">
        <v>1</v>
      </c>
    </row>
    <row r="42" spans="1:10" ht="15" customHeight="1" x14ac:dyDescent="0.25">
      <c r="A42" s="26"/>
      <c r="B42" s="27"/>
      <c r="C42" s="32"/>
      <c r="D42" s="33"/>
      <c r="E42" s="30"/>
      <c r="F42" s="31"/>
      <c r="G42" s="25">
        <v>1</v>
      </c>
    </row>
    <row r="43" spans="1:10" ht="15" customHeight="1" x14ac:dyDescent="0.25">
      <c r="A43" s="26"/>
      <c r="B43" s="27"/>
      <c r="C43" s="32"/>
      <c r="D43" s="33"/>
      <c r="E43" s="30"/>
      <c r="F43" s="31"/>
      <c r="G43" s="25">
        <v>1</v>
      </c>
    </row>
    <row r="44" spans="1:10" ht="15" customHeight="1" x14ac:dyDescent="0.25">
      <c r="A44" s="26"/>
      <c r="B44" s="27"/>
      <c r="C44" s="32"/>
      <c r="D44" s="33"/>
      <c r="E44" s="30"/>
      <c r="F44" s="31"/>
      <c r="G44" s="25">
        <v>1</v>
      </c>
    </row>
    <row r="45" spans="1:10" ht="15" customHeight="1" x14ac:dyDescent="0.25">
      <c r="A45" s="26"/>
      <c r="B45" s="27"/>
      <c r="C45" s="32"/>
      <c r="D45" s="33"/>
      <c r="E45" s="30"/>
      <c r="F45" s="31"/>
      <c r="G45" s="25">
        <v>1</v>
      </c>
    </row>
    <row r="46" spans="1:10" ht="15" customHeight="1" x14ac:dyDescent="0.25">
      <c r="A46" s="26"/>
      <c r="B46" s="27"/>
      <c r="C46" s="28"/>
      <c r="D46" s="29"/>
      <c r="E46" s="30"/>
      <c r="F46" s="31"/>
      <c r="G46" s="25">
        <v>1</v>
      </c>
    </row>
    <row r="47" spans="1:10" ht="15" customHeight="1" x14ac:dyDescent="0.25">
      <c r="A47" s="26"/>
      <c r="B47" s="34"/>
      <c r="C47" s="34"/>
      <c r="D47" s="29"/>
      <c r="E47" s="30"/>
      <c r="F47" s="31"/>
      <c r="G47" s="25">
        <v>1</v>
      </c>
    </row>
    <row r="48" spans="1:10" ht="15" customHeight="1" x14ac:dyDescent="0.25">
      <c r="A48" s="26"/>
      <c r="B48" s="34"/>
      <c r="C48" s="34"/>
      <c r="D48" s="35"/>
      <c r="E48" s="30"/>
      <c r="F48" s="31"/>
      <c r="G48" s="25">
        <v>1</v>
      </c>
    </row>
    <row r="49" spans="1:7" ht="15" customHeight="1" x14ac:dyDescent="0.25">
      <c r="A49" s="26"/>
      <c r="B49" s="34"/>
      <c r="C49" s="34"/>
      <c r="D49" s="35"/>
      <c r="E49" s="30"/>
      <c r="F49" s="31"/>
      <c r="G49" s="25">
        <v>1</v>
      </c>
    </row>
    <row r="50" spans="1:7" ht="15" customHeight="1" x14ac:dyDescent="0.25">
      <c r="A50" s="26"/>
      <c r="B50" s="34"/>
      <c r="C50" s="34"/>
      <c r="D50" s="35"/>
      <c r="E50" s="36"/>
      <c r="F50" s="37"/>
      <c r="G50" s="25">
        <v>1</v>
      </c>
    </row>
    <row r="51" spans="1:7" ht="15" customHeight="1" x14ac:dyDescent="0.25">
      <c r="A51" s="26"/>
      <c r="B51" s="34"/>
      <c r="C51" s="34"/>
      <c r="D51" s="35"/>
      <c r="E51" s="36"/>
      <c r="F51" s="37"/>
      <c r="G51" s="25">
        <v>1</v>
      </c>
    </row>
    <row r="52" spans="1:7" ht="15" customHeight="1" x14ac:dyDescent="0.25">
      <c r="A52" s="26"/>
      <c r="B52" s="34"/>
      <c r="C52" s="34"/>
      <c r="D52" s="34"/>
      <c r="E52" s="36"/>
      <c r="F52" s="37"/>
      <c r="G52" s="25">
        <v>1</v>
      </c>
    </row>
    <row r="53" spans="1:7" ht="15" customHeight="1" x14ac:dyDescent="0.25">
      <c r="A53" s="26"/>
      <c r="B53" s="27"/>
      <c r="C53" s="32"/>
      <c r="D53" s="33"/>
      <c r="E53" s="27"/>
      <c r="F53" s="38"/>
      <c r="G53" s="25">
        <v>1</v>
      </c>
    </row>
    <row r="54" spans="1:7" ht="15" customHeight="1" x14ac:dyDescent="0.25">
      <c r="A54" s="26"/>
      <c r="B54" s="39"/>
      <c r="C54" s="39"/>
      <c r="D54" s="40"/>
      <c r="E54" s="27"/>
      <c r="F54" s="38"/>
      <c r="G54" s="25">
        <v>1</v>
      </c>
    </row>
    <row r="55" spans="1:7" ht="15" customHeight="1" x14ac:dyDescent="0.25">
      <c r="A55" s="26"/>
      <c r="B55" s="41"/>
      <c r="C55" s="42"/>
      <c r="D55" s="43"/>
      <c r="E55" s="41"/>
      <c r="F55" s="44"/>
      <c r="G55" s="25">
        <v>1</v>
      </c>
    </row>
    <row r="56" spans="1:7" ht="15" customHeight="1" x14ac:dyDescent="0.25">
      <c r="A56" s="26"/>
      <c r="B56" s="39"/>
      <c r="C56" s="39"/>
      <c r="D56" s="40"/>
      <c r="E56" s="27"/>
      <c r="F56" s="45"/>
      <c r="G56" s="25">
        <v>1</v>
      </c>
    </row>
    <row r="57" spans="1:7" ht="15" customHeight="1" x14ac:dyDescent="0.25">
      <c r="A57" s="26"/>
      <c r="B57" s="39"/>
      <c r="C57" s="39"/>
      <c r="D57" s="40"/>
      <c r="E57" s="27"/>
      <c r="F57" s="38"/>
      <c r="G57" s="25">
        <v>1</v>
      </c>
    </row>
    <row r="58" spans="1:7" ht="15" customHeight="1" x14ac:dyDescent="0.25">
      <c r="A58" s="26"/>
      <c r="B58" s="34"/>
      <c r="C58" s="34"/>
      <c r="D58" s="35"/>
      <c r="E58" s="36"/>
      <c r="F58" s="37"/>
      <c r="G58" s="25">
        <v>1</v>
      </c>
    </row>
    <row r="59" spans="1:7" ht="15" customHeight="1" x14ac:dyDescent="0.25">
      <c r="A59" s="26"/>
      <c r="B59" s="34"/>
      <c r="C59" s="34"/>
      <c r="D59" s="35"/>
      <c r="E59" s="36"/>
      <c r="F59" s="37"/>
      <c r="G59" s="25">
        <v>1</v>
      </c>
    </row>
    <row r="60" spans="1:7" ht="15" customHeight="1" x14ac:dyDescent="0.25">
      <c r="A60" s="26"/>
      <c r="B60" s="34"/>
      <c r="C60" s="34"/>
      <c r="D60" s="35"/>
      <c r="E60" s="36"/>
      <c r="F60" s="37"/>
      <c r="G60" s="25">
        <v>1</v>
      </c>
    </row>
  </sheetData>
  <sortState ref="B7:H27">
    <sortCondition ref="E7:E27"/>
    <sortCondition ref="D7:D27"/>
    <sortCondition ref="F7:F27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24" workbookViewId="0">
      <selection activeCell="B35" sqref="B35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6" max="6" width="17" customWidth="1"/>
    <col min="7" max="7" width="2.28515625" hidden="1" customWidth="1"/>
    <col min="8" max="8" width="28.28515625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 ca="1">SUMIF(F7:F146,"Elimination*",G7:G96)</f>
        <v>40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 ca="1">SUMIF(F7:F146,"NB*",G7:G96)</f>
        <v>11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 ca="1">SUMIF(F7:F146,"Ve*",G7:G96)</f>
        <v>0</v>
      </c>
    </row>
    <row r="5" spans="1:11" ht="15.75" x14ac:dyDescent="0.25">
      <c r="A5" s="57" t="s">
        <v>85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 ca="1">SUM(K2:K4)</f>
        <v>51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86</v>
      </c>
      <c r="C7" s="11" t="s">
        <v>18</v>
      </c>
      <c r="D7" s="9" t="s">
        <v>87</v>
      </c>
      <c r="E7" s="14">
        <v>42402</v>
      </c>
      <c r="F7" s="24" t="s">
        <v>26</v>
      </c>
      <c r="G7" s="19">
        <v>1</v>
      </c>
      <c r="H7" s="18"/>
      <c r="I7" s="18"/>
      <c r="J7" s="18"/>
      <c r="K7" s="1"/>
    </row>
    <row r="8" spans="1:11" x14ac:dyDescent="0.25">
      <c r="A8" s="17">
        <f>+A7+1</f>
        <v>2</v>
      </c>
      <c r="B8" s="15" t="s">
        <v>88</v>
      </c>
      <c r="C8" s="11" t="s">
        <v>28</v>
      </c>
      <c r="D8" s="9" t="s">
        <v>89</v>
      </c>
      <c r="E8" s="14">
        <v>42404</v>
      </c>
      <c r="F8" s="24" t="s">
        <v>26</v>
      </c>
      <c r="G8" s="19">
        <v>1</v>
      </c>
      <c r="H8" s="22"/>
      <c r="I8" s="2"/>
      <c r="J8" s="2"/>
      <c r="K8" s="1"/>
    </row>
    <row r="9" spans="1:11" x14ac:dyDescent="0.25">
      <c r="A9" s="17">
        <f t="shared" ref="A9:A57" si="0">+A8+1</f>
        <v>3</v>
      </c>
      <c r="B9" s="15" t="s">
        <v>90</v>
      </c>
      <c r="C9" s="11" t="s">
        <v>18</v>
      </c>
      <c r="D9" s="9" t="s">
        <v>91</v>
      </c>
      <c r="E9" s="14">
        <v>42407</v>
      </c>
      <c r="F9" s="24" t="s">
        <v>26</v>
      </c>
      <c r="G9" s="19">
        <v>1</v>
      </c>
      <c r="H9" s="22"/>
      <c r="I9" s="2"/>
      <c r="J9" s="2"/>
      <c r="K9" s="1"/>
    </row>
    <row r="10" spans="1:11" x14ac:dyDescent="0.25">
      <c r="A10" s="17">
        <f t="shared" si="0"/>
        <v>4</v>
      </c>
      <c r="B10" s="15" t="s">
        <v>96</v>
      </c>
      <c r="C10" s="11" t="s">
        <v>18</v>
      </c>
      <c r="D10" s="9" t="s">
        <v>97</v>
      </c>
      <c r="E10" s="14">
        <v>42407</v>
      </c>
      <c r="F10" s="24" t="s">
        <v>26</v>
      </c>
      <c r="G10" s="19">
        <v>1</v>
      </c>
      <c r="H10" s="22"/>
      <c r="I10" s="2"/>
      <c r="J10" s="2"/>
      <c r="K10" s="1"/>
    </row>
    <row r="11" spans="1:11" x14ac:dyDescent="0.25">
      <c r="A11" s="17">
        <f t="shared" si="0"/>
        <v>5</v>
      </c>
      <c r="B11" s="15" t="s">
        <v>94</v>
      </c>
      <c r="C11" s="11" t="s">
        <v>18</v>
      </c>
      <c r="D11" s="9" t="s">
        <v>95</v>
      </c>
      <c r="E11" s="14">
        <v>42407</v>
      </c>
      <c r="F11" s="24" t="s">
        <v>26</v>
      </c>
      <c r="G11" s="19">
        <v>1</v>
      </c>
      <c r="H11" s="22"/>
      <c r="I11" s="2"/>
      <c r="J11" s="2"/>
      <c r="K11" s="1"/>
    </row>
    <row r="12" spans="1:11" x14ac:dyDescent="0.25">
      <c r="A12" s="17">
        <f t="shared" si="0"/>
        <v>6</v>
      </c>
      <c r="B12" s="15" t="s">
        <v>104</v>
      </c>
      <c r="C12" s="11" t="s">
        <v>18</v>
      </c>
      <c r="D12" s="9" t="s">
        <v>105</v>
      </c>
      <c r="E12" s="14">
        <v>42407</v>
      </c>
      <c r="F12" s="24" t="s">
        <v>26</v>
      </c>
      <c r="G12" s="19">
        <v>1</v>
      </c>
      <c r="H12" s="13"/>
      <c r="I12" s="2"/>
      <c r="J12" s="2"/>
      <c r="K12" s="1"/>
    </row>
    <row r="13" spans="1:11" x14ac:dyDescent="0.25">
      <c r="A13" s="17">
        <f t="shared" si="0"/>
        <v>7</v>
      </c>
      <c r="B13" s="15" t="s">
        <v>92</v>
      </c>
      <c r="C13" s="11" t="s">
        <v>18</v>
      </c>
      <c r="D13" s="9" t="s">
        <v>93</v>
      </c>
      <c r="E13" s="14">
        <v>42407</v>
      </c>
      <c r="F13" s="24" t="s">
        <v>26</v>
      </c>
      <c r="G13" s="19">
        <v>1</v>
      </c>
      <c r="H13" s="13"/>
      <c r="I13" s="2"/>
      <c r="J13" s="2"/>
      <c r="K13" s="1"/>
    </row>
    <row r="14" spans="1:11" x14ac:dyDescent="0.25">
      <c r="A14" s="17">
        <f t="shared" si="0"/>
        <v>8</v>
      </c>
      <c r="B14" s="15" t="s">
        <v>98</v>
      </c>
      <c r="C14" s="11" t="s">
        <v>18</v>
      </c>
      <c r="D14" s="9" t="s">
        <v>99</v>
      </c>
      <c r="E14" s="14">
        <v>42407</v>
      </c>
      <c r="F14" s="24" t="s">
        <v>26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5" t="s">
        <v>100</v>
      </c>
      <c r="C15" s="11" t="s">
        <v>18</v>
      </c>
      <c r="D15" s="9" t="s">
        <v>101</v>
      </c>
      <c r="E15" s="14">
        <v>42407</v>
      </c>
      <c r="F15" s="24" t="s">
        <v>26</v>
      </c>
      <c r="G15" s="19">
        <v>1</v>
      </c>
      <c r="H15" s="2"/>
      <c r="I15" s="2"/>
      <c r="J15" s="2"/>
    </row>
    <row r="16" spans="1:11" x14ac:dyDescent="0.25">
      <c r="A16" s="17">
        <f t="shared" si="0"/>
        <v>10</v>
      </c>
      <c r="B16" s="10" t="s">
        <v>102</v>
      </c>
      <c r="C16" s="11" t="s">
        <v>18</v>
      </c>
      <c r="D16" s="9" t="s">
        <v>103</v>
      </c>
      <c r="E16" s="14">
        <v>42407</v>
      </c>
      <c r="F16" s="24" t="s">
        <v>26</v>
      </c>
      <c r="G16" s="19">
        <v>1</v>
      </c>
      <c r="H16" s="2"/>
      <c r="I16" s="2"/>
      <c r="J16" s="2"/>
    </row>
    <row r="17" spans="1:10" x14ac:dyDescent="0.25">
      <c r="A17" s="17">
        <f t="shared" si="0"/>
        <v>11</v>
      </c>
      <c r="B17" s="14" t="s">
        <v>106</v>
      </c>
      <c r="C17" s="11" t="s">
        <v>18</v>
      </c>
      <c r="D17" s="9" t="s">
        <v>109</v>
      </c>
      <c r="E17" s="10">
        <v>42408</v>
      </c>
      <c r="F17" s="24" t="s">
        <v>26</v>
      </c>
      <c r="G17" s="19">
        <v>1</v>
      </c>
      <c r="H17" s="13"/>
      <c r="I17" s="2"/>
      <c r="J17" s="2"/>
    </row>
    <row r="18" spans="1:10" x14ac:dyDescent="0.25">
      <c r="A18" s="17">
        <f t="shared" si="0"/>
        <v>12</v>
      </c>
      <c r="B18" s="14" t="s">
        <v>107</v>
      </c>
      <c r="C18" s="11" t="s">
        <v>18</v>
      </c>
      <c r="D18" s="9" t="s">
        <v>108</v>
      </c>
      <c r="E18" s="10">
        <v>42408</v>
      </c>
      <c r="F18" s="24" t="s">
        <v>26</v>
      </c>
      <c r="G18" s="19">
        <v>1</v>
      </c>
      <c r="H18" s="13"/>
      <c r="I18" s="2"/>
      <c r="J18" s="2"/>
    </row>
    <row r="19" spans="1:10" x14ac:dyDescent="0.25">
      <c r="A19" s="17">
        <f t="shared" si="0"/>
        <v>13</v>
      </c>
      <c r="B19" s="15" t="s">
        <v>112</v>
      </c>
      <c r="C19" s="11" t="s">
        <v>18</v>
      </c>
      <c r="D19" s="9" t="s">
        <v>110</v>
      </c>
      <c r="E19" s="10">
        <v>42409</v>
      </c>
      <c r="F19" s="24" t="s">
        <v>26</v>
      </c>
      <c r="G19" s="19">
        <v>1</v>
      </c>
      <c r="H19" s="13"/>
      <c r="I19" s="2"/>
      <c r="J19" s="2"/>
    </row>
    <row r="20" spans="1:10" x14ac:dyDescent="0.25">
      <c r="A20" s="17">
        <f t="shared" si="0"/>
        <v>14</v>
      </c>
      <c r="B20" s="14" t="s">
        <v>113</v>
      </c>
      <c r="C20" s="11" t="s">
        <v>18</v>
      </c>
      <c r="D20" s="9" t="s">
        <v>111</v>
      </c>
      <c r="E20" s="10">
        <v>42409</v>
      </c>
      <c r="F20" s="24" t="s">
        <v>26</v>
      </c>
      <c r="G20" s="19">
        <v>1</v>
      </c>
      <c r="H20" s="13"/>
      <c r="I20" s="2"/>
      <c r="J20" s="2"/>
    </row>
    <row r="21" spans="1:10" x14ac:dyDescent="0.25">
      <c r="A21" s="17">
        <f t="shared" si="0"/>
        <v>15</v>
      </c>
      <c r="B21" s="14" t="s">
        <v>114</v>
      </c>
      <c r="C21" s="11" t="s">
        <v>18</v>
      </c>
      <c r="D21" s="9" t="s">
        <v>115</v>
      </c>
      <c r="E21" s="10">
        <v>42409</v>
      </c>
      <c r="F21" s="24" t="s">
        <v>26</v>
      </c>
      <c r="G21" s="19">
        <v>1</v>
      </c>
      <c r="H21" s="13"/>
      <c r="I21" s="2"/>
      <c r="J21" s="2"/>
    </row>
    <row r="22" spans="1:10" x14ac:dyDescent="0.25">
      <c r="A22" s="17">
        <f t="shared" si="0"/>
        <v>16</v>
      </c>
      <c r="B22" s="15" t="s">
        <v>1088</v>
      </c>
      <c r="C22" s="11" t="s">
        <v>18</v>
      </c>
      <c r="D22" s="9" t="s">
        <v>116</v>
      </c>
      <c r="E22" s="10">
        <v>42410</v>
      </c>
      <c r="F22" s="24" t="s">
        <v>118</v>
      </c>
      <c r="G22" s="19">
        <v>1</v>
      </c>
      <c r="H22" s="46" t="s">
        <v>119</v>
      </c>
      <c r="I22" s="2"/>
      <c r="J22" s="2"/>
    </row>
    <row r="23" spans="1:10" x14ac:dyDescent="0.25">
      <c r="A23" s="17">
        <f t="shared" si="0"/>
        <v>17</v>
      </c>
      <c r="B23" s="14" t="s">
        <v>120</v>
      </c>
      <c r="C23" s="11" t="s">
        <v>18</v>
      </c>
      <c r="D23" s="9" t="s">
        <v>121</v>
      </c>
      <c r="E23" s="14">
        <v>42411</v>
      </c>
      <c r="F23" s="24" t="s">
        <v>26</v>
      </c>
      <c r="G23" s="19">
        <v>1</v>
      </c>
      <c r="H23" s="13"/>
      <c r="I23" s="2"/>
      <c r="J23" s="2"/>
    </row>
    <row r="24" spans="1:10" x14ac:dyDescent="0.25">
      <c r="A24" s="17">
        <f t="shared" si="0"/>
        <v>18</v>
      </c>
      <c r="B24" s="14" t="s">
        <v>122</v>
      </c>
      <c r="C24" s="11" t="s">
        <v>18</v>
      </c>
      <c r="D24" s="9" t="s">
        <v>123</v>
      </c>
      <c r="E24" s="14">
        <v>42411</v>
      </c>
      <c r="F24" s="24" t="s">
        <v>26</v>
      </c>
      <c r="G24" s="19">
        <v>1</v>
      </c>
      <c r="H24" s="13"/>
      <c r="I24" s="2"/>
      <c r="J24" s="2"/>
    </row>
    <row r="25" spans="1:10" x14ac:dyDescent="0.25">
      <c r="A25" s="17">
        <f t="shared" si="0"/>
        <v>19</v>
      </c>
      <c r="B25" s="15" t="s">
        <v>124</v>
      </c>
      <c r="C25" s="11" t="s">
        <v>18</v>
      </c>
      <c r="D25" s="9" t="s">
        <v>125</v>
      </c>
      <c r="E25" s="14">
        <v>42411</v>
      </c>
      <c r="F25" s="24" t="s">
        <v>26</v>
      </c>
      <c r="G25" s="19">
        <v>1</v>
      </c>
      <c r="H25" s="13"/>
      <c r="I25" s="2"/>
      <c r="J25" s="2"/>
    </row>
    <row r="26" spans="1:10" x14ac:dyDescent="0.25">
      <c r="A26" s="17">
        <f t="shared" si="0"/>
        <v>20</v>
      </c>
      <c r="B26" s="14" t="s">
        <v>126</v>
      </c>
      <c r="C26" s="11" t="s">
        <v>18</v>
      </c>
      <c r="D26" s="9" t="s">
        <v>127</v>
      </c>
      <c r="E26" s="14">
        <v>42411</v>
      </c>
      <c r="F26" s="24" t="s">
        <v>26</v>
      </c>
      <c r="G26" s="19">
        <v>1</v>
      </c>
      <c r="H26" s="13"/>
      <c r="I26" s="2"/>
      <c r="J26" s="2"/>
    </row>
    <row r="27" spans="1:10" x14ac:dyDescent="0.25">
      <c r="A27" s="17">
        <f t="shared" si="0"/>
        <v>21</v>
      </c>
      <c r="B27" s="14" t="s">
        <v>129</v>
      </c>
      <c r="C27" s="11" t="s">
        <v>18</v>
      </c>
      <c r="D27" s="9" t="s">
        <v>128</v>
      </c>
      <c r="E27" s="14">
        <v>42411</v>
      </c>
      <c r="F27" s="24" t="s">
        <v>26</v>
      </c>
      <c r="G27" s="19">
        <v>1</v>
      </c>
      <c r="H27" s="13"/>
      <c r="I27" s="2"/>
      <c r="J27" s="2"/>
    </row>
    <row r="28" spans="1:10" x14ac:dyDescent="0.25">
      <c r="A28" s="17">
        <f t="shared" si="0"/>
        <v>22</v>
      </c>
      <c r="B28" s="14" t="s">
        <v>130</v>
      </c>
      <c r="C28" s="11" t="s">
        <v>18</v>
      </c>
      <c r="D28" s="9" t="s">
        <v>131</v>
      </c>
      <c r="E28" s="14">
        <v>42411</v>
      </c>
      <c r="F28" s="24" t="s">
        <v>26</v>
      </c>
      <c r="G28" s="19">
        <v>1</v>
      </c>
      <c r="H28" s="13"/>
      <c r="I28" s="2"/>
      <c r="J28" s="2"/>
    </row>
    <row r="29" spans="1:10" x14ac:dyDescent="0.25">
      <c r="A29" s="17">
        <f t="shared" si="0"/>
        <v>23</v>
      </c>
      <c r="B29" s="14" t="s">
        <v>132</v>
      </c>
      <c r="C29" s="11" t="s">
        <v>18</v>
      </c>
      <c r="D29" s="9" t="s">
        <v>133</v>
      </c>
      <c r="E29" s="14">
        <v>42411</v>
      </c>
      <c r="F29" s="24" t="s">
        <v>26</v>
      </c>
      <c r="G29" s="19">
        <v>1</v>
      </c>
      <c r="H29" s="46"/>
      <c r="I29" s="2"/>
      <c r="J29" s="2"/>
    </row>
    <row r="30" spans="1:10" x14ac:dyDescent="0.25">
      <c r="A30" s="17">
        <f t="shared" si="0"/>
        <v>24</v>
      </c>
      <c r="B30" s="14" t="s">
        <v>1226</v>
      </c>
      <c r="C30" s="11" t="s">
        <v>18</v>
      </c>
      <c r="D30" s="9" t="s">
        <v>134</v>
      </c>
      <c r="E30" s="14">
        <v>42411</v>
      </c>
      <c r="F30" s="24" t="s">
        <v>135</v>
      </c>
      <c r="G30" s="19">
        <v>1</v>
      </c>
      <c r="H30" s="1" t="s">
        <v>136</v>
      </c>
      <c r="I30" s="1"/>
      <c r="J30" s="1"/>
    </row>
    <row r="31" spans="1:10" x14ac:dyDescent="0.25">
      <c r="A31" s="17">
        <f t="shared" si="0"/>
        <v>25</v>
      </c>
      <c r="B31" s="14" t="s">
        <v>137</v>
      </c>
      <c r="C31" s="11" t="s">
        <v>18</v>
      </c>
      <c r="D31" s="9" t="s">
        <v>138</v>
      </c>
      <c r="E31" s="14">
        <v>42411</v>
      </c>
      <c r="F31" s="24" t="s">
        <v>26</v>
      </c>
      <c r="G31" s="19">
        <v>1</v>
      </c>
      <c r="H31" s="1"/>
      <c r="I31" s="1"/>
      <c r="J31" s="1"/>
    </row>
    <row r="32" spans="1:10" x14ac:dyDescent="0.25">
      <c r="A32" s="17">
        <f t="shared" si="0"/>
        <v>26</v>
      </c>
      <c r="B32" s="14" t="s">
        <v>139</v>
      </c>
      <c r="C32" s="11" t="s">
        <v>18</v>
      </c>
      <c r="D32" s="9" t="s">
        <v>140</v>
      </c>
      <c r="E32" s="14">
        <v>42411</v>
      </c>
      <c r="F32" s="24" t="s">
        <v>26</v>
      </c>
      <c r="G32" s="19">
        <v>1</v>
      </c>
      <c r="H32" s="1"/>
      <c r="I32" s="1"/>
      <c r="J32" s="1"/>
    </row>
    <row r="33" spans="1:10" x14ac:dyDescent="0.25">
      <c r="A33" s="17">
        <f t="shared" si="0"/>
        <v>27</v>
      </c>
      <c r="B33" s="14" t="s">
        <v>143</v>
      </c>
      <c r="C33" s="11" t="s">
        <v>18</v>
      </c>
      <c r="D33" s="9" t="s">
        <v>142</v>
      </c>
      <c r="E33" s="14">
        <v>42411</v>
      </c>
      <c r="F33" s="24" t="s">
        <v>26</v>
      </c>
      <c r="G33" s="19">
        <v>1</v>
      </c>
      <c r="H33" s="1"/>
      <c r="I33" s="1"/>
      <c r="J33" s="1"/>
    </row>
    <row r="34" spans="1:10" x14ac:dyDescent="0.25">
      <c r="A34" s="17">
        <f t="shared" si="0"/>
        <v>28</v>
      </c>
      <c r="B34" s="14" t="s">
        <v>153</v>
      </c>
      <c r="C34" s="11" t="s">
        <v>18</v>
      </c>
      <c r="D34" s="9" t="s">
        <v>156</v>
      </c>
      <c r="E34" s="14">
        <v>42411</v>
      </c>
      <c r="F34" s="24" t="s">
        <v>26</v>
      </c>
      <c r="G34" s="19">
        <v>1</v>
      </c>
      <c r="H34" s="1"/>
      <c r="I34" s="1"/>
      <c r="J34" s="1"/>
    </row>
    <row r="35" spans="1:10" x14ac:dyDescent="0.25">
      <c r="A35" s="17">
        <f t="shared" si="0"/>
        <v>29</v>
      </c>
      <c r="B35" s="14" t="s">
        <v>145</v>
      </c>
      <c r="C35" s="11" t="s">
        <v>18</v>
      </c>
      <c r="D35" s="9" t="s">
        <v>146</v>
      </c>
      <c r="E35" s="14">
        <v>42411</v>
      </c>
      <c r="F35" s="24" t="s">
        <v>26</v>
      </c>
      <c r="G35" s="19">
        <v>1</v>
      </c>
      <c r="H35" s="1"/>
      <c r="I35" s="1"/>
      <c r="J35" s="1"/>
    </row>
    <row r="36" spans="1:10" x14ac:dyDescent="0.25">
      <c r="A36" s="17">
        <f t="shared" si="0"/>
        <v>30</v>
      </c>
      <c r="B36" s="14" t="s">
        <v>141</v>
      </c>
      <c r="C36" s="11" t="s">
        <v>18</v>
      </c>
      <c r="D36" s="9" t="s">
        <v>144</v>
      </c>
      <c r="E36" s="14">
        <v>42411</v>
      </c>
      <c r="F36" s="24" t="s">
        <v>26</v>
      </c>
      <c r="G36" s="19">
        <v>1</v>
      </c>
      <c r="H36" s="1"/>
      <c r="I36" s="1"/>
      <c r="J36" s="1"/>
    </row>
    <row r="37" spans="1:10" x14ac:dyDescent="0.25">
      <c r="A37" s="17">
        <f t="shared" si="0"/>
        <v>31</v>
      </c>
      <c r="B37" s="14" t="s">
        <v>149</v>
      </c>
      <c r="C37" s="11" t="s">
        <v>18</v>
      </c>
      <c r="D37" s="9" t="s">
        <v>150</v>
      </c>
      <c r="E37" s="14">
        <v>42411</v>
      </c>
      <c r="F37" s="24" t="s">
        <v>26</v>
      </c>
      <c r="G37" s="19">
        <v>1</v>
      </c>
      <c r="H37" s="1"/>
      <c r="I37" s="1"/>
      <c r="J37" s="1"/>
    </row>
    <row r="38" spans="1:10" x14ac:dyDescent="0.25">
      <c r="A38" s="17">
        <f t="shared" si="0"/>
        <v>32</v>
      </c>
      <c r="B38" s="14" t="s">
        <v>147</v>
      </c>
      <c r="C38" s="11" t="s">
        <v>18</v>
      </c>
      <c r="D38" s="9" t="s">
        <v>148</v>
      </c>
      <c r="E38" s="14">
        <v>42411</v>
      </c>
      <c r="F38" s="24" t="s">
        <v>26</v>
      </c>
      <c r="G38" s="19">
        <v>1</v>
      </c>
      <c r="H38" s="1"/>
      <c r="I38" s="1"/>
      <c r="J38" s="1"/>
    </row>
    <row r="39" spans="1:10" x14ac:dyDescent="0.25">
      <c r="A39" s="17">
        <f t="shared" si="0"/>
        <v>33</v>
      </c>
      <c r="B39" s="14" t="s">
        <v>154</v>
      </c>
      <c r="C39" s="11" t="s">
        <v>18</v>
      </c>
      <c r="D39" s="9" t="s">
        <v>155</v>
      </c>
      <c r="E39" s="14">
        <v>42411</v>
      </c>
      <c r="F39" s="24" t="s">
        <v>26</v>
      </c>
      <c r="G39" s="19">
        <v>1</v>
      </c>
      <c r="H39" s="1"/>
      <c r="I39" s="1"/>
      <c r="J39" s="1"/>
    </row>
    <row r="40" spans="1:10" x14ac:dyDescent="0.25">
      <c r="A40" s="17">
        <f t="shared" si="0"/>
        <v>34</v>
      </c>
      <c r="B40" s="14" t="s">
        <v>151</v>
      </c>
      <c r="C40" s="11" t="s">
        <v>18</v>
      </c>
      <c r="D40" s="9" t="s">
        <v>152</v>
      </c>
      <c r="E40" s="14">
        <v>42411</v>
      </c>
      <c r="F40" s="24" t="s">
        <v>26</v>
      </c>
      <c r="G40" s="19">
        <v>1</v>
      </c>
      <c r="H40" s="1"/>
      <c r="I40" s="1"/>
      <c r="J40" s="1"/>
    </row>
    <row r="41" spans="1:10" x14ac:dyDescent="0.25">
      <c r="A41" s="17">
        <f t="shared" si="0"/>
        <v>35</v>
      </c>
      <c r="B41" s="14" t="s">
        <v>1094</v>
      </c>
      <c r="C41" s="11" t="s">
        <v>18</v>
      </c>
      <c r="D41" s="9" t="s">
        <v>168</v>
      </c>
      <c r="E41" s="10">
        <v>42414</v>
      </c>
      <c r="F41" s="24" t="s">
        <v>169</v>
      </c>
      <c r="G41" s="19">
        <v>1</v>
      </c>
      <c r="H41" s="1" t="s">
        <v>177</v>
      </c>
      <c r="I41" s="1"/>
      <c r="J41" s="1"/>
    </row>
    <row r="42" spans="1:10" x14ac:dyDescent="0.25">
      <c r="A42" s="17">
        <f t="shared" si="0"/>
        <v>36</v>
      </c>
      <c r="B42" s="14" t="s">
        <v>1093</v>
      </c>
      <c r="C42" s="11" t="s">
        <v>18</v>
      </c>
      <c r="D42" s="9" t="s">
        <v>166</v>
      </c>
      <c r="E42" s="10">
        <v>42414</v>
      </c>
      <c r="F42" s="24" t="s">
        <v>167</v>
      </c>
      <c r="G42" s="19">
        <v>1</v>
      </c>
      <c r="H42" s="1" t="s">
        <v>176</v>
      </c>
      <c r="I42" s="1"/>
      <c r="J42" s="1"/>
    </row>
    <row r="43" spans="1:10" x14ac:dyDescent="0.25">
      <c r="A43" s="17">
        <f t="shared" si="0"/>
        <v>37</v>
      </c>
      <c r="B43" s="14" t="s">
        <v>1092</v>
      </c>
      <c r="C43" s="11" t="s">
        <v>18</v>
      </c>
      <c r="D43" s="9" t="s">
        <v>160</v>
      </c>
      <c r="E43" s="10">
        <v>42414</v>
      </c>
      <c r="F43" s="24" t="s">
        <v>161</v>
      </c>
      <c r="G43" s="19">
        <v>1</v>
      </c>
      <c r="H43" s="1" t="s">
        <v>162</v>
      </c>
      <c r="I43" s="1"/>
      <c r="J43" s="1"/>
    </row>
    <row r="44" spans="1:10" x14ac:dyDescent="0.25">
      <c r="A44" s="17">
        <f t="shared" si="0"/>
        <v>38</v>
      </c>
      <c r="B44" s="14" t="s">
        <v>1091</v>
      </c>
      <c r="C44" s="11" t="s">
        <v>18</v>
      </c>
      <c r="D44" s="9" t="s">
        <v>170</v>
      </c>
      <c r="E44" s="10">
        <v>42414</v>
      </c>
      <c r="F44" s="24" t="s">
        <v>171</v>
      </c>
      <c r="G44" s="19">
        <v>1</v>
      </c>
      <c r="H44" s="1" t="s">
        <v>175</v>
      </c>
      <c r="I44" s="1"/>
      <c r="J44" s="1"/>
    </row>
    <row r="45" spans="1:10" x14ac:dyDescent="0.25">
      <c r="A45" s="17">
        <f t="shared" si="0"/>
        <v>39</v>
      </c>
      <c r="B45" s="14" t="s">
        <v>1090</v>
      </c>
      <c r="C45" s="11" t="s">
        <v>18</v>
      </c>
      <c r="D45" s="9" t="s">
        <v>172</v>
      </c>
      <c r="E45" s="10">
        <v>42414</v>
      </c>
      <c r="F45" s="24" t="s">
        <v>173</v>
      </c>
      <c r="G45" s="19">
        <v>1</v>
      </c>
      <c r="H45" s="1" t="s">
        <v>174</v>
      </c>
      <c r="I45" s="1"/>
      <c r="J45" s="1"/>
    </row>
    <row r="46" spans="1:10" x14ac:dyDescent="0.25">
      <c r="A46" s="17">
        <f t="shared" si="0"/>
        <v>40</v>
      </c>
      <c r="B46" s="14" t="s">
        <v>1089</v>
      </c>
      <c r="C46" s="11" t="s">
        <v>18</v>
      </c>
      <c r="D46" s="9" t="s">
        <v>157</v>
      </c>
      <c r="E46" s="10">
        <v>42414</v>
      </c>
      <c r="F46" s="24" t="s">
        <v>158</v>
      </c>
      <c r="G46" s="19">
        <v>1</v>
      </c>
      <c r="H46" s="1" t="s">
        <v>159</v>
      </c>
      <c r="I46" s="1"/>
      <c r="J46" s="1"/>
    </row>
    <row r="47" spans="1:10" x14ac:dyDescent="0.25">
      <c r="A47" s="17">
        <f t="shared" si="0"/>
        <v>41</v>
      </c>
      <c r="B47" s="14" t="s">
        <v>1095</v>
      </c>
      <c r="C47" s="11" t="s">
        <v>18</v>
      </c>
      <c r="D47" s="9" t="s">
        <v>163</v>
      </c>
      <c r="E47" s="10">
        <v>42414</v>
      </c>
      <c r="F47" s="24" t="s">
        <v>164</v>
      </c>
      <c r="G47" s="19">
        <v>1</v>
      </c>
      <c r="H47" s="1" t="s">
        <v>165</v>
      </c>
      <c r="I47" s="1"/>
      <c r="J47" s="1"/>
    </row>
    <row r="48" spans="1:10" x14ac:dyDescent="0.25">
      <c r="A48" s="17">
        <f t="shared" si="0"/>
        <v>42</v>
      </c>
      <c r="B48" s="14" t="s">
        <v>178</v>
      </c>
      <c r="C48" s="11" t="s">
        <v>18</v>
      </c>
      <c r="D48" s="9" t="s">
        <v>179</v>
      </c>
      <c r="E48" s="10">
        <v>42414</v>
      </c>
      <c r="F48" s="24" t="s">
        <v>26</v>
      </c>
      <c r="G48" s="19">
        <v>1</v>
      </c>
      <c r="H48" s="1"/>
      <c r="I48" s="1"/>
      <c r="J48" s="1"/>
    </row>
    <row r="49" spans="1:10" x14ac:dyDescent="0.25">
      <c r="A49" s="17">
        <f t="shared" si="0"/>
        <v>43</v>
      </c>
      <c r="B49" s="14" t="s">
        <v>180</v>
      </c>
      <c r="C49" s="11" t="s">
        <v>28</v>
      </c>
      <c r="D49" s="9" t="s">
        <v>181</v>
      </c>
      <c r="E49" s="10">
        <v>42414</v>
      </c>
      <c r="F49" s="24" t="s">
        <v>26</v>
      </c>
      <c r="G49" s="19">
        <v>1</v>
      </c>
      <c r="H49" s="1"/>
      <c r="I49" s="1"/>
      <c r="J49" s="1"/>
    </row>
    <row r="50" spans="1:10" x14ac:dyDescent="0.25">
      <c r="A50" s="17">
        <f t="shared" si="0"/>
        <v>44</v>
      </c>
      <c r="B50" s="14" t="s">
        <v>182</v>
      </c>
      <c r="C50" s="11" t="s">
        <v>18</v>
      </c>
      <c r="D50" s="9" t="s">
        <v>183</v>
      </c>
      <c r="E50" s="10">
        <v>42415</v>
      </c>
      <c r="F50" s="24" t="s">
        <v>26</v>
      </c>
      <c r="G50" s="19">
        <v>1</v>
      </c>
      <c r="H50" s="1"/>
      <c r="I50" s="1"/>
      <c r="J50" s="1"/>
    </row>
    <row r="51" spans="1:10" x14ac:dyDescent="0.25">
      <c r="A51" s="17">
        <f t="shared" si="0"/>
        <v>45</v>
      </c>
      <c r="B51" s="14" t="s">
        <v>188</v>
      </c>
      <c r="C51" s="11" t="s">
        <v>18</v>
      </c>
      <c r="D51" s="9" t="s">
        <v>189</v>
      </c>
      <c r="E51" s="10">
        <v>42416</v>
      </c>
      <c r="F51" s="24" t="s">
        <v>26</v>
      </c>
      <c r="G51" s="19">
        <v>1</v>
      </c>
      <c r="H51" s="1"/>
      <c r="I51" s="1"/>
      <c r="J51" s="1"/>
    </row>
    <row r="52" spans="1:10" x14ac:dyDescent="0.25">
      <c r="A52" s="17">
        <f t="shared" si="0"/>
        <v>46</v>
      </c>
      <c r="B52" s="14" t="s">
        <v>184</v>
      </c>
      <c r="C52" s="11" t="s">
        <v>18</v>
      </c>
      <c r="D52" s="9" t="s">
        <v>185</v>
      </c>
      <c r="E52" s="10">
        <v>42416</v>
      </c>
      <c r="F52" s="24" t="s">
        <v>26</v>
      </c>
      <c r="G52" s="19">
        <v>1</v>
      </c>
      <c r="H52" s="1"/>
      <c r="I52" s="1"/>
      <c r="J52" s="1"/>
    </row>
    <row r="53" spans="1:10" x14ac:dyDescent="0.25">
      <c r="A53" s="17">
        <f t="shared" si="0"/>
        <v>47</v>
      </c>
      <c r="B53" s="14" t="s">
        <v>186</v>
      </c>
      <c r="C53" s="11" t="s">
        <v>18</v>
      </c>
      <c r="D53" s="9" t="s">
        <v>187</v>
      </c>
      <c r="E53" s="10">
        <v>42416</v>
      </c>
      <c r="F53" s="24" t="s">
        <v>26</v>
      </c>
      <c r="G53" s="19">
        <v>1</v>
      </c>
      <c r="H53" s="1"/>
      <c r="I53" s="1"/>
      <c r="J53" s="1"/>
    </row>
    <row r="54" spans="1:10" x14ac:dyDescent="0.25">
      <c r="A54" s="17">
        <f t="shared" si="0"/>
        <v>48</v>
      </c>
      <c r="B54" s="14" t="s">
        <v>190</v>
      </c>
      <c r="C54" s="11" t="s">
        <v>18</v>
      </c>
      <c r="D54" s="9" t="s">
        <v>191</v>
      </c>
      <c r="E54" s="10">
        <v>42417</v>
      </c>
      <c r="F54" s="24" t="s">
        <v>26</v>
      </c>
      <c r="G54" s="19">
        <v>1</v>
      </c>
      <c r="H54" s="1"/>
      <c r="I54" s="1"/>
      <c r="J54" s="1"/>
    </row>
    <row r="55" spans="1:10" x14ac:dyDescent="0.25">
      <c r="A55" s="17">
        <f t="shared" si="0"/>
        <v>49</v>
      </c>
      <c r="B55" s="14" t="s">
        <v>192</v>
      </c>
      <c r="C55" s="11" t="s">
        <v>18</v>
      </c>
      <c r="D55" s="9" t="s">
        <v>193</v>
      </c>
      <c r="E55" s="10">
        <v>42417</v>
      </c>
      <c r="F55" s="24" t="s">
        <v>26</v>
      </c>
      <c r="G55" s="19">
        <v>1</v>
      </c>
      <c r="H55" s="1"/>
      <c r="I55" s="1"/>
      <c r="J55" s="1"/>
    </row>
    <row r="56" spans="1:10" x14ac:dyDescent="0.25">
      <c r="A56" s="17">
        <f t="shared" si="0"/>
        <v>50</v>
      </c>
      <c r="B56" s="14" t="s">
        <v>342</v>
      </c>
      <c r="C56" s="11" t="s">
        <v>28</v>
      </c>
      <c r="D56" s="9" t="s">
        <v>194</v>
      </c>
      <c r="E56" s="10">
        <v>42418</v>
      </c>
      <c r="F56" s="24" t="s">
        <v>135</v>
      </c>
      <c r="G56" s="19">
        <v>1</v>
      </c>
      <c r="H56" s="1" t="s">
        <v>195</v>
      </c>
      <c r="I56" s="1"/>
      <c r="J56" s="1"/>
    </row>
    <row r="57" spans="1:10" x14ac:dyDescent="0.25">
      <c r="A57" s="17">
        <f t="shared" si="0"/>
        <v>51</v>
      </c>
      <c r="B57" s="14" t="s">
        <v>1096</v>
      </c>
      <c r="C57" s="11" t="s">
        <v>18</v>
      </c>
      <c r="D57" s="9" t="s">
        <v>196</v>
      </c>
      <c r="E57" s="10">
        <v>42421</v>
      </c>
      <c r="F57" s="24" t="s">
        <v>197</v>
      </c>
      <c r="G57" s="19">
        <v>1</v>
      </c>
      <c r="H57" s="1" t="s">
        <v>198</v>
      </c>
      <c r="I57" s="1"/>
      <c r="J57" s="1"/>
    </row>
    <row r="58" spans="1:10" x14ac:dyDescent="0.25">
      <c r="A58" s="26"/>
      <c r="B58" s="27"/>
      <c r="C58" s="32"/>
      <c r="D58" s="33"/>
      <c r="E58" s="30"/>
      <c r="F58" s="31"/>
      <c r="G58" s="19">
        <v>1</v>
      </c>
    </row>
    <row r="59" spans="1:10" x14ac:dyDescent="0.25">
      <c r="A59" s="26"/>
      <c r="B59" s="27"/>
      <c r="C59" s="32"/>
      <c r="D59" s="33"/>
      <c r="E59" s="30"/>
      <c r="F59" s="31"/>
      <c r="G59" s="19">
        <v>1</v>
      </c>
    </row>
    <row r="60" spans="1:10" x14ac:dyDescent="0.25">
      <c r="A60" s="26"/>
      <c r="B60" s="27"/>
      <c r="C60" s="32"/>
      <c r="D60" s="33"/>
      <c r="E60" s="30"/>
      <c r="F60" s="31"/>
      <c r="G60" s="19">
        <v>1</v>
      </c>
    </row>
    <row r="61" spans="1:10" x14ac:dyDescent="0.25">
      <c r="A61" s="26"/>
      <c r="B61" s="27"/>
      <c r="C61" s="32"/>
      <c r="D61" s="33"/>
      <c r="E61" s="30"/>
      <c r="F61" s="31"/>
      <c r="G61" s="19">
        <v>1</v>
      </c>
    </row>
    <row r="62" spans="1:10" x14ac:dyDescent="0.25">
      <c r="A62" s="26"/>
      <c r="B62" s="27"/>
      <c r="C62" s="32"/>
      <c r="D62" s="33"/>
      <c r="E62" s="30"/>
      <c r="F62" s="31"/>
      <c r="G62" s="19">
        <v>1</v>
      </c>
    </row>
    <row r="63" spans="1:10" x14ac:dyDescent="0.25">
      <c r="A63" s="26"/>
      <c r="B63" s="27"/>
      <c r="C63" s="32"/>
      <c r="D63" s="33"/>
      <c r="E63" s="30"/>
      <c r="F63" s="31"/>
      <c r="G63" s="19">
        <v>1</v>
      </c>
    </row>
    <row r="64" spans="1:10" x14ac:dyDescent="0.25">
      <c r="A64" s="26"/>
      <c r="B64" s="27"/>
      <c r="C64" s="28"/>
      <c r="D64" s="29"/>
      <c r="E64" s="30"/>
      <c r="F64" s="31"/>
      <c r="G64" s="25">
        <v>1</v>
      </c>
    </row>
    <row r="65" spans="1:7" x14ac:dyDescent="0.25">
      <c r="A65" s="26"/>
      <c r="B65" s="34"/>
      <c r="C65" s="34"/>
      <c r="D65" s="29"/>
      <c r="E65" s="30"/>
      <c r="F65" s="31"/>
      <c r="G65" s="25">
        <v>1</v>
      </c>
    </row>
    <row r="66" spans="1:7" x14ac:dyDescent="0.25">
      <c r="A66" s="26"/>
      <c r="B66" s="34"/>
      <c r="C66" s="34"/>
      <c r="D66" s="35"/>
      <c r="E66" s="30"/>
      <c r="F66" s="31"/>
      <c r="G66" s="25">
        <v>1</v>
      </c>
    </row>
    <row r="67" spans="1:7" x14ac:dyDescent="0.25">
      <c r="A67" s="26"/>
      <c r="B67" s="34"/>
      <c r="C67" s="34"/>
      <c r="D67" s="35"/>
      <c r="E67" s="30"/>
      <c r="F67" s="31"/>
      <c r="G67" s="25">
        <v>1</v>
      </c>
    </row>
    <row r="68" spans="1:7" x14ac:dyDescent="0.25">
      <c r="A68" s="26"/>
      <c r="B68" s="34"/>
      <c r="C68" s="34"/>
      <c r="D68" s="35"/>
      <c r="E68" s="36"/>
      <c r="F68" s="37"/>
      <c r="G68" s="25">
        <v>1</v>
      </c>
    </row>
  </sheetData>
  <sortState ref="B51:F53">
    <sortCondition ref="D51:D5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28" workbookViewId="0">
      <selection activeCell="B42" sqref="B42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6" max="6" width="17" customWidth="1"/>
    <col min="7" max="7" width="4.28515625" hidden="1" customWidth="1"/>
    <col min="8" max="8" width="23.42578125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 ca="1">SUMIF(F7:F121,"Elimination*",G7:G71)</f>
        <v>15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 ca="1">SUMIF(F7:F121,"NB*",G7:G71)</f>
        <v>9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 ca="1">SUMIF(F7:F121,"Ve*",G7:G71)</f>
        <v>13</v>
      </c>
    </row>
    <row r="5" spans="1:11" ht="15.75" x14ac:dyDescent="0.25">
      <c r="A5" s="57" t="s">
        <v>199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 ca="1">SUM(K2:K4)</f>
        <v>37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200</v>
      </c>
      <c r="C7" s="11" t="s">
        <v>18</v>
      </c>
      <c r="D7" s="9" t="s">
        <v>201</v>
      </c>
      <c r="E7" s="14">
        <v>42430</v>
      </c>
      <c r="F7" s="24" t="s">
        <v>56</v>
      </c>
      <c r="G7" s="19">
        <v>1</v>
      </c>
      <c r="H7" s="18"/>
      <c r="I7" s="18"/>
      <c r="J7" s="18"/>
      <c r="K7" s="1"/>
    </row>
    <row r="8" spans="1:11" x14ac:dyDescent="0.25">
      <c r="A8" s="17">
        <f>+A7+1</f>
        <v>2</v>
      </c>
      <c r="B8" s="15" t="s">
        <v>1098</v>
      </c>
      <c r="C8" s="11" t="s">
        <v>18</v>
      </c>
      <c r="D8" s="9" t="s">
        <v>202</v>
      </c>
      <c r="E8" s="14">
        <v>42432</v>
      </c>
      <c r="F8" s="24" t="s">
        <v>204</v>
      </c>
      <c r="G8" s="19">
        <v>1</v>
      </c>
      <c r="H8" s="47" t="s">
        <v>206</v>
      </c>
      <c r="I8" s="2"/>
      <c r="J8" s="2"/>
      <c r="K8" s="1"/>
    </row>
    <row r="9" spans="1:11" x14ac:dyDescent="0.25">
      <c r="A9" s="17">
        <f t="shared" ref="A9:A43" si="0">+A8+1</f>
        <v>3</v>
      </c>
      <c r="B9" s="15" t="s">
        <v>1097</v>
      </c>
      <c r="C9" s="11" t="s">
        <v>18</v>
      </c>
      <c r="D9" s="9" t="s">
        <v>203</v>
      </c>
      <c r="E9" s="14">
        <v>42432</v>
      </c>
      <c r="F9" s="24" t="s">
        <v>205</v>
      </c>
      <c r="G9" s="19">
        <v>1</v>
      </c>
      <c r="H9" s="47" t="s">
        <v>207</v>
      </c>
      <c r="I9" s="2"/>
      <c r="J9" s="2"/>
      <c r="K9" s="1"/>
    </row>
    <row r="10" spans="1:11" x14ac:dyDescent="0.25">
      <c r="A10" s="17">
        <f t="shared" si="0"/>
        <v>4</v>
      </c>
      <c r="B10" s="15" t="s">
        <v>208</v>
      </c>
      <c r="C10" s="11" t="s">
        <v>18</v>
      </c>
      <c r="D10" s="9" t="s">
        <v>209</v>
      </c>
      <c r="E10" s="14">
        <v>42432</v>
      </c>
      <c r="F10" s="24" t="s">
        <v>26</v>
      </c>
      <c r="G10" s="19">
        <v>1</v>
      </c>
      <c r="H10" s="22"/>
      <c r="I10" s="2"/>
      <c r="J10" s="2"/>
      <c r="K10" s="1"/>
    </row>
    <row r="11" spans="1:11" x14ac:dyDescent="0.25">
      <c r="A11" s="17">
        <f t="shared" si="0"/>
        <v>5</v>
      </c>
      <c r="B11" s="15" t="s">
        <v>210</v>
      </c>
      <c r="C11" s="11" t="s">
        <v>18</v>
      </c>
      <c r="D11" s="9" t="s">
        <v>211</v>
      </c>
      <c r="E11" s="14">
        <v>42432</v>
      </c>
      <c r="F11" s="24" t="s">
        <v>26</v>
      </c>
      <c r="G11" s="19">
        <v>1</v>
      </c>
      <c r="H11" s="22"/>
      <c r="I11" s="2"/>
      <c r="J11" s="2"/>
      <c r="K11" s="1"/>
    </row>
    <row r="12" spans="1:11" x14ac:dyDescent="0.25">
      <c r="A12" s="17">
        <f t="shared" si="0"/>
        <v>6</v>
      </c>
      <c r="B12" s="15" t="s">
        <v>212</v>
      </c>
      <c r="C12" s="11" t="s">
        <v>18</v>
      </c>
      <c r="D12" s="9" t="s">
        <v>213</v>
      </c>
      <c r="E12" s="14">
        <v>42432</v>
      </c>
      <c r="F12" s="24" t="s">
        <v>26</v>
      </c>
      <c r="G12" s="19">
        <v>1</v>
      </c>
      <c r="H12" s="13"/>
      <c r="I12" s="2"/>
      <c r="J12" s="2"/>
      <c r="K12" s="1"/>
    </row>
    <row r="13" spans="1:11" x14ac:dyDescent="0.25">
      <c r="A13" s="17">
        <f t="shared" si="0"/>
        <v>7</v>
      </c>
      <c r="B13" s="15" t="s">
        <v>226</v>
      </c>
      <c r="C13" s="11" t="s">
        <v>28</v>
      </c>
      <c r="D13" s="9" t="s">
        <v>227</v>
      </c>
      <c r="E13" s="14">
        <v>42437</v>
      </c>
      <c r="F13" s="24" t="s">
        <v>26</v>
      </c>
      <c r="G13" s="19">
        <v>1</v>
      </c>
      <c r="H13" s="13"/>
      <c r="I13" s="2"/>
      <c r="J13" s="2"/>
      <c r="K13" s="1"/>
    </row>
    <row r="14" spans="1:11" x14ac:dyDescent="0.25">
      <c r="A14" s="17">
        <f t="shared" si="0"/>
        <v>8</v>
      </c>
      <c r="B14" s="14" t="s">
        <v>224</v>
      </c>
      <c r="C14" s="11" t="s">
        <v>28</v>
      </c>
      <c r="D14" s="9" t="s">
        <v>225</v>
      </c>
      <c r="E14" s="14">
        <v>42437</v>
      </c>
      <c r="F14" s="24" t="s">
        <v>26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5" t="s">
        <v>218</v>
      </c>
      <c r="C15" s="11" t="s">
        <v>18</v>
      </c>
      <c r="D15" s="9" t="s">
        <v>219</v>
      </c>
      <c r="E15" s="14">
        <v>42437</v>
      </c>
      <c r="F15" s="24" t="s">
        <v>26</v>
      </c>
      <c r="G15" s="19">
        <v>1</v>
      </c>
      <c r="H15" s="2"/>
      <c r="I15" s="2"/>
      <c r="J15" s="2"/>
    </row>
    <row r="16" spans="1:11" x14ac:dyDescent="0.25">
      <c r="A16" s="17">
        <f t="shared" si="0"/>
        <v>10</v>
      </c>
      <c r="B16" s="10" t="s">
        <v>220</v>
      </c>
      <c r="C16" s="11" t="s">
        <v>18</v>
      </c>
      <c r="D16" s="9" t="s">
        <v>221</v>
      </c>
      <c r="E16" s="14">
        <v>42437</v>
      </c>
      <c r="F16" s="24" t="s">
        <v>26</v>
      </c>
      <c r="G16" s="19">
        <v>1</v>
      </c>
      <c r="H16" s="2"/>
      <c r="I16" s="2"/>
      <c r="J16" s="2"/>
    </row>
    <row r="17" spans="1:10" x14ac:dyDescent="0.25">
      <c r="A17" s="17">
        <f t="shared" si="0"/>
        <v>11</v>
      </c>
      <c r="B17" s="14" t="s">
        <v>222</v>
      </c>
      <c r="C17" s="11" t="s">
        <v>18</v>
      </c>
      <c r="D17" s="9" t="s">
        <v>223</v>
      </c>
      <c r="E17" s="14">
        <v>42437</v>
      </c>
      <c r="F17" s="24" t="s">
        <v>26</v>
      </c>
      <c r="G17" s="19">
        <v>1</v>
      </c>
      <c r="H17" s="13"/>
      <c r="I17" s="2"/>
      <c r="J17" s="2"/>
    </row>
    <row r="18" spans="1:10" x14ac:dyDescent="0.25">
      <c r="A18" s="17">
        <f t="shared" si="0"/>
        <v>12</v>
      </c>
      <c r="B18" s="15" t="s">
        <v>216</v>
      </c>
      <c r="C18" s="11" t="s">
        <v>18</v>
      </c>
      <c r="D18" s="9" t="s">
        <v>217</v>
      </c>
      <c r="E18" s="14">
        <v>42437</v>
      </c>
      <c r="F18" s="24" t="s">
        <v>26</v>
      </c>
      <c r="G18" s="19">
        <v>1</v>
      </c>
      <c r="H18" s="13"/>
      <c r="I18" s="2"/>
      <c r="J18" s="2"/>
    </row>
    <row r="19" spans="1:10" x14ac:dyDescent="0.25">
      <c r="A19" s="17">
        <f t="shared" si="0"/>
        <v>13</v>
      </c>
      <c r="B19" s="15" t="s">
        <v>214</v>
      </c>
      <c r="C19" s="11" t="s">
        <v>18</v>
      </c>
      <c r="D19" s="9" t="s">
        <v>215</v>
      </c>
      <c r="E19" s="14">
        <v>42437</v>
      </c>
      <c r="F19" s="24" t="s">
        <v>26</v>
      </c>
      <c r="G19" s="19">
        <v>1</v>
      </c>
      <c r="H19" s="13"/>
      <c r="I19" s="2"/>
      <c r="J19" s="2"/>
    </row>
    <row r="20" spans="1:10" x14ac:dyDescent="0.25">
      <c r="A20" s="17">
        <f t="shared" si="0"/>
        <v>14</v>
      </c>
      <c r="B20" s="14" t="s">
        <v>228</v>
      </c>
      <c r="C20" s="11" t="s">
        <v>18</v>
      </c>
      <c r="D20" s="9" t="s">
        <v>229</v>
      </c>
      <c r="E20" s="14">
        <v>42438</v>
      </c>
      <c r="F20" s="24" t="s">
        <v>26</v>
      </c>
      <c r="G20" s="19">
        <v>1</v>
      </c>
      <c r="H20" s="13"/>
      <c r="I20" s="2"/>
      <c r="J20" s="2"/>
    </row>
    <row r="21" spans="1:10" x14ac:dyDescent="0.25">
      <c r="A21" s="17">
        <f t="shared" si="0"/>
        <v>15</v>
      </c>
      <c r="B21" s="14" t="s">
        <v>1099</v>
      </c>
      <c r="C21" s="11" t="s">
        <v>18</v>
      </c>
      <c r="D21" s="9" t="s">
        <v>230</v>
      </c>
      <c r="E21" s="10">
        <v>42442</v>
      </c>
      <c r="F21" s="24" t="s">
        <v>56</v>
      </c>
      <c r="G21" s="19">
        <v>1</v>
      </c>
      <c r="H21" s="46" t="s">
        <v>245</v>
      </c>
      <c r="I21" s="2"/>
      <c r="J21" s="2"/>
    </row>
    <row r="22" spans="1:10" x14ac:dyDescent="0.25">
      <c r="A22" s="17">
        <f t="shared" si="0"/>
        <v>16</v>
      </c>
      <c r="B22" s="14" t="s">
        <v>1100</v>
      </c>
      <c r="C22" s="11" t="s">
        <v>18</v>
      </c>
      <c r="D22" s="9" t="s">
        <v>231</v>
      </c>
      <c r="E22" s="10">
        <v>42443</v>
      </c>
      <c r="F22" s="24" t="s">
        <v>233</v>
      </c>
      <c r="G22" s="19">
        <v>1</v>
      </c>
      <c r="H22" s="46" t="s">
        <v>235</v>
      </c>
      <c r="I22" s="2"/>
      <c r="J22" s="2"/>
    </row>
    <row r="23" spans="1:10" x14ac:dyDescent="0.25">
      <c r="A23" s="17">
        <f t="shared" si="0"/>
        <v>17</v>
      </c>
      <c r="B23" s="14" t="s">
        <v>1101</v>
      </c>
      <c r="C23" s="11" t="s">
        <v>18</v>
      </c>
      <c r="D23" s="9" t="s">
        <v>232</v>
      </c>
      <c r="E23" s="10">
        <v>42443</v>
      </c>
      <c r="F23" s="24" t="s">
        <v>234</v>
      </c>
      <c r="G23" s="19">
        <v>1</v>
      </c>
      <c r="H23" s="46" t="s">
        <v>236</v>
      </c>
      <c r="I23" s="2"/>
      <c r="J23" s="2"/>
    </row>
    <row r="24" spans="1:10" x14ac:dyDescent="0.25">
      <c r="A24" s="17">
        <f t="shared" si="0"/>
        <v>18</v>
      </c>
      <c r="B24" s="14" t="s">
        <v>237</v>
      </c>
      <c r="C24" s="11" t="s">
        <v>28</v>
      </c>
      <c r="D24" s="9" t="s">
        <v>238</v>
      </c>
      <c r="E24" s="10">
        <v>42443</v>
      </c>
      <c r="F24" s="24" t="s">
        <v>26</v>
      </c>
      <c r="G24" s="19">
        <v>1</v>
      </c>
      <c r="H24" s="13"/>
      <c r="I24" s="2"/>
      <c r="J24" s="2"/>
    </row>
    <row r="25" spans="1:10" x14ac:dyDescent="0.25">
      <c r="A25" s="17">
        <f t="shared" si="0"/>
        <v>19</v>
      </c>
      <c r="B25" s="15" t="s">
        <v>239</v>
      </c>
      <c r="C25" s="11" t="s">
        <v>18</v>
      </c>
      <c r="D25" s="9" t="s">
        <v>240</v>
      </c>
      <c r="E25" s="10">
        <v>42443</v>
      </c>
      <c r="F25" s="24" t="s">
        <v>26</v>
      </c>
      <c r="G25" s="19">
        <v>1</v>
      </c>
      <c r="H25" s="13"/>
      <c r="I25" s="2"/>
      <c r="J25" s="2"/>
    </row>
    <row r="26" spans="1:10" x14ac:dyDescent="0.25">
      <c r="A26" s="17">
        <f t="shared" si="0"/>
        <v>20</v>
      </c>
      <c r="B26" s="14" t="s">
        <v>241</v>
      </c>
      <c r="C26" s="11" t="s">
        <v>18</v>
      </c>
      <c r="D26" s="9" t="s">
        <v>242</v>
      </c>
      <c r="E26" s="10">
        <v>42443</v>
      </c>
      <c r="F26" s="24" t="s">
        <v>26</v>
      </c>
      <c r="G26" s="19">
        <v>1</v>
      </c>
      <c r="H26" s="13"/>
      <c r="I26" s="2"/>
      <c r="J26" s="2"/>
    </row>
    <row r="27" spans="1:10" x14ac:dyDescent="0.25">
      <c r="A27" s="17">
        <f t="shared" si="0"/>
        <v>21</v>
      </c>
      <c r="B27" s="14" t="s">
        <v>243</v>
      </c>
      <c r="C27" s="11" t="s">
        <v>18</v>
      </c>
      <c r="D27" s="9" t="s">
        <v>244</v>
      </c>
      <c r="E27" s="10">
        <v>42443</v>
      </c>
      <c r="F27" s="24" t="s">
        <v>56</v>
      </c>
      <c r="G27" s="19">
        <v>1</v>
      </c>
      <c r="H27" s="13"/>
      <c r="I27" s="2"/>
      <c r="J27" s="2"/>
    </row>
    <row r="28" spans="1:10" x14ac:dyDescent="0.25">
      <c r="A28" s="17">
        <f t="shared" si="0"/>
        <v>22</v>
      </c>
      <c r="B28" s="14" t="s">
        <v>246</v>
      </c>
      <c r="C28" s="11" t="s">
        <v>18</v>
      </c>
      <c r="D28" s="9" t="s">
        <v>247</v>
      </c>
      <c r="E28" s="14">
        <v>42446</v>
      </c>
      <c r="F28" s="24" t="s">
        <v>26</v>
      </c>
      <c r="G28" s="19">
        <v>1</v>
      </c>
      <c r="H28" s="46"/>
      <c r="I28" s="2"/>
      <c r="J28" s="2"/>
    </row>
    <row r="29" spans="1:10" x14ac:dyDescent="0.25">
      <c r="A29" s="17">
        <f t="shared" si="0"/>
        <v>23</v>
      </c>
      <c r="B29" s="14" t="s">
        <v>1102</v>
      </c>
      <c r="C29" s="11" t="s">
        <v>18</v>
      </c>
      <c r="D29" s="9" t="s">
        <v>248</v>
      </c>
      <c r="E29" s="14">
        <v>42446</v>
      </c>
      <c r="F29" s="24" t="s">
        <v>1231</v>
      </c>
      <c r="G29" s="19">
        <v>1</v>
      </c>
      <c r="H29" s="1" t="s">
        <v>253</v>
      </c>
      <c r="I29" s="1"/>
      <c r="J29" s="1"/>
    </row>
    <row r="30" spans="1:10" x14ac:dyDescent="0.25">
      <c r="A30" s="17">
        <f t="shared" si="0"/>
        <v>24</v>
      </c>
      <c r="B30" s="14" t="s">
        <v>1103</v>
      </c>
      <c r="C30" s="11" t="s">
        <v>18</v>
      </c>
      <c r="D30" s="9" t="s">
        <v>249</v>
      </c>
      <c r="E30" s="14">
        <v>42446</v>
      </c>
      <c r="F30" s="24" t="s">
        <v>1232</v>
      </c>
      <c r="G30" s="19">
        <v>1</v>
      </c>
      <c r="H30" s="1" t="s">
        <v>250</v>
      </c>
      <c r="I30" s="1"/>
      <c r="J30" s="1"/>
    </row>
    <row r="31" spans="1:10" x14ac:dyDescent="0.25">
      <c r="A31" s="17">
        <f t="shared" si="0"/>
        <v>25</v>
      </c>
      <c r="B31" s="14" t="s">
        <v>1104</v>
      </c>
      <c r="C31" s="11" t="s">
        <v>18</v>
      </c>
      <c r="D31" s="9" t="s">
        <v>251</v>
      </c>
      <c r="E31" s="14">
        <v>42446</v>
      </c>
      <c r="F31" s="24" t="s">
        <v>1233</v>
      </c>
      <c r="G31" s="19">
        <v>1</v>
      </c>
      <c r="H31" s="1" t="s">
        <v>252</v>
      </c>
      <c r="I31" s="1"/>
      <c r="J31" s="1"/>
    </row>
    <row r="32" spans="1:10" x14ac:dyDescent="0.25">
      <c r="A32" s="17">
        <f t="shared" si="0"/>
        <v>26</v>
      </c>
      <c r="B32" s="14" t="s">
        <v>254</v>
      </c>
      <c r="C32" s="11" t="s">
        <v>18</v>
      </c>
      <c r="D32" s="9" t="s">
        <v>255</v>
      </c>
      <c r="E32" s="14">
        <v>42449</v>
      </c>
      <c r="F32" s="24" t="s">
        <v>56</v>
      </c>
      <c r="G32" s="19">
        <v>1</v>
      </c>
      <c r="H32" s="1"/>
      <c r="I32" s="1"/>
      <c r="J32" s="1"/>
    </row>
    <row r="33" spans="1:10" x14ac:dyDescent="0.25">
      <c r="A33" s="17">
        <f t="shared" si="0"/>
        <v>27</v>
      </c>
      <c r="B33" s="14" t="s">
        <v>341</v>
      </c>
      <c r="C33" s="11" t="s">
        <v>18</v>
      </c>
      <c r="D33" s="9" t="s">
        <v>256</v>
      </c>
      <c r="E33" s="14">
        <v>42452</v>
      </c>
      <c r="F33" s="24" t="s">
        <v>56</v>
      </c>
      <c r="G33" s="19">
        <v>1</v>
      </c>
      <c r="H33" s="1" t="s">
        <v>265</v>
      </c>
      <c r="I33" s="1"/>
      <c r="J33" s="1"/>
    </row>
    <row r="34" spans="1:10" x14ac:dyDescent="0.25">
      <c r="A34" s="17">
        <f t="shared" si="0"/>
        <v>28</v>
      </c>
      <c r="B34" s="14" t="s">
        <v>341</v>
      </c>
      <c r="C34" s="11" t="s">
        <v>18</v>
      </c>
      <c r="D34" s="9" t="s">
        <v>257</v>
      </c>
      <c r="E34" s="14">
        <v>42452</v>
      </c>
      <c r="F34" s="24" t="s">
        <v>56</v>
      </c>
      <c r="G34" s="19">
        <v>1</v>
      </c>
      <c r="H34" s="1" t="s">
        <v>265</v>
      </c>
      <c r="I34" s="1"/>
      <c r="J34" s="1"/>
    </row>
    <row r="35" spans="1:10" x14ac:dyDescent="0.25">
      <c r="A35" s="17">
        <f t="shared" si="0"/>
        <v>29</v>
      </c>
      <c r="B35" s="14" t="s">
        <v>341</v>
      </c>
      <c r="C35" s="11" t="s">
        <v>18</v>
      </c>
      <c r="D35" s="9" t="s">
        <v>258</v>
      </c>
      <c r="E35" s="14">
        <v>42452</v>
      </c>
      <c r="F35" s="24" t="s">
        <v>56</v>
      </c>
      <c r="G35" s="19">
        <v>1</v>
      </c>
      <c r="H35" s="1" t="s">
        <v>265</v>
      </c>
      <c r="I35" s="1"/>
      <c r="J35" s="1"/>
    </row>
    <row r="36" spans="1:10" x14ac:dyDescent="0.25">
      <c r="A36" s="17">
        <f t="shared" si="0"/>
        <v>30</v>
      </c>
      <c r="B36" s="14" t="s">
        <v>341</v>
      </c>
      <c r="C36" s="11" t="s">
        <v>18</v>
      </c>
      <c r="D36" s="9" t="s">
        <v>259</v>
      </c>
      <c r="E36" s="14">
        <v>42452</v>
      </c>
      <c r="F36" s="24" t="s">
        <v>56</v>
      </c>
      <c r="G36" s="19">
        <v>1</v>
      </c>
      <c r="H36" s="1" t="s">
        <v>265</v>
      </c>
      <c r="I36" s="1"/>
      <c r="J36" s="1"/>
    </row>
    <row r="37" spans="1:10" x14ac:dyDescent="0.25">
      <c r="A37" s="17">
        <f t="shared" si="0"/>
        <v>31</v>
      </c>
      <c r="B37" s="14" t="s">
        <v>341</v>
      </c>
      <c r="C37" s="11" t="s">
        <v>18</v>
      </c>
      <c r="D37" s="9" t="s">
        <v>260</v>
      </c>
      <c r="E37" s="14">
        <v>42452</v>
      </c>
      <c r="F37" s="24" t="s">
        <v>56</v>
      </c>
      <c r="G37" s="19">
        <v>1</v>
      </c>
      <c r="H37" s="1" t="s">
        <v>265</v>
      </c>
      <c r="I37" s="1"/>
      <c r="J37" s="1"/>
    </row>
    <row r="38" spans="1:10" x14ac:dyDescent="0.25">
      <c r="A38" s="17">
        <f t="shared" si="0"/>
        <v>32</v>
      </c>
      <c r="B38" s="14" t="s">
        <v>341</v>
      </c>
      <c r="C38" s="11" t="s">
        <v>18</v>
      </c>
      <c r="D38" s="9" t="s">
        <v>261</v>
      </c>
      <c r="E38" s="14">
        <v>42452</v>
      </c>
      <c r="F38" s="24" t="s">
        <v>56</v>
      </c>
      <c r="G38" s="19">
        <v>1</v>
      </c>
      <c r="H38" s="1" t="s">
        <v>265</v>
      </c>
      <c r="I38" s="1"/>
      <c r="J38" s="1"/>
    </row>
    <row r="39" spans="1:10" x14ac:dyDescent="0.25">
      <c r="A39" s="17">
        <f t="shared" si="0"/>
        <v>33</v>
      </c>
      <c r="B39" s="14" t="s">
        <v>341</v>
      </c>
      <c r="C39" s="11" t="s">
        <v>18</v>
      </c>
      <c r="D39" s="9" t="s">
        <v>262</v>
      </c>
      <c r="E39" s="14">
        <v>42452</v>
      </c>
      <c r="F39" s="24" t="s">
        <v>56</v>
      </c>
      <c r="G39" s="19">
        <v>1</v>
      </c>
      <c r="H39" s="1" t="s">
        <v>265</v>
      </c>
      <c r="I39" s="1"/>
      <c r="J39" s="1"/>
    </row>
    <row r="40" spans="1:10" x14ac:dyDescent="0.25">
      <c r="A40" s="17">
        <f t="shared" si="0"/>
        <v>34</v>
      </c>
      <c r="B40" s="14" t="s">
        <v>341</v>
      </c>
      <c r="C40" s="11" t="s">
        <v>18</v>
      </c>
      <c r="D40" s="9" t="s">
        <v>263</v>
      </c>
      <c r="E40" s="14">
        <v>42452</v>
      </c>
      <c r="F40" s="24" t="s">
        <v>56</v>
      </c>
      <c r="G40" s="19">
        <v>1</v>
      </c>
      <c r="H40" s="1" t="s">
        <v>265</v>
      </c>
      <c r="I40" s="1"/>
      <c r="J40" s="1"/>
    </row>
    <row r="41" spans="1:10" x14ac:dyDescent="0.25">
      <c r="A41" s="17">
        <f t="shared" si="0"/>
        <v>35</v>
      </c>
      <c r="B41" s="14" t="s">
        <v>341</v>
      </c>
      <c r="C41" s="11" t="s">
        <v>18</v>
      </c>
      <c r="D41" s="9" t="s">
        <v>264</v>
      </c>
      <c r="E41" s="14">
        <v>42452</v>
      </c>
      <c r="F41" s="24" t="s">
        <v>56</v>
      </c>
      <c r="G41" s="19">
        <v>1</v>
      </c>
      <c r="H41" s="1" t="s">
        <v>265</v>
      </c>
      <c r="I41" s="1"/>
      <c r="J41" s="1"/>
    </row>
    <row r="42" spans="1:10" x14ac:dyDescent="0.25">
      <c r="A42" s="17">
        <f t="shared" si="0"/>
        <v>36</v>
      </c>
      <c r="B42" s="14" t="s">
        <v>1105</v>
      </c>
      <c r="C42" s="11" t="s">
        <v>18</v>
      </c>
      <c r="D42" s="9" t="s">
        <v>266</v>
      </c>
      <c r="E42" s="10">
        <v>42459</v>
      </c>
      <c r="F42" s="24" t="s">
        <v>135</v>
      </c>
      <c r="G42" s="19">
        <v>1</v>
      </c>
      <c r="H42" s="1" t="s">
        <v>269</v>
      </c>
      <c r="I42" s="1"/>
      <c r="J42" s="1"/>
    </row>
    <row r="43" spans="1:10" x14ac:dyDescent="0.25">
      <c r="A43" s="17">
        <f t="shared" si="0"/>
        <v>37</v>
      </c>
      <c r="B43" s="14" t="s">
        <v>1106</v>
      </c>
      <c r="C43" s="11" t="s">
        <v>18</v>
      </c>
      <c r="D43" s="9" t="s">
        <v>267</v>
      </c>
      <c r="E43" s="10">
        <v>42459</v>
      </c>
      <c r="F43" s="24" t="s">
        <v>135</v>
      </c>
      <c r="G43" s="19">
        <v>1</v>
      </c>
      <c r="H43" s="1" t="s">
        <v>268</v>
      </c>
      <c r="I43" s="1"/>
      <c r="J43" s="1"/>
    </row>
  </sheetData>
  <sortState ref="B13:F19">
    <sortCondition ref="D13:D1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20" workbookViewId="0">
      <selection activeCell="B35" sqref="B35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6" max="6" width="17" customWidth="1"/>
    <col min="7" max="7" width="3.85546875" hidden="1" customWidth="1"/>
    <col min="8" max="8" width="23.42578125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SUMIF(F7:F38,"Elimination*",G7:G38)</f>
        <v>20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SUMIF(F7:F38,"NB*",G7:G38)</f>
        <v>12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SUMIF(F7:F38,"Ve*",G7:G38)</f>
        <v>0</v>
      </c>
    </row>
    <row r="5" spans="1:11" ht="15.75" x14ac:dyDescent="0.25">
      <c r="A5" s="57" t="s">
        <v>270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32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271</v>
      </c>
      <c r="C7" s="11" t="s">
        <v>18</v>
      </c>
      <c r="D7" s="9" t="s">
        <v>275</v>
      </c>
      <c r="E7" s="14">
        <v>42465</v>
      </c>
      <c r="F7" s="24" t="s">
        <v>26</v>
      </c>
      <c r="G7" s="19">
        <v>1</v>
      </c>
      <c r="H7" s="18"/>
      <c r="I7" s="18"/>
      <c r="J7" s="18"/>
      <c r="K7" s="1"/>
    </row>
    <row r="8" spans="1:11" x14ac:dyDescent="0.25">
      <c r="A8" s="17">
        <f>+A7+1</f>
        <v>2</v>
      </c>
      <c r="B8" s="15" t="s">
        <v>274</v>
      </c>
      <c r="C8" s="11" t="s">
        <v>18</v>
      </c>
      <c r="D8" s="9" t="s">
        <v>276</v>
      </c>
      <c r="E8" s="14">
        <v>42467</v>
      </c>
      <c r="F8" s="24" t="s">
        <v>26</v>
      </c>
      <c r="G8" s="19">
        <v>1</v>
      </c>
      <c r="H8" s="47"/>
      <c r="I8" s="2"/>
      <c r="J8" s="2"/>
      <c r="K8" s="1"/>
    </row>
    <row r="9" spans="1:11" x14ac:dyDescent="0.25">
      <c r="A9" s="17">
        <f t="shared" ref="A9:A38" si="0">+A8+1</f>
        <v>3</v>
      </c>
      <c r="B9" s="15" t="s">
        <v>277</v>
      </c>
      <c r="C9" s="11" t="s">
        <v>18</v>
      </c>
      <c r="D9" s="9" t="s">
        <v>278</v>
      </c>
      <c r="E9" s="14">
        <v>42467</v>
      </c>
      <c r="F9" s="24" t="s">
        <v>26</v>
      </c>
      <c r="G9" s="19">
        <v>1</v>
      </c>
      <c r="H9" s="47"/>
      <c r="I9" s="2"/>
      <c r="J9" s="2"/>
      <c r="K9" s="1"/>
    </row>
    <row r="10" spans="1:11" x14ac:dyDescent="0.25">
      <c r="A10" s="17">
        <f t="shared" si="0"/>
        <v>4</v>
      </c>
      <c r="B10" s="15" t="s">
        <v>287</v>
      </c>
      <c r="C10" s="11" t="s">
        <v>18</v>
      </c>
      <c r="D10" s="9" t="s">
        <v>288</v>
      </c>
      <c r="E10" s="14">
        <v>42467</v>
      </c>
      <c r="F10" s="24" t="s">
        <v>26</v>
      </c>
      <c r="G10" s="19">
        <v>1</v>
      </c>
      <c r="H10" s="22"/>
      <c r="I10" s="2"/>
      <c r="J10" s="2"/>
      <c r="K10" s="1"/>
    </row>
    <row r="11" spans="1:11" x14ac:dyDescent="0.25">
      <c r="A11" s="17">
        <f t="shared" si="0"/>
        <v>5</v>
      </c>
      <c r="B11" s="14" t="s">
        <v>286</v>
      </c>
      <c r="C11" s="11" t="s">
        <v>18</v>
      </c>
      <c r="D11" s="9" t="s">
        <v>285</v>
      </c>
      <c r="E11" s="14">
        <v>42467</v>
      </c>
      <c r="F11" s="24" t="s">
        <v>26</v>
      </c>
      <c r="G11" s="19">
        <v>1</v>
      </c>
      <c r="H11" s="22"/>
      <c r="I11" s="2"/>
      <c r="J11" s="2"/>
      <c r="K11" s="1"/>
    </row>
    <row r="12" spans="1:11" x14ac:dyDescent="0.25">
      <c r="A12" s="17">
        <f t="shared" si="0"/>
        <v>6</v>
      </c>
      <c r="B12" s="14" t="s">
        <v>291</v>
      </c>
      <c r="C12" s="11" t="s">
        <v>18</v>
      </c>
      <c r="D12" s="9" t="s">
        <v>292</v>
      </c>
      <c r="E12" s="14">
        <v>42467</v>
      </c>
      <c r="F12" s="24" t="s">
        <v>26</v>
      </c>
      <c r="G12" s="19">
        <v>1</v>
      </c>
      <c r="H12" s="13"/>
      <c r="I12" s="2"/>
      <c r="J12" s="2"/>
      <c r="K12" s="1"/>
    </row>
    <row r="13" spans="1:11" x14ac:dyDescent="0.25">
      <c r="A13" s="17">
        <f t="shared" si="0"/>
        <v>7</v>
      </c>
      <c r="B13" s="15" t="s">
        <v>283</v>
      </c>
      <c r="C13" s="11" t="s">
        <v>18</v>
      </c>
      <c r="D13" s="9" t="s">
        <v>284</v>
      </c>
      <c r="E13" s="14">
        <v>42467</v>
      </c>
      <c r="F13" s="24" t="s">
        <v>26</v>
      </c>
      <c r="G13" s="19">
        <v>1</v>
      </c>
      <c r="H13" s="13"/>
      <c r="I13" s="2"/>
      <c r="J13" s="2"/>
      <c r="K13" s="1"/>
    </row>
    <row r="14" spans="1:11" x14ac:dyDescent="0.25">
      <c r="A14" s="17">
        <f t="shared" si="0"/>
        <v>8</v>
      </c>
      <c r="B14" s="15" t="s">
        <v>281</v>
      </c>
      <c r="C14" s="11" t="s">
        <v>18</v>
      </c>
      <c r="D14" s="9" t="s">
        <v>282</v>
      </c>
      <c r="E14" s="14">
        <v>42467</v>
      </c>
      <c r="F14" s="24" t="s">
        <v>26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5" t="s">
        <v>272</v>
      </c>
      <c r="C15" s="11" t="s">
        <v>18</v>
      </c>
      <c r="D15" s="9" t="s">
        <v>273</v>
      </c>
      <c r="E15" s="14">
        <v>42467</v>
      </c>
      <c r="F15" s="24" t="s">
        <v>26</v>
      </c>
      <c r="G15" s="19">
        <v>1</v>
      </c>
      <c r="H15" s="2"/>
      <c r="I15" s="2"/>
      <c r="J15" s="2"/>
    </row>
    <row r="16" spans="1:11" x14ac:dyDescent="0.25">
      <c r="A16" s="17">
        <f t="shared" si="0"/>
        <v>10</v>
      </c>
      <c r="B16" s="10" t="s">
        <v>289</v>
      </c>
      <c r="C16" s="11" t="s">
        <v>18</v>
      </c>
      <c r="D16" s="9" t="s">
        <v>290</v>
      </c>
      <c r="E16" s="14">
        <v>42467</v>
      </c>
      <c r="F16" s="24" t="s">
        <v>26</v>
      </c>
      <c r="G16" s="19">
        <v>1</v>
      </c>
      <c r="H16" s="2"/>
      <c r="I16" s="2"/>
      <c r="J16" s="2"/>
    </row>
    <row r="17" spans="1:10" x14ac:dyDescent="0.25">
      <c r="A17" s="17">
        <f t="shared" si="0"/>
        <v>11</v>
      </c>
      <c r="B17" s="15" t="s">
        <v>279</v>
      </c>
      <c r="C17" s="11" t="s">
        <v>18</v>
      </c>
      <c r="D17" s="9" t="s">
        <v>280</v>
      </c>
      <c r="E17" s="14">
        <v>42467</v>
      </c>
      <c r="F17" s="24" t="s">
        <v>26</v>
      </c>
      <c r="G17" s="19">
        <v>1</v>
      </c>
      <c r="H17" s="13"/>
      <c r="I17" s="2"/>
      <c r="J17" s="2"/>
    </row>
    <row r="18" spans="1:10" x14ac:dyDescent="0.25">
      <c r="A18" s="17">
        <f t="shared" si="0"/>
        <v>12</v>
      </c>
      <c r="B18" s="15" t="s">
        <v>1073</v>
      </c>
      <c r="C18" s="11" t="s">
        <v>18</v>
      </c>
      <c r="D18" s="9" t="s">
        <v>293</v>
      </c>
      <c r="E18" s="14">
        <v>42467</v>
      </c>
      <c r="F18" s="24" t="s">
        <v>135</v>
      </c>
      <c r="G18" s="19">
        <v>1</v>
      </c>
      <c r="H18" s="46" t="s">
        <v>294</v>
      </c>
      <c r="I18" s="2"/>
      <c r="J18" s="2"/>
    </row>
    <row r="19" spans="1:10" x14ac:dyDescent="0.25">
      <c r="A19" s="17">
        <f t="shared" si="0"/>
        <v>13</v>
      </c>
      <c r="B19" s="15" t="s">
        <v>295</v>
      </c>
      <c r="C19" s="11" t="s">
        <v>18</v>
      </c>
      <c r="D19" s="9" t="s">
        <v>296</v>
      </c>
      <c r="E19" s="14">
        <v>42470</v>
      </c>
      <c r="F19" s="24" t="s">
        <v>26</v>
      </c>
      <c r="G19" s="19">
        <v>1</v>
      </c>
      <c r="H19" s="13"/>
      <c r="I19" s="2"/>
      <c r="J19" s="2"/>
    </row>
    <row r="20" spans="1:10" x14ac:dyDescent="0.25">
      <c r="A20" s="17">
        <f t="shared" si="0"/>
        <v>14</v>
      </c>
      <c r="B20" s="14" t="s">
        <v>297</v>
      </c>
      <c r="C20" s="11" t="s">
        <v>18</v>
      </c>
      <c r="D20" s="9" t="s">
        <v>298</v>
      </c>
      <c r="E20" s="14">
        <v>42470</v>
      </c>
      <c r="F20" s="24" t="s">
        <v>26</v>
      </c>
      <c r="G20" s="19">
        <v>1</v>
      </c>
      <c r="H20" s="13"/>
      <c r="I20" s="2"/>
      <c r="J20" s="2"/>
    </row>
    <row r="21" spans="1:10" x14ac:dyDescent="0.25">
      <c r="A21" s="17">
        <f t="shared" si="0"/>
        <v>15</v>
      </c>
      <c r="B21" s="14" t="s">
        <v>301</v>
      </c>
      <c r="C21" s="11" t="s">
        <v>18</v>
      </c>
      <c r="D21" s="9" t="s">
        <v>299</v>
      </c>
      <c r="E21" s="10">
        <v>42472</v>
      </c>
      <c r="F21" s="24" t="s">
        <v>26</v>
      </c>
      <c r="G21" s="19">
        <v>1</v>
      </c>
      <c r="H21" s="46"/>
      <c r="I21" s="2"/>
      <c r="J21" s="2"/>
    </row>
    <row r="22" spans="1:10" x14ac:dyDescent="0.25">
      <c r="A22" s="17">
        <f t="shared" si="0"/>
        <v>16</v>
      </c>
      <c r="B22" s="15" t="s">
        <v>302</v>
      </c>
      <c r="C22" s="11" t="s">
        <v>18</v>
      </c>
      <c r="D22" s="9" t="s">
        <v>300</v>
      </c>
      <c r="E22" s="10">
        <v>42472</v>
      </c>
      <c r="F22" s="24" t="s">
        <v>26</v>
      </c>
      <c r="G22" s="19">
        <v>1</v>
      </c>
      <c r="H22" s="46"/>
      <c r="I22" s="2"/>
      <c r="J22" s="2"/>
    </row>
    <row r="23" spans="1:10" x14ac:dyDescent="0.25">
      <c r="A23" s="17">
        <f t="shared" si="0"/>
        <v>17</v>
      </c>
      <c r="B23" s="14" t="s">
        <v>308</v>
      </c>
      <c r="C23" s="11" t="s">
        <v>18</v>
      </c>
      <c r="D23" s="9" t="s">
        <v>303</v>
      </c>
      <c r="E23" s="10">
        <v>42473</v>
      </c>
      <c r="F23" s="24" t="s">
        <v>26</v>
      </c>
      <c r="G23" s="19">
        <v>1</v>
      </c>
      <c r="H23" s="46"/>
      <c r="I23" s="2"/>
      <c r="J23" s="2"/>
    </row>
    <row r="24" spans="1:10" x14ac:dyDescent="0.25">
      <c r="A24" s="17">
        <f t="shared" si="0"/>
        <v>18</v>
      </c>
      <c r="B24" s="14" t="s">
        <v>309</v>
      </c>
      <c r="C24" s="11" t="s">
        <v>18</v>
      </c>
      <c r="D24" s="9" t="s">
        <v>304</v>
      </c>
      <c r="E24" s="10">
        <v>42473</v>
      </c>
      <c r="F24" s="24" t="s">
        <v>26</v>
      </c>
      <c r="G24" s="19">
        <v>1</v>
      </c>
      <c r="H24" s="13"/>
      <c r="I24" s="2"/>
      <c r="J24" s="2"/>
    </row>
    <row r="25" spans="1:10" x14ac:dyDescent="0.25">
      <c r="A25" s="17">
        <f t="shared" si="0"/>
        <v>19</v>
      </c>
      <c r="B25" s="15" t="s">
        <v>307</v>
      </c>
      <c r="C25" s="11" t="s">
        <v>18</v>
      </c>
      <c r="D25" s="9" t="s">
        <v>305</v>
      </c>
      <c r="E25" s="10">
        <v>42473</v>
      </c>
      <c r="F25" s="24" t="s">
        <v>26</v>
      </c>
      <c r="G25" s="19">
        <v>1</v>
      </c>
      <c r="H25" s="13"/>
      <c r="I25" s="2"/>
      <c r="J25" s="2"/>
    </row>
    <row r="26" spans="1:10" x14ac:dyDescent="0.25">
      <c r="A26" s="17">
        <f t="shared" si="0"/>
        <v>20</v>
      </c>
      <c r="B26" s="14" t="s">
        <v>325</v>
      </c>
      <c r="C26" s="11" t="s">
        <v>18</v>
      </c>
      <c r="D26" s="9" t="s">
        <v>306</v>
      </c>
      <c r="E26" s="10">
        <v>42473</v>
      </c>
      <c r="F26" s="24" t="s">
        <v>26</v>
      </c>
      <c r="G26" s="19">
        <v>1</v>
      </c>
      <c r="H26" s="13"/>
      <c r="I26" s="2"/>
      <c r="J26" s="2"/>
    </row>
    <row r="27" spans="1:10" x14ac:dyDescent="0.25">
      <c r="A27" s="17">
        <f t="shared" si="0"/>
        <v>21</v>
      </c>
      <c r="B27" s="14" t="s">
        <v>1074</v>
      </c>
      <c r="C27" s="11" t="s">
        <v>18</v>
      </c>
      <c r="D27" s="9" t="s">
        <v>310</v>
      </c>
      <c r="E27" s="10">
        <v>42474</v>
      </c>
      <c r="F27" s="24" t="s">
        <v>318</v>
      </c>
      <c r="G27" s="19">
        <v>1</v>
      </c>
      <c r="H27" s="46" t="s">
        <v>314</v>
      </c>
      <c r="I27" s="2"/>
      <c r="J27" s="2"/>
    </row>
    <row r="28" spans="1:10" x14ac:dyDescent="0.25">
      <c r="A28" s="17">
        <f t="shared" si="0"/>
        <v>22</v>
      </c>
      <c r="B28" s="14" t="s">
        <v>1109</v>
      </c>
      <c r="C28" s="11" t="s">
        <v>18</v>
      </c>
      <c r="D28" s="9" t="s">
        <v>311</v>
      </c>
      <c r="E28" s="10">
        <v>42474</v>
      </c>
      <c r="F28" s="24" t="s">
        <v>320</v>
      </c>
      <c r="G28" s="19">
        <v>1</v>
      </c>
      <c r="H28" s="46" t="s">
        <v>315</v>
      </c>
      <c r="I28" s="2"/>
      <c r="J28" s="2"/>
    </row>
    <row r="29" spans="1:10" x14ac:dyDescent="0.25">
      <c r="A29" s="17">
        <f t="shared" si="0"/>
        <v>23</v>
      </c>
      <c r="B29" s="14" t="s">
        <v>1110</v>
      </c>
      <c r="C29" s="11" t="s">
        <v>18</v>
      </c>
      <c r="D29" s="9" t="s">
        <v>312</v>
      </c>
      <c r="E29" s="10">
        <v>42474</v>
      </c>
      <c r="F29" s="24" t="s">
        <v>321</v>
      </c>
      <c r="G29" s="19">
        <v>1</v>
      </c>
      <c r="H29" s="1" t="s">
        <v>316</v>
      </c>
      <c r="I29" s="1"/>
      <c r="J29" s="1"/>
    </row>
    <row r="30" spans="1:10" x14ac:dyDescent="0.25">
      <c r="A30" s="17">
        <f t="shared" si="0"/>
        <v>24</v>
      </c>
      <c r="B30" s="14" t="s">
        <v>1107</v>
      </c>
      <c r="C30" s="11" t="s">
        <v>18</v>
      </c>
      <c r="D30" s="9" t="s">
        <v>313</v>
      </c>
      <c r="E30" s="10">
        <v>42474</v>
      </c>
      <c r="F30" s="24" t="s">
        <v>323</v>
      </c>
      <c r="G30" s="19">
        <v>1</v>
      </c>
      <c r="H30" s="1" t="s">
        <v>317</v>
      </c>
      <c r="I30" s="1"/>
      <c r="J30" s="1"/>
    </row>
    <row r="31" spans="1:10" x14ac:dyDescent="0.25">
      <c r="A31" s="17">
        <f t="shared" si="0"/>
        <v>25</v>
      </c>
      <c r="B31" s="14" t="s">
        <v>1108</v>
      </c>
      <c r="C31" s="11" t="s">
        <v>18</v>
      </c>
      <c r="D31" s="9" t="s">
        <v>319</v>
      </c>
      <c r="E31" s="10">
        <v>42474</v>
      </c>
      <c r="F31" s="24" t="s">
        <v>322</v>
      </c>
      <c r="G31" s="19">
        <v>1</v>
      </c>
      <c r="H31" s="1" t="s">
        <v>324</v>
      </c>
      <c r="I31" s="1"/>
      <c r="J31" s="1"/>
    </row>
    <row r="32" spans="1:10" x14ac:dyDescent="0.25">
      <c r="A32" s="17">
        <f t="shared" si="0"/>
        <v>26</v>
      </c>
      <c r="B32" s="14" t="s">
        <v>1115</v>
      </c>
      <c r="C32" s="11" t="s">
        <v>18</v>
      </c>
      <c r="D32" s="9" t="s">
        <v>326</v>
      </c>
      <c r="E32" s="14">
        <v>42486</v>
      </c>
      <c r="F32" s="24" t="s">
        <v>135</v>
      </c>
      <c r="G32" s="19">
        <v>1</v>
      </c>
      <c r="H32" s="1" t="s">
        <v>327</v>
      </c>
      <c r="I32" s="1"/>
      <c r="J32" s="1"/>
    </row>
    <row r="33" spans="1:10" x14ac:dyDescent="0.25">
      <c r="A33" s="17">
        <f t="shared" si="0"/>
        <v>27</v>
      </c>
      <c r="B33" s="14" t="s">
        <v>1114</v>
      </c>
      <c r="C33" s="11" t="s">
        <v>18</v>
      </c>
      <c r="D33" s="9" t="s">
        <v>328</v>
      </c>
      <c r="E33" s="14">
        <v>42486</v>
      </c>
      <c r="F33" s="24" t="s">
        <v>135</v>
      </c>
      <c r="G33" s="19">
        <v>1</v>
      </c>
      <c r="H33" s="1" t="s">
        <v>329</v>
      </c>
      <c r="I33" s="1"/>
      <c r="J33" s="1"/>
    </row>
    <row r="34" spans="1:10" x14ac:dyDescent="0.25">
      <c r="A34" s="17">
        <f t="shared" si="0"/>
        <v>28</v>
      </c>
      <c r="B34" s="14" t="s">
        <v>1113</v>
      </c>
      <c r="C34" s="11" t="s">
        <v>18</v>
      </c>
      <c r="D34" s="9" t="s">
        <v>330</v>
      </c>
      <c r="E34" s="14">
        <v>42486</v>
      </c>
      <c r="F34" s="24" t="s">
        <v>135</v>
      </c>
      <c r="G34" s="19">
        <v>1</v>
      </c>
      <c r="H34" s="1" t="s">
        <v>331</v>
      </c>
      <c r="I34" s="1"/>
      <c r="J34" s="1"/>
    </row>
    <row r="35" spans="1:10" x14ac:dyDescent="0.25">
      <c r="A35" s="17">
        <f t="shared" si="0"/>
        <v>29</v>
      </c>
      <c r="B35" s="14" t="s">
        <v>1112</v>
      </c>
      <c r="C35" s="11" t="s">
        <v>18</v>
      </c>
      <c r="D35" s="9" t="s">
        <v>332</v>
      </c>
      <c r="E35" s="14">
        <v>42486</v>
      </c>
      <c r="F35" s="24" t="s">
        <v>135</v>
      </c>
      <c r="G35" s="19">
        <v>1</v>
      </c>
      <c r="H35" s="1" t="s">
        <v>333</v>
      </c>
      <c r="I35" s="1"/>
      <c r="J35" s="1"/>
    </row>
    <row r="36" spans="1:10" x14ac:dyDescent="0.25">
      <c r="A36" s="17">
        <f t="shared" si="0"/>
        <v>30</v>
      </c>
      <c r="B36" s="14" t="s">
        <v>1111</v>
      </c>
      <c r="C36" s="11" t="s">
        <v>18</v>
      </c>
      <c r="D36" s="9" t="s">
        <v>334</v>
      </c>
      <c r="E36" s="14">
        <v>42486</v>
      </c>
      <c r="F36" s="24" t="s">
        <v>135</v>
      </c>
      <c r="G36" s="19">
        <v>1</v>
      </c>
      <c r="H36" s="1" t="s">
        <v>335</v>
      </c>
      <c r="I36" s="1"/>
      <c r="J36" s="1"/>
    </row>
    <row r="37" spans="1:10" x14ac:dyDescent="0.25">
      <c r="A37" s="17">
        <f t="shared" si="0"/>
        <v>31</v>
      </c>
      <c r="B37" s="14" t="s">
        <v>1116</v>
      </c>
      <c r="C37" s="11" t="s">
        <v>18</v>
      </c>
      <c r="D37" s="9" t="s">
        <v>336</v>
      </c>
      <c r="E37" s="14">
        <v>42486</v>
      </c>
      <c r="F37" s="24" t="s">
        <v>135</v>
      </c>
      <c r="G37" s="19">
        <v>1</v>
      </c>
      <c r="H37" s="1" t="s">
        <v>337</v>
      </c>
      <c r="I37" s="1"/>
      <c r="J37" s="1"/>
    </row>
    <row r="38" spans="1:10" x14ac:dyDescent="0.25">
      <c r="A38" s="17">
        <f t="shared" si="0"/>
        <v>32</v>
      </c>
      <c r="B38" s="14" t="s">
        <v>338</v>
      </c>
      <c r="C38" s="11" t="s">
        <v>18</v>
      </c>
      <c r="D38" s="9" t="s">
        <v>339</v>
      </c>
      <c r="E38" s="14">
        <v>42487</v>
      </c>
      <c r="F38" s="24" t="s">
        <v>26</v>
      </c>
      <c r="G38" s="19">
        <v>1</v>
      </c>
      <c r="H38" s="1" t="s">
        <v>340</v>
      </c>
      <c r="I38" s="1"/>
      <c r="J38" s="1"/>
    </row>
  </sheetData>
  <sortState ref="B8:F18">
    <sortCondition ref="D8:D1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6" max="6" width="17" customWidth="1"/>
    <col min="7" max="7" width="3.85546875" hidden="1" customWidth="1"/>
    <col min="8" max="8" width="23.42578125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SUMIF(F7:F38,"Elimination*",G7:G38)</f>
        <v>7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SUMIF(F7:F38,"NB*",G7:G38)</f>
        <v>8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SUMIF(F7:F38,"Ve*",G7:G38)</f>
        <v>0</v>
      </c>
    </row>
    <row r="5" spans="1:11" ht="15.75" x14ac:dyDescent="0.25">
      <c r="A5" s="57" t="s">
        <v>343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15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348</v>
      </c>
      <c r="C7" s="11" t="s">
        <v>18</v>
      </c>
      <c r="D7" s="9" t="s">
        <v>349</v>
      </c>
      <c r="E7" s="14">
        <v>42502</v>
      </c>
      <c r="F7" s="24" t="s">
        <v>26</v>
      </c>
      <c r="G7" s="19">
        <v>1</v>
      </c>
      <c r="H7" s="18"/>
      <c r="I7" s="18"/>
      <c r="J7" s="18"/>
      <c r="K7" s="1"/>
    </row>
    <row r="8" spans="1:11" x14ac:dyDescent="0.25">
      <c r="A8" s="17">
        <f>+A7+1</f>
        <v>2</v>
      </c>
      <c r="B8" s="15" t="s">
        <v>346</v>
      </c>
      <c r="C8" s="11" t="s">
        <v>18</v>
      </c>
      <c r="D8" s="9" t="s">
        <v>347</v>
      </c>
      <c r="E8" s="14">
        <v>42502</v>
      </c>
      <c r="F8" s="24" t="s">
        <v>26</v>
      </c>
      <c r="G8" s="19">
        <v>1</v>
      </c>
      <c r="H8" s="47"/>
      <c r="I8" s="2"/>
      <c r="J8" s="2"/>
      <c r="K8" s="1"/>
    </row>
    <row r="9" spans="1:11" x14ac:dyDescent="0.25">
      <c r="A9" s="17">
        <f t="shared" ref="A9:A38" si="0">+A8+1</f>
        <v>3</v>
      </c>
      <c r="B9" s="15" t="s">
        <v>344</v>
      </c>
      <c r="C9" s="11" t="s">
        <v>18</v>
      </c>
      <c r="D9" s="9" t="s">
        <v>345</v>
      </c>
      <c r="E9" s="14">
        <v>42502</v>
      </c>
      <c r="F9" s="24" t="s">
        <v>26</v>
      </c>
      <c r="G9" s="19">
        <v>1</v>
      </c>
      <c r="H9" s="47"/>
      <c r="I9" s="2"/>
      <c r="J9" s="2"/>
      <c r="K9" s="1"/>
    </row>
    <row r="10" spans="1:11" x14ac:dyDescent="0.25">
      <c r="A10" s="17">
        <f t="shared" si="0"/>
        <v>4</v>
      </c>
      <c r="B10" s="14" t="s">
        <v>354</v>
      </c>
      <c r="C10" s="11" t="s">
        <v>18</v>
      </c>
      <c r="D10" s="9" t="s">
        <v>355</v>
      </c>
      <c r="E10" s="14">
        <v>42502</v>
      </c>
      <c r="F10" s="24" t="s">
        <v>26</v>
      </c>
      <c r="G10" s="19">
        <v>1</v>
      </c>
      <c r="H10" s="22"/>
      <c r="I10" s="2"/>
      <c r="J10" s="2"/>
      <c r="K10" s="1"/>
    </row>
    <row r="11" spans="1:11" x14ac:dyDescent="0.25">
      <c r="A11" s="17">
        <f t="shared" si="0"/>
        <v>5</v>
      </c>
      <c r="B11" s="15" t="s">
        <v>350</v>
      </c>
      <c r="C11" s="11" t="s">
        <v>18</v>
      </c>
      <c r="D11" s="9" t="s">
        <v>351</v>
      </c>
      <c r="E11" s="14">
        <v>42502</v>
      </c>
      <c r="F11" s="24" t="s">
        <v>26</v>
      </c>
      <c r="G11" s="19">
        <v>1</v>
      </c>
      <c r="H11" s="22"/>
      <c r="I11" s="2"/>
      <c r="J11" s="2"/>
      <c r="K11" s="1"/>
    </row>
    <row r="12" spans="1:11" x14ac:dyDescent="0.25">
      <c r="A12" s="17">
        <f t="shared" si="0"/>
        <v>6</v>
      </c>
      <c r="B12" s="14" t="s">
        <v>352</v>
      </c>
      <c r="C12" s="11" t="s">
        <v>18</v>
      </c>
      <c r="D12" s="9" t="s">
        <v>353</v>
      </c>
      <c r="E12" s="14">
        <v>42502</v>
      </c>
      <c r="F12" s="24" t="s">
        <v>26</v>
      </c>
      <c r="G12" s="19">
        <v>1</v>
      </c>
      <c r="H12" s="13"/>
      <c r="I12" s="2"/>
      <c r="J12" s="2"/>
      <c r="K12" s="1"/>
    </row>
    <row r="13" spans="1:11" x14ac:dyDescent="0.25">
      <c r="A13" s="17">
        <f t="shared" si="0"/>
        <v>7</v>
      </c>
      <c r="B13" s="15" t="s">
        <v>359</v>
      </c>
      <c r="C13" s="11" t="s">
        <v>18</v>
      </c>
      <c r="D13" s="9" t="s">
        <v>356</v>
      </c>
      <c r="E13" s="14">
        <v>42508</v>
      </c>
      <c r="F13" s="24" t="s">
        <v>363</v>
      </c>
      <c r="G13" s="19">
        <v>1</v>
      </c>
      <c r="H13" s="46" t="s">
        <v>360</v>
      </c>
      <c r="I13" s="2"/>
      <c r="J13" s="2"/>
      <c r="K13" s="1"/>
    </row>
    <row r="14" spans="1:11" x14ac:dyDescent="0.25">
      <c r="A14" s="17">
        <f t="shared" si="0"/>
        <v>8</v>
      </c>
      <c r="B14" s="15" t="s">
        <v>1117</v>
      </c>
      <c r="C14" s="11" t="s">
        <v>18</v>
      </c>
      <c r="D14" s="9" t="s">
        <v>357</v>
      </c>
      <c r="E14" s="14">
        <v>42508</v>
      </c>
      <c r="F14" s="24" t="s">
        <v>364</v>
      </c>
      <c r="G14" s="19">
        <v>1</v>
      </c>
      <c r="H14" s="46" t="s">
        <v>361</v>
      </c>
      <c r="I14" s="2"/>
      <c r="J14" s="2"/>
      <c r="K14" s="1"/>
    </row>
    <row r="15" spans="1:11" x14ac:dyDescent="0.25">
      <c r="A15" s="17">
        <f t="shared" si="0"/>
        <v>9</v>
      </c>
      <c r="B15" s="15" t="s">
        <v>1118</v>
      </c>
      <c r="C15" s="11" t="s">
        <v>18</v>
      </c>
      <c r="D15" s="9" t="s">
        <v>358</v>
      </c>
      <c r="E15" s="14">
        <v>42508</v>
      </c>
      <c r="F15" s="24" t="s">
        <v>365</v>
      </c>
      <c r="G15" s="19">
        <v>1</v>
      </c>
      <c r="H15" s="2" t="s">
        <v>362</v>
      </c>
      <c r="I15" s="2"/>
      <c r="J15" s="2"/>
    </row>
    <row r="16" spans="1:11" x14ac:dyDescent="0.25">
      <c r="A16" s="17">
        <f t="shared" si="0"/>
        <v>10</v>
      </c>
      <c r="B16" s="10" t="s">
        <v>1119</v>
      </c>
      <c r="C16" s="11" t="s">
        <v>18</v>
      </c>
      <c r="D16" s="9" t="s">
        <v>366</v>
      </c>
      <c r="E16" s="14">
        <v>42509</v>
      </c>
      <c r="F16" s="24" t="s">
        <v>367</v>
      </c>
      <c r="G16" s="19">
        <v>1</v>
      </c>
      <c r="H16" s="2" t="s">
        <v>368</v>
      </c>
      <c r="I16" s="2"/>
      <c r="J16" s="2"/>
    </row>
    <row r="17" spans="1:10" x14ac:dyDescent="0.25">
      <c r="A17" s="17">
        <f t="shared" si="0"/>
        <v>11</v>
      </c>
      <c r="B17" s="15" t="s">
        <v>1121</v>
      </c>
      <c r="C17" s="11" t="s">
        <v>18</v>
      </c>
      <c r="D17" s="9" t="s">
        <v>369</v>
      </c>
      <c r="E17" s="14">
        <v>42513</v>
      </c>
      <c r="F17" s="24" t="s">
        <v>371</v>
      </c>
      <c r="G17" s="19">
        <v>1</v>
      </c>
      <c r="H17" s="46" t="s">
        <v>374</v>
      </c>
      <c r="I17" s="2"/>
      <c r="J17" s="2"/>
    </row>
    <row r="18" spans="1:10" x14ac:dyDescent="0.25">
      <c r="A18" s="17">
        <f t="shared" si="0"/>
        <v>12</v>
      </c>
      <c r="B18" s="15" t="s">
        <v>1120</v>
      </c>
      <c r="C18" s="11" t="s">
        <v>18</v>
      </c>
      <c r="D18" s="9" t="s">
        <v>370</v>
      </c>
      <c r="E18" s="14">
        <v>42513</v>
      </c>
      <c r="F18" s="24" t="s">
        <v>372</v>
      </c>
      <c r="G18" s="19">
        <v>1</v>
      </c>
      <c r="H18" s="46" t="s">
        <v>373</v>
      </c>
      <c r="I18" s="2"/>
      <c r="J18" s="2"/>
    </row>
    <row r="19" spans="1:10" x14ac:dyDescent="0.25">
      <c r="A19" s="17">
        <f t="shared" si="0"/>
        <v>13</v>
      </c>
      <c r="B19" s="15" t="s">
        <v>1124</v>
      </c>
      <c r="C19" s="11" t="s">
        <v>18</v>
      </c>
      <c r="D19" s="9" t="s">
        <v>377</v>
      </c>
      <c r="E19" s="14">
        <v>42514</v>
      </c>
      <c r="F19" s="24" t="s">
        <v>378</v>
      </c>
      <c r="G19" s="19">
        <v>1</v>
      </c>
      <c r="H19" s="46" t="s">
        <v>1125</v>
      </c>
      <c r="I19" s="2"/>
      <c r="J19" s="2"/>
    </row>
    <row r="20" spans="1:10" x14ac:dyDescent="0.25">
      <c r="A20" s="17">
        <f t="shared" si="0"/>
        <v>14</v>
      </c>
      <c r="B20" s="15" t="s">
        <v>1122</v>
      </c>
      <c r="C20" s="11" t="s">
        <v>18</v>
      </c>
      <c r="D20" s="9" t="s">
        <v>370</v>
      </c>
      <c r="E20" s="14">
        <v>42514</v>
      </c>
      <c r="F20" s="24" t="s">
        <v>379</v>
      </c>
      <c r="G20" s="19">
        <v>1</v>
      </c>
      <c r="H20" s="46" t="s">
        <v>1123</v>
      </c>
      <c r="I20" s="2"/>
      <c r="J20" s="2"/>
    </row>
    <row r="21" spans="1:10" x14ac:dyDescent="0.25">
      <c r="A21" s="17">
        <f t="shared" si="0"/>
        <v>15</v>
      </c>
      <c r="B21" s="15" t="s">
        <v>375</v>
      </c>
      <c r="C21" s="11" t="s">
        <v>28</v>
      </c>
      <c r="D21" s="9" t="s">
        <v>376</v>
      </c>
      <c r="E21" s="14">
        <v>42514</v>
      </c>
      <c r="F21" s="24" t="s">
        <v>26</v>
      </c>
      <c r="G21" s="19">
        <v>1</v>
      </c>
      <c r="H21" s="46"/>
      <c r="I21" s="2"/>
      <c r="J21" s="2"/>
    </row>
    <row r="22" spans="1:10" x14ac:dyDescent="0.25">
      <c r="A22" s="17">
        <f t="shared" si="0"/>
        <v>16</v>
      </c>
      <c r="B22" s="15"/>
      <c r="C22" s="11"/>
      <c r="D22" s="9"/>
      <c r="E22" s="10"/>
      <c r="F22" s="24"/>
      <c r="G22" s="19">
        <v>1</v>
      </c>
      <c r="H22" s="46"/>
      <c r="I22" s="2"/>
      <c r="J22" s="2"/>
    </row>
    <row r="23" spans="1:10" x14ac:dyDescent="0.25">
      <c r="A23" s="17">
        <f t="shared" si="0"/>
        <v>17</v>
      </c>
      <c r="B23" s="14"/>
      <c r="C23" s="11"/>
      <c r="D23" s="9"/>
      <c r="E23" s="10"/>
      <c r="F23" s="24"/>
      <c r="G23" s="19">
        <v>1</v>
      </c>
      <c r="H23" s="46"/>
      <c r="I23" s="2"/>
      <c r="J23" s="2"/>
    </row>
    <row r="24" spans="1:10" x14ac:dyDescent="0.25">
      <c r="A24" s="17">
        <f t="shared" si="0"/>
        <v>18</v>
      </c>
      <c r="B24" s="14"/>
      <c r="C24" s="11"/>
      <c r="D24" s="9"/>
      <c r="E24" s="10"/>
      <c r="F24" s="24"/>
      <c r="G24" s="19">
        <v>1</v>
      </c>
      <c r="H24" s="13"/>
      <c r="I24" s="2"/>
      <c r="J24" s="2"/>
    </row>
    <row r="25" spans="1:10" x14ac:dyDescent="0.25">
      <c r="A25" s="17">
        <f t="shared" si="0"/>
        <v>19</v>
      </c>
      <c r="B25" s="15"/>
      <c r="C25" s="11"/>
      <c r="D25" s="9"/>
      <c r="E25" s="10"/>
      <c r="F25" s="24"/>
      <c r="G25" s="19">
        <v>1</v>
      </c>
      <c r="H25" s="13"/>
      <c r="I25" s="2"/>
      <c r="J25" s="2"/>
    </row>
    <row r="26" spans="1:10" x14ac:dyDescent="0.25">
      <c r="A26" s="17">
        <f t="shared" si="0"/>
        <v>20</v>
      </c>
      <c r="B26" s="14"/>
      <c r="C26" s="11"/>
      <c r="D26" s="9"/>
      <c r="E26" s="10"/>
      <c r="F26" s="24"/>
      <c r="G26" s="19">
        <v>1</v>
      </c>
      <c r="H26" s="13"/>
      <c r="I26" s="2"/>
      <c r="J26" s="2"/>
    </row>
    <row r="27" spans="1:10" x14ac:dyDescent="0.25">
      <c r="A27" s="17">
        <f t="shared" si="0"/>
        <v>21</v>
      </c>
      <c r="B27" s="14"/>
      <c r="C27" s="11"/>
      <c r="D27" s="9"/>
      <c r="E27" s="10"/>
      <c r="F27" s="24"/>
      <c r="G27" s="19">
        <v>1</v>
      </c>
      <c r="H27" s="46"/>
      <c r="I27" s="2"/>
      <c r="J27" s="2"/>
    </row>
    <row r="28" spans="1:10" x14ac:dyDescent="0.25">
      <c r="A28" s="17">
        <f t="shared" si="0"/>
        <v>22</v>
      </c>
      <c r="B28" s="14"/>
      <c r="C28" s="11"/>
      <c r="D28" s="9"/>
      <c r="E28" s="10"/>
      <c r="F28" s="24"/>
      <c r="G28" s="19">
        <v>1</v>
      </c>
      <c r="H28" s="46"/>
      <c r="I28" s="2"/>
      <c r="J28" s="2"/>
    </row>
    <row r="29" spans="1:10" x14ac:dyDescent="0.25">
      <c r="A29" s="17">
        <f t="shared" si="0"/>
        <v>23</v>
      </c>
      <c r="B29" s="14"/>
      <c r="C29" s="11"/>
      <c r="D29" s="9"/>
      <c r="E29" s="10"/>
      <c r="F29" s="24"/>
      <c r="G29" s="19">
        <v>1</v>
      </c>
      <c r="H29" s="1"/>
      <c r="I29" s="1"/>
      <c r="J29" s="1"/>
    </row>
    <row r="30" spans="1:10" x14ac:dyDescent="0.25">
      <c r="A30" s="17">
        <f t="shared" si="0"/>
        <v>24</v>
      </c>
      <c r="B30" s="14"/>
      <c r="C30" s="11"/>
      <c r="D30" s="9"/>
      <c r="E30" s="10"/>
      <c r="F30" s="24"/>
      <c r="G30" s="19">
        <v>1</v>
      </c>
      <c r="H30" s="1"/>
      <c r="I30" s="1"/>
      <c r="J30" s="1"/>
    </row>
    <row r="31" spans="1:10" x14ac:dyDescent="0.25">
      <c r="A31" s="17">
        <f t="shared" si="0"/>
        <v>25</v>
      </c>
      <c r="B31" s="14"/>
      <c r="C31" s="11"/>
      <c r="D31" s="9"/>
      <c r="E31" s="10"/>
      <c r="F31" s="24"/>
      <c r="G31" s="19">
        <v>1</v>
      </c>
      <c r="H31" s="1"/>
      <c r="I31" s="1"/>
      <c r="J31" s="1"/>
    </row>
    <row r="32" spans="1:10" x14ac:dyDescent="0.25">
      <c r="A32" s="17">
        <f t="shared" si="0"/>
        <v>26</v>
      </c>
      <c r="B32" s="14"/>
      <c r="C32" s="11"/>
      <c r="D32" s="9"/>
      <c r="E32" s="14"/>
      <c r="F32" s="24"/>
      <c r="G32" s="19">
        <v>1</v>
      </c>
      <c r="H32" s="1"/>
      <c r="I32" s="1"/>
      <c r="J32" s="1"/>
    </row>
    <row r="33" spans="1:10" x14ac:dyDescent="0.25">
      <c r="A33" s="17">
        <f t="shared" si="0"/>
        <v>27</v>
      </c>
      <c r="B33" s="14"/>
      <c r="C33" s="11"/>
      <c r="D33" s="9"/>
      <c r="E33" s="14"/>
      <c r="F33" s="24"/>
      <c r="G33" s="19">
        <v>1</v>
      </c>
      <c r="H33" s="1"/>
      <c r="I33" s="1"/>
      <c r="J33" s="1"/>
    </row>
    <row r="34" spans="1:10" x14ac:dyDescent="0.25">
      <c r="A34" s="17">
        <f t="shared" si="0"/>
        <v>28</v>
      </c>
      <c r="B34" s="14"/>
      <c r="C34" s="11"/>
      <c r="D34" s="9"/>
      <c r="E34" s="14"/>
      <c r="F34" s="24"/>
      <c r="G34" s="19">
        <v>1</v>
      </c>
      <c r="H34" s="1"/>
      <c r="I34" s="1"/>
      <c r="J34" s="1"/>
    </row>
    <row r="35" spans="1:10" x14ac:dyDescent="0.25">
      <c r="A35" s="17">
        <f t="shared" si="0"/>
        <v>29</v>
      </c>
      <c r="B35" s="14"/>
      <c r="C35" s="11"/>
      <c r="D35" s="9"/>
      <c r="E35" s="14"/>
      <c r="F35" s="24"/>
      <c r="G35" s="19">
        <v>1</v>
      </c>
      <c r="H35" s="1"/>
      <c r="I35" s="1"/>
      <c r="J35" s="1"/>
    </row>
    <row r="36" spans="1:10" x14ac:dyDescent="0.25">
      <c r="A36" s="17">
        <f t="shared" si="0"/>
        <v>30</v>
      </c>
      <c r="B36" s="14"/>
      <c r="C36" s="11"/>
      <c r="D36" s="9"/>
      <c r="E36" s="14"/>
      <c r="F36" s="24"/>
      <c r="G36" s="19">
        <v>1</v>
      </c>
      <c r="H36" s="1"/>
      <c r="I36" s="1"/>
      <c r="J36" s="1"/>
    </row>
    <row r="37" spans="1:10" x14ac:dyDescent="0.25">
      <c r="A37" s="17">
        <f t="shared" si="0"/>
        <v>31</v>
      </c>
      <c r="B37" s="14"/>
      <c r="C37" s="11"/>
      <c r="D37" s="9"/>
      <c r="E37" s="14"/>
      <c r="F37" s="24"/>
      <c r="G37" s="19">
        <v>1</v>
      </c>
      <c r="H37" s="1"/>
      <c r="I37" s="1"/>
      <c r="J37" s="1"/>
    </row>
    <row r="38" spans="1:10" x14ac:dyDescent="0.25">
      <c r="A38" s="17">
        <f t="shared" si="0"/>
        <v>32</v>
      </c>
      <c r="B38" s="14"/>
      <c r="C38" s="11"/>
      <c r="D38" s="9"/>
      <c r="E38" s="14"/>
      <c r="F38" s="24"/>
      <c r="G38" s="19">
        <v>1</v>
      </c>
      <c r="H38" s="1"/>
      <c r="I38" s="1"/>
      <c r="J38" s="1"/>
    </row>
  </sheetData>
  <sortState ref="B7:F12">
    <sortCondition ref="D7:D1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6" workbookViewId="0">
      <selection activeCell="B16" sqref="B16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6" max="6" width="15.7109375" customWidth="1"/>
    <col min="7" max="7" width="3.5703125" hidden="1" customWidth="1"/>
    <col min="8" max="8" width="24.42578125" bestFit="1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SUMIF(F7:F138,"Elimination*",G7:G138)</f>
        <v>23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SUMIF(F7:F38,"NB*",G7:G38)</f>
        <v>9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SUMIF(F7:F38,"Ve*",G7:G38)</f>
        <v>2</v>
      </c>
    </row>
    <row r="5" spans="1:11" ht="15.75" x14ac:dyDescent="0.25">
      <c r="A5" s="57" t="s">
        <v>392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34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1128</v>
      </c>
      <c r="C7" s="11" t="s">
        <v>18</v>
      </c>
      <c r="D7" s="9" t="s">
        <v>380</v>
      </c>
      <c r="E7" s="14">
        <v>42522</v>
      </c>
      <c r="F7" s="24" t="s">
        <v>381</v>
      </c>
      <c r="G7" s="19">
        <v>1</v>
      </c>
      <c r="H7" s="47" t="s">
        <v>382</v>
      </c>
      <c r="I7" s="18"/>
      <c r="J7" s="18"/>
      <c r="K7" s="1"/>
    </row>
    <row r="8" spans="1:11" x14ac:dyDescent="0.25">
      <c r="A8" s="17">
        <f>+A7+1</f>
        <v>2</v>
      </c>
      <c r="B8" s="15" t="s">
        <v>1127</v>
      </c>
      <c r="C8" s="11" t="s">
        <v>18</v>
      </c>
      <c r="D8" s="9" t="s">
        <v>383</v>
      </c>
      <c r="E8" s="14">
        <v>42522</v>
      </c>
      <c r="F8" s="24" t="s">
        <v>386</v>
      </c>
      <c r="G8" s="19">
        <v>1</v>
      </c>
      <c r="H8" s="47" t="s">
        <v>387</v>
      </c>
      <c r="I8" s="2"/>
      <c r="J8" s="2"/>
      <c r="K8" s="1"/>
    </row>
    <row r="9" spans="1:11" x14ac:dyDescent="0.25">
      <c r="A9" s="17">
        <f t="shared" ref="A9:A40" si="0">+A8+1</f>
        <v>3</v>
      </c>
      <c r="B9" s="15" t="s">
        <v>1126</v>
      </c>
      <c r="C9" s="11" t="s">
        <v>18</v>
      </c>
      <c r="D9" s="9" t="s">
        <v>384</v>
      </c>
      <c r="E9" s="14">
        <v>42522</v>
      </c>
      <c r="F9" s="24" t="s">
        <v>388</v>
      </c>
      <c r="G9" s="19">
        <v>1</v>
      </c>
      <c r="H9" s="47" t="s">
        <v>389</v>
      </c>
      <c r="I9" s="2"/>
      <c r="J9" s="2"/>
      <c r="K9" s="1"/>
    </row>
    <row r="10" spans="1:11" x14ac:dyDescent="0.25">
      <c r="A10" s="17">
        <f t="shared" si="0"/>
        <v>4</v>
      </c>
      <c r="B10" s="14" t="s">
        <v>1129</v>
      </c>
      <c r="C10" s="11" t="s">
        <v>18</v>
      </c>
      <c r="D10" s="9" t="s">
        <v>385</v>
      </c>
      <c r="E10" s="14">
        <v>42522</v>
      </c>
      <c r="F10" s="24" t="s">
        <v>390</v>
      </c>
      <c r="G10" s="19">
        <v>1</v>
      </c>
      <c r="H10" s="47" t="s">
        <v>391</v>
      </c>
      <c r="I10" s="2"/>
      <c r="J10" s="2"/>
      <c r="K10" s="1"/>
    </row>
    <row r="11" spans="1:11" x14ac:dyDescent="0.25">
      <c r="A11" s="17">
        <f t="shared" si="0"/>
        <v>5</v>
      </c>
      <c r="B11" s="15" t="s">
        <v>1130</v>
      </c>
      <c r="C11" s="11" t="s">
        <v>18</v>
      </c>
      <c r="D11" s="9" t="s">
        <v>393</v>
      </c>
      <c r="E11" s="14">
        <v>42523</v>
      </c>
      <c r="F11" s="24" t="s">
        <v>395</v>
      </c>
      <c r="G11" s="19">
        <v>1</v>
      </c>
      <c r="H11" s="47" t="s">
        <v>397</v>
      </c>
      <c r="I11" s="2"/>
      <c r="J11" s="2"/>
      <c r="K11" s="1"/>
    </row>
    <row r="12" spans="1:11" x14ac:dyDescent="0.25">
      <c r="A12" s="17">
        <f t="shared" si="0"/>
        <v>6</v>
      </c>
      <c r="B12" s="14" t="s">
        <v>1131</v>
      </c>
      <c r="C12" s="11" t="s">
        <v>18</v>
      </c>
      <c r="D12" s="9" t="s">
        <v>394</v>
      </c>
      <c r="E12" s="14">
        <v>42523</v>
      </c>
      <c r="F12" s="24" t="s">
        <v>396</v>
      </c>
      <c r="G12" s="19">
        <v>1</v>
      </c>
      <c r="H12" s="47" t="s">
        <v>398</v>
      </c>
      <c r="I12" s="2"/>
      <c r="J12" s="2"/>
      <c r="K12" s="1"/>
    </row>
    <row r="13" spans="1:11" x14ac:dyDescent="0.25">
      <c r="A13" s="17">
        <f t="shared" si="0"/>
        <v>7</v>
      </c>
      <c r="B13" s="15" t="s">
        <v>399</v>
      </c>
      <c r="C13" s="11" t="s">
        <v>18</v>
      </c>
      <c r="D13" s="9" t="s">
        <v>400</v>
      </c>
      <c r="E13" s="14">
        <v>42523</v>
      </c>
      <c r="F13" s="24" t="s">
        <v>56</v>
      </c>
      <c r="G13" s="19">
        <v>1</v>
      </c>
      <c r="H13" s="47"/>
      <c r="I13" s="2"/>
      <c r="J13" s="2"/>
      <c r="K13" s="1"/>
    </row>
    <row r="14" spans="1:11" x14ac:dyDescent="0.25">
      <c r="A14" s="17">
        <f t="shared" si="0"/>
        <v>8</v>
      </c>
      <c r="B14" s="15" t="s">
        <v>1132</v>
      </c>
      <c r="C14" s="11" t="s">
        <v>18</v>
      </c>
      <c r="D14" s="9" t="s">
        <v>401</v>
      </c>
      <c r="E14" s="14">
        <v>42528</v>
      </c>
      <c r="F14" s="24" t="s">
        <v>402</v>
      </c>
      <c r="G14" s="19">
        <v>1</v>
      </c>
      <c r="H14" s="47" t="s">
        <v>403</v>
      </c>
      <c r="I14" s="2"/>
      <c r="J14" s="2"/>
      <c r="K14" s="1"/>
    </row>
    <row r="15" spans="1:11" x14ac:dyDescent="0.25">
      <c r="A15" s="17">
        <f t="shared" si="0"/>
        <v>9</v>
      </c>
      <c r="B15" s="15" t="s">
        <v>417</v>
      </c>
      <c r="C15" s="11" t="s">
        <v>18</v>
      </c>
      <c r="D15" s="9" t="s">
        <v>404</v>
      </c>
      <c r="E15" s="14">
        <v>42534</v>
      </c>
      <c r="F15" s="24" t="s">
        <v>56</v>
      </c>
      <c r="G15" s="19">
        <v>1</v>
      </c>
      <c r="H15" s="47"/>
      <c r="I15" s="2"/>
      <c r="J15" s="2"/>
    </row>
    <row r="16" spans="1:11" ht="15" customHeight="1" x14ac:dyDescent="0.25">
      <c r="A16" s="17">
        <f t="shared" si="0"/>
        <v>10</v>
      </c>
      <c r="B16" s="10" t="s">
        <v>1158</v>
      </c>
      <c r="C16" s="11" t="s">
        <v>18</v>
      </c>
      <c r="D16" s="9" t="s">
        <v>405</v>
      </c>
      <c r="E16" s="14">
        <v>42536</v>
      </c>
      <c r="F16" s="24" t="s">
        <v>406</v>
      </c>
      <c r="G16" s="19">
        <v>1</v>
      </c>
      <c r="H16" s="47" t="s">
        <v>407</v>
      </c>
      <c r="I16" s="2"/>
      <c r="J16" s="2"/>
    </row>
    <row r="17" spans="1:10" ht="15" customHeight="1" x14ac:dyDescent="0.25">
      <c r="A17" s="17">
        <f t="shared" si="0"/>
        <v>11</v>
      </c>
      <c r="B17" s="15" t="s">
        <v>408</v>
      </c>
      <c r="C17" s="11" t="s">
        <v>18</v>
      </c>
      <c r="D17" s="9" t="s">
        <v>409</v>
      </c>
      <c r="E17" s="14">
        <v>42542</v>
      </c>
      <c r="F17" s="24" t="s">
        <v>26</v>
      </c>
      <c r="G17" s="19">
        <v>1</v>
      </c>
      <c r="H17" s="47"/>
      <c r="I17" s="2"/>
      <c r="J17" s="2"/>
    </row>
    <row r="18" spans="1:10" ht="15" customHeight="1" x14ac:dyDescent="0.25">
      <c r="A18" s="17">
        <f t="shared" si="0"/>
        <v>12</v>
      </c>
      <c r="B18" s="15" t="s">
        <v>410</v>
      </c>
      <c r="C18" s="11" t="s">
        <v>18</v>
      </c>
      <c r="D18" s="9" t="s">
        <v>411</v>
      </c>
      <c r="E18" s="14">
        <v>42547</v>
      </c>
      <c r="F18" s="24" t="s">
        <v>26</v>
      </c>
      <c r="G18" s="19">
        <v>1</v>
      </c>
      <c r="H18" s="47" t="s">
        <v>416</v>
      </c>
      <c r="I18" s="2"/>
      <c r="J18" s="2"/>
    </row>
    <row r="19" spans="1:10" ht="15" customHeight="1" x14ac:dyDescent="0.25">
      <c r="A19" s="17">
        <f t="shared" si="0"/>
        <v>13</v>
      </c>
      <c r="B19" s="15" t="s">
        <v>412</v>
      </c>
      <c r="C19" s="11" t="s">
        <v>18</v>
      </c>
      <c r="D19" s="9" t="s">
        <v>413</v>
      </c>
      <c r="E19" s="14">
        <v>42549</v>
      </c>
      <c r="F19" s="24" t="s">
        <v>414</v>
      </c>
      <c r="G19" s="19">
        <v>1</v>
      </c>
      <c r="H19" s="47" t="s">
        <v>415</v>
      </c>
      <c r="I19" s="2"/>
      <c r="J19" s="2"/>
    </row>
    <row r="20" spans="1:10" x14ac:dyDescent="0.25">
      <c r="A20" s="17">
        <f t="shared" si="0"/>
        <v>14</v>
      </c>
      <c r="B20" s="14" t="s">
        <v>432</v>
      </c>
      <c r="C20" s="11" t="s">
        <v>18</v>
      </c>
      <c r="D20" s="9" t="s">
        <v>433</v>
      </c>
      <c r="E20" s="14">
        <v>42550</v>
      </c>
      <c r="F20" s="24" t="s">
        <v>26</v>
      </c>
      <c r="G20" s="19">
        <v>1</v>
      </c>
      <c r="H20" s="47"/>
      <c r="I20" s="2"/>
      <c r="J20" s="2"/>
    </row>
    <row r="21" spans="1:10" x14ac:dyDescent="0.25">
      <c r="A21" s="17">
        <f t="shared" si="0"/>
        <v>15</v>
      </c>
      <c r="B21" s="14" t="s">
        <v>436</v>
      </c>
      <c r="C21" s="11" t="s">
        <v>18</v>
      </c>
      <c r="D21" s="9" t="s">
        <v>437</v>
      </c>
      <c r="E21" s="14">
        <v>42550</v>
      </c>
      <c r="F21" s="24" t="s">
        <v>26</v>
      </c>
      <c r="G21" s="19">
        <v>1</v>
      </c>
      <c r="H21" s="47"/>
      <c r="I21" s="2"/>
      <c r="J21" s="2"/>
    </row>
    <row r="22" spans="1:10" x14ac:dyDescent="0.25">
      <c r="A22" s="17">
        <f t="shared" si="0"/>
        <v>16</v>
      </c>
      <c r="B22" s="15" t="s">
        <v>422</v>
      </c>
      <c r="C22" s="11" t="s">
        <v>18</v>
      </c>
      <c r="D22" s="9" t="s">
        <v>423</v>
      </c>
      <c r="E22" s="14">
        <v>42550</v>
      </c>
      <c r="F22" s="24" t="s">
        <v>26</v>
      </c>
      <c r="G22" s="19">
        <v>1</v>
      </c>
      <c r="H22" s="47"/>
      <c r="I22" s="2"/>
      <c r="J22" s="2"/>
    </row>
    <row r="23" spans="1:10" x14ac:dyDescent="0.25">
      <c r="A23" s="17">
        <f t="shared" si="0"/>
        <v>17</v>
      </c>
      <c r="B23" s="15" t="s">
        <v>420</v>
      </c>
      <c r="C23" s="11" t="s">
        <v>18</v>
      </c>
      <c r="D23" s="9" t="s">
        <v>421</v>
      </c>
      <c r="E23" s="14">
        <v>42550</v>
      </c>
      <c r="F23" s="24" t="s">
        <v>26</v>
      </c>
      <c r="G23" s="19">
        <v>1</v>
      </c>
      <c r="H23" s="46"/>
      <c r="I23" s="2"/>
      <c r="J23" s="2"/>
    </row>
    <row r="24" spans="1:10" x14ac:dyDescent="0.25">
      <c r="A24" s="17">
        <f t="shared" si="0"/>
        <v>18</v>
      </c>
      <c r="B24" s="15" t="s">
        <v>418</v>
      </c>
      <c r="C24" s="11" t="s">
        <v>18</v>
      </c>
      <c r="D24" s="9" t="s">
        <v>419</v>
      </c>
      <c r="E24" s="14">
        <v>42550</v>
      </c>
      <c r="F24" s="24" t="s">
        <v>26</v>
      </c>
      <c r="G24" s="19">
        <v>1</v>
      </c>
      <c r="H24" s="13"/>
      <c r="I24" s="2"/>
      <c r="J24" s="2"/>
    </row>
    <row r="25" spans="1:10" x14ac:dyDescent="0.25">
      <c r="A25" s="17">
        <f t="shared" si="0"/>
        <v>19</v>
      </c>
      <c r="B25" s="14" t="s">
        <v>424</v>
      </c>
      <c r="C25" s="11" t="s">
        <v>18</v>
      </c>
      <c r="D25" s="9" t="s">
        <v>425</v>
      </c>
      <c r="E25" s="14">
        <v>42550</v>
      </c>
      <c r="F25" s="24" t="s">
        <v>26</v>
      </c>
      <c r="G25" s="19">
        <v>1</v>
      </c>
      <c r="H25" s="13"/>
      <c r="I25" s="2"/>
      <c r="J25" s="2"/>
    </row>
    <row r="26" spans="1:10" x14ac:dyDescent="0.25">
      <c r="A26" s="17">
        <f t="shared" si="0"/>
        <v>20</v>
      </c>
      <c r="B26" s="14" t="s">
        <v>426</v>
      </c>
      <c r="C26" s="11" t="s">
        <v>18</v>
      </c>
      <c r="D26" s="9" t="s">
        <v>427</v>
      </c>
      <c r="E26" s="14">
        <v>42550</v>
      </c>
      <c r="F26" s="24" t="s">
        <v>26</v>
      </c>
      <c r="G26" s="19">
        <v>1</v>
      </c>
      <c r="H26" s="13"/>
      <c r="I26" s="2"/>
      <c r="J26" s="2"/>
    </row>
    <row r="27" spans="1:10" x14ac:dyDescent="0.25">
      <c r="A27" s="17">
        <f t="shared" si="0"/>
        <v>21</v>
      </c>
      <c r="B27" s="14" t="s">
        <v>440</v>
      </c>
      <c r="C27" s="11" t="s">
        <v>18</v>
      </c>
      <c r="D27" s="9" t="s">
        <v>441</v>
      </c>
      <c r="E27" s="14">
        <v>42550</v>
      </c>
      <c r="F27" s="24" t="s">
        <v>26</v>
      </c>
      <c r="G27" s="19">
        <v>1</v>
      </c>
      <c r="H27" s="46"/>
      <c r="I27" s="2"/>
      <c r="J27" s="2"/>
    </row>
    <row r="28" spans="1:10" x14ac:dyDescent="0.25">
      <c r="A28" s="17">
        <f t="shared" si="0"/>
        <v>22</v>
      </c>
      <c r="B28" s="14" t="s">
        <v>438</v>
      </c>
      <c r="C28" s="11" t="s">
        <v>18</v>
      </c>
      <c r="D28" s="9" t="s">
        <v>439</v>
      </c>
      <c r="E28" s="14">
        <v>42550</v>
      </c>
      <c r="F28" s="24" t="s">
        <v>26</v>
      </c>
      <c r="G28" s="19">
        <v>1</v>
      </c>
      <c r="H28" s="46"/>
      <c r="I28" s="2"/>
      <c r="J28" s="2"/>
    </row>
    <row r="29" spans="1:10" x14ac:dyDescent="0.25">
      <c r="A29" s="17">
        <f t="shared" si="0"/>
        <v>23</v>
      </c>
      <c r="B29" s="14" t="s">
        <v>434</v>
      </c>
      <c r="C29" s="11" t="s">
        <v>18</v>
      </c>
      <c r="D29" s="9" t="s">
        <v>435</v>
      </c>
      <c r="E29" s="14">
        <v>42550</v>
      </c>
      <c r="F29" s="24" t="s">
        <v>26</v>
      </c>
      <c r="G29" s="19">
        <v>1</v>
      </c>
      <c r="H29" s="1"/>
      <c r="I29" s="1"/>
      <c r="J29" s="1"/>
    </row>
    <row r="30" spans="1:10" x14ac:dyDescent="0.25">
      <c r="A30" s="17">
        <f t="shared" si="0"/>
        <v>24</v>
      </c>
      <c r="B30" s="14" t="s">
        <v>430</v>
      </c>
      <c r="C30" s="11" t="s">
        <v>18</v>
      </c>
      <c r="D30" s="9" t="s">
        <v>431</v>
      </c>
      <c r="E30" s="14">
        <v>42550</v>
      </c>
      <c r="F30" s="24" t="s">
        <v>26</v>
      </c>
      <c r="G30" s="19">
        <v>1</v>
      </c>
      <c r="H30" s="1"/>
      <c r="I30" s="1"/>
      <c r="J30" s="1"/>
    </row>
    <row r="31" spans="1:10" x14ac:dyDescent="0.25">
      <c r="A31" s="17">
        <f t="shared" si="0"/>
        <v>25</v>
      </c>
      <c r="B31" s="15" t="s">
        <v>428</v>
      </c>
      <c r="C31" s="11" t="s">
        <v>18</v>
      </c>
      <c r="D31" s="9" t="s">
        <v>429</v>
      </c>
      <c r="E31" s="14">
        <v>42550</v>
      </c>
      <c r="F31" s="24" t="s">
        <v>26</v>
      </c>
      <c r="G31" s="19">
        <v>1</v>
      </c>
      <c r="H31" s="1"/>
      <c r="I31" s="1"/>
      <c r="J31" s="1"/>
    </row>
    <row r="32" spans="1:10" x14ac:dyDescent="0.25">
      <c r="A32" s="17">
        <f t="shared" si="0"/>
        <v>26</v>
      </c>
      <c r="B32" s="14" t="s">
        <v>442</v>
      </c>
      <c r="C32" s="11" t="s">
        <v>18</v>
      </c>
      <c r="D32" s="9" t="s">
        <v>443</v>
      </c>
      <c r="E32" s="14">
        <v>42551</v>
      </c>
      <c r="F32" s="24" t="s">
        <v>26</v>
      </c>
      <c r="G32" s="19">
        <v>1</v>
      </c>
      <c r="H32" s="1"/>
      <c r="I32" s="1"/>
      <c r="J32" s="1"/>
    </row>
    <row r="33" spans="1:10" x14ac:dyDescent="0.25">
      <c r="A33" s="17">
        <f t="shared" si="0"/>
        <v>27</v>
      </c>
      <c r="B33" s="14" t="s">
        <v>445</v>
      </c>
      <c r="C33" s="11" t="s">
        <v>28</v>
      </c>
      <c r="D33" s="9" t="s">
        <v>446</v>
      </c>
      <c r="E33" s="14">
        <v>42551</v>
      </c>
      <c r="F33" s="24" t="s">
        <v>26</v>
      </c>
      <c r="G33" s="19">
        <v>1</v>
      </c>
      <c r="H33" s="1"/>
      <c r="I33" s="1"/>
      <c r="J33" s="1"/>
    </row>
    <row r="34" spans="1:10" x14ac:dyDescent="0.25">
      <c r="A34" s="17">
        <f t="shared" si="0"/>
        <v>28</v>
      </c>
      <c r="B34" s="14" t="s">
        <v>448</v>
      </c>
      <c r="C34" s="11" t="s">
        <v>28</v>
      </c>
      <c r="D34" s="9" t="s">
        <v>447</v>
      </c>
      <c r="E34" s="14">
        <v>42551</v>
      </c>
      <c r="F34" s="24" t="s">
        <v>26</v>
      </c>
      <c r="G34" s="19">
        <v>1</v>
      </c>
      <c r="H34" s="1"/>
      <c r="I34" s="1"/>
      <c r="J34" s="1"/>
    </row>
    <row r="35" spans="1:10" x14ac:dyDescent="0.25">
      <c r="A35" s="17">
        <f t="shared" si="0"/>
        <v>29</v>
      </c>
      <c r="B35" s="14" t="s">
        <v>457</v>
      </c>
      <c r="C35" s="11" t="s">
        <v>18</v>
      </c>
      <c r="D35" s="9" t="s">
        <v>458</v>
      </c>
      <c r="E35" s="14">
        <v>42551</v>
      </c>
      <c r="F35" s="24" t="s">
        <v>26</v>
      </c>
      <c r="G35" s="19">
        <v>1</v>
      </c>
      <c r="H35" s="1"/>
      <c r="I35" s="1"/>
      <c r="J35" s="1"/>
    </row>
    <row r="36" spans="1:10" x14ac:dyDescent="0.25">
      <c r="A36" s="17">
        <f t="shared" si="0"/>
        <v>30</v>
      </c>
      <c r="B36" s="14" t="s">
        <v>453</v>
      </c>
      <c r="C36" s="11" t="s">
        <v>18</v>
      </c>
      <c r="D36" s="9" t="s">
        <v>454</v>
      </c>
      <c r="E36" s="14">
        <v>42551</v>
      </c>
      <c r="F36" s="24" t="s">
        <v>26</v>
      </c>
      <c r="G36" s="19">
        <v>1</v>
      </c>
      <c r="H36" s="1"/>
      <c r="I36" s="1"/>
      <c r="J36" s="1"/>
    </row>
    <row r="37" spans="1:10" x14ac:dyDescent="0.25">
      <c r="A37" s="17">
        <f t="shared" si="0"/>
        <v>31</v>
      </c>
      <c r="B37" s="14" t="s">
        <v>452</v>
      </c>
      <c r="C37" s="11" t="s">
        <v>18</v>
      </c>
      <c r="D37" s="9" t="s">
        <v>451</v>
      </c>
      <c r="E37" s="14">
        <v>42551</v>
      </c>
      <c r="F37" s="24" t="s">
        <v>26</v>
      </c>
      <c r="G37" s="19">
        <v>1</v>
      </c>
      <c r="H37" s="1"/>
      <c r="I37" s="1"/>
      <c r="J37" s="1"/>
    </row>
    <row r="38" spans="1:10" x14ac:dyDescent="0.25">
      <c r="A38" s="17">
        <f t="shared" si="0"/>
        <v>32</v>
      </c>
      <c r="B38" s="14" t="s">
        <v>449</v>
      </c>
      <c r="C38" s="11" t="s">
        <v>18</v>
      </c>
      <c r="D38" s="9" t="s">
        <v>450</v>
      </c>
      <c r="E38" s="14">
        <v>42551</v>
      </c>
      <c r="F38" s="24" t="s">
        <v>26</v>
      </c>
      <c r="G38" s="19">
        <v>1</v>
      </c>
      <c r="H38" s="1"/>
      <c r="I38" s="1"/>
      <c r="J38" s="1"/>
    </row>
    <row r="39" spans="1:10" x14ac:dyDescent="0.25">
      <c r="A39" s="17">
        <f t="shared" si="0"/>
        <v>33</v>
      </c>
      <c r="B39" s="14" t="s">
        <v>455</v>
      </c>
      <c r="C39" s="11" t="s">
        <v>18</v>
      </c>
      <c r="D39" s="9" t="s">
        <v>456</v>
      </c>
      <c r="E39" s="14">
        <v>42551</v>
      </c>
      <c r="F39" s="24" t="s">
        <v>26</v>
      </c>
      <c r="G39" s="19">
        <v>1</v>
      </c>
    </row>
    <row r="40" spans="1:10" x14ac:dyDescent="0.25">
      <c r="A40" s="17">
        <f t="shared" si="0"/>
        <v>34</v>
      </c>
      <c r="B40" s="14" t="s">
        <v>459</v>
      </c>
      <c r="C40" s="11" t="s">
        <v>18</v>
      </c>
      <c r="D40" s="9" t="s">
        <v>444</v>
      </c>
      <c r="E40" s="14">
        <v>42551</v>
      </c>
      <c r="F40" s="24" t="s">
        <v>26</v>
      </c>
      <c r="G40" s="19">
        <v>1</v>
      </c>
    </row>
  </sheetData>
  <sortState ref="B33:F40">
    <sortCondition ref="D33:D4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4" workbookViewId="0">
      <selection activeCell="D58" sqref="D58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4" max="4" width="13.7109375" bestFit="1" customWidth="1"/>
    <col min="6" max="6" width="15.7109375" customWidth="1"/>
    <col min="7" max="7" width="1.85546875" hidden="1" customWidth="1"/>
    <col min="8" max="8" width="24.42578125" bestFit="1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SUMIF(F7:F137,"Elimination*",G7:G137)</f>
        <v>8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SUMIF(F7:F137,"NB*",G7:G137)</f>
        <v>13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SUMIF(F7:F317,"Ve*",G7:G317)</f>
        <v>32</v>
      </c>
    </row>
    <row r="5" spans="1:11" ht="15.75" x14ac:dyDescent="0.25">
      <c r="A5" s="57" t="s">
        <v>547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53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461</v>
      </c>
      <c r="C7" s="11" t="s">
        <v>18</v>
      </c>
      <c r="D7" s="9" t="s">
        <v>460</v>
      </c>
      <c r="E7" s="14">
        <v>42561</v>
      </c>
      <c r="F7" s="24" t="s">
        <v>56</v>
      </c>
      <c r="G7" s="19">
        <v>1</v>
      </c>
      <c r="H7" s="47"/>
      <c r="I7" s="18"/>
      <c r="J7" s="18"/>
      <c r="K7" s="1"/>
    </row>
    <row r="8" spans="1:11" x14ac:dyDescent="0.25">
      <c r="A8" s="17">
        <f>+A7+1</f>
        <v>2</v>
      </c>
      <c r="B8" s="15" t="s">
        <v>463</v>
      </c>
      <c r="C8" s="11">
        <v>65</v>
      </c>
      <c r="D8" s="9" t="s">
        <v>462</v>
      </c>
      <c r="E8" s="14">
        <v>42563</v>
      </c>
      <c r="F8" s="24" t="s">
        <v>26</v>
      </c>
      <c r="G8" s="19">
        <v>1</v>
      </c>
      <c r="H8" s="47">
        <v>15129</v>
      </c>
      <c r="I8" s="18"/>
      <c r="J8" s="18"/>
      <c r="K8" s="1"/>
    </row>
    <row r="9" spans="1:11" x14ac:dyDescent="0.25">
      <c r="A9" s="17">
        <f t="shared" ref="A9:A59" si="0">+A8+1</f>
        <v>3</v>
      </c>
      <c r="B9" s="15" t="s">
        <v>1134</v>
      </c>
      <c r="C9" s="11" t="s">
        <v>18</v>
      </c>
      <c r="D9" s="9" t="s">
        <v>467</v>
      </c>
      <c r="E9" s="14">
        <v>42576</v>
      </c>
      <c r="F9" s="24" t="s">
        <v>135</v>
      </c>
      <c r="G9" s="19">
        <v>1</v>
      </c>
      <c r="H9" s="47" t="s">
        <v>508</v>
      </c>
      <c r="I9" s="18"/>
      <c r="J9" s="18"/>
      <c r="K9" s="1"/>
    </row>
    <row r="10" spans="1:11" x14ac:dyDescent="0.25">
      <c r="A10" s="17">
        <f t="shared" si="0"/>
        <v>4</v>
      </c>
      <c r="B10" s="15" t="s">
        <v>1133</v>
      </c>
      <c r="C10" s="11" t="s">
        <v>18</v>
      </c>
      <c r="D10" s="9" t="s">
        <v>466</v>
      </c>
      <c r="E10" s="14">
        <v>42576</v>
      </c>
      <c r="F10" s="24" t="s">
        <v>135</v>
      </c>
      <c r="G10" s="19">
        <v>1</v>
      </c>
      <c r="H10" s="47" t="s">
        <v>509</v>
      </c>
      <c r="I10" s="18"/>
      <c r="J10" s="18"/>
      <c r="K10" s="1"/>
    </row>
    <row r="11" spans="1:11" x14ac:dyDescent="0.25">
      <c r="A11" s="17">
        <f t="shared" si="0"/>
        <v>5</v>
      </c>
      <c r="B11" s="15" t="s">
        <v>464</v>
      </c>
      <c r="C11" s="11" t="s">
        <v>18</v>
      </c>
      <c r="D11" s="9" t="s">
        <v>465</v>
      </c>
      <c r="E11" s="14">
        <v>42576</v>
      </c>
      <c r="F11" s="24" t="s">
        <v>26</v>
      </c>
      <c r="G11" s="19">
        <v>1</v>
      </c>
      <c r="H11" s="47"/>
      <c r="I11" s="18"/>
      <c r="J11" s="18"/>
      <c r="K11" s="1"/>
    </row>
    <row r="12" spans="1:11" x14ac:dyDescent="0.25">
      <c r="A12" s="17">
        <f t="shared" si="0"/>
        <v>6</v>
      </c>
      <c r="B12" s="15" t="s">
        <v>468</v>
      </c>
      <c r="C12" s="11" t="s">
        <v>28</v>
      </c>
      <c r="D12" s="9" t="s">
        <v>469</v>
      </c>
      <c r="E12" s="14">
        <v>42577</v>
      </c>
      <c r="F12" s="24" t="s">
        <v>26</v>
      </c>
      <c r="G12" s="19">
        <v>1</v>
      </c>
      <c r="H12" s="47"/>
      <c r="I12" s="18"/>
      <c r="J12" s="18"/>
      <c r="K12" s="1"/>
    </row>
    <row r="13" spans="1:11" x14ac:dyDescent="0.25">
      <c r="A13" s="17">
        <f t="shared" si="0"/>
        <v>7</v>
      </c>
      <c r="B13" s="15" t="s">
        <v>470</v>
      </c>
      <c r="C13" s="11" t="s">
        <v>18</v>
      </c>
      <c r="D13" s="9" t="s">
        <v>471</v>
      </c>
      <c r="E13" s="14">
        <v>42577</v>
      </c>
      <c r="F13" s="24" t="s">
        <v>56</v>
      </c>
      <c r="G13" s="19">
        <v>1</v>
      </c>
      <c r="H13" s="47"/>
      <c r="I13" s="2"/>
      <c r="J13" s="2"/>
      <c r="K13" s="1"/>
    </row>
    <row r="14" spans="1:11" x14ac:dyDescent="0.25">
      <c r="A14" s="17">
        <f t="shared" si="0"/>
        <v>8</v>
      </c>
      <c r="B14" s="15" t="s">
        <v>470</v>
      </c>
      <c r="C14" s="11" t="s">
        <v>18</v>
      </c>
      <c r="D14" s="9" t="s">
        <v>472</v>
      </c>
      <c r="E14" s="14">
        <v>42577</v>
      </c>
      <c r="F14" s="24" t="s">
        <v>56</v>
      </c>
      <c r="G14" s="19">
        <v>1</v>
      </c>
      <c r="H14" s="47"/>
      <c r="I14" s="2"/>
      <c r="J14" s="2"/>
      <c r="K14" s="1"/>
    </row>
    <row r="15" spans="1:11" x14ac:dyDescent="0.25">
      <c r="A15" s="17">
        <f t="shared" si="0"/>
        <v>9</v>
      </c>
      <c r="B15" s="15" t="s">
        <v>470</v>
      </c>
      <c r="C15" s="11" t="s">
        <v>18</v>
      </c>
      <c r="D15" s="9" t="s">
        <v>473</v>
      </c>
      <c r="E15" s="14">
        <v>42577</v>
      </c>
      <c r="F15" s="24" t="s">
        <v>56</v>
      </c>
      <c r="G15" s="19">
        <v>1</v>
      </c>
      <c r="H15" s="47"/>
      <c r="I15" s="2"/>
      <c r="J15" s="2"/>
    </row>
    <row r="16" spans="1:11" ht="15" customHeight="1" x14ac:dyDescent="0.25">
      <c r="A16" s="17">
        <f t="shared" si="0"/>
        <v>10</v>
      </c>
      <c r="B16" s="15" t="s">
        <v>470</v>
      </c>
      <c r="C16" s="11" t="s">
        <v>18</v>
      </c>
      <c r="D16" s="9" t="s">
        <v>474</v>
      </c>
      <c r="E16" s="14">
        <v>42577</v>
      </c>
      <c r="F16" s="24" t="s">
        <v>56</v>
      </c>
      <c r="G16" s="19">
        <v>1</v>
      </c>
      <c r="H16" s="47"/>
      <c r="I16" s="2"/>
      <c r="J16" s="2"/>
    </row>
    <row r="17" spans="1:10" ht="15" customHeight="1" x14ac:dyDescent="0.25">
      <c r="A17" s="17">
        <f t="shared" si="0"/>
        <v>11</v>
      </c>
      <c r="B17" s="15" t="s">
        <v>470</v>
      </c>
      <c r="C17" s="11" t="s">
        <v>18</v>
      </c>
      <c r="D17" s="9" t="s">
        <v>475</v>
      </c>
      <c r="E17" s="14">
        <v>42577</v>
      </c>
      <c r="F17" s="24" t="s">
        <v>56</v>
      </c>
      <c r="G17" s="19">
        <v>1</v>
      </c>
      <c r="H17" s="47"/>
      <c r="I17" s="2"/>
      <c r="J17" s="2"/>
    </row>
    <row r="18" spans="1:10" ht="15" customHeight="1" x14ac:dyDescent="0.25">
      <c r="A18" s="17">
        <f t="shared" si="0"/>
        <v>12</v>
      </c>
      <c r="B18" s="15" t="s">
        <v>470</v>
      </c>
      <c r="C18" s="11" t="s">
        <v>18</v>
      </c>
      <c r="D18" s="9" t="s">
        <v>476</v>
      </c>
      <c r="E18" s="14">
        <v>42577</v>
      </c>
      <c r="F18" s="24" t="s">
        <v>56</v>
      </c>
      <c r="G18" s="19">
        <v>1</v>
      </c>
      <c r="H18" s="47"/>
      <c r="I18" s="2"/>
      <c r="J18" s="2"/>
    </row>
    <row r="19" spans="1:10" ht="15" customHeight="1" x14ac:dyDescent="0.25">
      <c r="A19" s="17">
        <f t="shared" si="0"/>
        <v>13</v>
      </c>
      <c r="B19" s="15" t="s">
        <v>470</v>
      </c>
      <c r="C19" s="11" t="s">
        <v>18</v>
      </c>
      <c r="D19" s="9" t="s">
        <v>477</v>
      </c>
      <c r="E19" s="14">
        <v>42577</v>
      </c>
      <c r="F19" s="24" t="s">
        <v>56</v>
      </c>
      <c r="G19" s="19">
        <v>1</v>
      </c>
      <c r="H19" s="47"/>
      <c r="I19" s="2"/>
      <c r="J19" s="2"/>
    </row>
    <row r="20" spans="1:10" x14ac:dyDescent="0.25">
      <c r="A20" s="17">
        <f t="shared" si="0"/>
        <v>14</v>
      </c>
      <c r="B20" s="15" t="s">
        <v>470</v>
      </c>
      <c r="C20" s="11" t="s">
        <v>18</v>
      </c>
      <c r="D20" s="9" t="s">
        <v>478</v>
      </c>
      <c r="E20" s="14">
        <v>42577</v>
      </c>
      <c r="F20" s="24" t="s">
        <v>56</v>
      </c>
      <c r="G20" s="19">
        <v>1</v>
      </c>
      <c r="H20" s="47"/>
      <c r="I20" s="2"/>
      <c r="J20" s="2"/>
    </row>
    <row r="21" spans="1:10" x14ac:dyDescent="0.25">
      <c r="A21" s="17">
        <f t="shared" si="0"/>
        <v>15</v>
      </c>
      <c r="B21" s="15" t="s">
        <v>470</v>
      </c>
      <c r="C21" s="11" t="s">
        <v>18</v>
      </c>
      <c r="D21" s="9" t="s">
        <v>479</v>
      </c>
      <c r="E21" s="14">
        <v>42577</v>
      </c>
      <c r="F21" s="24" t="s">
        <v>56</v>
      </c>
      <c r="G21" s="19">
        <v>1</v>
      </c>
      <c r="H21" s="47"/>
      <c r="I21" s="2"/>
      <c r="J21" s="2"/>
    </row>
    <row r="22" spans="1:10" x14ac:dyDescent="0.25">
      <c r="A22" s="17">
        <f t="shared" si="0"/>
        <v>16</v>
      </c>
      <c r="B22" s="15" t="s">
        <v>470</v>
      </c>
      <c r="C22" s="11" t="s">
        <v>18</v>
      </c>
      <c r="D22" s="9" t="s">
        <v>480</v>
      </c>
      <c r="E22" s="14">
        <v>42577</v>
      </c>
      <c r="F22" s="24" t="s">
        <v>56</v>
      </c>
      <c r="G22" s="19">
        <v>1</v>
      </c>
      <c r="H22" s="47"/>
      <c r="I22" s="2"/>
      <c r="J22" s="2"/>
    </row>
    <row r="23" spans="1:10" x14ac:dyDescent="0.25">
      <c r="A23" s="17">
        <f t="shared" si="0"/>
        <v>17</v>
      </c>
      <c r="B23" s="15" t="s">
        <v>470</v>
      </c>
      <c r="C23" s="11" t="s">
        <v>18</v>
      </c>
      <c r="D23" s="9" t="s">
        <v>481</v>
      </c>
      <c r="E23" s="14">
        <v>42577</v>
      </c>
      <c r="F23" s="24" t="s">
        <v>56</v>
      </c>
      <c r="G23" s="19">
        <v>1</v>
      </c>
      <c r="H23" s="46"/>
      <c r="I23" s="2"/>
      <c r="J23" s="2"/>
    </row>
    <row r="24" spans="1:10" x14ac:dyDescent="0.25">
      <c r="A24" s="17">
        <f t="shared" si="0"/>
        <v>18</v>
      </c>
      <c r="B24" s="15" t="s">
        <v>470</v>
      </c>
      <c r="C24" s="11" t="s">
        <v>18</v>
      </c>
      <c r="D24" s="9" t="s">
        <v>482</v>
      </c>
      <c r="E24" s="14">
        <v>42577</v>
      </c>
      <c r="F24" s="24" t="s">
        <v>56</v>
      </c>
      <c r="G24" s="19">
        <v>1</v>
      </c>
      <c r="H24" s="13"/>
      <c r="I24" s="2"/>
      <c r="J24" s="2"/>
    </row>
    <row r="25" spans="1:10" x14ac:dyDescent="0.25">
      <c r="A25" s="17">
        <f t="shared" si="0"/>
        <v>19</v>
      </c>
      <c r="B25" s="15" t="s">
        <v>470</v>
      </c>
      <c r="C25" s="11" t="s">
        <v>18</v>
      </c>
      <c r="D25" s="9" t="s">
        <v>483</v>
      </c>
      <c r="E25" s="14">
        <v>42577</v>
      </c>
      <c r="F25" s="24" t="s">
        <v>56</v>
      </c>
      <c r="G25" s="19">
        <v>1</v>
      </c>
      <c r="H25" s="13"/>
      <c r="I25" s="2"/>
      <c r="J25" s="2"/>
    </row>
    <row r="26" spans="1:10" x14ac:dyDescent="0.25">
      <c r="A26" s="17">
        <f t="shared" si="0"/>
        <v>20</v>
      </c>
      <c r="B26" s="15" t="s">
        <v>470</v>
      </c>
      <c r="C26" s="11" t="s">
        <v>18</v>
      </c>
      <c r="D26" s="9" t="s">
        <v>484</v>
      </c>
      <c r="E26" s="14">
        <v>42577</v>
      </c>
      <c r="F26" s="24" t="s">
        <v>56</v>
      </c>
      <c r="G26" s="19">
        <v>1</v>
      </c>
      <c r="H26" s="13"/>
      <c r="I26" s="2"/>
      <c r="J26" s="2"/>
    </row>
    <row r="27" spans="1:10" x14ac:dyDescent="0.25">
      <c r="A27" s="17">
        <f t="shared" si="0"/>
        <v>21</v>
      </c>
      <c r="B27" s="15" t="s">
        <v>470</v>
      </c>
      <c r="C27" s="11" t="s">
        <v>18</v>
      </c>
      <c r="D27" s="9" t="s">
        <v>485</v>
      </c>
      <c r="E27" s="14">
        <v>42577</v>
      </c>
      <c r="F27" s="24" t="s">
        <v>56</v>
      </c>
      <c r="G27" s="19">
        <v>1</v>
      </c>
      <c r="H27" s="46"/>
      <c r="I27" s="2"/>
      <c r="J27" s="2"/>
    </row>
    <row r="28" spans="1:10" x14ac:dyDescent="0.25">
      <c r="A28" s="17">
        <f t="shared" si="0"/>
        <v>22</v>
      </c>
      <c r="B28" s="15" t="s">
        <v>470</v>
      </c>
      <c r="C28" s="11" t="s">
        <v>18</v>
      </c>
      <c r="D28" s="9" t="s">
        <v>486</v>
      </c>
      <c r="E28" s="14">
        <v>42577</v>
      </c>
      <c r="F28" s="24" t="s">
        <v>56</v>
      </c>
      <c r="G28" s="19">
        <v>1</v>
      </c>
      <c r="H28" s="46"/>
      <c r="I28" s="2"/>
      <c r="J28" s="2"/>
    </row>
    <row r="29" spans="1:10" x14ac:dyDescent="0.25">
      <c r="A29" s="17">
        <f t="shared" si="0"/>
        <v>23</v>
      </c>
      <c r="B29" s="15" t="s">
        <v>470</v>
      </c>
      <c r="C29" s="11" t="s">
        <v>18</v>
      </c>
      <c r="D29" s="9" t="s">
        <v>487</v>
      </c>
      <c r="E29" s="14">
        <v>42577</v>
      </c>
      <c r="F29" s="24" t="s">
        <v>56</v>
      </c>
      <c r="G29" s="19">
        <v>1</v>
      </c>
      <c r="H29" s="1"/>
      <c r="I29" s="1"/>
      <c r="J29" s="1"/>
    </row>
    <row r="30" spans="1:10" x14ac:dyDescent="0.25">
      <c r="A30" s="17">
        <f t="shared" si="0"/>
        <v>24</v>
      </c>
      <c r="B30" s="15" t="s">
        <v>470</v>
      </c>
      <c r="C30" s="11" t="s">
        <v>18</v>
      </c>
      <c r="D30" s="9" t="s">
        <v>488</v>
      </c>
      <c r="E30" s="14">
        <v>42577</v>
      </c>
      <c r="F30" s="24" t="s">
        <v>56</v>
      </c>
      <c r="G30" s="19">
        <v>1</v>
      </c>
      <c r="H30" s="1"/>
      <c r="I30" s="1"/>
      <c r="J30" s="1"/>
    </row>
    <row r="31" spans="1:10" x14ac:dyDescent="0.25">
      <c r="A31" s="17">
        <f t="shared" si="0"/>
        <v>25</v>
      </c>
      <c r="B31" s="15" t="s">
        <v>470</v>
      </c>
      <c r="C31" s="11" t="s">
        <v>18</v>
      </c>
      <c r="D31" s="9" t="s">
        <v>489</v>
      </c>
      <c r="E31" s="14">
        <v>42577</v>
      </c>
      <c r="F31" s="24" t="s">
        <v>56</v>
      </c>
      <c r="G31" s="19">
        <v>1</v>
      </c>
      <c r="H31" s="1"/>
      <c r="I31" s="1"/>
      <c r="J31" s="1"/>
    </row>
    <row r="32" spans="1:10" x14ac:dyDescent="0.25">
      <c r="A32" s="17">
        <f t="shared" si="0"/>
        <v>26</v>
      </c>
      <c r="B32" s="15" t="s">
        <v>470</v>
      </c>
      <c r="C32" s="11" t="s">
        <v>18</v>
      </c>
      <c r="D32" s="9" t="s">
        <v>490</v>
      </c>
      <c r="E32" s="14">
        <v>42577</v>
      </c>
      <c r="F32" s="24" t="s">
        <v>56</v>
      </c>
      <c r="G32" s="19">
        <v>1</v>
      </c>
      <c r="H32" s="1"/>
      <c r="I32" s="1"/>
      <c r="J32" s="1"/>
    </row>
    <row r="33" spans="1:10" x14ac:dyDescent="0.25">
      <c r="A33" s="17">
        <f t="shared" si="0"/>
        <v>27</v>
      </c>
      <c r="B33" s="15" t="s">
        <v>470</v>
      </c>
      <c r="C33" s="11" t="s">
        <v>18</v>
      </c>
      <c r="D33" s="9" t="s">
        <v>491</v>
      </c>
      <c r="E33" s="14">
        <v>42577</v>
      </c>
      <c r="F33" s="24" t="s">
        <v>56</v>
      </c>
      <c r="G33" s="19">
        <v>1</v>
      </c>
      <c r="H33" s="1"/>
      <c r="I33" s="1"/>
      <c r="J33" s="1"/>
    </row>
    <row r="34" spans="1:10" x14ac:dyDescent="0.25">
      <c r="A34" s="17">
        <f t="shared" si="0"/>
        <v>28</v>
      </c>
      <c r="B34" s="15" t="s">
        <v>470</v>
      </c>
      <c r="C34" s="11" t="s">
        <v>18</v>
      </c>
      <c r="D34" s="9" t="s">
        <v>492</v>
      </c>
      <c r="E34" s="14">
        <v>42577</v>
      </c>
      <c r="F34" s="24" t="s">
        <v>56</v>
      </c>
      <c r="G34" s="19">
        <v>1</v>
      </c>
      <c r="H34" s="1"/>
      <c r="I34" s="1"/>
      <c r="J34" s="1"/>
    </row>
    <row r="35" spans="1:10" x14ac:dyDescent="0.25">
      <c r="A35" s="17">
        <f t="shared" si="0"/>
        <v>29</v>
      </c>
      <c r="B35" s="15" t="s">
        <v>470</v>
      </c>
      <c r="C35" s="11" t="s">
        <v>18</v>
      </c>
      <c r="D35" s="9" t="s">
        <v>493</v>
      </c>
      <c r="E35" s="14">
        <v>42577</v>
      </c>
      <c r="F35" s="24" t="s">
        <v>56</v>
      </c>
      <c r="G35" s="19">
        <v>1</v>
      </c>
      <c r="H35" s="1"/>
      <c r="I35" s="1"/>
      <c r="J35" s="1"/>
    </row>
    <row r="36" spans="1:10" x14ac:dyDescent="0.25">
      <c r="A36" s="17">
        <f t="shared" si="0"/>
        <v>30</v>
      </c>
      <c r="B36" s="15" t="s">
        <v>470</v>
      </c>
      <c r="C36" s="11" t="s">
        <v>18</v>
      </c>
      <c r="D36" s="9" t="s">
        <v>494</v>
      </c>
      <c r="E36" s="14">
        <v>42577</v>
      </c>
      <c r="F36" s="24" t="s">
        <v>56</v>
      </c>
      <c r="G36" s="19">
        <v>1</v>
      </c>
      <c r="H36" s="1"/>
      <c r="I36" s="1"/>
      <c r="J36" s="1"/>
    </row>
    <row r="37" spans="1:10" x14ac:dyDescent="0.25">
      <c r="A37" s="17">
        <f t="shared" si="0"/>
        <v>31</v>
      </c>
      <c r="B37" s="15" t="s">
        <v>470</v>
      </c>
      <c r="C37" s="11" t="s">
        <v>18</v>
      </c>
      <c r="D37" s="9" t="s">
        <v>495</v>
      </c>
      <c r="E37" s="14">
        <v>42577</v>
      </c>
      <c r="F37" s="24" t="s">
        <v>56</v>
      </c>
      <c r="G37" s="19">
        <v>1</v>
      </c>
      <c r="H37" s="1"/>
      <c r="I37" s="1"/>
      <c r="J37" s="1"/>
    </row>
    <row r="38" spans="1:10" x14ac:dyDescent="0.25">
      <c r="A38" s="17">
        <f t="shared" si="0"/>
        <v>32</v>
      </c>
      <c r="B38" s="15" t="s">
        <v>470</v>
      </c>
      <c r="C38" s="11" t="s">
        <v>18</v>
      </c>
      <c r="D38" s="9" t="s">
        <v>496</v>
      </c>
      <c r="E38" s="14">
        <v>42577</v>
      </c>
      <c r="F38" s="24" t="s">
        <v>56</v>
      </c>
      <c r="G38" s="19">
        <v>1</v>
      </c>
      <c r="H38" s="1"/>
      <c r="I38" s="1"/>
      <c r="J38" s="1"/>
    </row>
    <row r="39" spans="1:10" x14ac:dyDescent="0.25">
      <c r="A39" s="17">
        <f t="shared" si="0"/>
        <v>33</v>
      </c>
      <c r="B39" s="15" t="s">
        <v>470</v>
      </c>
      <c r="C39" s="11" t="s">
        <v>18</v>
      </c>
      <c r="D39" s="9" t="s">
        <v>497</v>
      </c>
      <c r="E39" s="14">
        <v>42577</v>
      </c>
      <c r="F39" s="24" t="s">
        <v>56</v>
      </c>
      <c r="G39" s="19">
        <v>1</v>
      </c>
    </row>
    <row r="40" spans="1:10" x14ac:dyDescent="0.25">
      <c r="A40" s="17">
        <f t="shared" si="0"/>
        <v>34</v>
      </c>
      <c r="B40" s="15" t="s">
        <v>470</v>
      </c>
      <c r="C40" s="11" t="s">
        <v>18</v>
      </c>
      <c r="D40" s="9" t="s">
        <v>498</v>
      </c>
      <c r="E40" s="14">
        <v>42577</v>
      </c>
      <c r="F40" s="24" t="s">
        <v>56</v>
      </c>
      <c r="G40" s="19">
        <v>1</v>
      </c>
    </row>
    <row r="41" spans="1:10" x14ac:dyDescent="0.25">
      <c r="A41" s="17">
        <f t="shared" si="0"/>
        <v>35</v>
      </c>
      <c r="B41" s="15" t="s">
        <v>470</v>
      </c>
      <c r="C41" s="11" t="s">
        <v>18</v>
      </c>
      <c r="D41" s="9" t="s">
        <v>499</v>
      </c>
      <c r="E41" s="14">
        <v>42577</v>
      </c>
      <c r="F41" s="24" t="s">
        <v>56</v>
      </c>
      <c r="G41" s="19">
        <v>1</v>
      </c>
    </row>
    <row r="42" spans="1:10" x14ac:dyDescent="0.25">
      <c r="A42" s="17">
        <f t="shared" si="0"/>
        <v>36</v>
      </c>
      <c r="B42" s="15" t="s">
        <v>470</v>
      </c>
      <c r="C42" s="11" t="s">
        <v>18</v>
      </c>
      <c r="D42" s="9" t="s">
        <v>500</v>
      </c>
      <c r="E42" s="14">
        <v>42577</v>
      </c>
      <c r="F42" s="24" t="s">
        <v>56</v>
      </c>
      <c r="G42" s="19">
        <v>1</v>
      </c>
    </row>
    <row r="43" spans="1:10" x14ac:dyDescent="0.25">
      <c r="A43" s="17">
        <f t="shared" si="0"/>
        <v>37</v>
      </c>
      <c r="B43" s="15" t="s">
        <v>470</v>
      </c>
      <c r="C43" s="11" t="s">
        <v>18</v>
      </c>
      <c r="D43" s="9" t="s">
        <v>501</v>
      </c>
      <c r="E43" s="14">
        <v>42577</v>
      </c>
      <c r="F43" s="24" t="s">
        <v>56</v>
      </c>
      <c r="G43" s="19">
        <v>1</v>
      </c>
    </row>
    <row r="44" spans="1:10" x14ac:dyDescent="0.25">
      <c r="A44" s="17">
        <f t="shared" si="0"/>
        <v>38</v>
      </c>
      <c r="B44" s="14" t="s">
        <v>1135</v>
      </c>
      <c r="C44" s="11" t="s">
        <v>18</v>
      </c>
      <c r="D44" s="9" t="s">
        <v>502</v>
      </c>
      <c r="E44" s="14">
        <v>42578</v>
      </c>
      <c r="F44" s="24" t="s">
        <v>504</v>
      </c>
      <c r="G44" s="19">
        <v>1</v>
      </c>
      <c r="H44" t="s">
        <v>506</v>
      </c>
    </row>
    <row r="45" spans="1:10" x14ac:dyDescent="0.25">
      <c r="A45" s="17">
        <f t="shared" si="0"/>
        <v>39</v>
      </c>
      <c r="B45" s="14" t="s">
        <v>1136</v>
      </c>
      <c r="C45" s="11" t="s">
        <v>18</v>
      </c>
      <c r="D45" s="9" t="s">
        <v>503</v>
      </c>
      <c r="E45" s="14">
        <v>42578</v>
      </c>
      <c r="F45" s="24" t="s">
        <v>505</v>
      </c>
      <c r="G45" s="19">
        <v>1</v>
      </c>
      <c r="H45" t="s">
        <v>507</v>
      </c>
    </row>
    <row r="46" spans="1:10" x14ac:dyDescent="0.25">
      <c r="A46" s="17">
        <f t="shared" si="0"/>
        <v>40</v>
      </c>
      <c r="B46" s="14" t="s">
        <v>1137</v>
      </c>
      <c r="C46" s="11" t="s">
        <v>18</v>
      </c>
      <c r="D46" s="9" t="s">
        <v>510</v>
      </c>
      <c r="E46" s="14">
        <v>42579</v>
      </c>
      <c r="F46" s="24" t="s">
        <v>513</v>
      </c>
      <c r="G46" s="19">
        <v>1</v>
      </c>
      <c r="H46" t="s">
        <v>514</v>
      </c>
    </row>
    <row r="47" spans="1:10" x14ac:dyDescent="0.25">
      <c r="A47" s="17">
        <f t="shared" si="0"/>
        <v>41</v>
      </c>
      <c r="B47" s="14" t="s">
        <v>1175</v>
      </c>
      <c r="C47" s="11" t="s">
        <v>18</v>
      </c>
      <c r="D47" s="9" t="s">
        <v>511</v>
      </c>
      <c r="E47" s="14">
        <v>42579</v>
      </c>
      <c r="F47" s="24" t="s">
        <v>515</v>
      </c>
      <c r="G47" s="19">
        <v>1</v>
      </c>
      <c r="H47" t="s">
        <v>516</v>
      </c>
    </row>
    <row r="48" spans="1:10" x14ac:dyDescent="0.25">
      <c r="A48" s="17">
        <f t="shared" si="0"/>
        <v>42</v>
      </c>
      <c r="B48" s="14" t="s">
        <v>1076</v>
      </c>
      <c r="C48" s="11" t="s">
        <v>18</v>
      </c>
      <c r="D48" s="9" t="s">
        <v>512</v>
      </c>
      <c r="E48" s="14">
        <v>42579</v>
      </c>
      <c r="F48" s="24" t="s">
        <v>517</v>
      </c>
      <c r="G48" s="19">
        <v>1</v>
      </c>
      <c r="H48" t="s">
        <v>518</v>
      </c>
    </row>
    <row r="49" spans="1:8" x14ac:dyDescent="0.25">
      <c r="A49" s="17">
        <f t="shared" si="0"/>
        <v>43</v>
      </c>
      <c r="B49" s="14" t="s">
        <v>1140</v>
      </c>
      <c r="C49" s="11" t="s">
        <v>18</v>
      </c>
      <c r="D49" s="9" t="s">
        <v>519</v>
      </c>
      <c r="E49" s="14">
        <v>42579</v>
      </c>
      <c r="F49" s="24" t="s">
        <v>522</v>
      </c>
      <c r="G49" s="19">
        <v>1</v>
      </c>
      <c r="H49" t="s">
        <v>523</v>
      </c>
    </row>
    <row r="50" spans="1:8" x14ac:dyDescent="0.25">
      <c r="A50" s="17">
        <f t="shared" si="0"/>
        <v>44</v>
      </c>
      <c r="B50" s="14" t="s">
        <v>1173</v>
      </c>
      <c r="C50" s="11" t="s">
        <v>18</v>
      </c>
      <c r="D50" s="9" t="s">
        <v>520</v>
      </c>
      <c r="E50" s="14">
        <v>42579</v>
      </c>
      <c r="F50" s="24" t="s">
        <v>524</v>
      </c>
      <c r="G50" s="19">
        <v>1</v>
      </c>
      <c r="H50" t="s">
        <v>525</v>
      </c>
    </row>
    <row r="51" spans="1:8" x14ac:dyDescent="0.25">
      <c r="A51" s="17">
        <f t="shared" si="0"/>
        <v>45</v>
      </c>
      <c r="B51" s="14" t="s">
        <v>1141</v>
      </c>
      <c r="C51" s="11" t="s">
        <v>18</v>
      </c>
      <c r="D51" s="9" t="s">
        <v>521</v>
      </c>
      <c r="E51" s="14">
        <v>42579</v>
      </c>
      <c r="F51" s="24" t="s">
        <v>526</v>
      </c>
      <c r="G51" s="19">
        <v>1</v>
      </c>
      <c r="H51" t="s">
        <v>527</v>
      </c>
    </row>
    <row r="52" spans="1:8" x14ac:dyDescent="0.25">
      <c r="A52" s="17">
        <f t="shared" si="0"/>
        <v>46</v>
      </c>
      <c r="B52" s="14" t="s">
        <v>1159</v>
      </c>
      <c r="C52" s="11" t="s">
        <v>18</v>
      </c>
      <c r="D52" s="9" t="s">
        <v>528</v>
      </c>
      <c r="E52" s="14">
        <v>42582</v>
      </c>
      <c r="F52" s="24" t="s">
        <v>531</v>
      </c>
      <c r="G52" s="19">
        <v>1</v>
      </c>
      <c r="H52" t="s">
        <v>532</v>
      </c>
    </row>
    <row r="53" spans="1:8" x14ac:dyDescent="0.25">
      <c r="A53" s="17">
        <f t="shared" si="0"/>
        <v>47</v>
      </c>
      <c r="B53" s="14" t="s">
        <v>1139</v>
      </c>
      <c r="C53" s="11" t="s">
        <v>18</v>
      </c>
      <c r="D53" s="9" t="s">
        <v>529</v>
      </c>
      <c r="E53" s="14">
        <v>42582</v>
      </c>
      <c r="F53" s="24" t="s">
        <v>533</v>
      </c>
      <c r="G53" s="19">
        <v>1</v>
      </c>
      <c r="H53" t="s">
        <v>534</v>
      </c>
    </row>
    <row r="54" spans="1:8" x14ac:dyDescent="0.25">
      <c r="A54" s="17">
        <f t="shared" si="0"/>
        <v>48</v>
      </c>
      <c r="B54" s="14" t="s">
        <v>1142</v>
      </c>
      <c r="C54" s="11" t="s">
        <v>18</v>
      </c>
      <c r="D54" s="9" t="s">
        <v>530</v>
      </c>
      <c r="E54" s="14">
        <v>42582</v>
      </c>
      <c r="F54" s="24" t="s">
        <v>535</v>
      </c>
      <c r="G54" s="19">
        <v>1</v>
      </c>
      <c r="H54" t="s">
        <v>536</v>
      </c>
    </row>
    <row r="55" spans="1:8" x14ac:dyDescent="0.25">
      <c r="A55" s="17">
        <f t="shared" si="0"/>
        <v>49</v>
      </c>
      <c r="B55" s="14" t="s">
        <v>558</v>
      </c>
      <c r="C55" s="11" t="s">
        <v>18</v>
      </c>
      <c r="D55" s="9" t="s">
        <v>541</v>
      </c>
      <c r="E55" s="14">
        <v>42582</v>
      </c>
      <c r="F55" s="24" t="s">
        <v>26</v>
      </c>
      <c r="G55" s="19">
        <v>1</v>
      </c>
    </row>
    <row r="56" spans="1:8" x14ac:dyDescent="0.25">
      <c r="A56" s="17">
        <f t="shared" si="0"/>
        <v>50</v>
      </c>
      <c r="B56" s="14" t="s">
        <v>544</v>
      </c>
      <c r="C56" s="11" t="s">
        <v>18</v>
      </c>
      <c r="D56" s="9" t="s">
        <v>545</v>
      </c>
      <c r="E56" s="14">
        <v>42582</v>
      </c>
      <c r="F56" s="24" t="s">
        <v>26</v>
      </c>
      <c r="G56" s="19">
        <v>1</v>
      </c>
    </row>
    <row r="57" spans="1:8" x14ac:dyDescent="0.25">
      <c r="A57" s="17">
        <f t="shared" si="0"/>
        <v>51</v>
      </c>
      <c r="B57" s="14" t="s">
        <v>539</v>
      </c>
      <c r="C57" s="11" t="s">
        <v>18</v>
      </c>
      <c r="D57" s="9" t="s">
        <v>540</v>
      </c>
      <c r="E57" s="14">
        <v>42582</v>
      </c>
      <c r="F57" s="24" t="s">
        <v>26</v>
      </c>
      <c r="G57" s="19">
        <v>1</v>
      </c>
    </row>
    <row r="58" spans="1:8" x14ac:dyDescent="0.25">
      <c r="A58" s="17">
        <f t="shared" si="0"/>
        <v>52</v>
      </c>
      <c r="B58" s="14" t="s">
        <v>537</v>
      </c>
      <c r="C58" s="11" t="s">
        <v>18</v>
      </c>
      <c r="D58" s="9" t="s">
        <v>538</v>
      </c>
      <c r="E58" s="14">
        <v>42582</v>
      </c>
      <c r="F58" s="24" t="s">
        <v>26</v>
      </c>
      <c r="G58" s="19">
        <v>1</v>
      </c>
    </row>
    <row r="59" spans="1:8" x14ac:dyDescent="0.25">
      <c r="A59" s="17">
        <f t="shared" si="0"/>
        <v>53</v>
      </c>
      <c r="B59" s="14" t="s">
        <v>542</v>
      </c>
      <c r="C59" s="11" t="s">
        <v>18</v>
      </c>
      <c r="D59" s="9" t="s">
        <v>543</v>
      </c>
      <c r="E59" s="14">
        <v>42582</v>
      </c>
      <c r="F59" s="24" t="s">
        <v>26</v>
      </c>
      <c r="G59" s="19">
        <v>1</v>
      </c>
    </row>
  </sheetData>
  <sortState ref="B55:F59">
    <sortCondition ref="D55:D5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35" workbookViewId="0">
      <selection activeCell="B36" sqref="B36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4" max="4" width="13.7109375" bestFit="1" customWidth="1"/>
    <col min="6" max="6" width="14.28515625" customWidth="1"/>
    <col min="7" max="7" width="3.140625" hidden="1" customWidth="1"/>
    <col min="8" max="8" width="24.42578125" bestFit="1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SUMIF(F7:F97,"Elimination*",G7:G97)</f>
        <v>9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SUMIF(F7:F97,"NB*",G7:G97)</f>
        <v>19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SUMIF(F7:F277,"Ve*",G7:G277)</f>
        <v>2</v>
      </c>
    </row>
    <row r="5" spans="1:11" ht="15.75" x14ac:dyDescent="0.25">
      <c r="A5" s="57" t="s">
        <v>546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30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552</v>
      </c>
      <c r="C7" s="11" t="s">
        <v>18</v>
      </c>
      <c r="D7" s="9" t="s">
        <v>556</v>
      </c>
      <c r="E7" s="14">
        <v>42583</v>
      </c>
      <c r="F7" s="24" t="s">
        <v>26</v>
      </c>
      <c r="G7" s="19">
        <v>1</v>
      </c>
      <c r="H7" s="47"/>
      <c r="I7" s="18"/>
      <c r="J7" s="18"/>
      <c r="K7" s="1"/>
    </row>
    <row r="8" spans="1:11" x14ac:dyDescent="0.25">
      <c r="A8" s="17">
        <f>+A7+1</f>
        <v>2</v>
      </c>
      <c r="B8" s="15" t="s">
        <v>555</v>
      </c>
      <c r="C8" s="11" t="s">
        <v>18</v>
      </c>
      <c r="D8" s="9" t="s">
        <v>554</v>
      </c>
      <c r="E8" s="14">
        <v>42583</v>
      </c>
      <c r="F8" s="24" t="s">
        <v>26</v>
      </c>
      <c r="G8" s="19">
        <v>1</v>
      </c>
      <c r="H8" s="47"/>
      <c r="I8" s="18"/>
      <c r="J8" s="18"/>
      <c r="K8" s="1"/>
    </row>
    <row r="9" spans="1:11" x14ac:dyDescent="0.25">
      <c r="A9" s="17">
        <f t="shared" ref="A9:A36" si="0">+A8+1</f>
        <v>3</v>
      </c>
      <c r="B9" s="15" t="s">
        <v>548</v>
      </c>
      <c r="C9" s="11" t="s">
        <v>18</v>
      </c>
      <c r="D9" s="9" t="s">
        <v>549</v>
      </c>
      <c r="E9" s="14">
        <v>42583</v>
      </c>
      <c r="F9" s="24" t="s">
        <v>26</v>
      </c>
      <c r="G9" s="19">
        <v>1</v>
      </c>
      <c r="H9" s="47"/>
      <c r="I9" s="18"/>
      <c r="J9" s="18"/>
      <c r="K9" s="1"/>
    </row>
    <row r="10" spans="1:11" x14ac:dyDescent="0.25">
      <c r="A10" s="17">
        <f t="shared" si="0"/>
        <v>4</v>
      </c>
      <c r="B10" s="15" t="s">
        <v>550</v>
      </c>
      <c r="C10" s="11" t="s">
        <v>18</v>
      </c>
      <c r="D10" s="9" t="s">
        <v>551</v>
      </c>
      <c r="E10" s="14">
        <v>42583</v>
      </c>
      <c r="F10" s="24" t="s">
        <v>26</v>
      </c>
      <c r="G10" s="19">
        <v>1</v>
      </c>
      <c r="H10" s="47"/>
      <c r="I10" s="18"/>
      <c r="J10" s="18"/>
      <c r="K10" s="1"/>
    </row>
    <row r="11" spans="1:11" x14ac:dyDescent="0.25">
      <c r="A11" s="17">
        <f t="shared" si="0"/>
        <v>5</v>
      </c>
      <c r="B11" s="15" t="s">
        <v>557</v>
      </c>
      <c r="C11" s="11" t="s">
        <v>18</v>
      </c>
      <c r="D11" s="9" t="s">
        <v>553</v>
      </c>
      <c r="E11" s="14">
        <v>42583</v>
      </c>
      <c r="F11" s="24" t="s">
        <v>26</v>
      </c>
      <c r="G11" s="19">
        <v>1</v>
      </c>
      <c r="H11" s="47"/>
      <c r="I11" s="18"/>
      <c r="J11" s="18"/>
      <c r="K11" s="1"/>
    </row>
    <row r="12" spans="1:11" x14ac:dyDescent="0.25">
      <c r="A12" s="17">
        <f t="shared" si="0"/>
        <v>6</v>
      </c>
      <c r="B12" s="15" t="s">
        <v>559</v>
      </c>
      <c r="C12" s="11">
        <v>40</v>
      </c>
      <c r="D12" s="9" t="s">
        <v>560</v>
      </c>
      <c r="E12" s="14">
        <v>42584</v>
      </c>
      <c r="F12" s="24" t="s">
        <v>26</v>
      </c>
      <c r="G12" s="19">
        <v>1</v>
      </c>
      <c r="H12" s="47"/>
      <c r="I12" s="18"/>
      <c r="J12" s="18"/>
      <c r="K12" s="1"/>
    </row>
    <row r="13" spans="1:11" x14ac:dyDescent="0.25">
      <c r="A13" s="17">
        <f t="shared" si="0"/>
        <v>7</v>
      </c>
      <c r="B13" s="15" t="s">
        <v>1143</v>
      </c>
      <c r="C13" s="11" t="s">
        <v>18</v>
      </c>
      <c r="D13" s="9" t="s">
        <v>561</v>
      </c>
      <c r="E13" s="14">
        <v>42584</v>
      </c>
      <c r="F13" s="24" t="s">
        <v>562</v>
      </c>
      <c r="G13" s="19">
        <v>1</v>
      </c>
      <c r="H13" s="47" t="s">
        <v>563</v>
      </c>
      <c r="I13" s="2"/>
      <c r="J13" s="2"/>
      <c r="K13" s="1"/>
    </row>
    <row r="14" spans="1:11" x14ac:dyDescent="0.25">
      <c r="A14" s="17">
        <f t="shared" si="0"/>
        <v>8</v>
      </c>
      <c r="B14" s="15" t="s">
        <v>564</v>
      </c>
      <c r="C14" s="11" t="s">
        <v>18</v>
      </c>
      <c r="D14" s="9" t="s">
        <v>565</v>
      </c>
      <c r="E14" s="14">
        <v>42591</v>
      </c>
      <c r="F14" s="24" t="s">
        <v>56</v>
      </c>
      <c r="G14" s="19">
        <v>1</v>
      </c>
      <c r="H14" s="47"/>
      <c r="I14" s="2"/>
      <c r="J14" s="2"/>
      <c r="K14" s="1"/>
    </row>
    <row r="15" spans="1:11" x14ac:dyDescent="0.25">
      <c r="A15" s="17">
        <f t="shared" si="0"/>
        <v>9</v>
      </c>
      <c r="B15" s="15" t="s">
        <v>1144</v>
      </c>
      <c r="C15" s="11" t="s">
        <v>18</v>
      </c>
      <c r="D15" s="9" t="s">
        <v>570</v>
      </c>
      <c r="E15" s="14">
        <v>42592</v>
      </c>
      <c r="F15" s="24" t="s">
        <v>571</v>
      </c>
      <c r="G15" s="19">
        <v>1</v>
      </c>
      <c r="H15" s="47" t="s">
        <v>572</v>
      </c>
      <c r="I15" s="2"/>
      <c r="J15" s="2"/>
    </row>
    <row r="16" spans="1:11" ht="15" customHeight="1" x14ac:dyDescent="0.25">
      <c r="A16" s="17">
        <f t="shared" si="0"/>
        <v>10</v>
      </c>
      <c r="B16" s="15" t="s">
        <v>1146</v>
      </c>
      <c r="C16" s="11" t="s">
        <v>18</v>
      </c>
      <c r="D16" s="9" t="s">
        <v>568</v>
      </c>
      <c r="E16" s="14">
        <v>42592</v>
      </c>
      <c r="F16" s="24" t="s">
        <v>569</v>
      </c>
      <c r="G16" s="19">
        <v>1</v>
      </c>
      <c r="H16" s="47" t="s">
        <v>574</v>
      </c>
      <c r="I16" s="2"/>
      <c r="J16" s="2"/>
    </row>
    <row r="17" spans="1:15" ht="15" customHeight="1" x14ac:dyDescent="0.25">
      <c r="A17" s="17">
        <f t="shared" si="0"/>
        <v>11</v>
      </c>
      <c r="B17" s="15" t="s">
        <v>1145</v>
      </c>
      <c r="C17" s="11" t="s">
        <v>18</v>
      </c>
      <c r="D17" s="9" t="s">
        <v>566</v>
      </c>
      <c r="E17" s="14">
        <v>42592</v>
      </c>
      <c r="F17" s="24" t="s">
        <v>567</v>
      </c>
      <c r="G17" s="19">
        <v>1</v>
      </c>
      <c r="H17" s="47" t="s">
        <v>573</v>
      </c>
      <c r="I17" s="2"/>
      <c r="J17" s="2"/>
    </row>
    <row r="18" spans="1:15" ht="15" customHeight="1" x14ac:dyDescent="0.25">
      <c r="A18" s="17">
        <f t="shared" si="0"/>
        <v>12</v>
      </c>
      <c r="B18" s="15" t="s">
        <v>1148</v>
      </c>
      <c r="C18" s="11" t="s">
        <v>18</v>
      </c>
      <c r="D18" s="9" t="s">
        <v>575</v>
      </c>
      <c r="E18" s="14">
        <v>42593</v>
      </c>
      <c r="F18" s="24" t="s">
        <v>577</v>
      </c>
      <c r="G18" s="19">
        <v>1</v>
      </c>
      <c r="H18" s="47" t="s">
        <v>579</v>
      </c>
      <c r="I18" s="2"/>
      <c r="J18" s="2"/>
    </row>
    <row r="19" spans="1:15" ht="15" customHeight="1" x14ac:dyDescent="0.25">
      <c r="A19" s="17">
        <f t="shared" si="0"/>
        <v>13</v>
      </c>
      <c r="B19" s="15" t="s">
        <v>1147</v>
      </c>
      <c r="C19" s="11" t="s">
        <v>18</v>
      </c>
      <c r="D19" s="9" t="s">
        <v>576</v>
      </c>
      <c r="E19" s="14">
        <v>42593</v>
      </c>
      <c r="F19" s="24" t="s">
        <v>578</v>
      </c>
      <c r="G19" s="19">
        <v>1</v>
      </c>
      <c r="H19" s="47" t="s">
        <v>580</v>
      </c>
      <c r="I19" s="2"/>
      <c r="J19" s="2"/>
    </row>
    <row r="20" spans="1:15" x14ac:dyDescent="0.25">
      <c r="A20" s="17">
        <f t="shared" si="0"/>
        <v>14</v>
      </c>
      <c r="B20" s="15" t="s">
        <v>1174</v>
      </c>
      <c r="C20" s="11" t="s">
        <v>18</v>
      </c>
      <c r="D20" s="9" t="s">
        <v>581</v>
      </c>
      <c r="E20" s="14">
        <v>42596</v>
      </c>
      <c r="F20" s="24" t="s">
        <v>582</v>
      </c>
      <c r="G20" s="19">
        <v>1</v>
      </c>
      <c r="H20" s="47" t="s">
        <v>583</v>
      </c>
      <c r="I20" s="2"/>
      <c r="J20" s="2"/>
    </row>
    <row r="21" spans="1:15" x14ac:dyDescent="0.25">
      <c r="A21" s="17">
        <f t="shared" si="0"/>
        <v>15</v>
      </c>
      <c r="B21" s="15" t="s">
        <v>585</v>
      </c>
      <c r="C21" s="11" t="s">
        <v>18</v>
      </c>
      <c r="D21" s="9" t="s">
        <v>584</v>
      </c>
      <c r="E21" s="14">
        <v>42596</v>
      </c>
      <c r="F21" s="24" t="s">
        <v>26</v>
      </c>
      <c r="G21" s="19">
        <v>1</v>
      </c>
      <c r="H21" s="47"/>
      <c r="I21" s="2"/>
      <c r="J21" s="2"/>
    </row>
    <row r="22" spans="1:15" x14ac:dyDescent="0.25">
      <c r="A22" s="17">
        <f t="shared" si="0"/>
        <v>16</v>
      </c>
      <c r="B22" s="15" t="s">
        <v>1149</v>
      </c>
      <c r="C22" s="11" t="s">
        <v>18</v>
      </c>
      <c r="D22" s="9" t="s">
        <v>586</v>
      </c>
      <c r="E22" s="14">
        <v>42597</v>
      </c>
      <c r="F22" s="24" t="s">
        <v>598</v>
      </c>
      <c r="G22" s="19">
        <v>1</v>
      </c>
      <c r="H22" s="47" t="s">
        <v>590</v>
      </c>
      <c r="I22" s="2"/>
      <c r="J22" s="2"/>
    </row>
    <row r="23" spans="1:15" x14ac:dyDescent="0.25">
      <c r="A23" s="17">
        <f t="shared" si="0"/>
        <v>17</v>
      </c>
      <c r="B23" s="15" t="s">
        <v>1151</v>
      </c>
      <c r="C23" s="11" t="s">
        <v>18</v>
      </c>
      <c r="D23" s="9" t="s">
        <v>587</v>
      </c>
      <c r="E23" s="14">
        <v>42597</v>
      </c>
      <c r="F23" s="24" t="s">
        <v>599</v>
      </c>
      <c r="G23" s="19">
        <v>1</v>
      </c>
      <c r="H23" s="46" t="s">
        <v>591</v>
      </c>
      <c r="I23" s="2"/>
      <c r="J23" s="2"/>
    </row>
    <row r="24" spans="1:15" x14ac:dyDescent="0.25">
      <c r="A24" s="17">
        <f t="shared" si="0"/>
        <v>18</v>
      </c>
      <c r="B24" s="15" t="s">
        <v>1152</v>
      </c>
      <c r="C24" s="11" t="s">
        <v>18</v>
      </c>
      <c r="D24" s="9" t="s">
        <v>588</v>
      </c>
      <c r="E24" s="14">
        <v>42597</v>
      </c>
      <c r="F24" s="24" t="s">
        <v>600</v>
      </c>
      <c r="G24" s="19">
        <v>1</v>
      </c>
      <c r="H24" s="46" t="s">
        <v>592</v>
      </c>
      <c r="I24" s="2"/>
      <c r="J24" s="2"/>
    </row>
    <row r="25" spans="1:15" x14ac:dyDescent="0.25">
      <c r="A25" s="17">
        <f t="shared" si="0"/>
        <v>19</v>
      </c>
      <c r="B25" s="15" t="s">
        <v>1153</v>
      </c>
      <c r="C25" s="11" t="s">
        <v>18</v>
      </c>
      <c r="D25" s="9" t="s">
        <v>589</v>
      </c>
      <c r="E25" s="14">
        <v>42597</v>
      </c>
      <c r="F25" s="24" t="s">
        <v>601</v>
      </c>
      <c r="G25" s="19">
        <v>1</v>
      </c>
      <c r="H25" s="46" t="s">
        <v>593</v>
      </c>
      <c r="I25" s="2"/>
      <c r="J25" s="2"/>
    </row>
    <row r="26" spans="1:15" x14ac:dyDescent="0.25">
      <c r="A26" s="17">
        <f t="shared" si="0"/>
        <v>20</v>
      </c>
      <c r="B26" s="15" t="s">
        <v>1154</v>
      </c>
      <c r="C26" s="11" t="s">
        <v>18</v>
      </c>
      <c r="D26" s="9" t="s">
        <v>594</v>
      </c>
      <c r="E26" s="14">
        <v>42599</v>
      </c>
      <c r="F26" s="24" t="s">
        <v>597</v>
      </c>
      <c r="G26" s="19">
        <v>1</v>
      </c>
      <c r="H26" s="46" t="s">
        <v>604</v>
      </c>
      <c r="I26" s="2"/>
      <c r="J26" s="2"/>
    </row>
    <row r="27" spans="1:15" x14ac:dyDescent="0.25">
      <c r="A27" s="17">
        <f t="shared" si="0"/>
        <v>21</v>
      </c>
      <c r="B27" s="15" t="s">
        <v>1150</v>
      </c>
      <c r="C27" s="11" t="s">
        <v>18</v>
      </c>
      <c r="D27" s="9" t="s">
        <v>595</v>
      </c>
      <c r="E27" s="14">
        <v>42599</v>
      </c>
      <c r="F27" s="24" t="s">
        <v>602</v>
      </c>
      <c r="G27" s="19">
        <v>1</v>
      </c>
      <c r="H27" s="46" t="s">
        <v>605</v>
      </c>
      <c r="I27" s="2"/>
      <c r="J27" s="2"/>
    </row>
    <row r="28" spans="1:15" x14ac:dyDescent="0.25">
      <c r="A28" s="17">
        <f t="shared" si="0"/>
        <v>22</v>
      </c>
      <c r="B28" s="15" t="s">
        <v>1138</v>
      </c>
      <c r="C28" s="11" t="s">
        <v>18</v>
      </c>
      <c r="D28" s="9" t="s">
        <v>596</v>
      </c>
      <c r="E28" s="14">
        <v>42599</v>
      </c>
      <c r="F28" s="24" t="s">
        <v>603</v>
      </c>
      <c r="G28" s="19">
        <v>1</v>
      </c>
      <c r="H28" s="46" t="s">
        <v>606</v>
      </c>
      <c r="I28" s="2"/>
      <c r="J28" s="2"/>
    </row>
    <row r="29" spans="1:15" x14ac:dyDescent="0.25">
      <c r="A29" s="17">
        <f t="shared" si="0"/>
        <v>23</v>
      </c>
      <c r="B29" s="15" t="s">
        <v>607</v>
      </c>
      <c r="C29" s="11" t="s">
        <v>18</v>
      </c>
      <c r="D29" s="9" t="s">
        <v>608</v>
      </c>
      <c r="E29" s="14">
        <v>42604</v>
      </c>
      <c r="F29" s="24" t="s">
        <v>26</v>
      </c>
      <c r="G29" s="19">
        <v>1</v>
      </c>
      <c r="H29" s="1" t="s">
        <v>72</v>
      </c>
      <c r="I29" s="1"/>
      <c r="J29" s="1"/>
    </row>
    <row r="30" spans="1:15" x14ac:dyDescent="0.25">
      <c r="A30" s="17">
        <f t="shared" si="0"/>
        <v>24</v>
      </c>
      <c r="B30" s="15" t="s">
        <v>1224</v>
      </c>
      <c r="C30" s="11" t="s">
        <v>18</v>
      </c>
      <c r="D30" s="9" t="s">
        <v>611</v>
      </c>
      <c r="E30" s="14">
        <v>42610</v>
      </c>
      <c r="F30" s="24" t="s">
        <v>612</v>
      </c>
      <c r="G30" s="19">
        <v>1</v>
      </c>
      <c r="H30" s="1" t="s">
        <v>613</v>
      </c>
      <c r="I30" s="1"/>
      <c r="J30" s="1"/>
    </row>
    <row r="31" spans="1:15" x14ac:dyDescent="0.25">
      <c r="A31" s="17">
        <f t="shared" si="0"/>
        <v>25</v>
      </c>
      <c r="B31" s="15" t="s">
        <v>1157</v>
      </c>
      <c r="C31" s="11" t="s">
        <v>18</v>
      </c>
      <c r="D31" s="9" t="s">
        <v>617</v>
      </c>
      <c r="E31" s="14">
        <v>42610</v>
      </c>
      <c r="F31" s="24" t="s">
        <v>618</v>
      </c>
      <c r="G31" s="19">
        <v>1</v>
      </c>
      <c r="H31" s="1" t="s">
        <v>619</v>
      </c>
      <c r="I31" s="1"/>
      <c r="J31" s="1"/>
    </row>
    <row r="32" spans="1:15" x14ac:dyDescent="0.25">
      <c r="A32" s="17">
        <f t="shared" si="0"/>
        <v>26</v>
      </c>
      <c r="B32" s="15" t="s">
        <v>609</v>
      </c>
      <c r="C32" s="11" t="s">
        <v>18</v>
      </c>
      <c r="D32" s="9" t="s">
        <v>610</v>
      </c>
      <c r="E32" s="14">
        <v>42610</v>
      </c>
      <c r="F32" s="24" t="s">
        <v>56</v>
      </c>
      <c r="G32" s="19">
        <v>1</v>
      </c>
      <c r="H32" s="1"/>
      <c r="I32" s="1"/>
      <c r="J32" s="1"/>
      <c r="O32" t="s">
        <v>624</v>
      </c>
    </row>
    <row r="33" spans="1:10" x14ac:dyDescent="0.25">
      <c r="A33" s="17">
        <f t="shared" si="0"/>
        <v>27</v>
      </c>
      <c r="B33" s="15" t="s">
        <v>623</v>
      </c>
      <c r="C33" s="11" t="s">
        <v>18</v>
      </c>
      <c r="D33" s="9" t="s">
        <v>620</v>
      </c>
      <c r="E33" s="14">
        <v>42610</v>
      </c>
      <c r="F33" s="24" t="s">
        <v>621</v>
      </c>
      <c r="G33" s="19">
        <v>1</v>
      </c>
      <c r="H33" s="1" t="s">
        <v>622</v>
      </c>
      <c r="I33" s="1"/>
      <c r="J33" s="1"/>
    </row>
    <row r="34" spans="1:10" x14ac:dyDescent="0.25">
      <c r="A34" s="17">
        <f t="shared" si="0"/>
        <v>28</v>
      </c>
      <c r="B34" s="15" t="s">
        <v>1156</v>
      </c>
      <c r="C34" s="11" t="s">
        <v>18</v>
      </c>
      <c r="D34" s="9" t="s">
        <v>614</v>
      </c>
      <c r="E34" s="14">
        <v>42610</v>
      </c>
      <c r="F34" s="24" t="s">
        <v>615</v>
      </c>
      <c r="G34" s="19">
        <v>1</v>
      </c>
      <c r="H34" s="1" t="s">
        <v>616</v>
      </c>
      <c r="I34" s="1"/>
      <c r="J34" s="1"/>
    </row>
    <row r="35" spans="1:10" x14ac:dyDescent="0.25">
      <c r="A35" s="17">
        <f t="shared" si="0"/>
        <v>29</v>
      </c>
      <c r="B35" s="15" t="s">
        <v>626</v>
      </c>
      <c r="C35" s="11" t="s">
        <v>18</v>
      </c>
      <c r="D35" s="9" t="s">
        <v>625</v>
      </c>
      <c r="E35" s="14">
        <v>42612</v>
      </c>
      <c r="F35" s="24" t="s">
        <v>26</v>
      </c>
      <c r="G35" s="19">
        <v>1</v>
      </c>
      <c r="H35" s="1"/>
      <c r="I35" s="1"/>
      <c r="J35" s="1"/>
    </row>
    <row r="36" spans="1:10" x14ac:dyDescent="0.25">
      <c r="A36" s="17">
        <f t="shared" si="0"/>
        <v>30</v>
      </c>
      <c r="B36" s="15" t="s">
        <v>1155</v>
      </c>
      <c r="C36" s="11" t="s">
        <v>18</v>
      </c>
      <c r="D36" s="9" t="s">
        <v>627</v>
      </c>
      <c r="E36" s="14">
        <v>42612</v>
      </c>
      <c r="F36" s="24" t="s">
        <v>628</v>
      </c>
      <c r="G36" s="19">
        <v>1</v>
      </c>
      <c r="H36" s="1" t="s">
        <v>629</v>
      </c>
      <c r="I36" s="1"/>
      <c r="J36" s="1"/>
    </row>
  </sheetData>
  <sortState ref="B30:H34">
    <sortCondition ref="D30:D3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opLeftCell="A15" workbookViewId="0">
      <selection activeCell="D30" sqref="D30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4" max="4" width="13.7109375" bestFit="1" customWidth="1"/>
    <col min="6" max="6" width="15.28515625" customWidth="1"/>
    <col min="7" max="7" width="3" hidden="1" customWidth="1"/>
    <col min="8" max="8" width="24.42578125" bestFit="1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SUMIF(F7:F537,"Elimination*",G7:G537)</f>
        <v>30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SUMIF(F7:F43,"NB*",G7:G43)</f>
        <v>6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SUMIF(F7:F222,"Ve*",G7:G222)</f>
        <v>1</v>
      </c>
    </row>
    <row r="5" spans="1:11" ht="15.75" x14ac:dyDescent="0.25">
      <c r="A5" s="57" t="s">
        <v>630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37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631</v>
      </c>
      <c r="C7" s="11" t="s">
        <v>18</v>
      </c>
      <c r="D7" s="9" t="s">
        <v>632</v>
      </c>
      <c r="E7" s="14">
        <v>42618</v>
      </c>
      <c r="F7" s="24" t="s">
        <v>26</v>
      </c>
      <c r="G7" s="19">
        <v>1</v>
      </c>
      <c r="H7" s="47"/>
      <c r="I7" s="18"/>
      <c r="J7" s="18"/>
      <c r="K7" s="1"/>
    </row>
    <row r="8" spans="1:11" x14ac:dyDescent="0.25">
      <c r="A8" s="17">
        <f>+A7+1</f>
        <v>2</v>
      </c>
      <c r="B8" s="15" t="s">
        <v>634</v>
      </c>
      <c r="C8" s="11" t="s">
        <v>18</v>
      </c>
      <c r="D8" s="9" t="s">
        <v>633</v>
      </c>
      <c r="E8" s="14">
        <v>42619</v>
      </c>
      <c r="F8" s="24" t="s">
        <v>26</v>
      </c>
      <c r="G8" s="19">
        <v>1</v>
      </c>
      <c r="H8" s="47"/>
      <c r="I8" s="18"/>
      <c r="J8" s="18"/>
      <c r="K8" s="1"/>
    </row>
    <row r="9" spans="1:11" x14ac:dyDescent="0.25">
      <c r="A9" s="17">
        <f t="shared" ref="A9:A40" si="0">+A8+1</f>
        <v>3</v>
      </c>
      <c r="B9" s="15" t="s">
        <v>635</v>
      </c>
      <c r="C9" s="11" t="s">
        <v>18</v>
      </c>
      <c r="D9" s="9" t="s">
        <v>636</v>
      </c>
      <c r="E9" s="14">
        <v>42621</v>
      </c>
      <c r="F9" s="24" t="s">
        <v>26</v>
      </c>
      <c r="G9" s="19">
        <v>1</v>
      </c>
      <c r="H9" s="47"/>
      <c r="I9" s="18"/>
      <c r="J9" s="18"/>
      <c r="K9" s="1"/>
    </row>
    <row r="10" spans="1:11" x14ac:dyDescent="0.25">
      <c r="A10" s="17">
        <f t="shared" si="0"/>
        <v>4</v>
      </c>
      <c r="B10" s="15" t="s">
        <v>1160</v>
      </c>
      <c r="C10" s="11" t="s">
        <v>18</v>
      </c>
      <c r="D10" s="9" t="s">
        <v>637</v>
      </c>
      <c r="E10" s="14">
        <v>42621</v>
      </c>
      <c r="F10" s="24" t="s">
        <v>638</v>
      </c>
      <c r="G10" s="19">
        <v>1</v>
      </c>
      <c r="H10" s="47" t="s">
        <v>639</v>
      </c>
      <c r="I10" s="18"/>
      <c r="J10" s="18"/>
      <c r="K10" s="1"/>
    </row>
    <row r="11" spans="1:11" x14ac:dyDescent="0.25">
      <c r="A11" s="17">
        <f t="shared" si="0"/>
        <v>5</v>
      </c>
      <c r="B11" s="15" t="s">
        <v>640</v>
      </c>
      <c r="C11" s="11" t="s">
        <v>18</v>
      </c>
      <c r="D11" s="9" t="s">
        <v>641</v>
      </c>
      <c r="E11" s="14">
        <v>42628</v>
      </c>
      <c r="F11" s="24" t="s">
        <v>26</v>
      </c>
      <c r="G11" s="19">
        <v>1</v>
      </c>
      <c r="H11" s="47"/>
      <c r="I11" s="18"/>
      <c r="J11" s="18"/>
      <c r="K11" s="1"/>
    </row>
    <row r="12" spans="1:11" x14ac:dyDescent="0.25">
      <c r="A12" s="17">
        <f t="shared" si="0"/>
        <v>6</v>
      </c>
      <c r="B12" s="15" t="s">
        <v>1161</v>
      </c>
      <c r="C12" s="11" t="s">
        <v>18</v>
      </c>
      <c r="D12" s="9" t="s">
        <v>642</v>
      </c>
      <c r="E12" s="14">
        <v>42632</v>
      </c>
      <c r="F12" s="24" t="s">
        <v>643</v>
      </c>
      <c r="G12" s="19">
        <v>1</v>
      </c>
      <c r="H12" s="47" t="s">
        <v>644</v>
      </c>
      <c r="I12" s="2"/>
      <c r="J12" s="2"/>
      <c r="K12" s="1"/>
    </row>
    <row r="13" spans="1:11" x14ac:dyDescent="0.25">
      <c r="A13" s="17">
        <f t="shared" si="0"/>
        <v>7</v>
      </c>
      <c r="B13" s="15" t="s">
        <v>1225</v>
      </c>
      <c r="C13" s="11" t="s">
        <v>18</v>
      </c>
      <c r="D13" s="9" t="s">
        <v>647</v>
      </c>
      <c r="E13" s="14">
        <v>42633</v>
      </c>
      <c r="F13" s="24" t="s">
        <v>648</v>
      </c>
      <c r="G13" s="19">
        <v>1</v>
      </c>
      <c r="H13" s="47" t="s">
        <v>649</v>
      </c>
      <c r="I13" s="2"/>
      <c r="J13" s="2"/>
      <c r="K13" s="1"/>
    </row>
    <row r="14" spans="1:11" x14ac:dyDescent="0.25">
      <c r="A14" s="17">
        <f t="shared" si="0"/>
        <v>8</v>
      </c>
      <c r="B14" s="15" t="s">
        <v>645</v>
      </c>
      <c r="C14" s="11" t="s">
        <v>18</v>
      </c>
      <c r="D14" s="9" t="s">
        <v>646</v>
      </c>
      <c r="E14" s="14">
        <v>42633</v>
      </c>
      <c r="F14" s="24" t="s">
        <v>26</v>
      </c>
      <c r="G14" s="19">
        <v>1</v>
      </c>
      <c r="H14" s="47"/>
      <c r="I14" s="2"/>
      <c r="J14" s="2"/>
      <c r="K14" s="1"/>
    </row>
    <row r="15" spans="1:11" x14ac:dyDescent="0.25">
      <c r="A15" s="17">
        <f t="shared" si="0"/>
        <v>9</v>
      </c>
      <c r="B15" s="15" t="s">
        <v>1162</v>
      </c>
      <c r="C15" s="11" t="s">
        <v>18</v>
      </c>
      <c r="D15" s="9" t="s">
        <v>650</v>
      </c>
      <c r="E15" s="14">
        <v>42634</v>
      </c>
      <c r="F15" s="24" t="s">
        <v>652</v>
      </c>
      <c r="G15" s="19">
        <v>1</v>
      </c>
      <c r="H15" s="47" t="s">
        <v>653</v>
      </c>
      <c r="I15" s="2"/>
      <c r="J15" s="2"/>
    </row>
    <row r="16" spans="1:11" ht="15" customHeight="1" x14ac:dyDescent="0.25">
      <c r="A16" s="17">
        <f t="shared" si="0"/>
        <v>10</v>
      </c>
      <c r="B16" s="15" t="s">
        <v>1163</v>
      </c>
      <c r="C16" s="11" t="s">
        <v>18</v>
      </c>
      <c r="D16" s="9" t="s">
        <v>651</v>
      </c>
      <c r="E16" s="14">
        <v>42634</v>
      </c>
      <c r="F16" s="24" t="s">
        <v>654</v>
      </c>
      <c r="G16" s="19">
        <v>1</v>
      </c>
      <c r="H16" s="47" t="s">
        <v>655</v>
      </c>
      <c r="I16" s="2"/>
      <c r="J16" s="2"/>
    </row>
    <row r="17" spans="1:10" ht="15" customHeight="1" x14ac:dyDescent="0.25">
      <c r="A17" s="17">
        <f t="shared" si="0"/>
        <v>11</v>
      </c>
      <c r="B17" s="15" t="s">
        <v>1234</v>
      </c>
      <c r="C17" s="11" t="s">
        <v>18</v>
      </c>
      <c r="D17" s="9" t="s">
        <v>658</v>
      </c>
      <c r="E17" s="14">
        <v>42638</v>
      </c>
      <c r="F17" s="24" t="s">
        <v>56</v>
      </c>
      <c r="G17" s="19">
        <v>1</v>
      </c>
      <c r="H17" s="47" t="s">
        <v>656</v>
      </c>
      <c r="I17" s="2"/>
      <c r="J17" s="2"/>
    </row>
    <row r="18" spans="1:10" ht="15" customHeight="1" x14ac:dyDescent="0.25">
      <c r="A18" s="17">
        <f t="shared" si="0"/>
        <v>12</v>
      </c>
      <c r="B18" s="15" t="s">
        <v>657</v>
      </c>
      <c r="C18" s="11" t="s">
        <v>18</v>
      </c>
      <c r="D18" s="9" t="s">
        <v>659</v>
      </c>
      <c r="E18" s="14">
        <v>42640</v>
      </c>
      <c r="F18" s="24" t="s">
        <v>26</v>
      </c>
      <c r="G18" s="19">
        <v>1</v>
      </c>
      <c r="H18" s="47"/>
      <c r="I18" s="2"/>
      <c r="J18" s="2"/>
    </row>
    <row r="19" spans="1:10" ht="15" customHeight="1" x14ac:dyDescent="0.25">
      <c r="A19" s="17">
        <f t="shared" si="0"/>
        <v>13</v>
      </c>
      <c r="B19" s="15" t="s">
        <v>660</v>
      </c>
      <c r="C19" s="11" t="s">
        <v>18</v>
      </c>
      <c r="D19" s="9" t="s">
        <v>661</v>
      </c>
      <c r="E19" s="14">
        <v>42642</v>
      </c>
      <c r="F19" s="24" t="s">
        <v>26</v>
      </c>
      <c r="G19" s="19">
        <v>1</v>
      </c>
      <c r="H19" s="47"/>
      <c r="I19" s="2"/>
      <c r="J19" s="2"/>
    </row>
    <row r="20" spans="1:10" x14ac:dyDescent="0.25">
      <c r="A20" s="17">
        <f t="shared" si="0"/>
        <v>14</v>
      </c>
      <c r="B20" s="15" t="s">
        <v>662</v>
      </c>
      <c r="C20" s="11" t="s">
        <v>18</v>
      </c>
      <c r="D20" s="9" t="s">
        <v>668</v>
      </c>
      <c r="E20" s="14">
        <v>42642</v>
      </c>
      <c r="F20" s="24" t="s">
        <v>26</v>
      </c>
      <c r="G20" s="19">
        <v>1</v>
      </c>
      <c r="H20" s="47"/>
      <c r="I20" s="2"/>
      <c r="J20" s="2"/>
    </row>
    <row r="21" spans="1:10" x14ac:dyDescent="0.25">
      <c r="A21" s="17">
        <f t="shared" si="0"/>
        <v>15</v>
      </c>
      <c r="B21" s="15" t="s">
        <v>663</v>
      </c>
      <c r="C21" s="11" t="s">
        <v>28</v>
      </c>
      <c r="D21" s="9" t="s">
        <v>664</v>
      </c>
      <c r="E21" s="14">
        <v>42642</v>
      </c>
      <c r="F21" s="24" t="s">
        <v>26</v>
      </c>
      <c r="G21" s="19">
        <v>1</v>
      </c>
      <c r="H21" s="47"/>
      <c r="I21" s="2"/>
      <c r="J21" s="2"/>
    </row>
    <row r="22" spans="1:10" x14ac:dyDescent="0.25">
      <c r="A22" s="17">
        <f t="shared" si="0"/>
        <v>16</v>
      </c>
      <c r="B22" s="15" t="s">
        <v>665</v>
      </c>
      <c r="C22" s="11">
        <v>30</v>
      </c>
      <c r="D22" s="9" t="s">
        <v>666</v>
      </c>
      <c r="E22" s="14">
        <v>42642</v>
      </c>
      <c r="F22" s="24" t="s">
        <v>26</v>
      </c>
      <c r="G22" s="19">
        <v>1</v>
      </c>
      <c r="H22" s="47"/>
      <c r="I22" s="2"/>
      <c r="J22" s="2"/>
    </row>
    <row r="23" spans="1:10" x14ac:dyDescent="0.25">
      <c r="A23" s="17">
        <f t="shared" si="0"/>
        <v>17</v>
      </c>
      <c r="B23" s="15" t="s">
        <v>1165</v>
      </c>
      <c r="C23" s="11" t="s">
        <v>18</v>
      </c>
      <c r="D23" s="9" t="s">
        <v>667</v>
      </c>
      <c r="E23" s="14">
        <v>42642</v>
      </c>
      <c r="F23" s="24" t="s">
        <v>669</v>
      </c>
      <c r="G23" s="19">
        <v>1</v>
      </c>
      <c r="H23" s="46" t="s">
        <v>1164</v>
      </c>
      <c r="I23" s="2"/>
      <c r="J23" s="2"/>
    </row>
    <row r="24" spans="1:10" x14ac:dyDescent="0.25">
      <c r="A24" s="17">
        <f t="shared" si="0"/>
        <v>18</v>
      </c>
      <c r="B24" s="15" t="s">
        <v>681</v>
      </c>
      <c r="C24" s="15" t="s">
        <v>18</v>
      </c>
      <c r="D24" s="9">
        <v>2016067514</v>
      </c>
      <c r="E24" s="51">
        <v>42628</v>
      </c>
      <c r="F24" s="24" t="s">
        <v>26</v>
      </c>
      <c r="G24" s="19">
        <v>1</v>
      </c>
    </row>
    <row r="25" spans="1:10" x14ac:dyDescent="0.25">
      <c r="A25" s="17">
        <f t="shared" si="0"/>
        <v>19</v>
      </c>
      <c r="B25" s="15" t="s">
        <v>691</v>
      </c>
      <c r="C25" s="15" t="s">
        <v>18</v>
      </c>
      <c r="D25" s="9">
        <v>2016211481</v>
      </c>
      <c r="E25" s="51">
        <v>42628</v>
      </c>
      <c r="F25" s="24" t="s">
        <v>26</v>
      </c>
      <c r="G25" s="19">
        <v>1</v>
      </c>
    </row>
    <row r="26" spans="1:10" x14ac:dyDescent="0.25">
      <c r="A26" s="17">
        <f t="shared" si="0"/>
        <v>20</v>
      </c>
      <c r="B26" s="15" t="s">
        <v>690</v>
      </c>
      <c r="C26" s="15" t="s">
        <v>18</v>
      </c>
      <c r="D26" s="9">
        <v>2016211482</v>
      </c>
      <c r="E26" s="51">
        <v>42633</v>
      </c>
      <c r="F26" s="24" t="s">
        <v>26</v>
      </c>
      <c r="G26" s="19">
        <v>1</v>
      </c>
    </row>
    <row r="27" spans="1:10" x14ac:dyDescent="0.25">
      <c r="A27" s="17">
        <f t="shared" si="0"/>
        <v>21</v>
      </c>
      <c r="B27" s="15" t="s">
        <v>686</v>
      </c>
      <c r="C27" s="15" t="s">
        <v>18</v>
      </c>
      <c r="D27" s="9">
        <v>2016211483</v>
      </c>
      <c r="E27" s="51">
        <v>42633</v>
      </c>
      <c r="F27" s="24" t="s">
        <v>26</v>
      </c>
      <c r="G27" s="19">
        <v>1</v>
      </c>
    </row>
    <row r="28" spans="1:10" x14ac:dyDescent="0.25">
      <c r="A28" s="17">
        <f t="shared" si="0"/>
        <v>22</v>
      </c>
      <c r="B28" s="15" t="s">
        <v>687</v>
      </c>
      <c r="C28" s="15" t="s">
        <v>18</v>
      </c>
      <c r="D28" s="9">
        <v>2016211484</v>
      </c>
      <c r="E28" s="51">
        <v>42633</v>
      </c>
      <c r="F28" s="24" t="s">
        <v>26</v>
      </c>
      <c r="G28" s="19">
        <v>1</v>
      </c>
    </row>
    <row r="29" spans="1:10" x14ac:dyDescent="0.25">
      <c r="A29" s="17">
        <f t="shared" si="0"/>
        <v>23</v>
      </c>
      <c r="B29" s="15" t="s">
        <v>689</v>
      </c>
      <c r="C29" s="15" t="s">
        <v>18</v>
      </c>
      <c r="D29" s="9">
        <v>2016211485</v>
      </c>
      <c r="E29" s="51">
        <v>42633</v>
      </c>
      <c r="F29" s="24" t="s">
        <v>26</v>
      </c>
      <c r="G29" s="19">
        <v>1</v>
      </c>
    </row>
    <row r="30" spans="1:10" x14ac:dyDescent="0.25">
      <c r="A30" s="17">
        <f t="shared" si="0"/>
        <v>24</v>
      </c>
      <c r="B30" s="15" t="s">
        <v>709</v>
      </c>
      <c r="C30" s="15" t="s">
        <v>18</v>
      </c>
      <c r="D30" s="48" t="s">
        <v>1236</v>
      </c>
      <c r="E30" s="51">
        <v>42633</v>
      </c>
      <c r="F30" s="49" t="s">
        <v>26</v>
      </c>
      <c r="G30" s="50">
        <v>1</v>
      </c>
    </row>
    <row r="31" spans="1:10" x14ac:dyDescent="0.25">
      <c r="A31" s="17">
        <f t="shared" si="0"/>
        <v>25</v>
      </c>
      <c r="B31" s="15" t="s">
        <v>688</v>
      </c>
      <c r="C31" s="15" t="s">
        <v>18</v>
      </c>
      <c r="D31" s="9" t="s">
        <v>692</v>
      </c>
      <c r="E31" s="51">
        <v>42633</v>
      </c>
      <c r="F31" s="24" t="s">
        <v>26</v>
      </c>
      <c r="G31" s="19">
        <v>1</v>
      </c>
    </row>
    <row r="32" spans="1:10" x14ac:dyDescent="0.25">
      <c r="A32" s="17">
        <f t="shared" si="0"/>
        <v>26</v>
      </c>
      <c r="B32" s="15" t="s">
        <v>685</v>
      </c>
      <c r="C32" s="15" t="s">
        <v>18</v>
      </c>
      <c r="D32" s="9">
        <v>2016211488</v>
      </c>
      <c r="E32" s="51">
        <v>42633</v>
      </c>
      <c r="F32" s="24" t="s">
        <v>26</v>
      </c>
      <c r="G32" s="19">
        <v>1</v>
      </c>
    </row>
    <row r="33" spans="1:7" x14ac:dyDescent="0.25">
      <c r="A33" s="17">
        <f t="shared" si="0"/>
        <v>27</v>
      </c>
      <c r="B33" s="15" t="s">
        <v>701</v>
      </c>
      <c r="C33" s="15" t="s">
        <v>18</v>
      </c>
      <c r="D33" s="48" t="s">
        <v>700</v>
      </c>
      <c r="E33" s="51">
        <v>42633</v>
      </c>
      <c r="F33" s="24" t="s">
        <v>26</v>
      </c>
      <c r="G33" s="19">
        <v>1</v>
      </c>
    </row>
    <row r="34" spans="1:7" x14ac:dyDescent="0.25">
      <c r="A34" s="17">
        <f t="shared" si="0"/>
        <v>28</v>
      </c>
      <c r="B34" s="15" t="s">
        <v>705</v>
      </c>
      <c r="C34" s="15" t="s">
        <v>18</v>
      </c>
      <c r="D34" s="48" t="s">
        <v>704</v>
      </c>
      <c r="E34" s="51">
        <v>42640</v>
      </c>
      <c r="F34" s="24" t="s">
        <v>26</v>
      </c>
      <c r="G34" s="19">
        <v>1</v>
      </c>
    </row>
    <row r="35" spans="1:7" x14ac:dyDescent="0.25">
      <c r="A35" s="17">
        <f t="shared" si="0"/>
        <v>29</v>
      </c>
      <c r="B35" s="15" t="s">
        <v>695</v>
      </c>
      <c r="C35" s="15" t="s">
        <v>18</v>
      </c>
      <c r="D35" s="48" t="s">
        <v>694</v>
      </c>
      <c r="E35" s="51">
        <v>42640</v>
      </c>
      <c r="F35" s="24" t="s">
        <v>26</v>
      </c>
      <c r="G35" s="19">
        <v>1</v>
      </c>
    </row>
    <row r="36" spans="1:7" x14ac:dyDescent="0.25">
      <c r="A36" s="17">
        <f t="shared" si="0"/>
        <v>30</v>
      </c>
      <c r="B36" s="15" t="s">
        <v>706</v>
      </c>
      <c r="C36" s="15" t="s">
        <v>18</v>
      </c>
      <c r="D36" s="48" t="s">
        <v>735</v>
      </c>
      <c r="E36" s="51">
        <v>42640</v>
      </c>
      <c r="F36" s="24" t="s">
        <v>26</v>
      </c>
      <c r="G36" s="19">
        <v>1</v>
      </c>
    </row>
    <row r="37" spans="1:7" x14ac:dyDescent="0.25">
      <c r="A37" s="17">
        <f t="shared" si="0"/>
        <v>31</v>
      </c>
      <c r="B37" s="15" t="s">
        <v>699</v>
      </c>
      <c r="C37" s="15" t="s">
        <v>18</v>
      </c>
      <c r="D37" s="48" t="s">
        <v>698</v>
      </c>
      <c r="E37" s="51">
        <v>42640</v>
      </c>
      <c r="F37" s="24" t="s">
        <v>26</v>
      </c>
      <c r="G37" s="19">
        <v>1</v>
      </c>
    </row>
    <row r="38" spans="1:7" x14ac:dyDescent="0.25">
      <c r="A38" s="17">
        <f t="shared" si="0"/>
        <v>32</v>
      </c>
      <c r="B38" s="15" t="s">
        <v>693</v>
      </c>
      <c r="C38" s="15" t="s">
        <v>18</v>
      </c>
      <c r="D38" s="48">
        <v>2016067516</v>
      </c>
      <c r="E38" s="51">
        <v>42642</v>
      </c>
      <c r="F38" s="24" t="s">
        <v>26</v>
      </c>
      <c r="G38" s="19">
        <v>1</v>
      </c>
    </row>
    <row r="39" spans="1:7" x14ac:dyDescent="0.25">
      <c r="A39" s="17">
        <f t="shared" si="0"/>
        <v>33</v>
      </c>
      <c r="B39" s="15" t="s">
        <v>703</v>
      </c>
      <c r="C39" s="15" t="s">
        <v>18</v>
      </c>
      <c r="D39" s="48" t="s">
        <v>702</v>
      </c>
      <c r="E39" s="51">
        <v>42642</v>
      </c>
      <c r="F39" s="24" t="s">
        <v>26</v>
      </c>
      <c r="G39" s="19">
        <v>1</v>
      </c>
    </row>
    <row r="40" spans="1:7" x14ac:dyDescent="0.25">
      <c r="A40" s="17">
        <f t="shared" si="0"/>
        <v>34</v>
      </c>
      <c r="B40" s="15" t="s">
        <v>697</v>
      </c>
      <c r="C40" s="15" t="s">
        <v>18</v>
      </c>
      <c r="D40" s="48" t="s">
        <v>696</v>
      </c>
      <c r="E40" s="51">
        <v>42642</v>
      </c>
      <c r="F40" s="24" t="s">
        <v>26</v>
      </c>
      <c r="G40" s="19">
        <v>1</v>
      </c>
    </row>
    <row r="41" spans="1:7" x14ac:dyDescent="0.25">
      <c r="A41" s="17">
        <f>+A40+1</f>
        <v>35</v>
      </c>
      <c r="B41" s="15" t="s">
        <v>708</v>
      </c>
      <c r="C41" s="15" t="s">
        <v>18</v>
      </c>
      <c r="D41" s="48" t="s">
        <v>707</v>
      </c>
      <c r="E41" s="51">
        <v>42642</v>
      </c>
      <c r="F41" s="24" t="s">
        <v>26</v>
      </c>
      <c r="G41" s="19">
        <v>1</v>
      </c>
    </row>
    <row r="42" spans="1:7" x14ac:dyDescent="0.25">
      <c r="A42" s="17">
        <f t="shared" ref="A42:A43" si="1">+A41+1</f>
        <v>36</v>
      </c>
      <c r="B42" s="15" t="s">
        <v>711</v>
      </c>
      <c r="C42" s="15" t="s">
        <v>18</v>
      </c>
      <c r="D42" s="48" t="s">
        <v>1238</v>
      </c>
      <c r="E42" s="51">
        <v>42642</v>
      </c>
      <c r="F42" s="49" t="s">
        <v>26</v>
      </c>
      <c r="G42" s="19">
        <v>1</v>
      </c>
    </row>
    <row r="43" spans="1:7" x14ac:dyDescent="0.25">
      <c r="A43" s="17">
        <f t="shared" si="1"/>
        <v>37</v>
      </c>
      <c r="B43" s="15" t="s">
        <v>710</v>
      </c>
      <c r="C43" s="15" t="s">
        <v>18</v>
      </c>
      <c r="D43" s="48">
        <v>2016211486</v>
      </c>
      <c r="E43" s="51">
        <v>42642</v>
      </c>
      <c r="F43" s="49" t="s">
        <v>26</v>
      </c>
      <c r="G43" s="19">
        <v>1</v>
      </c>
    </row>
    <row r="45" spans="1:7" x14ac:dyDescent="0.25">
      <c r="B45" s="32"/>
      <c r="C45" s="32"/>
      <c r="D45" s="33"/>
    </row>
  </sheetData>
  <sortState ref="B45:G54">
    <sortCondition ref="D45:D5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opLeftCell="A28" workbookViewId="0">
      <selection activeCell="D13" sqref="D13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4" max="4" width="13.7109375" bestFit="1" customWidth="1"/>
    <col min="6" max="6" width="14.140625" bestFit="1" customWidth="1"/>
    <col min="7" max="7" width="3.85546875" hidden="1" customWidth="1"/>
    <col min="8" max="8" width="24.42578125" bestFit="1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SUMIF(F7:F90,"Elimination*",G7:G90)</f>
        <v>23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SUMIF(F7:F90,"NB*",G7:G90)</f>
        <v>15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SUMIF(F7:F270,"Ve*",G7:G270)</f>
        <v>1</v>
      </c>
    </row>
    <row r="5" spans="1:11" ht="15.75" x14ac:dyDescent="0.25">
      <c r="A5" s="57" t="s">
        <v>672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39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1166</v>
      </c>
      <c r="C7" s="11" t="s">
        <v>18</v>
      </c>
      <c r="D7" s="9" t="s">
        <v>670</v>
      </c>
      <c r="E7" s="14">
        <v>42647</v>
      </c>
      <c r="F7" s="24" t="s">
        <v>673</v>
      </c>
      <c r="G7" s="19">
        <v>1</v>
      </c>
      <c r="H7" s="47" t="s">
        <v>674</v>
      </c>
      <c r="I7" s="18"/>
      <c r="J7" s="18"/>
      <c r="K7" s="1"/>
    </row>
    <row r="8" spans="1:11" x14ac:dyDescent="0.25">
      <c r="A8" s="17">
        <f>+A7+1</f>
        <v>2</v>
      </c>
      <c r="B8" s="15" t="s">
        <v>1167</v>
      </c>
      <c r="C8" s="11" t="s">
        <v>18</v>
      </c>
      <c r="D8" s="9" t="s">
        <v>671</v>
      </c>
      <c r="E8" s="14">
        <v>42647</v>
      </c>
      <c r="F8" s="24" t="s">
        <v>753</v>
      </c>
      <c r="G8" s="19">
        <v>1</v>
      </c>
      <c r="H8" s="47" t="s">
        <v>754</v>
      </c>
      <c r="I8" s="18"/>
      <c r="J8" s="18"/>
      <c r="K8" s="1"/>
    </row>
    <row r="9" spans="1:11" x14ac:dyDescent="0.25">
      <c r="A9" s="17">
        <f t="shared" ref="A9:A44" si="0">+A8+1</f>
        <v>3</v>
      </c>
      <c r="B9" s="15" t="s">
        <v>1168</v>
      </c>
      <c r="C9" s="11" t="s">
        <v>18</v>
      </c>
      <c r="D9" s="9" t="s">
        <v>675</v>
      </c>
      <c r="E9" s="14">
        <v>42648</v>
      </c>
      <c r="F9" s="24" t="s">
        <v>676</v>
      </c>
      <c r="G9" s="19">
        <v>1</v>
      </c>
      <c r="H9" s="47" t="s">
        <v>677</v>
      </c>
      <c r="I9" s="18"/>
      <c r="J9" s="18"/>
      <c r="K9" s="1"/>
    </row>
    <row r="10" spans="1:11" x14ac:dyDescent="0.25">
      <c r="A10" s="17">
        <f t="shared" si="0"/>
        <v>4</v>
      </c>
      <c r="B10" s="15" t="s">
        <v>1169</v>
      </c>
      <c r="C10" s="11" t="s">
        <v>18</v>
      </c>
      <c r="D10" s="9" t="s">
        <v>678</v>
      </c>
      <c r="E10" s="14">
        <v>42649</v>
      </c>
      <c r="F10" s="24" t="s">
        <v>679</v>
      </c>
      <c r="G10" s="19">
        <v>1</v>
      </c>
      <c r="H10" s="47" t="s">
        <v>680</v>
      </c>
      <c r="I10" s="18"/>
      <c r="J10" s="18"/>
      <c r="K10" s="1"/>
    </row>
    <row r="11" spans="1:11" x14ac:dyDescent="0.25">
      <c r="A11" s="17">
        <f t="shared" si="0"/>
        <v>5</v>
      </c>
      <c r="B11" s="15" t="s">
        <v>1170</v>
      </c>
      <c r="C11" s="11" t="s">
        <v>28</v>
      </c>
      <c r="D11" s="9" t="s">
        <v>682</v>
      </c>
      <c r="E11" s="14">
        <v>42652</v>
      </c>
      <c r="F11" s="24" t="s">
        <v>683</v>
      </c>
      <c r="G11" s="19">
        <v>1</v>
      </c>
      <c r="H11" s="47" t="s">
        <v>684</v>
      </c>
      <c r="I11" s="18"/>
      <c r="J11" s="18"/>
      <c r="K11" s="1"/>
    </row>
    <row r="12" spans="1:11" x14ac:dyDescent="0.25">
      <c r="A12" s="17">
        <f t="shared" si="0"/>
        <v>6</v>
      </c>
      <c r="B12" s="15" t="s">
        <v>117</v>
      </c>
      <c r="C12" s="15" t="s">
        <v>18</v>
      </c>
      <c r="D12" s="48" t="s">
        <v>1237</v>
      </c>
      <c r="E12" s="14">
        <v>42652</v>
      </c>
      <c r="F12" s="49" t="s">
        <v>135</v>
      </c>
      <c r="G12" s="19">
        <v>1</v>
      </c>
      <c r="H12" s="47" t="s">
        <v>793</v>
      </c>
      <c r="I12" s="2"/>
      <c r="J12" s="2"/>
      <c r="K12" s="1"/>
    </row>
    <row r="13" spans="1:11" x14ac:dyDescent="0.25">
      <c r="A13" s="17">
        <f t="shared" si="0"/>
        <v>7</v>
      </c>
      <c r="B13" s="15" t="s">
        <v>712</v>
      </c>
      <c r="C13" s="15" t="s">
        <v>18</v>
      </c>
      <c r="D13" s="48" t="s">
        <v>1239</v>
      </c>
      <c r="E13" s="14">
        <v>42652</v>
      </c>
      <c r="F13" s="49" t="s">
        <v>26</v>
      </c>
      <c r="G13" s="19">
        <v>1</v>
      </c>
      <c r="H13" s="47"/>
      <c r="I13" s="2"/>
      <c r="J13" s="2"/>
      <c r="K13" s="1"/>
    </row>
    <row r="14" spans="1:11" x14ac:dyDescent="0.25">
      <c r="A14" s="17">
        <f t="shared" si="0"/>
        <v>8</v>
      </c>
      <c r="B14" s="15" t="s">
        <v>718</v>
      </c>
      <c r="C14" s="15" t="s">
        <v>18</v>
      </c>
      <c r="D14" s="48" t="s">
        <v>717</v>
      </c>
      <c r="E14" s="14">
        <v>42652</v>
      </c>
      <c r="F14" s="49" t="s">
        <v>26</v>
      </c>
      <c r="G14" s="19">
        <v>1</v>
      </c>
      <c r="H14" s="47"/>
      <c r="I14" s="2"/>
      <c r="J14" s="2"/>
      <c r="K14" s="1"/>
    </row>
    <row r="15" spans="1:11" x14ac:dyDescent="0.25">
      <c r="A15" s="17">
        <f t="shared" si="0"/>
        <v>9</v>
      </c>
      <c r="B15" s="15" t="s">
        <v>726</v>
      </c>
      <c r="C15" s="15" t="s">
        <v>18</v>
      </c>
      <c r="D15" s="48" t="s">
        <v>725</v>
      </c>
      <c r="E15" s="14">
        <v>42652</v>
      </c>
      <c r="F15" s="49" t="s">
        <v>26</v>
      </c>
      <c r="G15" s="19">
        <v>1</v>
      </c>
      <c r="H15" s="47"/>
      <c r="I15" s="2"/>
      <c r="J15" s="2"/>
    </row>
    <row r="16" spans="1:11" ht="15" customHeight="1" x14ac:dyDescent="0.25">
      <c r="A16" s="17">
        <f t="shared" si="0"/>
        <v>10</v>
      </c>
      <c r="B16" s="15" t="s">
        <v>722</v>
      </c>
      <c r="C16" s="15" t="s">
        <v>18</v>
      </c>
      <c r="D16" s="48" t="s">
        <v>721</v>
      </c>
      <c r="E16" s="14">
        <v>42652</v>
      </c>
      <c r="F16" s="49" t="s">
        <v>26</v>
      </c>
      <c r="G16" s="19">
        <v>1</v>
      </c>
      <c r="H16" s="47"/>
      <c r="I16" s="2"/>
      <c r="J16" s="2"/>
    </row>
    <row r="17" spans="1:15" ht="15" customHeight="1" x14ac:dyDescent="0.25">
      <c r="A17" s="17">
        <f t="shared" si="0"/>
        <v>11</v>
      </c>
      <c r="B17" s="15" t="s">
        <v>715</v>
      </c>
      <c r="C17" s="15" t="s">
        <v>18</v>
      </c>
      <c r="D17" s="48" t="s">
        <v>716</v>
      </c>
      <c r="E17" s="14">
        <v>42652</v>
      </c>
      <c r="F17" s="49" t="s">
        <v>26</v>
      </c>
      <c r="G17" s="19">
        <v>1</v>
      </c>
      <c r="H17" s="47"/>
      <c r="I17" s="2"/>
      <c r="J17" s="2"/>
    </row>
    <row r="18" spans="1:15" ht="15" customHeight="1" x14ac:dyDescent="0.25">
      <c r="A18" s="17">
        <f t="shared" si="0"/>
        <v>12</v>
      </c>
      <c r="B18" s="15" t="s">
        <v>724</v>
      </c>
      <c r="C18" s="15" t="s">
        <v>18</v>
      </c>
      <c r="D18" s="48" t="s">
        <v>723</v>
      </c>
      <c r="E18" s="14">
        <v>42653</v>
      </c>
      <c r="F18" s="49" t="s">
        <v>26</v>
      </c>
      <c r="G18" s="19">
        <v>1</v>
      </c>
      <c r="H18" s="47"/>
      <c r="I18" s="2"/>
      <c r="J18" s="2"/>
    </row>
    <row r="19" spans="1:15" ht="15" customHeight="1" x14ac:dyDescent="0.25">
      <c r="A19" s="17">
        <f t="shared" si="0"/>
        <v>13</v>
      </c>
      <c r="B19" s="15" t="s">
        <v>730</v>
      </c>
      <c r="C19" s="15" t="s">
        <v>18</v>
      </c>
      <c r="D19" s="48" t="s">
        <v>727</v>
      </c>
      <c r="E19" s="14">
        <v>42653</v>
      </c>
      <c r="F19" s="49" t="s">
        <v>26</v>
      </c>
      <c r="G19" s="19">
        <v>1</v>
      </c>
      <c r="H19" s="47"/>
      <c r="I19" s="2"/>
      <c r="J19" s="2"/>
    </row>
    <row r="20" spans="1:15" x14ac:dyDescent="0.25">
      <c r="A20" s="17">
        <f t="shared" si="0"/>
        <v>14</v>
      </c>
      <c r="B20" s="15" t="s">
        <v>713</v>
      </c>
      <c r="C20" s="15" t="s">
        <v>18</v>
      </c>
      <c r="D20" s="48" t="s">
        <v>714</v>
      </c>
      <c r="E20" s="14">
        <v>42653</v>
      </c>
      <c r="F20" s="49" t="s">
        <v>26</v>
      </c>
      <c r="G20" s="19">
        <v>1</v>
      </c>
      <c r="H20" s="47"/>
      <c r="I20" s="2"/>
      <c r="J20" s="2"/>
    </row>
    <row r="21" spans="1:15" x14ac:dyDescent="0.25">
      <c r="A21" s="17">
        <f t="shared" si="0"/>
        <v>15</v>
      </c>
      <c r="B21" s="15" t="s">
        <v>728</v>
      </c>
      <c r="C21" s="15" t="s">
        <v>18</v>
      </c>
      <c r="D21" s="48" t="s">
        <v>729</v>
      </c>
      <c r="E21" s="14">
        <v>42653</v>
      </c>
      <c r="F21" s="49" t="s">
        <v>26</v>
      </c>
      <c r="G21" s="19">
        <v>1</v>
      </c>
      <c r="H21" s="47"/>
      <c r="I21" s="2"/>
      <c r="J21" s="2"/>
    </row>
    <row r="22" spans="1:15" x14ac:dyDescent="0.25">
      <c r="A22" s="17">
        <f t="shared" si="0"/>
        <v>16</v>
      </c>
      <c r="B22" s="15" t="s">
        <v>720</v>
      </c>
      <c r="C22" s="15" t="s">
        <v>18</v>
      </c>
      <c r="D22" s="48" t="s">
        <v>719</v>
      </c>
      <c r="E22" s="14">
        <v>42653</v>
      </c>
      <c r="F22" s="49" t="s">
        <v>26</v>
      </c>
      <c r="G22" s="19">
        <v>1</v>
      </c>
      <c r="H22" s="47"/>
      <c r="I22" s="2"/>
      <c r="J22" s="2"/>
    </row>
    <row r="23" spans="1:15" x14ac:dyDescent="0.25">
      <c r="A23" s="17">
        <f t="shared" si="0"/>
        <v>17</v>
      </c>
      <c r="B23" s="15" t="s">
        <v>731</v>
      </c>
      <c r="C23" s="15" t="s">
        <v>18</v>
      </c>
      <c r="D23" s="48" t="s">
        <v>732</v>
      </c>
      <c r="E23" s="14">
        <v>42653</v>
      </c>
      <c r="F23" s="49" t="s">
        <v>26</v>
      </c>
      <c r="G23" s="19">
        <v>1</v>
      </c>
      <c r="H23" s="46"/>
      <c r="I23" s="2"/>
      <c r="J23" s="2"/>
    </row>
    <row r="24" spans="1:15" x14ac:dyDescent="0.25">
      <c r="A24" s="17">
        <f t="shared" si="0"/>
        <v>18</v>
      </c>
      <c r="B24" s="15" t="s">
        <v>733</v>
      </c>
      <c r="C24" s="15" t="s">
        <v>28</v>
      </c>
      <c r="D24" s="48" t="s">
        <v>734</v>
      </c>
      <c r="E24" s="14">
        <v>42653</v>
      </c>
      <c r="F24" s="49" t="s">
        <v>26</v>
      </c>
      <c r="G24" s="19">
        <v>1</v>
      </c>
      <c r="H24" s="46"/>
      <c r="I24" s="2"/>
      <c r="J24" s="2"/>
    </row>
    <row r="25" spans="1:15" x14ac:dyDescent="0.25">
      <c r="A25" s="17">
        <f t="shared" si="0"/>
        <v>19</v>
      </c>
      <c r="B25" s="15" t="s">
        <v>743</v>
      </c>
      <c r="C25" s="11" t="s">
        <v>18</v>
      </c>
      <c r="D25" s="9" t="s">
        <v>737</v>
      </c>
      <c r="E25" s="14">
        <v>42657</v>
      </c>
      <c r="F25" s="49" t="s">
        <v>26</v>
      </c>
      <c r="G25" s="19">
        <v>1</v>
      </c>
      <c r="H25" s="46"/>
      <c r="I25" s="2"/>
      <c r="J25" s="2"/>
    </row>
    <row r="26" spans="1:15" x14ac:dyDescent="0.25">
      <c r="A26" s="17">
        <f t="shared" si="0"/>
        <v>20</v>
      </c>
      <c r="B26" s="15" t="s">
        <v>744</v>
      </c>
      <c r="C26" s="11" t="s">
        <v>18</v>
      </c>
      <c r="D26" s="9" t="s">
        <v>736</v>
      </c>
      <c r="E26" s="14">
        <v>42657</v>
      </c>
      <c r="F26" s="49" t="s">
        <v>26</v>
      </c>
      <c r="G26" s="19">
        <v>1</v>
      </c>
      <c r="H26" s="46"/>
      <c r="I26" s="2"/>
      <c r="J26" s="2"/>
    </row>
    <row r="27" spans="1:15" x14ac:dyDescent="0.25">
      <c r="A27" s="17">
        <f t="shared" si="0"/>
        <v>21</v>
      </c>
      <c r="B27" s="15" t="s">
        <v>745</v>
      </c>
      <c r="C27" s="11" t="s">
        <v>18</v>
      </c>
      <c r="D27" s="9" t="s">
        <v>739</v>
      </c>
      <c r="E27" s="14">
        <v>42657</v>
      </c>
      <c r="F27" s="49" t="s">
        <v>26</v>
      </c>
      <c r="G27" s="19">
        <v>1</v>
      </c>
      <c r="H27" s="46"/>
      <c r="I27" s="2"/>
      <c r="J27" s="2"/>
    </row>
    <row r="28" spans="1:15" x14ac:dyDescent="0.25">
      <c r="A28" s="17">
        <f t="shared" si="0"/>
        <v>22</v>
      </c>
      <c r="B28" s="15" t="s">
        <v>746</v>
      </c>
      <c r="C28" s="11" t="s">
        <v>18</v>
      </c>
      <c r="D28" s="9" t="s">
        <v>741</v>
      </c>
      <c r="E28" s="14">
        <v>42657</v>
      </c>
      <c r="F28" s="49" t="s">
        <v>26</v>
      </c>
      <c r="G28" s="19">
        <v>1</v>
      </c>
      <c r="H28" s="46"/>
      <c r="I28" s="2"/>
      <c r="J28" s="2"/>
    </row>
    <row r="29" spans="1:15" x14ac:dyDescent="0.25">
      <c r="A29" s="17">
        <f t="shared" si="0"/>
        <v>23</v>
      </c>
      <c r="B29" s="15" t="s">
        <v>747</v>
      </c>
      <c r="C29" s="11" t="s">
        <v>18</v>
      </c>
      <c r="D29" s="9" t="s">
        <v>740</v>
      </c>
      <c r="E29" s="14">
        <v>42657</v>
      </c>
      <c r="F29" s="49" t="s">
        <v>26</v>
      </c>
      <c r="G29" s="19">
        <v>1</v>
      </c>
      <c r="H29" s="1"/>
      <c r="I29" s="1"/>
      <c r="J29" s="1"/>
    </row>
    <row r="30" spans="1:15" x14ac:dyDescent="0.25">
      <c r="A30" s="17">
        <f t="shared" si="0"/>
        <v>24</v>
      </c>
      <c r="B30" s="15" t="s">
        <v>748</v>
      </c>
      <c r="C30" s="11" t="s">
        <v>18</v>
      </c>
      <c r="D30" s="9" t="s">
        <v>738</v>
      </c>
      <c r="E30" s="14">
        <v>42657</v>
      </c>
      <c r="F30" s="49" t="s">
        <v>26</v>
      </c>
      <c r="G30" s="19">
        <v>1</v>
      </c>
      <c r="H30" s="1"/>
      <c r="I30" s="1"/>
      <c r="J30" s="1"/>
    </row>
    <row r="31" spans="1:15" x14ac:dyDescent="0.25">
      <c r="A31" s="17">
        <f>+A30+1</f>
        <v>25</v>
      </c>
      <c r="B31" s="15" t="s">
        <v>749</v>
      </c>
      <c r="C31" s="11" t="s">
        <v>18</v>
      </c>
      <c r="D31" s="9" t="s">
        <v>742</v>
      </c>
      <c r="E31" s="14">
        <v>42657</v>
      </c>
      <c r="F31" s="49" t="s">
        <v>26</v>
      </c>
      <c r="G31" s="19">
        <v>1</v>
      </c>
      <c r="H31" s="1"/>
      <c r="I31" s="1"/>
      <c r="J31" s="1"/>
    </row>
    <row r="32" spans="1:15" x14ac:dyDescent="0.25">
      <c r="A32" s="17">
        <f t="shared" si="0"/>
        <v>26</v>
      </c>
      <c r="B32" s="15" t="s">
        <v>1171</v>
      </c>
      <c r="C32" s="11" t="s">
        <v>18</v>
      </c>
      <c r="D32" s="9" t="s">
        <v>750</v>
      </c>
      <c r="E32" s="14">
        <v>42657</v>
      </c>
      <c r="F32" s="49" t="s">
        <v>751</v>
      </c>
      <c r="G32" s="19">
        <v>1</v>
      </c>
      <c r="H32" s="1" t="s">
        <v>752</v>
      </c>
      <c r="I32" s="1"/>
      <c r="J32" s="1"/>
      <c r="O32" t="s">
        <v>624</v>
      </c>
    </row>
    <row r="33" spans="1:10" x14ac:dyDescent="0.25">
      <c r="A33" s="17">
        <f t="shared" si="0"/>
        <v>27</v>
      </c>
      <c r="B33" s="15" t="s">
        <v>756</v>
      </c>
      <c r="C33" s="11" t="s">
        <v>18</v>
      </c>
      <c r="D33" s="9" t="s">
        <v>755</v>
      </c>
      <c r="E33" s="14">
        <v>42660</v>
      </c>
      <c r="F33" s="24" t="s">
        <v>26</v>
      </c>
      <c r="G33" s="19">
        <v>1</v>
      </c>
      <c r="H33" s="1"/>
      <c r="I33" s="1"/>
      <c r="J33" s="1"/>
    </row>
    <row r="34" spans="1:10" x14ac:dyDescent="0.25">
      <c r="A34" s="17">
        <f t="shared" si="0"/>
        <v>28</v>
      </c>
      <c r="B34" s="15" t="s">
        <v>1172</v>
      </c>
      <c r="C34" s="11" t="s">
        <v>18</v>
      </c>
      <c r="D34" s="9" t="s">
        <v>757</v>
      </c>
      <c r="E34" s="14">
        <v>42666</v>
      </c>
      <c r="F34" s="49" t="s">
        <v>758</v>
      </c>
      <c r="G34" s="19">
        <v>1</v>
      </c>
      <c r="H34" s="1" t="s">
        <v>759</v>
      </c>
      <c r="I34" s="1"/>
      <c r="J34" s="1"/>
    </row>
    <row r="35" spans="1:10" x14ac:dyDescent="0.25">
      <c r="A35" s="17">
        <f t="shared" si="0"/>
        <v>29</v>
      </c>
      <c r="B35" s="15" t="s">
        <v>1180</v>
      </c>
      <c r="C35" s="11" t="s">
        <v>18</v>
      </c>
      <c r="D35" s="9" t="s">
        <v>760</v>
      </c>
      <c r="E35" s="14">
        <v>42667</v>
      </c>
      <c r="F35" s="49" t="s">
        <v>761</v>
      </c>
      <c r="G35" s="19">
        <v>1</v>
      </c>
      <c r="H35" s="1" t="s">
        <v>762</v>
      </c>
      <c r="I35" s="1"/>
      <c r="J35" s="1"/>
    </row>
    <row r="36" spans="1:10" x14ac:dyDescent="0.25">
      <c r="A36" s="17">
        <f t="shared" si="0"/>
        <v>30</v>
      </c>
      <c r="B36" s="15" t="s">
        <v>1179</v>
      </c>
      <c r="C36" s="11" t="s">
        <v>18</v>
      </c>
      <c r="D36" s="9" t="s">
        <v>763</v>
      </c>
      <c r="E36" s="14">
        <v>42667</v>
      </c>
      <c r="F36" s="49" t="s">
        <v>764</v>
      </c>
      <c r="G36" s="19">
        <v>1</v>
      </c>
      <c r="H36" s="1" t="s">
        <v>765</v>
      </c>
      <c r="I36" s="1"/>
      <c r="J36" s="1"/>
    </row>
    <row r="37" spans="1:10" x14ac:dyDescent="0.25">
      <c r="A37" s="17">
        <f t="shared" si="0"/>
        <v>31</v>
      </c>
      <c r="B37" s="15" t="s">
        <v>1178</v>
      </c>
      <c r="C37" s="11" t="s">
        <v>18</v>
      </c>
      <c r="D37" s="9" t="s">
        <v>766</v>
      </c>
      <c r="E37" s="14">
        <v>42668</v>
      </c>
      <c r="F37" s="49" t="s">
        <v>767</v>
      </c>
      <c r="G37" s="19">
        <v>1</v>
      </c>
      <c r="H37" s="52" t="s">
        <v>768</v>
      </c>
    </row>
    <row r="38" spans="1:10" x14ac:dyDescent="0.25">
      <c r="A38" s="17">
        <f>+A37+1</f>
        <v>32</v>
      </c>
      <c r="B38" s="15" t="s">
        <v>1177</v>
      </c>
      <c r="C38" s="11" t="s">
        <v>18</v>
      </c>
      <c r="D38" s="9" t="s">
        <v>769</v>
      </c>
      <c r="E38" s="14">
        <v>42668</v>
      </c>
      <c r="F38" s="49" t="s">
        <v>770</v>
      </c>
      <c r="G38" s="19">
        <v>1</v>
      </c>
      <c r="H38" s="52" t="s">
        <v>771</v>
      </c>
    </row>
    <row r="39" spans="1:10" x14ac:dyDescent="0.25">
      <c r="A39" s="17">
        <f t="shared" si="0"/>
        <v>33</v>
      </c>
      <c r="B39" s="15" t="s">
        <v>1176</v>
      </c>
      <c r="C39" s="11" t="s">
        <v>18</v>
      </c>
      <c r="D39" s="9" t="s">
        <v>772</v>
      </c>
      <c r="E39" s="14">
        <v>42668</v>
      </c>
      <c r="F39" s="49" t="s">
        <v>773</v>
      </c>
      <c r="G39" s="19">
        <v>1</v>
      </c>
      <c r="H39" s="52" t="s">
        <v>774</v>
      </c>
    </row>
    <row r="40" spans="1:10" x14ac:dyDescent="0.25">
      <c r="A40" s="17">
        <f t="shared" si="0"/>
        <v>34</v>
      </c>
      <c r="B40" s="15" t="s">
        <v>780</v>
      </c>
      <c r="C40" s="11" t="s">
        <v>28</v>
      </c>
      <c r="D40" s="9" t="s">
        <v>775</v>
      </c>
      <c r="E40" s="14">
        <v>42669</v>
      </c>
      <c r="F40" s="49" t="s">
        <v>26</v>
      </c>
      <c r="G40" s="19">
        <v>1</v>
      </c>
    </row>
    <row r="41" spans="1:10" x14ac:dyDescent="0.25">
      <c r="A41" s="17">
        <f t="shared" si="0"/>
        <v>35</v>
      </c>
      <c r="B41" s="15" t="s">
        <v>779</v>
      </c>
      <c r="C41" s="11" t="s">
        <v>18</v>
      </c>
      <c r="D41" s="9" t="s">
        <v>776</v>
      </c>
      <c r="E41" s="14">
        <v>42670</v>
      </c>
      <c r="F41" s="49" t="s">
        <v>56</v>
      </c>
      <c r="G41" s="19">
        <v>1</v>
      </c>
    </row>
    <row r="42" spans="1:10" x14ac:dyDescent="0.25">
      <c r="A42" s="17">
        <f t="shared" si="0"/>
        <v>36</v>
      </c>
      <c r="B42" s="15" t="s">
        <v>778</v>
      </c>
      <c r="C42" s="11" t="s">
        <v>18</v>
      </c>
      <c r="D42" s="9" t="s">
        <v>777</v>
      </c>
      <c r="E42" s="14">
        <v>42670</v>
      </c>
      <c r="F42" s="49" t="s">
        <v>26</v>
      </c>
      <c r="G42" s="19">
        <v>1</v>
      </c>
    </row>
    <row r="43" spans="1:10" x14ac:dyDescent="0.25">
      <c r="A43" s="17">
        <f t="shared" si="0"/>
        <v>37</v>
      </c>
      <c r="B43" s="15" t="s">
        <v>781</v>
      </c>
      <c r="C43" s="11" t="s">
        <v>18</v>
      </c>
      <c r="D43" s="9" t="s">
        <v>782</v>
      </c>
      <c r="E43" s="14">
        <v>42673</v>
      </c>
      <c r="F43" s="49" t="s">
        <v>26</v>
      </c>
      <c r="G43" s="19">
        <v>1</v>
      </c>
    </row>
    <row r="44" spans="1:10" x14ac:dyDescent="0.25">
      <c r="A44" s="17">
        <f t="shared" si="0"/>
        <v>38</v>
      </c>
      <c r="B44" s="15" t="s">
        <v>783</v>
      </c>
      <c r="C44" s="11" t="s">
        <v>18</v>
      </c>
      <c r="D44" s="9" t="s">
        <v>784</v>
      </c>
      <c r="E44" s="14">
        <v>42674</v>
      </c>
      <c r="F44" s="49" t="s">
        <v>135</v>
      </c>
      <c r="G44" s="19">
        <v>1</v>
      </c>
      <c r="H44" t="s">
        <v>787</v>
      </c>
    </row>
    <row r="45" spans="1:10" x14ac:dyDescent="0.25">
      <c r="A45" s="17">
        <f>+A44+1</f>
        <v>39</v>
      </c>
      <c r="B45" s="48" t="s">
        <v>1230</v>
      </c>
      <c r="C45" s="11" t="s">
        <v>18</v>
      </c>
      <c r="D45" s="9" t="s">
        <v>785</v>
      </c>
      <c r="E45" s="14">
        <v>42674</v>
      </c>
      <c r="F45" s="49" t="s">
        <v>618</v>
      </c>
      <c r="G45" s="19">
        <v>1</v>
      </c>
      <c r="H45" t="s">
        <v>786</v>
      </c>
    </row>
  </sheetData>
  <sortState ref="B25:F31">
    <sortCondition ref="D25:D3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zoomScaleNormal="100" workbookViewId="0">
      <selection activeCell="H42" sqref="H42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4" max="4" width="13.7109375" bestFit="1" customWidth="1"/>
    <col min="6" max="6" width="14.140625" bestFit="1" customWidth="1"/>
    <col min="7" max="7" width="3.85546875" hidden="1" customWidth="1"/>
    <col min="8" max="8" width="24.42578125" bestFit="1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SUMIF(F7:F157,"Elimination*",G7:G157)</f>
        <v>13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SUMIF(F7:F157,"NB*",G7:G157)</f>
        <v>23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SUMIF(F7:F337,"Ve*",G7:G337)</f>
        <v>70</v>
      </c>
    </row>
    <row r="5" spans="1:11" ht="15.75" x14ac:dyDescent="0.25">
      <c r="A5" s="57" t="s">
        <v>788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106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790</v>
      </c>
      <c r="C7" s="11">
        <v>30</v>
      </c>
      <c r="D7" s="9" t="s">
        <v>789</v>
      </c>
      <c r="E7" s="14">
        <v>42676</v>
      </c>
      <c r="F7" s="49" t="s">
        <v>26</v>
      </c>
      <c r="G7" s="19">
        <v>1</v>
      </c>
      <c r="H7" s="47"/>
      <c r="I7" s="18"/>
      <c r="J7" s="18"/>
      <c r="K7" s="1"/>
    </row>
    <row r="8" spans="1:11" x14ac:dyDescent="0.25">
      <c r="A8" s="17">
        <f>+A7+1</f>
        <v>2</v>
      </c>
      <c r="B8" s="15" t="s">
        <v>791</v>
      </c>
      <c r="C8" s="11" t="s">
        <v>28</v>
      </c>
      <c r="D8" s="9" t="s">
        <v>792</v>
      </c>
      <c r="E8" s="14">
        <v>42676</v>
      </c>
      <c r="F8" s="24" t="s">
        <v>26</v>
      </c>
      <c r="G8" s="19">
        <v>1</v>
      </c>
      <c r="H8" s="47"/>
      <c r="I8" s="18"/>
      <c r="J8" s="18"/>
      <c r="K8" s="1"/>
    </row>
    <row r="9" spans="1:11" x14ac:dyDescent="0.25">
      <c r="A9" s="17">
        <f t="shared" ref="A9:A112" si="0">+A8+1</f>
        <v>3</v>
      </c>
      <c r="B9" s="15" t="s">
        <v>1181</v>
      </c>
      <c r="C9" s="11" t="s">
        <v>18</v>
      </c>
      <c r="D9" s="9" t="s">
        <v>796</v>
      </c>
      <c r="E9" s="14">
        <v>42683</v>
      </c>
      <c r="F9" s="24" t="s">
        <v>800</v>
      </c>
      <c r="G9" s="19">
        <v>1</v>
      </c>
      <c r="H9" s="47" t="s">
        <v>797</v>
      </c>
      <c r="I9" s="18"/>
      <c r="J9" s="18"/>
      <c r="K9" s="1"/>
    </row>
    <row r="10" spans="1:11" x14ac:dyDescent="0.25">
      <c r="A10" s="17">
        <f t="shared" si="0"/>
        <v>4</v>
      </c>
      <c r="B10" s="15" t="s">
        <v>1182</v>
      </c>
      <c r="C10" s="11" t="s">
        <v>18</v>
      </c>
      <c r="D10" s="9" t="s">
        <v>798</v>
      </c>
      <c r="E10" s="14">
        <v>42683</v>
      </c>
      <c r="F10" s="24" t="s">
        <v>799</v>
      </c>
      <c r="G10" s="19">
        <v>1</v>
      </c>
      <c r="H10" s="47" t="s">
        <v>801</v>
      </c>
      <c r="I10" s="18"/>
      <c r="J10" s="18"/>
      <c r="K10" s="1"/>
    </row>
    <row r="11" spans="1:11" x14ac:dyDescent="0.25">
      <c r="A11" s="17">
        <f t="shared" si="0"/>
        <v>5</v>
      </c>
      <c r="B11" s="15" t="s">
        <v>1183</v>
      </c>
      <c r="C11" s="11" t="s">
        <v>18</v>
      </c>
      <c r="D11" s="9" t="s">
        <v>802</v>
      </c>
      <c r="E11" s="14">
        <v>42683</v>
      </c>
      <c r="F11" s="24" t="s">
        <v>803</v>
      </c>
      <c r="G11" s="19">
        <v>1</v>
      </c>
      <c r="H11" s="47" t="s">
        <v>804</v>
      </c>
      <c r="I11" s="18"/>
      <c r="J11" s="18"/>
      <c r="K11" s="1"/>
    </row>
    <row r="12" spans="1:11" x14ac:dyDescent="0.25">
      <c r="A12" s="17">
        <f t="shared" si="0"/>
        <v>6</v>
      </c>
      <c r="B12" s="15" t="s">
        <v>1184</v>
      </c>
      <c r="C12" s="15" t="s">
        <v>18</v>
      </c>
      <c r="D12" s="48" t="s">
        <v>805</v>
      </c>
      <c r="E12" s="14">
        <v>42684</v>
      </c>
      <c r="F12" s="24" t="s">
        <v>806</v>
      </c>
      <c r="G12" s="19">
        <v>1</v>
      </c>
      <c r="H12" s="47" t="s">
        <v>807</v>
      </c>
      <c r="I12" s="2"/>
      <c r="J12" s="2"/>
      <c r="K12" s="1"/>
    </row>
    <row r="13" spans="1:11" x14ac:dyDescent="0.25">
      <c r="A13" s="17">
        <f t="shared" si="0"/>
        <v>7</v>
      </c>
      <c r="B13" s="15" t="s">
        <v>808</v>
      </c>
      <c r="C13" s="15" t="s">
        <v>18</v>
      </c>
      <c r="D13" s="48" t="s">
        <v>809</v>
      </c>
      <c r="E13" s="14">
        <v>42684</v>
      </c>
      <c r="F13" s="49" t="s">
        <v>26</v>
      </c>
      <c r="G13" s="19">
        <v>1</v>
      </c>
      <c r="H13" s="47"/>
      <c r="I13" s="2"/>
      <c r="J13" s="2"/>
      <c r="K13" s="1"/>
    </row>
    <row r="14" spans="1:11" x14ac:dyDescent="0.25">
      <c r="A14" s="17">
        <f t="shared" si="0"/>
        <v>8</v>
      </c>
      <c r="B14" s="15" t="s">
        <v>1185</v>
      </c>
      <c r="C14" s="15" t="s">
        <v>18</v>
      </c>
      <c r="D14" s="48" t="s">
        <v>810</v>
      </c>
      <c r="E14" s="14">
        <v>42687</v>
      </c>
      <c r="F14" s="24" t="s">
        <v>811</v>
      </c>
      <c r="G14" s="19">
        <v>1</v>
      </c>
      <c r="H14" s="47" t="s">
        <v>812</v>
      </c>
      <c r="I14" s="2"/>
      <c r="J14" s="2"/>
      <c r="K14" s="1"/>
    </row>
    <row r="15" spans="1:11" x14ac:dyDescent="0.25">
      <c r="A15" s="17">
        <f t="shared" si="0"/>
        <v>9</v>
      </c>
      <c r="B15" s="15" t="s">
        <v>1077</v>
      </c>
      <c r="C15" s="15" t="s">
        <v>18</v>
      </c>
      <c r="D15" s="48" t="s">
        <v>813</v>
      </c>
      <c r="E15" s="14">
        <v>42687</v>
      </c>
      <c r="F15" s="24" t="s">
        <v>363</v>
      </c>
      <c r="G15" s="19">
        <v>1</v>
      </c>
      <c r="H15" s="47" t="s">
        <v>814</v>
      </c>
      <c r="I15" s="2"/>
      <c r="J15" s="2"/>
    </row>
    <row r="16" spans="1:11" ht="15" customHeight="1" x14ac:dyDescent="0.25">
      <c r="A16" s="17">
        <f t="shared" si="0"/>
        <v>10</v>
      </c>
      <c r="B16" s="15" t="s">
        <v>1186</v>
      </c>
      <c r="C16" s="15" t="s">
        <v>18</v>
      </c>
      <c r="D16" s="48" t="s">
        <v>815</v>
      </c>
      <c r="E16" s="14">
        <v>42688</v>
      </c>
      <c r="F16" s="24" t="s">
        <v>920</v>
      </c>
      <c r="G16" s="19">
        <v>1</v>
      </c>
      <c r="H16" s="47" t="s">
        <v>817</v>
      </c>
      <c r="I16" s="2"/>
      <c r="J16" s="2"/>
    </row>
    <row r="17" spans="1:15" ht="15" customHeight="1" x14ac:dyDescent="0.25">
      <c r="A17" s="17">
        <f t="shared" si="0"/>
        <v>11</v>
      </c>
      <c r="B17" s="15" t="s">
        <v>1187</v>
      </c>
      <c r="C17" s="15" t="s">
        <v>18</v>
      </c>
      <c r="D17" s="48" t="s">
        <v>816</v>
      </c>
      <c r="E17" s="14">
        <v>42688</v>
      </c>
      <c r="F17" s="24" t="s">
        <v>921</v>
      </c>
      <c r="G17" s="19">
        <v>1</v>
      </c>
      <c r="H17" s="47" t="s">
        <v>818</v>
      </c>
      <c r="I17" s="2"/>
      <c r="J17" s="2"/>
    </row>
    <row r="18" spans="1:15" ht="15" customHeight="1" x14ac:dyDescent="0.25">
      <c r="A18" s="17">
        <f t="shared" si="0"/>
        <v>12</v>
      </c>
      <c r="B18" s="15" t="s">
        <v>1189</v>
      </c>
      <c r="C18" s="15" t="s">
        <v>18</v>
      </c>
      <c r="D18" s="48" t="s">
        <v>819</v>
      </c>
      <c r="E18" s="14">
        <v>42688</v>
      </c>
      <c r="F18" s="24" t="s">
        <v>820</v>
      </c>
      <c r="G18" s="19">
        <v>1</v>
      </c>
      <c r="H18" s="47" t="s">
        <v>821</v>
      </c>
      <c r="I18" s="2"/>
      <c r="J18" s="2"/>
    </row>
    <row r="19" spans="1:15" ht="15" customHeight="1" x14ac:dyDescent="0.25">
      <c r="A19" s="17">
        <f t="shared" si="0"/>
        <v>13</v>
      </c>
      <c r="B19" s="15" t="s">
        <v>822</v>
      </c>
      <c r="C19" s="15" t="s">
        <v>18</v>
      </c>
      <c r="D19" s="48" t="s">
        <v>823</v>
      </c>
      <c r="E19" s="14">
        <v>42688</v>
      </c>
      <c r="F19" s="49" t="s">
        <v>26</v>
      </c>
      <c r="G19" s="19">
        <v>1</v>
      </c>
      <c r="H19" s="47"/>
      <c r="I19" s="2"/>
      <c r="J19" s="2"/>
    </row>
    <row r="20" spans="1:15" x14ac:dyDescent="0.25">
      <c r="A20" s="17">
        <f t="shared" si="0"/>
        <v>14</v>
      </c>
      <c r="B20" s="15" t="s">
        <v>1188</v>
      </c>
      <c r="C20" s="15" t="s">
        <v>18</v>
      </c>
      <c r="D20" s="48" t="s">
        <v>919</v>
      </c>
      <c r="E20" s="14">
        <v>42689</v>
      </c>
      <c r="F20" s="24" t="s">
        <v>824</v>
      </c>
      <c r="G20" s="19">
        <v>1</v>
      </c>
      <c r="H20" s="47" t="s">
        <v>918</v>
      </c>
      <c r="I20" s="2"/>
      <c r="J20" s="2"/>
    </row>
    <row r="21" spans="1:15" x14ac:dyDescent="0.25">
      <c r="A21" s="17">
        <f t="shared" si="0"/>
        <v>15</v>
      </c>
      <c r="B21" s="15" t="s">
        <v>825</v>
      </c>
      <c r="C21" s="15" t="s">
        <v>18</v>
      </c>
      <c r="D21" s="48" t="s">
        <v>826</v>
      </c>
      <c r="E21" s="14">
        <v>42689</v>
      </c>
      <c r="F21" s="49" t="s">
        <v>26</v>
      </c>
      <c r="G21" s="19">
        <v>1</v>
      </c>
      <c r="H21" s="47"/>
      <c r="I21" s="2"/>
      <c r="J21" s="2"/>
    </row>
    <row r="22" spans="1:15" x14ac:dyDescent="0.25">
      <c r="A22" s="17">
        <f t="shared" si="0"/>
        <v>16</v>
      </c>
      <c r="B22" s="15" t="s">
        <v>827</v>
      </c>
      <c r="C22" s="15" t="s">
        <v>18</v>
      </c>
      <c r="D22" s="48" t="s">
        <v>828</v>
      </c>
      <c r="E22" s="14">
        <v>42689</v>
      </c>
      <c r="F22" s="49" t="s">
        <v>26</v>
      </c>
      <c r="G22" s="19">
        <v>1</v>
      </c>
      <c r="H22" s="47"/>
      <c r="I22" s="2"/>
      <c r="J22" s="2"/>
    </row>
    <row r="23" spans="1:15" x14ac:dyDescent="0.25">
      <c r="A23" s="17">
        <f t="shared" si="0"/>
        <v>17</v>
      </c>
      <c r="B23" s="15" t="s">
        <v>942</v>
      </c>
      <c r="C23" s="15" t="s">
        <v>18</v>
      </c>
      <c r="D23" s="48" t="s">
        <v>829</v>
      </c>
      <c r="E23" s="14">
        <v>42689</v>
      </c>
      <c r="F23" s="49" t="s">
        <v>26</v>
      </c>
      <c r="G23" s="19">
        <v>1</v>
      </c>
      <c r="H23" s="46"/>
      <c r="I23" s="2"/>
      <c r="J23" s="2"/>
    </row>
    <row r="24" spans="1:15" x14ac:dyDescent="0.25">
      <c r="A24" s="17">
        <f t="shared" si="0"/>
        <v>18</v>
      </c>
      <c r="B24" s="15" t="s">
        <v>830</v>
      </c>
      <c r="C24" s="15" t="s">
        <v>18</v>
      </c>
      <c r="D24" s="48" t="s">
        <v>831</v>
      </c>
      <c r="E24" s="14">
        <v>42690</v>
      </c>
      <c r="F24" s="49" t="s">
        <v>832</v>
      </c>
      <c r="G24" s="19">
        <v>1</v>
      </c>
      <c r="H24" s="46"/>
      <c r="I24" s="2"/>
      <c r="J24" s="2"/>
    </row>
    <row r="25" spans="1:15" x14ac:dyDescent="0.25">
      <c r="A25" s="17">
        <f t="shared" si="0"/>
        <v>19</v>
      </c>
      <c r="B25" s="15"/>
      <c r="C25" s="11">
        <v>40</v>
      </c>
      <c r="D25" s="48" t="s">
        <v>923</v>
      </c>
      <c r="E25" s="14">
        <v>42690</v>
      </c>
      <c r="F25" s="49" t="s">
        <v>135</v>
      </c>
      <c r="G25" s="19">
        <v>1</v>
      </c>
      <c r="H25" s="46" t="s">
        <v>833</v>
      </c>
      <c r="I25" s="2"/>
      <c r="J25" s="2"/>
    </row>
    <row r="26" spans="1:15" x14ac:dyDescent="0.25">
      <c r="A26" s="17">
        <f t="shared" si="0"/>
        <v>20</v>
      </c>
      <c r="B26" s="15" t="s">
        <v>1190</v>
      </c>
      <c r="C26" s="11" t="s">
        <v>18</v>
      </c>
      <c r="D26" s="9" t="s">
        <v>834</v>
      </c>
      <c r="E26" s="14">
        <v>42691</v>
      </c>
      <c r="F26" s="24" t="s">
        <v>835</v>
      </c>
      <c r="G26" s="19">
        <v>1</v>
      </c>
      <c r="H26" s="46" t="s">
        <v>836</v>
      </c>
      <c r="I26" s="2"/>
      <c r="J26" s="2"/>
    </row>
    <row r="27" spans="1:15" x14ac:dyDescent="0.25">
      <c r="A27" s="17">
        <f t="shared" si="0"/>
        <v>21</v>
      </c>
      <c r="B27" s="15" t="s">
        <v>1075</v>
      </c>
      <c r="C27" s="11" t="s">
        <v>18</v>
      </c>
      <c r="D27" s="9" t="s">
        <v>837</v>
      </c>
      <c r="E27" s="14">
        <v>42691</v>
      </c>
      <c r="F27" s="24" t="s">
        <v>838</v>
      </c>
      <c r="G27" s="19">
        <v>1</v>
      </c>
      <c r="H27" s="46" t="s">
        <v>839</v>
      </c>
      <c r="I27" s="2"/>
      <c r="J27" s="2"/>
    </row>
    <row r="28" spans="1:15" x14ac:dyDescent="0.25">
      <c r="A28" s="17">
        <f t="shared" si="0"/>
        <v>22</v>
      </c>
      <c r="B28" s="15" t="s">
        <v>1191</v>
      </c>
      <c r="C28" s="11" t="s">
        <v>18</v>
      </c>
      <c r="D28" s="9" t="s">
        <v>840</v>
      </c>
      <c r="E28" s="14">
        <v>42691</v>
      </c>
      <c r="F28" s="24" t="s">
        <v>841</v>
      </c>
      <c r="G28" s="19">
        <v>1</v>
      </c>
      <c r="H28" s="46" t="s">
        <v>842</v>
      </c>
      <c r="I28" s="2"/>
      <c r="J28" s="2"/>
    </row>
    <row r="29" spans="1:15" x14ac:dyDescent="0.25">
      <c r="A29" s="17">
        <f t="shared" si="0"/>
        <v>23</v>
      </c>
      <c r="B29" s="15" t="s">
        <v>1192</v>
      </c>
      <c r="C29" s="11" t="s">
        <v>18</v>
      </c>
      <c r="D29" s="9" t="s">
        <v>843</v>
      </c>
      <c r="E29" s="14">
        <v>42691</v>
      </c>
      <c r="F29" s="24" t="s">
        <v>844</v>
      </c>
      <c r="G29" s="19">
        <v>1</v>
      </c>
      <c r="H29" s="1" t="s">
        <v>845</v>
      </c>
      <c r="I29" s="1"/>
      <c r="J29" s="1"/>
    </row>
    <row r="30" spans="1:15" x14ac:dyDescent="0.25">
      <c r="A30" s="17">
        <f t="shared" si="0"/>
        <v>24</v>
      </c>
      <c r="B30" s="15" t="s">
        <v>1193</v>
      </c>
      <c r="C30" s="11" t="s">
        <v>18</v>
      </c>
      <c r="D30" s="9" t="s">
        <v>846</v>
      </c>
      <c r="E30" s="14">
        <v>42691</v>
      </c>
      <c r="F30" s="24" t="s">
        <v>847</v>
      </c>
      <c r="G30" s="19">
        <v>1</v>
      </c>
      <c r="H30" s="1" t="s">
        <v>848</v>
      </c>
      <c r="I30" s="1"/>
      <c r="J30" s="1"/>
    </row>
    <row r="31" spans="1:15" x14ac:dyDescent="0.25">
      <c r="A31" s="17">
        <f>+A30+1</f>
        <v>25</v>
      </c>
      <c r="B31" s="15" t="s">
        <v>849</v>
      </c>
      <c r="C31" s="11" t="s">
        <v>18</v>
      </c>
      <c r="D31" s="9" t="s">
        <v>924</v>
      </c>
      <c r="E31" s="14">
        <v>42694</v>
      </c>
      <c r="F31" s="49" t="s">
        <v>26</v>
      </c>
      <c r="G31" s="19">
        <v>1</v>
      </c>
      <c r="H31" s="1"/>
      <c r="I31" s="1"/>
      <c r="J31" s="1"/>
    </row>
    <row r="32" spans="1:15" x14ac:dyDescent="0.25">
      <c r="A32" s="17">
        <f t="shared" si="0"/>
        <v>26</v>
      </c>
      <c r="B32" s="15" t="s">
        <v>851</v>
      </c>
      <c r="C32" s="11" t="s">
        <v>18</v>
      </c>
      <c r="D32" s="9" t="s">
        <v>852</v>
      </c>
      <c r="E32" s="14">
        <v>42694</v>
      </c>
      <c r="F32" s="49" t="s">
        <v>26</v>
      </c>
      <c r="G32" s="19">
        <v>1</v>
      </c>
      <c r="H32" s="1"/>
      <c r="I32" s="1"/>
      <c r="J32" s="1"/>
      <c r="O32" t="s">
        <v>624</v>
      </c>
    </row>
    <row r="33" spans="1:10" x14ac:dyDescent="0.25">
      <c r="A33" s="17">
        <f t="shared" si="0"/>
        <v>27</v>
      </c>
      <c r="B33" s="15" t="s">
        <v>853</v>
      </c>
      <c r="C33" s="11" t="s">
        <v>18</v>
      </c>
      <c r="D33" s="48" t="s">
        <v>850</v>
      </c>
      <c r="E33" s="14">
        <v>42694</v>
      </c>
      <c r="F33" s="24" t="s">
        <v>26</v>
      </c>
      <c r="G33" s="19">
        <v>1</v>
      </c>
      <c r="H33" s="1"/>
      <c r="I33" s="1"/>
      <c r="J33" s="1"/>
    </row>
    <row r="34" spans="1:10" x14ac:dyDescent="0.25">
      <c r="A34" s="17">
        <f t="shared" si="0"/>
        <v>28</v>
      </c>
      <c r="B34" s="15" t="s">
        <v>1235</v>
      </c>
      <c r="C34" s="11" t="s">
        <v>18</v>
      </c>
      <c r="D34" s="9" t="s">
        <v>854</v>
      </c>
      <c r="E34" s="14">
        <v>42694</v>
      </c>
      <c r="F34" s="49" t="s">
        <v>26</v>
      </c>
      <c r="G34" s="19">
        <v>1</v>
      </c>
      <c r="H34" s="1"/>
      <c r="I34" s="1"/>
      <c r="J34" s="1"/>
    </row>
    <row r="35" spans="1:10" x14ac:dyDescent="0.25">
      <c r="A35" s="17">
        <f t="shared" si="0"/>
        <v>29</v>
      </c>
      <c r="B35" s="15" t="s">
        <v>855</v>
      </c>
      <c r="C35" s="11" t="s">
        <v>18</v>
      </c>
      <c r="D35" s="9" t="s">
        <v>856</v>
      </c>
      <c r="E35" s="14">
        <v>42694</v>
      </c>
      <c r="F35" s="49" t="s">
        <v>26</v>
      </c>
      <c r="G35" s="19">
        <v>1</v>
      </c>
      <c r="H35" s="1"/>
      <c r="I35" s="1"/>
      <c r="J35" s="1"/>
    </row>
    <row r="36" spans="1:10" x14ac:dyDescent="0.25">
      <c r="A36" s="17">
        <f t="shared" si="0"/>
        <v>30</v>
      </c>
      <c r="B36" s="15" t="s">
        <v>857</v>
      </c>
      <c r="C36" s="11" t="s">
        <v>28</v>
      </c>
      <c r="D36" s="48" t="s">
        <v>925</v>
      </c>
      <c r="E36" s="14">
        <v>42698</v>
      </c>
      <c r="F36" s="49" t="s">
        <v>832</v>
      </c>
      <c r="G36" s="19">
        <v>1</v>
      </c>
      <c r="H36" s="1"/>
      <c r="I36" s="1"/>
      <c r="J36" s="1"/>
    </row>
    <row r="37" spans="1:10" x14ac:dyDescent="0.25">
      <c r="A37" s="17">
        <f t="shared" si="0"/>
        <v>31</v>
      </c>
      <c r="B37" s="15" t="s">
        <v>858</v>
      </c>
      <c r="C37" s="11" t="s">
        <v>28</v>
      </c>
      <c r="D37" s="9" t="s">
        <v>859</v>
      </c>
      <c r="E37" s="14">
        <v>42698</v>
      </c>
      <c r="F37" s="49" t="s">
        <v>26</v>
      </c>
      <c r="G37" s="19">
        <v>1</v>
      </c>
      <c r="H37" s="52"/>
    </row>
    <row r="38" spans="1:10" x14ac:dyDescent="0.25">
      <c r="A38" s="17">
        <f>+A37+1</f>
        <v>32</v>
      </c>
      <c r="B38" s="15" t="s">
        <v>1195</v>
      </c>
      <c r="C38" s="11" t="s">
        <v>18</v>
      </c>
      <c r="D38" s="9" t="s">
        <v>860</v>
      </c>
      <c r="E38" s="14">
        <v>42701</v>
      </c>
      <c r="F38" s="24" t="s">
        <v>861</v>
      </c>
      <c r="G38" s="19">
        <v>1</v>
      </c>
      <c r="H38" s="52" t="s">
        <v>864</v>
      </c>
    </row>
    <row r="39" spans="1:10" x14ac:dyDescent="0.25">
      <c r="A39" s="17">
        <f t="shared" si="0"/>
        <v>33</v>
      </c>
      <c r="B39" s="15" t="s">
        <v>1194</v>
      </c>
      <c r="C39" s="11" t="s">
        <v>18</v>
      </c>
      <c r="D39" s="9" t="s">
        <v>862</v>
      </c>
      <c r="E39" s="14">
        <v>42701</v>
      </c>
      <c r="F39" s="24" t="s">
        <v>863</v>
      </c>
      <c r="G39" s="19">
        <v>1</v>
      </c>
      <c r="H39" s="52" t="s">
        <v>865</v>
      </c>
    </row>
    <row r="40" spans="1:10" x14ac:dyDescent="0.25">
      <c r="A40" s="17">
        <f t="shared" si="0"/>
        <v>34</v>
      </c>
      <c r="B40" s="15" t="s">
        <v>1196</v>
      </c>
      <c r="C40" s="11" t="s">
        <v>18</v>
      </c>
      <c r="D40" s="9" t="s">
        <v>866</v>
      </c>
      <c r="E40" s="14">
        <v>42701</v>
      </c>
      <c r="F40" s="24" t="s">
        <v>867</v>
      </c>
      <c r="G40" s="19">
        <v>1</v>
      </c>
      <c r="H40" t="s">
        <v>868</v>
      </c>
    </row>
    <row r="41" spans="1:10" x14ac:dyDescent="0.25">
      <c r="A41" s="17">
        <f t="shared" si="0"/>
        <v>35</v>
      </c>
      <c r="B41" s="15" t="s">
        <v>1072</v>
      </c>
      <c r="C41" s="11" t="s">
        <v>18</v>
      </c>
      <c r="D41" s="9" t="s">
        <v>1004</v>
      </c>
      <c r="E41" s="14">
        <v>42701</v>
      </c>
      <c r="F41" s="24" t="s">
        <v>832</v>
      </c>
      <c r="G41" s="19">
        <v>1</v>
      </c>
    </row>
    <row r="42" spans="1:10" x14ac:dyDescent="0.25">
      <c r="A42" s="17">
        <f t="shared" si="0"/>
        <v>36</v>
      </c>
      <c r="B42" s="15" t="s">
        <v>1072</v>
      </c>
      <c r="C42" s="11" t="s">
        <v>18</v>
      </c>
      <c r="D42" s="9" t="s">
        <v>1005</v>
      </c>
      <c r="E42" s="14">
        <v>42701</v>
      </c>
      <c r="F42" s="24" t="s">
        <v>832</v>
      </c>
      <c r="G42" s="19">
        <v>1</v>
      </c>
    </row>
    <row r="43" spans="1:10" x14ac:dyDescent="0.25">
      <c r="A43" s="17">
        <f t="shared" si="0"/>
        <v>37</v>
      </c>
      <c r="B43" s="15" t="s">
        <v>1072</v>
      </c>
      <c r="C43" s="11" t="s">
        <v>18</v>
      </c>
      <c r="D43" s="9" t="s">
        <v>1006</v>
      </c>
      <c r="E43" s="14">
        <v>42701</v>
      </c>
      <c r="F43" s="24" t="s">
        <v>832</v>
      </c>
      <c r="G43" s="19">
        <v>1</v>
      </c>
    </row>
    <row r="44" spans="1:10" x14ac:dyDescent="0.25">
      <c r="A44" s="17">
        <f t="shared" si="0"/>
        <v>38</v>
      </c>
      <c r="B44" s="15" t="s">
        <v>1072</v>
      </c>
      <c r="C44" s="11" t="s">
        <v>18</v>
      </c>
      <c r="D44" s="9" t="s">
        <v>1007</v>
      </c>
      <c r="E44" s="14">
        <v>42701</v>
      </c>
      <c r="F44" s="24" t="s">
        <v>832</v>
      </c>
      <c r="G44" s="19">
        <v>1</v>
      </c>
    </row>
    <row r="45" spans="1:10" x14ac:dyDescent="0.25">
      <c r="A45" s="17">
        <f t="shared" si="0"/>
        <v>39</v>
      </c>
      <c r="B45" s="15" t="s">
        <v>1072</v>
      </c>
      <c r="C45" s="11" t="s">
        <v>18</v>
      </c>
      <c r="D45" s="9" t="s">
        <v>1008</v>
      </c>
      <c r="E45" s="14">
        <v>42701</v>
      </c>
      <c r="F45" s="24" t="s">
        <v>832</v>
      </c>
      <c r="G45" s="19">
        <v>1</v>
      </c>
    </row>
    <row r="46" spans="1:10" x14ac:dyDescent="0.25">
      <c r="A46" s="17">
        <f t="shared" si="0"/>
        <v>40</v>
      </c>
      <c r="B46" s="15" t="s">
        <v>1072</v>
      </c>
      <c r="C46" s="11" t="s">
        <v>18</v>
      </c>
      <c r="D46" s="9" t="s">
        <v>1009</v>
      </c>
      <c r="E46" s="14">
        <v>42701</v>
      </c>
      <c r="F46" s="24" t="s">
        <v>832</v>
      </c>
      <c r="G46" s="19">
        <v>1</v>
      </c>
    </row>
    <row r="47" spans="1:10" x14ac:dyDescent="0.25">
      <c r="A47" s="17">
        <f t="shared" si="0"/>
        <v>41</v>
      </c>
      <c r="B47" s="15" t="s">
        <v>1072</v>
      </c>
      <c r="C47" s="11" t="s">
        <v>18</v>
      </c>
      <c r="D47" s="9" t="s">
        <v>1010</v>
      </c>
      <c r="E47" s="14">
        <v>42701</v>
      </c>
      <c r="F47" s="24" t="s">
        <v>832</v>
      </c>
      <c r="G47" s="19">
        <v>1</v>
      </c>
    </row>
    <row r="48" spans="1:10" x14ac:dyDescent="0.25">
      <c r="A48" s="17">
        <f t="shared" si="0"/>
        <v>42</v>
      </c>
      <c r="B48" s="15" t="s">
        <v>1072</v>
      </c>
      <c r="C48" s="11" t="s">
        <v>18</v>
      </c>
      <c r="D48" s="9" t="s">
        <v>1011</v>
      </c>
      <c r="E48" s="14">
        <v>42701</v>
      </c>
      <c r="F48" s="24" t="s">
        <v>832</v>
      </c>
      <c r="G48" s="19">
        <v>1</v>
      </c>
    </row>
    <row r="49" spans="1:7" x14ac:dyDescent="0.25">
      <c r="A49" s="17">
        <f t="shared" si="0"/>
        <v>43</v>
      </c>
      <c r="B49" s="15" t="s">
        <v>1072</v>
      </c>
      <c r="C49" s="11" t="s">
        <v>18</v>
      </c>
      <c r="D49" s="9" t="s">
        <v>1012</v>
      </c>
      <c r="E49" s="14">
        <v>42701</v>
      </c>
      <c r="F49" s="24" t="s">
        <v>832</v>
      </c>
      <c r="G49" s="19">
        <v>1</v>
      </c>
    </row>
    <row r="50" spans="1:7" x14ac:dyDescent="0.25">
      <c r="A50" s="17">
        <f t="shared" si="0"/>
        <v>44</v>
      </c>
      <c r="B50" s="15" t="s">
        <v>1072</v>
      </c>
      <c r="C50" s="11" t="s">
        <v>18</v>
      </c>
      <c r="D50" s="9" t="s">
        <v>1013</v>
      </c>
      <c r="E50" s="14">
        <v>42701</v>
      </c>
      <c r="F50" s="24" t="s">
        <v>832</v>
      </c>
      <c r="G50" s="19">
        <v>1</v>
      </c>
    </row>
    <row r="51" spans="1:7" x14ac:dyDescent="0.25">
      <c r="A51" s="17">
        <f t="shared" si="0"/>
        <v>45</v>
      </c>
      <c r="B51" s="15" t="s">
        <v>1072</v>
      </c>
      <c r="C51" s="11" t="s">
        <v>18</v>
      </c>
      <c r="D51" s="9" t="s">
        <v>1014</v>
      </c>
      <c r="E51" s="14">
        <v>42701</v>
      </c>
      <c r="F51" s="24" t="s">
        <v>832</v>
      </c>
      <c r="G51" s="19">
        <v>1</v>
      </c>
    </row>
    <row r="52" spans="1:7" x14ac:dyDescent="0.25">
      <c r="A52" s="17">
        <f t="shared" si="0"/>
        <v>46</v>
      </c>
      <c r="B52" s="15" t="s">
        <v>1072</v>
      </c>
      <c r="C52" s="11" t="s">
        <v>18</v>
      </c>
      <c r="D52" s="9" t="s">
        <v>1015</v>
      </c>
      <c r="E52" s="14">
        <v>42701</v>
      </c>
      <c r="F52" s="24" t="s">
        <v>832</v>
      </c>
      <c r="G52" s="19">
        <v>1</v>
      </c>
    </row>
    <row r="53" spans="1:7" x14ac:dyDescent="0.25">
      <c r="A53" s="17">
        <f t="shared" si="0"/>
        <v>47</v>
      </c>
      <c r="B53" s="15" t="s">
        <v>1072</v>
      </c>
      <c r="C53" s="11" t="s">
        <v>18</v>
      </c>
      <c r="D53" s="9" t="s">
        <v>1016</v>
      </c>
      <c r="E53" s="14">
        <v>42701</v>
      </c>
      <c r="F53" s="24" t="s">
        <v>832</v>
      </c>
      <c r="G53" s="19">
        <v>1</v>
      </c>
    </row>
    <row r="54" spans="1:7" x14ac:dyDescent="0.25">
      <c r="A54" s="17">
        <f t="shared" si="0"/>
        <v>48</v>
      </c>
      <c r="B54" s="15" t="s">
        <v>1072</v>
      </c>
      <c r="C54" s="11" t="s">
        <v>18</v>
      </c>
      <c r="D54" s="9" t="s">
        <v>1017</v>
      </c>
      <c r="E54" s="14">
        <v>42701</v>
      </c>
      <c r="F54" s="24" t="s">
        <v>832</v>
      </c>
      <c r="G54" s="19">
        <v>1</v>
      </c>
    </row>
    <row r="55" spans="1:7" x14ac:dyDescent="0.25">
      <c r="A55" s="17">
        <f t="shared" si="0"/>
        <v>49</v>
      </c>
      <c r="B55" s="15" t="s">
        <v>1072</v>
      </c>
      <c r="C55" s="11" t="s">
        <v>18</v>
      </c>
      <c r="D55" s="9" t="s">
        <v>1018</v>
      </c>
      <c r="E55" s="14">
        <v>42701</v>
      </c>
      <c r="F55" s="24" t="s">
        <v>832</v>
      </c>
      <c r="G55" s="19">
        <v>1</v>
      </c>
    </row>
    <row r="56" spans="1:7" x14ac:dyDescent="0.25">
      <c r="A56" s="17">
        <f t="shared" si="0"/>
        <v>50</v>
      </c>
      <c r="B56" s="15" t="s">
        <v>1072</v>
      </c>
      <c r="C56" s="11" t="s">
        <v>18</v>
      </c>
      <c r="D56" s="9" t="s">
        <v>1019</v>
      </c>
      <c r="E56" s="14">
        <v>42701</v>
      </c>
      <c r="F56" s="24" t="s">
        <v>832</v>
      </c>
      <c r="G56" s="19">
        <v>1</v>
      </c>
    </row>
    <row r="57" spans="1:7" x14ac:dyDescent="0.25">
      <c r="A57" s="17">
        <f t="shared" si="0"/>
        <v>51</v>
      </c>
      <c r="B57" s="15" t="s">
        <v>1072</v>
      </c>
      <c r="C57" s="11" t="s">
        <v>18</v>
      </c>
      <c r="D57" s="9" t="s">
        <v>1020</v>
      </c>
      <c r="E57" s="14">
        <v>42701</v>
      </c>
      <c r="F57" s="24" t="s">
        <v>832</v>
      </c>
      <c r="G57" s="19">
        <v>1</v>
      </c>
    </row>
    <row r="58" spans="1:7" x14ac:dyDescent="0.25">
      <c r="A58" s="17">
        <f t="shared" si="0"/>
        <v>52</v>
      </c>
      <c r="B58" s="15" t="s">
        <v>1072</v>
      </c>
      <c r="C58" s="11" t="s">
        <v>18</v>
      </c>
      <c r="D58" s="9" t="s">
        <v>1021</v>
      </c>
      <c r="E58" s="14">
        <v>42701</v>
      </c>
      <c r="F58" s="24" t="s">
        <v>832</v>
      </c>
      <c r="G58" s="19">
        <v>1</v>
      </c>
    </row>
    <row r="59" spans="1:7" x14ac:dyDescent="0.25">
      <c r="A59" s="17">
        <f t="shared" si="0"/>
        <v>53</v>
      </c>
      <c r="B59" s="15" t="s">
        <v>1072</v>
      </c>
      <c r="C59" s="11" t="s">
        <v>18</v>
      </c>
      <c r="D59" s="9" t="s">
        <v>1022</v>
      </c>
      <c r="E59" s="14">
        <v>42701</v>
      </c>
      <c r="F59" s="24" t="s">
        <v>832</v>
      </c>
      <c r="G59" s="19">
        <v>1</v>
      </c>
    </row>
    <row r="60" spans="1:7" x14ac:dyDescent="0.25">
      <c r="A60" s="17">
        <f t="shared" si="0"/>
        <v>54</v>
      </c>
      <c r="B60" s="15" t="s">
        <v>1072</v>
      </c>
      <c r="C60" s="11" t="s">
        <v>18</v>
      </c>
      <c r="D60" s="9" t="s">
        <v>1023</v>
      </c>
      <c r="E60" s="14">
        <v>42701</v>
      </c>
      <c r="F60" s="24" t="s">
        <v>832</v>
      </c>
      <c r="G60" s="19">
        <v>1</v>
      </c>
    </row>
    <row r="61" spans="1:7" x14ac:dyDescent="0.25">
      <c r="A61" s="17">
        <f t="shared" si="0"/>
        <v>55</v>
      </c>
      <c r="B61" s="15" t="s">
        <v>1072</v>
      </c>
      <c r="C61" s="11" t="s">
        <v>18</v>
      </c>
      <c r="D61" s="9" t="s">
        <v>1024</v>
      </c>
      <c r="E61" s="14">
        <v>42701</v>
      </c>
      <c r="F61" s="24" t="s">
        <v>832</v>
      </c>
      <c r="G61" s="19">
        <v>1</v>
      </c>
    </row>
    <row r="62" spans="1:7" x14ac:dyDescent="0.25">
      <c r="A62" s="17">
        <f t="shared" si="0"/>
        <v>56</v>
      </c>
      <c r="B62" s="15" t="s">
        <v>1072</v>
      </c>
      <c r="C62" s="11" t="s">
        <v>18</v>
      </c>
      <c r="D62" s="9" t="s">
        <v>1025</v>
      </c>
      <c r="E62" s="14">
        <v>42701</v>
      </c>
      <c r="F62" s="24" t="s">
        <v>832</v>
      </c>
      <c r="G62" s="19">
        <v>1</v>
      </c>
    </row>
    <row r="63" spans="1:7" x14ac:dyDescent="0.25">
      <c r="A63" s="17">
        <f t="shared" si="0"/>
        <v>57</v>
      </c>
      <c r="B63" s="15" t="s">
        <v>1072</v>
      </c>
      <c r="C63" s="11" t="s">
        <v>18</v>
      </c>
      <c r="D63" s="9" t="s">
        <v>1026</v>
      </c>
      <c r="E63" s="14">
        <v>42701</v>
      </c>
      <c r="F63" s="24" t="s">
        <v>832</v>
      </c>
      <c r="G63" s="19">
        <v>1</v>
      </c>
    </row>
    <row r="64" spans="1:7" x14ac:dyDescent="0.25">
      <c r="A64" s="17">
        <f t="shared" si="0"/>
        <v>58</v>
      </c>
      <c r="B64" s="15" t="s">
        <v>1072</v>
      </c>
      <c r="C64" s="11" t="s">
        <v>18</v>
      </c>
      <c r="D64" s="9" t="s">
        <v>1027</v>
      </c>
      <c r="E64" s="14">
        <v>42701</v>
      </c>
      <c r="F64" s="24" t="s">
        <v>832</v>
      </c>
      <c r="G64" s="19">
        <v>1</v>
      </c>
    </row>
    <row r="65" spans="1:7" x14ac:dyDescent="0.25">
      <c r="A65" s="17">
        <f t="shared" si="0"/>
        <v>59</v>
      </c>
      <c r="B65" s="15" t="s">
        <v>1072</v>
      </c>
      <c r="C65" s="11" t="s">
        <v>18</v>
      </c>
      <c r="D65" s="9" t="s">
        <v>1028</v>
      </c>
      <c r="E65" s="14">
        <v>42701</v>
      </c>
      <c r="F65" s="24" t="s">
        <v>832</v>
      </c>
      <c r="G65" s="19">
        <v>1</v>
      </c>
    </row>
    <row r="66" spans="1:7" x14ac:dyDescent="0.25">
      <c r="A66" s="17">
        <f t="shared" si="0"/>
        <v>60</v>
      </c>
      <c r="B66" s="15" t="s">
        <v>1072</v>
      </c>
      <c r="C66" s="11" t="s">
        <v>18</v>
      </c>
      <c r="D66" s="9" t="s">
        <v>1029</v>
      </c>
      <c r="E66" s="14">
        <v>42701</v>
      </c>
      <c r="F66" s="24" t="s">
        <v>832</v>
      </c>
      <c r="G66" s="19">
        <v>1</v>
      </c>
    </row>
    <row r="67" spans="1:7" x14ac:dyDescent="0.25">
      <c r="A67" s="17">
        <f t="shared" si="0"/>
        <v>61</v>
      </c>
      <c r="B67" s="15" t="s">
        <v>1072</v>
      </c>
      <c r="C67" s="11" t="s">
        <v>18</v>
      </c>
      <c r="D67" s="9" t="s">
        <v>1030</v>
      </c>
      <c r="E67" s="14">
        <v>42701</v>
      </c>
      <c r="F67" s="24" t="s">
        <v>832</v>
      </c>
      <c r="G67" s="19">
        <v>1</v>
      </c>
    </row>
    <row r="68" spans="1:7" x14ac:dyDescent="0.25">
      <c r="A68" s="17">
        <f t="shared" si="0"/>
        <v>62</v>
      </c>
      <c r="B68" s="15" t="s">
        <v>1072</v>
      </c>
      <c r="C68" s="11" t="s">
        <v>18</v>
      </c>
      <c r="D68" s="9" t="s">
        <v>1031</v>
      </c>
      <c r="E68" s="14">
        <v>42701</v>
      </c>
      <c r="F68" s="24" t="s">
        <v>832</v>
      </c>
      <c r="G68" s="19">
        <v>1</v>
      </c>
    </row>
    <row r="69" spans="1:7" x14ac:dyDescent="0.25">
      <c r="A69" s="17">
        <f t="shared" si="0"/>
        <v>63</v>
      </c>
      <c r="B69" s="15" t="s">
        <v>1072</v>
      </c>
      <c r="C69" s="11" t="s">
        <v>18</v>
      </c>
      <c r="D69" s="9" t="s">
        <v>1032</v>
      </c>
      <c r="E69" s="14">
        <v>42701</v>
      </c>
      <c r="F69" s="24" t="s">
        <v>832</v>
      </c>
      <c r="G69" s="19">
        <v>1</v>
      </c>
    </row>
    <row r="70" spans="1:7" x14ac:dyDescent="0.25">
      <c r="A70" s="17">
        <f t="shared" si="0"/>
        <v>64</v>
      </c>
      <c r="B70" s="15" t="s">
        <v>1072</v>
      </c>
      <c r="C70" s="11" t="s">
        <v>18</v>
      </c>
      <c r="D70" s="9" t="s">
        <v>1033</v>
      </c>
      <c r="E70" s="14">
        <v>42701</v>
      </c>
      <c r="F70" s="24" t="s">
        <v>832</v>
      </c>
      <c r="G70" s="19">
        <v>1</v>
      </c>
    </row>
    <row r="71" spans="1:7" x14ac:dyDescent="0.25">
      <c r="A71" s="17">
        <f t="shared" si="0"/>
        <v>65</v>
      </c>
      <c r="B71" s="15" t="s">
        <v>1072</v>
      </c>
      <c r="C71" s="11" t="s">
        <v>18</v>
      </c>
      <c r="D71" s="9" t="s">
        <v>1034</v>
      </c>
      <c r="E71" s="14">
        <v>42701</v>
      </c>
      <c r="F71" s="24" t="s">
        <v>832</v>
      </c>
      <c r="G71" s="19">
        <v>1</v>
      </c>
    </row>
    <row r="72" spans="1:7" x14ac:dyDescent="0.25">
      <c r="A72" s="17">
        <f t="shared" si="0"/>
        <v>66</v>
      </c>
      <c r="B72" s="15" t="s">
        <v>1072</v>
      </c>
      <c r="C72" s="11" t="s">
        <v>18</v>
      </c>
      <c r="D72" s="9" t="s">
        <v>1035</v>
      </c>
      <c r="E72" s="14">
        <v>42701</v>
      </c>
      <c r="F72" s="24" t="s">
        <v>832</v>
      </c>
      <c r="G72" s="19">
        <v>1</v>
      </c>
    </row>
    <row r="73" spans="1:7" x14ac:dyDescent="0.25">
      <c r="A73" s="17">
        <f t="shared" si="0"/>
        <v>67</v>
      </c>
      <c r="B73" s="15" t="s">
        <v>1072</v>
      </c>
      <c r="C73" s="11" t="s">
        <v>18</v>
      </c>
      <c r="D73" s="9" t="s">
        <v>1036</v>
      </c>
      <c r="E73" s="14">
        <v>42701</v>
      </c>
      <c r="F73" s="24" t="s">
        <v>832</v>
      </c>
      <c r="G73" s="19">
        <v>1</v>
      </c>
    </row>
    <row r="74" spans="1:7" x14ac:dyDescent="0.25">
      <c r="A74" s="17">
        <f t="shared" si="0"/>
        <v>68</v>
      </c>
      <c r="B74" s="15" t="s">
        <v>1072</v>
      </c>
      <c r="C74" s="11" t="s">
        <v>18</v>
      </c>
      <c r="D74" s="9" t="s">
        <v>1037</v>
      </c>
      <c r="E74" s="14">
        <v>42701</v>
      </c>
      <c r="F74" s="24" t="s">
        <v>832</v>
      </c>
      <c r="G74" s="19">
        <v>1</v>
      </c>
    </row>
    <row r="75" spans="1:7" x14ac:dyDescent="0.25">
      <c r="A75" s="17">
        <f t="shared" si="0"/>
        <v>69</v>
      </c>
      <c r="B75" s="15" t="s">
        <v>1072</v>
      </c>
      <c r="C75" s="11" t="s">
        <v>18</v>
      </c>
      <c r="D75" s="9" t="s">
        <v>1038</v>
      </c>
      <c r="E75" s="14">
        <v>42701</v>
      </c>
      <c r="F75" s="24" t="s">
        <v>832</v>
      </c>
      <c r="G75" s="19">
        <v>1</v>
      </c>
    </row>
    <row r="76" spans="1:7" x14ac:dyDescent="0.25">
      <c r="A76" s="17">
        <f t="shared" si="0"/>
        <v>70</v>
      </c>
      <c r="B76" s="15" t="s">
        <v>1072</v>
      </c>
      <c r="C76" s="11" t="s">
        <v>18</v>
      </c>
      <c r="D76" s="9" t="s">
        <v>1039</v>
      </c>
      <c r="E76" s="14">
        <v>42701</v>
      </c>
      <c r="F76" s="24" t="s">
        <v>832</v>
      </c>
      <c r="G76" s="19">
        <v>1</v>
      </c>
    </row>
    <row r="77" spans="1:7" x14ac:dyDescent="0.25">
      <c r="A77" s="17">
        <f t="shared" si="0"/>
        <v>71</v>
      </c>
      <c r="B77" s="15" t="s">
        <v>1072</v>
      </c>
      <c r="C77" s="11" t="s">
        <v>18</v>
      </c>
      <c r="D77" s="9" t="s">
        <v>1040</v>
      </c>
      <c r="E77" s="14">
        <v>42701</v>
      </c>
      <c r="F77" s="24" t="s">
        <v>832</v>
      </c>
      <c r="G77" s="19">
        <v>1</v>
      </c>
    </row>
    <row r="78" spans="1:7" x14ac:dyDescent="0.25">
      <c r="A78" s="17">
        <f t="shared" si="0"/>
        <v>72</v>
      </c>
      <c r="B78" s="15" t="s">
        <v>1072</v>
      </c>
      <c r="C78" s="11" t="s">
        <v>18</v>
      </c>
      <c r="D78" s="9" t="s">
        <v>1041</v>
      </c>
      <c r="E78" s="14">
        <v>42701</v>
      </c>
      <c r="F78" s="24" t="s">
        <v>832</v>
      </c>
      <c r="G78" s="19">
        <v>1</v>
      </c>
    </row>
    <row r="79" spans="1:7" x14ac:dyDescent="0.25">
      <c r="A79" s="17">
        <f t="shared" si="0"/>
        <v>73</v>
      </c>
      <c r="B79" s="15" t="s">
        <v>1072</v>
      </c>
      <c r="C79" s="11" t="s">
        <v>18</v>
      </c>
      <c r="D79" s="9" t="s">
        <v>1042</v>
      </c>
      <c r="E79" s="14">
        <v>42701</v>
      </c>
      <c r="F79" s="24" t="s">
        <v>832</v>
      </c>
      <c r="G79" s="19">
        <v>1</v>
      </c>
    </row>
    <row r="80" spans="1:7" x14ac:dyDescent="0.25">
      <c r="A80" s="17">
        <f t="shared" si="0"/>
        <v>74</v>
      </c>
      <c r="B80" s="15" t="s">
        <v>1072</v>
      </c>
      <c r="C80" s="11" t="s">
        <v>18</v>
      </c>
      <c r="D80" s="9" t="s">
        <v>1043</v>
      </c>
      <c r="E80" s="14">
        <v>42701</v>
      </c>
      <c r="F80" s="24" t="s">
        <v>832</v>
      </c>
      <c r="G80" s="19">
        <v>1</v>
      </c>
    </row>
    <row r="81" spans="1:7" x14ac:dyDescent="0.25">
      <c r="A81" s="17">
        <f t="shared" si="0"/>
        <v>75</v>
      </c>
      <c r="B81" s="15" t="s">
        <v>1072</v>
      </c>
      <c r="C81" s="11" t="s">
        <v>18</v>
      </c>
      <c r="D81" s="9" t="s">
        <v>1044</v>
      </c>
      <c r="E81" s="14">
        <v>42701</v>
      </c>
      <c r="F81" s="24" t="s">
        <v>832</v>
      </c>
      <c r="G81" s="19">
        <v>1</v>
      </c>
    </row>
    <row r="82" spans="1:7" x14ac:dyDescent="0.25">
      <c r="A82" s="17">
        <f t="shared" si="0"/>
        <v>76</v>
      </c>
      <c r="B82" s="15" t="s">
        <v>1072</v>
      </c>
      <c r="C82" s="11" t="s">
        <v>18</v>
      </c>
      <c r="D82" s="9" t="s">
        <v>1045</v>
      </c>
      <c r="E82" s="14">
        <v>42701</v>
      </c>
      <c r="F82" s="24" t="s">
        <v>832</v>
      </c>
      <c r="G82" s="19">
        <v>1</v>
      </c>
    </row>
    <row r="83" spans="1:7" x14ac:dyDescent="0.25">
      <c r="A83" s="17">
        <f t="shared" si="0"/>
        <v>77</v>
      </c>
      <c r="B83" s="15" t="s">
        <v>1072</v>
      </c>
      <c r="C83" s="11" t="s">
        <v>18</v>
      </c>
      <c r="D83" s="9" t="s">
        <v>1046</v>
      </c>
      <c r="E83" s="14">
        <v>42701</v>
      </c>
      <c r="F83" s="24" t="s">
        <v>832</v>
      </c>
      <c r="G83" s="19">
        <v>1</v>
      </c>
    </row>
    <row r="84" spans="1:7" x14ac:dyDescent="0.25">
      <c r="A84" s="17">
        <f t="shared" si="0"/>
        <v>78</v>
      </c>
      <c r="B84" s="15" t="s">
        <v>1072</v>
      </c>
      <c r="C84" s="11" t="s">
        <v>18</v>
      </c>
      <c r="D84" s="9" t="s">
        <v>1047</v>
      </c>
      <c r="E84" s="14">
        <v>42701</v>
      </c>
      <c r="F84" s="24" t="s">
        <v>832</v>
      </c>
      <c r="G84" s="19">
        <v>1</v>
      </c>
    </row>
    <row r="85" spans="1:7" x14ac:dyDescent="0.25">
      <c r="A85" s="17">
        <f t="shared" si="0"/>
        <v>79</v>
      </c>
      <c r="B85" s="15" t="s">
        <v>1072</v>
      </c>
      <c r="C85" s="11" t="s">
        <v>18</v>
      </c>
      <c r="D85" s="9" t="s">
        <v>1048</v>
      </c>
      <c r="E85" s="14">
        <v>42701</v>
      </c>
      <c r="F85" s="24" t="s">
        <v>832</v>
      </c>
      <c r="G85" s="19">
        <v>1</v>
      </c>
    </row>
    <row r="86" spans="1:7" x14ac:dyDescent="0.25">
      <c r="A86" s="17">
        <f t="shared" si="0"/>
        <v>80</v>
      </c>
      <c r="B86" s="15" t="s">
        <v>1072</v>
      </c>
      <c r="C86" s="11" t="s">
        <v>18</v>
      </c>
      <c r="D86" s="9" t="s">
        <v>1049</v>
      </c>
      <c r="E86" s="14">
        <v>42701</v>
      </c>
      <c r="F86" s="24" t="s">
        <v>832</v>
      </c>
      <c r="G86" s="19">
        <v>1</v>
      </c>
    </row>
    <row r="87" spans="1:7" x14ac:dyDescent="0.25">
      <c r="A87" s="17">
        <f t="shared" si="0"/>
        <v>81</v>
      </c>
      <c r="B87" s="15" t="s">
        <v>1072</v>
      </c>
      <c r="C87" s="11" t="s">
        <v>18</v>
      </c>
      <c r="D87" s="9" t="s">
        <v>1050</v>
      </c>
      <c r="E87" s="14">
        <v>42701</v>
      </c>
      <c r="F87" s="24" t="s">
        <v>832</v>
      </c>
      <c r="G87" s="19">
        <v>1</v>
      </c>
    </row>
    <row r="88" spans="1:7" x14ac:dyDescent="0.25">
      <c r="A88" s="17">
        <f t="shared" si="0"/>
        <v>82</v>
      </c>
      <c r="B88" s="15" t="s">
        <v>1072</v>
      </c>
      <c r="C88" s="11" t="s">
        <v>18</v>
      </c>
      <c r="D88" s="9" t="s">
        <v>1051</v>
      </c>
      <c r="E88" s="14">
        <v>42701</v>
      </c>
      <c r="F88" s="24" t="s">
        <v>832</v>
      </c>
      <c r="G88" s="19">
        <v>1</v>
      </c>
    </row>
    <row r="89" spans="1:7" x14ac:dyDescent="0.25">
      <c r="A89" s="17">
        <f t="shared" si="0"/>
        <v>83</v>
      </c>
      <c r="B89" s="15" t="s">
        <v>1072</v>
      </c>
      <c r="C89" s="11" t="s">
        <v>18</v>
      </c>
      <c r="D89" s="9" t="s">
        <v>1052</v>
      </c>
      <c r="E89" s="14">
        <v>42701</v>
      </c>
      <c r="F89" s="24" t="s">
        <v>832</v>
      </c>
      <c r="G89" s="19">
        <v>1</v>
      </c>
    </row>
    <row r="90" spans="1:7" x14ac:dyDescent="0.25">
      <c r="A90" s="17">
        <f t="shared" si="0"/>
        <v>84</v>
      </c>
      <c r="B90" s="15" t="s">
        <v>1072</v>
      </c>
      <c r="C90" s="11" t="s">
        <v>18</v>
      </c>
      <c r="D90" s="9" t="s">
        <v>1053</v>
      </c>
      <c r="E90" s="14">
        <v>42701</v>
      </c>
      <c r="F90" s="24" t="s">
        <v>832</v>
      </c>
      <c r="G90" s="19">
        <v>1</v>
      </c>
    </row>
    <row r="91" spans="1:7" x14ac:dyDescent="0.25">
      <c r="A91" s="17">
        <f t="shared" si="0"/>
        <v>85</v>
      </c>
      <c r="B91" s="15" t="s">
        <v>1072</v>
      </c>
      <c r="C91" s="11" t="s">
        <v>18</v>
      </c>
      <c r="D91" s="9" t="s">
        <v>1054</v>
      </c>
      <c r="E91" s="14">
        <v>42701</v>
      </c>
      <c r="F91" s="24" t="s">
        <v>832</v>
      </c>
      <c r="G91" s="19">
        <v>1</v>
      </c>
    </row>
    <row r="92" spans="1:7" x14ac:dyDescent="0.25">
      <c r="A92" s="17">
        <f t="shared" si="0"/>
        <v>86</v>
      </c>
      <c r="B92" s="15" t="s">
        <v>1072</v>
      </c>
      <c r="C92" s="11" t="s">
        <v>18</v>
      </c>
      <c r="D92" s="9" t="s">
        <v>1055</v>
      </c>
      <c r="E92" s="14">
        <v>42701</v>
      </c>
      <c r="F92" s="24" t="s">
        <v>832</v>
      </c>
      <c r="G92" s="19">
        <v>1</v>
      </c>
    </row>
    <row r="93" spans="1:7" x14ac:dyDescent="0.25">
      <c r="A93" s="17">
        <f t="shared" si="0"/>
        <v>87</v>
      </c>
      <c r="B93" s="15" t="s">
        <v>1072</v>
      </c>
      <c r="C93" s="11" t="s">
        <v>18</v>
      </c>
      <c r="D93" s="9" t="s">
        <v>1056</v>
      </c>
      <c r="E93" s="14">
        <v>42701</v>
      </c>
      <c r="F93" s="24" t="s">
        <v>832</v>
      </c>
      <c r="G93" s="19">
        <v>1</v>
      </c>
    </row>
    <row r="94" spans="1:7" x14ac:dyDescent="0.25">
      <c r="A94" s="17">
        <f t="shared" si="0"/>
        <v>88</v>
      </c>
      <c r="B94" s="15" t="s">
        <v>1072</v>
      </c>
      <c r="C94" s="11" t="s">
        <v>18</v>
      </c>
      <c r="D94" s="9" t="s">
        <v>1057</v>
      </c>
      <c r="E94" s="14">
        <v>42701</v>
      </c>
      <c r="F94" s="24" t="s">
        <v>832</v>
      </c>
      <c r="G94" s="19">
        <v>1</v>
      </c>
    </row>
    <row r="95" spans="1:7" x14ac:dyDescent="0.25">
      <c r="A95" s="17">
        <f t="shared" si="0"/>
        <v>89</v>
      </c>
      <c r="B95" s="15" t="s">
        <v>1072</v>
      </c>
      <c r="C95" s="11" t="s">
        <v>18</v>
      </c>
      <c r="D95" s="9" t="s">
        <v>1058</v>
      </c>
      <c r="E95" s="14">
        <v>42701</v>
      </c>
      <c r="F95" s="24" t="s">
        <v>832</v>
      </c>
      <c r="G95" s="19">
        <v>1</v>
      </c>
    </row>
    <row r="96" spans="1:7" x14ac:dyDescent="0.25">
      <c r="A96" s="17">
        <f t="shared" si="0"/>
        <v>90</v>
      </c>
      <c r="B96" s="15" t="s">
        <v>1072</v>
      </c>
      <c r="C96" s="11" t="s">
        <v>18</v>
      </c>
      <c r="D96" s="9" t="s">
        <v>1059</v>
      </c>
      <c r="E96" s="14">
        <v>42701</v>
      </c>
      <c r="F96" s="24" t="s">
        <v>832</v>
      </c>
      <c r="G96" s="19">
        <v>1</v>
      </c>
    </row>
    <row r="97" spans="1:8" x14ac:dyDescent="0.25">
      <c r="A97" s="17">
        <f t="shared" si="0"/>
        <v>91</v>
      </c>
      <c r="B97" s="15" t="s">
        <v>1072</v>
      </c>
      <c r="C97" s="11" t="s">
        <v>18</v>
      </c>
      <c r="D97" s="9" t="s">
        <v>1060</v>
      </c>
      <c r="E97" s="14">
        <v>42701</v>
      </c>
      <c r="F97" s="24" t="s">
        <v>832</v>
      </c>
      <c r="G97" s="19">
        <v>1</v>
      </c>
    </row>
    <row r="98" spans="1:8" x14ac:dyDescent="0.25">
      <c r="A98" s="17">
        <f t="shared" si="0"/>
        <v>92</v>
      </c>
      <c r="B98" s="15" t="s">
        <v>1072</v>
      </c>
      <c r="C98" s="11" t="s">
        <v>18</v>
      </c>
      <c r="D98" s="9" t="s">
        <v>1061</v>
      </c>
      <c r="E98" s="14">
        <v>42701</v>
      </c>
      <c r="F98" s="24" t="s">
        <v>832</v>
      </c>
      <c r="G98" s="19">
        <v>1</v>
      </c>
    </row>
    <row r="99" spans="1:8" x14ac:dyDescent="0.25">
      <c r="A99" s="17">
        <f t="shared" si="0"/>
        <v>93</v>
      </c>
      <c r="B99" s="15" t="s">
        <v>1072</v>
      </c>
      <c r="C99" s="11" t="s">
        <v>18</v>
      </c>
      <c r="D99" s="9" t="s">
        <v>1062</v>
      </c>
      <c r="E99" s="14">
        <v>42701</v>
      </c>
      <c r="F99" s="24" t="s">
        <v>832</v>
      </c>
      <c r="G99" s="19">
        <v>1</v>
      </c>
    </row>
    <row r="100" spans="1:8" x14ac:dyDescent="0.25">
      <c r="A100" s="17">
        <f t="shared" si="0"/>
        <v>94</v>
      </c>
      <c r="B100" s="15" t="s">
        <v>1072</v>
      </c>
      <c r="C100" s="11" t="s">
        <v>18</v>
      </c>
      <c r="D100" s="9" t="s">
        <v>1063</v>
      </c>
      <c r="E100" s="14">
        <v>42701</v>
      </c>
      <c r="F100" s="24" t="s">
        <v>832</v>
      </c>
      <c r="G100" s="19">
        <v>1</v>
      </c>
    </row>
    <row r="101" spans="1:8" x14ac:dyDescent="0.25">
      <c r="A101" s="17">
        <f t="shared" si="0"/>
        <v>95</v>
      </c>
      <c r="B101" s="15" t="s">
        <v>1072</v>
      </c>
      <c r="C101" s="11" t="s">
        <v>18</v>
      </c>
      <c r="D101" s="9" t="s">
        <v>1064</v>
      </c>
      <c r="E101" s="14">
        <v>42701</v>
      </c>
      <c r="F101" s="24" t="s">
        <v>832</v>
      </c>
      <c r="G101" s="19">
        <v>1</v>
      </c>
    </row>
    <row r="102" spans="1:8" x14ac:dyDescent="0.25">
      <c r="A102" s="17">
        <f t="shared" si="0"/>
        <v>96</v>
      </c>
      <c r="B102" s="15" t="s">
        <v>1072</v>
      </c>
      <c r="C102" s="11" t="s">
        <v>18</v>
      </c>
      <c r="D102" s="9" t="s">
        <v>1065</v>
      </c>
      <c r="E102" s="14">
        <v>42701</v>
      </c>
      <c r="F102" s="24" t="s">
        <v>832</v>
      </c>
      <c r="G102" s="19">
        <v>1</v>
      </c>
    </row>
    <row r="103" spans="1:8" x14ac:dyDescent="0.25">
      <c r="A103" s="17">
        <f t="shared" si="0"/>
        <v>97</v>
      </c>
      <c r="B103" s="15" t="s">
        <v>1072</v>
      </c>
      <c r="C103" s="11" t="s">
        <v>18</v>
      </c>
      <c r="D103" s="9" t="s">
        <v>1066</v>
      </c>
      <c r="E103" s="14">
        <v>42701</v>
      </c>
      <c r="F103" s="24" t="s">
        <v>832</v>
      </c>
      <c r="G103" s="19">
        <v>1</v>
      </c>
    </row>
    <row r="104" spans="1:8" x14ac:dyDescent="0.25">
      <c r="A104" s="17">
        <f t="shared" si="0"/>
        <v>98</v>
      </c>
      <c r="B104" s="15" t="s">
        <v>1072</v>
      </c>
      <c r="C104" s="11" t="s">
        <v>18</v>
      </c>
      <c r="D104" s="9" t="s">
        <v>1067</v>
      </c>
      <c r="E104" s="14">
        <v>42701</v>
      </c>
      <c r="F104" s="24" t="s">
        <v>832</v>
      </c>
      <c r="G104" s="19">
        <v>1</v>
      </c>
    </row>
    <row r="105" spans="1:8" x14ac:dyDescent="0.25">
      <c r="A105" s="17">
        <f t="shared" si="0"/>
        <v>99</v>
      </c>
      <c r="B105" s="15" t="s">
        <v>1072</v>
      </c>
      <c r="C105" s="11" t="s">
        <v>18</v>
      </c>
      <c r="D105" s="9" t="s">
        <v>1068</v>
      </c>
      <c r="E105" s="14">
        <v>42701</v>
      </c>
      <c r="F105" s="24" t="s">
        <v>832</v>
      </c>
      <c r="G105" s="19">
        <v>1</v>
      </c>
    </row>
    <row r="106" spans="1:8" x14ac:dyDescent="0.25">
      <c r="A106" s="17">
        <f t="shared" si="0"/>
        <v>100</v>
      </c>
      <c r="B106" s="15" t="s">
        <v>1072</v>
      </c>
      <c r="C106" s="11" t="s">
        <v>18</v>
      </c>
      <c r="D106" s="9" t="s">
        <v>1069</v>
      </c>
      <c r="E106" s="14">
        <v>42701</v>
      </c>
      <c r="F106" s="24" t="s">
        <v>832</v>
      </c>
      <c r="G106" s="19">
        <v>1</v>
      </c>
    </row>
    <row r="107" spans="1:8" x14ac:dyDescent="0.25">
      <c r="A107" s="17">
        <f t="shared" si="0"/>
        <v>101</v>
      </c>
      <c r="B107" s="15" t="s">
        <v>1072</v>
      </c>
      <c r="C107" s="11" t="s">
        <v>18</v>
      </c>
      <c r="D107" s="9" t="s">
        <v>1070</v>
      </c>
      <c r="E107" s="14">
        <v>42701</v>
      </c>
      <c r="F107" s="24" t="s">
        <v>832</v>
      </c>
      <c r="G107" s="19">
        <v>1</v>
      </c>
    </row>
    <row r="108" spans="1:8" x14ac:dyDescent="0.25">
      <c r="A108" s="17">
        <f t="shared" si="0"/>
        <v>102</v>
      </c>
      <c r="B108" s="15" t="s">
        <v>1072</v>
      </c>
      <c r="C108" s="11" t="s">
        <v>18</v>
      </c>
      <c r="D108" s="9" t="s">
        <v>1071</v>
      </c>
      <c r="E108" s="14">
        <v>42701</v>
      </c>
      <c r="F108" s="24" t="s">
        <v>832</v>
      </c>
      <c r="G108" s="19">
        <v>1</v>
      </c>
    </row>
    <row r="109" spans="1:8" x14ac:dyDescent="0.25">
      <c r="A109" s="17">
        <f t="shared" si="0"/>
        <v>103</v>
      </c>
      <c r="B109" s="15" t="s">
        <v>1197</v>
      </c>
      <c r="C109" s="11">
        <v>30</v>
      </c>
      <c r="D109" s="9" t="s">
        <v>869</v>
      </c>
      <c r="E109" s="14">
        <v>42702</v>
      </c>
      <c r="F109" s="24" t="s">
        <v>922</v>
      </c>
      <c r="G109" s="19">
        <v>1</v>
      </c>
      <c r="H109" s="52" t="s">
        <v>870</v>
      </c>
    </row>
    <row r="110" spans="1:8" x14ac:dyDescent="0.25">
      <c r="A110" s="17">
        <f t="shared" si="0"/>
        <v>104</v>
      </c>
      <c r="B110" s="15" t="s">
        <v>1221</v>
      </c>
      <c r="C110" s="11" t="s">
        <v>18</v>
      </c>
      <c r="D110" s="9" t="s">
        <v>871</v>
      </c>
      <c r="E110" s="14">
        <v>42703</v>
      </c>
      <c r="F110" s="24" t="s">
        <v>872</v>
      </c>
      <c r="G110" s="19">
        <v>1</v>
      </c>
      <c r="H110" s="52" t="s">
        <v>873</v>
      </c>
    </row>
    <row r="111" spans="1:8" x14ac:dyDescent="0.25">
      <c r="A111" s="17">
        <f t="shared" si="0"/>
        <v>105</v>
      </c>
      <c r="B111" s="15" t="s">
        <v>1223</v>
      </c>
      <c r="C111" s="11" t="s">
        <v>18</v>
      </c>
      <c r="D111" s="9" t="s">
        <v>874</v>
      </c>
      <c r="E111" s="14">
        <v>42704</v>
      </c>
      <c r="F111" s="24" t="s">
        <v>875</v>
      </c>
      <c r="G111" s="19">
        <v>1</v>
      </c>
      <c r="H111" s="52" t="s">
        <v>876</v>
      </c>
    </row>
    <row r="112" spans="1:8" x14ac:dyDescent="0.25">
      <c r="A112" s="17">
        <f t="shared" si="0"/>
        <v>106</v>
      </c>
      <c r="B112" s="15" t="s">
        <v>1222</v>
      </c>
      <c r="C112" s="11" t="s">
        <v>18</v>
      </c>
      <c r="D112" s="9" t="s">
        <v>877</v>
      </c>
      <c r="E112" s="14">
        <v>42704</v>
      </c>
      <c r="F112" s="24" t="s">
        <v>878</v>
      </c>
      <c r="G112" s="19">
        <v>1</v>
      </c>
      <c r="H112" s="52" t="s">
        <v>879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180" verticalDpi="180" r:id="rId1"/>
  <headerFoot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43" workbookViewId="0">
      <selection activeCell="B9" sqref="B9"/>
    </sheetView>
  </sheetViews>
  <sheetFormatPr baseColWidth="10" defaultColWidth="11.42578125" defaultRowHeight="15" x14ac:dyDescent="0.25"/>
  <cols>
    <col min="1" max="1" width="8.85546875" bestFit="1" customWidth="1"/>
    <col min="2" max="3" width="10.28515625" customWidth="1"/>
    <col min="4" max="4" width="13.7109375" bestFit="1" customWidth="1"/>
    <col min="6" max="6" width="14.140625" bestFit="1" customWidth="1"/>
    <col min="7" max="7" width="2.42578125" hidden="1" customWidth="1"/>
    <col min="8" max="8" width="24.42578125" bestFit="1" customWidth="1"/>
  </cols>
  <sheetData>
    <row r="1" spans="1:11" ht="18" x14ac:dyDescent="0.25">
      <c r="A1" s="54" t="s">
        <v>0</v>
      </c>
      <c r="B1" s="54"/>
      <c r="C1" s="5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58" t="s">
        <v>2</v>
      </c>
      <c r="B2" s="58"/>
      <c r="C2" s="58"/>
      <c r="D2" s="6"/>
      <c r="E2" s="5" t="s">
        <v>3</v>
      </c>
      <c r="F2" s="5"/>
      <c r="G2" s="4"/>
      <c r="H2" s="4"/>
      <c r="I2" s="55" t="s">
        <v>4</v>
      </c>
      <c r="J2" s="56"/>
      <c r="K2" s="20">
        <f>SUMIF(F7:F95,"Elimination*",G7:G95)</f>
        <v>15</v>
      </c>
    </row>
    <row r="3" spans="1:11" x14ac:dyDescent="0.25">
      <c r="A3" s="59" t="s">
        <v>5</v>
      </c>
      <c r="B3" s="59"/>
      <c r="C3" s="59"/>
      <c r="D3" s="5"/>
      <c r="E3" s="4" t="s">
        <v>6</v>
      </c>
      <c r="F3" s="4"/>
      <c r="G3" s="4"/>
      <c r="H3" s="4"/>
      <c r="I3" s="55" t="s">
        <v>7</v>
      </c>
      <c r="J3" s="56"/>
      <c r="K3" s="20">
        <f>SUMIF(F7:F95,"NB*",G7:G95)</f>
        <v>27</v>
      </c>
    </row>
    <row r="4" spans="1:11" ht="18" x14ac:dyDescent="0.25">
      <c r="A4" s="54" t="s">
        <v>8</v>
      </c>
      <c r="B4" s="54"/>
      <c r="C4" s="54"/>
      <c r="D4" s="54"/>
      <c r="E4" s="54"/>
      <c r="F4" s="54"/>
      <c r="G4" s="4"/>
      <c r="H4" s="4"/>
      <c r="I4" s="55" t="s">
        <v>9</v>
      </c>
      <c r="J4" s="56"/>
      <c r="K4" s="20">
        <f>SUMIF(F7:F275,"Ve*",G7:G275)</f>
        <v>3</v>
      </c>
    </row>
    <row r="5" spans="1:11" ht="15.75" x14ac:dyDescent="0.25">
      <c r="A5" s="57" t="s">
        <v>880</v>
      </c>
      <c r="B5" s="57"/>
      <c r="C5" s="57"/>
      <c r="D5" s="57"/>
      <c r="E5" s="57"/>
      <c r="F5" s="57"/>
      <c r="G5" s="21"/>
      <c r="H5" s="21"/>
      <c r="I5" s="55" t="s">
        <v>10</v>
      </c>
      <c r="J5" s="56"/>
      <c r="K5" s="23">
        <f>SUM(K2:K4)</f>
        <v>45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5" t="s">
        <v>1198</v>
      </c>
      <c r="C7" s="11" t="s">
        <v>18</v>
      </c>
      <c r="D7" s="9" t="s">
        <v>882</v>
      </c>
      <c r="E7" s="14">
        <v>42705</v>
      </c>
      <c r="F7" s="24" t="s">
        <v>883</v>
      </c>
      <c r="G7" s="19">
        <v>1</v>
      </c>
      <c r="H7" s="47" t="s">
        <v>886</v>
      </c>
      <c r="I7" s="18"/>
      <c r="J7" s="18"/>
      <c r="K7" s="1"/>
    </row>
    <row r="8" spans="1:11" x14ac:dyDescent="0.25">
      <c r="A8" s="17">
        <f>+A7+1</f>
        <v>2</v>
      </c>
      <c r="B8" s="15" t="s">
        <v>1240</v>
      </c>
      <c r="C8" s="11" t="s">
        <v>18</v>
      </c>
      <c r="D8" s="9" t="s">
        <v>881</v>
      </c>
      <c r="E8" s="14">
        <v>42708</v>
      </c>
      <c r="F8" s="24" t="s">
        <v>885</v>
      </c>
      <c r="G8" s="19">
        <v>1</v>
      </c>
      <c r="H8" s="47" t="s">
        <v>884</v>
      </c>
      <c r="I8" s="18"/>
      <c r="J8" s="18"/>
      <c r="K8" s="1"/>
    </row>
    <row r="9" spans="1:11" x14ac:dyDescent="0.25">
      <c r="A9" s="17">
        <f t="shared" ref="A9:A51" si="0">+A8+1</f>
        <v>3</v>
      </c>
      <c r="B9" s="15" t="s">
        <v>1199</v>
      </c>
      <c r="C9" s="11" t="s">
        <v>18</v>
      </c>
      <c r="D9" s="48" t="s">
        <v>937</v>
      </c>
      <c r="E9" s="14">
        <v>42709</v>
      </c>
      <c r="F9" s="24" t="s">
        <v>938</v>
      </c>
      <c r="G9" s="19">
        <v>1</v>
      </c>
      <c r="H9" s="47" t="s">
        <v>893</v>
      </c>
      <c r="I9" s="18"/>
      <c r="J9" s="18"/>
      <c r="K9" s="1"/>
    </row>
    <row r="10" spans="1:11" x14ac:dyDescent="0.25">
      <c r="A10" s="17">
        <f t="shared" si="0"/>
        <v>4</v>
      </c>
      <c r="B10" s="15" t="s">
        <v>1200</v>
      </c>
      <c r="C10" s="11" t="s">
        <v>18</v>
      </c>
      <c r="D10" s="9" t="s">
        <v>887</v>
      </c>
      <c r="E10" s="14">
        <v>42709</v>
      </c>
      <c r="F10" s="24" t="s">
        <v>888</v>
      </c>
      <c r="G10" s="19">
        <v>1</v>
      </c>
      <c r="H10" s="47" t="s">
        <v>889</v>
      </c>
      <c r="I10" s="18"/>
      <c r="J10" s="18"/>
      <c r="K10" s="1"/>
    </row>
    <row r="11" spans="1:11" x14ac:dyDescent="0.25">
      <c r="A11" s="17">
        <f t="shared" si="0"/>
        <v>5</v>
      </c>
      <c r="B11" s="15" t="s">
        <v>1201</v>
      </c>
      <c r="C11" s="11" t="s">
        <v>18</v>
      </c>
      <c r="D11" s="9" t="s">
        <v>890</v>
      </c>
      <c r="E11" s="14">
        <v>42709</v>
      </c>
      <c r="F11" s="24" t="s">
        <v>891</v>
      </c>
      <c r="G11" s="19">
        <v>1</v>
      </c>
      <c r="H11" s="47" t="s">
        <v>892</v>
      </c>
      <c r="I11" s="18"/>
      <c r="J11" s="18"/>
      <c r="K11" s="1"/>
    </row>
    <row r="12" spans="1:11" x14ac:dyDescent="0.25">
      <c r="A12" s="17">
        <f t="shared" si="0"/>
        <v>6</v>
      </c>
      <c r="B12" s="15" t="s">
        <v>1202</v>
      </c>
      <c r="C12" s="15" t="s">
        <v>18</v>
      </c>
      <c r="D12" s="9" t="s">
        <v>894</v>
      </c>
      <c r="E12" s="14">
        <v>42710</v>
      </c>
      <c r="F12" s="24" t="s">
        <v>895</v>
      </c>
      <c r="G12" s="19">
        <v>1</v>
      </c>
      <c r="H12" s="47" t="s">
        <v>896</v>
      </c>
      <c r="I12" s="2"/>
      <c r="J12" s="2"/>
      <c r="K12" s="1"/>
    </row>
    <row r="13" spans="1:11" x14ac:dyDescent="0.25">
      <c r="A13" s="17">
        <f t="shared" si="0"/>
        <v>7</v>
      </c>
      <c r="B13" s="15" t="s">
        <v>1203</v>
      </c>
      <c r="C13" s="15" t="s">
        <v>18</v>
      </c>
      <c r="D13" s="9" t="s">
        <v>897</v>
      </c>
      <c r="E13" s="14">
        <v>42710</v>
      </c>
      <c r="F13" s="24" t="s">
        <v>898</v>
      </c>
      <c r="G13" s="19">
        <v>1</v>
      </c>
      <c r="H13" s="47" t="s">
        <v>899</v>
      </c>
      <c r="I13" s="2"/>
      <c r="J13" s="2"/>
      <c r="K13" s="1"/>
    </row>
    <row r="14" spans="1:11" x14ac:dyDescent="0.25">
      <c r="A14" s="17">
        <f t="shared" si="0"/>
        <v>8</v>
      </c>
      <c r="B14" s="15" t="s">
        <v>1227</v>
      </c>
      <c r="C14" s="15" t="s">
        <v>18</v>
      </c>
      <c r="D14" s="9" t="s">
        <v>900</v>
      </c>
      <c r="E14" s="14">
        <v>42711</v>
      </c>
      <c r="F14" s="24" t="s">
        <v>901</v>
      </c>
      <c r="G14" s="19">
        <v>1</v>
      </c>
      <c r="H14" s="47" t="s">
        <v>902</v>
      </c>
      <c r="I14" s="2"/>
      <c r="J14" s="2"/>
      <c r="K14" s="1"/>
    </row>
    <row r="15" spans="1:11" x14ac:dyDescent="0.25">
      <c r="A15" s="17">
        <f t="shared" si="0"/>
        <v>9</v>
      </c>
      <c r="B15" s="15" t="s">
        <v>1204</v>
      </c>
      <c r="C15" s="15" t="s">
        <v>18</v>
      </c>
      <c r="D15" s="9" t="s">
        <v>903</v>
      </c>
      <c r="E15" s="14">
        <v>42712</v>
      </c>
      <c r="F15" s="24" t="s">
        <v>904</v>
      </c>
      <c r="G15" s="19">
        <v>1</v>
      </c>
      <c r="H15" s="47" t="s">
        <v>905</v>
      </c>
      <c r="I15" s="2"/>
      <c r="J15" s="2"/>
    </row>
    <row r="16" spans="1:11" ht="15" customHeight="1" x14ac:dyDescent="0.25">
      <c r="A16" s="17">
        <f t="shared" si="0"/>
        <v>10</v>
      </c>
      <c r="B16" s="15" t="s">
        <v>1205</v>
      </c>
      <c r="C16" s="11" t="s">
        <v>18</v>
      </c>
      <c r="D16" s="48" t="s">
        <v>914</v>
      </c>
      <c r="E16" s="14">
        <v>42712</v>
      </c>
      <c r="F16" s="24" t="s">
        <v>915</v>
      </c>
      <c r="G16" s="19">
        <v>1</v>
      </c>
      <c r="H16" s="47" t="s">
        <v>917</v>
      </c>
      <c r="I16" s="2"/>
      <c r="J16" s="2"/>
    </row>
    <row r="17" spans="1:10" ht="15" customHeight="1" x14ac:dyDescent="0.25">
      <c r="A17" s="17">
        <f t="shared" si="0"/>
        <v>11</v>
      </c>
      <c r="B17" s="15" t="s">
        <v>1206</v>
      </c>
      <c r="C17" s="15" t="s">
        <v>18</v>
      </c>
      <c r="D17" s="9" t="s">
        <v>910</v>
      </c>
      <c r="E17" s="14">
        <v>42712</v>
      </c>
      <c r="F17" s="24" t="s">
        <v>936</v>
      </c>
      <c r="G17" s="19">
        <v>1</v>
      </c>
      <c r="H17" s="47" t="s">
        <v>911</v>
      </c>
      <c r="I17" s="2"/>
      <c r="J17" s="2"/>
    </row>
    <row r="18" spans="1:10" ht="15" customHeight="1" x14ac:dyDescent="0.25">
      <c r="A18" s="17">
        <f t="shared" si="0"/>
        <v>12</v>
      </c>
      <c r="B18" s="15" t="s">
        <v>1207</v>
      </c>
      <c r="C18" s="15" t="s">
        <v>18</v>
      </c>
      <c r="D18" s="9" t="s">
        <v>908</v>
      </c>
      <c r="E18" s="14">
        <v>42712</v>
      </c>
      <c r="F18" s="24" t="s">
        <v>935</v>
      </c>
      <c r="G18" s="19">
        <v>1</v>
      </c>
      <c r="H18" s="47" t="s">
        <v>909</v>
      </c>
      <c r="I18" s="2"/>
      <c r="J18" s="2"/>
    </row>
    <row r="19" spans="1:10" ht="15" customHeight="1" x14ac:dyDescent="0.25">
      <c r="A19" s="17">
        <f t="shared" si="0"/>
        <v>13</v>
      </c>
      <c r="B19" s="15" t="s">
        <v>1208</v>
      </c>
      <c r="C19" s="15" t="s">
        <v>18</v>
      </c>
      <c r="D19" s="9" t="s">
        <v>932</v>
      </c>
      <c r="E19" s="14">
        <v>42712</v>
      </c>
      <c r="F19" s="24" t="s">
        <v>933</v>
      </c>
      <c r="G19" s="19">
        <v>1</v>
      </c>
      <c r="H19" s="47" t="s">
        <v>934</v>
      </c>
      <c r="I19" s="2"/>
      <c r="J19" s="2"/>
    </row>
    <row r="20" spans="1:10" ht="15" customHeight="1" x14ac:dyDescent="0.25">
      <c r="A20" s="17">
        <f t="shared" si="0"/>
        <v>14</v>
      </c>
      <c r="B20" s="15" t="s">
        <v>906</v>
      </c>
      <c r="C20" s="15" t="s">
        <v>18</v>
      </c>
      <c r="D20" s="9" t="s">
        <v>907</v>
      </c>
      <c r="E20" s="14">
        <v>42712</v>
      </c>
      <c r="F20" s="24" t="s">
        <v>832</v>
      </c>
      <c r="G20" s="19">
        <v>1</v>
      </c>
      <c r="H20" s="47"/>
      <c r="I20" s="2"/>
      <c r="J20" s="2"/>
    </row>
    <row r="21" spans="1:10" x14ac:dyDescent="0.25">
      <c r="A21" s="17">
        <f t="shared" si="0"/>
        <v>15</v>
      </c>
      <c r="B21" s="15" t="s">
        <v>1209</v>
      </c>
      <c r="C21" s="11" t="s">
        <v>18</v>
      </c>
      <c r="D21" s="48" t="s">
        <v>912</v>
      </c>
      <c r="E21" s="14">
        <v>42715</v>
      </c>
      <c r="F21" s="24" t="s">
        <v>913</v>
      </c>
      <c r="G21" s="19">
        <v>1</v>
      </c>
      <c r="H21" s="47" t="s">
        <v>916</v>
      </c>
      <c r="I21" s="2"/>
      <c r="J21" s="2"/>
    </row>
    <row r="22" spans="1:10" x14ac:dyDescent="0.25">
      <c r="A22" s="17">
        <f t="shared" si="0"/>
        <v>16</v>
      </c>
      <c r="B22" s="15" t="s">
        <v>794</v>
      </c>
      <c r="C22" s="11" t="s">
        <v>18</v>
      </c>
      <c r="D22" s="9" t="s">
        <v>795</v>
      </c>
      <c r="E22" s="14">
        <v>42715</v>
      </c>
      <c r="F22" s="24" t="s">
        <v>26</v>
      </c>
      <c r="G22" s="19">
        <v>1</v>
      </c>
      <c r="H22" s="47"/>
      <c r="I22" s="2"/>
      <c r="J22" s="2"/>
    </row>
    <row r="23" spans="1:10" x14ac:dyDescent="0.25">
      <c r="A23" s="17">
        <f t="shared" si="0"/>
        <v>17</v>
      </c>
      <c r="B23" s="15" t="s">
        <v>1210</v>
      </c>
      <c r="C23" s="15" t="s">
        <v>18</v>
      </c>
      <c r="D23" s="48" t="s">
        <v>926</v>
      </c>
      <c r="E23" s="14">
        <v>42717</v>
      </c>
      <c r="F23" s="24" t="s">
        <v>927</v>
      </c>
      <c r="G23" s="19">
        <v>1</v>
      </c>
      <c r="H23" s="47" t="s">
        <v>928</v>
      </c>
      <c r="I23" s="2"/>
      <c r="J23" s="2"/>
    </row>
    <row r="24" spans="1:10" x14ac:dyDescent="0.25">
      <c r="A24" s="17">
        <f t="shared" si="0"/>
        <v>18</v>
      </c>
      <c r="B24" s="15" t="s">
        <v>1211</v>
      </c>
      <c r="C24" s="15" t="s">
        <v>18</v>
      </c>
      <c r="D24" s="48" t="s">
        <v>939</v>
      </c>
      <c r="E24" s="14">
        <v>42717</v>
      </c>
      <c r="F24" s="24" t="s">
        <v>940</v>
      </c>
      <c r="G24" s="19">
        <v>1</v>
      </c>
      <c r="H24" s="47" t="s">
        <v>941</v>
      </c>
      <c r="I24" s="2"/>
      <c r="J24" s="2"/>
    </row>
    <row r="25" spans="1:10" x14ac:dyDescent="0.25">
      <c r="A25" s="17">
        <f t="shared" si="0"/>
        <v>19</v>
      </c>
      <c r="B25" s="15" t="s">
        <v>1212</v>
      </c>
      <c r="C25" s="15" t="s">
        <v>18</v>
      </c>
      <c r="D25" s="9" t="s">
        <v>929</v>
      </c>
      <c r="E25" s="14">
        <v>42718</v>
      </c>
      <c r="F25" s="24" t="s">
        <v>931</v>
      </c>
      <c r="G25" s="19">
        <v>1</v>
      </c>
      <c r="H25" s="46" t="s">
        <v>930</v>
      </c>
      <c r="I25" s="2"/>
      <c r="J25" s="2"/>
    </row>
    <row r="26" spans="1:10" x14ac:dyDescent="0.25">
      <c r="A26" s="17">
        <f t="shared" si="0"/>
        <v>20</v>
      </c>
      <c r="B26" s="15" t="s">
        <v>1213</v>
      </c>
      <c r="C26" s="15" t="s">
        <v>18</v>
      </c>
      <c r="D26" s="9" t="s">
        <v>945</v>
      </c>
      <c r="E26" s="14">
        <v>42722</v>
      </c>
      <c r="F26" s="24" t="s">
        <v>943</v>
      </c>
      <c r="G26" s="19">
        <v>1</v>
      </c>
      <c r="H26" s="46" t="s">
        <v>944</v>
      </c>
      <c r="I26" s="2"/>
      <c r="J26" s="2"/>
    </row>
    <row r="27" spans="1:10" x14ac:dyDescent="0.25">
      <c r="A27" s="17">
        <f t="shared" si="0"/>
        <v>21</v>
      </c>
      <c r="B27" s="15" t="s">
        <v>1214</v>
      </c>
      <c r="C27" s="15" t="s">
        <v>18</v>
      </c>
      <c r="D27" s="9" t="s">
        <v>946</v>
      </c>
      <c r="E27" s="14">
        <v>42722</v>
      </c>
      <c r="F27" s="24" t="s">
        <v>947</v>
      </c>
      <c r="G27" s="19">
        <v>1</v>
      </c>
      <c r="H27" s="46" t="s">
        <v>948</v>
      </c>
      <c r="I27" s="2"/>
      <c r="J27" s="2"/>
    </row>
    <row r="28" spans="1:10" x14ac:dyDescent="0.25">
      <c r="A28" s="17">
        <f t="shared" si="0"/>
        <v>22</v>
      </c>
      <c r="B28" s="15" t="s">
        <v>1215</v>
      </c>
      <c r="C28" s="15" t="s">
        <v>18</v>
      </c>
      <c r="D28" s="9" t="s">
        <v>949</v>
      </c>
      <c r="E28" s="14">
        <v>42722</v>
      </c>
      <c r="F28" s="24" t="s">
        <v>950</v>
      </c>
      <c r="G28" s="19">
        <v>1</v>
      </c>
      <c r="H28" s="46" t="s">
        <v>951</v>
      </c>
      <c r="I28" s="2"/>
      <c r="J28" s="2"/>
    </row>
    <row r="29" spans="1:10" x14ac:dyDescent="0.25">
      <c r="A29" s="17">
        <f t="shared" si="0"/>
        <v>23</v>
      </c>
      <c r="B29" s="15" t="s">
        <v>1216</v>
      </c>
      <c r="C29" s="15" t="s">
        <v>18</v>
      </c>
      <c r="D29" s="9" t="s">
        <v>952</v>
      </c>
      <c r="E29" s="14">
        <v>42724</v>
      </c>
      <c r="F29" s="24" t="s">
        <v>953</v>
      </c>
      <c r="G29" s="19">
        <v>1</v>
      </c>
      <c r="H29" s="46" t="s">
        <v>954</v>
      </c>
      <c r="I29" s="2"/>
      <c r="J29" s="2"/>
    </row>
    <row r="30" spans="1:10" x14ac:dyDescent="0.25">
      <c r="A30" s="17">
        <f t="shared" si="0"/>
        <v>24</v>
      </c>
      <c r="B30" s="15" t="s">
        <v>1217</v>
      </c>
      <c r="C30" s="15" t="s">
        <v>18</v>
      </c>
      <c r="D30" s="9" t="s">
        <v>955</v>
      </c>
      <c r="E30" s="14">
        <v>42724</v>
      </c>
      <c r="F30" s="24" t="s">
        <v>956</v>
      </c>
      <c r="G30" s="19">
        <v>1</v>
      </c>
      <c r="H30" s="46" t="s">
        <v>957</v>
      </c>
      <c r="I30" s="2"/>
      <c r="J30" s="2"/>
    </row>
    <row r="31" spans="1:10" x14ac:dyDescent="0.25">
      <c r="A31" s="17">
        <f t="shared" si="0"/>
        <v>25</v>
      </c>
      <c r="B31" s="15" t="s">
        <v>1228</v>
      </c>
      <c r="C31" s="15" t="s">
        <v>18</v>
      </c>
      <c r="D31" s="9" t="s">
        <v>963</v>
      </c>
      <c r="E31" s="14">
        <v>42726</v>
      </c>
      <c r="F31" s="24" t="s">
        <v>964</v>
      </c>
      <c r="G31" s="19">
        <v>1</v>
      </c>
      <c r="H31" s="1" t="s">
        <v>965</v>
      </c>
      <c r="I31" s="1"/>
      <c r="J31" s="1"/>
    </row>
    <row r="32" spans="1:10" x14ac:dyDescent="0.25">
      <c r="A32" s="17">
        <f t="shared" si="0"/>
        <v>26</v>
      </c>
      <c r="B32" s="15" t="s">
        <v>1218</v>
      </c>
      <c r="C32" s="15" t="s">
        <v>18</v>
      </c>
      <c r="D32" s="9" t="s">
        <v>971</v>
      </c>
      <c r="E32" s="14">
        <v>42729</v>
      </c>
      <c r="F32" s="24" t="s">
        <v>972</v>
      </c>
      <c r="G32" s="19">
        <v>1</v>
      </c>
      <c r="H32" s="1" t="s">
        <v>973</v>
      </c>
      <c r="I32" s="1"/>
      <c r="J32" s="1"/>
    </row>
    <row r="33" spans="1:15" x14ac:dyDescent="0.25">
      <c r="A33" s="17">
        <f t="shared" si="0"/>
        <v>27</v>
      </c>
      <c r="B33" s="15" t="s">
        <v>960</v>
      </c>
      <c r="C33" s="15" t="s">
        <v>18</v>
      </c>
      <c r="D33" s="9" t="s">
        <v>961</v>
      </c>
      <c r="E33" s="14">
        <v>42729</v>
      </c>
      <c r="F33" s="49" t="s">
        <v>26</v>
      </c>
      <c r="G33" s="19">
        <v>1</v>
      </c>
      <c r="H33" s="1"/>
      <c r="I33" s="1"/>
      <c r="J33" s="1"/>
    </row>
    <row r="34" spans="1:15" x14ac:dyDescent="0.25">
      <c r="A34" s="17">
        <f t="shared" si="0"/>
        <v>28</v>
      </c>
      <c r="B34" s="15" t="s">
        <v>970</v>
      </c>
      <c r="C34" s="15" t="s">
        <v>18</v>
      </c>
      <c r="D34" s="9" t="s">
        <v>962</v>
      </c>
      <c r="E34" s="14">
        <v>42729</v>
      </c>
      <c r="F34" s="49" t="s">
        <v>832</v>
      </c>
      <c r="G34" s="19">
        <v>1</v>
      </c>
      <c r="H34" s="1"/>
      <c r="I34" s="1"/>
      <c r="J34" s="1"/>
      <c r="O34" t="s">
        <v>624</v>
      </c>
    </row>
    <row r="35" spans="1:15" x14ac:dyDescent="0.25">
      <c r="A35" s="17">
        <f t="shared" si="0"/>
        <v>29</v>
      </c>
      <c r="B35" s="15" t="s">
        <v>959</v>
      </c>
      <c r="C35" s="15" t="s">
        <v>18</v>
      </c>
      <c r="D35" s="9" t="s">
        <v>958</v>
      </c>
      <c r="E35" s="14">
        <v>42729</v>
      </c>
      <c r="F35" s="49" t="s">
        <v>832</v>
      </c>
      <c r="G35" s="19">
        <v>1</v>
      </c>
      <c r="H35" s="1"/>
      <c r="I35" s="1"/>
      <c r="J35" s="1"/>
    </row>
    <row r="36" spans="1:15" x14ac:dyDescent="0.25">
      <c r="A36" s="17">
        <f t="shared" si="0"/>
        <v>30</v>
      </c>
      <c r="B36" s="15" t="s">
        <v>967</v>
      </c>
      <c r="C36" s="11" t="s">
        <v>18</v>
      </c>
      <c r="D36" s="9" t="s">
        <v>966</v>
      </c>
      <c r="E36" s="14">
        <v>42729</v>
      </c>
      <c r="F36" s="49" t="s">
        <v>26</v>
      </c>
      <c r="G36" s="19">
        <v>1</v>
      </c>
      <c r="H36" s="1"/>
      <c r="I36" s="1"/>
      <c r="J36" s="1"/>
    </row>
    <row r="37" spans="1:15" x14ac:dyDescent="0.25">
      <c r="A37" s="17">
        <f t="shared" si="0"/>
        <v>31</v>
      </c>
      <c r="B37" s="15" t="s">
        <v>968</v>
      </c>
      <c r="C37" s="11" t="s">
        <v>18</v>
      </c>
      <c r="D37" s="9" t="s">
        <v>969</v>
      </c>
      <c r="E37" s="14">
        <v>42731</v>
      </c>
      <c r="F37" s="49" t="s">
        <v>26</v>
      </c>
      <c r="G37" s="19">
        <v>1</v>
      </c>
      <c r="H37" s="1"/>
      <c r="I37" s="1"/>
      <c r="J37" s="1"/>
    </row>
    <row r="38" spans="1:15" x14ac:dyDescent="0.25">
      <c r="A38" s="17">
        <f t="shared" si="0"/>
        <v>32</v>
      </c>
      <c r="B38" s="15" t="s">
        <v>980</v>
      </c>
      <c r="C38" s="11" t="s">
        <v>18</v>
      </c>
      <c r="D38" s="9" t="s">
        <v>981</v>
      </c>
      <c r="E38" s="14">
        <v>42732</v>
      </c>
      <c r="F38" s="49" t="s">
        <v>26</v>
      </c>
      <c r="G38" s="19">
        <v>1</v>
      </c>
      <c r="H38" s="52" t="s">
        <v>982</v>
      </c>
      <c r="I38" s="1"/>
      <c r="J38" s="1"/>
    </row>
    <row r="39" spans="1:15" x14ac:dyDescent="0.25">
      <c r="A39" s="17">
        <f t="shared" si="0"/>
        <v>33</v>
      </c>
      <c r="B39" s="15" t="s">
        <v>974</v>
      </c>
      <c r="C39" s="11" t="s">
        <v>18</v>
      </c>
      <c r="D39" s="9" t="s">
        <v>975</v>
      </c>
      <c r="E39" s="14">
        <v>42732</v>
      </c>
      <c r="F39" s="49" t="s">
        <v>26</v>
      </c>
      <c r="G39" s="19">
        <v>1</v>
      </c>
      <c r="H39" s="52"/>
    </row>
    <row r="40" spans="1:15" x14ac:dyDescent="0.25">
      <c r="A40" s="17">
        <f t="shared" si="0"/>
        <v>34</v>
      </c>
      <c r="B40" s="15" t="s">
        <v>983</v>
      </c>
      <c r="C40" s="11" t="s">
        <v>18</v>
      </c>
      <c r="D40" s="9" t="s">
        <v>984</v>
      </c>
      <c r="E40" s="14">
        <v>42732</v>
      </c>
      <c r="F40" s="49" t="s">
        <v>26</v>
      </c>
      <c r="G40" s="19">
        <v>1</v>
      </c>
      <c r="H40" s="52"/>
    </row>
    <row r="41" spans="1:15" x14ac:dyDescent="0.25">
      <c r="A41" s="17">
        <f t="shared" si="0"/>
        <v>35</v>
      </c>
      <c r="B41" s="15" t="s">
        <v>978</v>
      </c>
      <c r="C41" s="11" t="s">
        <v>18</v>
      </c>
      <c r="D41" s="9" t="s">
        <v>979</v>
      </c>
      <c r="E41" s="14">
        <v>42732</v>
      </c>
      <c r="F41" s="49" t="s">
        <v>26</v>
      </c>
      <c r="G41" s="19">
        <v>1</v>
      </c>
      <c r="H41" s="52"/>
    </row>
    <row r="42" spans="1:15" x14ac:dyDescent="0.25">
      <c r="A42" s="17">
        <f t="shared" si="0"/>
        <v>36</v>
      </c>
      <c r="B42" s="15" t="s">
        <v>976</v>
      </c>
      <c r="C42" s="11" t="s">
        <v>18</v>
      </c>
      <c r="D42" s="9" t="s">
        <v>977</v>
      </c>
      <c r="E42" s="14">
        <v>42732</v>
      </c>
      <c r="F42" s="49" t="s">
        <v>26</v>
      </c>
      <c r="G42" s="19">
        <v>1</v>
      </c>
    </row>
    <row r="43" spans="1:15" x14ac:dyDescent="0.25">
      <c r="A43" s="17">
        <f t="shared" si="0"/>
        <v>37</v>
      </c>
      <c r="B43" s="15" t="s">
        <v>1229</v>
      </c>
      <c r="C43" s="11" t="s">
        <v>28</v>
      </c>
      <c r="D43" s="9" t="s">
        <v>985</v>
      </c>
      <c r="E43" s="14">
        <v>42732</v>
      </c>
      <c r="F43" s="49" t="s">
        <v>986</v>
      </c>
      <c r="G43" s="19">
        <v>1</v>
      </c>
      <c r="H43" t="s">
        <v>987</v>
      </c>
    </row>
    <row r="44" spans="1:15" x14ac:dyDescent="0.25">
      <c r="A44" s="17">
        <f t="shared" si="0"/>
        <v>38</v>
      </c>
      <c r="B44" s="15" t="s">
        <v>1219</v>
      </c>
      <c r="C44" s="11" t="s">
        <v>18</v>
      </c>
      <c r="D44" s="9" t="s">
        <v>988</v>
      </c>
      <c r="E44" s="14">
        <v>42732</v>
      </c>
      <c r="F44" s="49" t="s">
        <v>990</v>
      </c>
      <c r="G44" s="19">
        <v>1</v>
      </c>
      <c r="H44" t="s">
        <v>991</v>
      </c>
    </row>
    <row r="45" spans="1:15" x14ac:dyDescent="0.25">
      <c r="A45" s="17">
        <f t="shared" si="0"/>
        <v>39</v>
      </c>
      <c r="B45" s="15" t="s">
        <v>1220</v>
      </c>
      <c r="C45" s="11" t="s">
        <v>18</v>
      </c>
      <c r="D45" s="9" t="s">
        <v>989</v>
      </c>
      <c r="E45" s="14">
        <v>42732</v>
      </c>
      <c r="F45" s="49" t="s">
        <v>986</v>
      </c>
      <c r="G45" s="19">
        <v>1</v>
      </c>
      <c r="H45" t="s">
        <v>992</v>
      </c>
    </row>
    <row r="46" spans="1:15" x14ac:dyDescent="0.25">
      <c r="A46" s="17">
        <f t="shared" si="0"/>
        <v>40</v>
      </c>
      <c r="B46" s="15" t="s">
        <v>993</v>
      </c>
      <c r="C46" s="11" t="s">
        <v>18</v>
      </c>
      <c r="D46" s="9" t="s">
        <v>994</v>
      </c>
      <c r="E46" s="14">
        <v>42733</v>
      </c>
      <c r="F46" s="49" t="s">
        <v>26</v>
      </c>
      <c r="G46" s="19">
        <v>1</v>
      </c>
    </row>
    <row r="47" spans="1:15" x14ac:dyDescent="0.25">
      <c r="A47" s="17">
        <f t="shared" si="0"/>
        <v>41</v>
      </c>
      <c r="B47" s="15" t="s">
        <v>995</v>
      </c>
      <c r="C47" s="11" t="s">
        <v>18</v>
      </c>
      <c r="D47" s="9" t="s">
        <v>996</v>
      </c>
      <c r="E47" s="14">
        <v>42733</v>
      </c>
      <c r="F47" s="49" t="s">
        <v>26</v>
      </c>
      <c r="G47" s="19">
        <v>1</v>
      </c>
    </row>
    <row r="48" spans="1:15" x14ac:dyDescent="0.25">
      <c r="A48" s="17">
        <f t="shared" si="0"/>
        <v>42</v>
      </c>
      <c r="B48" s="15" t="s">
        <v>997</v>
      </c>
      <c r="C48" s="11" t="s">
        <v>18</v>
      </c>
      <c r="D48" s="9" t="s">
        <v>998</v>
      </c>
      <c r="E48" s="14">
        <v>42733</v>
      </c>
      <c r="F48" s="49" t="s">
        <v>26</v>
      </c>
      <c r="G48" s="19">
        <v>1</v>
      </c>
    </row>
    <row r="49" spans="1:7" x14ac:dyDescent="0.25">
      <c r="A49" s="17">
        <f t="shared" si="0"/>
        <v>43</v>
      </c>
      <c r="B49" s="15" t="s">
        <v>999</v>
      </c>
      <c r="C49" s="11" t="s">
        <v>18</v>
      </c>
      <c r="D49" s="9" t="s">
        <v>1000</v>
      </c>
      <c r="E49" s="14">
        <v>42733</v>
      </c>
      <c r="F49" s="49" t="s">
        <v>26</v>
      </c>
      <c r="G49" s="19">
        <v>1</v>
      </c>
    </row>
    <row r="50" spans="1:7" x14ac:dyDescent="0.25">
      <c r="A50" s="17">
        <f t="shared" si="0"/>
        <v>44</v>
      </c>
      <c r="B50" s="15" t="s">
        <v>1001</v>
      </c>
      <c r="C50" s="11" t="s">
        <v>18</v>
      </c>
      <c r="D50" s="9" t="s">
        <v>1002</v>
      </c>
      <c r="E50" s="14">
        <v>42733</v>
      </c>
      <c r="F50" s="49" t="s">
        <v>26</v>
      </c>
      <c r="G50" s="19">
        <v>1</v>
      </c>
    </row>
    <row r="51" spans="1:7" x14ac:dyDescent="0.25">
      <c r="A51" s="17">
        <f t="shared" si="0"/>
        <v>45</v>
      </c>
      <c r="B51" s="15" t="s">
        <v>1003</v>
      </c>
      <c r="C51" s="11" t="s">
        <v>18</v>
      </c>
      <c r="D51" s="9">
        <v>2016279744</v>
      </c>
      <c r="E51" s="14">
        <v>42733</v>
      </c>
      <c r="F51" s="49" t="s">
        <v>26</v>
      </c>
      <c r="G51" s="53">
        <v>1</v>
      </c>
    </row>
  </sheetData>
  <sortState ref="B38:D42">
    <sortCondition ref="D38:D4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23622047244094491" top="0.39370078740157483" bottom="0.43307086614173229" header="0.15748031496062992" footer="0.15748031496062992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Janvier 2016</vt:lpstr>
      <vt:lpstr>Février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  <vt:lpstr>'Janvier 2016'!Impression_des_titres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2017-02-04T09:17:54Z</cp:lastPrinted>
  <dcterms:created xsi:type="dcterms:W3CDTF">2014-12-31T15:00:30Z</dcterms:created>
  <dcterms:modified xsi:type="dcterms:W3CDTF">2020-05-27T11:28:26Z</dcterms:modified>
</cp:coreProperties>
</file>