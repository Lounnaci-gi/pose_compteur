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0\Gestion de Stock Robeia\"/>
    </mc:Choice>
  </mc:AlternateContent>
  <bookViews>
    <workbookView xWindow="315" yWindow="195" windowWidth="6900" windowHeight="2025" firstSheet="7" activeTab="11"/>
  </bookViews>
  <sheets>
    <sheet name="JANVIER 2020" sheetId="12" r:id="rId1"/>
    <sheet name="FEVRIER 2020" sheetId="13" r:id="rId2"/>
    <sheet name="MARS 2020" sheetId="14" r:id="rId3"/>
    <sheet name="AVRIL 2020" sheetId="15" r:id="rId4"/>
    <sheet name="MAI 2020" sheetId="16" r:id="rId5"/>
    <sheet name="JUIN 2020" sheetId="17" r:id="rId6"/>
    <sheet name="JUILLET 2020" sheetId="18" r:id="rId7"/>
    <sheet name="AOUT 2020" sheetId="19" r:id="rId8"/>
    <sheet name="SEPTEMBRE 2020" sheetId="20" r:id="rId9"/>
    <sheet name="OCTOBRE 2020" sheetId="21" r:id="rId10"/>
    <sheet name="NOVEMBRE 2020" sheetId="22" r:id="rId11"/>
    <sheet name="DECEMBRE 2020" sheetId="23" r:id="rId12"/>
  </sheets>
  <definedNames>
    <definedName name="_xlnm.Print_Titles" localSheetId="7">'AOUT 2020'!$1:$6</definedName>
    <definedName name="_xlnm.Print_Titles" localSheetId="3">'AVRIL 2020'!$1:$6</definedName>
    <definedName name="_xlnm.Print_Titles" localSheetId="11">'DECEMBRE 2020'!$1:$6</definedName>
    <definedName name="_xlnm.Print_Titles" localSheetId="1">'FEVRIER 2020'!$1:$6</definedName>
    <definedName name="_xlnm.Print_Titles" localSheetId="0">'JANVIER 2020'!$1:$6</definedName>
    <definedName name="_xlnm.Print_Titles" localSheetId="6">'JUILLET 2020'!$1:$6</definedName>
    <definedName name="_xlnm.Print_Titles" localSheetId="5">'JUIN 2020'!$1:$6</definedName>
    <definedName name="_xlnm.Print_Titles" localSheetId="4">'MAI 2020'!$1:$6</definedName>
    <definedName name="_xlnm.Print_Titles" localSheetId="2">'MARS 2020'!$1:$6</definedName>
    <definedName name="_xlnm.Print_Titles" localSheetId="10">'NOVEMBRE 2020'!$1:$6</definedName>
    <definedName name="_xlnm.Print_Titles" localSheetId="9">'OCTOBRE 2020'!$1:$6</definedName>
    <definedName name="_xlnm.Print_Titles" localSheetId="8">'SEPTEMBRE 2020'!$1:$6</definedName>
  </definedNames>
  <calcPr calcId="152511"/>
</workbook>
</file>

<file path=xl/calcChain.xml><?xml version="1.0" encoding="utf-8"?>
<calcChain xmlns="http://schemas.openxmlformats.org/spreadsheetml/2006/main">
  <c r="A9" i="23" l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8" i="23"/>
  <c r="K4" i="23"/>
  <c r="K3" i="23"/>
  <c r="K2" i="23"/>
  <c r="K5" i="23" l="1"/>
  <c r="A11" i="22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10" i="22"/>
  <c r="A9" i="22"/>
  <c r="A8" i="22"/>
  <c r="K4" i="22"/>
  <c r="K3" i="22"/>
  <c r="K2" i="22"/>
  <c r="K5" i="22" l="1"/>
  <c r="A9" i="2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8" i="21"/>
  <c r="K4" i="21"/>
  <c r="K3" i="21"/>
  <c r="K2" i="21"/>
  <c r="K5" i="21" s="1"/>
  <c r="A9" i="20" l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8" i="20"/>
  <c r="K4" i="20"/>
  <c r="K3" i="20"/>
  <c r="K5" i="20" s="1"/>
  <c r="K2" i="20"/>
  <c r="A9" i="19" l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8" i="19"/>
  <c r="K4" i="19"/>
  <c r="K3" i="19"/>
  <c r="K2" i="19"/>
  <c r="K5" i="19" l="1"/>
  <c r="A9" i="18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8" i="18"/>
  <c r="K4" i="18"/>
  <c r="K3" i="18"/>
  <c r="K5" i="18" s="1"/>
  <c r="K2" i="18"/>
  <c r="A9" i="17" l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8" i="17"/>
  <c r="K4" i="17"/>
  <c r="K3" i="17"/>
  <c r="K5" i="17" s="1"/>
  <c r="K2" i="17"/>
  <c r="A9" i="16" l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8" i="16"/>
  <c r="K4" i="16"/>
  <c r="K3" i="16"/>
  <c r="K5" i="16" s="1"/>
  <c r="K2" i="16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K4" i="15"/>
  <c r="K3" i="15"/>
  <c r="K2" i="15"/>
  <c r="K5" i="15" s="1"/>
  <c r="A9" i="14" l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8" i="14"/>
  <c r="K4" i="14"/>
  <c r="K3" i="14"/>
  <c r="K5" i="14" s="1"/>
  <c r="K2" i="14"/>
  <c r="A9" i="13" l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8" i="13"/>
  <c r="K4" i="13"/>
  <c r="K3" i="13"/>
  <c r="K2" i="13"/>
  <c r="K5" i="13" l="1"/>
  <c r="A9" i="12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8" i="12"/>
  <c r="K4" i="12"/>
  <c r="K3" i="12"/>
  <c r="K2" i="12"/>
  <c r="K5" i="12" l="1"/>
</calcChain>
</file>

<file path=xl/sharedStrings.xml><?xml version="1.0" encoding="utf-8"?>
<sst xmlns="http://schemas.openxmlformats.org/spreadsheetml/2006/main" count="393" uniqueCount="116">
  <si>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</si>
  <si>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</si>
  <si>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</si>
  <si>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</si>
  <si>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</si>
  <si>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</si>
  <si>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</si>
  <si>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</si>
  <si>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</si>
  <si>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</si>
  <si>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</si>
  <si>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</si>
  <si>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</si>
  <si>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</si>
  <si>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</si>
  <si>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</si>
  <si>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Robeia</t>
  </si>
  <si>
    <t>cc</t>
  </si>
  <si>
    <t>Mois de JANVIER  2020</t>
  </si>
  <si>
    <t>Mois de FEVRIER  2020</t>
  </si>
  <si>
    <t>BO</t>
  </si>
  <si>
    <t>15/21</t>
  </si>
  <si>
    <t>2020009120</t>
  </si>
  <si>
    <t>NB(N°009/2019)</t>
  </si>
  <si>
    <t>Othmani rachid</t>
  </si>
  <si>
    <t>BO0547</t>
  </si>
  <si>
    <t>2020009339</t>
  </si>
  <si>
    <t>BO0554</t>
  </si>
  <si>
    <t>2020009336</t>
  </si>
  <si>
    <t>BO0559</t>
  </si>
  <si>
    <t>2020009332</t>
  </si>
  <si>
    <t>BO0560</t>
  </si>
  <si>
    <t>2020009340</t>
  </si>
  <si>
    <t>BO0562</t>
  </si>
  <si>
    <t>BO0582</t>
  </si>
  <si>
    <t>2020009331</t>
  </si>
  <si>
    <t>BO0565</t>
  </si>
  <si>
    <t>2020009333</t>
  </si>
  <si>
    <t>BO0573</t>
  </si>
  <si>
    <t>2020009334</t>
  </si>
  <si>
    <t>2020009338</t>
  </si>
  <si>
    <t>BO0585</t>
  </si>
  <si>
    <t>2020009337</t>
  </si>
  <si>
    <t>BO0632</t>
  </si>
  <si>
    <t>2020009335</t>
  </si>
  <si>
    <t>Elimination Forfait</t>
  </si>
  <si>
    <t>2020009391</t>
  </si>
  <si>
    <t>2020009392</t>
  </si>
  <si>
    <t>2020009393</t>
  </si>
  <si>
    <t>2020009394</t>
  </si>
  <si>
    <t>2020009395</t>
  </si>
  <si>
    <t>2020009396</t>
  </si>
  <si>
    <t>2020009397</t>
  </si>
  <si>
    <t>2020009398</t>
  </si>
  <si>
    <t>2020009399</t>
  </si>
  <si>
    <t>2020009400</t>
  </si>
  <si>
    <t>BO0603</t>
  </si>
  <si>
    <t>BO0591</t>
  </si>
  <si>
    <t>BO0631</t>
  </si>
  <si>
    <t>BO0635</t>
  </si>
  <si>
    <t>BO0622</t>
  </si>
  <si>
    <t>BO0545</t>
  </si>
  <si>
    <t>BO0623</t>
  </si>
  <si>
    <t>BO0604</t>
  </si>
  <si>
    <t>BO0590</t>
  </si>
  <si>
    <t>BO0621</t>
  </si>
  <si>
    <t>Mois de MARS  2020</t>
  </si>
  <si>
    <t>Mois de AVRIL  2020</t>
  </si>
  <si>
    <t>Mois de MAI  2020</t>
  </si>
  <si>
    <t>Mois de JUIN  2020</t>
  </si>
  <si>
    <t>Mois de JUILLET  2020</t>
  </si>
  <si>
    <t>Mois de AOUT  2020</t>
  </si>
  <si>
    <t>BO0361</t>
  </si>
  <si>
    <t>BO0362</t>
  </si>
  <si>
    <t>2020075068</t>
  </si>
  <si>
    <t>2020075069</t>
  </si>
  <si>
    <t>BO0572</t>
  </si>
  <si>
    <t>2020075070</t>
  </si>
  <si>
    <t>BO0578</t>
  </si>
  <si>
    <t>2020075066</t>
  </si>
  <si>
    <t>BO0586</t>
  </si>
  <si>
    <t>2020075061</t>
  </si>
  <si>
    <t>BO0595</t>
  </si>
  <si>
    <t>2020075062</t>
  </si>
  <si>
    <t>BO0598</t>
  </si>
  <si>
    <t>2020075063</t>
  </si>
  <si>
    <t>2020075064</t>
  </si>
  <si>
    <t>2020075065</t>
  </si>
  <si>
    <t>BO0633</t>
  </si>
  <si>
    <t>BO0649</t>
  </si>
  <si>
    <t>Mois de SEPTEMBRE  2020</t>
  </si>
  <si>
    <t>Mois de OCTOBRE  2020</t>
  </si>
  <si>
    <t>Mois de NOVEMBRE  2020</t>
  </si>
  <si>
    <t>BO0637</t>
  </si>
  <si>
    <t>2020075067</t>
  </si>
  <si>
    <t>BO0634</t>
  </si>
  <si>
    <t>BO0648</t>
  </si>
  <si>
    <t>BO0650</t>
  </si>
  <si>
    <t>BO0305</t>
  </si>
  <si>
    <t>BO0365</t>
  </si>
  <si>
    <t>2020171186</t>
  </si>
  <si>
    <t>2020171187</t>
  </si>
  <si>
    <t>2020171188</t>
  </si>
  <si>
    <t>2020171181</t>
  </si>
  <si>
    <t>2020171182</t>
  </si>
  <si>
    <t>2020171183</t>
  </si>
  <si>
    <t>2020171184</t>
  </si>
  <si>
    <t>2020171185</t>
  </si>
  <si>
    <t>2020171190</t>
  </si>
  <si>
    <t>BO0612</t>
  </si>
  <si>
    <t>BO0615</t>
  </si>
  <si>
    <t>BO0617</t>
  </si>
  <si>
    <t>BO0574</t>
  </si>
  <si>
    <t>Mois de DECEMBRE  2020</t>
  </si>
  <si>
    <t>2020171189</t>
  </si>
  <si>
    <t>BO0388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</si>
</sst>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20" fontId="3" fillId="3" borderId="1" xfId="1" applyNumberFormat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9534</xdr:colOff>
      <xdr:row>6</xdr:row>
      <xdr:rowOff>28575</xdr:rowOff>
    </xdr:from>
    <xdr:to>
      <xdr:col>5</xdr:col>
      <xdr:colOff>1304925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84" y="1343025"/>
          <a:ext cx="4543416" cy="6038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17</xdr:row>
      <xdr:rowOff>9525</xdr:rowOff>
    </xdr:from>
    <xdr:to>
      <xdr:col>5</xdr:col>
      <xdr:colOff>1304925</xdr:colOff>
      <xdr:row>38</xdr:row>
      <xdr:rowOff>0</xdr:rowOff>
    </xdr:to>
    <xdr:cxnSp macro="">
      <xdr:nvCxnSpPr>
        <xdr:cNvPr id="3" name="Connecteur droit 2"/>
        <xdr:cNvCxnSpPr/>
      </xdr:nvCxnSpPr>
      <xdr:spPr>
        <a:xfrm flipH="1">
          <a:off x="600075" y="3419475"/>
          <a:ext cx="4543425" cy="3990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16</xdr:row>
      <xdr:rowOff>0</xdr:rowOff>
    </xdr:from>
    <xdr:to>
      <xdr:col>6</xdr:col>
      <xdr:colOff>0</xdr:colOff>
      <xdr:row>38</xdr:row>
      <xdr:rowOff>0</xdr:rowOff>
    </xdr:to>
    <xdr:cxnSp macro="">
      <xdr:nvCxnSpPr>
        <xdr:cNvPr id="2" name="Connecteur droit 1"/>
        <xdr:cNvCxnSpPr/>
      </xdr:nvCxnSpPr>
      <xdr:spPr>
        <a:xfrm flipH="1">
          <a:off x="600076" y="3219450"/>
          <a:ext cx="4552949" cy="4191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6</xdr:row>
      <xdr:rowOff>47625</xdr:rowOff>
    </xdr:from>
    <xdr:to>
      <xdr:col>5</xdr:col>
      <xdr:colOff>1304925</xdr:colOff>
      <xdr:row>38</xdr:row>
      <xdr:rowOff>0</xdr:rowOff>
    </xdr:to>
    <xdr:cxnSp macro="">
      <xdr:nvCxnSpPr>
        <xdr:cNvPr id="2" name="Connecteur droit 1"/>
        <xdr:cNvCxnSpPr/>
      </xdr:nvCxnSpPr>
      <xdr:spPr>
        <a:xfrm flipH="1">
          <a:off x="600077" y="1362075"/>
          <a:ext cx="4543423" cy="6048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6</xdr:row>
      <xdr:rowOff>47625</xdr:rowOff>
    </xdr:from>
    <xdr:to>
      <xdr:col>5</xdr:col>
      <xdr:colOff>1304925</xdr:colOff>
      <xdr:row>38</xdr:row>
      <xdr:rowOff>0</xdr:rowOff>
    </xdr:to>
    <xdr:cxnSp macro="">
      <xdr:nvCxnSpPr>
        <xdr:cNvPr id="2" name="Connecteur droit 1"/>
        <xdr:cNvCxnSpPr/>
      </xdr:nvCxnSpPr>
      <xdr:spPr>
        <a:xfrm flipH="1">
          <a:off x="600077" y="1362075"/>
          <a:ext cx="4543423" cy="6048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6</xdr:row>
      <xdr:rowOff>47625</xdr:rowOff>
    </xdr:from>
    <xdr:to>
      <xdr:col>5</xdr:col>
      <xdr:colOff>1304925</xdr:colOff>
      <xdr:row>38</xdr:row>
      <xdr:rowOff>0</xdr:rowOff>
    </xdr:to>
    <xdr:cxnSp macro="">
      <xdr:nvCxnSpPr>
        <xdr:cNvPr id="2" name="Connecteur droit 1"/>
        <xdr:cNvCxnSpPr/>
      </xdr:nvCxnSpPr>
      <xdr:spPr>
        <a:xfrm flipH="1">
          <a:off x="600077" y="1362075"/>
          <a:ext cx="4543423" cy="6048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6</xdr:row>
      <xdr:rowOff>47625</xdr:rowOff>
    </xdr:from>
    <xdr:to>
      <xdr:col>5</xdr:col>
      <xdr:colOff>1304925</xdr:colOff>
      <xdr:row>38</xdr:row>
      <xdr:rowOff>0</xdr:rowOff>
    </xdr:to>
    <xdr:cxnSp macro="">
      <xdr:nvCxnSpPr>
        <xdr:cNvPr id="2" name="Connecteur droit 1"/>
        <xdr:cNvCxnSpPr/>
      </xdr:nvCxnSpPr>
      <xdr:spPr>
        <a:xfrm flipH="1">
          <a:off x="600077" y="1362075"/>
          <a:ext cx="4543423" cy="6048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9528</xdr:colOff>
      <xdr:row>15</xdr:row>
      <xdr:rowOff>19050</xdr:rowOff>
    </xdr:from>
    <xdr:to>
      <xdr:col>5</xdr:col>
      <xdr:colOff>1304925</xdr:colOff>
      <xdr:row>38</xdr:row>
      <xdr:rowOff>0</xdr:rowOff>
    </xdr:to>
    <xdr:cxnSp macro="">
      <xdr:nvCxnSpPr>
        <xdr:cNvPr id="2" name="Connecteur droit 1"/>
        <xdr:cNvCxnSpPr/>
      </xdr:nvCxnSpPr>
      <xdr:spPr>
        <a:xfrm flipH="1">
          <a:off x="600078" y="3048000"/>
          <a:ext cx="4543422" cy="4362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9528</xdr:colOff>
      <xdr:row>6</xdr:row>
      <xdr:rowOff>38100</xdr:rowOff>
    </xdr:from>
    <xdr:to>
      <xdr:col>5</xdr:col>
      <xdr:colOff>1295400</xdr:colOff>
      <xdr:row>38</xdr:row>
      <xdr:rowOff>0</xdr:rowOff>
    </xdr:to>
    <xdr:cxnSp macro="">
      <xdr:nvCxnSpPr>
        <xdr:cNvPr id="2" name="Connecteur droit 1"/>
        <xdr:cNvCxnSpPr/>
      </xdr:nvCxnSpPr>
      <xdr:spPr>
        <a:xfrm flipH="1">
          <a:off x="600078" y="1352550"/>
          <a:ext cx="4533897" cy="6057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9528</xdr:colOff>
      <xdr:row>6</xdr:row>
      <xdr:rowOff>38100</xdr:rowOff>
    </xdr:from>
    <xdr:to>
      <xdr:col>5</xdr:col>
      <xdr:colOff>1295400</xdr:colOff>
      <xdr:row>38</xdr:row>
      <xdr:rowOff>0</xdr:rowOff>
    </xdr:to>
    <xdr:cxnSp macro="">
      <xdr:nvCxnSpPr>
        <xdr:cNvPr id="2" name="Connecteur droit 1"/>
        <xdr:cNvCxnSpPr/>
      </xdr:nvCxnSpPr>
      <xdr:spPr>
        <a:xfrm flipH="1">
          <a:off x="600078" y="1352550"/>
          <a:ext cx="4533897" cy="6057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9531</xdr:colOff>
      <xdr:row>16</xdr:row>
      <xdr:rowOff>95250</xdr:rowOff>
    </xdr:from>
    <xdr:to>
      <xdr:col>7</xdr:col>
      <xdr:colOff>9525</xdr:colOff>
      <xdr:row>38</xdr:row>
      <xdr:rowOff>0</xdr:rowOff>
    </xdr:to>
    <xdr:cxnSp macro="">
      <xdr:nvCxnSpPr>
        <xdr:cNvPr id="2" name="Connecteur droit 1"/>
        <xdr:cNvCxnSpPr/>
      </xdr:nvCxnSpPr>
      <xdr:spPr>
        <a:xfrm flipH="1">
          <a:off x="600081" y="3314700"/>
          <a:ext cx="4562469" cy="409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9532</xdr:colOff>
      <xdr:row>7</xdr:row>
      <xdr:rowOff>19050</xdr:rowOff>
    </xdr:from>
    <xdr:to>
      <xdr:col>5</xdr:col>
      <xdr:colOff>1304925</xdr:colOff>
      <xdr:row>38</xdr:row>
      <xdr:rowOff>0</xdr:rowOff>
    </xdr:to>
    <xdr:cxnSp macro="">
      <xdr:nvCxnSpPr>
        <xdr:cNvPr id="2" name="Connecteur droit 1"/>
        <xdr:cNvCxnSpPr/>
      </xdr:nvCxnSpPr>
      <xdr:spPr>
        <a:xfrm flipH="1">
          <a:off x="600082" y="1524000"/>
          <a:ext cx="4543418" cy="5886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18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20" sqref="F2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10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1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19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11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20</v>
      </c>
      <c r="C7" s="10" t="s">
        <v>21</v>
      </c>
      <c r="D7" s="23" t="s">
        <v>22</v>
      </c>
      <c r="E7" s="12">
        <v>43873</v>
      </c>
      <c r="F7" s="21" t="s">
        <v>23</v>
      </c>
      <c r="G7" s="17">
        <v>1</v>
      </c>
      <c r="H7" s="27" t="s">
        <v>24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33</v>
      </c>
      <c r="C8" s="10" t="s">
        <v>21</v>
      </c>
      <c r="D8" s="23" t="s">
        <v>35</v>
      </c>
      <c r="E8" s="12">
        <v>43888</v>
      </c>
      <c r="F8" s="21" t="s">
        <v>45</v>
      </c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29</v>
      </c>
      <c r="C9" s="10" t="s">
        <v>21</v>
      </c>
      <c r="D9" s="23" t="s">
        <v>30</v>
      </c>
      <c r="E9" s="12">
        <v>43888</v>
      </c>
      <c r="F9" s="21" t="s">
        <v>45</v>
      </c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36</v>
      </c>
      <c r="C10" s="10" t="s">
        <v>21</v>
      </c>
      <c r="D10" s="23" t="s">
        <v>37</v>
      </c>
      <c r="E10" s="12">
        <v>43888</v>
      </c>
      <c r="F10" s="21" t="s">
        <v>45</v>
      </c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38</v>
      </c>
      <c r="C11" s="10" t="s">
        <v>21</v>
      </c>
      <c r="D11" s="23" t="s">
        <v>39</v>
      </c>
      <c r="E11" s="12">
        <v>43888</v>
      </c>
      <c r="F11" s="21" t="s">
        <v>45</v>
      </c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43</v>
      </c>
      <c r="C12" s="10" t="s">
        <v>21</v>
      </c>
      <c r="D12" s="23" t="s">
        <v>44</v>
      </c>
      <c r="E12" s="12">
        <v>43888</v>
      </c>
      <c r="F12" s="21" t="s">
        <v>45</v>
      </c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27</v>
      </c>
      <c r="C13" s="10" t="s">
        <v>21</v>
      </c>
      <c r="D13" s="23" t="s">
        <v>28</v>
      </c>
      <c r="E13" s="12">
        <v>43888</v>
      </c>
      <c r="F13" s="21" t="s">
        <v>45</v>
      </c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41</v>
      </c>
      <c r="C14" s="10" t="s">
        <v>21</v>
      </c>
      <c r="D14" s="23" t="s">
        <v>42</v>
      </c>
      <c r="E14" s="12">
        <v>43888</v>
      </c>
      <c r="F14" s="21" t="s">
        <v>45</v>
      </c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3" t="s">
        <v>34</v>
      </c>
      <c r="C15" s="10" t="s">
        <v>21</v>
      </c>
      <c r="D15" s="23" t="s">
        <v>40</v>
      </c>
      <c r="E15" s="12">
        <v>43888</v>
      </c>
      <c r="F15" s="21" t="s">
        <v>45</v>
      </c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 t="s">
        <v>25</v>
      </c>
      <c r="C16" s="10" t="s">
        <v>21</v>
      </c>
      <c r="D16" s="23" t="s">
        <v>26</v>
      </c>
      <c r="E16" s="12">
        <v>43888</v>
      </c>
      <c r="F16" s="21" t="s">
        <v>45</v>
      </c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 t="s">
        <v>31</v>
      </c>
      <c r="C17" s="10" t="s">
        <v>21</v>
      </c>
      <c r="D17" s="23" t="s">
        <v>32</v>
      </c>
      <c r="E17" s="12">
        <v>43888</v>
      </c>
      <c r="F17" s="21" t="s">
        <v>45</v>
      </c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sortState ref="B7:H17">
    <sortCondition ref="E7:E17"/>
    <sortCondition ref="D7:D17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10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66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10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56</v>
      </c>
      <c r="C7" s="10" t="s">
        <v>21</v>
      </c>
      <c r="D7" s="23" t="s">
        <v>46</v>
      </c>
      <c r="E7" s="12">
        <v>43894</v>
      </c>
      <c r="F7" s="21" t="s">
        <v>45</v>
      </c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57</v>
      </c>
      <c r="C8" s="10" t="s">
        <v>21</v>
      </c>
      <c r="D8" s="23" t="s">
        <v>47</v>
      </c>
      <c r="E8" s="12">
        <v>43894</v>
      </c>
      <c r="F8" s="21" t="s">
        <v>45</v>
      </c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58</v>
      </c>
      <c r="C9" s="10" t="s">
        <v>21</v>
      </c>
      <c r="D9" s="23" t="s">
        <v>48</v>
      </c>
      <c r="E9" s="12">
        <v>43894</v>
      </c>
      <c r="F9" s="21" t="s">
        <v>45</v>
      </c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59</v>
      </c>
      <c r="C10" s="10" t="s">
        <v>21</v>
      </c>
      <c r="D10" s="23" t="s">
        <v>49</v>
      </c>
      <c r="E10" s="12">
        <v>43894</v>
      </c>
      <c r="F10" s="21" t="s">
        <v>45</v>
      </c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60</v>
      </c>
      <c r="C11" s="10" t="s">
        <v>21</v>
      </c>
      <c r="D11" s="23" t="s">
        <v>50</v>
      </c>
      <c r="E11" s="12">
        <v>43894</v>
      </c>
      <c r="F11" s="21" t="s">
        <v>45</v>
      </c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2" t="s">
        <v>61</v>
      </c>
      <c r="C12" s="10" t="s">
        <v>21</v>
      </c>
      <c r="D12" s="23" t="s">
        <v>51</v>
      </c>
      <c r="E12" s="12">
        <v>43894</v>
      </c>
      <c r="F12" s="21" t="s">
        <v>45</v>
      </c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62</v>
      </c>
      <c r="C13" s="10" t="s">
        <v>21</v>
      </c>
      <c r="D13" s="23" t="s">
        <v>52</v>
      </c>
      <c r="E13" s="12">
        <v>43894</v>
      </c>
      <c r="F13" s="21" t="s">
        <v>45</v>
      </c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63</v>
      </c>
      <c r="C14" s="10" t="s">
        <v>21</v>
      </c>
      <c r="D14" s="23" t="s">
        <v>53</v>
      </c>
      <c r="E14" s="12">
        <v>43894</v>
      </c>
      <c r="F14" s="21" t="s">
        <v>45</v>
      </c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64</v>
      </c>
      <c r="C15" s="10" t="s">
        <v>21</v>
      </c>
      <c r="D15" s="23" t="s">
        <v>54</v>
      </c>
      <c r="E15" s="12">
        <v>43894</v>
      </c>
      <c r="F15" s="21" t="s">
        <v>45</v>
      </c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 t="s">
        <v>65</v>
      </c>
      <c r="C16" s="10" t="s">
        <v>21</v>
      </c>
      <c r="D16" s="23" t="s">
        <v>55</v>
      </c>
      <c r="E16" s="12">
        <v>43894</v>
      </c>
      <c r="F16" s="21" t="s">
        <v>45</v>
      </c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A5" sqref="A5:F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67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2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68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2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69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2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70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2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13" sqref="F13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9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71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9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80</v>
      </c>
      <c r="C7" s="10" t="s">
        <v>21</v>
      </c>
      <c r="D7" s="23" t="s">
        <v>81</v>
      </c>
      <c r="E7" s="12">
        <v>44073</v>
      </c>
      <c r="F7" s="21" t="s">
        <v>45</v>
      </c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78</v>
      </c>
      <c r="C8" s="10" t="s">
        <v>21</v>
      </c>
      <c r="D8" s="23" t="s">
        <v>79</v>
      </c>
      <c r="E8" s="12">
        <v>44073</v>
      </c>
      <c r="F8" s="21" t="s">
        <v>45</v>
      </c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72</v>
      </c>
      <c r="C9" s="10" t="s">
        <v>21</v>
      </c>
      <c r="D9" s="23" t="s">
        <v>74</v>
      </c>
      <c r="E9" s="12">
        <v>44073</v>
      </c>
      <c r="F9" s="21" t="s">
        <v>45</v>
      </c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73</v>
      </c>
      <c r="C10" s="10" t="s">
        <v>21</v>
      </c>
      <c r="D10" s="23" t="s">
        <v>75</v>
      </c>
      <c r="E10" s="12">
        <v>44073</v>
      </c>
      <c r="F10" s="21" t="s">
        <v>45</v>
      </c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76</v>
      </c>
      <c r="C11" s="10" t="s">
        <v>21</v>
      </c>
      <c r="D11" s="23" t="s">
        <v>77</v>
      </c>
      <c r="E11" s="12">
        <v>44073</v>
      </c>
      <c r="F11" s="21" t="s">
        <v>45</v>
      </c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2" t="s">
        <v>82</v>
      </c>
      <c r="C12" s="10" t="s">
        <v>21</v>
      </c>
      <c r="D12" s="23" t="s">
        <v>83</v>
      </c>
      <c r="E12" s="12">
        <v>44074</v>
      </c>
      <c r="F12" s="21" t="s">
        <v>45</v>
      </c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84</v>
      </c>
      <c r="C13" s="10" t="s">
        <v>21</v>
      </c>
      <c r="D13" s="23" t="s">
        <v>85</v>
      </c>
      <c r="E13" s="12">
        <v>44074</v>
      </c>
      <c r="F13" s="21" t="s">
        <v>45</v>
      </c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88</v>
      </c>
      <c r="C14" s="10" t="s">
        <v>21</v>
      </c>
      <c r="D14" s="23" t="s">
        <v>86</v>
      </c>
      <c r="E14" s="12">
        <v>44074</v>
      </c>
      <c r="F14" s="21" t="s">
        <v>45</v>
      </c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89</v>
      </c>
      <c r="C15" s="10" t="s">
        <v>21</v>
      </c>
      <c r="D15" s="23" t="s">
        <v>87</v>
      </c>
      <c r="E15" s="12">
        <v>44074</v>
      </c>
      <c r="F15" s="21" t="s">
        <v>45</v>
      </c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sortState ref="B7:F15">
    <sortCondition ref="E7:E15"/>
    <sortCondition ref="D7:D15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90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2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91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2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13" sqref="F13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10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92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10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93</v>
      </c>
      <c r="C7" s="10" t="s">
        <v>21</v>
      </c>
      <c r="D7" s="23" t="s">
        <v>94</v>
      </c>
      <c r="E7" s="12">
        <v>44152</v>
      </c>
      <c r="F7" s="21" t="s">
        <v>45</v>
      </c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98</v>
      </c>
      <c r="C8" s="10" t="s">
        <v>21</v>
      </c>
      <c r="D8" s="23" t="s">
        <v>103</v>
      </c>
      <c r="E8" s="12">
        <v>44165</v>
      </c>
      <c r="F8" s="21" t="s">
        <v>45</v>
      </c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2" t="s">
        <v>99</v>
      </c>
      <c r="C9" s="10" t="s">
        <v>21</v>
      </c>
      <c r="D9" s="23" t="s">
        <v>104</v>
      </c>
      <c r="E9" s="12">
        <v>44165</v>
      </c>
      <c r="F9" s="21" t="s">
        <v>45</v>
      </c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95</v>
      </c>
      <c r="C10" s="10" t="s">
        <v>21</v>
      </c>
      <c r="D10" s="23" t="s">
        <v>100</v>
      </c>
      <c r="E10" s="12">
        <v>44165</v>
      </c>
      <c r="F10" s="21" t="s">
        <v>45</v>
      </c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96</v>
      </c>
      <c r="C11" s="10" t="s">
        <v>21</v>
      </c>
      <c r="D11" s="23" t="s">
        <v>101</v>
      </c>
      <c r="E11" s="12">
        <v>44165</v>
      </c>
      <c r="F11" s="21" t="s">
        <v>45</v>
      </c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97</v>
      </c>
      <c r="C12" s="10" t="s">
        <v>21</v>
      </c>
      <c r="D12" s="23" t="s">
        <v>102</v>
      </c>
      <c r="E12" s="12">
        <v>44165</v>
      </c>
      <c r="F12" s="21" t="s">
        <v>45</v>
      </c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109</v>
      </c>
      <c r="C13" s="10" t="s">
        <v>21</v>
      </c>
      <c r="D13" s="23" t="s">
        <v>105</v>
      </c>
      <c r="E13" s="12">
        <v>44165</v>
      </c>
      <c r="F13" s="21" t="s">
        <v>45</v>
      </c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110</v>
      </c>
      <c r="C14" s="10" t="s">
        <v>21</v>
      </c>
      <c r="D14" s="23" t="s">
        <v>106</v>
      </c>
      <c r="E14" s="12">
        <v>44165</v>
      </c>
      <c r="F14" s="21" t="s">
        <v>45</v>
      </c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111</v>
      </c>
      <c r="C15" s="10" t="s">
        <v>21</v>
      </c>
      <c r="D15" s="23" t="s">
        <v>107</v>
      </c>
      <c r="E15" s="12">
        <v>44165</v>
      </c>
      <c r="F15" s="21" t="s">
        <v>45</v>
      </c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 t="s">
        <v>112</v>
      </c>
      <c r="C16" s="10" t="s">
        <v>21</v>
      </c>
      <c r="D16" s="23" t="s">
        <v>108</v>
      </c>
      <c r="E16" s="12">
        <v>44165</v>
      </c>
      <c r="F16" s="21" t="s">
        <v>45</v>
      </c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sortState ref="B7:F12">
    <sortCondition ref="E7:E12"/>
    <sortCondition ref="D7:D12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H15" sqref="H1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1" t="s">
        <v>0</v>
      </c>
      <c r="B1" s="31"/>
      <c r="C1" s="31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5" t="s">
        <v>2</v>
      </c>
      <c r="B2" s="35"/>
      <c r="C2" s="35"/>
      <c r="D2" s="6"/>
      <c r="E2" s="36" t="s">
        <v>3</v>
      </c>
      <c r="F2" s="36"/>
      <c r="G2" s="4"/>
      <c r="H2" s="4"/>
      <c r="I2" s="32" t="s">
        <v>4</v>
      </c>
      <c r="J2" s="33"/>
      <c r="K2" s="18">
        <f>SUMIF(F7:F38,"Elimination*",G7:G38)</f>
        <v>1</v>
      </c>
    </row>
    <row r="3" spans="1:11" x14ac:dyDescent="0.25">
      <c r="A3" s="36" t="s">
        <v>5</v>
      </c>
      <c r="B3" s="36"/>
      <c r="C3" s="36"/>
      <c r="D3" s="5"/>
      <c r="E3" s="36" t="s">
        <v>16</v>
      </c>
      <c r="F3" s="36"/>
      <c r="G3" s="4"/>
      <c r="H3" s="4"/>
      <c r="I3" s="32" t="s">
        <v>6</v>
      </c>
      <c r="J3" s="33"/>
      <c r="K3" s="18">
        <f>SUMIF(F7:F38,"NB*",G7:G38)</f>
        <v>0</v>
      </c>
    </row>
    <row r="4" spans="1:11" ht="18" x14ac:dyDescent="0.25">
      <c r="A4" s="31" t="s">
        <v>7</v>
      </c>
      <c r="B4" s="31"/>
      <c r="C4" s="31"/>
      <c r="D4" s="31"/>
      <c r="E4" s="31"/>
      <c r="F4" s="31"/>
      <c r="G4" s="4"/>
      <c r="H4" s="4"/>
      <c r="I4" s="32" t="s">
        <v>8</v>
      </c>
      <c r="J4" s="33"/>
      <c r="K4" s="18">
        <f>SUMIF(F7:F38,"Ve*",G7:G38)</f>
        <v>0</v>
      </c>
    </row>
    <row r="5" spans="1:11" ht="15.75" x14ac:dyDescent="0.25">
      <c r="A5" s="34" t="s">
        <v>113</v>
      </c>
      <c r="B5" s="34"/>
      <c r="C5" s="34"/>
      <c r="D5" s="34"/>
      <c r="E5" s="34"/>
      <c r="F5" s="34"/>
      <c r="G5" s="19"/>
      <c r="H5" s="19"/>
      <c r="I5" s="32" t="s">
        <v>9</v>
      </c>
      <c r="J5" s="33"/>
      <c r="K5" s="20">
        <f>SUM(K2:K4)</f>
        <v>1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115</v>
      </c>
      <c r="C7" s="10" t="s">
        <v>21</v>
      </c>
      <c r="D7" s="23" t="s">
        <v>114</v>
      </c>
      <c r="E7" s="12">
        <v>44196</v>
      </c>
      <c r="F7" s="21" t="s">
        <v>45</v>
      </c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2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9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2020</vt:lpstr>
      <vt:lpstr>FEVRIER 2020</vt:lpstr>
      <vt:lpstr>MARS 2020</vt:lpstr>
      <vt:lpstr>AVRIL 2020</vt:lpstr>
      <vt:lpstr>MAI 2020</vt:lpstr>
      <vt:lpstr>JUIN 2020</vt:lpstr>
      <vt:lpstr>JUILLET 2020</vt:lpstr>
      <vt:lpstr>AOUT 2020</vt:lpstr>
      <vt:lpstr>SEPTEMBRE 2020</vt:lpstr>
      <vt:lpstr>OCTOBRE 2020</vt:lpstr>
      <vt:lpstr>NOVEMBRE 2020</vt:lpstr>
      <vt:lpstr>DECEMBRE 2020</vt:lpstr>
      <vt:lpstr>'AOUT 2020'!Impression_des_titres</vt:lpstr>
      <vt:lpstr>'AVRIL 2020'!Impression_des_titres</vt:lpstr>
      <vt:lpstr>'DECEMBRE 2020'!Impression_des_titres</vt:lpstr>
      <vt:lpstr>'FEVRIER 2020'!Impression_des_titres</vt:lpstr>
      <vt:lpstr>'JANVIER 2020'!Impression_des_titres</vt:lpstr>
      <vt:lpstr>'JUILLET 2020'!Impression_des_titres</vt:lpstr>
      <vt:lpstr>'JUIN 2020'!Impression_des_titres</vt:lpstr>
      <vt:lpstr>'MAI 2020'!Impression_des_titres</vt:lpstr>
      <vt:lpstr>'MARS 2020'!Impression_des_titres</vt:lpstr>
      <vt:lpstr>'NOVEMBRE 2020'!Impression_des_titres</vt:lpstr>
      <vt:lpstr>'OCTOBRE 2020'!Impression_des_titres</vt:lpstr>
      <vt:lpstr>'SEPTEMBRE 2020'!Impression_des_titres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2021-01-04T07:58:22Z</cp:lastPrinted>
  <dcterms:created xsi:type="dcterms:W3CDTF">2014-12-31T15:00:30Z</dcterms:created>
  <dcterms:modified xsi:type="dcterms:W3CDTF">2021-01-04T07:59:50Z</dcterms:modified>
</cp:coreProperties>
</file>