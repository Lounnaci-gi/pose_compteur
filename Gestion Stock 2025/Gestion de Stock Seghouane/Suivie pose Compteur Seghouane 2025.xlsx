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5\Gestion de Stock Seghouane\"/>
    </mc:Choice>
  </mc:AlternateContent>
  <xr:revisionPtr revIDLastSave="0" documentId="13_ncr:1_{53653F66-7AA7-418E-AF20-519502AC7B22}" xr6:coauthVersionLast="47" xr6:coauthVersionMax="47" xr10:uidLastSave="{00000000-0000-0000-0000-000000000000}"/>
  <bookViews>
    <workbookView xWindow="-120" yWindow="-120" windowWidth="29040" windowHeight="15720" firstSheet="6" activeTab="11" xr2:uid="{00000000-000D-0000-FFFF-FFFF00000000}"/>
  </bookViews>
  <sheets>
    <sheet name="JANVIER 2025" sheetId="12" r:id="rId1"/>
    <sheet name="FEVRIER 2025" sheetId="13" r:id="rId2"/>
    <sheet name="MARS 2025" sheetId="14" r:id="rId3"/>
    <sheet name="AVRIL 2025" sheetId="15" r:id="rId4"/>
    <sheet name="MAI 2025" sheetId="16" r:id="rId5"/>
    <sheet name="JUIN 2025" sheetId="17" r:id="rId6"/>
    <sheet name="JUILLET 2025" sheetId="18" r:id="rId7"/>
    <sheet name="AOUT 2025" sheetId="19" r:id="rId8"/>
    <sheet name="SEPTEMBRE 2025" sheetId="20" r:id="rId9"/>
    <sheet name="OCTOBRE 2025" sheetId="21" r:id="rId10"/>
    <sheet name="NOVEMBRE 2025" sheetId="22" r:id="rId11"/>
    <sheet name="DECEMBRE 2025" sheetId="23" r:id="rId12"/>
  </sheets>
  <definedNames>
    <definedName name="_xlnm.Print_Titles" localSheetId="7">'AOUT 2025'!$1:$6</definedName>
    <definedName name="_xlnm.Print_Titles" localSheetId="3">'AVRIL 2025'!$1:$6</definedName>
    <definedName name="_xlnm.Print_Titles" localSheetId="11">'DECEMBRE 2025'!$1:$6</definedName>
    <definedName name="_xlnm.Print_Titles" localSheetId="1">'FEVRIER 2025'!$1:$6</definedName>
    <definedName name="_xlnm.Print_Titles" localSheetId="0">'JANVIER 2025'!$1:$6</definedName>
    <definedName name="_xlnm.Print_Titles" localSheetId="6">'JUILLET 2025'!$1:$6</definedName>
    <definedName name="_xlnm.Print_Titles" localSheetId="5">'JUIN 2025'!$1:$6</definedName>
    <definedName name="_xlnm.Print_Titles" localSheetId="4">'MAI 2025'!$1:$6</definedName>
    <definedName name="_xlnm.Print_Titles" localSheetId="2">'MARS 2025'!$1:$6</definedName>
    <definedName name="_xlnm.Print_Titles" localSheetId="10">'NOVEMBRE 2025'!$1:$6</definedName>
    <definedName name="_xlnm.Print_Titles" localSheetId="9">'OCTOBRE 2025'!$1:$6</definedName>
    <definedName name="_xlnm.Print_Titles" localSheetId="8">'SEPTEMBRE 2025'!$1:$6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3" l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A41" i="23" s="1"/>
  <c r="A42" i="23" s="1"/>
  <c r="A43" i="23" s="1"/>
  <c r="A44" i="23" s="1"/>
  <c r="A45" i="23" s="1"/>
  <c r="A46" i="23" s="1"/>
  <c r="K4" i="23"/>
  <c r="K3" i="23"/>
  <c r="K2" i="23"/>
  <c r="K5" i="23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K4" i="22"/>
  <c r="K3" i="22"/>
  <c r="K2" i="22"/>
  <c r="K5" i="22" l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40" i="21" s="1"/>
  <c r="A41" i="21" s="1"/>
  <c r="A42" i="21" s="1"/>
  <c r="A43" i="21" s="1"/>
  <c r="A44" i="21" s="1"/>
  <c r="A45" i="21" s="1"/>
  <c r="A46" i="21" s="1"/>
  <c r="K4" i="21"/>
  <c r="K3" i="21"/>
  <c r="K2" i="21"/>
  <c r="K5" i="21" l="1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K4" i="20"/>
  <c r="K3" i="20"/>
  <c r="K2" i="20"/>
  <c r="K5" i="20" s="1"/>
  <c r="A8" i="19" l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K4" i="19"/>
  <c r="K3" i="19"/>
  <c r="K2" i="19"/>
  <c r="K5" i="19" s="1"/>
  <c r="A8" i="18" l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A38" i="18" s="1"/>
  <c r="A39" i="18" s="1"/>
  <c r="A40" i="18" s="1"/>
  <c r="A41" i="18" s="1"/>
  <c r="A42" i="18" s="1"/>
  <c r="A43" i="18" s="1"/>
  <c r="A44" i="18" s="1"/>
  <c r="A45" i="18" s="1"/>
  <c r="A46" i="18" s="1"/>
  <c r="K4" i="18"/>
  <c r="K3" i="18"/>
  <c r="K2" i="18"/>
  <c r="K5" i="18" l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K4" i="17"/>
  <c r="K3" i="17"/>
  <c r="K2" i="17"/>
  <c r="K5" i="17" s="1"/>
  <c r="A8" i="16" l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K4" i="16"/>
  <c r="K3" i="16"/>
  <c r="K2" i="16"/>
  <c r="K5" i="16" l="1"/>
  <c r="A8" i="15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K4" i="15"/>
  <c r="K3" i="15"/>
  <c r="K2" i="15"/>
  <c r="K5" i="15" l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K4" i="14"/>
  <c r="K3" i="14"/>
  <c r="K2" i="14"/>
  <c r="K5" i="14" l="1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K4" i="13"/>
  <c r="K3" i="13"/>
  <c r="K2" i="13"/>
  <c r="K5" i="13" l="1"/>
  <c r="A8" i="12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K4" i="12"/>
  <c r="K3" i="12"/>
  <c r="K2" i="12"/>
  <c r="K5" i="12" l="1"/>
</calcChain>
</file>

<file path=xl/sharedStrings.xml><?xml version="1.0" encoding="utf-8"?>
<sst xmlns="http://schemas.openxmlformats.org/spreadsheetml/2006/main" count="306" uniqueCount="78">
  <si>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</si>
  <si>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</si>
  <si>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</si>
  <si>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</si>
  <si>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</si>
  <si>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</si>
  <si>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</si>
  <si>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</si>
  <si>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</si>
  <si>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</si>
  <si>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</si>
  <si>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</si>
  <si>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</si>
  <si>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</si>
  <si>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</si>
  <si>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</si>
  <si>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Anetnne Seghouane</t>
  </si>
  <si>
    <t>CC</t>
  </si>
  <si>
    <t>Mois de JANVIER 2025</t>
  </si>
  <si>
    <t>Mois de FEVRIER 2025</t>
  </si>
  <si>
    <t>HA</t>
  </si>
  <si>
    <t>15/21</t>
  </si>
  <si>
    <t>2024219375</t>
  </si>
  <si>
    <t>NB(049/2024)</t>
  </si>
  <si>
    <t>Ferhat farid</t>
  </si>
  <si>
    <t>Mois de MARS 2025</t>
  </si>
  <si>
    <t>H20031</t>
  </si>
  <si>
    <t>18041008129</t>
  </si>
  <si>
    <t>Elimination Forfait</t>
  </si>
  <si>
    <t>Mois de AVRIL 2025</t>
  </si>
  <si>
    <t>HA0283</t>
  </si>
  <si>
    <t>2024218976</t>
  </si>
  <si>
    <t>H2</t>
  </si>
  <si>
    <t>19005180</t>
  </si>
  <si>
    <t>Fraction ouled hedim</t>
  </si>
  <si>
    <t>2025060707</t>
  </si>
  <si>
    <t>NB(409/2023)</t>
  </si>
  <si>
    <t>Allik abderezzak</t>
  </si>
  <si>
    <t>matmoura</t>
  </si>
  <si>
    <t>Mois de MAI 2025</t>
  </si>
  <si>
    <t>Mois de JUIN 2025</t>
  </si>
  <si>
    <t>Mois de JUILLET 2025</t>
  </si>
  <si>
    <t>HA0568</t>
  </si>
  <si>
    <t>2025060873</t>
  </si>
  <si>
    <t>2025060876</t>
  </si>
  <si>
    <t>NB(718/2024)</t>
  </si>
  <si>
    <t>Makhlouf mourad</t>
  </si>
  <si>
    <t>2025060877</t>
  </si>
  <si>
    <t>NB(090/2025)</t>
  </si>
  <si>
    <t>Mesdoura med</t>
  </si>
  <si>
    <t>2025060981</t>
  </si>
  <si>
    <t>HA0938</t>
  </si>
  <si>
    <t>HA0559</t>
  </si>
  <si>
    <t>2025060693</t>
  </si>
  <si>
    <t>Mois de AOUT 2025</t>
  </si>
  <si>
    <t>HA0536</t>
  </si>
  <si>
    <t>2025118545</t>
  </si>
  <si>
    <t>Mois de SEPTEMBRE 2025</t>
  </si>
  <si>
    <t>H30001</t>
  </si>
  <si>
    <t>20/27</t>
  </si>
  <si>
    <t>2024004547</t>
  </si>
  <si>
    <t>2025117644</t>
  </si>
  <si>
    <t>NB(166/2025)</t>
  </si>
  <si>
    <t>Doussa noureddine</t>
  </si>
  <si>
    <t>HA0555</t>
  </si>
  <si>
    <t>2025118112</t>
  </si>
  <si>
    <t>2025118109</t>
  </si>
  <si>
    <t>NB(243/2025)</t>
  </si>
  <si>
    <t>Boudellal fatma</t>
  </si>
  <si>
    <t>HA0224</t>
  </si>
  <si>
    <t>2025118669</t>
  </si>
  <si>
    <t>Mois de OCTOBRE 2025</t>
  </si>
  <si>
    <t>H20007</t>
  </si>
  <si>
    <t>Mois de NOVEMBRE 2025</t>
  </si>
  <si>
    <t>HA0557</t>
  </si>
  <si>
    <t>2025118306</t>
  </si>
  <si>
    <t>2024004544</t>
  </si>
  <si>
    <t>Mois de DECEMBRE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</si>
</sst>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8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0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Alignment="1">
      <alignment vertical="center" wrapText="1"/>
    </xf>
    <xf numFmtId="0" fontId="0" fillId="0" borderId="1" xfId="0" applyBorder="1"/>
    <xf numFmtId="0" fontId="9" fillId="0" borderId="4" xfId="1" applyFont="1" applyBorder="1" applyAlignment="1">
      <alignment horizontal="righ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6</xdr:row>
      <xdr:rowOff>38100</xdr:rowOff>
    </xdr:from>
    <xdr:to>
      <xdr:col>5</xdr:col>
      <xdr:colOff>1295400</xdr:colOff>
      <xdr:row>45</xdr:row>
      <xdr:rowOff>180975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H="1">
          <a:off x="600077" y="1352550"/>
          <a:ext cx="4533898" cy="757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6</xdr:row>
      <xdr:rowOff>9525</xdr:rowOff>
    </xdr:from>
    <xdr:to>
      <xdr:col>5</xdr:col>
      <xdr:colOff>1295400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>
          <a:off x="600077" y="1323975"/>
          <a:ext cx="4533898" cy="7600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CxnSpPr/>
      </xdr:nvCxnSpPr>
      <xdr:spPr>
        <a:xfrm flipH="1">
          <a:off x="600080" y="6448425"/>
          <a:ext cx="456247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8</xdr:row>
      <xdr:rowOff>66675</xdr:rowOff>
    </xdr:from>
    <xdr:to>
      <xdr:col>5</xdr:col>
      <xdr:colOff>1304925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H="1">
          <a:off x="600078" y="1762125"/>
          <a:ext cx="4724397" cy="7162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600080" y="6448425"/>
          <a:ext cx="474344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8</xdr:row>
      <xdr:rowOff>66675</xdr:rowOff>
    </xdr:from>
    <xdr:to>
      <xdr:col>5</xdr:col>
      <xdr:colOff>1304925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H="1">
          <a:off x="600078" y="1762125"/>
          <a:ext cx="4724397" cy="71628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CxnSpPr/>
      </xdr:nvCxnSpPr>
      <xdr:spPr>
        <a:xfrm flipH="1">
          <a:off x="600080" y="6448425"/>
          <a:ext cx="474344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9529</xdr:colOff>
      <xdr:row>7</xdr:row>
      <xdr:rowOff>28575</xdr:rowOff>
    </xdr:from>
    <xdr:to>
      <xdr:col>5</xdr:col>
      <xdr:colOff>1304925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 flipH="1">
          <a:off x="600079" y="1533525"/>
          <a:ext cx="4724396" cy="7391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 flipH="1">
          <a:off x="600080" y="6448425"/>
          <a:ext cx="474344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9529</xdr:colOff>
      <xdr:row>5</xdr:row>
      <xdr:rowOff>257175</xdr:rowOff>
    </xdr:from>
    <xdr:to>
      <xdr:col>5</xdr:col>
      <xdr:colOff>1295400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 flipH="1">
          <a:off x="600079" y="1304925"/>
          <a:ext cx="4714871" cy="76200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CxnSpPr/>
      </xdr:nvCxnSpPr>
      <xdr:spPr>
        <a:xfrm flipH="1">
          <a:off x="600080" y="6448425"/>
          <a:ext cx="474344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9531</xdr:colOff>
      <xdr:row>11</xdr:row>
      <xdr:rowOff>38100</xdr:rowOff>
    </xdr:from>
    <xdr:to>
      <xdr:col>5</xdr:col>
      <xdr:colOff>1295400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 flipH="1">
          <a:off x="600081" y="2305050"/>
          <a:ext cx="4714869" cy="6619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9530</xdr:colOff>
      <xdr:row>32</xdr:row>
      <xdr:rowOff>180975</xdr:rowOff>
    </xdr:from>
    <xdr:to>
      <xdr:col>7</xdr:col>
      <xdr:colOff>9525</xdr:colOff>
      <xdr:row>33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 flipH="1">
          <a:off x="600080" y="6448425"/>
          <a:ext cx="474344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9532</xdr:colOff>
      <xdr:row>7</xdr:row>
      <xdr:rowOff>66675</xdr:rowOff>
    </xdr:from>
    <xdr:to>
      <xdr:col>5</xdr:col>
      <xdr:colOff>1276350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H="1">
          <a:off x="600082" y="1571625"/>
          <a:ext cx="4695818" cy="73533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9533</xdr:colOff>
      <xdr:row>9</xdr:row>
      <xdr:rowOff>171450</xdr:rowOff>
    </xdr:from>
    <xdr:to>
      <xdr:col>5</xdr:col>
      <xdr:colOff>1295400</xdr:colOff>
      <xdr:row>45</xdr:row>
      <xdr:rowOff>180975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CxnSpPr/>
      </xdr:nvCxnSpPr>
      <xdr:spPr>
        <a:xfrm flipH="1">
          <a:off x="600083" y="2057400"/>
          <a:ext cx="4714867" cy="6867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9534</xdr:colOff>
      <xdr:row>7</xdr:row>
      <xdr:rowOff>38100</xdr:rowOff>
    </xdr:from>
    <xdr:to>
      <xdr:col>7</xdr:col>
      <xdr:colOff>9525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CxnSpPr/>
      </xdr:nvCxnSpPr>
      <xdr:spPr>
        <a:xfrm flipH="1">
          <a:off x="600084" y="1543050"/>
          <a:ext cx="4743441" cy="73818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9535</xdr:colOff>
      <xdr:row>8</xdr:row>
      <xdr:rowOff>9525</xdr:rowOff>
    </xdr:from>
    <xdr:to>
      <xdr:col>6</xdr:col>
      <xdr:colOff>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CxnSpPr/>
      </xdr:nvCxnSpPr>
      <xdr:spPr>
        <a:xfrm flipH="1">
          <a:off x="600085" y="1704975"/>
          <a:ext cx="4733915" cy="7219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9535</xdr:colOff>
      <xdr:row>6</xdr:row>
      <xdr:rowOff>19050</xdr:rowOff>
    </xdr:from>
    <xdr:to>
      <xdr:col>5</xdr:col>
      <xdr:colOff>1295400</xdr:colOff>
      <xdr:row>45</xdr:row>
      <xdr:rowOff>180975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8672774D-57B1-478B-AB8F-3E6F841B7713}"/>
            </a:ext>
          </a:extLst>
        </xdr:cNvPr>
        <xdr:cNvCxnSpPr/>
      </xdr:nvCxnSpPr>
      <xdr:spPr>
        <a:xfrm flipH="1">
          <a:off x="600085" y="1333500"/>
          <a:ext cx="4714865" cy="75914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18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sortState xmlns:xlrd2="http://schemas.microsoft.com/office/spreadsheetml/2017/richdata2" ref="B7:H16">
    <sortCondition ref="E7:E16"/>
    <sortCondition ref="D7:D16"/>
  </sortState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19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6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1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25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20</v>
      </c>
      <c r="C7" s="10" t="s">
        <v>21</v>
      </c>
      <c r="D7" s="9" t="s">
        <v>22</v>
      </c>
      <c r="E7" s="12">
        <v>45734</v>
      </c>
      <c r="F7" s="20" t="s">
        <v>23</v>
      </c>
      <c r="G7" s="16">
        <v>1</v>
      </c>
      <c r="H7" s="2" t="s">
        <v>24</v>
      </c>
      <c r="I7" s="15"/>
      <c r="J7" s="15"/>
      <c r="K7" s="1"/>
    </row>
    <row r="8" spans="1:11" ht="15" customHeight="1" x14ac:dyDescent="0.25">
      <c r="A8" s="14">
        <f>+A7+1</f>
        <v>2</v>
      </c>
      <c r="B8" s="10" t="s">
        <v>26</v>
      </c>
      <c r="C8" s="10">
        <v>30</v>
      </c>
      <c r="D8" s="9" t="s">
        <v>27</v>
      </c>
      <c r="E8" s="12">
        <v>45736</v>
      </c>
      <c r="F8" s="20" t="s">
        <v>28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6"/>
  <sheetViews>
    <sheetView workbookViewId="0">
      <selection activeCell="F8" sqref="F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2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29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30</v>
      </c>
      <c r="C7" s="10" t="s">
        <v>21</v>
      </c>
      <c r="D7" s="9" t="s">
        <v>31</v>
      </c>
      <c r="E7" s="12">
        <v>45756</v>
      </c>
      <c r="F7" s="20" t="s">
        <v>28</v>
      </c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 t="s">
        <v>32</v>
      </c>
      <c r="C8" s="10">
        <v>80</v>
      </c>
      <c r="D8" s="9" t="s">
        <v>33</v>
      </c>
      <c r="E8" s="12">
        <v>45769</v>
      </c>
      <c r="F8" s="20" t="s">
        <v>28</v>
      </c>
      <c r="G8" s="16">
        <v>1</v>
      </c>
      <c r="H8" s="2" t="s">
        <v>34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6"/>
  <sheetViews>
    <sheetView workbookViewId="0">
      <selection activeCell="F46" sqref="A1:F4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1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39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20</v>
      </c>
      <c r="C7" s="10" t="s">
        <v>21</v>
      </c>
      <c r="D7" s="9" t="s">
        <v>35</v>
      </c>
      <c r="E7" s="12">
        <v>45804</v>
      </c>
      <c r="F7" s="20" t="s">
        <v>36</v>
      </c>
      <c r="G7" s="16">
        <v>1</v>
      </c>
      <c r="H7" s="2" t="s">
        <v>37</v>
      </c>
      <c r="I7" s="15" t="s">
        <v>38</v>
      </c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6"/>
  <sheetViews>
    <sheetView workbookViewId="0">
      <selection activeCell="H15" sqref="H1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40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6"/>
  <sheetViews>
    <sheetView workbookViewId="0">
      <selection activeCell="H12" sqref="H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3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2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41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5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42</v>
      </c>
      <c r="C7" s="10" t="s">
        <v>21</v>
      </c>
      <c r="D7" s="9" t="s">
        <v>43</v>
      </c>
      <c r="E7" s="12">
        <v>45859</v>
      </c>
      <c r="F7" s="20" t="s">
        <v>28</v>
      </c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 t="s">
        <v>20</v>
      </c>
      <c r="C8" s="10" t="s">
        <v>21</v>
      </c>
      <c r="D8" s="9" t="s">
        <v>44</v>
      </c>
      <c r="E8" s="12">
        <v>45862</v>
      </c>
      <c r="F8" s="20" t="s">
        <v>45</v>
      </c>
      <c r="G8" s="16">
        <v>1</v>
      </c>
      <c r="H8" s="2" t="s">
        <v>46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20</v>
      </c>
      <c r="C9" s="10" t="s">
        <v>21</v>
      </c>
      <c r="D9" s="9" t="s">
        <v>47</v>
      </c>
      <c r="E9" s="12">
        <v>45862</v>
      </c>
      <c r="F9" s="20" t="s">
        <v>48</v>
      </c>
      <c r="G9" s="16">
        <v>1</v>
      </c>
      <c r="H9" s="2" t="s">
        <v>49</v>
      </c>
      <c r="I9" s="2"/>
      <c r="J9" s="2"/>
      <c r="K9" s="1"/>
    </row>
    <row r="10" spans="1:11" ht="15" customHeight="1" x14ac:dyDescent="0.25">
      <c r="A10" s="14">
        <f t="shared" si="0"/>
        <v>4</v>
      </c>
      <c r="B10" s="10" t="s">
        <v>51</v>
      </c>
      <c r="C10" s="10" t="s">
        <v>21</v>
      </c>
      <c r="D10" s="9" t="s">
        <v>50</v>
      </c>
      <c r="E10" s="12">
        <v>45865</v>
      </c>
      <c r="F10" s="20" t="s">
        <v>28</v>
      </c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 t="s">
        <v>52</v>
      </c>
      <c r="C11" s="10" t="s">
        <v>21</v>
      </c>
      <c r="D11" s="9" t="s">
        <v>53</v>
      </c>
      <c r="E11" s="12">
        <v>45869</v>
      </c>
      <c r="F11" s="20" t="s">
        <v>28</v>
      </c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6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1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54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55</v>
      </c>
      <c r="C7" s="10" t="s">
        <v>21</v>
      </c>
      <c r="D7" s="9" t="s">
        <v>56</v>
      </c>
      <c r="E7" s="12">
        <v>45897</v>
      </c>
      <c r="F7" s="20" t="s">
        <v>28</v>
      </c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16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16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16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16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16">
        <v>1</v>
      </c>
      <c r="H32" s="1"/>
      <c r="I32" s="1"/>
      <c r="J32" s="1"/>
    </row>
    <row r="33" spans="1:10" ht="15" customHeight="1" x14ac:dyDescent="0.25">
      <c r="A33" s="14">
        <f t="shared" si="0"/>
        <v>27</v>
      </c>
      <c r="B33" s="12"/>
      <c r="C33" s="10"/>
      <c r="D33" s="9"/>
      <c r="E33" s="12"/>
      <c r="F33" s="20"/>
      <c r="G33" s="16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6"/>
  <sheetViews>
    <sheetView workbookViewId="0">
      <selection activeCell="B12" sqref="B12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2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2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57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4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58</v>
      </c>
      <c r="C7" s="10" t="s">
        <v>59</v>
      </c>
      <c r="D7" s="9" t="s">
        <v>60</v>
      </c>
      <c r="E7" s="12">
        <v>45910</v>
      </c>
      <c r="F7" s="20" t="s">
        <v>28</v>
      </c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 t="s">
        <v>20</v>
      </c>
      <c r="C8" s="10" t="s">
        <v>21</v>
      </c>
      <c r="D8" s="9" t="s">
        <v>61</v>
      </c>
      <c r="E8" s="12">
        <v>45921</v>
      </c>
      <c r="F8" s="20" t="s">
        <v>62</v>
      </c>
      <c r="G8" s="16">
        <v>1</v>
      </c>
      <c r="H8" s="2" t="s">
        <v>63</v>
      </c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 t="s">
        <v>64</v>
      </c>
      <c r="C9" s="10" t="s">
        <v>21</v>
      </c>
      <c r="D9" s="9" t="s">
        <v>65</v>
      </c>
      <c r="E9" s="12">
        <v>45921</v>
      </c>
      <c r="F9" s="20" t="s">
        <v>28</v>
      </c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 t="s">
        <v>20</v>
      </c>
      <c r="C10" s="10" t="s">
        <v>21</v>
      </c>
      <c r="D10" s="9" t="s">
        <v>66</v>
      </c>
      <c r="E10" s="12">
        <v>45925</v>
      </c>
      <c r="F10" s="20" t="s">
        <v>67</v>
      </c>
      <c r="G10" s="16">
        <v>1</v>
      </c>
      <c r="H10" s="2" t="s">
        <v>68</v>
      </c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23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23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23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23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23">
        <v>1</v>
      </c>
      <c r="H32" s="1"/>
      <c r="I32" s="1"/>
      <c r="J32" s="1"/>
    </row>
    <row r="33" spans="1:10" x14ac:dyDescent="0.25">
      <c r="A33" s="14">
        <f t="shared" si="0"/>
        <v>27</v>
      </c>
      <c r="B33" s="12"/>
      <c r="C33" s="10"/>
      <c r="D33" s="9"/>
      <c r="E33" s="12"/>
      <c r="F33" s="20"/>
      <c r="G33" s="23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6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1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71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1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69</v>
      </c>
      <c r="C7" s="10" t="s">
        <v>21</v>
      </c>
      <c r="D7" s="9" t="s">
        <v>70</v>
      </c>
      <c r="E7" s="12">
        <v>45960</v>
      </c>
      <c r="F7" s="20" t="s">
        <v>28</v>
      </c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23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23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23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23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23">
        <v>1</v>
      </c>
      <c r="H32" s="1"/>
      <c r="I32" s="1"/>
      <c r="J32" s="1"/>
    </row>
    <row r="33" spans="1:10" x14ac:dyDescent="0.25">
      <c r="A33" s="14">
        <f t="shared" si="0"/>
        <v>27</v>
      </c>
      <c r="B33" s="12"/>
      <c r="C33" s="10"/>
      <c r="D33" s="9"/>
      <c r="E33" s="12"/>
      <c r="F33" s="20"/>
      <c r="G33" s="23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6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2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73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2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 t="s">
        <v>72</v>
      </c>
      <c r="C7" s="10" t="s">
        <v>59</v>
      </c>
      <c r="D7" s="9" t="s">
        <v>76</v>
      </c>
      <c r="E7" s="12">
        <v>45972</v>
      </c>
      <c r="F7" s="20" t="s">
        <v>28</v>
      </c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 t="s">
        <v>74</v>
      </c>
      <c r="C8" s="10" t="s">
        <v>21</v>
      </c>
      <c r="D8" s="9" t="s">
        <v>75</v>
      </c>
      <c r="E8" s="12">
        <v>45972</v>
      </c>
      <c r="F8" s="20" t="s">
        <v>28</v>
      </c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23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23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23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23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23">
        <v>1</v>
      </c>
      <c r="H32" s="1"/>
      <c r="I32" s="1"/>
      <c r="J32" s="1"/>
    </row>
    <row r="33" spans="1:10" x14ac:dyDescent="0.25">
      <c r="A33" s="14">
        <f t="shared" si="0"/>
        <v>27</v>
      </c>
      <c r="B33" s="12"/>
      <c r="C33" s="10"/>
      <c r="D33" s="9"/>
      <c r="E33" s="12"/>
      <c r="F33" s="20"/>
      <c r="G33" s="23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8F02-5D12-4FAD-813E-32C82801F159}">
  <dimension ref="A1:K46"/>
  <sheetViews>
    <sheetView tabSelected="1" topLeftCell="A6" workbookViewId="0">
      <selection activeCell="F11" sqref="F11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4" max="4" width="14.140625" customWidth="1"/>
    <col min="5" max="5" width="10.85546875" customWidth="1"/>
    <col min="6" max="6" width="19.7109375" customWidth="1"/>
    <col min="7" max="7" width="2.42578125" hidden="1" customWidth="1"/>
    <col min="8" max="8" width="29.85546875" customWidth="1"/>
  </cols>
  <sheetData>
    <row r="1" spans="1:11" ht="18" x14ac:dyDescent="0.25">
      <c r="A1" s="24" t="s">
        <v>0</v>
      </c>
      <c r="B1" s="24"/>
      <c r="C1" s="24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28" t="s">
        <v>2</v>
      </c>
      <c r="B2" s="28"/>
      <c r="C2" s="28"/>
      <c r="D2" s="6"/>
      <c r="E2" s="29" t="s">
        <v>3</v>
      </c>
      <c r="F2" s="29"/>
      <c r="G2" s="4"/>
      <c r="H2" s="4"/>
      <c r="I2" s="25" t="s">
        <v>4</v>
      </c>
      <c r="J2" s="26"/>
      <c r="K2" s="17">
        <f>SUMIF(F7:F33,"Elimination*",G7:G33)</f>
        <v>0</v>
      </c>
    </row>
    <row r="3" spans="1:11" x14ac:dyDescent="0.25">
      <c r="A3" s="29" t="s">
        <v>5</v>
      </c>
      <c r="B3" s="29"/>
      <c r="C3" s="29"/>
      <c r="D3" s="5"/>
      <c r="E3" s="29" t="s">
        <v>16</v>
      </c>
      <c r="F3" s="29"/>
      <c r="G3" s="4"/>
      <c r="H3" s="4"/>
      <c r="I3" s="25" t="s">
        <v>6</v>
      </c>
      <c r="J3" s="26"/>
      <c r="K3" s="17">
        <f>SUMIF(F7:F33,"NB*",G7:G33)</f>
        <v>0</v>
      </c>
    </row>
    <row r="4" spans="1:11" ht="18" x14ac:dyDescent="0.25">
      <c r="A4" s="24" t="s">
        <v>7</v>
      </c>
      <c r="B4" s="24"/>
      <c r="C4" s="24"/>
      <c r="D4" s="24"/>
      <c r="E4" s="24"/>
      <c r="F4" s="24"/>
      <c r="G4" s="4"/>
      <c r="H4" s="4"/>
      <c r="I4" s="25" t="s">
        <v>8</v>
      </c>
      <c r="J4" s="26"/>
      <c r="K4" s="17">
        <f>SUMIF(F7:F33,"Ve*",G7:G33)</f>
        <v>0</v>
      </c>
    </row>
    <row r="5" spans="1:11" ht="15.75" x14ac:dyDescent="0.25">
      <c r="A5" s="27" t="s">
        <v>77</v>
      </c>
      <c r="B5" s="27"/>
      <c r="C5" s="27"/>
      <c r="D5" s="27"/>
      <c r="E5" s="27"/>
      <c r="F5" s="27"/>
      <c r="G5" s="18"/>
      <c r="H5" s="18"/>
      <c r="I5" s="25" t="s">
        <v>9</v>
      </c>
      <c r="J5" s="26"/>
      <c r="K5" s="19">
        <f>SUM(K2:K4)</f>
        <v>0</v>
      </c>
    </row>
    <row r="6" spans="1:11" ht="21.6" customHeight="1" x14ac:dyDescent="0.25">
      <c r="A6" s="13" t="s">
        <v>10</v>
      </c>
      <c r="B6" s="13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8"/>
      <c r="H6" s="3" t="s">
        <v>17</v>
      </c>
      <c r="I6" s="3"/>
      <c r="J6" s="3"/>
      <c r="K6" s="1"/>
    </row>
    <row r="7" spans="1:11" ht="15" customHeight="1" x14ac:dyDescent="0.25">
      <c r="A7" s="14">
        <v>1</v>
      </c>
      <c r="B7" s="10"/>
      <c r="C7" s="10"/>
      <c r="D7" s="9"/>
      <c r="E7" s="12"/>
      <c r="F7" s="20"/>
      <c r="G7" s="16">
        <v>1</v>
      </c>
      <c r="H7" s="2"/>
      <c r="I7" s="15"/>
      <c r="J7" s="15"/>
      <c r="K7" s="1"/>
    </row>
    <row r="8" spans="1:11" ht="15" customHeight="1" x14ac:dyDescent="0.25">
      <c r="A8" s="14">
        <f>+A7+1</f>
        <v>2</v>
      </c>
      <c r="B8" s="10"/>
      <c r="C8" s="10"/>
      <c r="D8" s="9"/>
      <c r="E8" s="12"/>
      <c r="F8" s="20"/>
      <c r="G8" s="16">
        <v>1</v>
      </c>
      <c r="H8" s="2"/>
      <c r="I8" s="2"/>
      <c r="J8" s="2"/>
      <c r="K8" s="1"/>
    </row>
    <row r="9" spans="1:11" ht="15" customHeight="1" x14ac:dyDescent="0.25">
      <c r="A9" s="14">
        <f t="shared" ref="A9:A46" si="0">+A8+1</f>
        <v>3</v>
      </c>
      <c r="B9" s="10"/>
      <c r="C9" s="10"/>
      <c r="D9" s="9"/>
      <c r="E9" s="12"/>
      <c r="F9" s="20"/>
      <c r="G9" s="16">
        <v>1</v>
      </c>
      <c r="H9" s="2"/>
      <c r="I9" s="2"/>
      <c r="J9" s="2"/>
      <c r="K9" s="1"/>
    </row>
    <row r="10" spans="1:11" ht="15" customHeight="1" x14ac:dyDescent="0.25">
      <c r="A10" s="14">
        <f t="shared" si="0"/>
        <v>4</v>
      </c>
      <c r="B10" s="10"/>
      <c r="C10" s="10"/>
      <c r="D10" s="9"/>
      <c r="E10" s="12"/>
      <c r="F10" s="20"/>
      <c r="G10" s="16">
        <v>1</v>
      </c>
      <c r="H10" s="2"/>
      <c r="I10" s="2"/>
      <c r="J10" s="2"/>
      <c r="K10" s="1"/>
    </row>
    <row r="11" spans="1:11" ht="15" customHeight="1" x14ac:dyDescent="0.25">
      <c r="A11" s="14">
        <f t="shared" si="0"/>
        <v>5</v>
      </c>
      <c r="B11" s="10"/>
      <c r="C11" s="10"/>
      <c r="D11" s="9"/>
      <c r="E11" s="12"/>
      <c r="F11" s="20"/>
      <c r="G11" s="16">
        <v>1</v>
      </c>
      <c r="H11" s="2"/>
      <c r="I11" s="2"/>
      <c r="J11" s="2"/>
      <c r="K11" s="1"/>
    </row>
    <row r="12" spans="1:11" ht="15" customHeight="1" x14ac:dyDescent="0.25">
      <c r="A12" s="14">
        <f t="shared" si="0"/>
        <v>6</v>
      </c>
      <c r="B12" s="10"/>
      <c r="C12" s="10"/>
      <c r="D12" s="9"/>
      <c r="E12" s="12"/>
      <c r="F12" s="20"/>
      <c r="G12" s="16">
        <v>1</v>
      </c>
      <c r="H12" s="11"/>
      <c r="I12" s="2"/>
      <c r="J12" s="2"/>
      <c r="K12" s="1"/>
    </row>
    <row r="13" spans="1:11" ht="15" customHeight="1" x14ac:dyDescent="0.25">
      <c r="A13" s="14">
        <f t="shared" si="0"/>
        <v>7</v>
      </c>
      <c r="B13" s="10"/>
      <c r="C13" s="10"/>
      <c r="D13" s="9"/>
      <c r="E13" s="12"/>
      <c r="F13" s="20"/>
      <c r="G13" s="16">
        <v>1</v>
      </c>
      <c r="H13" s="21"/>
      <c r="I13" s="2"/>
      <c r="J13" s="2"/>
      <c r="K13" s="1"/>
    </row>
    <row r="14" spans="1:11" ht="15" customHeight="1" x14ac:dyDescent="0.25">
      <c r="A14" s="14">
        <f t="shared" si="0"/>
        <v>8</v>
      </c>
      <c r="B14" s="10"/>
      <c r="C14" s="10"/>
      <c r="D14" s="9"/>
      <c r="E14" s="12"/>
      <c r="F14" s="20"/>
      <c r="G14" s="16">
        <v>1</v>
      </c>
      <c r="H14" s="21"/>
      <c r="I14" s="2"/>
      <c r="J14" s="2"/>
      <c r="K14" s="1"/>
    </row>
    <row r="15" spans="1:11" ht="15" customHeight="1" x14ac:dyDescent="0.25">
      <c r="A15" s="14">
        <f t="shared" si="0"/>
        <v>9</v>
      </c>
      <c r="B15" s="12"/>
      <c r="C15" s="10"/>
      <c r="D15" s="9"/>
      <c r="E15" s="12"/>
      <c r="F15" s="20"/>
      <c r="G15" s="16">
        <v>1</v>
      </c>
      <c r="H15" s="2"/>
      <c r="I15" s="2"/>
      <c r="J15" s="2"/>
    </row>
    <row r="16" spans="1:11" ht="15" customHeight="1" x14ac:dyDescent="0.25">
      <c r="A16" s="14">
        <f t="shared" si="0"/>
        <v>10</v>
      </c>
      <c r="B16" s="10"/>
      <c r="C16" s="10"/>
      <c r="D16" s="9"/>
      <c r="E16" s="12"/>
      <c r="F16" s="20"/>
      <c r="G16" s="16">
        <v>1</v>
      </c>
      <c r="H16" s="2"/>
      <c r="I16" s="2"/>
      <c r="J16" s="2"/>
    </row>
    <row r="17" spans="1:10" ht="15" customHeight="1" x14ac:dyDescent="0.25">
      <c r="A17" s="14">
        <f t="shared" si="0"/>
        <v>11</v>
      </c>
      <c r="B17" s="12"/>
      <c r="C17" s="10"/>
      <c r="D17" s="9"/>
      <c r="E17" s="12"/>
      <c r="F17" s="20"/>
      <c r="G17" s="16">
        <v>1</v>
      </c>
      <c r="H17" s="21"/>
      <c r="I17" s="2"/>
      <c r="J17" s="2"/>
    </row>
    <row r="18" spans="1:10" ht="15" customHeight="1" x14ac:dyDescent="0.25">
      <c r="A18" s="14">
        <f t="shared" si="0"/>
        <v>12</v>
      </c>
      <c r="B18" s="12"/>
      <c r="C18" s="10"/>
      <c r="D18" s="9"/>
      <c r="E18" s="12"/>
      <c r="F18" s="20"/>
      <c r="G18" s="16">
        <v>1</v>
      </c>
      <c r="H18" s="21"/>
      <c r="I18" s="2"/>
      <c r="J18" s="2"/>
    </row>
    <row r="19" spans="1:10" ht="15" customHeight="1" x14ac:dyDescent="0.25">
      <c r="A19" s="14">
        <f t="shared" si="0"/>
        <v>13</v>
      </c>
      <c r="B19" s="9"/>
      <c r="C19" s="10"/>
      <c r="D19" s="9"/>
      <c r="E19" s="12"/>
      <c r="F19" s="20"/>
      <c r="G19" s="16">
        <v>1</v>
      </c>
      <c r="H19" s="11"/>
      <c r="I19" s="2"/>
      <c r="J19" s="2"/>
    </row>
    <row r="20" spans="1:10" ht="15" customHeight="1" x14ac:dyDescent="0.25">
      <c r="A20" s="14">
        <f t="shared" si="0"/>
        <v>14</v>
      </c>
      <c r="B20" s="12"/>
      <c r="C20" s="10"/>
      <c r="D20" s="9"/>
      <c r="E20" s="12"/>
      <c r="F20" s="20"/>
      <c r="G20" s="16">
        <v>1</v>
      </c>
      <c r="H20" s="11"/>
      <c r="I20" s="2"/>
      <c r="J20" s="2"/>
    </row>
    <row r="21" spans="1:10" ht="15" customHeight="1" x14ac:dyDescent="0.25">
      <c r="A21" s="14">
        <f t="shared" si="0"/>
        <v>15</v>
      </c>
      <c r="B21" s="12"/>
      <c r="C21" s="10"/>
      <c r="D21" s="9"/>
      <c r="E21" s="12"/>
      <c r="F21" s="20"/>
      <c r="G21" s="16">
        <v>1</v>
      </c>
      <c r="H21" s="11"/>
      <c r="I21" s="2"/>
      <c r="J21" s="2"/>
    </row>
    <row r="22" spans="1:10" ht="15" customHeight="1" x14ac:dyDescent="0.25">
      <c r="A22" s="14">
        <f t="shared" si="0"/>
        <v>16</v>
      </c>
      <c r="B22" s="12"/>
      <c r="C22" s="10"/>
      <c r="D22" s="9"/>
      <c r="E22" s="12"/>
      <c r="F22" s="20"/>
      <c r="G22" s="16">
        <v>1</v>
      </c>
      <c r="H22" s="1"/>
      <c r="I22" s="2"/>
      <c r="J22" s="2"/>
    </row>
    <row r="23" spans="1:10" ht="15" customHeight="1" x14ac:dyDescent="0.25">
      <c r="A23" s="14">
        <f t="shared" si="0"/>
        <v>17</v>
      </c>
      <c r="B23" s="10"/>
      <c r="C23" s="10"/>
      <c r="D23" s="9"/>
      <c r="E23" s="12"/>
      <c r="F23" s="20"/>
      <c r="G23" s="16">
        <v>1</v>
      </c>
      <c r="H23" s="21"/>
      <c r="I23" s="2"/>
      <c r="J23" s="2"/>
    </row>
    <row r="24" spans="1:10" ht="15" customHeight="1" x14ac:dyDescent="0.25">
      <c r="A24" s="14">
        <f t="shared" si="0"/>
        <v>18</v>
      </c>
      <c r="B24" s="12"/>
      <c r="C24" s="10"/>
      <c r="D24" s="9"/>
      <c r="E24" s="12"/>
      <c r="F24" s="20"/>
      <c r="G24" s="16">
        <v>1</v>
      </c>
      <c r="H24" s="21"/>
      <c r="I24" s="2"/>
      <c r="J24" s="2"/>
    </row>
    <row r="25" spans="1:10" ht="15" customHeight="1" x14ac:dyDescent="0.25">
      <c r="A25" s="14">
        <f t="shared" si="0"/>
        <v>19</v>
      </c>
      <c r="B25" s="12"/>
      <c r="C25" s="10"/>
      <c r="D25" s="9"/>
      <c r="E25" s="12"/>
      <c r="F25" s="20"/>
      <c r="G25" s="16">
        <v>1</v>
      </c>
      <c r="H25" s="11"/>
      <c r="I25" s="2"/>
      <c r="J25" s="2"/>
    </row>
    <row r="26" spans="1:10" ht="15" customHeight="1" x14ac:dyDescent="0.25">
      <c r="A26" s="14">
        <f t="shared" si="0"/>
        <v>20</v>
      </c>
      <c r="B26" s="10"/>
      <c r="C26" s="10"/>
      <c r="D26" s="9"/>
      <c r="E26" s="12"/>
      <c r="F26" s="20"/>
      <c r="G26" s="16">
        <v>1</v>
      </c>
      <c r="H26" s="11"/>
      <c r="I26" s="2"/>
      <c r="J26" s="2"/>
    </row>
    <row r="27" spans="1:10" ht="15" customHeight="1" x14ac:dyDescent="0.25">
      <c r="A27" s="14">
        <f t="shared" si="0"/>
        <v>21</v>
      </c>
      <c r="B27" s="12"/>
      <c r="C27" s="10"/>
      <c r="D27" s="9"/>
      <c r="E27" s="12"/>
      <c r="F27" s="20"/>
      <c r="G27" s="16">
        <v>1</v>
      </c>
      <c r="H27" s="11"/>
      <c r="I27" s="2"/>
      <c r="J27" s="2"/>
    </row>
    <row r="28" spans="1:10" ht="15" customHeight="1" x14ac:dyDescent="0.25">
      <c r="A28" s="14">
        <f t="shared" si="0"/>
        <v>22</v>
      </c>
      <c r="B28" s="12"/>
      <c r="C28" s="10"/>
      <c r="D28" s="9"/>
      <c r="E28" s="12"/>
      <c r="F28" s="20"/>
      <c r="G28" s="23">
        <v>1</v>
      </c>
      <c r="H28" s="11"/>
      <c r="I28" s="2"/>
      <c r="J28" s="2"/>
    </row>
    <row r="29" spans="1:10" ht="15" customHeight="1" x14ac:dyDescent="0.25">
      <c r="A29" s="14">
        <f t="shared" si="0"/>
        <v>23</v>
      </c>
      <c r="B29" s="12"/>
      <c r="C29" s="10"/>
      <c r="D29" s="9"/>
      <c r="E29" s="12"/>
      <c r="F29" s="20"/>
      <c r="G29" s="23">
        <v>1</v>
      </c>
      <c r="H29" s="11"/>
      <c r="I29" s="2"/>
      <c r="J29" s="2"/>
    </row>
    <row r="30" spans="1:10" ht="15" customHeight="1" x14ac:dyDescent="0.25">
      <c r="A30" s="14">
        <f t="shared" si="0"/>
        <v>24</v>
      </c>
      <c r="B30" s="12"/>
      <c r="C30" s="10"/>
      <c r="D30" s="9"/>
      <c r="E30" s="12"/>
      <c r="F30" s="20"/>
      <c r="G30" s="23">
        <v>1</v>
      </c>
      <c r="H30" s="21"/>
      <c r="I30" s="1"/>
      <c r="J30" s="1"/>
    </row>
    <row r="31" spans="1:10" ht="15" customHeight="1" x14ac:dyDescent="0.25">
      <c r="A31" s="14">
        <f t="shared" si="0"/>
        <v>25</v>
      </c>
      <c r="B31" s="12"/>
      <c r="C31" s="10"/>
      <c r="D31" s="9"/>
      <c r="E31" s="12"/>
      <c r="F31" s="20"/>
      <c r="G31" s="23">
        <v>1</v>
      </c>
      <c r="H31" s="1"/>
      <c r="I31" s="1"/>
      <c r="J31" s="1"/>
    </row>
    <row r="32" spans="1:10" ht="15" customHeight="1" x14ac:dyDescent="0.25">
      <c r="A32" s="14">
        <f t="shared" si="0"/>
        <v>26</v>
      </c>
      <c r="B32" s="12"/>
      <c r="C32" s="10"/>
      <c r="D32" s="9"/>
      <c r="E32" s="12"/>
      <c r="F32" s="20"/>
      <c r="G32" s="23">
        <v>1</v>
      </c>
      <c r="H32" s="1"/>
      <c r="I32" s="1"/>
      <c r="J32" s="1"/>
    </row>
    <row r="33" spans="1:10" x14ac:dyDescent="0.25">
      <c r="A33" s="14">
        <f t="shared" si="0"/>
        <v>27</v>
      </c>
      <c r="B33" s="12"/>
      <c r="C33" s="10"/>
      <c r="D33" s="9"/>
      <c r="E33" s="12"/>
      <c r="F33" s="20"/>
      <c r="G33" s="23">
        <v>1</v>
      </c>
      <c r="H33" s="1"/>
      <c r="I33" s="1"/>
      <c r="J33" s="1"/>
    </row>
    <row r="34" spans="1:10" x14ac:dyDescent="0.25">
      <c r="A34" s="14">
        <f t="shared" si="0"/>
        <v>28</v>
      </c>
      <c r="B34" s="22"/>
      <c r="C34" s="22"/>
      <c r="D34" s="22"/>
      <c r="E34" s="22"/>
      <c r="F34" s="22"/>
    </row>
    <row r="35" spans="1:10" x14ac:dyDescent="0.25">
      <c r="A35" s="14">
        <f t="shared" si="0"/>
        <v>29</v>
      </c>
      <c r="B35" s="22"/>
      <c r="C35" s="22"/>
      <c r="D35" s="22"/>
      <c r="E35" s="22"/>
      <c r="F35" s="22"/>
    </row>
    <row r="36" spans="1:10" x14ac:dyDescent="0.25">
      <c r="A36" s="14">
        <f t="shared" si="0"/>
        <v>30</v>
      </c>
      <c r="B36" s="22"/>
      <c r="C36" s="22"/>
      <c r="D36" s="22"/>
      <c r="E36" s="22"/>
      <c r="F36" s="22"/>
    </row>
    <row r="37" spans="1:10" x14ac:dyDescent="0.25">
      <c r="A37" s="14">
        <f t="shared" si="0"/>
        <v>31</v>
      </c>
      <c r="B37" s="22"/>
      <c r="C37" s="22"/>
      <c r="D37" s="22"/>
      <c r="E37" s="22"/>
      <c r="F37" s="22"/>
    </row>
    <row r="38" spans="1:10" x14ac:dyDescent="0.25">
      <c r="A38" s="14">
        <f t="shared" si="0"/>
        <v>32</v>
      </c>
      <c r="B38" s="22"/>
      <c r="C38" s="22"/>
      <c r="D38" s="22"/>
      <c r="E38" s="22"/>
      <c r="F38" s="22"/>
    </row>
    <row r="39" spans="1:10" x14ac:dyDescent="0.25">
      <c r="A39" s="14">
        <f t="shared" si="0"/>
        <v>33</v>
      </c>
      <c r="B39" s="22"/>
      <c r="C39" s="22"/>
      <c r="D39" s="22"/>
      <c r="E39" s="22"/>
      <c r="F39" s="22"/>
    </row>
    <row r="40" spans="1:10" x14ac:dyDescent="0.25">
      <c r="A40" s="14">
        <f t="shared" si="0"/>
        <v>34</v>
      </c>
      <c r="B40" s="22"/>
      <c r="C40" s="22"/>
      <c r="D40" s="22"/>
      <c r="E40" s="22"/>
      <c r="F40" s="22"/>
    </row>
    <row r="41" spans="1:10" x14ac:dyDescent="0.25">
      <c r="A41" s="14">
        <f t="shared" si="0"/>
        <v>35</v>
      </c>
      <c r="B41" s="22"/>
      <c r="C41" s="22"/>
      <c r="D41" s="22"/>
      <c r="E41" s="22"/>
      <c r="F41" s="22"/>
    </row>
    <row r="42" spans="1:10" x14ac:dyDescent="0.25">
      <c r="A42" s="14">
        <f t="shared" si="0"/>
        <v>36</v>
      </c>
      <c r="B42" s="22"/>
      <c r="C42" s="22"/>
      <c r="D42" s="22"/>
      <c r="E42" s="22"/>
      <c r="F42" s="22"/>
    </row>
    <row r="43" spans="1:10" x14ac:dyDescent="0.25">
      <c r="A43" s="14">
        <f t="shared" si="0"/>
        <v>37</v>
      </c>
      <c r="B43" s="22"/>
      <c r="C43" s="22"/>
      <c r="D43" s="22"/>
      <c r="E43" s="22"/>
      <c r="F43" s="22"/>
    </row>
    <row r="44" spans="1:10" x14ac:dyDescent="0.25">
      <c r="A44" s="14">
        <f t="shared" si="0"/>
        <v>38</v>
      </c>
      <c r="B44" s="22"/>
      <c r="C44" s="22"/>
      <c r="D44" s="22"/>
      <c r="E44" s="22"/>
      <c r="F44" s="22"/>
    </row>
    <row r="45" spans="1:10" x14ac:dyDescent="0.25">
      <c r="A45" s="14">
        <f t="shared" si="0"/>
        <v>39</v>
      </c>
      <c r="B45" s="22"/>
      <c r="C45" s="22"/>
      <c r="D45" s="22"/>
      <c r="E45" s="22"/>
      <c r="F45" s="22"/>
    </row>
    <row r="46" spans="1:10" x14ac:dyDescent="0.25">
      <c r="A46" s="14">
        <f t="shared" si="0"/>
        <v>40</v>
      </c>
      <c r="B46" s="22"/>
      <c r="C46" s="22"/>
      <c r="D46" s="22"/>
      <c r="E46" s="22"/>
      <c r="F46" s="22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2025</vt:lpstr>
      <vt:lpstr>FEVRIER 2025</vt:lpstr>
      <vt:lpstr>MARS 2025</vt:lpstr>
      <vt:lpstr>AVRIL 2025</vt:lpstr>
      <vt:lpstr>MAI 2025</vt:lpstr>
      <vt:lpstr>JUIN 2025</vt:lpstr>
      <vt:lpstr>JUILLET 2025</vt:lpstr>
      <vt:lpstr>AOUT 2025</vt:lpstr>
      <vt:lpstr>SEPTEMBRE 2025</vt:lpstr>
      <vt:lpstr>OCTOBRE 2025</vt:lpstr>
      <vt:lpstr>NOVEMBRE 2025</vt:lpstr>
      <vt:lpstr>DECEMBRE 2025</vt:lpstr>
      <vt:lpstr>'AOUT 2025'!Impression_des_titres</vt:lpstr>
      <vt:lpstr>'AVRIL 2025'!Impression_des_titres</vt:lpstr>
      <vt:lpstr>'DECEMBRE 2025'!Impression_des_titres</vt:lpstr>
      <vt:lpstr>'FEVRIER 2025'!Impression_des_titres</vt:lpstr>
      <vt:lpstr>'JANVIER 2025'!Impression_des_titres</vt:lpstr>
      <vt:lpstr>'JUILLET 2025'!Impression_des_titres</vt:lpstr>
      <vt:lpstr>'JUIN 2025'!Impression_des_titres</vt:lpstr>
      <vt:lpstr>'MAI 2025'!Impression_des_titres</vt:lpstr>
      <vt:lpstr>'MARS 2025'!Impression_des_titres</vt:lpstr>
      <vt:lpstr>'NOVEMBRE 2025'!Impression_des_titres</vt:lpstr>
      <vt:lpstr>'OCTOBRE 2025'!Impression_des_titres</vt:lpstr>
      <vt:lpstr>'SEPTEMBRE 2025'!Impression_des_titres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2025-11-09T11:38:59Z</cp:lastPrinted>
  <dcterms:created xsi:type="dcterms:W3CDTF">2014-12-31T15:00:30Z</dcterms:created>
  <dcterms:modified xsi:type="dcterms:W3CDTF">2026-01-07T07:59:36Z</dcterms:modified>
</cp:coreProperties>
</file>