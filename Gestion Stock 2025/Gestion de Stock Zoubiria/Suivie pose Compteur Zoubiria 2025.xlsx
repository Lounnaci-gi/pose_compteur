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Zoubiria\"/>
    </mc:Choice>
  </mc:AlternateContent>
  <xr:revisionPtr revIDLastSave="0" documentId="13_ncr:1_{970DCC4C-CC56-4D40-81C7-81EBB78B6BA7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4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  <sheet name="NOVEMBRE 2025" sheetId="22" r:id="rId11"/>
    <sheet name="DECEMBRE 2025" sheetId="23" r:id="rId12"/>
  </sheets>
  <definedNames>
    <definedName name="_xlnm.Print_Titles" localSheetId="7">'AOUT 2025'!$1:$6</definedName>
    <definedName name="_xlnm.Print_Titles" localSheetId="3">'AVRIL 2025'!$1:$6</definedName>
    <definedName name="_xlnm.Print_Titles" localSheetId="11">'DECEMBRE 2025'!$1:$6</definedName>
    <definedName name="_xlnm.Print_Titles" localSheetId="1">'FEVRIER 2025'!$1:$6</definedName>
    <definedName name="_xlnm.Print_Titles" localSheetId="0">'JANVIER 2024'!$1:$6</definedName>
    <definedName name="_xlnm.Print_Titles" localSheetId="6">'JUILLET 2025'!$1:$6</definedName>
    <definedName name="_xlnm.Print_Titles" localSheetId="5">'JUIN 2025'!$1:$6</definedName>
    <definedName name="_xlnm.Print_Titles" localSheetId="4">'MAI 2025'!$1:$6</definedName>
    <definedName name="_xlnm.Print_Titles" localSheetId="2">'MARS 2025'!$1:$6</definedName>
    <definedName name="_xlnm.Print_Titles" localSheetId="10">'NOVEMBRE 2025'!$1:$6</definedName>
    <definedName name="_xlnm.Print_Titles" localSheetId="9">'OCTOBRE 2025'!$1:$6</definedName>
    <definedName name="_xlnm.Print_Titles" localSheetId="8">'SEPTEMBRE 2025'!$1:$6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K4" i="23"/>
  <c r="K3" i="23"/>
  <c r="K2" i="23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K4" i="22"/>
  <c r="K3" i="22"/>
  <c r="K2" i="22"/>
  <c r="K5" i="23" l="1"/>
  <c r="K5" i="22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K4" i="21"/>
  <c r="K3" i="21"/>
  <c r="K2" i="21"/>
  <c r="K5" i="21" l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K4" i="19"/>
  <c r="K3" i="19"/>
  <c r="K2" i="19"/>
  <c r="K5" i="19" l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K4" i="18"/>
  <c r="K3" i="18"/>
  <c r="K2" i="18"/>
  <c r="K5" i="18" l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K4" i="17"/>
  <c r="K3" i="17"/>
  <c r="K2" i="17"/>
  <c r="K5" i="17" l="1"/>
  <c r="K2" i="16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<sst xmlns="http://schemas.openxmlformats.org/spreadsheetml/2006/main" count="741" uniqueCount="299">
  <si>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</si>
  <si>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</si>
  <si>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</si>
  <si>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</si>
  <si>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</si>
  <si>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</si>
  <si>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</si>
  <si>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</si>
  <si>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</si>
  <si>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</si>
  <si>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</si>
  <si>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</si>
  <si>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</si>
  <si>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</si>
  <si>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</si>
  <si>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</si>
  <si>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</si>
  <si>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</si>
  <si>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</si>
  <si>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</si>
  <si>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</si>
  <si>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13</t>
  </si>
  <si>
    <t>15/21</t>
  </si>
  <si>
    <t>2024219084</t>
  </si>
  <si>
    <t>NB(426/2024)</t>
  </si>
  <si>
    <t>Djabali a/rezzak</t>
  </si>
  <si>
    <t>2024219083</t>
  </si>
  <si>
    <t>NB(531/2024)</t>
  </si>
  <si>
    <t>Hamza mahfoud</t>
  </si>
  <si>
    <t>2024219199</t>
  </si>
  <si>
    <t>NB(608/2024)</t>
  </si>
  <si>
    <t>Hamza lakhdar</t>
  </si>
  <si>
    <t>2024219372</t>
  </si>
  <si>
    <t>NB(055/2024)</t>
  </si>
  <si>
    <t>Benzid nassira</t>
  </si>
  <si>
    <t>131403</t>
  </si>
  <si>
    <t>18041008126</t>
  </si>
  <si>
    <t>Elimination Forfait</t>
  </si>
  <si>
    <t>2025012547</t>
  </si>
  <si>
    <t>NB(639/2024)</t>
  </si>
  <si>
    <t>Laref mahfoud</t>
  </si>
  <si>
    <t>2025012546</t>
  </si>
  <si>
    <t>NB(632/2024)</t>
  </si>
  <si>
    <t>Khettar abdelkader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</si>
  <si>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</si>
  <si>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</si>
  <si>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131950</t>
  </si>
  <si>
    <t>2025012403</t>
  </si>
  <si>
    <t>130087</t>
  </si>
  <si>
    <t>2025060900</t>
  </si>
  <si>
    <t>130276</t>
  </si>
  <si>
    <t>2025060899</t>
  </si>
  <si>
    <t>130309</t>
  </si>
  <si>
    <t>2025060897</t>
  </si>
  <si>
    <t>130310</t>
  </si>
  <si>
    <t>2025060898</t>
  </si>
  <si>
    <t>131588</t>
  </si>
  <si>
    <t>2025060896</t>
  </si>
  <si>
    <t>131619</t>
  </si>
  <si>
    <t>2025061318</t>
  </si>
  <si>
    <t>131621</t>
  </si>
  <si>
    <t>2025060895</t>
  </si>
  <si>
    <t>131622</t>
  </si>
  <si>
    <t>2025060891</t>
  </si>
  <si>
    <t>131623</t>
  </si>
  <si>
    <t>2025060894</t>
  </si>
  <si>
    <t>131626</t>
  </si>
  <si>
    <t>2025060892</t>
  </si>
  <si>
    <t>131070</t>
  </si>
  <si>
    <t>2025060893</t>
  </si>
  <si>
    <t>131087</t>
  </si>
  <si>
    <t>2025061314</t>
  </si>
  <si>
    <t>131095</t>
  </si>
  <si>
    <t>2025061320</t>
  </si>
  <si>
    <t>131110</t>
  </si>
  <si>
    <t>2025061317</t>
  </si>
  <si>
    <t>131111</t>
  </si>
  <si>
    <t>2025061316</t>
  </si>
  <si>
    <t>131150</t>
  </si>
  <si>
    <t>2025061312</t>
  </si>
  <si>
    <t>131161</t>
  </si>
  <si>
    <t>2025061315</t>
  </si>
  <si>
    <t>131175</t>
  </si>
  <si>
    <t>2025061313</t>
  </si>
  <si>
    <t>131176</t>
  </si>
  <si>
    <t>2025061311</t>
  </si>
  <si>
    <t>131502</t>
  </si>
  <si>
    <t>2025061319</t>
  </si>
  <si>
    <t>130082</t>
  </si>
  <si>
    <t>2025060751</t>
  </si>
  <si>
    <t>130188</t>
  </si>
  <si>
    <t>2025060752</t>
  </si>
  <si>
    <t>130228</t>
  </si>
  <si>
    <t>2025060753</t>
  </si>
  <si>
    <t>130233</t>
  </si>
  <si>
    <t>2025060760</t>
  </si>
  <si>
    <t>131452</t>
  </si>
  <si>
    <t>2025060759</t>
  </si>
  <si>
    <t>130388</t>
  </si>
  <si>
    <t>2025060758</t>
  </si>
  <si>
    <t>131654</t>
  </si>
  <si>
    <t>2025060757</t>
  </si>
  <si>
    <t>130458</t>
  </si>
  <si>
    <t>2025060755</t>
  </si>
  <si>
    <t>130524</t>
  </si>
  <si>
    <t>2025060754</t>
  </si>
  <si>
    <t>130540</t>
  </si>
  <si>
    <t>2025060756</t>
  </si>
  <si>
    <t>131033</t>
  </si>
  <si>
    <t>2025061395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</si>
  <si>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</si>
  <si>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2025060366</t>
  </si>
  <si>
    <t>NB(714/2024)</t>
  </si>
  <si>
    <t>Bouras ameur</t>
  </si>
  <si>
    <t>2025060363</t>
  </si>
  <si>
    <t>2025060211</t>
  </si>
  <si>
    <t>NB(697/2024)</t>
  </si>
  <si>
    <t>Sahi rachid</t>
  </si>
  <si>
    <t>2025059884</t>
  </si>
  <si>
    <t>NB(072/2025)</t>
  </si>
  <si>
    <t>Mag memmi farid</t>
  </si>
  <si>
    <t>130248</t>
  </si>
  <si>
    <t>2025060736</t>
  </si>
  <si>
    <t>130979</t>
  </si>
  <si>
    <t>2025060738</t>
  </si>
  <si>
    <t>130995</t>
  </si>
  <si>
    <t>2025060731</t>
  </si>
  <si>
    <t>130998</t>
  </si>
  <si>
    <t>2025060734</t>
  </si>
  <si>
    <t>131013</t>
  </si>
  <si>
    <t>2025060740</t>
  </si>
  <si>
    <t>131422</t>
  </si>
  <si>
    <t>2025060732</t>
  </si>
  <si>
    <t>131486</t>
  </si>
  <si>
    <t>2025060739</t>
  </si>
  <si>
    <t>130729</t>
  </si>
  <si>
    <t>2025060285</t>
  </si>
  <si>
    <t>130819</t>
  </si>
  <si>
    <t>2025060284</t>
  </si>
  <si>
    <t>131467</t>
  </si>
  <si>
    <t>2025060283</t>
  </si>
  <si>
    <t>131468</t>
  </si>
  <si>
    <t>2025060287</t>
  </si>
  <si>
    <t>131471</t>
  </si>
  <si>
    <t>2025060286</t>
  </si>
  <si>
    <t>131574</t>
  </si>
  <si>
    <t>2025060733</t>
  </si>
  <si>
    <t>131575</t>
  </si>
  <si>
    <t>2025060735</t>
  </si>
  <si>
    <t>131936</t>
  </si>
  <si>
    <t>2025060281</t>
  </si>
  <si>
    <t>2025060282</t>
  </si>
  <si>
    <t>132223</t>
  </si>
  <si>
    <t>2025060289</t>
  </si>
  <si>
    <t>132224</t>
  </si>
  <si>
    <t>2025060737</t>
  </si>
  <si>
    <t>131930</t>
  </si>
  <si>
    <t>2025060288</t>
  </si>
  <si>
    <t>2025060290</t>
  </si>
  <si>
    <t>Benaicha redouane</t>
  </si>
  <si>
    <t>130244</t>
  </si>
  <si>
    <t>2025061427</t>
  </si>
  <si>
    <t>130376</t>
  </si>
  <si>
    <t>2025061421</t>
  </si>
  <si>
    <t>130393</t>
  </si>
  <si>
    <t>2025061426</t>
  </si>
  <si>
    <t>130550</t>
  </si>
  <si>
    <t>2025061424</t>
  </si>
  <si>
    <t>130555</t>
  </si>
  <si>
    <t>2025061423</t>
  </si>
  <si>
    <t>131594</t>
  </si>
  <si>
    <t>2025061422</t>
  </si>
  <si>
    <t>130724</t>
  </si>
  <si>
    <t>2025060783</t>
  </si>
  <si>
    <t>130862</t>
  </si>
  <si>
    <t>2025060788</t>
  </si>
  <si>
    <t>130875</t>
  </si>
  <si>
    <t>2025060787</t>
  </si>
  <si>
    <t>130904</t>
  </si>
  <si>
    <t>2025060785</t>
  </si>
  <si>
    <t>130905</t>
  </si>
  <si>
    <t>2025060781</t>
  </si>
  <si>
    <t>130926</t>
  </si>
  <si>
    <t>2025060789</t>
  </si>
  <si>
    <t>130941</t>
  </si>
  <si>
    <t>2025060790</t>
  </si>
  <si>
    <t>130944</t>
  </si>
  <si>
    <t>2025060786</t>
  </si>
  <si>
    <t>131051</t>
  </si>
  <si>
    <t>2025061430</t>
  </si>
  <si>
    <t>131138</t>
  </si>
  <si>
    <t>2025061429</t>
  </si>
  <si>
    <t>130156</t>
  </si>
  <si>
    <t>2025061428</t>
  </si>
  <si>
    <t>132221</t>
  </si>
  <si>
    <t>2025060784</t>
  </si>
  <si>
    <t>131917</t>
  </si>
  <si>
    <t>2025061425</t>
  </si>
  <si>
    <t>tt</t>
  </si>
  <si>
    <t>130945</t>
  </si>
  <si>
    <t>2025060782</t>
  </si>
  <si>
    <t>NB(617/2024)</t>
  </si>
  <si>
    <t>131039</t>
  </si>
  <si>
    <t>2025060319</t>
  </si>
  <si>
    <t>131951</t>
  </si>
  <si>
    <t>2025061359</t>
  </si>
  <si>
    <t>131939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</si>
  <si>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</si>
  <si>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2025059527</t>
  </si>
  <si>
    <t>NB( 113/2025)</t>
  </si>
  <si>
    <t>Dala mouloud</t>
  </si>
  <si>
    <t>2025059530</t>
  </si>
  <si>
    <t>Djellal aissa</t>
  </si>
  <si>
    <t>NB( 699/2024)</t>
  </si>
  <si>
    <t>2025060314</t>
  </si>
  <si>
    <t>NB( 507/2024)</t>
  </si>
  <si>
    <t>Ammad med</t>
  </si>
  <si>
    <t>2025060879</t>
  </si>
  <si>
    <t>NB( 707/2024)</t>
  </si>
  <si>
    <t>Tafraoui larbi</t>
  </si>
  <si>
    <t>2025060878</t>
  </si>
  <si>
    <t>NB( 360/2024)</t>
  </si>
  <si>
    <t>Semai laid b/yaagoub</t>
  </si>
  <si>
    <t>NB( 703/2024)</t>
  </si>
  <si>
    <t>Ammad lakhdar</t>
  </si>
  <si>
    <t>2025060983</t>
  </si>
  <si>
    <t>2025060984</t>
  </si>
  <si>
    <t xml:space="preserve">Bourai med </t>
  </si>
  <si>
    <t>NB( 006/2025)</t>
  </si>
  <si>
    <t>2025060880</t>
  </si>
  <si>
    <t>NB( 510/2024)</t>
  </si>
  <si>
    <t>Boulariah Foudil</t>
  </si>
  <si>
    <t>2025060982</t>
  </si>
  <si>
    <t>Zoulikha mohamed</t>
  </si>
  <si>
    <t>NB( 010/2025)</t>
  </si>
  <si>
    <t>131910</t>
  </si>
  <si>
    <t>130004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</si>
  <si>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</si>
  <si>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2025060632</t>
  </si>
  <si>
    <t>NB(700/25)</t>
  </si>
  <si>
    <t>Hasnaoui ibtissam</t>
  </si>
  <si>
    <t>18041007623</t>
  </si>
  <si>
    <t>2025060476</t>
  </si>
  <si>
    <t>Khalfi abdelkader</t>
  </si>
  <si>
    <t>2025060635</t>
  </si>
  <si>
    <t>NB(651/24)</t>
  </si>
  <si>
    <t>Derbali Taieb</t>
  </si>
  <si>
    <t>2025119066</t>
  </si>
  <si>
    <t>NB(242/25)</t>
  </si>
  <si>
    <t>Benaicha mhamed</t>
  </si>
  <si>
    <t>2025119053</t>
  </si>
  <si>
    <t>NB(522/2024)</t>
  </si>
  <si>
    <t>Dala mhamed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</si>
  <si>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</si>
  <si>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NB(253/2025)</t>
  </si>
  <si>
    <t>Mezaad daoud</t>
  </si>
  <si>
    <t>2025118106</t>
  </si>
  <si>
    <t>2025118521</t>
  </si>
  <si>
    <t>NB(311/2025)</t>
  </si>
  <si>
    <t>Allek hakima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</si>
  <si>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</si>
  <si>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2025119446</t>
  </si>
  <si>
    <t>2025119447</t>
  </si>
  <si>
    <t>2025119448</t>
  </si>
  <si>
    <t>2025119449</t>
  </si>
  <si>
    <t>NB(160/2024)</t>
  </si>
  <si>
    <t>Logts Fonction cfpa xg1077</t>
  </si>
  <si>
    <t>132280</t>
  </si>
  <si>
    <t>2025119442</t>
  </si>
  <si>
    <t>2025119450</t>
  </si>
  <si>
    <t>Aoufi lakhdar</t>
  </si>
  <si>
    <t>130048</t>
  </si>
  <si>
    <t>2025119440</t>
  </si>
  <si>
    <t>2025118670</t>
  </si>
  <si>
    <t>NB(158/2025)</t>
  </si>
  <si>
    <t>Derbali mhamed</t>
  </si>
  <si>
    <t>2025119431</t>
  </si>
  <si>
    <t>NB(269/2025)</t>
  </si>
  <si>
    <t>Mahdi el hadj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</si>
  <si>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</si>
  <si>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2025118747</t>
  </si>
  <si>
    <t>Berkani djamel</t>
  </si>
  <si>
    <t>NB(019/2025)</t>
  </si>
  <si>
    <t>131068</t>
  </si>
  <si>
    <t>2025118749</t>
  </si>
  <si>
    <t>131923</t>
  </si>
  <si>
    <t>2025117709</t>
  </si>
  <si>
    <t>2025117703</t>
  </si>
  <si>
    <t>NB(105/2025)</t>
  </si>
  <si>
    <t>Bounadja djamila</t>
  </si>
  <si>
    <t>2025117716</t>
  </si>
  <si>
    <t>NB(268/2025)</t>
  </si>
  <si>
    <t>Kerboubi djamel</t>
  </si>
  <si>
    <t>2025117720</t>
  </si>
  <si>
    <t>Attis boualem</t>
  </si>
  <si>
    <t>NB(359/2025)</t>
  </si>
  <si>
    <t>2025117704</t>
  </si>
  <si>
    <t>Derbali med b/abdenbi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</si>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</sst>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14" fontId="6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top" wrapText="1"/>
    </xf>
    <xf numFmtId="0" fontId="9" fillId="0" borderId="0" xfId="1" applyFont="1" applyAlignment="1">
      <alignment horizontal="righ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0</xdr:rowOff>
    </xdr:from>
    <xdr:to>
      <xdr:col>5</xdr:col>
      <xdr:colOff>1162050</xdr:colOff>
      <xdr:row>45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02" y="1314450"/>
          <a:ext cx="4057648" cy="7600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9525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609602" y="1323975"/>
          <a:ext cx="4067173" cy="759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19054</xdr:colOff>
      <xdr:row>11</xdr:row>
      <xdr:rowOff>28575</xdr:rowOff>
    </xdr:from>
    <xdr:to>
      <xdr:col>5</xdr:col>
      <xdr:colOff>1162050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609604" y="2295525"/>
          <a:ext cx="4057646" cy="661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19055</xdr:colOff>
      <xdr:row>8</xdr:row>
      <xdr:rowOff>9525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609605" y="1704975"/>
          <a:ext cx="4095745" cy="7210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19056</xdr:colOff>
      <xdr:row>38</xdr:row>
      <xdr:rowOff>19050</xdr:rowOff>
    </xdr:from>
    <xdr:to>
      <xdr:col>5</xdr:col>
      <xdr:colOff>1162050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609606" y="7429500"/>
          <a:ext cx="4086219" cy="148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52</xdr:row>
      <xdr:rowOff>0</xdr:rowOff>
    </xdr:from>
    <xdr:to>
      <xdr:col>5</xdr:col>
      <xdr:colOff>1171576</xdr:colOff>
      <xdr:row>65</xdr:row>
      <xdr:rowOff>142875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628650" y="10077450"/>
          <a:ext cx="4076701" cy="261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52</xdr:row>
      <xdr:rowOff>0</xdr:rowOff>
    </xdr:from>
    <xdr:to>
      <xdr:col>5</xdr:col>
      <xdr:colOff>1171576</xdr:colOff>
      <xdr:row>65</xdr:row>
      <xdr:rowOff>142875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628650" y="10077450"/>
          <a:ext cx="4076701" cy="261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14</xdr:row>
      <xdr:rowOff>180975</xdr:rowOff>
    </xdr:from>
    <xdr:to>
      <xdr:col>6</xdr:col>
      <xdr:colOff>1</xdr:colOff>
      <xdr:row>45</xdr:row>
      <xdr:rowOff>180975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H="1">
          <a:off x="581025" y="3019425"/>
          <a:ext cx="4133851" cy="5905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52</xdr:row>
      <xdr:rowOff>0</xdr:rowOff>
    </xdr:from>
    <xdr:to>
      <xdr:col>5</xdr:col>
      <xdr:colOff>1171576</xdr:colOff>
      <xdr:row>65</xdr:row>
      <xdr:rowOff>142875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628650" y="10077450"/>
          <a:ext cx="4076701" cy="261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11</xdr:row>
      <xdr:rowOff>38100</xdr:rowOff>
    </xdr:from>
    <xdr:to>
      <xdr:col>5</xdr:col>
      <xdr:colOff>1162050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H="1">
          <a:off x="581025" y="2305050"/>
          <a:ext cx="4114800" cy="661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581027</xdr:colOff>
      <xdr:row>9</xdr:row>
      <xdr:rowOff>57150</xdr:rowOff>
    </xdr:from>
    <xdr:to>
      <xdr:col>7</xdr:col>
      <xdr:colOff>9525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581027" y="1943100"/>
          <a:ext cx="4143373" cy="6981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581030</xdr:colOff>
      <xdr:row>15</xdr:row>
      <xdr:rowOff>28575</xdr:rowOff>
    </xdr:from>
    <xdr:to>
      <xdr:col>6</xdr:col>
      <xdr:colOff>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581030" y="3057525"/>
          <a:ext cx="4133845" cy="5867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581030</xdr:colOff>
      <xdr:row>11</xdr:row>
      <xdr:rowOff>47625</xdr:rowOff>
    </xdr:from>
    <xdr:to>
      <xdr:col>6</xdr:col>
      <xdr:colOff>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581030" y="2314575"/>
          <a:ext cx="4133845" cy="6610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581030</xdr:colOff>
      <xdr:row>8</xdr:row>
      <xdr:rowOff>28575</xdr:rowOff>
    </xdr:from>
    <xdr:to>
      <xdr:col>5</xdr:col>
      <xdr:colOff>1162050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54F3B290-6BF7-4D3E-B432-7760974F1349}"/>
            </a:ext>
          </a:extLst>
        </xdr:cNvPr>
        <xdr:cNvCxnSpPr/>
      </xdr:nvCxnSpPr>
      <xdr:spPr>
        <a:xfrm flipH="1">
          <a:off x="581030" y="1724025"/>
          <a:ext cx="4114795" cy="720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SUMIF(F7:F36,"Elimination*",G7:G36)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1" ht="15.75" x14ac:dyDescent="0.25">
      <c r="A5" s="27" t="s">
        <v>18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I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SUMIF(F7:F36,"Elimination*",G7:G36)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1" ht="15.75" x14ac:dyDescent="0.25">
      <c r="A5" s="27" t="s">
        <v>19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SUMIF(F7:F36,"Elimination*",G7:G36)</f>
        <v>1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4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1" ht="15.75" x14ac:dyDescent="0.25">
      <c r="A5" s="27" t="s">
        <v>20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5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 t="s">
        <v>21</v>
      </c>
      <c r="C7" s="10" t="s">
        <v>22</v>
      </c>
      <c r="D7" s="9" t="s">
        <v>26</v>
      </c>
      <c r="E7" s="12">
        <v>45734</v>
      </c>
      <c r="F7" s="19" t="s">
        <v>27</v>
      </c>
      <c r="G7" s="15">
        <v>1</v>
      </c>
      <c r="H7" s="2" t="s">
        <v>28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21</v>
      </c>
      <c r="C8" s="10" t="s">
        <v>22</v>
      </c>
      <c r="D8" s="9" t="s">
        <v>23</v>
      </c>
      <c r="E8" s="12">
        <v>45734</v>
      </c>
      <c r="F8" s="19" t="s">
        <v>24</v>
      </c>
      <c r="G8" s="15">
        <v>1</v>
      </c>
      <c r="H8" s="20" t="s">
        <v>25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29</v>
      </c>
      <c r="E9" s="12">
        <v>45734</v>
      </c>
      <c r="F9" s="19" t="s">
        <v>30</v>
      </c>
      <c r="G9" s="15">
        <v>1</v>
      </c>
      <c r="H9" s="2" t="s">
        <v>31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21</v>
      </c>
      <c r="C10" s="10" t="s">
        <v>22</v>
      </c>
      <c r="D10" s="9" t="s">
        <v>32</v>
      </c>
      <c r="E10" s="12">
        <v>45734</v>
      </c>
      <c r="F10" s="19" t="s">
        <v>33</v>
      </c>
      <c r="G10" s="15">
        <v>1</v>
      </c>
      <c r="H10" s="2" t="s">
        <v>34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35</v>
      </c>
      <c r="C11" s="10">
        <v>30</v>
      </c>
      <c r="D11" s="9" t="s">
        <v>36</v>
      </c>
      <c r="E11" s="12">
        <v>45736</v>
      </c>
      <c r="F11" s="19" t="s">
        <v>37</v>
      </c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"/>
  <sheetViews>
    <sheetView workbookViewId="0">
      <selection activeCell="J13" sqref="J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SUMIF(F7:F36,"Elimination*",G7:G36)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2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1" ht="15.75" x14ac:dyDescent="0.25">
      <c r="A5" s="27" t="s">
        <v>44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 t="s">
        <v>21</v>
      </c>
      <c r="C7" s="10" t="s">
        <v>22</v>
      </c>
      <c r="D7" s="9" t="s">
        <v>41</v>
      </c>
      <c r="E7" s="12">
        <v>45768</v>
      </c>
      <c r="F7" s="19" t="s">
        <v>42</v>
      </c>
      <c r="G7" s="15">
        <v>1</v>
      </c>
      <c r="H7" s="20" t="s">
        <v>43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21</v>
      </c>
      <c r="C8" s="10" t="s">
        <v>22</v>
      </c>
      <c r="D8" s="9" t="s">
        <v>38</v>
      </c>
      <c r="E8" s="12">
        <v>45768</v>
      </c>
      <c r="F8" s="19" t="s">
        <v>39</v>
      </c>
      <c r="G8" s="15">
        <v>1</v>
      </c>
      <c r="H8" s="2" t="s">
        <v>40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I8">
    <sortCondition ref="E7:E8"/>
    <sortCondition ref="D7:D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topLeftCell="A3" workbookViewId="0">
      <selection activeCell="F36" sqref="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4.5703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32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1" ht="15.75" x14ac:dyDescent="0.25">
      <c r="A5" s="27" t="s">
        <v>45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32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 t="s">
        <v>46</v>
      </c>
      <c r="C7" s="10" t="s">
        <v>22</v>
      </c>
      <c r="D7" s="9" t="s">
        <v>47</v>
      </c>
      <c r="E7" s="12">
        <v>45789</v>
      </c>
      <c r="F7" s="19" t="s">
        <v>37</v>
      </c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62</v>
      </c>
      <c r="C8" s="10" t="s">
        <v>22</v>
      </c>
      <c r="D8" s="9" t="s">
        <v>63</v>
      </c>
      <c r="E8" s="12">
        <v>45797</v>
      </c>
      <c r="F8" s="19" t="s">
        <v>37</v>
      </c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66</v>
      </c>
      <c r="C9" s="10" t="s">
        <v>22</v>
      </c>
      <c r="D9" s="9" t="s">
        <v>67</v>
      </c>
      <c r="E9" s="12">
        <v>45797</v>
      </c>
      <c r="F9" s="19" t="s">
        <v>37</v>
      </c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68</v>
      </c>
      <c r="C10" s="10" t="s">
        <v>22</v>
      </c>
      <c r="D10" s="9" t="s">
        <v>69</v>
      </c>
      <c r="E10" s="12">
        <v>45797</v>
      </c>
      <c r="F10" s="19" t="s">
        <v>37</v>
      </c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64</v>
      </c>
      <c r="C11" s="10" t="s">
        <v>22</v>
      </c>
      <c r="D11" s="9" t="s">
        <v>65</v>
      </c>
      <c r="E11" s="12">
        <v>45797</v>
      </c>
      <c r="F11" s="19" t="s">
        <v>37</v>
      </c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60</v>
      </c>
      <c r="C12" s="10" t="s">
        <v>22</v>
      </c>
      <c r="D12" s="9" t="s">
        <v>61</v>
      </c>
      <c r="E12" s="12">
        <v>45797</v>
      </c>
      <c r="F12" s="19" t="s">
        <v>37</v>
      </c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56</v>
      </c>
      <c r="C13" s="10" t="s">
        <v>22</v>
      </c>
      <c r="D13" s="9" t="s">
        <v>57</v>
      </c>
      <c r="E13" s="12">
        <v>45797</v>
      </c>
      <c r="F13" s="19" t="s">
        <v>37</v>
      </c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52</v>
      </c>
      <c r="C14" s="10" t="s">
        <v>22</v>
      </c>
      <c r="D14" s="9" t="s">
        <v>53</v>
      </c>
      <c r="E14" s="12">
        <v>45797</v>
      </c>
      <c r="F14" s="19" t="s">
        <v>37</v>
      </c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 t="s">
        <v>54</v>
      </c>
      <c r="C15" s="10" t="s">
        <v>22</v>
      </c>
      <c r="D15" s="9" t="s">
        <v>55</v>
      </c>
      <c r="E15" s="12">
        <v>45797</v>
      </c>
      <c r="F15" s="19" t="s">
        <v>37</v>
      </c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 t="s">
        <v>50</v>
      </c>
      <c r="C16" s="10" t="s">
        <v>22</v>
      </c>
      <c r="D16" s="9" t="s">
        <v>51</v>
      </c>
      <c r="E16" s="12">
        <v>45797</v>
      </c>
      <c r="F16" s="19" t="s">
        <v>37</v>
      </c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 t="s">
        <v>48</v>
      </c>
      <c r="C17" s="10" t="s">
        <v>22</v>
      </c>
      <c r="D17" s="9" t="s">
        <v>49</v>
      </c>
      <c r="E17" s="12">
        <v>45797</v>
      </c>
      <c r="F17" s="19" t="s">
        <v>37</v>
      </c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 t="s">
        <v>84</v>
      </c>
      <c r="C18" s="10" t="s">
        <v>22</v>
      </c>
      <c r="D18" s="9" t="s">
        <v>85</v>
      </c>
      <c r="E18" s="12">
        <v>45797</v>
      </c>
      <c r="F18" s="19" t="s">
        <v>37</v>
      </c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 t="s">
        <v>86</v>
      </c>
      <c r="C19" s="10" t="s">
        <v>22</v>
      </c>
      <c r="D19" s="9" t="s">
        <v>79</v>
      </c>
      <c r="E19" s="12">
        <v>45797</v>
      </c>
      <c r="F19" s="19" t="s">
        <v>37</v>
      </c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 t="s">
        <v>82</v>
      </c>
      <c r="C20" s="10" t="s">
        <v>22</v>
      </c>
      <c r="D20" s="9" t="s">
        <v>83</v>
      </c>
      <c r="E20" s="12">
        <v>45797</v>
      </c>
      <c r="F20" s="19" t="s">
        <v>37</v>
      </c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 t="s">
        <v>70</v>
      </c>
      <c r="C21" s="10" t="s">
        <v>22</v>
      </c>
      <c r="D21" s="9" t="s">
        <v>71</v>
      </c>
      <c r="E21" s="12">
        <v>45797</v>
      </c>
      <c r="F21" s="19" t="s">
        <v>37</v>
      </c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 t="s">
        <v>80</v>
      </c>
      <c r="C22" s="10" t="s">
        <v>22</v>
      </c>
      <c r="D22" s="9" t="s">
        <v>81</v>
      </c>
      <c r="E22" s="12">
        <v>45797</v>
      </c>
      <c r="F22" s="19" t="s">
        <v>37</v>
      </c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 t="s">
        <v>76</v>
      </c>
      <c r="C23" s="10" t="s">
        <v>22</v>
      </c>
      <c r="D23" s="9" t="s">
        <v>77</v>
      </c>
      <c r="E23" s="12">
        <v>45797</v>
      </c>
      <c r="F23" s="19" t="s">
        <v>37</v>
      </c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 t="s">
        <v>74</v>
      </c>
      <c r="C24" s="10" t="s">
        <v>22</v>
      </c>
      <c r="D24" s="9" t="s">
        <v>75</v>
      </c>
      <c r="E24" s="12">
        <v>45797</v>
      </c>
      <c r="F24" s="19" t="s">
        <v>37</v>
      </c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 t="s">
        <v>58</v>
      </c>
      <c r="C25" s="10" t="s">
        <v>22</v>
      </c>
      <c r="D25" s="9" t="s">
        <v>59</v>
      </c>
      <c r="E25" s="12">
        <v>45797</v>
      </c>
      <c r="F25" s="19" t="s">
        <v>37</v>
      </c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 t="s">
        <v>78</v>
      </c>
      <c r="C26" s="10" t="s">
        <v>22</v>
      </c>
      <c r="D26" s="9" t="s">
        <v>87</v>
      </c>
      <c r="E26" s="12">
        <v>45797</v>
      </c>
      <c r="F26" s="19" t="s">
        <v>37</v>
      </c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 t="s">
        <v>72</v>
      </c>
      <c r="C27" s="10" t="s">
        <v>22</v>
      </c>
      <c r="D27" s="9" t="s">
        <v>73</v>
      </c>
      <c r="E27" s="12">
        <v>45797</v>
      </c>
      <c r="F27" s="19" t="s">
        <v>37</v>
      </c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 t="s">
        <v>88</v>
      </c>
      <c r="C28" s="10" t="s">
        <v>22</v>
      </c>
      <c r="D28" s="9" t="s">
        <v>89</v>
      </c>
      <c r="E28" s="12">
        <v>45799</v>
      </c>
      <c r="F28" s="19" t="s">
        <v>37</v>
      </c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 t="s">
        <v>90</v>
      </c>
      <c r="C29" s="10" t="s">
        <v>22</v>
      </c>
      <c r="D29" s="9" t="s">
        <v>91</v>
      </c>
      <c r="E29" s="12">
        <v>45799</v>
      </c>
      <c r="F29" s="19" t="s">
        <v>37</v>
      </c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 t="s">
        <v>92</v>
      </c>
      <c r="C30" s="10" t="s">
        <v>22</v>
      </c>
      <c r="D30" s="9" t="s">
        <v>93</v>
      </c>
      <c r="E30" s="12">
        <v>45799</v>
      </c>
      <c r="F30" s="19" t="s">
        <v>37</v>
      </c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 t="s">
        <v>104</v>
      </c>
      <c r="C31" s="10" t="s">
        <v>22</v>
      </c>
      <c r="D31" s="9" t="s">
        <v>105</v>
      </c>
      <c r="E31" s="12">
        <v>45799</v>
      </c>
      <c r="F31" s="19" t="s">
        <v>37</v>
      </c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 t="s">
        <v>102</v>
      </c>
      <c r="C32" s="10" t="s">
        <v>22</v>
      </c>
      <c r="D32" s="9" t="s">
        <v>103</v>
      </c>
      <c r="E32" s="12">
        <v>45799</v>
      </c>
      <c r="F32" s="19" t="s">
        <v>37</v>
      </c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 t="s">
        <v>106</v>
      </c>
      <c r="C33" s="10" t="s">
        <v>22</v>
      </c>
      <c r="D33" s="9" t="s">
        <v>107</v>
      </c>
      <c r="E33" s="12">
        <v>45799</v>
      </c>
      <c r="F33" s="19" t="s">
        <v>37</v>
      </c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 t="s">
        <v>100</v>
      </c>
      <c r="C34" s="10" t="s">
        <v>22</v>
      </c>
      <c r="D34" s="9" t="s">
        <v>101</v>
      </c>
      <c r="E34" s="12">
        <v>45799</v>
      </c>
      <c r="F34" s="19" t="s">
        <v>37</v>
      </c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 t="s">
        <v>98</v>
      </c>
      <c r="C35" s="10" t="s">
        <v>22</v>
      </c>
      <c r="D35" s="9" t="s">
        <v>99</v>
      </c>
      <c r="E35" s="12">
        <v>45799</v>
      </c>
      <c r="F35" s="19" t="s">
        <v>37</v>
      </c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 t="s">
        <v>96</v>
      </c>
      <c r="C36" s="10" t="s">
        <v>22</v>
      </c>
      <c r="D36" s="9" t="s">
        <v>97</v>
      </c>
      <c r="E36" s="12">
        <v>45799</v>
      </c>
      <c r="F36" s="19" t="s">
        <v>37</v>
      </c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 t="s">
        <v>94</v>
      </c>
      <c r="C37" s="10" t="s">
        <v>22</v>
      </c>
      <c r="D37" s="9" t="s">
        <v>95</v>
      </c>
      <c r="E37" s="12">
        <v>45799</v>
      </c>
      <c r="F37" s="19" t="s">
        <v>37</v>
      </c>
      <c r="G37" s="15">
        <v>1</v>
      </c>
    </row>
    <row r="38" spans="1:10" x14ac:dyDescent="0.25">
      <c r="A38" s="14">
        <f t="shared" si="0"/>
        <v>32</v>
      </c>
      <c r="B38" s="9" t="s">
        <v>108</v>
      </c>
      <c r="C38" s="10" t="s">
        <v>22</v>
      </c>
      <c r="D38" s="9" t="s">
        <v>109</v>
      </c>
      <c r="E38" s="12">
        <v>45803</v>
      </c>
      <c r="F38" s="19" t="s">
        <v>37</v>
      </c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</sheetData>
  <sortState xmlns:xlrd2="http://schemas.microsoft.com/office/spreadsheetml/2017/richdata2" ref="B7:F37">
    <sortCondition ref="E7:E37"/>
    <sortCondition ref="D7:D3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honeticPr fontId="13" type="noConversion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1"/>
  <sheetViews>
    <sheetView topLeftCell="A24" workbookViewId="0">
      <selection activeCell="I7" sqref="I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42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4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1" ht="15.75" x14ac:dyDescent="0.25">
      <c r="A5" s="27" t="s">
        <v>110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46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1" ht="15" customHeight="1" x14ac:dyDescent="0.25">
      <c r="A7" s="14">
        <v>1</v>
      </c>
      <c r="B7" s="9" t="s">
        <v>236</v>
      </c>
      <c r="C7" s="10" t="s">
        <v>22</v>
      </c>
      <c r="D7" s="9" t="s">
        <v>114</v>
      </c>
      <c r="E7" s="12">
        <v>45809</v>
      </c>
      <c r="F7" s="19" t="s">
        <v>37</v>
      </c>
      <c r="G7" s="15">
        <v>1</v>
      </c>
      <c r="H7" s="2">
        <v>131149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9" t="s">
        <v>111</v>
      </c>
      <c r="E8" s="12">
        <v>45809</v>
      </c>
      <c r="F8" s="19" t="s">
        <v>112</v>
      </c>
      <c r="G8" s="15">
        <v>1</v>
      </c>
      <c r="H8" s="20" t="s">
        <v>113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115</v>
      </c>
      <c r="E9" s="12">
        <v>45811</v>
      </c>
      <c r="F9" s="19" t="s">
        <v>116</v>
      </c>
      <c r="G9" s="15">
        <v>1</v>
      </c>
      <c r="H9" s="2" t="s">
        <v>117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21</v>
      </c>
      <c r="C10" s="10" t="s">
        <v>22</v>
      </c>
      <c r="D10" s="9" t="s">
        <v>118</v>
      </c>
      <c r="E10" s="12">
        <v>45817</v>
      </c>
      <c r="F10" s="19" t="s">
        <v>119</v>
      </c>
      <c r="G10" s="15">
        <v>1</v>
      </c>
      <c r="H10" s="2" t="s">
        <v>120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149</v>
      </c>
      <c r="C11" s="10" t="s">
        <v>22</v>
      </c>
      <c r="D11" s="9" t="s">
        <v>150</v>
      </c>
      <c r="E11" s="12">
        <v>45819</v>
      </c>
      <c r="F11" s="19" t="s">
        <v>37</v>
      </c>
      <c r="G11" s="15">
        <v>1</v>
      </c>
      <c r="H11" s="20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206</v>
      </c>
      <c r="C12" s="10" t="s">
        <v>22</v>
      </c>
      <c r="D12" s="9" t="s">
        <v>151</v>
      </c>
      <c r="E12" s="12">
        <v>45819</v>
      </c>
      <c r="F12" s="19" t="s">
        <v>37</v>
      </c>
      <c r="G12" s="15">
        <v>1</v>
      </c>
      <c r="H12" s="20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139</v>
      </c>
      <c r="C13" s="10" t="s">
        <v>22</v>
      </c>
      <c r="D13" s="9" t="s">
        <v>140</v>
      </c>
      <c r="E13" s="12">
        <v>45819</v>
      </c>
      <c r="F13" s="19" t="s">
        <v>37</v>
      </c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137</v>
      </c>
      <c r="C14" s="10" t="s">
        <v>22</v>
      </c>
      <c r="D14" s="9" t="s">
        <v>138</v>
      </c>
      <c r="E14" s="12">
        <v>45819</v>
      </c>
      <c r="F14" s="19" t="s">
        <v>37</v>
      </c>
      <c r="G14" s="15">
        <v>1</v>
      </c>
      <c r="H14" s="2"/>
      <c r="I14" s="2"/>
      <c r="J14" s="2"/>
    </row>
    <row r="15" spans="1:11" ht="15" customHeight="1" x14ac:dyDescent="0.25">
      <c r="A15" s="14">
        <f t="shared" si="0"/>
        <v>9</v>
      </c>
      <c r="B15" s="9" t="s">
        <v>135</v>
      </c>
      <c r="C15" s="10" t="s">
        <v>22</v>
      </c>
      <c r="D15" s="9" t="s">
        <v>136</v>
      </c>
      <c r="E15" s="12">
        <v>45819</v>
      </c>
      <c r="F15" s="19" t="s">
        <v>37</v>
      </c>
      <c r="G15" s="15">
        <v>1</v>
      </c>
      <c r="H15" s="20"/>
      <c r="I15" s="2"/>
      <c r="J15" s="2"/>
    </row>
    <row r="16" spans="1:11" ht="15" customHeight="1" x14ac:dyDescent="0.25">
      <c r="A16" s="14">
        <f t="shared" si="0"/>
        <v>10</v>
      </c>
      <c r="B16" s="9" t="s">
        <v>143</v>
      </c>
      <c r="C16" s="10" t="s">
        <v>22</v>
      </c>
      <c r="D16" s="9" t="s">
        <v>144</v>
      </c>
      <c r="E16" s="12">
        <v>45819</v>
      </c>
      <c r="F16" s="19" t="s">
        <v>37</v>
      </c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 t="s">
        <v>141</v>
      </c>
      <c r="C17" s="10" t="s">
        <v>22</v>
      </c>
      <c r="D17" s="9" t="s">
        <v>142</v>
      </c>
      <c r="E17" s="12">
        <v>45819</v>
      </c>
      <c r="F17" s="19" t="s">
        <v>37</v>
      </c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 t="s">
        <v>156</v>
      </c>
      <c r="C18" s="10" t="s">
        <v>22</v>
      </c>
      <c r="D18" s="9" t="s">
        <v>157</v>
      </c>
      <c r="E18" s="12">
        <v>45819</v>
      </c>
      <c r="F18" s="19" t="s">
        <v>37</v>
      </c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 t="s">
        <v>152</v>
      </c>
      <c r="C19" s="10" t="s">
        <v>22</v>
      </c>
      <c r="D19" s="9" t="s">
        <v>153</v>
      </c>
      <c r="E19" s="12">
        <v>45819</v>
      </c>
      <c r="F19" s="19" t="s">
        <v>37</v>
      </c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 t="s">
        <v>21</v>
      </c>
      <c r="C20" s="10" t="s">
        <v>22</v>
      </c>
      <c r="D20" s="9" t="s">
        <v>158</v>
      </c>
      <c r="E20" s="12">
        <v>45819</v>
      </c>
      <c r="F20" s="19" t="s">
        <v>201</v>
      </c>
      <c r="G20" s="15">
        <v>1</v>
      </c>
      <c r="H20" s="1" t="s">
        <v>159</v>
      </c>
      <c r="I20" s="2"/>
      <c r="J20" s="2"/>
    </row>
    <row r="21" spans="1:10" ht="15" customHeight="1" x14ac:dyDescent="0.25">
      <c r="A21" s="14">
        <f t="shared" si="0"/>
        <v>15</v>
      </c>
      <c r="B21" s="9" t="s">
        <v>125</v>
      </c>
      <c r="C21" s="10" t="s">
        <v>22</v>
      </c>
      <c r="D21" s="9" t="s">
        <v>126</v>
      </c>
      <c r="E21" s="12">
        <v>45819</v>
      </c>
      <c r="F21" s="19" t="s">
        <v>37</v>
      </c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 t="s">
        <v>131</v>
      </c>
      <c r="C22" s="10" t="s">
        <v>22</v>
      </c>
      <c r="D22" s="9" t="s">
        <v>132</v>
      </c>
      <c r="E22" s="12">
        <v>45819</v>
      </c>
      <c r="F22" s="19" t="s">
        <v>37</v>
      </c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 t="s">
        <v>145</v>
      </c>
      <c r="C23" s="10" t="s">
        <v>22</v>
      </c>
      <c r="D23" s="9" t="s">
        <v>146</v>
      </c>
      <c r="E23" s="12">
        <v>45819</v>
      </c>
      <c r="F23" s="19" t="s">
        <v>37</v>
      </c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 t="s">
        <v>127</v>
      </c>
      <c r="C24" s="10" t="s">
        <v>22</v>
      </c>
      <c r="D24" s="9" t="s">
        <v>128</v>
      </c>
      <c r="E24" s="12">
        <v>45819</v>
      </c>
      <c r="F24" s="19" t="s">
        <v>37</v>
      </c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 t="s">
        <v>147</v>
      </c>
      <c r="C25" s="10" t="s">
        <v>22</v>
      </c>
      <c r="D25" s="9" t="s">
        <v>148</v>
      </c>
      <c r="E25" s="12">
        <v>45819</v>
      </c>
      <c r="F25" s="19" t="s">
        <v>37</v>
      </c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 t="s">
        <v>121</v>
      </c>
      <c r="C26" s="10" t="s">
        <v>22</v>
      </c>
      <c r="D26" s="9" t="s">
        <v>122</v>
      </c>
      <c r="E26" s="12">
        <v>45819</v>
      </c>
      <c r="F26" s="19" t="s">
        <v>37</v>
      </c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 t="s">
        <v>154</v>
      </c>
      <c r="C27" s="10" t="s">
        <v>22</v>
      </c>
      <c r="D27" s="9" t="s">
        <v>155</v>
      </c>
      <c r="E27" s="12">
        <v>45819</v>
      </c>
      <c r="F27" s="19" t="s">
        <v>37</v>
      </c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 t="s">
        <v>123</v>
      </c>
      <c r="C28" s="10" t="s">
        <v>22</v>
      </c>
      <c r="D28" s="9" t="s">
        <v>124</v>
      </c>
      <c r="E28" s="12">
        <v>45819</v>
      </c>
      <c r="F28" s="19" t="s">
        <v>37</v>
      </c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 t="s">
        <v>133</v>
      </c>
      <c r="C29" s="10" t="s">
        <v>22</v>
      </c>
      <c r="D29" s="9" t="s">
        <v>134</v>
      </c>
      <c r="E29" s="12">
        <v>45819</v>
      </c>
      <c r="F29" s="19" t="s">
        <v>37</v>
      </c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 t="s">
        <v>129</v>
      </c>
      <c r="C30" s="10" t="s">
        <v>22</v>
      </c>
      <c r="D30" s="9" t="s">
        <v>130</v>
      </c>
      <c r="E30" s="12">
        <v>45819</v>
      </c>
      <c r="F30" s="19" t="s">
        <v>37</v>
      </c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 t="s">
        <v>180</v>
      </c>
      <c r="C31" s="10" t="s">
        <v>22</v>
      </c>
      <c r="D31" s="9" t="s">
        <v>181</v>
      </c>
      <c r="E31" s="12">
        <v>45820</v>
      </c>
      <c r="F31" s="19" t="s">
        <v>37</v>
      </c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 t="s">
        <v>199</v>
      </c>
      <c r="C32" s="10" t="s">
        <v>22</v>
      </c>
      <c r="D32" s="9" t="s">
        <v>200</v>
      </c>
      <c r="E32" s="12">
        <v>45820</v>
      </c>
      <c r="F32" s="19" t="s">
        <v>37</v>
      </c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 t="s">
        <v>172</v>
      </c>
      <c r="C33" s="10" t="s">
        <v>22</v>
      </c>
      <c r="D33" s="9" t="s">
        <v>173</v>
      </c>
      <c r="E33" s="12">
        <v>45820</v>
      </c>
      <c r="F33" s="19" t="s">
        <v>37</v>
      </c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 t="s">
        <v>194</v>
      </c>
      <c r="C34" s="10" t="s">
        <v>22</v>
      </c>
      <c r="D34" s="9" t="s">
        <v>195</v>
      </c>
      <c r="E34" s="12">
        <v>45820</v>
      </c>
      <c r="F34" s="19" t="s">
        <v>37</v>
      </c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 t="s">
        <v>178</v>
      </c>
      <c r="C35" s="10" t="s">
        <v>22</v>
      </c>
      <c r="D35" s="9" t="s">
        <v>179</v>
      </c>
      <c r="E35" s="12">
        <v>45820</v>
      </c>
      <c r="F35" s="19" t="s">
        <v>37</v>
      </c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 t="s">
        <v>186</v>
      </c>
      <c r="C36" s="10" t="s">
        <v>22</v>
      </c>
      <c r="D36" s="9" t="s">
        <v>187</v>
      </c>
      <c r="E36" s="12">
        <v>45820</v>
      </c>
      <c r="F36" s="19" t="s">
        <v>37</v>
      </c>
      <c r="G36" s="15">
        <v>1</v>
      </c>
      <c r="I36" s="1"/>
      <c r="J36" s="1"/>
    </row>
    <row r="37" spans="1:10" x14ac:dyDescent="0.25">
      <c r="A37" s="14">
        <f t="shared" si="0"/>
        <v>31</v>
      </c>
      <c r="B37" s="9" t="s">
        <v>176</v>
      </c>
      <c r="C37" s="10" t="s">
        <v>22</v>
      </c>
      <c r="D37" s="9" t="s">
        <v>177</v>
      </c>
      <c r="E37" s="12">
        <v>45820</v>
      </c>
      <c r="F37" s="19" t="s">
        <v>37</v>
      </c>
      <c r="G37" s="15">
        <v>1</v>
      </c>
    </row>
    <row r="38" spans="1:10" x14ac:dyDescent="0.25">
      <c r="A38" s="14">
        <f t="shared" si="0"/>
        <v>32</v>
      </c>
      <c r="B38" s="9" t="s">
        <v>174</v>
      </c>
      <c r="C38" s="10" t="s">
        <v>22</v>
      </c>
      <c r="D38" s="9" t="s">
        <v>175</v>
      </c>
      <c r="E38" s="12">
        <v>45820</v>
      </c>
      <c r="F38" s="19" t="s">
        <v>37</v>
      </c>
      <c r="G38" s="15">
        <v>1</v>
      </c>
    </row>
    <row r="39" spans="1:10" x14ac:dyDescent="0.25">
      <c r="A39" s="14">
        <f t="shared" si="0"/>
        <v>33</v>
      </c>
      <c r="B39" s="9" t="s">
        <v>182</v>
      </c>
      <c r="C39" s="10" t="s">
        <v>22</v>
      </c>
      <c r="D39" s="9" t="s">
        <v>183</v>
      </c>
      <c r="E39" s="12">
        <v>45820</v>
      </c>
      <c r="F39" s="19" t="s">
        <v>37</v>
      </c>
      <c r="G39" s="15">
        <v>1</v>
      </c>
    </row>
    <row r="40" spans="1:10" x14ac:dyDescent="0.25">
      <c r="A40" s="14">
        <f t="shared" si="0"/>
        <v>34</v>
      </c>
      <c r="B40" s="9" t="s">
        <v>184</v>
      </c>
      <c r="C40" s="10" t="s">
        <v>22</v>
      </c>
      <c r="D40" s="9" t="s">
        <v>185</v>
      </c>
      <c r="E40" s="12">
        <v>45820</v>
      </c>
      <c r="F40" s="19" t="s">
        <v>37</v>
      </c>
      <c r="G40" s="15">
        <v>1</v>
      </c>
    </row>
    <row r="41" spans="1:10" x14ac:dyDescent="0.25">
      <c r="A41" s="14">
        <f t="shared" si="0"/>
        <v>35</v>
      </c>
      <c r="B41" s="9" t="s">
        <v>162</v>
      </c>
      <c r="C41" s="10" t="s">
        <v>22</v>
      </c>
      <c r="D41" s="9" t="s">
        <v>163</v>
      </c>
      <c r="E41" s="12">
        <v>45820</v>
      </c>
      <c r="F41" s="19" t="s">
        <v>37</v>
      </c>
      <c r="G41" s="15">
        <v>1</v>
      </c>
      <c r="H41" s="1"/>
    </row>
    <row r="42" spans="1:10" x14ac:dyDescent="0.25">
      <c r="A42" s="14">
        <f t="shared" si="0"/>
        <v>36</v>
      </c>
      <c r="B42" s="9" t="s">
        <v>170</v>
      </c>
      <c r="C42" s="10" t="s">
        <v>22</v>
      </c>
      <c r="D42" s="9" t="s">
        <v>171</v>
      </c>
      <c r="E42" s="12">
        <v>45820</v>
      </c>
      <c r="F42" s="19" t="s">
        <v>37</v>
      </c>
      <c r="G42" s="15">
        <v>1</v>
      </c>
      <c r="H42" s="1"/>
    </row>
    <row r="43" spans="1:10" x14ac:dyDescent="0.25">
      <c r="A43" s="14">
        <f t="shared" si="0"/>
        <v>37</v>
      </c>
      <c r="B43" s="9" t="s">
        <v>168</v>
      </c>
      <c r="C43" s="10" t="s">
        <v>22</v>
      </c>
      <c r="D43" s="9" t="s">
        <v>169</v>
      </c>
      <c r="E43" s="12">
        <v>45820</v>
      </c>
      <c r="F43" s="19" t="s">
        <v>37</v>
      </c>
      <c r="G43" s="15">
        <v>1</v>
      </c>
      <c r="H43" s="1"/>
    </row>
    <row r="44" spans="1:10" x14ac:dyDescent="0.25">
      <c r="A44" s="14">
        <f t="shared" si="0"/>
        <v>38</v>
      </c>
      <c r="B44" s="9" t="s">
        <v>166</v>
      </c>
      <c r="C44" s="10" t="s">
        <v>22</v>
      </c>
      <c r="D44" s="9" t="s">
        <v>167</v>
      </c>
      <c r="E44" s="12">
        <v>45820</v>
      </c>
      <c r="F44" s="19" t="s">
        <v>37</v>
      </c>
      <c r="G44" s="15">
        <v>1</v>
      </c>
      <c r="H44" s="1"/>
    </row>
    <row r="45" spans="1:10" x14ac:dyDescent="0.25">
      <c r="A45" s="14">
        <f t="shared" si="0"/>
        <v>39</v>
      </c>
      <c r="B45" s="9" t="s">
        <v>196</v>
      </c>
      <c r="C45" s="10" t="s">
        <v>22</v>
      </c>
      <c r="D45" s="9" t="s">
        <v>197</v>
      </c>
      <c r="E45" s="12">
        <v>45820</v>
      </c>
      <c r="F45" s="19" t="s">
        <v>37</v>
      </c>
      <c r="G45" s="15">
        <v>1</v>
      </c>
    </row>
    <row r="46" spans="1:10" x14ac:dyDescent="0.25">
      <c r="A46" s="14">
        <f t="shared" si="0"/>
        <v>40</v>
      </c>
      <c r="B46" s="9" t="s">
        <v>164</v>
      </c>
      <c r="C46" s="10" t="s">
        <v>22</v>
      </c>
      <c r="D46" s="9" t="s">
        <v>165</v>
      </c>
      <c r="E46" s="12">
        <v>45820</v>
      </c>
      <c r="F46" s="19" t="s">
        <v>37</v>
      </c>
      <c r="G46" s="15">
        <v>1</v>
      </c>
      <c r="H46" s="1"/>
    </row>
    <row r="47" spans="1:10" x14ac:dyDescent="0.25">
      <c r="A47" s="14">
        <f t="shared" si="0"/>
        <v>41</v>
      </c>
      <c r="B47" s="9" t="s">
        <v>160</v>
      </c>
      <c r="C47" s="10" t="s">
        <v>22</v>
      </c>
      <c r="D47" s="9" t="s">
        <v>161</v>
      </c>
      <c r="E47" s="12">
        <v>45820</v>
      </c>
      <c r="F47" s="19" t="s">
        <v>37</v>
      </c>
      <c r="G47" s="15">
        <v>1</v>
      </c>
      <c r="H47" s="1"/>
    </row>
    <row r="48" spans="1:10" x14ac:dyDescent="0.25">
      <c r="A48" s="14">
        <f t="shared" si="0"/>
        <v>42</v>
      </c>
      <c r="B48" s="9" t="s">
        <v>192</v>
      </c>
      <c r="C48" s="10" t="s">
        <v>22</v>
      </c>
      <c r="D48" s="9" t="s">
        <v>193</v>
      </c>
      <c r="E48" s="12">
        <v>45820</v>
      </c>
      <c r="F48" s="19" t="s">
        <v>37</v>
      </c>
      <c r="G48" s="15">
        <v>1</v>
      </c>
    </row>
    <row r="49" spans="1:7" x14ac:dyDescent="0.25">
      <c r="A49" s="14">
        <f t="shared" si="0"/>
        <v>43</v>
      </c>
      <c r="B49" s="9" t="s">
        <v>190</v>
      </c>
      <c r="C49" s="10" t="s">
        <v>22</v>
      </c>
      <c r="D49" s="9" t="s">
        <v>191</v>
      </c>
      <c r="E49" s="12">
        <v>45820</v>
      </c>
      <c r="F49" s="19" t="s">
        <v>37</v>
      </c>
      <c r="G49" s="15">
        <v>1</v>
      </c>
    </row>
    <row r="50" spans="1:7" x14ac:dyDescent="0.25">
      <c r="A50" s="14">
        <f t="shared" si="0"/>
        <v>44</v>
      </c>
      <c r="B50" s="9" t="s">
        <v>188</v>
      </c>
      <c r="C50" s="10" t="s">
        <v>22</v>
      </c>
      <c r="D50" s="9" t="s">
        <v>189</v>
      </c>
      <c r="E50" s="12">
        <v>45820</v>
      </c>
      <c r="F50" s="19" t="s">
        <v>37</v>
      </c>
      <c r="G50" s="15">
        <v>1</v>
      </c>
    </row>
    <row r="51" spans="1:7" x14ac:dyDescent="0.25">
      <c r="A51" s="14">
        <f t="shared" si="0"/>
        <v>45</v>
      </c>
      <c r="B51" s="9" t="s">
        <v>202</v>
      </c>
      <c r="C51" s="10" t="s">
        <v>22</v>
      </c>
      <c r="D51" s="9" t="s">
        <v>203</v>
      </c>
      <c r="E51" s="12">
        <v>45823</v>
      </c>
      <c r="F51" s="19" t="s">
        <v>37</v>
      </c>
      <c r="G51" s="15">
        <v>1</v>
      </c>
    </row>
    <row r="52" spans="1:7" x14ac:dyDescent="0.25">
      <c r="A52" s="14">
        <f t="shared" si="0"/>
        <v>46</v>
      </c>
      <c r="B52" s="9" t="s">
        <v>204</v>
      </c>
      <c r="C52" s="10" t="s">
        <v>22</v>
      </c>
      <c r="D52" s="9" t="s">
        <v>205</v>
      </c>
      <c r="E52" s="12">
        <v>45827</v>
      </c>
      <c r="F52" s="19" t="s">
        <v>37</v>
      </c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sortState xmlns:xlrd2="http://schemas.microsoft.com/office/spreadsheetml/2017/richdata2" ref="B7:H51">
    <sortCondition ref="E7:E51"/>
    <sortCondition ref="D7:D5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1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2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1</v>
      </c>
    </row>
    <row r="3" spans="1:12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8</v>
      </c>
    </row>
    <row r="4" spans="1:12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2" ht="15.75" x14ac:dyDescent="0.25">
      <c r="A5" s="27" t="s">
        <v>207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9</v>
      </c>
    </row>
    <row r="6" spans="1:12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2" ht="15" customHeight="1" x14ac:dyDescent="0.25">
      <c r="A7" s="14">
        <v>1</v>
      </c>
      <c r="B7" s="9" t="s">
        <v>21</v>
      </c>
      <c r="C7" s="10" t="s">
        <v>22</v>
      </c>
      <c r="D7" s="9" t="s">
        <v>208</v>
      </c>
      <c r="E7" s="12">
        <v>45853</v>
      </c>
      <c r="F7" s="19" t="s">
        <v>209</v>
      </c>
      <c r="G7" s="15">
        <v>1</v>
      </c>
      <c r="H7" s="2" t="s">
        <v>210</v>
      </c>
      <c r="I7" s="2"/>
      <c r="J7" s="2"/>
      <c r="K7" s="1"/>
    </row>
    <row r="8" spans="1:12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9" t="s">
        <v>211</v>
      </c>
      <c r="E8" s="12">
        <v>45855</v>
      </c>
      <c r="F8" s="19" t="s">
        <v>213</v>
      </c>
      <c r="G8" s="15">
        <v>1</v>
      </c>
      <c r="H8" s="20" t="s">
        <v>212</v>
      </c>
      <c r="I8" s="2"/>
      <c r="J8" s="2"/>
      <c r="K8" s="1"/>
    </row>
    <row r="9" spans="1:12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214</v>
      </c>
      <c r="E9" s="12">
        <v>45855</v>
      </c>
      <c r="F9" s="19" t="s">
        <v>215</v>
      </c>
      <c r="G9" s="15">
        <v>1</v>
      </c>
      <c r="H9" s="2" t="s">
        <v>216</v>
      </c>
      <c r="I9" s="2"/>
      <c r="J9" s="2"/>
      <c r="K9" s="1"/>
    </row>
    <row r="10" spans="1:12" ht="15" customHeight="1" x14ac:dyDescent="0.25">
      <c r="A10" s="14">
        <f t="shared" si="0"/>
        <v>4</v>
      </c>
      <c r="B10" s="9" t="s">
        <v>235</v>
      </c>
      <c r="C10" s="10" t="s">
        <v>22</v>
      </c>
      <c r="D10" s="9" t="s">
        <v>220</v>
      </c>
      <c r="E10" s="12">
        <v>45862</v>
      </c>
      <c r="F10" s="19" t="s">
        <v>37</v>
      </c>
      <c r="G10" s="15">
        <v>1</v>
      </c>
      <c r="H10" s="20"/>
      <c r="I10" s="12">
        <v>45862</v>
      </c>
      <c r="J10" s="19" t="s">
        <v>221</v>
      </c>
      <c r="K10" s="15">
        <v>1</v>
      </c>
      <c r="L10" s="20" t="s">
        <v>222</v>
      </c>
    </row>
    <row r="11" spans="1:12" ht="15" customHeight="1" x14ac:dyDescent="0.25">
      <c r="A11" s="14">
        <f t="shared" si="0"/>
        <v>5</v>
      </c>
      <c r="B11" s="9" t="s">
        <v>21</v>
      </c>
      <c r="C11" s="10" t="s">
        <v>22</v>
      </c>
      <c r="D11" s="9" t="s">
        <v>217</v>
      </c>
      <c r="E11" s="12">
        <v>45862</v>
      </c>
      <c r="F11" s="19" t="s">
        <v>218</v>
      </c>
      <c r="G11" s="15">
        <v>1</v>
      </c>
      <c r="H11" s="2" t="s">
        <v>219</v>
      </c>
      <c r="I11" s="2"/>
      <c r="J11" s="2"/>
      <c r="K11" s="1"/>
    </row>
    <row r="12" spans="1:12" ht="15" customHeight="1" x14ac:dyDescent="0.25">
      <c r="A12" s="14">
        <f t="shared" si="0"/>
        <v>6</v>
      </c>
      <c r="B12" s="9" t="s">
        <v>21</v>
      </c>
      <c r="C12" s="10" t="s">
        <v>22</v>
      </c>
      <c r="D12" s="9" t="s">
        <v>229</v>
      </c>
      <c r="E12" s="12">
        <v>45862</v>
      </c>
      <c r="F12" s="19" t="s">
        <v>230</v>
      </c>
      <c r="G12" s="15">
        <v>1</v>
      </c>
      <c r="H12" s="2" t="s">
        <v>231</v>
      </c>
      <c r="I12" s="2"/>
      <c r="J12" s="2"/>
      <c r="K12" s="1"/>
    </row>
    <row r="13" spans="1:12" ht="15" customHeight="1" x14ac:dyDescent="0.25">
      <c r="A13" s="14">
        <f t="shared" si="0"/>
        <v>7</v>
      </c>
      <c r="B13" s="9" t="s">
        <v>21</v>
      </c>
      <c r="C13" s="10" t="s">
        <v>22</v>
      </c>
      <c r="D13" s="9" t="s">
        <v>232</v>
      </c>
      <c r="E13" s="12">
        <v>45862</v>
      </c>
      <c r="F13" s="19" t="s">
        <v>234</v>
      </c>
      <c r="G13" s="15">
        <v>1</v>
      </c>
      <c r="H13" s="20" t="s">
        <v>233</v>
      </c>
      <c r="I13" s="2"/>
      <c r="J13" s="2"/>
      <c r="K13" s="1"/>
    </row>
    <row r="14" spans="1:12" ht="15" customHeight="1" x14ac:dyDescent="0.25">
      <c r="A14" s="14">
        <f t="shared" si="0"/>
        <v>8</v>
      </c>
      <c r="B14" s="9" t="s">
        <v>21</v>
      </c>
      <c r="C14" s="10" t="s">
        <v>22</v>
      </c>
      <c r="D14" s="9" t="s">
        <v>225</v>
      </c>
      <c r="E14" s="12">
        <v>45862</v>
      </c>
      <c r="F14" s="19" t="s">
        <v>223</v>
      </c>
      <c r="G14" s="15">
        <v>1</v>
      </c>
      <c r="H14" s="20" t="s">
        <v>224</v>
      </c>
      <c r="I14" s="2"/>
      <c r="J14" s="2"/>
    </row>
    <row r="15" spans="1:12" ht="15" customHeight="1" x14ac:dyDescent="0.25">
      <c r="A15" s="14">
        <f t="shared" si="0"/>
        <v>9</v>
      </c>
      <c r="B15" s="9" t="s">
        <v>21</v>
      </c>
      <c r="C15" s="10" t="s">
        <v>22</v>
      </c>
      <c r="D15" s="9" t="s">
        <v>226</v>
      </c>
      <c r="E15" s="12">
        <v>45862</v>
      </c>
      <c r="F15" s="19" t="s">
        <v>228</v>
      </c>
      <c r="G15" s="15">
        <v>1</v>
      </c>
      <c r="H15" s="20" t="s">
        <v>227</v>
      </c>
      <c r="I15" s="2"/>
      <c r="J15" s="2"/>
    </row>
    <row r="16" spans="1:12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  <c r="H41" s="1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  <c r="H42" s="1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  <c r="H43" s="1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  <c r="H44" s="1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  <c r="H46" s="1"/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  <c r="H47" s="1"/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sortState xmlns:xlrd2="http://schemas.microsoft.com/office/spreadsheetml/2017/richdata2" ref="B7:I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1"/>
  <sheetViews>
    <sheetView workbookViewId="0">
      <selection activeCell="I33" sqref="I3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2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1</v>
      </c>
    </row>
    <row r="3" spans="1:12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4</v>
      </c>
    </row>
    <row r="4" spans="1:12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2" ht="15.75" x14ac:dyDescent="0.25">
      <c r="A5" s="27" t="s">
        <v>237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5</v>
      </c>
    </row>
    <row r="6" spans="1:12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2" ht="15" customHeight="1" x14ac:dyDescent="0.25">
      <c r="A7" s="14">
        <v>1</v>
      </c>
      <c r="B7" s="9" t="s">
        <v>21</v>
      </c>
      <c r="C7" s="10" t="s">
        <v>22</v>
      </c>
      <c r="D7" s="9" t="s">
        <v>238</v>
      </c>
      <c r="E7" s="12">
        <v>45876</v>
      </c>
      <c r="F7" s="19" t="s">
        <v>239</v>
      </c>
      <c r="G7" s="15">
        <v>1</v>
      </c>
      <c r="H7" s="2" t="s">
        <v>240</v>
      </c>
      <c r="I7" s="2"/>
      <c r="J7" s="2"/>
      <c r="K7" s="1"/>
    </row>
    <row r="8" spans="1:12" ht="15" customHeight="1" x14ac:dyDescent="0.25">
      <c r="A8" s="14">
        <f t="shared" ref="A8:A71" si="0">+A7+1</f>
        <v>2</v>
      </c>
      <c r="B8" s="9" t="s">
        <v>35</v>
      </c>
      <c r="C8" s="10">
        <v>30</v>
      </c>
      <c r="D8" s="9" t="s">
        <v>241</v>
      </c>
      <c r="E8" s="12">
        <v>45887</v>
      </c>
      <c r="F8" s="19" t="s">
        <v>37</v>
      </c>
      <c r="G8" s="15">
        <v>1</v>
      </c>
      <c r="H8" s="20"/>
      <c r="I8" s="2"/>
      <c r="J8" s="2"/>
      <c r="K8" s="1"/>
    </row>
    <row r="9" spans="1:12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242</v>
      </c>
      <c r="E9" s="12">
        <v>45888</v>
      </c>
      <c r="F9" s="19" t="s">
        <v>239</v>
      </c>
      <c r="G9" s="15">
        <v>1</v>
      </c>
      <c r="H9" s="2" t="s">
        <v>243</v>
      </c>
      <c r="I9" s="2"/>
      <c r="J9" s="2"/>
      <c r="K9" s="1"/>
    </row>
    <row r="10" spans="1:12" ht="15" customHeight="1" x14ac:dyDescent="0.25">
      <c r="A10" s="14">
        <f t="shared" si="0"/>
        <v>4</v>
      </c>
      <c r="B10" s="9" t="s">
        <v>21</v>
      </c>
      <c r="C10" s="10" t="s">
        <v>22</v>
      </c>
      <c r="D10" s="9" t="s">
        <v>244</v>
      </c>
      <c r="E10" s="12">
        <v>45889</v>
      </c>
      <c r="F10" s="19" t="s">
        <v>245</v>
      </c>
      <c r="G10" s="15">
        <v>1</v>
      </c>
      <c r="H10" s="20" t="s">
        <v>246</v>
      </c>
      <c r="I10" s="21"/>
      <c r="J10" s="22"/>
      <c r="K10" s="23"/>
      <c r="L10" s="20"/>
    </row>
    <row r="11" spans="1:12" ht="15" customHeight="1" x14ac:dyDescent="0.25">
      <c r="A11" s="14">
        <f t="shared" si="0"/>
        <v>5</v>
      </c>
      <c r="B11" s="9" t="s">
        <v>21</v>
      </c>
      <c r="C11" s="10" t="s">
        <v>22</v>
      </c>
      <c r="D11" s="9" t="s">
        <v>247</v>
      </c>
      <c r="E11" s="12">
        <v>45895</v>
      </c>
      <c r="F11" s="19" t="s">
        <v>248</v>
      </c>
      <c r="G11" s="15">
        <v>1</v>
      </c>
      <c r="H11" s="2" t="s">
        <v>249</v>
      </c>
      <c r="I11" s="2"/>
      <c r="J11" s="2"/>
      <c r="K11" s="1"/>
    </row>
    <row r="12" spans="1:12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2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2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2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2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  <c r="H41" s="1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  <c r="H42" s="1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  <c r="H43" s="1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  <c r="H44" s="1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  <c r="H46" s="1"/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  <c r="H47" s="1"/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sortState xmlns:xlrd2="http://schemas.microsoft.com/office/spreadsheetml/2017/richdata2"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1"/>
  <sheetViews>
    <sheetView tabSelected="1" workbookViewId="0">
      <selection activeCell="D9" sqref="D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2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0</v>
      </c>
    </row>
    <row r="3" spans="1:12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3</v>
      </c>
    </row>
    <row r="4" spans="1:12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2" ht="15.75" x14ac:dyDescent="0.25">
      <c r="A5" s="27" t="s">
        <v>253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3</v>
      </c>
    </row>
    <row r="6" spans="1:12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2" ht="15" customHeight="1" x14ac:dyDescent="0.25">
      <c r="A7" s="14">
        <v>1</v>
      </c>
      <c r="B7" s="9" t="s">
        <v>21</v>
      </c>
      <c r="C7" s="10" t="s">
        <v>22</v>
      </c>
      <c r="D7" s="9" t="s">
        <v>250</v>
      </c>
      <c r="E7" s="12">
        <v>45908</v>
      </c>
      <c r="F7" s="19" t="s">
        <v>251</v>
      </c>
      <c r="G7" s="15">
        <v>1</v>
      </c>
      <c r="H7" s="2" t="s">
        <v>252</v>
      </c>
      <c r="I7" s="2"/>
      <c r="J7" s="2"/>
      <c r="K7" s="1"/>
    </row>
    <row r="8" spans="1:12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9" t="s">
        <v>256</v>
      </c>
      <c r="E8" s="12">
        <v>45917</v>
      </c>
      <c r="F8" s="19" t="s">
        <v>254</v>
      </c>
      <c r="G8" s="15">
        <v>1</v>
      </c>
      <c r="H8" s="20" t="s">
        <v>255</v>
      </c>
      <c r="I8" s="2"/>
      <c r="J8" s="2"/>
      <c r="K8" s="1"/>
    </row>
    <row r="9" spans="1:12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257</v>
      </c>
      <c r="E9" s="12">
        <v>45918</v>
      </c>
      <c r="F9" s="19" t="s">
        <v>258</v>
      </c>
      <c r="G9" s="15">
        <v>1</v>
      </c>
      <c r="H9" s="2" t="s">
        <v>259</v>
      </c>
      <c r="I9" s="2">
        <v>2025118581</v>
      </c>
      <c r="J9" s="2"/>
      <c r="K9" s="1"/>
    </row>
    <row r="10" spans="1:12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0"/>
      <c r="I10" s="21"/>
      <c r="J10" s="22"/>
      <c r="K10" s="23"/>
      <c r="L10" s="20"/>
    </row>
    <row r="11" spans="1:12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2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2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2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2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2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  <c r="H41" s="1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  <c r="H42" s="1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  <c r="H43" s="1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  <c r="H44" s="1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  <c r="H46" s="1"/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  <c r="H47" s="1"/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1"/>
  <sheetViews>
    <sheetView workbookViewId="0">
      <selection activeCell="J23" sqref="J2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2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2</v>
      </c>
    </row>
    <row r="3" spans="1:12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7</v>
      </c>
    </row>
    <row r="4" spans="1:12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2" ht="15.75" x14ac:dyDescent="0.25">
      <c r="A5" s="27" t="s">
        <v>260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9</v>
      </c>
    </row>
    <row r="6" spans="1:12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2" ht="15" customHeight="1" x14ac:dyDescent="0.25">
      <c r="A7" s="14">
        <v>1</v>
      </c>
      <c r="B7" s="9" t="s">
        <v>267</v>
      </c>
      <c r="C7" s="10" t="s">
        <v>22</v>
      </c>
      <c r="D7" s="9" t="s">
        <v>268</v>
      </c>
      <c r="E7" s="12">
        <v>45942</v>
      </c>
      <c r="F7" s="19" t="s">
        <v>37</v>
      </c>
      <c r="G7" s="15">
        <v>1</v>
      </c>
      <c r="H7" s="2"/>
      <c r="I7" s="2"/>
      <c r="J7" s="2"/>
      <c r="K7" s="1"/>
    </row>
    <row r="8" spans="1:12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9" t="s">
        <v>261</v>
      </c>
      <c r="E8" s="12">
        <v>45942</v>
      </c>
      <c r="F8" s="19" t="s">
        <v>265</v>
      </c>
      <c r="G8" s="15">
        <v>1</v>
      </c>
      <c r="H8" s="2" t="s">
        <v>266</v>
      </c>
      <c r="I8" s="2"/>
      <c r="J8" s="2"/>
      <c r="K8" s="1"/>
    </row>
    <row r="9" spans="1:12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262</v>
      </c>
      <c r="E9" s="12">
        <v>45942</v>
      </c>
      <c r="F9" s="19" t="s">
        <v>265</v>
      </c>
      <c r="G9" s="15">
        <v>1</v>
      </c>
      <c r="H9" s="20"/>
      <c r="I9" s="2"/>
      <c r="J9" s="2"/>
      <c r="K9" s="1"/>
    </row>
    <row r="10" spans="1:12" ht="15" customHeight="1" x14ac:dyDescent="0.25">
      <c r="A10" s="14">
        <f t="shared" si="0"/>
        <v>4</v>
      </c>
      <c r="B10" s="9" t="s">
        <v>21</v>
      </c>
      <c r="C10" s="10" t="s">
        <v>22</v>
      </c>
      <c r="D10" s="9" t="s">
        <v>263</v>
      </c>
      <c r="E10" s="12">
        <v>45942</v>
      </c>
      <c r="F10" s="19" t="s">
        <v>265</v>
      </c>
      <c r="G10" s="15">
        <v>1</v>
      </c>
      <c r="H10" s="2"/>
      <c r="I10" s="21"/>
      <c r="J10" s="22"/>
      <c r="K10" s="23"/>
      <c r="L10" s="20"/>
    </row>
    <row r="11" spans="1:12" ht="15" customHeight="1" x14ac:dyDescent="0.25">
      <c r="A11" s="14">
        <f t="shared" si="0"/>
        <v>5</v>
      </c>
      <c r="B11" s="9" t="s">
        <v>21</v>
      </c>
      <c r="C11" s="10" t="s">
        <v>22</v>
      </c>
      <c r="D11" s="9" t="s">
        <v>264</v>
      </c>
      <c r="E11" s="12">
        <v>45942</v>
      </c>
      <c r="F11" s="19" t="s">
        <v>265</v>
      </c>
      <c r="G11" s="15">
        <v>1</v>
      </c>
      <c r="H11" s="20"/>
      <c r="I11" s="2"/>
      <c r="J11" s="2"/>
      <c r="K11" s="1"/>
    </row>
    <row r="12" spans="1:12" ht="15" customHeight="1" x14ac:dyDescent="0.25">
      <c r="A12" s="14">
        <f t="shared" si="0"/>
        <v>6</v>
      </c>
      <c r="B12" s="9" t="s">
        <v>21</v>
      </c>
      <c r="C12" s="10" t="s">
        <v>22</v>
      </c>
      <c r="D12" s="9" t="s">
        <v>276</v>
      </c>
      <c r="E12" s="12">
        <v>45943</v>
      </c>
      <c r="F12" s="19" t="s">
        <v>277</v>
      </c>
      <c r="G12" s="15">
        <v>1</v>
      </c>
      <c r="H12" s="20" t="s">
        <v>278</v>
      </c>
      <c r="I12" s="2"/>
      <c r="J12" s="2"/>
      <c r="K12" s="1"/>
    </row>
    <row r="13" spans="1:12" ht="15" customHeight="1" x14ac:dyDescent="0.25">
      <c r="A13" s="14">
        <f t="shared" si="0"/>
        <v>7</v>
      </c>
      <c r="B13" s="9" t="s">
        <v>21</v>
      </c>
      <c r="C13" s="10" t="s">
        <v>22</v>
      </c>
      <c r="D13" s="9" t="s">
        <v>269</v>
      </c>
      <c r="E13" s="12">
        <v>45943</v>
      </c>
      <c r="F13" s="19" t="s">
        <v>265</v>
      </c>
      <c r="G13" s="15">
        <v>1</v>
      </c>
      <c r="H13" s="2" t="s">
        <v>270</v>
      </c>
      <c r="I13" s="2"/>
      <c r="J13" s="2"/>
      <c r="K13" s="1"/>
    </row>
    <row r="14" spans="1:12" ht="15" customHeight="1" x14ac:dyDescent="0.25">
      <c r="A14" s="14">
        <f t="shared" si="0"/>
        <v>8</v>
      </c>
      <c r="B14" s="9" t="s">
        <v>271</v>
      </c>
      <c r="C14" s="10" t="s">
        <v>22</v>
      </c>
      <c r="D14" s="9" t="s">
        <v>272</v>
      </c>
      <c r="E14" s="12">
        <v>45953</v>
      </c>
      <c r="F14" s="19" t="s">
        <v>37</v>
      </c>
      <c r="G14" s="15">
        <v>1</v>
      </c>
      <c r="H14" s="20"/>
      <c r="I14" s="2"/>
      <c r="J14" s="2"/>
    </row>
    <row r="15" spans="1:12" ht="15" customHeight="1" x14ac:dyDescent="0.25">
      <c r="A15" s="14">
        <f t="shared" si="0"/>
        <v>9</v>
      </c>
      <c r="B15" s="9" t="s">
        <v>21</v>
      </c>
      <c r="C15" s="10" t="s">
        <v>22</v>
      </c>
      <c r="D15" s="9" t="s">
        <v>273</v>
      </c>
      <c r="E15" s="12">
        <v>45957</v>
      </c>
      <c r="F15" s="19" t="s">
        <v>274</v>
      </c>
      <c r="G15" s="15">
        <v>1</v>
      </c>
      <c r="H15" s="20" t="s">
        <v>275</v>
      </c>
      <c r="I15" s="2"/>
      <c r="J15" s="2"/>
    </row>
    <row r="16" spans="1:12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  <c r="H41" s="1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  <c r="H42" s="1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  <c r="H43" s="1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  <c r="H44" s="1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  <c r="H46" s="1"/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  <c r="H47" s="1"/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sortState xmlns:xlrd2="http://schemas.microsoft.com/office/spreadsheetml/2017/richdata2" ref="B7:H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1"/>
  <sheetViews>
    <sheetView workbookViewId="0">
      <selection activeCell="J18" sqref="J1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2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2</v>
      </c>
    </row>
    <row r="3" spans="1:12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3</v>
      </c>
    </row>
    <row r="4" spans="1:12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2" ht="15.75" x14ac:dyDescent="0.25">
      <c r="A5" s="27" t="s">
        <v>279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5</v>
      </c>
    </row>
    <row r="6" spans="1:12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2" ht="15" customHeight="1" x14ac:dyDescent="0.25">
      <c r="A7" s="14">
        <v>1</v>
      </c>
      <c r="B7" s="9" t="s">
        <v>21</v>
      </c>
      <c r="C7" s="10" t="s">
        <v>22</v>
      </c>
      <c r="D7" s="9" t="s">
        <v>280</v>
      </c>
      <c r="E7" s="12">
        <v>45970</v>
      </c>
      <c r="F7" s="19" t="s">
        <v>282</v>
      </c>
      <c r="G7" s="15">
        <v>1</v>
      </c>
      <c r="H7" s="2" t="s">
        <v>281</v>
      </c>
      <c r="I7" s="2"/>
      <c r="J7" s="2"/>
      <c r="K7" s="1"/>
    </row>
    <row r="8" spans="1:12" ht="15" customHeight="1" x14ac:dyDescent="0.25">
      <c r="A8" s="14">
        <f t="shared" ref="A8:A71" si="0">+A7+1</f>
        <v>2</v>
      </c>
      <c r="B8" s="9" t="s">
        <v>283</v>
      </c>
      <c r="C8" s="10" t="s">
        <v>22</v>
      </c>
      <c r="D8" s="9" t="s">
        <v>284</v>
      </c>
      <c r="E8" s="12">
        <v>45972</v>
      </c>
      <c r="F8" s="19" t="s">
        <v>37</v>
      </c>
      <c r="G8" s="15">
        <v>1</v>
      </c>
      <c r="H8" s="2"/>
      <c r="I8" s="2"/>
      <c r="J8" s="2"/>
      <c r="K8" s="1"/>
    </row>
    <row r="9" spans="1:12" ht="15" customHeight="1" x14ac:dyDescent="0.25">
      <c r="A9" s="14">
        <f t="shared" si="0"/>
        <v>3</v>
      </c>
      <c r="B9" s="9" t="s">
        <v>285</v>
      </c>
      <c r="C9" s="10" t="s">
        <v>22</v>
      </c>
      <c r="D9" s="9" t="s">
        <v>286</v>
      </c>
      <c r="E9" s="12">
        <v>45977</v>
      </c>
      <c r="F9" s="19" t="s">
        <v>37</v>
      </c>
      <c r="G9" s="15">
        <v>1</v>
      </c>
      <c r="H9" s="20"/>
      <c r="I9" s="2"/>
      <c r="J9" s="2"/>
      <c r="K9" s="1"/>
    </row>
    <row r="10" spans="1:12" ht="15" customHeight="1" x14ac:dyDescent="0.25">
      <c r="A10" s="14">
        <f t="shared" si="0"/>
        <v>4</v>
      </c>
      <c r="B10" s="9" t="s">
        <v>21</v>
      </c>
      <c r="C10" s="10" t="s">
        <v>22</v>
      </c>
      <c r="D10" s="9" t="s">
        <v>287</v>
      </c>
      <c r="E10" s="12">
        <v>45978</v>
      </c>
      <c r="F10" s="19" t="s">
        <v>288</v>
      </c>
      <c r="G10" s="15">
        <v>1</v>
      </c>
      <c r="H10" s="2" t="s">
        <v>289</v>
      </c>
      <c r="I10" s="21"/>
      <c r="J10" s="22"/>
      <c r="K10" s="23"/>
      <c r="L10" s="20"/>
    </row>
    <row r="11" spans="1:12" ht="15" customHeight="1" x14ac:dyDescent="0.25">
      <c r="A11" s="14">
        <f t="shared" si="0"/>
        <v>5</v>
      </c>
      <c r="B11" s="9" t="s">
        <v>21</v>
      </c>
      <c r="C11" s="10" t="s">
        <v>22</v>
      </c>
      <c r="D11" s="9" t="s">
        <v>290</v>
      </c>
      <c r="E11" s="12">
        <v>45981</v>
      </c>
      <c r="F11" s="19" t="s">
        <v>291</v>
      </c>
      <c r="G11" s="15">
        <v>1</v>
      </c>
      <c r="H11" s="20" t="s">
        <v>292</v>
      </c>
      <c r="I11" s="2"/>
      <c r="J11" s="2"/>
      <c r="K11" s="1"/>
    </row>
    <row r="12" spans="1:12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0"/>
      <c r="I12" s="2"/>
      <c r="J12" s="2"/>
      <c r="K12" s="1"/>
    </row>
    <row r="13" spans="1:12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2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2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2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  <c r="H41" s="1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  <c r="H42" s="1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  <c r="H43" s="1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  <c r="H44" s="1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  <c r="H46" s="1"/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  <c r="H47" s="1"/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sortState xmlns:xlrd2="http://schemas.microsoft.com/office/spreadsheetml/2017/richdata2"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51D0-F241-4801-811D-8ECB3CB649F8}">
  <dimension ref="A1:L71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2.2851562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2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2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6">
        <f>SUMIF(F7:F360,"Elimination*",G7:G360)</f>
        <v>0</v>
      </c>
    </row>
    <row r="3" spans="1:12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6">
        <f>SUMIF(F7:F36,"NB*",G7:G36)</f>
        <v>2</v>
      </c>
    </row>
    <row r="4" spans="1:12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6">
        <f>SUMIF(F7:F36,"Ve*",G7:G36)</f>
        <v>0</v>
      </c>
    </row>
    <row r="5" spans="1:12" ht="15.75" x14ac:dyDescent="0.25">
      <c r="A5" s="27" t="s">
        <v>298</v>
      </c>
      <c r="B5" s="27"/>
      <c r="C5" s="27"/>
      <c r="D5" s="27"/>
      <c r="E5" s="27"/>
      <c r="F5" s="27"/>
      <c r="G5" s="17"/>
      <c r="H5" s="17"/>
      <c r="I5" s="25" t="s">
        <v>9</v>
      </c>
      <c r="J5" s="26"/>
      <c r="K5" s="18">
        <f>SUM(K2:K4)</f>
        <v>2</v>
      </c>
    </row>
    <row r="6" spans="1:12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 t="s">
        <v>198</v>
      </c>
      <c r="J6" s="3"/>
      <c r="K6" s="1"/>
    </row>
    <row r="7" spans="1:12" ht="15" customHeight="1" x14ac:dyDescent="0.25">
      <c r="A7" s="14">
        <v>1</v>
      </c>
      <c r="B7" s="9" t="s">
        <v>21</v>
      </c>
      <c r="C7" s="10" t="s">
        <v>22</v>
      </c>
      <c r="D7" s="9" t="s">
        <v>293</v>
      </c>
      <c r="E7" s="12">
        <v>46001</v>
      </c>
      <c r="F7" s="19" t="s">
        <v>295</v>
      </c>
      <c r="G7" s="15">
        <v>1</v>
      </c>
      <c r="H7" s="2" t="s">
        <v>294</v>
      </c>
      <c r="I7" s="2"/>
      <c r="J7" s="2"/>
      <c r="K7" s="1"/>
    </row>
    <row r="8" spans="1:12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9" t="s">
        <v>296</v>
      </c>
      <c r="E8" s="12">
        <v>46006</v>
      </c>
      <c r="F8" s="19" t="s">
        <v>288</v>
      </c>
      <c r="G8" s="15">
        <v>1</v>
      </c>
      <c r="H8" s="2" t="s">
        <v>297</v>
      </c>
      <c r="I8" s="2"/>
      <c r="J8" s="2"/>
      <c r="K8" s="1"/>
    </row>
    <row r="9" spans="1:12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0"/>
      <c r="I9" s="2"/>
      <c r="J9" s="2"/>
      <c r="K9" s="1"/>
    </row>
    <row r="10" spans="1:12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1"/>
      <c r="J10" s="22"/>
      <c r="K10" s="23"/>
      <c r="L10" s="20"/>
    </row>
    <row r="11" spans="1:12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0"/>
      <c r="I11" s="2"/>
      <c r="J11" s="2"/>
      <c r="K11" s="1"/>
    </row>
    <row r="12" spans="1:12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0"/>
      <c r="I12" s="2"/>
      <c r="J12" s="2"/>
      <c r="K12" s="1"/>
    </row>
    <row r="13" spans="1:12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"/>
      <c r="I13" s="2"/>
      <c r="J13" s="2"/>
      <c r="K13" s="1"/>
    </row>
    <row r="14" spans="1:12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20"/>
      <c r="I14" s="2"/>
      <c r="J14" s="2"/>
    </row>
    <row r="15" spans="1:12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20"/>
      <c r="I15" s="2"/>
      <c r="J15" s="2"/>
    </row>
    <row r="16" spans="1:12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20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20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  <c r="H41" s="1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  <c r="H42" s="1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  <c r="H43" s="1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  <c r="H44" s="1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  <c r="H46" s="1"/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  <c r="H47" s="1"/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  <vt:lpstr>DECEMBRE 2025</vt:lpstr>
      <vt:lpstr>'AOUT 2025'!Impression_des_titres</vt:lpstr>
      <vt:lpstr>'AVRIL 2025'!Impression_des_titres</vt:lpstr>
      <vt:lpstr>'DECEMBRE 2025'!Impression_des_titres</vt:lpstr>
      <vt:lpstr>'FEVRIER 2025'!Impression_des_titres</vt:lpstr>
      <vt:lpstr>'JANVIER 2024'!Impression_des_titres</vt:lpstr>
      <vt:lpstr>'JUILLET 2025'!Impression_des_titres</vt:lpstr>
      <vt:lpstr>'JUIN 2025'!Impression_des_titres</vt:lpstr>
      <vt:lpstr>'MAI 2025'!Impression_des_titres</vt:lpstr>
      <vt:lpstr>'MARS 2025'!Impression_des_titres</vt:lpstr>
      <vt:lpstr>'NOVEMBRE 2025'!Impression_des_titres</vt:lpstr>
      <vt:lpstr>'OCTOBRE 2025'!Impression_des_titres</vt:lpstr>
      <vt:lpstr>'SEPTEMBRE 2025'!Impression_des_titres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2026-01-07T08:09:42Z</cp:lastPrinted>
  <dcterms:created xsi:type="dcterms:W3CDTF">2014-12-31T15:00:30Z</dcterms:created>
  <dcterms:modified xsi:type="dcterms:W3CDTF">2026-05-26T13:36:39Z</dcterms:modified>
</cp:coreProperties>
</file>