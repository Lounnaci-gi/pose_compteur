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D:\Suivie Pose Compteurs\Gestion Stock 2025\Gestion de Stock Ouled Dheid\"/>
    </mc:Choice>
  </mc:AlternateContent>
  <xr:revisionPtr revIDLastSave="0" documentId="13_ncr:1_{6D48245A-99DD-445D-8F76-66C84D943338}" xr6:coauthVersionLast="47" xr6:coauthVersionMax="47" xr10:uidLastSave="{00000000-0000-0000-0000-000000000000}"/>
  <bookViews>
    <workbookView xWindow="-120" yWindow="-120" windowWidth="29040" windowHeight="15720" firstSheet="6" activeTab="10" xr2:uid="{00000000-000D-0000-FFFF-FFFF00000000}"/>
  </bookViews>
  <sheets>
    <sheet name="Janvier 2025" sheetId="1" r:id="rId1"/>
    <sheet name="Fevrier 2025" sheetId="13" r:id="rId2"/>
    <sheet name="Mars 2025" sheetId="14" r:id="rId3"/>
    <sheet name="Avril 2025" sheetId="15" r:id="rId4"/>
    <sheet name="MAi 2025" sheetId="16" r:id="rId5"/>
    <sheet name="JUIN 2025" sheetId="17" r:id="rId6"/>
    <sheet name="JUILLET 2025" sheetId="18" r:id="rId7"/>
    <sheet name="AOUT 2025" sheetId="19" r:id="rId8"/>
    <sheet name="SEPTEMBRE 2025" sheetId="20" r:id="rId9"/>
    <sheet name="OCTOBRE 2025" sheetId="21" r:id="rId10"/>
    <sheet name="NOVEMBRE 2025" sheetId="22" r:id="rId11"/>
  </sheets>
  <definedNames>
    <definedName name="_xlnm.Print_Titles" localSheetId="7">'AOUT 2025'!$1:$6</definedName>
    <definedName name="_xlnm.Print_Titles" localSheetId="3">'Avril 2025'!$1:$6</definedName>
    <definedName name="_xlnm.Print_Titles" localSheetId="1">'Fevrier 2025'!$1:$6</definedName>
    <definedName name="_xlnm.Print_Titles" localSheetId="0">'Janvier 2025'!$1:$6</definedName>
    <definedName name="_xlnm.Print_Titles" localSheetId="6">'JUILLET 2025'!$1:$6</definedName>
    <definedName name="_xlnm.Print_Titles" localSheetId="5">'JUIN 2025'!$1:$6</definedName>
    <definedName name="_xlnm.Print_Titles" localSheetId="4">'MAi 2025'!$1:$6</definedName>
    <definedName name="_xlnm.Print_Titles" localSheetId="2">'Mars 2025'!$1:$6</definedName>
    <definedName name="_xlnm.Print_Titles" localSheetId="10">'NOVEMBRE 2025'!$1:$6</definedName>
    <definedName name="_xlnm.Print_Titles" localSheetId="9">'OCTOBRE 2025'!$1:$6</definedName>
    <definedName name="_xlnm.Print_Titles" localSheetId="8">'SEPTEMBRE 2025'!$1:$6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22" l="1"/>
  <c r="A9" i="22" s="1"/>
  <c r="A10" i="22" s="1"/>
  <c r="A11" i="22" s="1"/>
  <c r="A12" i="22" s="1"/>
  <c r="A13" i="22" s="1"/>
  <c r="A14" i="22" s="1"/>
  <c r="A15" i="22" s="1"/>
  <c r="A16" i="22" s="1"/>
  <c r="A17" i="22" s="1"/>
  <c r="A18" i="22" s="1"/>
  <c r="A19" i="22" s="1"/>
  <c r="A20" i="22" s="1"/>
  <c r="A21" i="22" s="1"/>
  <c r="A22" i="22" s="1"/>
  <c r="A23" i="22" s="1"/>
  <c r="A24" i="22" s="1"/>
  <c r="A25" i="22" s="1"/>
  <c r="A26" i="22" s="1"/>
  <c r="A27" i="22" s="1"/>
  <c r="A28" i="22" s="1"/>
  <c r="A29" i="22" s="1"/>
  <c r="A30" i="22" s="1"/>
  <c r="A31" i="22" s="1"/>
  <c r="A32" i="22" s="1"/>
  <c r="A33" i="22" s="1"/>
  <c r="A34" i="22" s="1"/>
  <c r="A35" i="22" s="1"/>
  <c r="A36" i="22" s="1"/>
  <c r="A37" i="22" s="1"/>
  <c r="A38" i="22" s="1"/>
  <c r="A39" i="22" s="1"/>
  <c r="A40" i="22" s="1"/>
  <c r="A41" i="22" s="1"/>
  <c r="A42" i="22" s="1"/>
  <c r="A43" i="22" s="1"/>
  <c r="A44" i="22" s="1"/>
  <c r="A45" i="22" s="1"/>
  <c r="A46" i="22" s="1"/>
  <c r="K4" i="22"/>
  <c r="K3" i="22"/>
  <c r="K2" i="22"/>
  <c r="K5" i="22" l="1"/>
  <c r="A8" i="21"/>
  <c r="A9" i="21" s="1"/>
  <c r="A10" i="21" s="1"/>
  <c r="A11" i="21" s="1"/>
  <c r="A12" i="21" s="1"/>
  <c r="A13" i="21" s="1"/>
  <c r="A14" i="21" s="1"/>
  <c r="A15" i="21" s="1"/>
  <c r="A16" i="21" s="1"/>
  <c r="A17" i="21" s="1"/>
  <c r="A18" i="21" s="1"/>
  <c r="A19" i="21" s="1"/>
  <c r="A20" i="21" s="1"/>
  <c r="A21" i="21" s="1"/>
  <c r="A22" i="21" s="1"/>
  <c r="A23" i="21" s="1"/>
  <c r="A24" i="21" s="1"/>
  <c r="A25" i="21" s="1"/>
  <c r="A26" i="21" s="1"/>
  <c r="A27" i="21" s="1"/>
  <c r="A28" i="21" s="1"/>
  <c r="A29" i="21" s="1"/>
  <c r="A30" i="21" s="1"/>
  <c r="A31" i="21" s="1"/>
  <c r="A32" i="21" s="1"/>
  <c r="A33" i="21" s="1"/>
  <c r="A34" i="21" s="1"/>
  <c r="A35" i="21" s="1"/>
  <c r="A36" i="21" s="1"/>
  <c r="A37" i="21" s="1"/>
  <c r="A38" i="21" s="1"/>
  <c r="A39" i="21" s="1"/>
  <c r="A40" i="21" s="1"/>
  <c r="A41" i="21" s="1"/>
  <c r="A42" i="21" s="1"/>
  <c r="A43" i="21" s="1"/>
  <c r="A44" i="21" s="1"/>
  <c r="A45" i="21" s="1"/>
  <c r="A46" i="21" s="1"/>
  <c r="K4" i="21"/>
  <c r="K3" i="21"/>
  <c r="K2" i="21"/>
  <c r="K5" i="21" l="1"/>
  <c r="A8" i="20"/>
  <c r="A9" i="20" s="1"/>
  <c r="A10" i="20" s="1"/>
  <c r="A11" i="20" s="1"/>
  <c r="A12" i="20" s="1"/>
  <c r="A13" i="20" s="1"/>
  <c r="A14" i="20" s="1"/>
  <c r="A15" i="20" s="1"/>
  <c r="A16" i="20" s="1"/>
  <c r="A17" i="20" s="1"/>
  <c r="A18" i="20" s="1"/>
  <c r="A19" i="20" s="1"/>
  <c r="A20" i="20" s="1"/>
  <c r="A21" i="20" s="1"/>
  <c r="A22" i="20" s="1"/>
  <c r="A23" i="20" s="1"/>
  <c r="A24" i="20" s="1"/>
  <c r="A25" i="20" s="1"/>
  <c r="A26" i="20" s="1"/>
  <c r="A27" i="20" s="1"/>
  <c r="A28" i="20" s="1"/>
  <c r="A29" i="20" s="1"/>
  <c r="A30" i="20" s="1"/>
  <c r="A31" i="20" s="1"/>
  <c r="A32" i="20" s="1"/>
  <c r="A33" i="20" s="1"/>
  <c r="A34" i="20" s="1"/>
  <c r="A35" i="20" s="1"/>
  <c r="A36" i="20" s="1"/>
  <c r="A37" i="20" s="1"/>
  <c r="A38" i="20" s="1"/>
  <c r="A39" i="20" s="1"/>
  <c r="A40" i="20" s="1"/>
  <c r="A41" i="20" s="1"/>
  <c r="A42" i="20" s="1"/>
  <c r="A43" i="20" s="1"/>
  <c r="A44" i="20" s="1"/>
  <c r="A45" i="20" s="1"/>
  <c r="A46" i="20" s="1"/>
  <c r="K4" i="20"/>
  <c r="K3" i="20"/>
  <c r="K2" i="20"/>
  <c r="K5" i="20" l="1"/>
  <c r="A8" i="19"/>
  <c r="A9" i="19" s="1"/>
  <c r="A10" i="19" s="1"/>
  <c r="A11" i="19" s="1"/>
  <c r="A12" i="19" s="1"/>
  <c r="A13" i="19" s="1"/>
  <c r="A14" i="19" s="1"/>
  <c r="A15" i="19" s="1"/>
  <c r="A16" i="19" s="1"/>
  <c r="A17" i="19" s="1"/>
  <c r="A18" i="19" s="1"/>
  <c r="A19" i="19" s="1"/>
  <c r="A20" i="19" s="1"/>
  <c r="A21" i="19" s="1"/>
  <c r="A22" i="19" s="1"/>
  <c r="A23" i="19" s="1"/>
  <c r="A24" i="19" s="1"/>
  <c r="A25" i="19" s="1"/>
  <c r="A26" i="19" s="1"/>
  <c r="A27" i="19" s="1"/>
  <c r="A28" i="19" s="1"/>
  <c r="A29" i="19" s="1"/>
  <c r="A30" i="19" s="1"/>
  <c r="A31" i="19" s="1"/>
  <c r="A32" i="19" s="1"/>
  <c r="A33" i="19" s="1"/>
  <c r="A34" i="19" s="1"/>
  <c r="A35" i="19" s="1"/>
  <c r="A36" i="19" s="1"/>
  <c r="A37" i="19" s="1"/>
  <c r="A38" i="19" s="1"/>
  <c r="A39" i="19" s="1"/>
  <c r="A40" i="19" s="1"/>
  <c r="A41" i="19" s="1"/>
  <c r="A42" i="19" s="1"/>
  <c r="A43" i="19" s="1"/>
  <c r="A44" i="19" s="1"/>
  <c r="A45" i="19" s="1"/>
  <c r="A46" i="19" s="1"/>
  <c r="K4" i="19"/>
  <c r="K3" i="19"/>
  <c r="K2" i="19"/>
  <c r="K5" i="19" l="1"/>
  <c r="A8" i="18"/>
  <c r="A9" i="18" s="1"/>
  <c r="A10" i="18" s="1"/>
  <c r="A11" i="18" s="1"/>
  <c r="A12" i="18" s="1"/>
  <c r="A13" i="18" s="1"/>
  <c r="A14" i="18" s="1"/>
  <c r="A15" i="18" s="1"/>
  <c r="A16" i="18" s="1"/>
  <c r="A17" i="18" s="1"/>
  <c r="A18" i="18" s="1"/>
  <c r="A19" i="18" s="1"/>
  <c r="A20" i="18" s="1"/>
  <c r="A21" i="18" s="1"/>
  <c r="A22" i="18" s="1"/>
  <c r="A23" i="18" s="1"/>
  <c r="A24" i="18" s="1"/>
  <c r="A25" i="18" s="1"/>
  <c r="A26" i="18" s="1"/>
  <c r="A27" i="18" s="1"/>
  <c r="A28" i="18" s="1"/>
  <c r="A29" i="18" s="1"/>
  <c r="A30" i="18" s="1"/>
  <c r="A31" i="18" s="1"/>
  <c r="A32" i="18" s="1"/>
  <c r="A33" i="18" s="1"/>
  <c r="A34" i="18" s="1"/>
  <c r="A35" i="18" s="1"/>
  <c r="A36" i="18" s="1"/>
  <c r="A37" i="18" s="1"/>
  <c r="A38" i="18" s="1"/>
  <c r="A39" i="18" s="1"/>
  <c r="A40" i="18" s="1"/>
  <c r="A41" i="18" s="1"/>
  <c r="A42" i="18" s="1"/>
  <c r="A43" i="18" s="1"/>
  <c r="A44" i="18" s="1"/>
  <c r="A45" i="18" s="1"/>
  <c r="A46" i="18" s="1"/>
  <c r="K4" i="18"/>
  <c r="K3" i="18"/>
  <c r="K2" i="18"/>
  <c r="K5" i="18" l="1"/>
  <c r="A8" i="17"/>
  <c r="A9" i="17" s="1"/>
  <c r="A10" i="17" s="1"/>
  <c r="A11" i="17" s="1"/>
  <c r="A12" i="17" s="1"/>
  <c r="A13" i="17" s="1"/>
  <c r="A14" i="17" s="1"/>
  <c r="A15" i="17" s="1"/>
  <c r="A16" i="17" s="1"/>
  <c r="A17" i="17" s="1"/>
  <c r="A18" i="17" s="1"/>
  <c r="A19" i="17" s="1"/>
  <c r="A20" i="17" s="1"/>
  <c r="A21" i="17" s="1"/>
  <c r="A22" i="17" s="1"/>
  <c r="A23" i="17" s="1"/>
  <c r="A24" i="17" s="1"/>
  <c r="A25" i="17" s="1"/>
  <c r="A26" i="17" s="1"/>
  <c r="A27" i="17" s="1"/>
  <c r="A28" i="17" s="1"/>
  <c r="A29" i="17" s="1"/>
  <c r="A30" i="17" s="1"/>
  <c r="A31" i="17" s="1"/>
  <c r="A32" i="17" s="1"/>
  <c r="A33" i="17" s="1"/>
  <c r="A34" i="17" s="1"/>
  <c r="A35" i="17" s="1"/>
  <c r="A36" i="17" s="1"/>
  <c r="A37" i="17" s="1"/>
  <c r="A38" i="17" s="1"/>
  <c r="A39" i="17" s="1"/>
  <c r="A40" i="17" s="1"/>
  <c r="A41" i="17" s="1"/>
  <c r="A42" i="17" s="1"/>
  <c r="A43" i="17" s="1"/>
  <c r="A44" i="17" s="1"/>
  <c r="A45" i="17" s="1"/>
  <c r="A46" i="17" s="1"/>
  <c r="K4" i="17"/>
  <c r="K3" i="17"/>
  <c r="K2" i="17"/>
  <c r="K5" i="17" l="1"/>
  <c r="A8" i="16"/>
  <c r="A9" i="16" s="1"/>
  <c r="A10" i="16" s="1"/>
  <c r="A11" i="16" s="1"/>
  <c r="A12" i="16" s="1"/>
  <c r="A13" i="16" s="1"/>
  <c r="A14" i="16" s="1"/>
  <c r="A15" i="16" s="1"/>
  <c r="A16" i="16" s="1"/>
  <c r="A17" i="16" s="1"/>
  <c r="A18" i="16" s="1"/>
  <c r="A19" i="16" s="1"/>
  <c r="A20" i="16" s="1"/>
  <c r="A21" i="16" s="1"/>
  <c r="A22" i="16" s="1"/>
  <c r="A23" i="16" s="1"/>
  <c r="A24" i="16" s="1"/>
  <c r="A25" i="16" s="1"/>
  <c r="A26" i="16" s="1"/>
  <c r="A27" i="16" s="1"/>
  <c r="A28" i="16" s="1"/>
  <c r="A29" i="16" s="1"/>
  <c r="A30" i="16" s="1"/>
  <c r="A31" i="16" s="1"/>
  <c r="A32" i="16" s="1"/>
  <c r="A33" i="16" s="1"/>
  <c r="A34" i="16" s="1"/>
  <c r="A35" i="16" s="1"/>
  <c r="A36" i="16" s="1"/>
  <c r="A37" i="16" s="1"/>
  <c r="A38" i="16" s="1"/>
  <c r="A39" i="16" s="1"/>
  <c r="A40" i="16" s="1"/>
  <c r="A41" i="16" s="1"/>
  <c r="A42" i="16" s="1"/>
  <c r="A43" i="16" s="1"/>
  <c r="A44" i="16" s="1"/>
  <c r="A45" i="16" s="1"/>
  <c r="A46" i="16" s="1"/>
  <c r="K4" i="16"/>
  <c r="K3" i="16"/>
  <c r="K2" i="16"/>
  <c r="K5" i="16" l="1"/>
  <c r="A8" i="15"/>
  <c r="A9" i="15" s="1"/>
  <c r="A10" i="15" s="1"/>
  <c r="A11" i="15" s="1"/>
  <c r="A12" i="15" s="1"/>
  <c r="A13" i="15" s="1"/>
  <c r="A14" i="15" s="1"/>
  <c r="A15" i="15" s="1"/>
  <c r="A16" i="15" s="1"/>
  <c r="A17" i="15" s="1"/>
  <c r="A18" i="15" s="1"/>
  <c r="A19" i="15" s="1"/>
  <c r="A20" i="15" s="1"/>
  <c r="A21" i="15" s="1"/>
  <c r="A22" i="15" s="1"/>
  <c r="A23" i="15" s="1"/>
  <c r="A24" i="15" s="1"/>
  <c r="A25" i="15" s="1"/>
  <c r="A26" i="15" s="1"/>
  <c r="A27" i="15" s="1"/>
  <c r="A28" i="15" s="1"/>
  <c r="A29" i="15" s="1"/>
  <c r="A30" i="15" s="1"/>
  <c r="A31" i="15" s="1"/>
  <c r="A32" i="15" s="1"/>
  <c r="A33" i="15" s="1"/>
  <c r="A34" i="15" s="1"/>
  <c r="A35" i="15" s="1"/>
  <c r="A36" i="15" s="1"/>
  <c r="A37" i="15" s="1"/>
  <c r="A38" i="15" s="1"/>
  <c r="A39" i="15" s="1"/>
  <c r="A40" i="15" s="1"/>
  <c r="A41" i="15" s="1"/>
  <c r="A42" i="15" s="1"/>
  <c r="A43" i="15" s="1"/>
  <c r="A44" i="15" s="1"/>
  <c r="A45" i="15" s="1"/>
  <c r="A46" i="15" s="1"/>
  <c r="K4" i="15"/>
  <c r="K3" i="15"/>
  <c r="K2" i="15"/>
  <c r="K5" i="15" s="1"/>
  <c r="A8" i="14" l="1"/>
  <c r="A9" i="14" s="1"/>
  <c r="A10" i="14" s="1"/>
  <c r="A11" i="14" s="1"/>
  <c r="A12" i="14" s="1"/>
  <c r="A13" i="14" s="1"/>
  <c r="A14" i="14" s="1"/>
  <c r="A15" i="14" s="1"/>
  <c r="A16" i="14" s="1"/>
  <c r="A17" i="14" s="1"/>
  <c r="A18" i="14" s="1"/>
  <c r="A19" i="14" s="1"/>
  <c r="A20" i="14" s="1"/>
  <c r="A21" i="14" s="1"/>
  <c r="A22" i="14" s="1"/>
  <c r="A23" i="14" s="1"/>
  <c r="A24" i="14" s="1"/>
  <c r="A25" i="14" s="1"/>
  <c r="A26" i="14" s="1"/>
  <c r="A27" i="14" s="1"/>
  <c r="A28" i="14" s="1"/>
  <c r="A29" i="14" s="1"/>
  <c r="A30" i="14" s="1"/>
  <c r="A31" i="14" s="1"/>
  <c r="A32" i="14" s="1"/>
  <c r="A33" i="14" s="1"/>
  <c r="A34" i="14" s="1"/>
  <c r="A35" i="14" s="1"/>
  <c r="A36" i="14" s="1"/>
  <c r="A37" i="14" s="1"/>
  <c r="A38" i="14" s="1"/>
  <c r="A39" i="14" s="1"/>
  <c r="A40" i="14" s="1"/>
  <c r="A41" i="14" s="1"/>
  <c r="A42" i="14" s="1"/>
  <c r="A43" i="14" s="1"/>
  <c r="A44" i="14" s="1"/>
  <c r="A45" i="14" s="1"/>
  <c r="A46" i="14" s="1"/>
  <c r="K4" i="14"/>
  <c r="K3" i="14"/>
  <c r="K2" i="14"/>
  <c r="K5" i="14" l="1"/>
  <c r="A8" i="13"/>
  <c r="A9" i="13" s="1"/>
  <c r="A10" i="13" s="1"/>
  <c r="A11" i="13" s="1"/>
  <c r="A12" i="13" s="1"/>
  <c r="A13" i="13" s="1"/>
  <c r="A14" i="13" s="1"/>
  <c r="A15" i="13" s="1"/>
  <c r="A16" i="13" s="1"/>
  <c r="A17" i="13" s="1"/>
  <c r="A18" i="13" s="1"/>
  <c r="A19" i="13" s="1"/>
  <c r="A20" i="13" s="1"/>
  <c r="A21" i="13" s="1"/>
  <c r="A22" i="13" s="1"/>
  <c r="A23" i="13" s="1"/>
  <c r="A24" i="13" s="1"/>
  <c r="A25" i="13" s="1"/>
  <c r="A26" i="13" s="1"/>
  <c r="A27" i="13" s="1"/>
  <c r="A28" i="13" s="1"/>
  <c r="A29" i="13" s="1"/>
  <c r="A30" i="13" s="1"/>
  <c r="A31" i="13" s="1"/>
  <c r="A32" i="13" s="1"/>
  <c r="A33" i="13" s="1"/>
  <c r="A34" i="13" s="1"/>
  <c r="A35" i="13" s="1"/>
  <c r="A36" i="13" s="1"/>
  <c r="A37" i="13" s="1"/>
  <c r="A38" i="13" s="1"/>
  <c r="A39" i="13" s="1"/>
  <c r="A40" i="13" s="1"/>
  <c r="A41" i="13" s="1"/>
  <c r="A42" i="13" s="1"/>
  <c r="A43" i="13" s="1"/>
  <c r="A44" i="13" s="1"/>
  <c r="A45" i="13" s="1"/>
  <c r="A46" i="13" s="1"/>
  <c r="K4" i="13"/>
  <c r="K3" i="13"/>
  <c r="K2" i="13"/>
  <c r="K5" i="13" l="1"/>
  <c r="A8" i="1"/>
  <c r="A9" i="1" s="1"/>
  <c r="A10" i="1" s="1"/>
  <c r="A11" i="1" s="1"/>
  <c r="A12" i="1" l="1"/>
  <c r="A13" i="1" s="1"/>
  <c r="A14" i="1" s="1"/>
  <c r="A15" i="1" s="1"/>
  <c r="A16" i="1" s="1"/>
  <c r="A17" i="1" s="1"/>
  <c r="A18" i="1" s="1"/>
  <c r="A19" i="1" s="1"/>
  <c r="A20" i="1" s="1"/>
  <c r="A21" i="1" s="1"/>
  <c r="K4" i="1"/>
  <c r="K3" i="1"/>
  <c r="A22" i="1" l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K2" i="1"/>
  <c r="K5" i="1" s="1"/>
</calcChain>
</file>

<file path=xl/sharedStrings.xml><?xml version="1.0" encoding="utf-8"?>
<sst xmlns="http://schemas.openxmlformats.org/spreadsheetml/2006/main" count="580" uniqueCount="235">
  <si>
    <t>Algérienne des Eaux</t>
  </si>
  <si>
    <t>Centre de : Berrouaghia</t>
  </si>
  <si>
    <t>Zone d'Alger</t>
  </si>
  <si>
    <r>
      <t>Agence de</t>
    </r>
    <r>
      <rPr>
        <sz val="10"/>
        <rFont val="Arial"/>
        <family val="2"/>
      </rPr>
      <t xml:space="preserve"> : </t>
    </r>
    <r>
      <rPr>
        <b/>
        <sz val="10"/>
        <rFont val="Arial"/>
        <family val="2"/>
      </rPr>
      <t xml:space="preserve">Berrouaghia </t>
    </r>
  </si>
  <si>
    <t>Nbr Elémination de mois</t>
  </si>
  <si>
    <t>Unité de Médéa</t>
  </si>
  <si>
    <t>Nouveau Branchement</t>
  </si>
  <si>
    <t xml:space="preserve">Suivi Pose Compteurs  </t>
  </si>
  <si>
    <t>Vente Compteur</t>
  </si>
  <si>
    <t>Total Compteurs</t>
  </si>
  <si>
    <t>N° d'ordre</t>
  </si>
  <si>
    <t>N° de Concession</t>
  </si>
  <si>
    <t>Diamètre de compteur</t>
  </si>
  <si>
    <t xml:space="preserve">N° de Série de compteur </t>
  </si>
  <si>
    <t>Date d'installation</t>
  </si>
  <si>
    <t>Observation</t>
  </si>
  <si>
    <t>Antenne Ouled Dheid</t>
  </si>
  <si>
    <r>
      <t>Mois de Janvier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</si>
  <si>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r>
      <t>Mois de Février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</si>
  <si>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r>
      <t>Mois de Mars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</si>
  <si>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r>
      <t>Mois de Avril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</si>
  <si>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t>BR0458</t>
  </si>
  <si>
    <t>20/27</t>
  </si>
  <si>
    <t>2024004690</t>
  </si>
  <si>
    <t>Elimination Forfait</t>
  </si>
  <si>
    <t>BR0532</t>
  </si>
  <si>
    <t>15/21</t>
  </si>
  <si>
    <t>2025060385</t>
  </si>
  <si>
    <t>BR0706</t>
  </si>
  <si>
    <t>2025060703</t>
  </si>
  <si>
    <t>BR0631</t>
  </si>
  <si>
    <t>2025060801</t>
  </si>
  <si>
    <t>BR0173</t>
  </si>
  <si>
    <t>2025060802</t>
  </si>
  <si>
    <t>BR0180</t>
  </si>
  <si>
    <t>2025060803</t>
  </si>
  <si>
    <t>BR0079</t>
  </si>
  <si>
    <t>2025060804</t>
  </si>
  <si>
    <t>BR0166</t>
  </si>
  <si>
    <t>2025060805</t>
  </si>
  <si>
    <t>BR0369</t>
  </si>
  <si>
    <t>2025060806</t>
  </si>
  <si>
    <t>BR0366</t>
  </si>
  <si>
    <t>2025060807</t>
  </si>
  <si>
    <t>BR0208</t>
  </si>
  <si>
    <t>2025060808</t>
  </si>
  <si>
    <t>BR0690</t>
  </si>
  <si>
    <t>2025060809</t>
  </si>
  <si>
    <t>BR0345</t>
  </si>
  <si>
    <t>2025060810</t>
  </si>
  <si>
    <t>BR0624</t>
  </si>
  <si>
    <t>2025061398</t>
  </si>
  <si>
    <t>BR</t>
  </si>
  <si>
    <t>2025061400</t>
  </si>
  <si>
    <t>Abdouche menad</t>
  </si>
  <si>
    <r>
      <t>Mois de MAI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</si>
  <si>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t>2025060702</t>
  </si>
  <si>
    <t>Bakhouche wahid</t>
  </si>
  <si>
    <t>NB(619/2024)</t>
  </si>
  <si>
    <t>NB(593/2023)</t>
  </si>
  <si>
    <t>NB(423/2024)</t>
  </si>
  <si>
    <t>2025060710</t>
  </si>
  <si>
    <t>Berraf med</t>
  </si>
  <si>
    <t>BR0858</t>
  </si>
  <si>
    <t>2025060233</t>
  </si>
  <si>
    <t>BR0859</t>
  </si>
  <si>
    <t>2025060238</t>
  </si>
  <si>
    <t>BR0860</t>
  </si>
  <si>
    <t>2025060235</t>
  </si>
  <si>
    <t>BR0861</t>
  </si>
  <si>
    <t>2025060370</t>
  </si>
  <si>
    <t>BR0863</t>
  </si>
  <si>
    <t>2025060234</t>
  </si>
  <si>
    <t>BR0865</t>
  </si>
  <si>
    <t>2025060231</t>
  </si>
  <si>
    <t>BR0866</t>
  </si>
  <si>
    <t>2025060239</t>
  </si>
  <si>
    <t>BR0871</t>
  </si>
  <si>
    <t>2025060232</t>
  </si>
  <si>
    <t>BR1100</t>
  </si>
  <si>
    <t>2025060236</t>
  </si>
  <si>
    <t>2025060240</t>
  </si>
  <si>
    <t>BR1102</t>
  </si>
  <si>
    <t>BR0852</t>
  </si>
  <si>
    <t>2025060717</t>
  </si>
  <si>
    <t>BR0857</t>
  </si>
  <si>
    <t>2025060713</t>
  </si>
  <si>
    <t>BR0867</t>
  </si>
  <si>
    <t>2025060712</t>
  </si>
  <si>
    <t>BR0868</t>
  </si>
  <si>
    <t>2025060719</t>
  </si>
  <si>
    <t>BR0872</t>
  </si>
  <si>
    <t>2025060716</t>
  </si>
  <si>
    <t>BR0905</t>
  </si>
  <si>
    <t>2025060711</t>
  </si>
  <si>
    <t>BR0906</t>
  </si>
  <si>
    <t>2025060720</t>
  </si>
  <si>
    <t>BR1101</t>
  </si>
  <si>
    <t>2025060718</t>
  </si>
  <si>
    <t>BR0907</t>
  </si>
  <si>
    <t>2025060714</t>
  </si>
  <si>
    <t>BR0862</t>
  </si>
  <si>
    <t>2025060715</t>
  </si>
  <si>
    <t>BR0358</t>
  </si>
  <si>
    <t>2025060367</t>
  </si>
  <si>
    <t>2025060371</t>
  </si>
  <si>
    <t>2025060372</t>
  </si>
  <si>
    <t>2025060373</t>
  </si>
  <si>
    <t>2025060374</t>
  </si>
  <si>
    <t>2025060375</t>
  </si>
  <si>
    <t>2025060376</t>
  </si>
  <si>
    <t>2025060377</t>
  </si>
  <si>
    <t>2025060378</t>
  </si>
  <si>
    <t>2025060379</t>
  </si>
  <si>
    <t>2025060380</t>
  </si>
  <si>
    <t>BR0901</t>
  </si>
  <si>
    <t>BR0902</t>
  </si>
  <si>
    <t>BR0908</t>
  </si>
  <si>
    <t>BR0896</t>
  </si>
  <si>
    <t>BR0895</t>
  </si>
  <si>
    <t>BR0870</t>
  </si>
  <si>
    <t>BR1103</t>
  </si>
  <si>
    <t>BR0864</t>
  </si>
  <si>
    <t>BR0899</t>
  </si>
  <si>
    <t>2025059882</t>
  </si>
  <si>
    <t>NB(479/2024)</t>
  </si>
  <si>
    <t>Benkaci mahfoudh</t>
  </si>
  <si>
    <t>NB(388/2024)</t>
  </si>
  <si>
    <t>Benthaya faycal</t>
  </si>
  <si>
    <t>2025061353</t>
  </si>
  <si>
    <t>Ferrani nadji</t>
  </si>
  <si>
    <t>NB(325/2024)</t>
  </si>
  <si>
    <t>2025061352</t>
  </si>
  <si>
    <t>2025061354</t>
  </si>
  <si>
    <t>2025061360</t>
  </si>
  <si>
    <t>Riah aissa</t>
  </si>
  <si>
    <t>Bahmed lakhdar</t>
  </si>
  <si>
    <t>Chaoui rachid</t>
  </si>
  <si>
    <r>
      <t>Mois de JUIN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</si>
  <si>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r>
      <t>Mois de JUILLET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</si>
  <si>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t>03/07/2025</t>
  </si>
  <si>
    <t>2025061486</t>
  </si>
  <si>
    <t>Melouane fouad</t>
  </si>
  <si>
    <t>NB(143/2025)</t>
  </si>
  <si>
    <t>NB(495/2024)</t>
  </si>
  <si>
    <t>NB(120/2025)</t>
  </si>
  <si>
    <t>NB(384/2024)</t>
  </si>
  <si>
    <t>2025061099</t>
  </si>
  <si>
    <t>BR1007</t>
  </si>
  <si>
    <t>BR1041</t>
  </si>
  <si>
    <t>2025059522</t>
  </si>
  <si>
    <t>NB(647/2023)</t>
  </si>
  <si>
    <t>Abba med b/ali</t>
  </si>
  <si>
    <t>2025060987</t>
  </si>
  <si>
    <t>NB(437/2024)</t>
  </si>
  <si>
    <t>Boura med</t>
  </si>
  <si>
    <t>2025060986</t>
  </si>
  <si>
    <t>NB(144/2025)</t>
  </si>
  <si>
    <t>Benzid aek</t>
  </si>
  <si>
    <t>2025060990</t>
  </si>
  <si>
    <t>Bensaidane khaled</t>
  </si>
  <si>
    <t>NB(133/2025)</t>
  </si>
  <si>
    <t>2025060989</t>
  </si>
  <si>
    <t>Bahmed miloud</t>
  </si>
  <si>
    <t>NB(581/2024)</t>
  </si>
  <si>
    <t>2025060988</t>
  </si>
  <si>
    <t>NB(137/2025)</t>
  </si>
  <si>
    <t>Laidoudi toufik</t>
  </si>
  <si>
    <t>2025060500</t>
  </si>
  <si>
    <t>04/08/2025</t>
  </si>
  <si>
    <t>NB(195/2025)</t>
  </si>
  <si>
    <t>Benmeziane boubaker</t>
  </si>
  <si>
    <t>2025060491</t>
  </si>
  <si>
    <t>Bensaidane med</t>
  </si>
  <si>
    <t>NB(114/2025)</t>
  </si>
  <si>
    <t>2025119063</t>
  </si>
  <si>
    <t>2025119064</t>
  </si>
  <si>
    <t>NB(024/2025)</t>
  </si>
  <si>
    <t>Riah Rabeh</t>
  </si>
  <si>
    <t>BR0853</t>
  </si>
  <si>
    <t>2025060631</t>
  </si>
  <si>
    <t>NB(229/2025)</t>
  </si>
  <si>
    <t>Benaissa bachir</t>
  </si>
  <si>
    <t>14855487</t>
  </si>
  <si>
    <t>NB(684/2024)</t>
  </si>
  <si>
    <t>Lycee ouled dhied</t>
  </si>
  <si>
    <r>
      <t>Mois de AOUT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</si>
  <si>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r>
      <t>Mois de SEPTEMBRE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</si>
  <si>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t>2025118015</t>
  </si>
  <si>
    <t>03/09/2025</t>
  </si>
  <si>
    <t>NB(002/2025)</t>
  </si>
  <si>
    <t>Amana kamel</t>
  </si>
  <si>
    <t>BR0317</t>
  </si>
  <si>
    <t>2025060651</t>
  </si>
  <si>
    <t>2025060652</t>
  </si>
  <si>
    <t>2025060653</t>
  </si>
  <si>
    <t>2025060654</t>
  </si>
  <si>
    <t>2025060655</t>
  </si>
  <si>
    <t>04/09/2025</t>
  </si>
  <si>
    <t>BR0630</t>
  </si>
  <si>
    <t>BR0328</t>
  </si>
  <si>
    <t>BR0253</t>
  </si>
  <si>
    <t>BR0315</t>
  </si>
  <si>
    <t>2025060657</t>
  </si>
  <si>
    <t>2025060658</t>
  </si>
  <si>
    <t>2025060659</t>
  </si>
  <si>
    <t>BR0557</t>
  </si>
  <si>
    <t>BR0941</t>
  </si>
  <si>
    <t>BR0667</t>
  </si>
  <si>
    <t>BR0516</t>
  </si>
  <si>
    <t>2025060471</t>
  </si>
  <si>
    <t>BR0125</t>
  </si>
  <si>
    <t>2025060478</t>
  </si>
  <si>
    <t>BR0488</t>
  </si>
  <si>
    <t>2025060480</t>
  </si>
  <si>
    <r>
      <t>Mois de OCTOBRE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</si>
  <si>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t>2025119225</t>
  </si>
  <si>
    <t>08/10/2025</t>
  </si>
  <si>
    <t>NB(048/2025)</t>
  </si>
  <si>
    <t>Attari hamza</t>
  </si>
  <si>
    <t>2025119224</t>
  </si>
  <si>
    <t>NB(258/2025)</t>
  </si>
  <si>
    <t>Bensaad med</t>
  </si>
  <si>
    <r>
      <t>Mois de NOVEMBRE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</si>
  <si>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t>2025118748</t>
  </si>
  <si>
    <t>09/11/2025</t>
  </si>
  <si>
    <t>Bourghaia aek</t>
  </si>
  <si>
    <t>2025118302</t>
  </si>
  <si>
    <t>06/11/2025</t>
  </si>
  <si>
    <t>Labidi rabah</t>
  </si>
  <si>
    <t>NB(179/2025)</t>
  </si>
  <si>
    <t>NB(079/2025)</t>
  </si>
  <si>
    <t>2025177771</t>
  </si>
  <si>
    <t>30/11/2025</t>
  </si>
  <si>
    <t>BR0851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</si>
</sst>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&quot;€&quot;_-;\-* #,##0.00\ &quot;€&quot;_-;_-* &quot;-&quot;??\ &quot;€&quot;_-;_-@_-"/>
  </numFmts>
  <fonts count="13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b/>
      <sz val="14"/>
      <name val="Arial"/>
      <family val="2"/>
    </font>
    <font>
      <b/>
      <sz val="12"/>
      <name val="Arial"/>
      <family val="2"/>
    </font>
    <font>
      <sz val="11"/>
      <name val="Times New Roman"/>
      <family val="1"/>
    </font>
    <font>
      <sz val="9"/>
      <name val="Times New Roman"/>
      <family val="1"/>
    </font>
    <font>
      <sz val="10"/>
      <name val="Arial"/>
      <family val="2"/>
    </font>
    <font>
      <sz val="11"/>
      <name val="Arial"/>
      <family val="2"/>
    </font>
    <font>
      <b/>
      <sz val="10"/>
      <color rgb="FFFF0000"/>
      <name val="Arial"/>
      <family val="2"/>
    </font>
    <font>
      <b/>
      <i/>
      <sz val="11"/>
      <name val="Arial"/>
      <family val="2"/>
    </font>
    <font>
      <b/>
      <sz val="1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5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0" fontId="8" fillId="0" borderId="0"/>
    <xf numFmtId="0" fontId="1" fillId="0" borderId="0"/>
  </cellStyleXfs>
  <cellXfs count="28">
    <xf numFmtId="0" fontId="0" fillId="0" borderId="0" xfId="0"/>
    <xf numFmtId="0" fontId="1" fillId="0" borderId="0" xfId="1"/>
    <xf numFmtId="0" fontId="1" fillId="0" borderId="0" xfId="1" applyAlignment="1">
      <alignment vertical="center" wrapText="1"/>
    </xf>
    <xf numFmtId="0" fontId="1" fillId="0" borderId="0" xfId="1" applyAlignment="1">
      <alignment horizontal="center" vertical="center" wrapText="1"/>
    </xf>
    <xf numFmtId="0" fontId="1" fillId="0" borderId="0" xfId="1" applyAlignment="1">
      <alignment vertical="center"/>
    </xf>
    <xf numFmtId="0" fontId="2" fillId="0" borderId="0" xfId="1" applyFont="1" applyAlignment="1">
      <alignment vertical="center"/>
    </xf>
    <xf numFmtId="0" fontId="5" fillId="0" borderId="0" xfId="1" applyFont="1" applyAlignment="1">
      <alignment vertical="center"/>
    </xf>
    <xf numFmtId="0" fontId="4" fillId="0" borderId="0" xfId="1" applyFont="1" applyAlignment="1">
      <alignment vertical="center"/>
    </xf>
    <xf numFmtId="0" fontId="1" fillId="0" borderId="1" xfId="1" applyBorder="1" applyAlignment="1">
      <alignment horizontal="center" vertical="center" wrapText="1"/>
    </xf>
    <xf numFmtId="49" fontId="6" fillId="0" borderId="1" xfId="1" applyNumberFormat="1" applyFont="1" applyBorder="1" applyAlignment="1">
      <alignment horizontal="center" vertical="center" wrapText="1"/>
    </xf>
    <xf numFmtId="0" fontId="6" fillId="0" borderId="1" xfId="1" applyFont="1" applyBorder="1" applyAlignment="1">
      <alignment horizontal="center" vertical="center" wrapText="1"/>
    </xf>
    <xf numFmtId="49" fontId="8" fillId="0" borderId="0" xfId="1" applyNumberFormat="1" applyFont="1" applyAlignment="1">
      <alignment vertical="center" wrapText="1"/>
    </xf>
    <xf numFmtId="14" fontId="6" fillId="0" borderId="1" xfId="1" applyNumberFormat="1" applyFont="1" applyBorder="1" applyAlignment="1">
      <alignment horizontal="center" vertical="center" wrapText="1"/>
    </xf>
    <xf numFmtId="0" fontId="3" fillId="3" borderId="1" xfId="1" applyFont="1" applyFill="1" applyBorder="1" applyAlignment="1">
      <alignment horizontal="center" vertical="center" wrapText="1"/>
    </xf>
    <xf numFmtId="0" fontId="9" fillId="0" borderId="1" xfId="1" applyFont="1" applyBorder="1" applyAlignment="1">
      <alignment horizontal="center" vertical="center" wrapText="1"/>
    </xf>
    <xf numFmtId="0" fontId="9" fillId="0" borderId="0" xfId="1" applyFont="1" applyAlignment="1">
      <alignment horizontal="center" vertical="center" wrapText="1"/>
    </xf>
    <xf numFmtId="0" fontId="9" fillId="0" borderId="1" xfId="1" applyFont="1" applyBorder="1" applyAlignment="1">
      <alignment horizontal="right" vertical="center" wrapText="1"/>
    </xf>
    <xf numFmtId="0" fontId="2" fillId="2" borderId="1" xfId="1" applyFont="1" applyFill="1" applyBorder="1" applyAlignment="1">
      <alignment horizontal="center"/>
    </xf>
    <xf numFmtId="0" fontId="8" fillId="0" borderId="0" xfId="3" applyAlignment="1">
      <alignment vertical="center"/>
    </xf>
    <xf numFmtId="0" fontId="10" fillId="2" borderId="1" xfId="3" applyFont="1" applyFill="1" applyBorder="1" applyAlignment="1">
      <alignment horizontal="center" vertical="center"/>
    </xf>
    <xf numFmtId="49" fontId="7" fillId="0" borderId="1" xfId="1" applyNumberFormat="1" applyFont="1" applyBorder="1" applyAlignment="1">
      <alignment horizontal="center" vertical="top" wrapText="1"/>
    </xf>
    <xf numFmtId="49" fontId="1" fillId="0" borderId="0" xfId="1" applyNumberFormat="1" applyAlignment="1">
      <alignment vertical="center" wrapText="1"/>
    </xf>
    <xf numFmtId="0" fontId="4" fillId="0" borderId="0" xfId="1" applyFont="1" applyAlignment="1">
      <alignment horizontal="center" vertical="center"/>
    </xf>
    <xf numFmtId="0" fontId="1" fillId="0" borderId="0" xfId="1" applyAlignment="1">
      <alignment horizontal="left" vertical="center"/>
    </xf>
    <xf numFmtId="0" fontId="1" fillId="0" borderId="2" xfId="1" applyBorder="1" applyAlignment="1">
      <alignment horizontal="left" vertical="center"/>
    </xf>
    <xf numFmtId="0" fontId="5" fillId="0" borderId="3" xfId="3" applyFont="1" applyBorder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2" fillId="0" borderId="0" xfId="1" applyFont="1" applyAlignment="1">
      <alignment horizontal="center" vertical="center"/>
    </xf>
  </cellXfs>
  <cellStyles count="5">
    <cellStyle name="Euro" xfId="2" xr:uid="{00000000-0005-0000-0000-000000000000}"/>
    <cellStyle name="Normal" xfId="0" builtinId="0"/>
    <cellStyle name="Normal 2" xfId="3" xr:uid="{00000000-0005-0000-0000-000002000000}"/>
    <cellStyle name="Normal 2 2" xfId="4" xr:uid="{00000000-0005-0000-0000-000003000000}"/>
    <cellStyle name="Normal 3" xfId="1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19052</xdr:colOff>
      <xdr:row>5</xdr:row>
      <xdr:rowOff>228600</xdr:rowOff>
    </xdr:from>
    <xdr:to>
      <xdr:col>6</xdr:col>
      <xdr:colOff>0</xdr:colOff>
      <xdr:row>46</xdr:row>
      <xdr:rowOff>0</xdr:rowOff>
    </xdr:to>
    <xdr:cxnSp macro="">
      <xdr:nvCxnSpPr>
        <xdr:cNvPr id="3" name="Connecteur droi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CxnSpPr/>
      </xdr:nvCxnSpPr>
      <xdr:spPr>
        <a:xfrm flipH="1">
          <a:off x="609602" y="1276350"/>
          <a:ext cx="4543423" cy="76581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19052</xdr:colOff>
      <xdr:row>5</xdr:row>
      <xdr:rowOff>228600</xdr:rowOff>
    </xdr:from>
    <xdr:to>
      <xdr:col>6</xdr:col>
      <xdr:colOff>0</xdr:colOff>
      <xdr:row>46</xdr:row>
      <xdr:rowOff>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CxnSpPr/>
      </xdr:nvCxnSpPr>
      <xdr:spPr>
        <a:xfrm flipH="1">
          <a:off x="609602" y="1276350"/>
          <a:ext cx="4543423" cy="76581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19052</xdr:colOff>
      <xdr:row>5</xdr:row>
      <xdr:rowOff>228600</xdr:rowOff>
    </xdr:from>
    <xdr:to>
      <xdr:col>6</xdr:col>
      <xdr:colOff>0</xdr:colOff>
      <xdr:row>46</xdr:row>
      <xdr:rowOff>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CxnSpPr/>
      </xdr:nvCxnSpPr>
      <xdr:spPr>
        <a:xfrm flipH="1">
          <a:off x="609602" y="1276350"/>
          <a:ext cx="4543423" cy="76581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19052</xdr:colOff>
      <xdr:row>5</xdr:row>
      <xdr:rowOff>228600</xdr:rowOff>
    </xdr:from>
    <xdr:to>
      <xdr:col>6</xdr:col>
      <xdr:colOff>0</xdr:colOff>
      <xdr:row>46</xdr:row>
      <xdr:rowOff>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CxnSpPr/>
      </xdr:nvCxnSpPr>
      <xdr:spPr>
        <a:xfrm flipH="1">
          <a:off x="609602" y="1276350"/>
          <a:ext cx="4543423" cy="76581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43</xdr:row>
      <xdr:rowOff>171450</xdr:rowOff>
    </xdr:from>
    <xdr:to>
      <xdr:col>5</xdr:col>
      <xdr:colOff>1304925</xdr:colOff>
      <xdr:row>46</xdr:row>
      <xdr:rowOff>19050</xdr:rowOff>
    </xdr:to>
    <xdr:cxnSp macro="">
      <xdr:nvCxnSpPr>
        <xdr:cNvPr id="3" name="Connecteur droit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CxnSpPr/>
      </xdr:nvCxnSpPr>
      <xdr:spPr>
        <a:xfrm flipH="1">
          <a:off x="590550" y="8534400"/>
          <a:ext cx="4552950" cy="4191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21</xdr:row>
      <xdr:rowOff>28575</xdr:rowOff>
    </xdr:from>
    <xdr:to>
      <xdr:col>7</xdr:col>
      <xdr:colOff>9525</xdr:colOff>
      <xdr:row>46</xdr:row>
      <xdr:rowOff>19050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CxnSpPr/>
      </xdr:nvCxnSpPr>
      <xdr:spPr>
        <a:xfrm flipH="1">
          <a:off x="590550" y="4200525"/>
          <a:ext cx="4572000" cy="47529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</xdr:colOff>
      <xdr:row>14</xdr:row>
      <xdr:rowOff>19050</xdr:rowOff>
    </xdr:from>
    <xdr:to>
      <xdr:col>7</xdr:col>
      <xdr:colOff>19050</xdr:colOff>
      <xdr:row>46</xdr:row>
      <xdr:rowOff>19050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CxnSpPr/>
      </xdr:nvCxnSpPr>
      <xdr:spPr>
        <a:xfrm flipH="1">
          <a:off x="590551" y="2857500"/>
          <a:ext cx="4581524" cy="60960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</xdr:colOff>
      <xdr:row>12</xdr:row>
      <xdr:rowOff>57150</xdr:rowOff>
    </xdr:from>
    <xdr:to>
      <xdr:col>5</xdr:col>
      <xdr:colOff>1304925</xdr:colOff>
      <xdr:row>46</xdr:row>
      <xdr:rowOff>19050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CxnSpPr/>
      </xdr:nvCxnSpPr>
      <xdr:spPr>
        <a:xfrm flipH="1">
          <a:off x="590551" y="2514600"/>
          <a:ext cx="4552949" cy="64389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</xdr:colOff>
      <xdr:row>18</xdr:row>
      <xdr:rowOff>38100</xdr:rowOff>
    </xdr:from>
    <xdr:to>
      <xdr:col>7</xdr:col>
      <xdr:colOff>9525</xdr:colOff>
      <xdr:row>46</xdr:row>
      <xdr:rowOff>19050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CxnSpPr/>
      </xdr:nvCxnSpPr>
      <xdr:spPr>
        <a:xfrm flipH="1">
          <a:off x="590554" y="3638550"/>
          <a:ext cx="4571996" cy="53149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</xdr:colOff>
      <xdr:row>8</xdr:row>
      <xdr:rowOff>57150</xdr:rowOff>
    </xdr:from>
    <xdr:to>
      <xdr:col>5</xdr:col>
      <xdr:colOff>1285875</xdr:colOff>
      <xdr:row>46</xdr:row>
      <xdr:rowOff>19050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CxnSpPr/>
      </xdr:nvCxnSpPr>
      <xdr:spPr>
        <a:xfrm flipH="1">
          <a:off x="590554" y="1752600"/>
          <a:ext cx="4533896" cy="72009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</xdr:colOff>
      <xdr:row>8</xdr:row>
      <xdr:rowOff>171450</xdr:rowOff>
    </xdr:from>
    <xdr:to>
      <xdr:col>5</xdr:col>
      <xdr:colOff>1276350</xdr:colOff>
      <xdr:row>46</xdr:row>
      <xdr:rowOff>19050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CxnSpPr/>
      </xdr:nvCxnSpPr>
      <xdr:spPr>
        <a:xfrm flipH="1">
          <a:off x="590554" y="1866900"/>
          <a:ext cx="4524371" cy="70866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6"/>
  <sheetViews>
    <sheetView workbookViewId="0">
      <selection activeCell="F46" sqref="A1:F46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3.7109375" hidden="1" customWidth="1"/>
    <col min="8" max="8" width="29.85546875" customWidth="1"/>
  </cols>
  <sheetData>
    <row r="1" spans="1:11" ht="18" x14ac:dyDescent="0.25">
      <c r="A1" s="22" t="s">
        <v>0</v>
      </c>
      <c r="B1" s="22"/>
      <c r="C1" s="22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6" t="s">
        <v>2</v>
      </c>
      <c r="B2" s="26"/>
      <c r="C2" s="26"/>
      <c r="D2" s="6"/>
      <c r="E2" s="27" t="s">
        <v>3</v>
      </c>
      <c r="F2" s="27"/>
      <c r="G2" s="4"/>
      <c r="H2" s="4"/>
      <c r="I2" s="23" t="s">
        <v>4</v>
      </c>
      <c r="J2" s="24"/>
      <c r="K2" s="17">
        <f>SUMIF(F7:F35,"Elimination*",G7:G35)</f>
        <v>0</v>
      </c>
    </row>
    <row r="3" spans="1:11" x14ac:dyDescent="0.25">
      <c r="A3" s="27" t="s">
        <v>5</v>
      </c>
      <c r="B3" s="27"/>
      <c r="C3" s="27"/>
      <c r="D3" s="5"/>
      <c r="E3" s="27" t="s">
        <v>16</v>
      </c>
      <c r="F3" s="27"/>
      <c r="G3" s="4"/>
      <c r="H3" s="4"/>
      <c r="I3" s="23" t="s">
        <v>6</v>
      </c>
      <c r="J3" s="24"/>
      <c r="K3" s="17">
        <f>SUMIF(F7:F35,"NB*",G7:G35)</f>
        <v>0</v>
      </c>
    </row>
    <row r="4" spans="1:11" ht="18" x14ac:dyDescent="0.25">
      <c r="A4" s="22" t="s">
        <v>7</v>
      </c>
      <c r="B4" s="22"/>
      <c r="C4" s="22"/>
      <c r="D4" s="22"/>
      <c r="E4" s="22"/>
      <c r="F4" s="22"/>
      <c r="G4" s="4"/>
      <c r="H4" s="4"/>
      <c r="I4" s="23" t="s">
        <v>8</v>
      </c>
      <c r="J4" s="24"/>
      <c r="K4" s="17">
        <f>SUMIF(F7:F35,"Ve*",G7:G35)</f>
        <v>0</v>
      </c>
    </row>
    <row r="5" spans="1:11" ht="15.75" x14ac:dyDescent="0.25">
      <c r="A5" s="25" t="s">
        <v>17</v>
      </c>
      <c r="B5" s="25"/>
      <c r="C5" s="25"/>
      <c r="D5" s="25"/>
      <c r="E5" s="25"/>
      <c r="F5" s="25"/>
      <c r="G5" s="18"/>
      <c r="H5" s="18"/>
      <c r="I5" s="23" t="s">
        <v>9</v>
      </c>
      <c r="J5" s="24"/>
      <c r="K5" s="19">
        <f>SUM(K2:K4)</f>
        <v>0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/>
      <c r="I6" s="3"/>
      <c r="J6" s="3"/>
      <c r="K6" s="1"/>
    </row>
    <row r="7" spans="1:11" ht="15" customHeight="1" x14ac:dyDescent="0.25">
      <c r="A7" s="14">
        <v>1</v>
      </c>
      <c r="B7" s="10"/>
      <c r="C7" s="10"/>
      <c r="D7" s="9"/>
      <c r="E7" s="12"/>
      <c r="F7" s="20"/>
      <c r="G7" s="16">
        <v>1</v>
      </c>
      <c r="H7" s="2"/>
      <c r="I7" s="15"/>
      <c r="J7" s="15"/>
      <c r="K7" s="1"/>
    </row>
    <row r="8" spans="1:11" ht="15" customHeight="1" x14ac:dyDescent="0.25">
      <c r="A8" s="14">
        <f>+A7+1</f>
        <v>2</v>
      </c>
      <c r="B8" s="10"/>
      <c r="C8" s="10"/>
      <c r="D8" s="9"/>
      <c r="E8" s="12"/>
      <c r="F8" s="20"/>
      <c r="G8" s="16">
        <v>1</v>
      </c>
      <c r="H8" s="2"/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1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1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>
        <v>1</v>
      </c>
      <c r="H13" s="2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"/>
      <c r="I14" s="2"/>
      <c r="J14" s="2"/>
      <c r="K14" s="1"/>
    </row>
    <row r="15" spans="1:11" ht="15" customHeight="1" x14ac:dyDescent="0.25">
      <c r="A15" s="14">
        <f t="shared" si="0"/>
        <v>9</v>
      </c>
      <c r="B15" s="10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0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0"/>
      <c r="C22" s="10"/>
      <c r="D22" s="9"/>
      <c r="E22" s="12"/>
      <c r="F22" s="20"/>
      <c r="G22" s="16">
        <v>1</v>
      </c>
      <c r="H22" s="21"/>
      <c r="I22" s="2"/>
      <c r="J22" s="2"/>
    </row>
    <row r="23" spans="1:10" ht="15" customHeight="1" x14ac:dyDescent="0.25">
      <c r="A23" s="14">
        <f t="shared" si="0"/>
        <v>17</v>
      </c>
      <c r="B23" s="12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10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2"/>
      <c r="C26" s="10"/>
      <c r="D26" s="9"/>
      <c r="E26" s="12"/>
      <c r="F26" s="20"/>
      <c r="G26" s="16">
        <v>1</v>
      </c>
      <c r="H26" s="2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"/>
      <c r="I27" s="1"/>
      <c r="J27" s="1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"/>
      <c r="I28" s="1"/>
      <c r="J28" s="1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/>
      <c r="H30" s="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/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/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/>
      <c r="H33" s="1"/>
      <c r="I33" s="1"/>
      <c r="J33" s="1"/>
    </row>
    <row r="34" spans="1:10" ht="15" customHeight="1" x14ac:dyDescent="0.25">
      <c r="A34" s="14">
        <f t="shared" si="0"/>
        <v>28</v>
      </c>
      <c r="B34" s="12"/>
      <c r="C34" s="10"/>
      <c r="D34" s="9"/>
      <c r="E34" s="12"/>
      <c r="F34" s="20"/>
      <c r="G34" s="16"/>
      <c r="H34" s="1"/>
      <c r="I34" s="1"/>
      <c r="J34" s="1"/>
    </row>
    <row r="35" spans="1:10" ht="15" customHeight="1" x14ac:dyDescent="0.25">
      <c r="A35" s="14">
        <f t="shared" si="0"/>
        <v>29</v>
      </c>
      <c r="B35" s="12"/>
      <c r="C35" s="10"/>
      <c r="D35" s="9"/>
      <c r="E35" s="12"/>
      <c r="F35" s="20"/>
      <c r="G35" s="16"/>
      <c r="H35" s="1"/>
      <c r="I35" s="1"/>
      <c r="J35" s="1"/>
    </row>
    <row r="36" spans="1:10" x14ac:dyDescent="0.25">
      <c r="A36" s="14">
        <f t="shared" si="0"/>
        <v>30</v>
      </c>
      <c r="B36" s="12"/>
      <c r="C36" s="10"/>
      <c r="D36" s="9"/>
      <c r="E36" s="12"/>
      <c r="F36" s="20"/>
    </row>
    <row r="37" spans="1:10" x14ac:dyDescent="0.25">
      <c r="A37" s="14">
        <f t="shared" si="0"/>
        <v>31</v>
      </c>
      <c r="B37" s="12"/>
      <c r="C37" s="10"/>
      <c r="D37" s="9"/>
      <c r="E37" s="12"/>
      <c r="F37" s="20"/>
    </row>
    <row r="38" spans="1:10" x14ac:dyDescent="0.25">
      <c r="A38" s="14">
        <f t="shared" si="0"/>
        <v>32</v>
      </c>
      <c r="B38" s="12"/>
      <c r="C38" s="10"/>
      <c r="D38" s="9"/>
      <c r="E38" s="12"/>
      <c r="F38" s="20"/>
    </row>
    <row r="39" spans="1:10" x14ac:dyDescent="0.25">
      <c r="A39" s="14">
        <f t="shared" si="0"/>
        <v>33</v>
      </c>
      <c r="B39" s="12"/>
      <c r="C39" s="10"/>
      <c r="D39" s="9"/>
      <c r="E39" s="12"/>
      <c r="F39" s="20"/>
    </row>
    <row r="40" spans="1:10" x14ac:dyDescent="0.25">
      <c r="A40" s="14">
        <f t="shared" si="0"/>
        <v>34</v>
      </c>
      <c r="B40" s="12"/>
      <c r="C40" s="10"/>
      <c r="D40" s="9"/>
      <c r="E40" s="12"/>
      <c r="F40" s="20"/>
    </row>
    <row r="41" spans="1:10" x14ac:dyDescent="0.25">
      <c r="A41" s="14">
        <f t="shared" si="0"/>
        <v>35</v>
      </c>
      <c r="B41" s="12"/>
      <c r="C41" s="10"/>
      <c r="D41" s="9"/>
      <c r="E41" s="12"/>
      <c r="F41" s="20"/>
    </row>
    <row r="42" spans="1:10" x14ac:dyDescent="0.25">
      <c r="A42" s="14">
        <f t="shared" si="0"/>
        <v>36</v>
      </c>
      <c r="B42" s="12"/>
      <c r="C42" s="10"/>
      <c r="D42" s="9"/>
      <c r="E42" s="12"/>
      <c r="F42" s="20"/>
    </row>
    <row r="43" spans="1:10" x14ac:dyDescent="0.25">
      <c r="A43" s="14">
        <f t="shared" si="0"/>
        <v>37</v>
      </c>
      <c r="B43" s="12"/>
      <c r="C43" s="10"/>
      <c r="D43" s="9"/>
      <c r="E43" s="12"/>
      <c r="F43" s="20"/>
    </row>
    <row r="44" spans="1:10" x14ac:dyDescent="0.25">
      <c r="A44" s="14">
        <f t="shared" si="0"/>
        <v>38</v>
      </c>
      <c r="B44" s="12"/>
      <c r="C44" s="10"/>
      <c r="D44" s="9"/>
      <c r="E44" s="12"/>
      <c r="F44" s="20"/>
    </row>
    <row r="45" spans="1:10" x14ac:dyDescent="0.25">
      <c r="A45" s="14">
        <f t="shared" si="0"/>
        <v>39</v>
      </c>
      <c r="B45" s="12"/>
      <c r="C45" s="10"/>
      <c r="D45" s="9"/>
      <c r="E45" s="12"/>
      <c r="F45" s="20"/>
    </row>
    <row r="46" spans="1:10" x14ac:dyDescent="0.25">
      <c r="A46" s="14">
        <f t="shared" si="0"/>
        <v>40</v>
      </c>
      <c r="B46" s="12"/>
      <c r="C46" s="10"/>
      <c r="D46" s="9"/>
      <c r="E46" s="12"/>
      <c r="F46" s="20"/>
    </row>
  </sheetData>
  <sortState xmlns:xlrd2="http://schemas.microsoft.com/office/spreadsheetml/2017/richdata2" ref="B7:H15">
    <sortCondition ref="E7:E15"/>
    <sortCondition ref="D7:D15"/>
  </sortState>
  <mergeCells count="11">
    <mergeCell ref="A4:F4"/>
    <mergeCell ref="I4:J4"/>
    <mergeCell ref="A5:F5"/>
    <mergeCell ref="I5:J5"/>
    <mergeCell ref="A1:C1"/>
    <mergeCell ref="A2:C2"/>
    <mergeCell ref="I2:J2"/>
    <mergeCell ref="A3:C3"/>
    <mergeCell ref="I3:J3"/>
    <mergeCell ref="E2:F2"/>
    <mergeCell ref="E3:F3"/>
  </mergeCells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46"/>
  <sheetViews>
    <sheetView workbookViewId="0">
      <selection activeCell="F46" sqref="A1:F46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3.7109375" hidden="1" customWidth="1"/>
    <col min="8" max="8" width="29.85546875" customWidth="1"/>
  </cols>
  <sheetData>
    <row r="1" spans="1:11" ht="18" x14ac:dyDescent="0.25">
      <c r="A1" s="22" t="s">
        <v>0</v>
      </c>
      <c r="B1" s="22"/>
      <c r="C1" s="22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6" t="s">
        <v>2</v>
      </c>
      <c r="B2" s="26"/>
      <c r="C2" s="26"/>
      <c r="D2" s="6"/>
      <c r="E2" s="27" t="s">
        <v>3</v>
      </c>
      <c r="F2" s="27"/>
      <c r="G2" s="4"/>
      <c r="H2" s="4"/>
      <c r="I2" s="23" t="s">
        <v>4</v>
      </c>
      <c r="J2" s="24"/>
      <c r="K2" s="17">
        <f>SUMIF(F7:F35,"Elimination*",G7:G35)</f>
        <v>0</v>
      </c>
    </row>
    <row r="3" spans="1:11" x14ac:dyDescent="0.25">
      <c r="A3" s="27" t="s">
        <v>5</v>
      </c>
      <c r="B3" s="27"/>
      <c r="C3" s="27"/>
      <c r="D3" s="5"/>
      <c r="E3" s="27" t="s">
        <v>16</v>
      </c>
      <c r="F3" s="27"/>
      <c r="G3" s="4"/>
      <c r="H3" s="4"/>
      <c r="I3" s="23" t="s">
        <v>6</v>
      </c>
      <c r="J3" s="24"/>
      <c r="K3" s="17">
        <f>SUMIF(F7:F35,"NB*",G7:G35)</f>
        <v>0</v>
      </c>
    </row>
    <row r="4" spans="1:11" ht="18" x14ac:dyDescent="0.25">
      <c r="A4" s="22" t="s">
        <v>7</v>
      </c>
      <c r="B4" s="22"/>
      <c r="C4" s="22"/>
      <c r="D4" s="22"/>
      <c r="E4" s="22"/>
      <c r="F4" s="22"/>
      <c r="G4" s="4"/>
      <c r="H4" s="4"/>
      <c r="I4" s="23" t="s">
        <v>8</v>
      </c>
      <c r="J4" s="24"/>
      <c r="K4" s="17">
        <f>SUMIF(F7:F35,"Ve*",G7:G35)</f>
        <v>0</v>
      </c>
    </row>
    <row r="5" spans="1:11" ht="15.75" x14ac:dyDescent="0.25">
      <c r="A5" s="25" t="s">
        <v>18</v>
      </c>
      <c r="B5" s="25"/>
      <c r="C5" s="25"/>
      <c r="D5" s="25"/>
      <c r="E5" s="25"/>
      <c r="F5" s="25"/>
      <c r="G5" s="18"/>
      <c r="H5" s="18"/>
      <c r="I5" s="23" t="s">
        <v>9</v>
      </c>
      <c r="J5" s="24"/>
      <c r="K5" s="19">
        <f>SUM(K2:K4)</f>
        <v>0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/>
      <c r="I6" s="3"/>
      <c r="J6" s="3"/>
      <c r="K6" s="1"/>
    </row>
    <row r="7" spans="1:11" ht="15" customHeight="1" x14ac:dyDescent="0.25">
      <c r="A7" s="14">
        <v>1</v>
      </c>
      <c r="B7" s="10"/>
      <c r="C7" s="10"/>
      <c r="D7" s="9"/>
      <c r="E7" s="12"/>
      <c r="F7" s="20"/>
      <c r="G7" s="16">
        <v>1</v>
      </c>
      <c r="H7" s="2"/>
      <c r="I7" s="15"/>
      <c r="J7" s="15"/>
      <c r="K7" s="1"/>
    </row>
    <row r="8" spans="1:11" ht="15" customHeight="1" x14ac:dyDescent="0.25">
      <c r="A8" s="14">
        <f>+A7+1</f>
        <v>2</v>
      </c>
      <c r="B8" s="10"/>
      <c r="C8" s="10"/>
      <c r="D8" s="9"/>
      <c r="E8" s="12"/>
      <c r="F8" s="20"/>
      <c r="G8" s="16">
        <v>1</v>
      </c>
      <c r="H8" s="2"/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1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1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>
        <v>1</v>
      </c>
      <c r="H13" s="2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"/>
      <c r="I14" s="2"/>
      <c r="J14" s="2"/>
      <c r="K14" s="1"/>
    </row>
    <row r="15" spans="1:11" ht="15" customHeight="1" x14ac:dyDescent="0.25">
      <c r="A15" s="14">
        <f t="shared" si="0"/>
        <v>9</v>
      </c>
      <c r="B15" s="10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0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0"/>
      <c r="C22" s="10"/>
      <c r="D22" s="9"/>
      <c r="E22" s="12"/>
      <c r="F22" s="20"/>
      <c r="G22" s="16">
        <v>1</v>
      </c>
      <c r="H22" s="21"/>
      <c r="I22" s="2"/>
      <c r="J22" s="2"/>
    </row>
    <row r="23" spans="1:10" ht="15" customHeight="1" x14ac:dyDescent="0.25">
      <c r="A23" s="14">
        <f t="shared" si="0"/>
        <v>17</v>
      </c>
      <c r="B23" s="12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10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2"/>
      <c r="C26" s="10"/>
      <c r="D26" s="9"/>
      <c r="E26" s="12"/>
      <c r="F26" s="20"/>
      <c r="G26" s="16">
        <v>1</v>
      </c>
      <c r="H26" s="2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"/>
      <c r="I27" s="1"/>
      <c r="J27" s="1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"/>
      <c r="I28" s="1"/>
      <c r="J28" s="1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/>
      <c r="H30" s="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/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/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/>
      <c r="H33" s="1"/>
      <c r="I33" s="1"/>
      <c r="J33" s="1"/>
    </row>
    <row r="34" spans="1:10" ht="15" customHeight="1" x14ac:dyDescent="0.25">
      <c r="A34" s="14">
        <f t="shared" si="0"/>
        <v>28</v>
      </c>
      <c r="B34" s="12"/>
      <c r="C34" s="10"/>
      <c r="D34" s="9"/>
      <c r="E34" s="12"/>
      <c r="F34" s="20"/>
      <c r="G34" s="16"/>
      <c r="H34" s="1"/>
      <c r="I34" s="1"/>
      <c r="J34" s="1"/>
    </row>
    <row r="35" spans="1:10" ht="15" customHeight="1" x14ac:dyDescent="0.25">
      <c r="A35" s="14">
        <f t="shared" si="0"/>
        <v>29</v>
      </c>
      <c r="B35" s="12"/>
      <c r="C35" s="10"/>
      <c r="D35" s="9"/>
      <c r="E35" s="12"/>
      <c r="F35" s="20"/>
      <c r="G35" s="16"/>
      <c r="H35" s="1"/>
      <c r="I35" s="1"/>
      <c r="J35" s="1"/>
    </row>
    <row r="36" spans="1:10" x14ac:dyDescent="0.25">
      <c r="A36" s="14">
        <f t="shared" si="0"/>
        <v>30</v>
      </c>
      <c r="B36" s="12"/>
      <c r="C36" s="10"/>
      <c r="D36" s="9"/>
      <c r="E36" s="12"/>
      <c r="F36" s="20"/>
    </row>
    <row r="37" spans="1:10" x14ac:dyDescent="0.25">
      <c r="A37" s="14">
        <f t="shared" si="0"/>
        <v>31</v>
      </c>
      <c r="B37" s="12"/>
      <c r="C37" s="10"/>
      <c r="D37" s="9"/>
      <c r="E37" s="12"/>
      <c r="F37" s="20"/>
    </row>
    <row r="38" spans="1:10" x14ac:dyDescent="0.25">
      <c r="A38" s="14">
        <f t="shared" si="0"/>
        <v>32</v>
      </c>
      <c r="B38" s="12"/>
      <c r="C38" s="10"/>
      <c r="D38" s="9"/>
      <c r="E38" s="12"/>
      <c r="F38" s="20"/>
    </row>
    <row r="39" spans="1:10" x14ac:dyDescent="0.25">
      <c r="A39" s="14">
        <f t="shared" si="0"/>
        <v>33</v>
      </c>
      <c r="B39" s="12"/>
      <c r="C39" s="10"/>
      <c r="D39" s="9"/>
      <c r="E39" s="12"/>
      <c r="F39" s="20"/>
    </row>
    <row r="40" spans="1:10" x14ac:dyDescent="0.25">
      <c r="A40" s="14">
        <f t="shared" si="0"/>
        <v>34</v>
      </c>
      <c r="B40" s="12"/>
      <c r="C40" s="10"/>
      <c r="D40" s="9"/>
      <c r="E40" s="12"/>
      <c r="F40" s="20"/>
    </row>
    <row r="41" spans="1:10" x14ac:dyDescent="0.25">
      <c r="A41" s="14">
        <f t="shared" si="0"/>
        <v>35</v>
      </c>
      <c r="B41" s="12"/>
      <c r="C41" s="10"/>
      <c r="D41" s="9"/>
      <c r="E41" s="12"/>
      <c r="F41" s="20"/>
    </row>
    <row r="42" spans="1:10" x14ac:dyDescent="0.25">
      <c r="A42" s="14">
        <f t="shared" si="0"/>
        <v>36</v>
      </c>
      <c r="B42" s="12"/>
      <c r="C42" s="10"/>
      <c r="D42" s="9"/>
      <c r="E42" s="12"/>
      <c r="F42" s="20"/>
    </row>
    <row r="43" spans="1:10" x14ac:dyDescent="0.25">
      <c r="A43" s="14">
        <f t="shared" si="0"/>
        <v>37</v>
      </c>
      <c r="B43" s="12"/>
      <c r="C43" s="10"/>
      <c r="D43" s="9"/>
      <c r="E43" s="12"/>
      <c r="F43" s="20"/>
    </row>
    <row r="44" spans="1:10" x14ac:dyDescent="0.25">
      <c r="A44" s="14">
        <f t="shared" si="0"/>
        <v>38</v>
      </c>
      <c r="B44" s="12"/>
      <c r="C44" s="10"/>
      <c r="D44" s="9"/>
      <c r="E44" s="12"/>
      <c r="F44" s="20"/>
    </row>
    <row r="45" spans="1:10" x14ac:dyDescent="0.25">
      <c r="A45" s="14">
        <f t="shared" si="0"/>
        <v>39</v>
      </c>
      <c r="B45" s="12"/>
      <c r="C45" s="10"/>
      <c r="D45" s="9"/>
      <c r="E45" s="12"/>
      <c r="F45" s="20"/>
    </row>
    <row r="46" spans="1:10" x14ac:dyDescent="0.25">
      <c r="A46" s="14">
        <f t="shared" si="0"/>
        <v>40</v>
      </c>
      <c r="B46" s="12"/>
      <c r="C46" s="10"/>
      <c r="D46" s="9"/>
      <c r="E46" s="12"/>
      <c r="F46" s="20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46"/>
  <sheetViews>
    <sheetView workbookViewId="0">
      <selection activeCell="A6" sqref="A6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3.7109375" hidden="1" customWidth="1"/>
    <col min="8" max="8" width="29.85546875" customWidth="1"/>
  </cols>
  <sheetData>
    <row r="1" spans="1:11" ht="18" x14ac:dyDescent="0.25">
      <c r="A1" s="22" t="s">
        <v>0</v>
      </c>
      <c r="B1" s="22"/>
      <c r="C1" s="22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6" t="s">
        <v>2</v>
      </c>
      <c r="B2" s="26"/>
      <c r="C2" s="26"/>
      <c r="D2" s="6"/>
      <c r="E2" s="27" t="s">
        <v>3</v>
      </c>
      <c r="F2" s="27"/>
      <c r="G2" s="4"/>
      <c r="H2" s="4"/>
      <c r="I2" s="23" t="s">
        <v>4</v>
      </c>
      <c r="J2" s="24"/>
      <c r="K2" s="17">
        <f>SUMIF(F7:F35,"Elimination*",G7:G35)</f>
        <v>0</v>
      </c>
    </row>
    <row r="3" spans="1:11" x14ac:dyDescent="0.25">
      <c r="A3" s="27" t="s">
        <v>5</v>
      </c>
      <c r="B3" s="27"/>
      <c r="C3" s="27"/>
      <c r="D3" s="5"/>
      <c r="E3" s="27" t="s">
        <v>16</v>
      </c>
      <c r="F3" s="27"/>
      <c r="G3" s="4"/>
      <c r="H3" s="4"/>
      <c r="I3" s="23" t="s">
        <v>6</v>
      </c>
      <c r="J3" s="24"/>
      <c r="K3" s="17">
        <f>SUMIF(F7:F35,"NB*",G7:G35)</f>
        <v>0</v>
      </c>
    </row>
    <row r="4" spans="1:11" ht="18" x14ac:dyDescent="0.25">
      <c r="A4" s="22" t="s">
        <v>7</v>
      </c>
      <c r="B4" s="22"/>
      <c r="C4" s="22"/>
      <c r="D4" s="22"/>
      <c r="E4" s="22"/>
      <c r="F4" s="22"/>
      <c r="G4" s="4"/>
      <c r="H4" s="4"/>
      <c r="I4" s="23" t="s">
        <v>8</v>
      </c>
      <c r="J4" s="24"/>
      <c r="K4" s="17">
        <f>SUMIF(F7:F35,"Ve*",G7:G35)</f>
        <v>0</v>
      </c>
    </row>
    <row r="5" spans="1:11" ht="15.75" x14ac:dyDescent="0.25">
      <c r="A5" s="25" t="s">
        <v>19</v>
      </c>
      <c r="B5" s="25"/>
      <c r="C5" s="25"/>
      <c r="D5" s="25"/>
      <c r="E5" s="25"/>
      <c r="F5" s="25"/>
      <c r="G5" s="18"/>
      <c r="H5" s="18"/>
      <c r="I5" s="23" t="s">
        <v>9</v>
      </c>
      <c r="J5" s="24"/>
      <c r="K5" s="19">
        <f>SUM(K2:K4)</f>
        <v>0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/>
      <c r="I6" s="3"/>
      <c r="J6" s="3"/>
      <c r="K6" s="1"/>
    </row>
    <row r="7" spans="1:11" ht="15" customHeight="1" x14ac:dyDescent="0.25">
      <c r="A7" s="14">
        <v>1</v>
      </c>
      <c r="B7" s="10"/>
      <c r="C7" s="10"/>
      <c r="D7" s="9"/>
      <c r="E7" s="12"/>
      <c r="F7" s="20"/>
      <c r="G7" s="16">
        <v>1</v>
      </c>
      <c r="H7" s="2"/>
      <c r="I7" s="15"/>
      <c r="J7" s="15"/>
      <c r="K7" s="1"/>
    </row>
    <row r="8" spans="1:11" ht="15" customHeight="1" x14ac:dyDescent="0.25">
      <c r="A8" s="14">
        <f>+A7+1</f>
        <v>2</v>
      </c>
      <c r="B8" s="10"/>
      <c r="C8" s="10"/>
      <c r="D8" s="9"/>
      <c r="E8" s="12"/>
      <c r="F8" s="20"/>
      <c r="G8" s="16">
        <v>1</v>
      </c>
      <c r="H8" s="2"/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1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1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>
        <v>1</v>
      </c>
      <c r="H13" s="2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"/>
      <c r="I14" s="2"/>
      <c r="J14" s="2"/>
      <c r="K14" s="1"/>
    </row>
    <row r="15" spans="1:11" ht="15" customHeight="1" x14ac:dyDescent="0.25">
      <c r="A15" s="14">
        <f t="shared" si="0"/>
        <v>9</v>
      </c>
      <c r="B15" s="10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0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0"/>
      <c r="C22" s="10"/>
      <c r="D22" s="9"/>
      <c r="E22" s="12"/>
      <c r="F22" s="20"/>
      <c r="G22" s="16">
        <v>1</v>
      </c>
      <c r="H22" s="21"/>
      <c r="I22" s="2"/>
      <c r="J22" s="2"/>
    </row>
    <row r="23" spans="1:10" ht="15" customHeight="1" x14ac:dyDescent="0.25">
      <c r="A23" s="14">
        <f t="shared" si="0"/>
        <v>17</v>
      </c>
      <c r="B23" s="12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10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2"/>
      <c r="C26" s="10"/>
      <c r="D26" s="9"/>
      <c r="E26" s="12"/>
      <c r="F26" s="20"/>
      <c r="G26" s="16">
        <v>1</v>
      </c>
      <c r="H26" s="2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"/>
      <c r="I27" s="1"/>
      <c r="J27" s="1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"/>
      <c r="I28" s="1"/>
      <c r="J28" s="1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/>
      <c r="H30" s="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/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/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/>
      <c r="H33" s="1"/>
      <c r="I33" s="1"/>
      <c r="J33" s="1"/>
    </row>
    <row r="34" spans="1:10" ht="15" customHeight="1" x14ac:dyDescent="0.25">
      <c r="A34" s="14">
        <f t="shared" si="0"/>
        <v>28</v>
      </c>
      <c r="B34" s="12"/>
      <c r="C34" s="10"/>
      <c r="D34" s="9"/>
      <c r="E34" s="12"/>
      <c r="F34" s="20"/>
      <c r="G34" s="16"/>
      <c r="H34" s="1"/>
      <c r="I34" s="1"/>
      <c r="J34" s="1"/>
    </row>
    <row r="35" spans="1:10" ht="15" customHeight="1" x14ac:dyDescent="0.25">
      <c r="A35" s="14">
        <f t="shared" si="0"/>
        <v>29</v>
      </c>
      <c r="B35" s="12"/>
      <c r="C35" s="10"/>
      <c r="D35" s="9"/>
      <c r="E35" s="12"/>
      <c r="F35" s="20"/>
      <c r="G35" s="16"/>
      <c r="H35" s="1"/>
      <c r="I35" s="1"/>
      <c r="J35" s="1"/>
    </row>
    <row r="36" spans="1:10" x14ac:dyDescent="0.25">
      <c r="A36" s="14">
        <f t="shared" si="0"/>
        <v>30</v>
      </c>
      <c r="B36" s="12"/>
      <c r="C36" s="10"/>
      <c r="D36" s="9"/>
      <c r="E36" s="12"/>
      <c r="F36" s="20"/>
    </row>
    <row r="37" spans="1:10" x14ac:dyDescent="0.25">
      <c r="A37" s="14">
        <f t="shared" si="0"/>
        <v>31</v>
      </c>
      <c r="B37" s="12"/>
      <c r="C37" s="10"/>
      <c r="D37" s="9"/>
      <c r="E37" s="12"/>
      <c r="F37" s="20"/>
    </row>
    <row r="38" spans="1:10" x14ac:dyDescent="0.25">
      <c r="A38" s="14">
        <f t="shared" si="0"/>
        <v>32</v>
      </c>
      <c r="B38" s="12"/>
      <c r="C38" s="10"/>
      <c r="D38" s="9"/>
      <c r="E38" s="12"/>
      <c r="F38" s="20"/>
    </row>
    <row r="39" spans="1:10" x14ac:dyDescent="0.25">
      <c r="A39" s="14">
        <f t="shared" si="0"/>
        <v>33</v>
      </c>
      <c r="B39" s="12"/>
      <c r="C39" s="10"/>
      <c r="D39" s="9"/>
      <c r="E39" s="12"/>
      <c r="F39" s="20"/>
    </row>
    <row r="40" spans="1:10" x14ac:dyDescent="0.25">
      <c r="A40" s="14">
        <f t="shared" si="0"/>
        <v>34</v>
      </c>
      <c r="B40" s="12"/>
      <c r="C40" s="10"/>
      <c r="D40" s="9"/>
      <c r="E40" s="12"/>
      <c r="F40" s="20"/>
    </row>
    <row r="41" spans="1:10" x14ac:dyDescent="0.25">
      <c r="A41" s="14">
        <f t="shared" si="0"/>
        <v>35</v>
      </c>
      <c r="B41" s="12"/>
      <c r="C41" s="10"/>
      <c r="D41" s="9"/>
      <c r="E41" s="12"/>
      <c r="F41" s="20"/>
    </row>
    <row r="42" spans="1:10" x14ac:dyDescent="0.25">
      <c r="A42" s="14">
        <f t="shared" si="0"/>
        <v>36</v>
      </c>
      <c r="B42" s="12"/>
      <c r="C42" s="10"/>
      <c r="D42" s="9"/>
      <c r="E42" s="12"/>
      <c r="F42" s="20"/>
    </row>
    <row r="43" spans="1:10" x14ac:dyDescent="0.25">
      <c r="A43" s="14">
        <f t="shared" si="0"/>
        <v>37</v>
      </c>
      <c r="B43" s="12"/>
      <c r="C43" s="10"/>
      <c r="D43" s="9"/>
      <c r="E43" s="12"/>
      <c r="F43" s="20"/>
    </row>
    <row r="44" spans="1:10" x14ac:dyDescent="0.25">
      <c r="A44" s="14">
        <f t="shared" si="0"/>
        <v>38</v>
      </c>
      <c r="B44" s="12"/>
      <c r="C44" s="10"/>
      <c r="D44" s="9"/>
      <c r="E44" s="12"/>
      <c r="F44" s="20"/>
    </row>
    <row r="45" spans="1:10" x14ac:dyDescent="0.25">
      <c r="A45" s="14">
        <f t="shared" si="0"/>
        <v>39</v>
      </c>
      <c r="B45" s="12"/>
      <c r="C45" s="10"/>
      <c r="D45" s="9"/>
      <c r="E45" s="12"/>
      <c r="F45" s="20"/>
    </row>
    <row r="46" spans="1:10" x14ac:dyDescent="0.25">
      <c r="A46" s="14">
        <f t="shared" si="0"/>
        <v>40</v>
      </c>
      <c r="B46" s="12"/>
      <c r="C46" s="10"/>
      <c r="D46" s="9"/>
      <c r="E46" s="12"/>
      <c r="F46" s="20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46"/>
  <sheetViews>
    <sheetView workbookViewId="0">
      <selection activeCell="F46" sqref="A1:F46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3.7109375" hidden="1" customWidth="1"/>
    <col min="8" max="8" width="29.85546875" customWidth="1"/>
  </cols>
  <sheetData>
    <row r="1" spans="1:11" ht="18" x14ac:dyDescent="0.25">
      <c r="A1" s="22" t="s">
        <v>0</v>
      </c>
      <c r="B1" s="22"/>
      <c r="C1" s="22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6" t="s">
        <v>2</v>
      </c>
      <c r="B2" s="26"/>
      <c r="C2" s="26"/>
      <c r="D2" s="6"/>
      <c r="E2" s="27" t="s">
        <v>3</v>
      </c>
      <c r="F2" s="27"/>
      <c r="G2" s="4"/>
      <c r="H2" s="4"/>
      <c r="I2" s="23" t="s">
        <v>4</v>
      </c>
      <c r="J2" s="24"/>
      <c r="K2" s="17">
        <f>SUMIF(F7:F35,"Elimination*",G7:G35)</f>
        <v>0</v>
      </c>
    </row>
    <row r="3" spans="1:11" x14ac:dyDescent="0.25">
      <c r="A3" s="27" t="s">
        <v>5</v>
      </c>
      <c r="B3" s="27"/>
      <c r="C3" s="27"/>
      <c r="D3" s="5"/>
      <c r="E3" s="27" t="s">
        <v>16</v>
      </c>
      <c r="F3" s="27"/>
      <c r="G3" s="4"/>
      <c r="H3" s="4"/>
      <c r="I3" s="23" t="s">
        <v>6</v>
      </c>
      <c r="J3" s="24"/>
      <c r="K3" s="17">
        <f>SUMIF(F7:F35,"NB*",G7:G35)</f>
        <v>0</v>
      </c>
    </row>
    <row r="4" spans="1:11" ht="18" x14ac:dyDescent="0.25">
      <c r="A4" s="22" t="s">
        <v>7</v>
      </c>
      <c r="B4" s="22"/>
      <c r="C4" s="22"/>
      <c r="D4" s="22"/>
      <c r="E4" s="22"/>
      <c r="F4" s="22"/>
      <c r="G4" s="4"/>
      <c r="H4" s="4"/>
      <c r="I4" s="23" t="s">
        <v>8</v>
      </c>
      <c r="J4" s="24"/>
      <c r="K4" s="17">
        <f>SUMIF(F7:F35,"Ve*",G7:G35)</f>
        <v>0</v>
      </c>
    </row>
    <row r="5" spans="1:11" ht="15.75" x14ac:dyDescent="0.25">
      <c r="A5" s="25" t="s">
        <v>20</v>
      </c>
      <c r="B5" s="25"/>
      <c r="C5" s="25"/>
      <c r="D5" s="25"/>
      <c r="E5" s="25"/>
      <c r="F5" s="25"/>
      <c r="G5" s="18"/>
      <c r="H5" s="18"/>
      <c r="I5" s="23" t="s">
        <v>9</v>
      </c>
      <c r="J5" s="24"/>
      <c r="K5" s="19">
        <f>SUM(K2:K4)</f>
        <v>0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/>
      <c r="I6" s="3"/>
      <c r="J6" s="3"/>
      <c r="K6" s="1"/>
    </row>
    <row r="7" spans="1:11" ht="15" customHeight="1" x14ac:dyDescent="0.25">
      <c r="A7" s="14">
        <v>1</v>
      </c>
      <c r="B7" s="10"/>
      <c r="C7" s="10"/>
      <c r="D7" s="9"/>
      <c r="E7" s="12"/>
      <c r="F7" s="20"/>
      <c r="G7" s="16">
        <v>1</v>
      </c>
      <c r="H7" s="2"/>
      <c r="I7" s="15"/>
      <c r="J7" s="15"/>
      <c r="K7" s="1"/>
    </row>
    <row r="8" spans="1:11" ht="15" customHeight="1" x14ac:dyDescent="0.25">
      <c r="A8" s="14">
        <f>+A7+1</f>
        <v>2</v>
      </c>
      <c r="B8" s="10"/>
      <c r="C8" s="10"/>
      <c r="D8" s="9"/>
      <c r="E8" s="12"/>
      <c r="F8" s="20"/>
      <c r="G8" s="16">
        <v>1</v>
      </c>
      <c r="H8" s="2"/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1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1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>
        <v>1</v>
      </c>
      <c r="H13" s="2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"/>
      <c r="I14" s="2"/>
      <c r="J14" s="2"/>
      <c r="K14" s="1"/>
    </row>
    <row r="15" spans="1:11" ht="15" customHeight="1" x14ac:dyDescent="0.25">
      <c r="A15" s="14">
        <f t="shared" si="0"/>
        <v>9</v>
      </c>
      <c r="B15" s="10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0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0"/>
      <c r="C22" s="10"/>
      <c r="D22" s="9"/>
      <c r="E22" s="12"/>
      <c r="F22" s="20"/>
      <c r="G22" s="16">
        <v>1</v>
      </c>
      <c r="H22" s="21"/>
      <c r="I22" s="2"/>
      <c r="J22" s="2"/>
    </row>
    <row r="23" spans="1:10" ht="15" customHeight="1" x14ac:dyDescent="0.25">
      <c r="A23" s="14">
        <f t="shared" si="0"/>
        <v>17</v>
      </c>
      <c r="B23" s="12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10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2"/>
      <c r="C26" s="10"/>
      <c r="D26" s="9"/>
      <c r="E26" s="12"/>
      <c r="F26" s="20"/>
      <c r="G26" s="16">
        <v>1</v>
      </c>
      <c r="H26" s="2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"/>
      <c r="I27" s="1"/>
      <c r="J27" s="1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"/>
      <c r="I28" s="1"/>
      <c r="J28" s="1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/>
      <c r="H30" s="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/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/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/>
      <c r="H33" s="1"/>
      <c r="I33" s="1"/>
      <c r="J33" s="1"/>
    </row>
    <row r="34" spans="1:10" ht="15" customHeight="1" x14ac:dyDescent="0.25">
      <c r="A34" s="14">
        <f t="shared" si="0"/>
        <v>28</v>
      </c>
      <c r="B34" s="12"/>
      <c r="C34" s="10"/>
      <c r="D34" s="9"/>
      <c r="E34" s="12"/>
      <c r="F34" s="20"/>
      <c r="G34" s="16"/>
      <c r="H34" s="1"/>
      <c r="I34" s="1"/>
      <c r="J34" s="1"/>
    </row>
    <row r="35" spans="1:10" ht="15" customHeight="1" x14ac:dyDescent="0.25">
      <c r="A35" s="14">
        <f t="shared" si="0"/>
        <v>29</v>
      </c>
      <c r="B35" s="12"/>
      <c r="C35" s="10"/>
      <c r="D35" s="9"/>
      <c r="E35" s="12"/>
      <c r="F35" s="20"/>
      <c r="G35" s="16"/>
      <c r="H35" s="1"/>
      <c r="I35" s="1"/>
      <c r="J35" s="1"/>
    </row>
    <row r="36" spans="1:10" x14ac:dyDescent="0.25">
      <c r="A36" s="14">
        <f t="shared" si="0"/>
        <v>30</v>
      </c>
      <c r="B36" s="12"/>
      <c r="C36" s="10"/>
      <c r="D36" s="9"/>
      <c r="E36" s="12"/>
      <c r="F36" s="20"/>
    </row>
    <row r="37" spans="1:10" x14ac:dyDescent="0.25">
      <c r="A37" s="14">
        <f t="shared" si="0"/>
        <v>31</v>
      </c>
      <c r="B37" s="12"/>
      <c r="C37" s="10"/>
      <c r="D37" s="9"/>
      <c r="E37" s="12"/>
      <c r="F37" s="20"/>
    </row>
    <row r="38" spans="1:10" x14ac:dyDescent="0.25">
      <c r="A38" s="14">
        <f t="shared" si="0"/>
        <v>32</v>
      </c>
      <c r="B38" s="12"/>
      <c r="C38" s="10"/>
      <c r="D38" s="9"/>
      <c r="E38" s="12"/>
      <c r="F38" s="20"/>
    </row>
    <row r="39" spans="1:10" x14ac:dyDescent="0.25">
      <c r="A39" s="14">
        <f t="shared" si="0"/>
        <v>33</v>
      </c>
      <c r="B39" s="12"/>
      <c r="C39" s="10"/>
      <c r="D39" s="9"/>
      <c r="E39" s="12"/>
      <c r="F39" s="20"/>
    </row>
    <row r="40" spans="1:10" x14ac:dyDescent="0.25">
      <c r="A40" s="14">
        <f t="shared" si="0"/>
        <v>34</v>
      </c>
      <c r="B40" s="12"/>
      <c r="C40" s="10"/>
      <c r="D40" s="9"/>
      <c r="E40" s="12"/>
      <c r="F40" s="20"/>
    </row>
    <row r="41" spans="1:10" x14ac:dyDescent="0.25">
      <c r="A41" s="14">
        <f t="shared" si="0"/>
        <v>35</v>
      </c>
      <c r="B41" s="12"/>
      <c r="C41" s="10"/>
      <c r="D41" s="9"/>
      <c r="E41" s="12"/>
      <c r="F41" s="20"/>
    </row>
    <row r="42" spans="1:10" x14ac:dyDescent="0.25">
      <c r="A42" s="14">
        <f t="shared" si="0"/>
        <v>36</v>
      </c>
      <c r="B42" s="12"/>
      <c r="C42" s="10"/>
      <c r="D42" s="9"/>
      <c r="E42" s="12"/>
      <c r="F42" s="20"/>
    </row>
    <row r="43" spans="1:10" x14ac:dyDescent="0.25">
      <c r="A43" s="14">
        <f t="shared" si="0"/>
        <v>37</v>
      </c>
      <c r="B43" s="12"/>
      <c r="C43" s="10"/>
      <c r="D43" s="9"/>
      <c r="E43" s="12"/>
      <c r="F43" s="20"/>
    </row>
    <row r="44" spans="1:10" x14ac:dyDescent="0.25">
      <c r="A44" s="14">
        <f t="shared" si="0"/>
        <v>38</v>
      </c>
      <c r="B44" s="12"/>
      <c r="C44" s="10"/>
      <c r="D44" s="9"/>
      <c r="E44" s="12"/>
      <c r="F44" s="20"/>
    </row>
    <row r="45" spans="1:10" x14ac:dyDescent="0.25">
      <c r="A45" s="14">
        <f t="shared" si="0"/>
        <v>39</v>
      </c>
      <c r="B45" s="12"/>
      <c r="C45" s="10"/>
      <c r="D45" s="9"/>
      <c r="E45" s="12"/>
      <c r="F45" s="20"/>
    </row>
    <row r="46" spans="1:10" x14ac:dyDescent="0.25">
      <c r="A46" s="14">
        <f t="shared" si="0"/>
        <v>40</v>
      </c>
      <c r="B46" s="12"/>
      <c r="C46" s="10"/>
      <c r="D46" s="9"/>
      <c r="E46" s="12"/>
      <c r="F46" s="20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46"/>
  <sheetViews>
    <sheetView workbookViewId="0">
      <selection activeCell="F25" sqref="F25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5.28515625" hidden="1" customWidth="1"/>
    <col min="8" max="8" width="29.85546875" customWidth="1"/>
  </cols>
  <sheetData>
    <row r="1" spans="1:11" ht="18" x14ac:dyDescent="0.25">
      <c r="A1" s="22" t="s">
        <v>0</v>
      </c>
      <c r="B1" s="22"/>
      <c r="C1" s="22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6" t="s">
        <v>2</v>
      </c>
      <c r="B2" s="26"/>
      <c r="C2" s="26"/>
      <c r="D2" s="6"/>
      <c r="E2" s="27" t="s">
        <v>3</v>
      </c>
      <c r="F2" s="27"/>
      <c r="G2" s="4"/>
      <c r="H2" s="4"/>
      <c r="I2" s="23" t="s">
        <v>4</v>
      </c>
      <c r="J2" s="24"/>
      <c r="K2" s="17">
        <f>SUMIF(F7:F35,"Elimination*",G7:G35)</f>
        <v>26</v>
      </c>
    </row>
    <row r="3" spans="1:11" x14ac:dyDescent="0.25">
      <c r="A3" s="27" t="s">
        <v>5</v>
      </c>
      <c r="B3" s="27"/>
      <c r="C3" s="27"/>
      <c r="D3" s="5"/>
      <c r="E3" s="27" t="s">
        <v>16</v>
      </c>
      <c r="F3" s="27"/>
      <c r="G3" s="4"/>
      <c r="H3" s="4"/>
      <c r="I3" s="23" t="s">
        <v>6</v>
      </c>
      <c r="J3" s="24"/>
      <c r="K3" s="17">
        <f>SUMIF(F7:F35,"NB*",G7:G35)</f>
        <v>3</v>
      </c>
    </row>
    <row r="4" spans="1:11" ht="18" x14ac:dyDescent="0.25">
      <c r="A4" s="22" t="s">
        <v>7</v>
      </c>
      <c r="B4" s="22"/>
      <c r="C4" s="22"/>
      <c r="D4" s="22"/>
      <c r="E4" s="22"/>
      <c r="F4" s="22"/>
      <c r="G4" s="4"/>
      <c r="H4" s="4"/>
      <c r="I4" s="23" t="s">
        <v>8</v>
      </c>
      <c r="J4" s="24"/>
      <c r="K4" s="17">
        <f>SUMIF(F7:F35,"Ve*",G7:G35)</f>
        <v>0</v>
      </c>
    </row>
    <row r="5" spans="1:11" ht="15.75" x14ac:dyDescent="0.25">
      <c r="A5" s="25" t="s">
        <v>55</v>
      </c>
      <c r="B5" s="25"/>
      <c r="C5" s="25"/>
      <c r="D5" s="25"/>
      <c r="E5" s="25"/>
      <c r="F5" s="25"/>
      <c r="G5" s="18"/>
      <c r="H5" s="18"/>
      <c r="I5" s="23" t="s">
        <v>9</v>
      </c>
      <c r="J5" s="24"/>
      <c r="K5" s="19">
        <f>SUM(K2:K4)</f>
        <v>29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/>
      <c r="I6" s="3"/>
      <c r="J6" s="3"/>
      <c r="K6" s="1"/>
    </row>
    <row r="7" spans="1:11" ht="15" customHeight="1" x14ac:dyDescent="0.25">
      <c r="A7" s="14">
        <v>1</v>
      </c>
      <c r="B7" s="10" t="s">
        <v>21</v>
      </c>
      <c r="C7" s="10" t="s">
        <v>22</v>
      </c>
      <c r="D7" s="9" t="s">
        <v>23</v>
      </c>
      <c r="E7" s="12">
        <v>45803</v>
      </c>
      <c r="F7" s="20" t="s">
        <v>24</v>
      </c>
      <c r="G7" s="16">
        <v>1</v>
      </c>
      <c r="H7" s="2"/>
      <c r="I7" s="15"/>
      <c r="J7" s="15"/>
      <c r="K7" s="1"/>
    </row>
    <row r="8" spans="1:11" ht="15" customHeight="1" x14ac:dyDescent="0.25">
      <c r="A8" s="14">
        <f>+A7+1</f>
        <v>2</v>
      </c>
      <c r="B8" s="10" t="s">
        <v>25</v>
      </c>
      <c r="C8" s="10" t="s">
        <v>26</v>
      </c>
      <c r="D8" s="9" t="s">
        <v>27</v>
      </c>
      <c r="E8" s="12">
        <v>45803</v>
      </c>
      <c r="F8" s="20" t="s">
        <v>24</v>
      </c>
      <c r="G8" s="16">
        <v>1</v>
      </c>
      <c r="H8" s="2"/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2" t="s">
        <v>52</v>
      </c>
      <c r="C9" s="10" t="s">
        <v>26</v>
      </c>
      <c r="D9" s="9" t="s">
        <v>56</v>
      </c>
      <c r="E9" s="12">
        <v>45803</v>
      </c>
      <c r="F9" s="20" t="s">
        <v>58</v>
      </c>
      <c r="G9" s="16">
        <v>1</v>
      </c>
      <c r="H9" s="21" t="s">
        <v>57</v>
      </c>
      <c r="I9" s="2"/>
      <c r="J9" s="2"/>
      <c r="K9" s="1"/>
    </row>
    <row r="10" spans="1:11" ht="15" customHeight="1" x14ac:dyDescent="0.25">
      <c r="A10" s="14">
        <f t="shared" si="0"/>
        <v>4</v>
      </c>
      <c r="B10" s="10" t="s">
        <v>28</v>
      </c>
      <c r="C10" s="10" t="s">
        <v>26</v>
      </c>
      <c r="D10" s="9" t="s">
        <v>29</v>
      </c>
      <c r="E10" s="12">
        <v>45803</v>
      </c>
      <c r="F10" s="20" t="s">
        <v>24</v>
      </c>
      <c r="G10" s="16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12" t="s">
        <v>52</v>
      </c>
      <c r="C11" s="10" t="s">
        <v>26</v>
      </c>
      <c r="D11" s="9" t="s">
        <v>61</v>
      </c>
      <c r="E11" s="12">
        <v>45803</v>
      </c>
      <c r="F11" s="20" t="s">
        <v>60</v>
      </c>
      <c r="G11" s="16">
        <v>1</v>
      </c>
      <c r="H11" s="21" t="s">
        <v>62</v>
      </c>
      <c r="I11" s="2"/>
      <c r="J11" s="2"/>
      <c r="K11" s="1"/>
    </row>
    <row r="12" spans="1:11" ht="15" customHeight="1" x14ac:dyDescent="0.25">
      <c r="A12" s="14">
        <f t="shared" si="0"/>
        <v>6</v>
      </c>
      <c r="B12" s="10" t="s">
        <v>30</v>
      </c>
      <c r="C12" s="10" t="s">
        <v>26</v>
      </c>
      <c r="D12" s="9" t="s">
        <v>31</v>
      </c>
      <c r="E12" s="12">
        <v>45803</v>
      </c>
      <c r="F12" s="20" t="s">
        <v>24</v>
      </c>
      <c r="G12" s="16">
        <v>1</v>
      </c>
      <c r="H12" s="21"/>
      <c r="I12" s="2"/>
      <c r="J12" s="2"/>
      <c r="K12" s="1"/>
    </row>
    <row r="13" spans="1:11" ht="15" customHeight="1" x14ac:dyDescent="0.25">
      <c r="A13" s="14">
        <f t="shared" si="0"/>
        <v>7</v>
      </c>
      <c r="B13" s="10" t="s">
        <v>32</v>
      </c>
      <c r="C13" s="10" t="s">
        <v>26</v>
      </c>
      <c r="D13" s="9" t="s">
        <v>33</v>
      </c>
      <c r="E13" s="12">
        <v>45803</v>
      </c>
      <c r="F13" s="20" t="s">
        <v>24</v>
      </c>
      <c r="G13" s="16">
        <v>1</v>
      </c>
      <c r="H13" s="21"/>
      <c r="I13" s="2"/>
      <c r="J13" s="2"/>
      <c r="K13" s="1"/>
    </row>
    <row r="14" spans="1:11" ht="15" customHeight="1" x14ac:dyDescent="0.25">
      <c r="A14" s="14">
        <f t="shared" si="0"/>
        <v>8</v>
      </c>
      <c r="B14" s="10" t="s">
        <v>34</v>
      </c>
      <c r="C14" s="10" t="s">
        <v>26</v>
      </c>
      <c r="D14" s="9" t="s">
        <v>35</v>
      </c>
      <c r="E14" s="12">
        <v>45803</v>
      </c>
      <c r="F14" s="20" t="s">
        <v>24</v>
      </c>
      <c r="G14" s="16">
        <v>1</v>
      </c>
      <c r="H14" s="2"/>
      <c r="I14" s="2"/>
      <c r="J14" s="2"/>
      <c r="K14" s="1"/>
    </row>
    <row r="15" spans="1:11" ht="15" customHeight="1" x14ac:dyDescent="0.25">
      <c r="A15" s="14">
        <f t="shared" si="0"/>
        <v>9</v>
      </c>
      <c r="B15" s="10" t="s">
        <v>36</v>
      </c>
      <c r="C15" s="10" t="s">
        <v>26</v>
      </c>
      <c r="D15" s="9" t="s">
        <v>37</v>
      </c>
      <c r="E15" s="12">
        <v>45803</v>
      </c>
      <c r="F15" s="20" t="s">
        <v>24</v>
      </c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 t="s">
        <v>38</v>
      </c>
      <c r="C16" s="10" t="s">
        <v>26</v>
      </c>
      <c r="D16" s="9" t="s">
        <v>39</v>
      </c>
      <c r="E16" s="12">
        <v>45803</v>
      </c>
      <c r="F16" s="20" t="s">
        <v>24</v>
      </c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0" t="s">
        <v>40</v>
      </c>
      <c r="C17" s="10" t="s">
        <v>26</v>
      </c>
      <c r="D17" s="9" t="s">
        <v>41</v>
      </c>
      <c r="E17" s="12">
        <v>45803</v>
      </c>
      <c r="F17" s="20" t="s">
        <v>24</v>
      </c>
      <c r="G17" s="16">
        <v>1</v>
      </c>
      <c r="H17" s="2"/>
      <c r="I17" s="2"/>
      <c r="J17" s="2"/>
    </row>
    <row r="18" spans="1:10" ht="15" customHeight="1" x14ac:dyDescent="0.25">
      <c r="A18" s="14">
        <f t="shared" si="0"/>
        <v>12</v>
      </c>
      <c r="B18" s="10" t="s">
        <v>42</v>
      </c>
      <c r="C18" s="10" t="s">
        <v>26</v>
      </c>
      <c r="D18" s="9" t="s">
        <v>43</v>
      </c>
      <c r="E18" s="12">
        <v>45803</v>
      </c>
      <c r="F18" s="20" t="s">
        <v>24</v>
      </c>
      <c r="G18" s="16">
        <v>1</v>
      </c>
      <c r="H18" s="2"/>
      <c r="I18" s="2"/>
      <c r="J18" s="2"/>
    </row>
    <row r="19" spans="1:10" ht="15" customHeight="1" x14ac:dyDescent="0.25">
      <c r="A19" s="14">
        <f t="shared" si="0"/>
        <v>13</v>
      </c>
      <c r="B19" s="10" t="s">
        <v>44</v>
      </c>
      <c r="C19" s="10" t="s">
        <v>26</v>
      </c>
      <c r="D19" s="9" t="s">
        <v>45</v>
      </c>
      <c r="E19" s="12">
        <v>45803</v>
      </c>
      <c r="F19" s="20" t="s">
        <v>24</v>
      </c>
      <c r="G19" s="16">
        <v>1</v>
      </c>
      <c r="H19" s="21"/>
      <c r="I19" s="2"/>
      <c r="J19" s="2"/>
    </row>
    <row r="20" spans="1:10" ht="15" customHeight="1" x14ac:dyDescent="0.25">
      <c r="A20" s="14">
        <f t="shared" si="0"/>
        <v>14</v>
      </c>
      <c r="B20" s="12" t="s">
        <v>46</v>
      </c>
      <c r="C20" s="10" t="s">
        <v>26</v>
      </c>
      <c r="D20" s="9" t="s">
        <v>47</v>
      </c>
      <c r="E20" s="12">
        <v>45803</v>
      </c>
      <c r="F20" s="20" t="s">
        <v>24</v>
      </c>
      <c r="G20" s="16">
        <v>1</v>
      </c>
      <c r="H20" s="21"/>
      <c r="I20" s="2"/>
      <c r="J20" s="2"/>
    </row>
    <row r="21" spans="1:10" ht="15" customHeight="1" x14ac:dyDescent="0.25">
      <c r="A21" s="14">
        <f t="shared" si="0"/>
        <v>15</v>
      </c>
      <c r="B21" s="9" t="s">
        <v>48</v>
      </c>
      <c r="C21" s="10" t="s">
        <v>26</v>
      </c>
      <c r="D21" s="9" t="s">
        <v>49</v>
      </c>
      <c r="E21" s="12">
        <v>45803</v>
      </c>
      <c r="F21" s="20" t="s">
        <v>24</v>
      </c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2" t="s">
        <v>50</v>
      </c>
      <c r="C22" s="10" t="s">
        <v>26</v>
      </c>
      <c r="D22" s="9" t="s">
        <v>51</v>
      </c>
      <c r="E22" s="12">
        <v>45803</v>
      </c>
      <c r="F22" s="20" t="s">
        <v>24</v>
      </c>
      <c r="G22" s="16">
        <v>1</v>
      </c>
      <c r="H22" s="11"/>
      <c r="I22" s="2"/>
      <c r="J22" s="2"/>
    </row>
    <row r="23" spans="1:10" ht="15" customHeight="1" x14ac:dyDescent="0.25">
      <c r="A23" s="14">
        <f t="shared" si="0"/>
        <v>17</v>
      </c>
      <c r="B23" s="12" t="s">
        <v>52</v>
      </c>
      <c r="C23" s="10" t="s">
        <v>26</v>
      </c>
      <c r="D23" s="9" t="s">
        <v>53</v>
      </c>
      <c r="E23" s="12">
        <v>45803</v>
      </c>
      <c r="F23" s="20" t="s">
        <v>59</v>
      </c>
      <c r="G23" s="16">
        <v>1</v>
      </c>
      <c r="H23" s="2" t="s">
        <v>54</v>
      </c>
      <c r="I23" s="2"/>
      <c r="J23" s="2"/>
    </row>
    <row r="24" spans="1:10" ht="15" customHeight="1" x14ac:dyDescent="0.25">
      <c r="A24" s="14">
        <f t="shared" si="0"/>
        <v>18</v>
      </c>
      <c r="B24" s="12" t="s">
        <v>73</v>
      </c>
      <c r="C24" s="10" t="s">
        <v>26</v>
      </c>
      <c r="D24" s="9" t="s">
        <v>74</v>
      </c>
      <c r="E24" s="12">
        <v>45805</v>
      </c>
      <c r="F24" s="20" t="s">
        <v>24</v>
      </c>
      <c r="G24" s="16">
        <v>1</v>
      </c>
      <c r="H24" s="1"/>
      <c r="I24" s="2"/>
      <c r="J24" s="2"/>
    </row>
    <row r="25" spans="1:10" ht="15" customHeight="1" x14ac:dyDescent="0.25">
      <c r="A25" s="14">
        <f t="shared" si="0"/>
        <v>19</v>
      </c>
      <c r="B25" s="12" t="s">
        <v>77</v>
      </c>
      <c r="C25" s="10" t="s">
        <v>26</v>
      </c>
      <c r="D25" s="9" t="s">
        <v>78</v>
      </c>
      <c r="E25" s="12">
        <v>45805</v>
      </c>
      <c r="F25" s="20" t="s">
        <v>24</v>
      </c>
      <c r="G25" s="16">
        <v>1</v>
      </c>
      <c r="H25" s="1"/>
      <c r="I25" s="2"/>
      <c r="J25" s="2"/>
    </row>
    <row r="26" spans="1:10" ht="15" customHeight="1" x14ac:dyDescent="0.25">
      <c r="A26" s="14">
        <f t="shared" si="0"/>
        <v>20</v>
      </c>
      <c r="B26" s="12" t="s">
        <v>63</v>
      </c>
      <c r="C26" s="10" t="s">
        <v>26</v>
      </c>
      <c r="D26" s="9" t="s">
        <v>64</v>
      </c>
      <c r="E26" s="12">
        <v>45805</v>
      </c>
      <c r="F26" s="20" t="s">
        <v>24</v>
      </c>
      <c r="G26" s="16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12" t="s">
        <v>71</v>
      </c>
      <c r="C27" s="10" t="s">
        <v>26</v>
      </c>
      <c r="D27" s="9" t="s">
        <v>72</v>
      </c>
      <c r="E27" s="12">
        <v>45805</v>
      </c>
      <c r="F27" s="20" t="s">
        <v>24</v>
      </c>
      <c r="G27" s="16">
        <v>1</v>
      </c>
      <c r="H27" s="1"/>
      <c r="I27" s="1"/>
      <c r="J27" s="1"/>
    </row>
    <row r="28" spans="1:10" ht="15" customHeight="1" x14ac:dyDescent="0.25">
      <c r="A28" s="14">
        <f t="shared" si="0"/>
        <v>22</v>
      </c>
      <c r="B28" s="12" t="s">
        <v>67</v>
      </c>
      <c r="C28" s="10" t="s">
        <v>26</v>
      </c>
      <c r="D28" s="9" t="s">
        <v>68</v>
      </c>
      <c r="E28" s="12">
        <v>45805</v>
      </c>
      <c r="F28" s="20" t="s">
        <v>24</v>
      </c>
      <c r="G28" s="16">
        <v>1</v>
      </c>
      <c r="H28" s="21"/>
      <c r="I28" s="1"/>
      <c r="J28" s="1"/>
    </row>
    <row r="29" spans="1:10" ht="15" customHeight="1" x14ac:dyDescent="0.25">
      <c r="A29" s="14">
        <f t="shared" si="0"/>
        <v>23</v>
      </c>
      <c r="B29" s="12" t="s">
        <v>79</v>
      </c>
      <c r="C29" s="10" t="s">
        <v>26</v>
      </c>
      <c r="D29" s="9" t="s">
        <v>80</v>
      </c>
      <c r="E29" s="12">
        <v>45805</v>
      </c>
      <c r="F29" s="20" t="s">
        <v>24</v>
      </c>
      <c r="G29" s="16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12" t="s">
        <v>65</v>
      </c>
      <c r="C30" s="10" t="s">
        <v>26</v>
      </c>
      <c r="D30" s="9" t="s">
        <v>66</v>
      </c>
      <c r="E30" s="12">
        <v>45805</v>
      </c>
      <c r="F30" s="20" t="s">
        <v>24</v>
      </c>
      <c r="G30" s="16">
        <v>1</v>
      </c>
      <c r="H30" s="11"/>
      <c r="I30" s="1"/>
      <c r="J30" s="1"/>
    </row>
    <row r="31" spans="1:10" ht="15" customHeight="1" x14ac:dyDescent="0.25">
      <c r="A31" s="14">
        <f t="shared" si="0"/>
        <v>25</v>
      </c>
      <c r="B31" s="12" t="s">
        <v>75</v>
      </c>
      <c r="C31" s="10" t="s">
        <v>26</v>
      </c>
      <c r="D31" s="9" t="s">
        <v>76</v>
      </c>
      <c r="E31" s="12">
        <v>45805</v>
      </c>
      <c r="F31" s="20" t="s">
        <v>24</v>
      </c>
      <c r="G31" s="16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12" t="s">
        <v>82</v>
      </c>
      <c r="C32" s="10" t="s">
        <v>26</v>
      </c>
      <c r="D32" s="9" t="s">
        <v>81</v>
      </c>
      <c r="E32" s="12">
        <v>45805</v>
      </c>
      <c r="F32" s="20" t="s">
        <v>24</v>
      </c>
      <c r="G32" s="16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12" t="s">
        <v>69</v>
      </c>
      <c r="C33" s="10" t="s">
        <v>26</v>
      </c>
      <c r="D33" s="9" t="s">
        <v>70</v>
      </c>
      <c r="E33" s="12">
        <v>45805</v>
      </c>
      <c r="F33" s="20" t="s">
        <v>24</v>
      </c>
      <c r="G33" s="16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12" t="s">
        <v>103</v>
      </c>
      <c r="C34" s="10" t="s">
        <v>26</v>
      </c>
      <c r="D34" s="9" t="s">
        <v>104</v>
      </c>
      <c r="E34" s="12">
        <v>45806</v>
      </c>
      <c r="F34" s="20" t="s">
        <v>24</v>
      </c>
      <c r="G34" s="16">
        <v>1</v>
      </c>
      <c r="I34" s="1"/>
      <c r="J34" s="1"/>
    </row>
    <row r="35" spans="1:10" ht="15" customHeight="1" x14ac:dyDescent="0.25">
      <c r="A35" s="14">
        <f t="shared" si="0"/>
        <v>29</v>
      </c>
      <c r="B35" s="12" t="s">
        <v>93</v>
      </c>
      <c r="C35" s="10" t="s">
        <v>26</v>
      </c>
      <c r="D35" s="9" t="s">
        <v>94</v>
      </c>
      <c r="E35" s="12">
        <v>45806</v>
      </c>
      <c r="F35" s="20" t="s">
        <v>24</v>
      </c>
      <c r="G35" s="16">
        <v>1</v>
      </c>
      <c r="I35" s="1"/>
      <c r="J35" s="1"/>
    </row>
    <row r="36" spans="1:10" x14ac:dyDescent="0.25">
      <c r="A36" s="14">
        <f t="shared" si="0"/>
        <v>30</v>
      </c>
      <c r="B36" s="12" t="s">
        <v>87</v>
      </c>
      <c r="C36" s="10" t="s">
        <v>26</v>
      </c>
      <c r="D36" s="9" t="s">
        <v>88</v>
      </c>
      <c r="E36" s="12">
        <v>45806</v>
      </c>
      <c r="F36" s="20" t="s">
        <v>24</v>
      </c>
      <c r="G36" s="16">
        <v>1</v>
      </c>
    </row>
    <row r="37" spans="1:10" x14ac:dyDescent="0.25">
      <c r="A37" s="14">
        <f t="shared" si="0"/>
        <v>31</v>
      </c>
      <c r="B37" s="12" t="s">
        <v>85</v>
      </c>
      <c r="C37" s="10" t="s">
        <v>26</v>
      </c>
      <c r="D37" s="9" t="s">
        <v>86</v>
      </c>
      <c r="E37" s="12">
        <v>45806</v>
      </c>
      <c r="F37" s="20" t="s">
        <v>24</v>
      </c>
      <c r="G37" s="16">
        <v>1</v>
      </c>
      <c r="H37" s="1"/>
    </row>
    <row r="38" spans="1:10" x14ac:dyDescent="0.25">
      <c r="A38" s="14">
        <f t="shared" si="0"/>
        <v>32</v>
      </c>
      <c r="B38" s="12" t="s">
        <v>99</v>
      </c>
      <c r="C38" s="10" t="s">
        <v>26</v>
      </c>
      <c r="D38" s="9" t="s">
        <v>100</v>
      </c>
      <c r="E38" s="12">
        <v>45806</v>
      </c>
      <c r="F38" s="20" t="s">
        <v>24</v>
      </c>
      <c r="G38" s="16">
        <v>1</v>
      </c>
    </row>
    <row r="39" spans="1:10" x14ac:dyDescent="0.25">
      <c r="A39" s="14">
        <f t="shared" si="0"/>
        <v>33</v>
      </c>
      <c r="B39" s="12" t="s">
        <v>101</v>
      </c>
      <c r="C39" s="10" t="s">
        <v>26</v>
      </c>
      <c r="D39" s="9" t="s">
        <v>102</v>
      </c>
      <c r="E39" s="12">
        <v>45806</v>
      </c>
      <c r="F39" s="20" t="s">
        <v>24</v>
      </c>
      <c r="G39" s="16">
        <v>1</v>
      </c>
    </row>
    <row r="40" spans="1:10" x14ac:dyDescent="0.25">
      <c r="A40" s="14">
        <f t="shared" si="0"/>
        <v>34</v>
      </c>
      <c r="B40" s="12" t="s">
        <v>91</v>
      </c>
      <c r="C40" s="10" t="s">
        <v>26</v>
      </c>
      <c r="D40" s="9" t="s">
        <v>92</v>
      </c>
      <c r="E40" s="12">
        <v>45806</v>
      </c>
      <c r="F40" s="20" t="s">
        <v>24</v>
      </c>
      <c r="G40" s="16">
        <v>1</v>
      </c>
    </row>
    <row r="41" spans="1:10" x14ac:dyDescent="0.25">
      <c r="A41" s="14">
        <f t="shared" si="0"/>
        <v>35</v>
      </c>
      <c r="B41" s="12" t="s">
        <v>83</v>
      </c>
      <c r="C41" s="10" t="s">
        <v>26</v>
      </c>
      <c r="D41" s="9" t="s">
        <v>84</v>
      </c>
      <c r="E41" s="12">
        <v>45806</v>
      </c>
      <c r="F41" s="20" t="s">
        <v>24</v>
      </c>
      <c r="G41" s="16">
        <v>1</v>
      </c>
      <c r="H41" s="1"/>
    </row>
    <row r="42" spans="1:10" x14ac:dyDescent="0.25">
      <c r="A42" s="14">
        <f t="shared" si="0"/>
        <v>36</v>
      </c>
      <c r="B42" s="12" t="s">
        <v>97</v>
      </c>
      <c r="C42" s="10" t="s">
        <v>26</v>
      </c>
      <c r="D42" s="9" t="s">
        <v>98</v>
      </c>
      <c r="E42" s="12">
        <v>45806</v>
      </c>
      <c r="F42" s="20" t="s">
        <v>24</v>
      </c>
      <c r="G42" s="16">
        <v>1</v>
      </c>
    </row>
    <row r="43" spans="1:10" x14ac:dyDescent="0.25">
      <c r="A43" s="14">
        <f t="shared" si="0"/>
        <v>37</v>
      </c>
      <c r="B43" s="12" t="s">
        <v>89</v>
      </c>
      <c r="C43" s="10" t="s">
        <v>26</v>
      </c>
      <c r="D43" s="9" t="s">
        <v>90</v>
      </c>
      <c r="E43" s="12">
        <v>45806</v>
      </c>
      <c r="F43" s="20" t="s">
        <v>24</v>
      </c>
      <c r="G43" s="16">
        <v>1</v>
      </c>
    </row>
    <row r="44" spans="1:10" x14ac:dyDescent="0.25">
      <c r="A44" s="14">
        <f t="shared" si="0"/>
        <v>38</v>
      </c>
      <c r="B44" s="12" t="s">
        <v>95</v>
      </c>
      <c r="C44" s="10" t="s">
        <v>26</v>
      </c>
      <c r="D44" s="9" t="s">
        <v>96</v>
      </c>
      <c r="E44" s="12">
        <v>45806</v>
      </c>
      <c r="F44" s="20" t="s">
        <v>24</v>
      </c>
      <c r="G44" s="16">
        <v>1</v>
      </c>
    </row>
    <row r="45" spans="1:10" x14ac:dyDescent="0.25">
      <c r="A45" s="14">
        <f t="shared" si="0"/>
        <v>39</v>
      </c>
      <c r="B45" s="12"/>
      <c r="C45" s="10"/>
      <c r="D45" s="9"/>
      <c r="E45" s="12"/>
      <c r="F45" s="20"/>
      <c r="G45" s="16">
        <v>1</v>
      </c>
    </row>
    <row r="46" spans="1:10" x14ac:dyDescent="0.25">
      <c r="A46" s="14">
        <f t="shared" si="0"/>
        <v>40</v>
      </c>
      <c r="B46" s="12"/>
      <c r="C46" s="10"/>
      <c r="D46" s="9"/>
      <c r="E46" s="12"/>
      <c r="F46" s="20"/>
      <c r="G46" s="16">
        <v>1</v>
      </c>
    </row>
  </sheetData>
  <sortState xmlns:xlrd2="http://schemas.microsoft.com/office/spreadsheetml/2017/richdata2" ref="B7:H44">
    <sortCondition ref="E7:E44"/>
    <sortCondition ref="D7:D44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46"/>
  <sheetViews>
    <sheetView workbookViewId="0">
      <selection activeCell="H17" sqref="H17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5.28515625" hidden="1" customWidth="1"/>
    <col min="8" max="8" width="29.85546875" customWidth="1"/>
  </cols>
  <sheetData>
    <row r="1" spans="1:11" ht="18" x14ac:dyDescent="0.25">
      <c r="A1" s="22" t="s">
        <v>0</v>
      </c>
      <c r="B1" s="22"/>
      <c r="C1" s="22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6" t="s">
        <v>2</v>
      </c>
      <c r="B2" s="26"/>
      <c r="C2" s="26"/>
      <c r="D2" s="6"/>
      <c r="E2" s="27" t="s">
        <v>3</v>
      </c>
      <c r="F2" s="27"/>
      <c r="G2" s="4"/>
      <c r="H2" s="4"/>
      <c r="I2" s="23" t="s">
        <v>4</v>
      </c>
      <c r="J2" s="24"/>
      <c r="K2" s="17">
        <f>SUMIF(F7:F35,"Elimination*",G7:G35)</f>
        <v>9</v>
      </c>
    </row>
    <row r="3" spans="1:11" x14ac:dyDescent="0.25">
      <c r="A3" s="27" t="s">
        <v>5</v>
      </c>
      <c r="B3" s="27"/>
      <c r="C3" s="27"/>
      <c r="D3" s="5"/>
      <c r="E3" s="27" t="s">
        <v>16</v>
      </c>
      <c r="F3" s="27"/>
      <c r="G3" s="4"/>
      <c r="H3" s="4"/>
      <c r="I3" s="23" t="s">
        <v>6</v>
      </c>
      <c r="J3" s="24"/>
      <c r="K3" s="17">
        <f>SUMIF(F7:F35,"NB*",G7:G35)</f>
        <v>6</v>
      </c>
    </row>
    <row r="4" spans="1:11" ht="18" x14ac:dyDescent="0.25">
      <c r="A4" s="22" t="s">
        <v>7</v>
      </c>
      <c r="B4" s="22"/>
      <c r="C4" s="22"/>
      <c r="D4" s="22"/>
      <c r="E4" s="22"/>
      <c r="F4" s="22"/>
      <c r="G4" s="4"/>
      <c r="H4" s="4"/>
      <c r="I4" s="23" t="s">
        <v>8</v>
      </c>
      <c r="J4" s="24"/>
      <c r="K4" s="17">
        <f>SUMIF(F7:F35,"Ve*",G7:G35)</f>
        <v>0</v>
      </c>
    </row>
    <row r="5" spans="1:11" ht="15.75" x14ac:dyDescent="0.25">
      <c r="A5" s="25" t="s">
        <v>138</v>
      </c>
      <c r="B5" s="25"/>
      <c r="C5" s="25"/>
      <c r="D5" s="25"/>
      <c r="E5" s="25"/>
      <c r="F5" s="25"/>
      <c r="G5" s="18"/>
      <c r="H5" s="18"/>
      <c r="I5" s="23" t="s">
        <v>9</v>
      </c>
      <c r="J5" s="24"/>
      <c r="K5" s="19">
        <f>SUM(K2:K4)</f>
        <v>15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/>
      <c r="I6" s="3"/>
      <c r="J6" s="3"/>
      <c r="K6" s="1"/>
    </row>
    <row r="7" spans="1:11" ht="15" customHeight="1" x14ac:dyDescent="0.25">
      <c r="A7" s="14">
        <v>1</v>
      </c>
      <c r="B7" s="10" t="s">
        <v>115</v>
      </c>
      <c r="C7" s="10" t="s">
        <v>26</v>
      </c>
      <c r="D7" s="9" t="s">
        <v>105</v>
      </c>
      <c r="E7" s="12">
        <v>45818</v>
      </c>
      <c r="F7" s="20" t="s">
        <v>24</v>
      </c>
      <c r="G7" s="16">
        <v>1</v>
      </c>
      <c r="H7" s="2"/>
      <c r="I7" s="15"/>
      <c r="J7" s="15"/>
      <c r="K7" s="1"/>
    </row>
    <row r="8" spans="1:11" ht="15" customHeight="1" x14ac:dyDescent="0.25">
      <c r="A8" s="14">
        <f>+A7+1</f>
        <v>2</v>
      </c>
      <c r="B8" s="10" t="s">
        <v>118</v>
      </c>
      <c r="C8" s="10" t="s">
        <v>26</v>
      </c>
      <c r="D8" s="9" t="s">
        <v>106</v>
      </c>
      <c r="E8" s="12">
        <v>45818</v>
      </c>
      <c r="F8" s="20" t="s">
        <v>24</v>
      </c>
      <c r="G8" s="16">
        <v>1</v>
      </c>
      <c r="H8" s="2"/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2" t="s">
        <v>119</v>
      </c>
      <c r="C9" s="10" t="s">
        <v>26</v>
      </c>
      <c r="D9" s="9" t="s">
        <v>107</v>
      </c>
      <c r="E9" s="12">
        <v>45818</v>
      </c>
      <c r="F9" s="20" t="s">
        <v>24</v>
      </c>
      <c r="G9" s="16">
        <v>1</v>
      </c>
      <c r="H9" s="21"/>
      <c r="I9" s="2"/>
      <c r="J9" s="2"/>
      <c r="K9" s="1"/>
    </row>
    <row r="10" spans="1:11" ht="15" customHeight="1" x14ac:dyDescent="0.25">
      <c r="A10" s="14">
        <f t="shared" si="0"/>
        <v>4</v>
      </c>
      <c r="B10" s="10" t="s">
        <v>116</v>
      </c>
      <c r="C10" s="10" t="s">
        <v>26</v>
      </c>
      <c r="D10" s="9" t="s">
        <v>108</v>
      </c>
      <c r="E10" s="12">
        <v>45818</v>
      </c>
      <c r="F10" s="20" t="s">
        <v>24</v>
      </c>
      <c r="G10" s="16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12" t="s">
        <v>120</v>
      </c>
      <c r="C11" s="10" t="s">
        <v>26</v>
      </c>
      <c r="D11" s="9" t="s">
        <v>109</v>
      </c>
      <c r="E11" s="12">
        <v>45818</v>
      </c>
      <c r="F11" s="20" t="s">
        <v>24</v>
      </c>
      <c r="G11" s="16">
        <v>1</v>
      </c>
      <c r="H11" s="21"/>
      <c r="I11" s="2"/>
      <c r="J11" s="2"/>
      <c r="K11" s="1"/>
    </row>
    <row r="12" spans="1:11" ht="15" customHeight="1" x14ac:dyDescent="0.25">
      <c r="A12" s="14">
        <f t="shared" si="0"/>
        <v>6</v>
      </c>
      <c r="B12" s="10" t="s">
        <v>121</v>
      </c>
      <c r="C12" s="10" t="s">
        <v>26</v>
      </c>
      <c r="D12" s="9" t="s">
        <v>110</v>
      </c>
      <c r="E12" s="12">
        <v>45818</v>
      </c>
      <c r="F12" s="20" t="s">
        <v>24</v>
      </c>
      <c r="G12" s="16">
        <v>1</v>
      </c>
      <c r="H12" s="21"/>
      <c r="I12" s="2"/>
      <c r="J12" s="2"/>
      <c r="K12" s="1"/>
    </row>
    <row r="13" spans="1:11" ht="15" customHeight="1" x14ac:dyDescent="0.25">
      <c r="A13" s="14">
        <f t="shared" si="0"/>
        <v>7</v>
      </c>
      <c r="B13" s="10" t="s">
        <v>122</v>
      </c>
      <c r="C13" s="10" t="s">
        <v>26</v>
      </c>
      <c r="D13" s="9" t="s">
        <v>111</v>
      </c>
      <c r="E13" s="12">
        <v>45818</v>
      </c>
      <c r="F13" s="20" t="s">
        <v>24</v>
      </c>
      <c r="G13" s="16">
        <v>1</v>
      </c>
      <c r="H13" s="21"/>
      <c r="I13" s="2"/>
      <c r="J13" s="2"/>
      <c r="K13" s="1"/>
    </row>
    <row r="14" spans="1:11" ht="15" customHeight="1" x14ac:dyDescent="0.25">
      <c r="A14" s="14">
        <f t="shared" si="0"/>
        <v>8</v>
      </c>
      <c r="B14" s="10" t="s">
        <v>52</v>
      </c>
      <c r="C14" s="10" t="s">
        <v>26</v>
      </c>
      <c r="D14" s="9" t="s">
        <v>112</v>
      </c>
      <c r="E14" s="12">
        <v>45818</v>
      </c>
      <c r="F14" s="20" t="s">
        <v>125</v>
      </c>
      <c r="G14" s="16">
        <v>1</v>
      </c>
      <c r="H14" s="2" t="s">
        <v>126</v>
      </c>
      <c r="I14" s="2"/>
      <c r="J14" s="2"/>
      <c r="K14" s="1"/>
    </row>
    <row r="15" spans="1:11" ht="15" customHeight="1" x14ac:dyDescent="0.25">
      <c r="A15" s="14">
        <f t="shared" si="0"/>
        <v>9</v>
      </c>
      <c r="B15" s="10" t="s">
        <v>123</v>
      </c>
      <c r="C15" s="10" t="s">
        <v>26</v>
      </c>
      <c r="D15" s="9" t="s">
        <v>113</v>
      </c>
      <c r="E15" s="12">
        <v>45818</v>
      </c>
      <c r="F15" s="20" t="s">
        <v>24</v>
      </c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 t="s">
        <v>117</v>
      </c>
      <c r="C16" s="10" t="s">
        <v>26</v>
      </c>
      <c r="D16" s="9" t="s">
        <v>114</v>
      </c>
      <c r="E16" s="12">
        <v>45818</v>
      </c>
      <c r="F16" s="20" t="s">
        <v>24</v>
      </c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0" t="s">
        <v>52</v>
      </c>
      <c r="C17" s="10" t="s">
        <v>26</v>
      </c>
      <c r="D17" s="9" t="s">
        <v>124</v>
      </c>
      <c r="E17" s="12">
        <v>45820</v>
      </c>
      <c r="F17" s="20" t="s">
        <v>127</v>
      </c>
      <c r="G17" s="16">
        <v>1</v>
      </c>
      <c r="H17" s="2" t="s">
        <v>128</v>
      </c>
      <c r="I17" s="2"/>
      <c r="J17" s="2"/>
    </row>
    <row r="18" spans="1:10" ht="15" customHeight="1" x14ac:dyDescent="0.25">
      <c r="A18" s="14">
        <f t="shared" si="0"/>
        <v>12</v>
      </c>
      <c r="B18" s="10" t="s">
        <v>52</v>
      </c>
      <c r="C18" s="10" t="s">
        <v>26</v>
      </c>
      <c r="D18" s="9" t="s">
        <v>129</v>
      </c>
      <c r="E18" s="12">
        <v>45823</v>
      </c>
      <c r="F18" s="20" t="s">
        <v>131</v>
      </c>
      <c r="G18" s="16">
        <v>1</v>
      </c>
      <c r="H18" s="2" t="s">
        <v>130</v>
      </c>
      <c r="I18" s="2"/>
      <c r="J18" s="2"/>
    </row>
    <row r="19" spans="1:10" ht="15" customHeight="1" x14ac:dyDescent="0.25">
      <c r="A19" s="14">
        <f t="shared" si="0"/>
        <v>13</v>
      </c>
      <c r="B19" s="10" t="s">
        <v>52</v>
      </c>
      <c r="C19" s="10" t="s">
        <v>26</v>
      </c>
      <c r="D19" s="9" t="s">
        <v>132</v>
      </c>
      <c r="E19" s="12">
        <v>45830</v>
      </c>
      <c r="F19" s="20" t="s">
        <v>144</v>
      </c>
      <c r="G19" s="16">
        <v>1</v>
      </c>
      <c r="H19" s="21" t="s">
        <v>135</v>
      </c>
      <c r="I19" s="2"/>
      <c r="J19" s="2"/>
    </row>
    <row r="20" spans="1:10" ht="15" customHeight="1" x14ac:dyDescent="0.25">
      <c r="A20" s="14">
        <f t="shared" si="0"/>
        <v>14</v>
      </c>
      <c r="B20" s="10" t="s">
        <v>52</v>
      </c>
      <c r="C20" s="10" t="s">
        <v>26</v>
      </c>
      <c r="D20" s="9" t="s">
        <v>133</v>
      </c>
      <c r="E20" s="12">
        <v>45830</v>
      </c>
      <c r="F20" s="20" t="s">
        <v>145</v>
      </c>
      <c r="G20" s="16">
        <v>1</v>
      </c>
      <c r="H20" s="21" t="s">
        <v>136</v>
      </c>
      <c r="I20" s="2"/>
      <c r="J20" s="2"/>
    </row>
    <row r="21" spans="1:10" ht="15" customHeight="1" x14ac:dyDescent="0.25">
      <c r="A21" s="14">
        <f t="shared" si="0"/>
        <v>15</v>
      </c>
      <c r="B21" s="10" t="s">
        <v>52</v>
      </c>
      <c r="C21" s="10" t="s">
        <v>26</v>
      </c>
      <c r="D21" s="9" t="s">
        <v>134</v>
      </c>
      <c r="E21" s="12">
        <v>45830</v>
      </c>
      <c r="F21" s="20" t="s">
        <v>143</v>
      </c>
      <c r="G21" s="16">
        <v>1</v>
      </c>
      <c r="H21" s="21" t="s">
        <v>137</v>
      </c>
      <c r="I21" s="2"/>
      <c r="J21" s="2"/>
    </row>
    <row r="22" spans="1:10" ht="15" customHeight="1" x14ac:dyDescent="0.25">
      <c r="A22" s="14">
        <f t="shared" si="0"/>
        <v>16</v>
      </c>
      <c r="B22" s="12"/>
      <c r="C22" s="10"/>
      <c r="D22" s="9"/>
      <c r="E22" s="12"/>
      <c r="F22" s="20"/>
      <c r="G22" s="16">
        <v>1</v>
      </c>
      <c r="H22" s="11"/>
      <c r="I22" s="2"/>
      <c r="J22" s="2"/>
    </row>
    <row r="23" spans="1:10" ht="15" customHeight="1" x14ac:dyDescent="0.25">
      <c r="A23" s="14">
        <f t="shared" si="0"/>
        <v>17</v>
      </c>
      <c r="B23" s="12"/>
      <c r="C23" s="10"/>
      <c r="D23" s="9"/>
      <c r="E23" s="12"/>
      <c r="F23" s="20"/>
      <c r="G23" s="16">
        <v>1</v>
      </c>
      <c r="H23" s="2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1"/>
      <c r="I24" s="2"/>
      <c r="J24" s="2"/>
    </row>
    <row r="25" spans="1:10" ht="15" customHeight="1" x14ac:dyDescent="0.25">
      <c r="A25" s="14">
        <f t="shared" si="0"/>
        <v>19</v>
      </c>
      <c r="B25" s="12"/>
      <c r="C25" s="10"/>
      <c r="D25" s="9"/>
      <c r="E25" s="12"/>
      <c r="F25" s="20"/>
      <c r="G25" s="16">
        <v>1</v>
      </c>
      <c r="H25" s="1"/>
      <c r="I25" s="2"/>
      <c r="J25" s="2"/>
    </row>
    <row r="26" spans="1:10" ht="15" customHeight="1" x14ac:dyDescent="0.25">
      <c r="A26" s="14">
        <f t="shared" si="0"/>
        <v>20</v>
      </c>
      <c r="B26" s="12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"/>
      <c r="I27" s="1"/>
      <c r="J27" s="1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21"/>
      <c r="I28" s="1"/>
      <c r="J28" s="1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>
        <v>1</v>
      </c>
      <c r="H30" s="1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12"/>
      <c r="C34" s="10"/>
      <c r="D34" s="9"/>
      <c r="E34" s="12"/>
      <c r="F34" s="20"/>
      <c r="G34" s="16">
        <v>1</v>
      </c>
      <c r="I34" s="1"/>
      <c r="J34" s="1"/>
    </row>
    <row r="35" spans="1:10" ht="15" customHeight="1" x14ac:dyDescent="0.25">
      <c r="A35" s="14">
        <f t="shared" si="0"/>
        <v>29</v>
      </c>
      <c r="B35" s="12"/>
      <c r="C35" s="10"/>
      <c r="D35" s="9"/>
      <c r="E35" s="12"/>
      <c r="F35" s="20"/>
      <c r="G35" s="16">
        <v>1</v>
      </c>
      <c r="I35" s="1"/>
      <c r="J35" s="1"/>
    </row>
    <row r="36" spans="1:10" x14ac:dyDescent="0.25">
      <c r="A36" s="14">
        <f t="shared" si="0"/>
        <v>30</v>
      </c>
      <c r="B36" s="12"/>
      <c r="C36" s="10"/>
      <c r="D36" s="9"/>
      <c r="E36" s="12"/>
      <c r="F36" s="20"/>
      <c r="G36" s="16">
        <v>1</v>
      </c>
    </row>
    <row r="37" spans="1:10" x14ac:dyDescent="0.25">
      <c r="A37" s="14">
        <f t="shared" si="0"/>
        <v>31</v>
      </c>
      <c r="B37" s="12"/>
      <c r="C37" s="10"/>
      <c r="D37" s="9"/>
      <c r="E37" s="12"/>
      <c r="F37" s="20"/>
      <c r="G37" s="16">
        <v>1</v>
      </c>
      <c r="H37" s="1"/>
    </row>
    <row r="38" spans="1:10" x14ac:dyDescent="0.25">
      <c r="A38" s="14">
        <f t="shared" si="0"/>
        <v>32</v>
      </c>
      <c r="B38" s="12"/>
      <c r="C38" s="10"/>
      <c r="D38" s="9"/>
      <c r="E38" s="12"/>
      <c r="F38" s="20"/>
      <c r="G38" s="16">
        <v>1</v>
      </c>
    </row>
    <row r="39" spans="1:10" x14ac:dyDescent="0.25">
      <c r="A39" s="14">
        <f t="shared" si="0"/>
        <v>33</v>
      </c>
      <c r="B39" s="12"/>
      <c r="C39" s="10"/>
      <c r="D39" s="9"/>
      <c r="E39" s="12"/>
      <c r="F39" s="20"/>
      <c r="G39" s="16">
        <v>1</v>
      </c>
    </row>
    <row r="40" spans="1:10" x14ac:dyDescent="0.25">
      <c r="A40" s="14">
        <f t="shared" si="0"/>
        <v>34</v>
      </c>
      <c r="B40" s="12"/>
      <c r="C40" s="10"/>
      <c r="D40" s="9"/>
      <c r="E40" s="12"/>
      <c r="F40" s="20"/>
      <c r="G40" s="16">
        <v>1</v>
      </c>
    </row>
    <row r="41" spans="1:10" x14ac:dyDescent="0.25">
      <c r="A41" s="14">
        <f t="shared" si="0"/>
        <v>35</v>
      </c>
      <c r="B41" s="12"/>
      <c r="C41" s="10"/>
      <c r="D41" s="9"/>
      <c r="E41" s="12"/>
      <c r="F41" s="20"/>
      <c r="G41" s="16">
        <v>1</v>
      </c>
      <c r="H41" s="1"/>
    </row>
    <row r="42" spans="1:10" x14ac:dyDescent="0.25">
      <c r="A42" s="14">
        <f t="shared" si="0"/>
        <v>36</v>
      </c>
      <c r="B42" s="12"/>
      <c r="C42" s="10"/>
      <c r="D42" s="9"/>
      <c r="E42" s="12"/>
      <c r="F42" s="20"/>
      <c r="G42" s="16">
        <v>1</v>
      </c>
    </row>
    <row r="43" spans="1:10" x14ac:dyDescent="0.25">
      <c r="A43" s="14">
        <f t="shared" si="0"/>
        <v>37</v>
      </c>
      <c r="B43" s="12"/>
      <c r="C43" s="10"/>
      <c r="D43" s="9"/>
      <c r="E43" s="12"/>
      <c r="F43" s="20"/>
      <c r="G43" s="16">
        <v>1</v>
      </c>
    </row>
    <row r="44" spans="1:10" x14ac:dyDescent="0.25">
      <c r="A44" s="14">
        <f t="shared" si="0"/>
        <v>38</v>
      </c>
      <c r="B44" s="12"/>
      <c r="C44" s="10"/>
      <c r="D44" s="9"/>
      <c r="E44" s="12"/>
      <c r="F44" s="20"/>
      <c r="G44" s="16">
        <v>1</v>
      </c>
    </row>
    <row r="45" spans="1:10" x14ac:dyDescent="0.25">
      <c r="A45" s="14">
        <f t="shared" si="0"/>
        <v>39</v>
      </c>
      <c r="B45" s="12"/>
      <c r="C45" s="10"/>
      <c r="D45" s="9"/>
      <c r="E45" s="12"/>
      <c r="F45" s="20"/>
      <c r="G45" s="16">
        <v>1</v>
      </c>
    </row>
    <row r="46" spans="1:10" x14ac:dyDescent="0.25">
      <c r="A46" s="14">
        <f t="shared" si="0"/>
        <v>40</v>
      </c>
      <c r="B46" s="12"/>
      <c r="C46" s="10"/>
      <c r="D46" s="9"/>
      <c r="E46" s="12"/>
      <c r="F46" s="20"/>
      <c r="G46" s="16">
        <v>1</v>
      </c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46"/>
  <sheetViews>
    <sheetView workbookViewId="0">
      <selection activeCell="F8" sqref="F8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5.28515625" hidden="1" customWidth="1"/>
    <col min="8" max="8" width="29.85546875" customWidth="1"/>
  </cols>
  <sheetData>
    <row r="1" spans="1:11" ht="18" x14ac:dyDescent="0.25">
      <c r="A1" s="22" t="s">
        <v>0</v>
      </c>
      <c r="B1" s="22"/>
      <c r="C1" s="22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6" t="s">
        <v>2</v>
      </c>
      <c r="B2" s="26"/>
      <c r="C2" s="26"/>
      <c r="D2" s="6"/>
      <c r="E2" s="27" t="s">
        <v>3</v>
      </c>
      <c r="F2" s="27"/>
      <c r="G2" s="4"/>
      <c r="H2" s="4"/>
      <c r="I2" s="23" t="s">
        <v>4</v>
      </c>
      <c r="J2" s="24"/>
      <c r="K2" s="17">
        <f>SUMIF(F7:F35,"Elimination*",G7:G35)</f>
        <v>1</v>
      </c>
    </row>
    <row r="3" spans="1:11" x14ac:dyDescent="0.25">
      <c r="A3" s="27" t="s">
        <v>5</v>
      </c>
      <c r="B3" s="27"/>
      <c r="C3" s="27"/>
      <c r="D3" s="5"/>
      <c r="E3" s="27" t="s">
        <v>16</v>
      </c>
      <c r="F3" s="27"/>
      <c r="G3" s="4"/>
      <c r="H3" s="4"/>
      <c r="I3" s="23" t="s">
        <v>6</v>
      </c>
      <c r="J3" s="24"/>
      <c r="K3" s="17">
        <f>SUMIF(F7:F35,"NB*",G7:G35)</f>
        <v>7</v>
      </c>
    </row>
    <row r="4" spans="1:11" ht="18" x14ac:dyDescent="0.25">
      <c r="A4" s="22" t="s">
        <v>7</v>
      </c>
      <c r="B4" s="22"/>
      <c r="C4" s="22"/>
      <c r="D4" s="22"/>
      <c r="E4" s="22"/>
      <c r="F4" s="22"/>
      <c r="G4" s="4"/>
      <c r="H4" s="4"/>
      <c r="I4" s="23" t="s">
        <v>8</v>
      </c>
      <c r="J4" s="24"/>
      <c r="K4" s="17">
        <f>SUMIF(F7:F35,"Ve*",G7:G35)</f>
        <v>0</v>
      </c>
    </row>
    <row r="5" spans="1:11" ht="15.75" x14ac:dyDescent="0.25">
      <c r="A5" s="25" t="s">
        <v>139</v>
      </c>
      <c r="B5" s="25"/>
      <c r="C5" s="25"/>
      <c r="D5" s="25"/>
      <c r="E5" s="25"/>
      <c r="F5" s="25"/>
      <c r="G5" s="18"/>
      <c r="H5" s="18"/>
      <c r="I5" s="23" t="s">
        <v>9</v>
      </c>
      <c r="J5" s="24"/>
      <c r="K5" s="19">
        <f>SUM(K2:K4)</f>
        <v>8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/>
      <c r="I6" s="3"/>
      <c r="J6" s="3"/>
      <c r="K6" s="1"/>
    </row>
    <row r="7" spans="1:11" ht="15" customHeight="1" x14ac:dyDescent="0.25">
      <c r="A7" s="14">
        <v>1</v>
      </c>
      <c r="B7" s="10" t="s">
        <v>52</v>
      </c>
      <c r="C7" s="10" t="s">
        <v>26</v>
      </c>
      <c r="D7" s="9" t="s">
        <v>141</v>
      </c>
      <c r="E7" s="9" t="s">
        <v>140</v>
      </c>
      <c r="F7" s="20" t="s">
        <v>146</v>
      </c>
      <c r="G7" s="16">
        <v>1</v>
      </c>
      <c r="H7" s="2" t="s">
        <v>142</v>
      </c>
      <c r="I7" s="15"/>
      <c r="J7" s="15"/>
      <c r="K7" s="1"/>
    </row>
    <row r="8" spans="1:11" ht="15" customHeight="1" x14ac:dyDescent="0.25">
      <c r="A8" s="14">
        <f>+A7+1</f>
        <v>2</v>
      </c>
      <c r="B8" s="12" t="s">
        <v>148</v>
      </c>
      <c r="C8" s="10" t="s">
        <v>26</v>
      </c>
      <c r="D8" s="9" t="s">
        <v>147</v>
      </c>
      <c r="E8" s="12">
        <v>45848</v>
      </c>
      <c r="F8" s="20" t="s">
        <v>24</v>
      </c>
      <c r="G8" s="16">
        <v>1</v>
      </c>
      <c r="H8" s="2" t="s">
        <v>149</v>
      </c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2" t="s">
        <v>52</v>
      </c>
      <c r="C9" s="10" t="s">
        <v>26</v>
      </c>
      <c r="D9" s="9" t="s">
        <v>150</v>
      </c>
      <c r="E9" s="12">
        <v>45854</v>
      </c>
      <c r="F9" s="20" t="s">
        <v>151</v>
      </c>
      <c r="G9" s="16">
        <v>1</v>
      </c>
      <c r="H9" s="21" t="s">
        <v>152</v>
      </c>
      <c r="I9" s="2"/>
      <c r="J9" s="2"/>
      <c r="K9" s="1"/>
    </row>
    <row r="10" spans="1:11" ht="15" customHeight="1" x14ac:dyDescent="0.25">
      <c r="A10" s="14">
        <f t="shared" si="0"/>
        <v>4</v>
      </c>
      <c r="B10" s="10" t="s">
        <v>52</v>
      </c>
      <c r="C10" s="10" t="s">
        <v>26</v>
      </c>
      <c r="D10" s="9" t="s">
        <v>156</v>
      </c>
      <c r="E10" s="12">
        <v>45862</v>
      </c>
      <c r="F10" s="20" t="s">
        <v>157</v>
      </c>
      <c r="G10" s="16">
        <v>1</v>
      </c>
      <c r="H10" s="21" t="s">
        <v>158</v>
      </c>
      <c r="I10" s="2"/>
      <c r="J10" s="2"/>
      <c r="K10" s="1"/>
    </row>
    <row r="11" spans="1:11" ht="15" customHeight="1" x14ac:dyDescent="0.25">
      <c r="A11" s="14">
        <f t="shared" si="0"/>
        <v>5</v>
      </c>
      <c r="B11" s="10" t="s">
        <v>52</v>
      </c>
      <c r="C11" s="10" t="s">
        <v>26</v>
      </c>
      <c r="D11" s="9" t="s">
        <v>153</v>
      </c>
      <c r="E11" s="12">
        <v>45862</v>
      </c>
      <c r="F11" s="20" t="s">
        <v>154</v>
      </c>
      <c r="G11" s="16">
        <v>1</v>
      </c>
      <c r="H11" s="2" t="s">
        <v>155</v>
      </c>
      <c r="I11" s="2"/>
      <c r="J11" s="2"/>
      <c r="K11" s="1"/>
    </row>
    <row r="12" spans="1:11" ht="15" customHeight="1" x14ac:dyDescent="0.25">
      <c r="A12" s="14">
        <f t="shared" si="0"/>
        <v>6</v>
      </c>
      <c r="B12" s="10" t="s">
        <v>52</v>
      </c>
      <c r="C12" s="10" t="s">
        <v>26</v>
      </c>
      <c r="D12" s="9" t="s">
        <v>165</v>
      </c>
      <c r="E12" s="12">
        <v>45862</v>
      </c>
      <c r="F12" s="20" t="s">
        <v>166</v>
      </c>
      <c r="G12" s="16">
        <v>1</v>
      </c>
      <c r="H12" s="2" t="s">
        <v>167</v>
      </c>
      <c r="I12" s="2"/>
      <c r="J12" s="2"/>
      <c r="K12" s="1"/>
    </row>
    <row r="13" spans="1:11" ht="15" customHeight="1" x14ac:dyDescent="0.25">
      <c r="A13" s="14">
        <f t="shared" si="0"/>
        <v>7</v>
      </c>
      <c r="B13" s="10" t="s">
        <v>52</v>
      </c>
      <c r="C13" s="10" t="s">
        <v>26</v>
      </c>
      <c r="D13" s="9" t="s">
        <v>162</v>
      </c>
      <c r="E13" s="12">
        <v>45862</v>
      </c>
      <c r="F13" s="20" t="s">
        <v>164</v>
      </c>
      <c r="G13" s="16">
        <v>1</v>
      </c>
      <c r="H13" s="21" t="s">
        <v>163</v>
      </c>
      <c r="I13" s="2"/>
      <c r="J13" s="2"/>
      <c r="K13" s="1"/>
    </row>
    <row r="14" spans="1:11" ht="15" customHeight="1" x14ac:dyDescent="0.25">
      <c r="A14" s="14">
        <f t="shared" si="0"/>
        <v>8</v>
      </c>
      <c r="B14" s="10" t="s">
        <v>52</v>
      </c>
      <c r="C14" s="10" t="s">
        <v>26</v>
      </c>
      <c r="D14" s="9" t="s">
        <v>159</v>
      </c>
      <c r="E14" s="12">
        <v>45862</v>
      </c>
      <c r="F14" s="20" t="s">
        <v>161</v>
      </c>
      <c r="G14" s="16">
        <v>1</v>
      </c>
      <c r="H14" s="21" t="s">
        <v>160</v>
      </c>
      <c r="I14" s="2"/>
      <c r="J14" s="2"/>
      <c r="K14" s="1"/>
    </row>
    <row r="15" spans="1:11" ht="15" customHeight="1" x14ac:dyDescent="0.25">
      <c r="A15" s="14">
        <f t="shared" si="0"/>
        <v>9</v>
      </c>
      <c r="B15" s="10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0"/>
      <c r="C17" s="10"/>
      <c r="D17" s="9"/>
      <c r="E17" s="12"/>
      <c r="F17" s="20"/>
      <c r="G17" s="16">
        <v>1</v>
      </c>
      <c r="H17" s="2"/>
      <c r="I17" s="2"/>
      <c r="J17" s="2"/>
    </row>
    <row r="18" spans="1:10" ht="15" customHeight="1" x14ac:dyDescent="0.25">
      <c r="A18" s="14">
        <f t="shared" si="0"/>
        <v>12</v>
      </c>
      <c r="B18" s="10"/>
      <c r="C18" s="10"/>
      <c r="D18" s="9"/>
      <c r="E18" s="12"/>
      <c r="F18" s="20"/>
      <c r="G18" s="16">
        <v>1</v>
      </c>
      <c r="H18" s="2"/>
      <c r="I18" s="2"/>
      <c r="J18" s="2"/>
    </row>
    <row r="19" spans="1:10" ht="15" customHeight="1" x14ac:dyDescent="0.25">
      <c r="A19" s="14">
        <f t="shared" si="0"/>
        <v>13</v>
      </c>
      <c r="B19" s="10"/>
      <c r="C19" s="10"/>
      <c r="D19" s="9"/>
      <c r="E19" s="12"/>
      <c r="F19" s="20"/>
      <c r="G19" s="16">
        <v>1</v>
      </c>
      <c r="H19" s="21"/>
      <c r="I19" s="2"/>
      <c r="J19" s="2"/>
    </row>
    <row r="20" spans="1:10" ht="15" customHeight="1" x14ac:dyDescent="0.25">
      <c r="A20" s="14">
        <f t="shared" si="0"/>
        <v>14</v>
      </c>
      <c r="B20" s="10"/>
      <c r="C20" s="10"/>
      <c r="D20" s="9"/>
      <c r="E20" s="12"/>
      <c r="F20" s="20"/>
      <c r="G20" s="16">
        <v>1</v>
      </c>
      <c r="H20" s="21"/>
      <c r="I20" s="2"/>
      <c r="J20" s="2"/>
    </row>
    <row r="21" spans="1:10" ht="15" customHeight="1" x14ac:dyDescent="0.25">
      <c r="A21" s="14">
        <f t="shared" si="0"/>
        <v>15</v>
      </c>
      <c r="B21" s="10"/>
      <c r="C21" s="10"/>
      <c r="D21" s="9"/>
      <c r="E21" s="12"/>
      <c r="F21" s="20"/>
      <c r="G21" s="16">
        <v>1</v>
      </c>
      <c r="H21" s="21"/>
      <c r="I21" s="2"/>
      <c r="J21" s="2"/>
    </row>
    <row r="22" spans="1:10" ht="15" customHeight="1" x14ac:dyDescent="0.25">
      <c r="A22" s="14">
        <f t="shared" si="0"/>
        <v>16</v>
      </c>
      <c r="B22" s="12"/>
      <c r="C22" s="10"/>
      <c r="D22" s="9"/>
      <c r="E22" s="12"/>
      <c r="F22" s="20"/>
      <c r="G22" s="16">
        <v>1</v>
      </c>
      <c r="H22" s="11"/>
      <c r="I22" s="2"/>
      <c r="J22" s="2"/>
    </row>
    <row r="23" spans="1:10" ht="15" customHeight="1" x14ac:dyDescent="0.25">
      <c r="A23" s="14">
        <f t="shared" si="0"/>
        <v>17</v>
      </c>
      <c r="B23" s="12"/>
      <c r="C23" s="10"/>
      <c r="D23" s="9"/>
      <c r="E23" s="12"/>
      <c r="F23" s="20"/>
      <c r="G23" s="16">
        <v>1</v>
      </c>
      <c r="H23" s="2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1"/>
      <c r="I24" s="2"/>
      <c r="J24" s="2"/>
    </row>
    <row r="25" spans="1:10" ht="15" customHeight="1" x14ac:dyDescent="0.25">
      <c r="A25" s="14">
        <f t="shared" si="0"/>
        <v>19</v>
      </c>
      <c r="B25" s="12"/>
      <c r="C25" s="10"/>
      <c r="D25" s="9"/>
      <c r="E25" s="12"/>
      <c r="F25" s="20"/>
      <c r="G25" s="16">
        <v>1</v>
      </c>
      <c r="H25" s="1"/>
      <c r="I25" s="2"/>
      <c r="J25" s="2"/>
    </row>
    <row r="26" spans="1:10" ht="15" customHeight="1" x14ac:dyDescent="0.25">
      <c r="A26" s="14">
        <f t="shared" si="0"/>
        <v>20</v>
      </c>
      <c r="B26" s="12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"/>
      <c r="I27" s="1"/>
      <c r="J27" s="1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21"/>
      <c r="I28" s="1"/>
      <c r="J28" s="1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>
        <v>1</v>
      </c>
      <c r="H30" s="1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12"/>
      <c r="C34" s="10"/>
      <c r="D34" s="9"/>
      <c r="E34" s="12"/>
      <c r="F34" s="20"/>
      <c r="G34" s="16">
        <v>1</v>
      </c>
      <c r="I34" s="1"/>
      <c r="J34" s="1"/>
    </row>
    <row r="35" spans="1:10" ht="15" customHeight="1" x14ac:dyDescent="0.25">
      <c r="A35" s="14">
        <f t="shared" si="0"/>
        <v>29</v>
      </c>
      <c r="B35" s="12"/>
      <c r="C35" s="10"/>
      <c r="D35" s="9"/>
      <c r="E35" s="12"/>
      <c r="F35" s="20"/>
      <c r="G35" s="16">
        <v>1</v>
      </c>
      <c r="I35" s="1"/>
      <c r="J35" s="1"/>
    </row>
    <row r="36" spans="1:10" x14ac:dyDescent="0.25">
      <c r="A36" s="14">
        <f t="shared" si="0"/>
        <v>30</v>
      </c>
      <c r="B36" s="12"/>
      <c r="C36" s="10"/>
      <c r="D36" s="9"/>
      <c r="E36" s="12"/>
      <c r="F36" s="20"/>
      <c r="G36" s="16">
        <v>1</v>
      </c>
    </row>
    <row r="37" spans="1:10" x14ac:dyDescent="0.25">
      <c r="A37" s="14">
        <f t="shared" si="0"/>
        <v>31</v>
      </c>
      <c r="B37" s="12"/>
      <c r="C37" s="10"/>
      <c r="D37" s="9"/>
      <c r="E37" s="12"/>
      <c r="F37" s="20"/>
      <c r="G37" s="16">
        <v>1</v>
      </c>
      <c r="H37" s="1"/>
    </row>
    <row r="38" spans="1:10" x14ac:dyDescent="0.25">
      <c r="A38" s="14">
        <f t="shared" si="0"/>
        <v>32</v>
      </c>
      <c r="B38" s="12"/>
      <c r="C38" s="10"/>
      <c r="D38" s="9"/>
      <c r="E38" s="12"/>
      <c r="F38" s="20"/>
      <c r="G38" s="16">
        <v>1</v>
      </c>
    </row>
    <row r="39" spans="1:10" x14ac:dyDescent="0.25">
      <c r="A39" s="14">
        <f t="shared" si="0"/>
        <v>33</v>
      </c>
      <c r="B39" s="12"/>
      <c r="C39" s="10"/>
      <c r="D39" s="9"/>
      <c r="E39" s="12"/>
      <c r="F39" s="20"/>
      <c r="G39" s="16">
        <v>1</v>
      </c>
    </row>
    <row r="40" spans="1:10" x14ac:dyDescent="0.25">
      <c r="A40" s="14">
        <f t="shared" si="0"/>
        <v>34</v>
      </c>
      <c r="B40" s="12"/>
      <c r="C40" s="10"/>
      <c r="D40" s="9"/>
      <c r="E40" s="12"/>
      <c r="F40" s="20"/>
      <c r="G40" s="16">
        <v>1</v>
      </c>
    </row>
    <row r="41" spans="1:10" x14ac:dyDescent="0.25">
      <c r="A41" s="14">
        <f t="shared" si="0"/>
        <v>35</v>
      </c>
      <c r="B41" s="12"/>
      <c r="C41" s="10"/>
      <c r="D41" s="9"/>
      <c r="E41" s="12"/>
      <c r="F41" s="20"/>
      <c r="G41" s="16">
        <v>1</v>
      </c>
      <c r="H41" s="1"/>
    </row>
    <row r="42" spans="1:10" x14ac:dyDescent="0.25">
      <c r="A42" s="14">
        <f t="shared" si="0"/>
        <v>36</v>
      </c>
      <c r="B42" s="12"/>
      <c r="C42" s="10"/>
      <c r="D42" s="9"/>
      <c r="E42" s="12"/>
      <c r="F42" s="20"/>
      <c r="G42" s="16">
        <v>1</v>
      </c>
    </row>
    <row r="43" spans="1:10" x14ac:dyDescent="0.25">
      <c r="A43" s="14">
        <f t="shared" si="0"/>
        <v>37</v>
      </c>
      <c r="B43" s="12"/>
      <c r="C43" s="10"/>
      <c r="D43" s="9"/>
      <c r="E43" s="12"/>
      <c r="F43" s="20"/>
      <c r="G43" s="16">
        <v>1</v>
      </c>
    </row>
    <row r="44" spans="1:10" x14ac:dyDescent="0.25">
      <c r="A44" s="14">
        <f t="shared" si="0"/>
        <v>38</v>
      </c>
      <c r="B44" s="12"/>
      <c r="C44" s="10"/>
      <c r="D44" s="9"/>
      <c r="E44" s="12"/>
      <c r="F44" s="20"/>
      <c r="G44" s="16">
        <v>1</v>
      </c>
    </row>
    <row r="45" spans="1:10" x14ac:dyDescent="0.25">
      <c r="A45" s="14">
        <f t="shared" si="0"/>
        <v>39</v>
      </c>
      <c r="B45" s="12"/>
      <c r="C45" s="10"/>
      <c r="D45" s="9"/>
      <c r="E45" s="12"/>
      <c r="F45" s="20"/>
      <c r="G45" s="16">
        <v>1</v>
      </c>
    </row>
    <row r="46" spans="1:10" x14ac:dyDescent="0.25">
      <c r="A46" s="14">
        <f t="shared" si="0"/>
        <v>40</v>
      </c>
      <c r="B46" s="12"/>
      <c r="C46" s="10"/>
      <c r="D46" s="9"/>
      <c r="E46" s="12"/>
      <c r="F46" s="20"/>
      <c r="G46" s="16">
        <v>1</v>
      </c>
    </row>
  </sheetData>
  <sortState xmlns:xlrd2="http://schemas.microsoft.com/office/spreadsheetml/2017/richdata2" ref="B7:H14">
    <sortCondition ref="E7:E14"/>
    <sortCondition ref="D7:D14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46"/>
  <sheetViews>
    <sheetView workbookViewId="0">
      <selection activeCell="F12" sqref="F12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5.28515625" hidden="1" customWidth="1"/>
    <col min="8" max="8" width="29.85546875" customWidth="1"/>
  </cols>
  <sheetData>
    <row r="1" spans="1:11" ht="18" x14ac:dyDescent="0.25">
      <c r="A1" s="22" t="s">
        <v>0</v>
      </c>
      <c r="B1" s="22"/>
      <c r="C1" s="22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6" t="s">
        <v>2</v>
      </c>
      <c r="B2" s="26"/>
      <c r="C2" s="26"/>
      <c r="D2" s="6"/>
      <c r="E2" s="27" t="s">
        <v>3</v>
      </c>
      <c r="F2" s="27"/>
      <c r="G2" s="4"/>
      <c r="H2" s="4"/>
      <c r="I2" s="23" t="s">
        <v>4</v>
      </c>
      <c r="J2" s="24"/>
      <c r="K2" s="17">
        <f>SUMIF(F7:F35,"Elimination*",G7:G35)</f>
        <v>1</v>
      </c>
    </row>
    <row r="3" spans="1:11" x14ac:dyDescent="0.25">
      <c r="A3" s="27" t="s">
        <v>5</v>
      </c>
      <c r="B3" s="27"/>
      <c r="C3" s="27"/>
      <c r="D3" s="5"/>
      <c r="E3" s="27" t="s">
        <v>16</v>
      </c>
      <c r="F3" s="27"/>
      <c r="G3" s="4"/>
      <c r="H3" s="4"/>
      <c r="I3" s="23" t="s">
        <v>6</v>
      </c>
      <c r="J3" s="24"/>
      <c r="K3" s="17">
        <f>SUMIF(F7:F35,"NB*",G7:G35)</f>
        <v>5</v>
      </c>
    </row>
    <row r="4" spans="1:11" ht="18" x14ac:dyDescent="0.25">
      <c r="A4" s="22" t="s">
        <v>7</v>
      </c>
      <c r="B4" s="22"/>
      <c r="C4" s="22"/>
      <c r="D4" s="22"/>
      <c r="E4" s="22"/>
      <c r="F4" s="22"/>
      <c r="G4" s="4"/>
      <c r="H4" s="4"/>
      <c r="I4" s="23" t="s">
        <v>8</v>
      </c>
      <c r="J4" s="24"/>
      <c r="K4" s="17">
        <f>SUMIF(F7:F35,"Ve*",G7:G35)</f>
        <v>0</v>
      </c>
    </row>
    <row r="5" spans="1:11" ht="15.75" x14ac:dyDescent="0.25">
      <c r="A5" s="25" t="s">
        <v>186</v>
      </c>
      <c r="B5" s="25"/>
      <c r="C5" s="25"/>
      <c r="D5" s="25"/>
      <c r="E5" s="25"/>
      <c r="F5" s="25"/>
      <c r="G5" s="18"/>
      <c r="H5" s="18"/>
      <c r="I5" s="23" t="s">
        <v>9</v>
      </c>
      <c r="J5" s="24"/>
      <c r="K5" s="19">
        <f>SUM(K2:K4)</f>
        <v>6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/>
      <c r="I6" s="3"/>
      <c r="J6" s="3"/>
      <c r="K6" s="1"/>
    </row>
    <row r="7" spans="1:11" ht="15" customHeight="1" x14ac:dyDescent="0.25">
      <c r="A7" s="14">
        <v>1</v>
      </c>
      <c r="B7" s="10" t="s">
        <v>52</v>
      </c>
      <c r="C7" s="10" t="s">
        <v>26</v>
      </c>
      <c r="D7" s="9" t="s">
        <v>172</v>
      </c>
      <c r="E7" s="9" t="s">
        <v>169</v>
      </c>
      <c r="F7" s="20" t="s">
        <v>174</v>
      </c>
      <c r="G7" s="16">
        <v>1</v>
      </c>
      <c r="H7" s="2" t="s">
        <v>173</v>
      </c>
      <c r="I7" s="15"/>
      <c r="J7" s="15"/>
      <c r="K7" s="1"/>
    </row>
    <row r="8" spans="1:11" ht="15" customHeight="1" x14ac:dyDescent="0.25">
      <c r="A8" s="14">
        <f>+A7+1</f>
        <v>2</v>
      </c>
      <c r="B8" s="10" t="s">
        <v>52</v>
      </c>
      <c r="C8" s="10" t="s">
        <v>26</v>
      </c>
      <c r="D8" s="9" t="s">
        <v>168</v>
      </c>
      <c r="E8" s="9" t="s">
        <v>169</v>
      </c>
      <c r="F8" s="20" t="s">
        <v>170</v>
      </c>
      <c r="G8" s="16">
        <v>1</v>
      </c>
      <c r="H8" s="2" t="s">
        <v>171</v>
      </c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 t="s">
        <v>52</v>
      </c>
      <c r="C9" s="10" t="s">
        <v>26</v>
      </c>
      <c r="D9" s="9" t="s">
        <v>180</v>
      </c>
      <c r="E9" s="12">
        <v>45876</v>
      </c>
      <c r="F9" s="20" t="s">
        <v>181</v>
      </c>
      <c r="G9" s="16">
        <v>1</v>
      </c>
      <c r="H9" s="2" t="s">
        <v>182</v>
      </c>
      <c r="I9" s="2"/>
      <c r="J9" s="2"/>
      <c r="K9" s="1"/>
    </row>
    <row r="10" spans="1:11" ht="15" customHeight="1" x14ac:dyDescent="0.25">
      <c r="A10" s="14">
        <f t="shared" si="0"/>
        <v>4</v>
      </c>
      <c r="B10" s="10" t="s">
        <v>52</v>
      </c>
      <c r="C10" s="10">
        <v>40</v>
      </c>
      <c r="D10" s="9" t="s">
        <v>183</v>
      </c>
      <c r="E10" s="12">
        <v>45888</v>
      </c>
      <c r="F10" s="20" t="s">
        <v>184</v>
      </c>
      <c r="G10" s="16">
        <v>1</v>
      </c>
      <c r="H10" s="2" t="s">
        <v>185</v>
      </c>
      <c r="I10" s="2"/>
      <c r="J10" s="2"/>
      <c r="K10" s="1"/>
    </row>
    <row r="11" spans="1:11" ht="15" customHeight="1" x14ac:dyDescent="0.25">
      <c r="A11" s="14">
        <f t="shared" si="0"/>
        <v>5</v>
      </c>
      <c r="B11" s="12" t="s">
        <v>52</v>
      </c>
      <c r="C11" s="10" t="s">
        <v>26</v>
      </c>
      <c r="D11" s="9" t="s">
        <v>175</v>
      </c>
      <c r="E11" s="12">
        <v>45894</v>
      </c>
      <c r="F11" s="20" t="s">
        <v>177</v>
      </c>
      <c r="G11" s="16">
        <v>1</v>
      </c>
      <c r="H11" s="21" t="s">
        <v>178</v>
      </c>
      <c r="I11" s="2"/>
      <c r="J11" s="2"/>
      <c r="K11" s="1"/>
    </row>
    <row r="12" spans="1:11" ht="15" customHeight="1" x14ac:dyDescent="0.25">
      <c r="A12" s="14">
        <f t="shared" si="0"/>
        <v>6</v>
      </c>
      <c r="B12" s="10" t="s">
        <v>179</v>
      </c>
      <c r="C12" s="10" t="s">
        <v>26</v>
      </c>
      <c r="D12" s="9" t="s">
        <v>176</v>
      </c>
      <c r="E12" s="12">
        <v>45894</v>
      </c>
      <c r="F12" s="20" t="s">
        <v>24</v>
      </c>
      <c r="G12" s="16">
        <v>1</v>
      </c>
      <c r="H12" s="21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>
        <v>1</v>
      </c>
      <c r="H13" s="21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1"/>
      <c r="I14" s="2"/>
      <c r="J14" s="2"/>
      <c r="K14" s="1"/>
    </row>
    <row r="15" spans="1:11" ht="15" customHeight="1" x14ac:dyDescent="0.25">
      <c r="A15" s="14">
        <f t="shared" si="0"/>
        <v>9</v>
      </c>
      <c r="B15" s="10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0"/>
      <c r="C17" s="10"/>
      <c r="D17" s="9"/>
      <c r="E17" s="12"/>
      <c r="F17" s="20"/>
      <c r="G17" s="16">
        <v>1</v>
      </c>
      <c r="H17" s="2"/>
      <c r="I17" s="2"/>
      <c r="J17" s="2"/>
    </row>
    <row r="18" spans="1:10" ht="15" customHeight="1" x14ac:dyDescent="0.25">
      <c r="A18" s="14">
        <f t="shared" si="0"/>
        <v>12</v>
      </c>
      <c r="B18" s="10"/>
      <c r="C18" s="10"/>
      <c r="D18" s="9"/>
      <c r="E18" s="12"/>
      <c r="F18" s="20"/>
      <c r="G18" s="16">
        <v>1</v>
      </c>
      <c r="H18" s="2"/>
      <c r="I18" s="2"/>
      <c r="J18" s="2"/>
    </row>
    <row r="19" spans="1:10" ht="15" customHeight="1" x14ac:dyDescent="0.25">
      <c r="A19" s="14">
        <f t="shared" si="0"/>
        <v>13</v>
      </c>
      <c r="B19" s="10"/>
      <c r="C19" s="10"/>
      <c r="D19" s="9"/>
      <c r="E19" s="12"/>
      <c r="F19" s="20"/>
      <c r="G19" s="16">
        <v>1</v>
      </c>
      <c r="H19" s="21"/>
      <c r="I19" s="2"/>
      <c r="J19" s="2"/>
    </row>
    <row r="20" spans="1:10" ht="15" customHeight="1" x14ac:dyDescent="0.25">
      <c r="A20" s="14">
        <f t="shared" si="0"/>
        <v>14</v>
      </c>
      <c r="B20" s="10"/>
      <c r="C20" s="10"/>
      <c r="D20" s="9"/>
      <c r="E20" s="12"/>
      <c r="F20" s="20"/>
      <c r="G20" s="16">
        <v>1</v>
      </c>
      <c r="H20" s="21"/>
      <c r="I20" s="2"/>
      <c r="J20" s="2"/>
    </row>
    <row r="21" spans="1:10" ht="15" customHeight="1" x14ac:dyDescent="0.25">
      <c r="A21" s="14">
        <f t="shared" si="0"/>
        <v>15</v>
      </c>
      <c r="B21" s="10"/>
      <c r="C21" s="10"/>
      <c r="D21" s="9"/>
      <c r="E21" s="12"/>
      <c r="F21" s="20"/>
      <c r="G21" s="16">
        <v>1</v>
      </c>
      <c r="H21" s="21"/>
      <c r="I21" s="2"/>
      <c r="J21" s="2"/>
    </row>
    <row r="22" spans="1:10" ht="15" customHeight="1" x14ac:dyDescent="0.25">
      <c r="A22" s="14">
        <f t="shared" si="0"/>
        <v>16</v>
      </c>
      <c r="B22" s="12"/>
      <c r="C22" s="10"/>
      <c r="D22" s="9"/>
      <c r="E22" s="12"/>
      <c r="F22" s="20"/>
      <c r="G22" s="16">
        <v>1</v>
      </c>
      <c r="H22" s="11"/>
      <c r="I22" s="2"/>
      <c r="J22" s="2"/>
    </row>
    <row r="23" spans="1:10" ht="15" customHeight="1" x14ac:dyDescent="0.25">
      <c r="A23" s="14">
        <f t="shared" si="0"/>
        <v>17</v>
      </c>
      <c r="B23" s="12"/>
      <c r="C23" s="10"/>
      <c r="D23" s="9"/>
      <c r="E23" s="12"/>
      <c r="F23" s="20"/>
      <c r="G23" s="16">
        <v>1</v>
      </c>
      <c r="H23" s="2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1"/>
      <c r="I24" s="2"/>
      <c r="J24" s="2"/>
    </row>
    <row r="25" spans="1:10" ht="15" customHeight="1" x14ac:dyDescent="0.25">
      <c r="A25" s="14">
        <f t="shared" si="0"/>
        <v>19</v>
      </c>
      <c r="B25" s="12"/>
      <c r="C25" s="10"/>
      <c r="D25" s="9"/>
      <c r="E25" s="12"/>
      <c r="F25" s="20"/>
      <c r="G25" s="16">
        <v>1</v>
      </c>
      <c r="H25" s="1"/>
      <c r="I25" s="2"/>
      <c r="J25" s="2"/>
    </row>
    <row r="26" spans="1:10" ht="15" customHeight="1" x14ac:dyDescent="0.25">
      <c r="A26" s="14">
        <f t="shared" si="0"/>
        <v>20</v>
      </c>
      <c r="B26" s="12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"/>
      <c r="I27" s="1"/>
      <c r="J27" s="1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21"/>
      <c r="I28" s="1"/>
      <c r="J28" s="1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>
        <v>1</v>
      </c>
      <c r="H30" s="1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12"/>
      <c r="C34" s="10"/>
      <c r="D34" s="9"/>
      <c r="E34" s="12"/>
      <c r="F34" s="20"/>
      <c r="G34" s="16">
        <v>1</v>
      </c>
      <c r="I34" s="1"/>
      <c r="J34" s="1"/>
    </row>
    <row r="35" spans="1:10" ht="15" customHeight="1" x14ac:dyDescent="0.25">
      <c r="A35" s="14">
        <f t="shared" si="0"/>
        <v>29</v>
      </c>
      <c r="B35" s="12"/>
      <c r="C35" s="10"/>
      <c r="D35" s="9"/>
      <c r="E35" s="12"/>
      <c r="F35" s="20"/>
      <c r="G35" s="16">
        <v>1</v>
      </c>
      <c r="I35" s="1"/>
      <c r="J35" s="1"/>
    </row>
    <row r="36" spans="1:10" x14ac:dyDescent="0.25">
      <c r="A36" s="14">
        <f t="shared" si="0"/>
        <v>30</v>
      </c>
      <c r="B36" s="12"/>
      <c r="C36" s="10"/>
      <c r="D36" s="9"/>
      <c r="E36" s="12"/>
      <c r="F36" s="20"/>
      <c r="G36" s="16">
        <v>1</v>
      </c>
    </row>
    <row r="37" spans="1:10" x14ac:dyDescent="0.25">
      <c r="A37" s="14">
        <f t="shared" si="0"/>
        <v>31</v>
      </c>
      <c r="B37" s="12"/>
      <c r="C37" s="10"/>
      <c r="D37" s="9"/>
      <c r="E37" s="12"/>
      <c r="F37" s="20"/>
      <c r="G37" s="16">
        <v>1</v>
      </c>
      <c r="H37" s="1"/>
    </row>
    <row r="38" spans="1:10" x14ac:dyDescent="0.25">
      <c r="A38" s="14">
        <f t="shared" si="0"/>
        <v>32</v>
      </c>
      <c r="B38" s="12"/>
      <c r="C38" s="10"/>
      <c r="D38" s="9"/>
      <c r="E38" s="12"/>
      <c r="F38" s="20"/>
      <c r="G38" s="16">
        <v>1</v>
      </c>
    </row>
    <row r="39" spans="1:10" x14ac:dyDescent="0.25">
      <c r="A39" s="14">
        <f t="shared" si="0"/>
        <v>33</v>
      </c>
      <c r="B39" s="12"/>
      <c r="C39" s="10"/>
      <c r="D39" s="9"/>
      <c r="E39" s="12"/>
      <c r="F39" s="20"/>
      <c r="G39" s="16">
        <v>1</v>
      </c>
    </row>
    <row r="40" spans="1:10" x14ac:dyDescent="0.25">
      <c r="A40" s="14">
        <f t="shared" si="0"/>
        <v>34</v>
      </c>
      <c r="B40" s="12"/>
      <c r="C40" s="10"/>
      <c r="D40" s="9"/>
      <c r="E40" s="12"/>
      <c r="F40" s="20"/>
      <c r="G40" s="16">
        <v>1</v>
      </c>
    </row>
    <row r="41" spans="1:10" x14ac:dyDescent="0.25">
      <c r="A41" s="14">
        <f t="shared" si="0"/>
        <v>35</v>
      </c>
      <c r="B41" s="12"/>
      <c r="C41" s="10"/>
      <c r="D41" s="9"/>
      <c r="E41" s="12"/>
      <c r="F41" s="20"/>
      <c r="G41" s="16">
        <v>1</v>
      </c>
      <c r="H41" s="1"/>
    </row>
    <row r="42" spans="1:10" x14ac:dyDescent="0.25">
      <c r="A42" s="14">
        <f t="shared" si="0"/>
        <v>36</v>
      </c>
      <c r="B42" s="12"/>
      <c r="C42" s="10"/>
      <c r="D42" s="9"/>
      <c r="E42" s="12"/>
      <c r="F42" s="20"/>
      <c r="G42" s="16">
        <v>1</v>
      </c>
    </row>
    <row r="43" spans="1:10" x14ac:dyDescent="0.25">
      <c r="A43" s="14">
        <f t="shared" si="0"/>
        <v>37</v>
      </c>
      <c r="B43" s="12"/>
      <c r="C43" s="10"/>
      <c r="D43" s="9"/>
      <c r="E43" s="12"/>
      <c r="F43" s="20"/>
      <c r="G43" s="16">
        <v>1</v>
      </c>
    </row>
    <row r="44" spans="1:10" x14ac:dyDescent="0.25">
      <c r="A44" s="14">
        <f t="shared" si="0"/>
        <v>38</v>
      </c>
      <c r="B44" s="12"/>
      <c r="C44" s="10"/>
      <c r="D44" s="9"/>
      <c r="E44" s="12"/>
      <c r="F44" s="20"/>
      <c r="G44" s="16">
        <v>1</v>
      </c>
    </row>
    <row r="45" spans="1:10" x14ac:dyDescent="0.25">
      <c r="A45" s="14">
        <f t="shared" si="0"/>
        <v>39</v>
      </c>
      <c r="B45" s="12"/>
      <c r="C45" s="10"/>
      <c r="D45" s="9"/>
      <c r="E45" s="12"/>
      <c r="F45" s="20"/>
      <c r="G45" s="16">
        <v>1</v>
      </c>
    </row>
    <row r="46" spans="1:10" x14ac:dyDescent="0.25">
      <c r="A46" s="14">
        <f t="shared" si="0"/>
        <v>40</v>
      </c>
      <c r="B46" s="12"/>
      <c r="C46" s="10"/>
      <c r="D46" s="9"/>
      <c r="E46" s="12"/>
      <c r="F46" s="20"/>
      <c r="G46" s="16">
        <v>1</v>
      </c>
    </row>
  </sheetData>
  <sortState xmlns:xlrd2="http://schemas.microsoft.com/office/spreadsheetml/2017/richdata2" ref="B7:H12">
    <sortCondition ref="E7:E12"/>
    <sortCondition ref="D7:D12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K46"/>
  <sheetViews>
    <sheetView workbookViewId="0">
      <selection activeCell="F15" sqref="F15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5.28515625" hidden="1" customWidth="1"/>
    <col min="8" max="8" width="29.85546875" customWidth="1"/>
  </cols>
  <sheetData>
    <row r="1" spans="1:11" ht="18" x14ac:dyDescent="0.25">
      <c r="A1" s="22" t="s">
        <v>0</v>
      </c>
      <c r="B1" s="22"/>
      <c r="C1" s="22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6" t="s">
        <v>2</v>
      </c>
      <c r="B2" s="26"/>
      <c r="C2" s="26"/>
      <c r="D2" s="6"/>
      <c r="E2" s="27" t="s">
        <v>3</v>
      </c>
      <c r="F2" s="27"/>
      <c r="G2" s="4"/>
      <c r="H2" s="4"/>
      <c r="I2" s="23" t="s">
        <v>4</v>
      </c>
      <c r="J2" s="24"/>
      <c r="K2" s="17">
        <f>SUMIF(F7:F35,"Elimination*",G7:G35)</f>
        <v>11</v>
      </c>
    </row>
    <row r="3" spans="1:11" x14ac:dyDescent="0.25">
      <c r="A3" s="27" t="s">
        <v>5</v>
      </c>
      <c r="B3" s="27"/>
      <c r="C3" s="27"/>
      <c r="D3" s="5"/>
      <c r="E3" s="27" t="s">
        <v>16</v>
      </c>
      <c r="F3" s="27"/>
      <c r="G3" s="4"/>
      <c r="H3" s="4"/>
      <c r="I3" s="23" t="s">
        <v>6</v>
      </c>
      <c r="J3" s="24"/>
      <c r="K3" s="17">
        <f>SUMIF(F7:F35,"NB*",G7:G35)</f>
        <v>1</v>
      </c>
    </row>
    <row r="4" spans="1:11" ht="18" x14ac:dyDescent="0.25">
      <c r="A4" s="22" t="s">
        <v>7</v>
      </c>
      <c r="B4" s="22"/>
      <c r="C4" s="22"/>
      <c r="D4" s="22"/>
      <c r="E4" s="22"/>
      <c r="F4" s="22"/>
      <c r="G4" s="4"/>
      <c r="H4" s="4"/>
      <c r="I4" s="23" t="s">
        <v>8</v>
      </c>
      <c r="J4" s="24"/>
      <c r="K4" s="17">
        <f>SUMIF(F7:F35,"Ve*",G7:G35)</f>
        <v>0</v>
      </c>
    </row>
    <row r="5" spans="1:11" ht="15.75" x14ac:dyDescent="0.25">
      <c r="A5" s="25" t="s">
        <v>187</v>
      </c>
      <c r="B5" s="25"/>
      <c r="C5" s="25"/>
      <c r="D5" s="25"/>
      <c r="E5" s="25"/>
      <c r="F5" s="25"/>
      <c r="G5" s="18"/>
      <c r="H5" s="18"/>
      <c r="I5" s="23" t="s">
        <v>9</v>
      </c>
      <c r="J5" s="24"/>
      <c r="K5" s="19">
        <f>SUM(K2:K4)</f>
        <v>12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/>
      <c r="I6" s="3"/>
      <c r="J6" s="3"/>
      <c r="K6" s="1"/>
    </row>
    <row r="7" spans="1:11" ht="15" customHeight="1" x14ac:dyDescent="0.25">
      <c r="A7" s="14">
        <v>1</v>
      </c>
      <c r="B7" s="10" t="s">
        <v>52</v>
      </c>
      <c r="C7" s="10" t="s">
        <v>26</v>
      </c>
      <c r="D7" s="9" t="s">
        <v>188</v>
      </c>
      <c r="E7" s="9" t="s">
        <v>189</v>
      </c>
      <c r="F7" s="20" t="s">
        <v>190</v>
      </c>
      <c r="G7" s="16">
        <v>1</v>
      </c>
      <c r="H7" s="2" t="s">
        <v>191</v>
      </c>
      <c r="I7" s="15"/>
      <c r="J7" s="15"/>
      <c r="K7" s="1"/>
    </row>
    <row r="8" spans="1:11" ht="15" customHeight="1" x14ac:dyDescent="0.25">
      <c r="A8" s="14">
        <f>+A7+1</f>
        <v>2</v>
      </c>
      <c r="B8" s="10" t="s">
        <v>209</v>
      </c>
      <c r="C8" s="10" t="s">
        <v>26</v>
      </c>
      <c r="D8" s="9" t="s">
        <v>210</v>
      </c>
      <c r="E8" s="9" t="s">
        <v>198</v>
      </c>
      <c r="F8" s="20" t="s">
        <v>24</v>
      </c>
      <c r="G8" s="16">
        <v>1</v>
      </c>
      <c r="H8" s="2"/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 t="s">
        <v>211</v>
      </c>
      <c r="C9" s="10" t="s">
        <v>26</v>
      </c>
      <c r="D9" s="9" t="s">
        <v>212</v>
      </c>
      <c r="E9" s="9" t="s">
        <v>198</v>
      </c>
      <c r="F9" s="20" t="s">
        <v>24</v>
      </c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 t="s">
        <v>213</v>
      </c>
      <c r="C10" s="10" t="s">
        <v>26</v>
      </c>
      <c r="D10" s="9" t="s">
        <v>214</v>
      </c>
      <c r="E10" s="9" t="s">
        <v>198</v>
      </c>
      <c r="F10" s="20" t="s">
        <v>24</v>
      </c>
      <c r="G10" s="16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10" t="s">
        <v>192</v>
      </c>
      <c r="C11" s="10" t="s">
        <v>26</v>
      </c>
      <c r="D11" s="9" t="s">
        <v>193</v>
      </c>
      <c r="E11" s="9" t="s">
        <v>198</v>
      </c>
      <c r="F11" s="20" t="s">
        <v>24</v>
      </c>
      <c r="G11" s="16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10" t="s">
        <v>199</v>
      </c>
      <c r="C12" s="10" t="s">
        <v>26</v>
      </c>
      <c r="D12" s="9" t="s">
        <v>194</v>
      </c>
      <c r="E12" s="9" t="s">
        <v>198</v>
      </c>
      <c r="F12" s="20" t="s">
        <v>24</v>
      </c>
      <c r="G12" s="16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10" t="s">
        <v>200</v>
      </c>
      <c r="C13" s="10" t="s">
        <v>26</v>
      </c>
      <c r="D13" s="9" t="s">
        <v>195</v>
      </c>
      <c r="E13" s="9" t="s">
        <v>198</v>
      </c>
      <c r="F13" s="20" t="s">
        <v>24</v>
      </c>
      <c r="G13" s="16">
        <v>1</v>
      </c>
      <c r="H13" s="2"/>
      <c r="I13" s="2"/>
      <c r="J13" s="2"/>
      <c r="K13" s="1"/>
    </row>
    <row r="14" spans="1:11" ht="15" customHeight="1" x14ac:dyDescent="0.25">
      <c r="A14" s="14">
        <f t="shared" si="0"/>
        <v>8</v>
      </c>
      <c r="B14" s="12" t="s">
        <v>201</v>
      </c>
      <c r="C14" s="10" t="s">
        <v>26</v>
      </c>
      <c r="D14" s="9" t="s">
        <v>196</v>
      </c>
      <c r="E14" s="9" t="s">
        <v>198</v>
      </c>
      <c r="F14" s="20" t="s">
        <v>24</v>
      </c>
      <c r="G14" s="16">
        <v>1</v>
      </c>
      <c r="H14" s="21"/>
      <c r="I14" s="2"/>
      <c r="J14" s="2"/>
      <c r="K14" s="1"/>
    </row>
    <row r="15" spans="1:11" ht="15" customHeight="1" x14ac:dyDescent="0.25">
      <c r="A15" s="14">
        <f t="shared" si="0"/>
        <v>9</v>
      </c>
      <c r="B15" s="10" t="s">
        <v>202</v>
      </c>
      <c r="C15" s="10" t="s">
        <v>26</v>
      </c>
      <c r="D15" s="9" t="s">
        <v>197</v>
      </c>
      <c r="E15" s="9" t="s">
        <v>198</v>
      </c>
      <c r="F15" s="20" t="s">
        <v>24</v>
      </c>
      <c r="G15" s="16">
        <v>1</v>
      </c>
      <c r="H15" s="21"/>
      <c r="I15" s="2"/>
      <c r="J15" s="2"/>
    </row>
    <row r="16" spans="1:11" ht="15" customHeight="1" x14ac:dyDescent="0.25">
      <c r="A16" s="14">
        <f t="shared" si="0"/>
        <v>10</v>
      </c>
      <c r="B16" s="10" t="s">
        <v>206</v>
      </c>
      <c r="C16" s="10" t="s">
        <v>26</v>
      </c>
      <c r="D16" s="9" t="s">
        <v>203</v>
      </c>
      <c r="E16" s="9" t="s">
        <v>198</v>
      </c>
      <c r="F16" s="20" t="s">
        <v>24</v>
      </c>
      <c r="G16" s="16">
        <v>1</v>
      </c>
      <c r="H16" s="21"/>
      <c r="I16" s="2"/>
      <c r="J16" s="2"/>
    </row>
    <row r="17" spans="1:10" ht="15" customHeight="1" x14ac:dyDescent="0.25">
      <c r="A17" s="14">
        <f t="shared" si="0"/>
        <v>11</v>
      </c>
      <c r="B17" s="10" t="s">
        <v>207</v>
      </c>
      <c r="C17" s="10" t="s">
        <v>26</v>
      </c>
      <c r="D17" s="9" t="s">
        <v>204</v>
      </c>
      <c r="E17" s="9" t="s">
        <v>198</v>
      </c>
      <c r="F17" s="20" t="s">
        <v>24</v>
      </c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0" t="s">
        <v>208</v>
      </c>
      <c r="C18" s="10" t="s">
        <v>26</v>
      </c>
      <c r="D18" s="9" t="s">
        <v>205</v>
      </c>
      <c r="E18" s="9" t="s">
        <v>198</v>
      </c>
      <c r="F18" s="20" t="s">
        <v>24</v>
      </c>
      <c r="G18" s="16">
        <v>1</v>
      </c>
      <c r="H18" s="2"/>
      <c r="I18" s="2"/>
      <c r="J18" s="2"/>
    </row>
    <row r="19" spans="1:10" ht="15" customHeight="1" x14ac:dyDescent="0.25">
      <c r="A19" s="14">
        <f t="shared" si="0"/>
        <v>13</v>
      </c>
      <c r="B19" s="10"/>
      <c r="C19" s="10"/>
      <c r="D19" s="9"/>
      <c r="E19" s="12"/>
      <c r="F19" s="20"/>
      <c r="G19" s="16">
        <v>1</v>
      </c>
      <c r="H19" s="21"/>
      <c r="I19" s="2"/>
      <c r="J19" s="2"/>
    </row>
    <row r="20" spans="1:10" ht="15" customHeight="1" x14ac:dyDescent="0.25">
      <c r="A20" s="14">
        <f t="shared" si="0"/>
        <v>14</v>
      </c>
      <c r="B20" s="10"/>
      <c r="C20" s="10"/>
      <c r="D20" s="9"/>
      <c r="E20" s="12"/>
      <c r="F20" s="20"/>
      <c r="G20" s="16">
        <v>1</v>
      </c>
      <c r="H20" s="21"/>
      <c r="I20" s="2"/>
      <c r="J20" s="2"/>
    </row>
    <row r="21" spans="1:10" ht="15" customHeight="1" x14ac:dyDescent="0.25">
      <c r="A21" s="14">
        <f t="shared" si="0"/>
        <v>15</v>
      </c>
      <c r="B21" s="10"/>
      <c r="C21" s="10"/>
      <c r="D21" s="9"/>
      <c r="E21" s="12"/>
      <c r="F21" s="20"/>
      <c r="G21" s="16">
        <v>1</v>
      </c>
      <c r="H21" s="21"/>
      <c r="I21" s="2"/>
      <c r="J21" s="2"/>
    </row>
    <row r="22" spans="1:10" ht="15" customHeight="1" x14ac:dyDescent="0.25">
      <c r="A22" s="14">
        <f t="shared" si="0"/>
        <v>16</v>
      </c>
      <c r="B22" s="12"/>
      <c r="C22" s="10"/>
      <c r="D22" s="9"/>
      <c r="E22" s="12"/>
      <c r="F22" s="20"/>
      <c r="G22" s="16">
        <v>1</v>
      </c>
      <c r="H22" s="11"/>
      <c r="I22" s="2"/>
      <c r="J22" s="2"/>
    </row>
    <row r="23" spans="1:10" ht="15" customHeight="1" x14ac:dyDescent="0.25">
      <c r="A23" s="14">
        <f t="shared" si="0"/>
        <v>17</v>
      </c>
      <c r="B23" s="12"/>
      <c r="C23" s="10"/>
      <c r="D23" s="9"/>
      <c r="E23" s="12"/>
      <c r="F23" s="20"/>
      <c r="G23" s="16">
        <v>1</v>
      </c>
      <c r="H23" s="2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1"/>
      <c r="I24" s="2"/>
      <c r="J24" s="2"/>
    </row>
    <row r="25" spans="1:10" ht="15" customHeight="1" x14ac:dyDescent="0.25">
      <c r="A25" s="14">
        <f t="shared" si="0"/>
        <v>19</v>
      </c>
      <c r="B25" s="12"/>
      <c r="C25" s="10"/>
      <c r="D25" s="9"/>
      <c r="E25" s="12"/>
      <c r="F25" s="20"/>
      <c r="G25" s="16">
        <v>1</v>
      </c>
      <c r="H25" s="1"/>
      <c r="I25" s="2"/>
      <c r="J25" s="2"/>
    </row>
    <row r="26" spans="1:10" ht="15" customHeight="1" x14ac:dyDescent="0.25">
      <c r="A26" s="14">
        <f t="shared" si="0"/>
        <v>20</v>
      </c>
      <c r="B26" s="12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"/>
      <c r="I27" s="1"/>
      <c r="J27" s="1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21"/>
      <c r="I28" s="1"/>
      <c r="J28" s="1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>
        <v>1</v>
      </c>
      <c r="H30" s="1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12"/>
      <c r="C34" s="10"/>
      <c r="D34" s="9"/>
      <c r="E34" s="12"/>
      <c r="F34" s="20"/>
      <c r="G34" s="16">
        <v>1</v>
      </c>
      <c r="I34" s="1"/>
      <c r="J34" s="1"/>
    </row>
    <row r="35" spans="1:10" ht="15" customHeight="1" x14ac:dyDescent="0.25">
      <c r="A35" s="14">
        <f t="shared" si="0"/>
        <v>29</v>
      </c>
      <c r="B35" s="12"/>
      <c r="C35" s="10"/>
      <c r="D35" s="9"/>
      <c r="E35" s="12"/>
      <c r="F35" s="20"/>
      <c r="G35" s="16">
        <v>1</v>
      </c>
      <c r="I35" s="1"/>
      <c r="J35" s="1"/>
    </row>
    <row r="36" spans="1:10" x14ac:dyDescent="0.25">
      <c r="A36" s="14">
        <f t="shared" si="0"/>
        <v>30</v>
      </c>
      <c r="B36" s="12"/>
      <c r="C36" s="10"/>
      <c r="D36" s="9"/>
      <c r="E36" s="12"/>
      <c r="F36" s="20"/>
      <c r="G36" s="16">
        <v>1</v>
      </c>
    </row>
    <row r="37" spans="1:10" x14ac:dyDescent="0.25">
      <c r="A37" s="14">
        <f t="shared" si="0"/>
        <v>31</v>
      </c>
      <c r="B37" s="12"/>
      <c r="C37" s="10"/>
      <c r="D37" s="9"/>
      <c r="E37" s="12"/>
      <c r="F37" s="20"/>
      <c r="G37" s="16">
        <v>1</v>
      </c>
      <c r="H37" s="1"/>
    </row>
    <row r="38" spans="1:10" x14ac:dyDescent="0.25">
      <c r="A38" s="14">
        <f t="shared" si="0"/>
        <v>32</v>
      </c>
      <c r="B38" s="12"/>
      <c r="C38" s="10"/>
      <c r="D38" s="9"/>
      <c r="E38" s="12"/>
      <c r="F38" s="20"/>
      <c r="G38" s="16">
        <v>1</v>
      </c>
    </row>
    <row r="39" spans="1:10" x14ac:dyDescent="0.25">
      <c r="A39" s="14">
        <f t="shared" si="0"/>
        <v>33</v>
      </c>
      <c r="B39" s="12"/>
      <c r="C39" s="10"/>
      <c r="D39" s="9"/>
      <c r="E39" s="12"/>
      <c r="F39" s="20"/>
      <c r="G39" s="16">
        <v>1</v>
      </c>
    </row>
    <row r="40" spans="1:10" x14ac:dyDescent="0.25">
      <c r="A40" s="14">
        <f t="shared" si="0"/>
        <v>34</v>
      </c>
      <c r="B40" s="12"/>
      <c r="C40" s="10"/>
      <c r="D40" s="9"/>
      <c r="E40" s="12"/>
      <c r="F40" s="20"/>
      <c r="G40" s="16">
        <v>1</v>
      </c>
    </row>
    <row r="41" spans="1:10" x14ac:dyDescent="0.25">
      <c r="A41" s="14">
        <f t="shared" si="0"/>
        <v>35</v>
      </c>
      <c r="B41" s="12"/>
      <c r="C41" s="10"/>
      <c r="D41" s="9"/>
      <c r="E41" s="12"/>
      <c r="F41" s="20"/>
      <c r="G41" s="16">
        <v>1</v>
      </c>
      <c r="H41" s="1"/>
    </row>
    <row r="42" spans="1:10" x14ac:dyDescent="0.25">
      <c r="A42" s="14">
        <f t="shared" si="0"/>
        <v>36</v>
      </c>
      <c r="B42" s="12"/>
      <c r="C42" s="10"/>
      <c r="D42" s="9"/>
      <c r="E42" s="12"/>
      <c r="F42" s="20"/>
      <c r="G42" s="16">
        <v>1</v>
      </c>
    </row>
    <row r="43" spans="1:10" x14ac:dyDescent="0.25">
      <c r="A43" s="14">
        <f t="shared" si="0"/>
        <v>37</v>
      </c>
      <c r="B43" s="12"/>
      <c r="C43" s="10"/>
      <c r="D43" s="9"/>
      <c r="E43" s="12"/>
      <c r="F43" s="20"/>
      <c r="G43" s="16">
        <v>1</v>
      </c>
    </row>
    <row r="44" spans="1:10" x14ac:dyDescent="0.25">
      <c r="A44" s="14">
        <f t="shared" si="0"/>
        <v>38</v>
      </c>
      <c r="B44" s="12"/>
      <c r="C44" s="10"/>
      <c r="D44" s="9"/>
      <c r="E44" s="12"/>
      <c r="F44" s="20"/>
      <c r="G44" s="16">
        <v>1</v>
      </c>
    </row>
    <row r="45" spans="1:10" x14ac:dyDescent="0.25">
      <c r="A45" s="14">
        <f t="shared" si="0"/>
        <v>39</v>
      </c>
      <c r="B45" s="12"/>
      <c r="C45" s="10"/>
      <c r="D45" s="9"/>
      <c r="E45" s="12"/>
      <c r="F45" s="20"/>
      <c r="G45" s="16">
        <v>1</v>
      </c>
    </row>
    <row r="46" spans="1:10" x14ac:dyDescent="0.25">
      <c r="A46" s="14">
        <f t="shared" si="0"/>
        <v>40</v>
      </c>
      <c r="B46" s="12"/>
      <c r="C46" s="10"/>
      <c r="D46" s="9"/>
      <c r="E46" s="12"/>
      <c r="F46" s="20"/>
      <c r="G46" s="16">
        <v>1</v>
      </c>
    </row>
  </sheetData>
  <sortState xmlns:xlrd2="http://schemas.microsoft.com/office/spreadsheetml/2017/richdata2" ref="B7:H18">
    <sortCondition ref="E7:E18"/>
    <sortCondition ref="D7:D18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K46"/>
  <sheetViews>
    <sheetView workbookViewId="0">
      <selection activeCell="H20" sqref="H20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5.28515625" hidden="1" customWidth="1"/>
    <col min="8" max="8" width="29.85546875" customWidth="1"/>
  </cols>
  <sheetData>
    <row r="1" spans="1:11" ht="18" x14ac:dyDescent="0.25">
      <c r="A1" s="22" t="s">
        <v>0</v>
      </c>
      <c r="B1" s="22"/>
      <c r="C1" s="22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6" t="s">
        <v>2</v>
      </c>
      <c r="B2" s="26"/>
      <c r="C2" s="26"/>
      <c r="D2" s="6"/>
      <c r="E2" s="27" t="s">
        <v>3</v>
      </c>
      <c r="F2" s="27"/>
      <c r="G2" s="4"/>
      <c r="H2" s="4"/>
      <c r="I2" s="23" t="s">
        <v>4</v>
      </c>
      <c r="J2" s="24"/>
      <c r="K2" s="17">
        <f>SUMIF(F7:F35,"Elimination*",G7:G35)</f>
        <v>0</v>
      </c>
    </row>
    <row r="3" spans="1:11" x14ac:dyDescent="0.25">
      <c r="A3" s="27" t="s">
        <v>5</v>
      </c>
      <c r="B3" s="27"/>
      <c r="C3" s="27"/>
      <c r="D3" s="5"/>
      <c r="E3" s="27" t="s">
        <v>16</v>
      </c>
      <c r="F3" s="27"/>
      <c r="G3" s="4"/>
      <c r="H3" s="4"/>
      <c r="I3" s="23" t="s">
        <v>6</v>
      </c>
      <c r="J3" s="24"/>
      <c r="K3" s="17">
        <f>SUMIF(F7:F35,"NB*",G7:G35)</f>
        <v>2</v>
      </c>
    </row>
    <row r="4" spans="1:11" ht="18" x14ac:dyDescent="0.25">
      <c r="A4" s="22" t="s">
        <v>7</v>
      </c>
      <c r="B4" s="22"/>
      <c r="C4" s="22"/>
      <c r="D4" s="22"/>
      <c r="E4" s="22"/>
      <c r="F4" s="22"/>
      <c r="G4" s="4"/>
      <c r="H4" s="4"/>
      <c r="I4" s="23" t="s">
        <v>8</v>
      </c>
      <c r="J4" s="24"/>
      <c r="K4" s="17">
        <f>SUMIF(F7:F35,"Ve*",G7:G35)</f>
        <v>0</v>
      </c>
    </row>
    <row r="5" spans="1:11" ht="15.75" x14ac:dyDescent="0.25">
      <c r="A5" s="25" t="s">
        <v>215</v>
      </c>
      <c r="B5" s="25"/>
      <c r="C5" s="25"/>
      <c r="D5" s="25"/>
      <c r="E5" s="25"/>
      <c r="F5" s="25"/>
      <c r="G5" s="18"/>
      <c r="H5" s="18"/>
      <c r="I5" s="23" t="s">
        <v>9</v>
      </c>
      <c r="J5" s="24"/>
      <c r="K5" s="19">
        <f>SUM(K2:K4)</f>
        <v>2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/>
      <c r="I6" s="3"/>
      <c r="J6" s="3"/>
      <c r="K6" s="1"/>
    </row>
    <row r="7" spans="1:11" ht="15" customHeight="1" x14ac:dyDescent="0.25">
      <c r="A7" s="14">
        <v>1</v>
      </c>
      <c r="B7" s="10" t="s">
        <v>52</v>
      </c>
      <c r="C7" s="10" t="s">
        <v>26</v>
      </c>
      <c r="D7" s="9" t="s">
        <v>220</v>
      </c>
      <c r="E7" s="9" t="s">
        <v>217</v>
      </c>
      <c r="F7" s="20" t="s">
        <v>221</v>
      </c>
      <c r="G7" s="16">
        <v>1</v>
      </c>
      <c r="H7" s="2" t="s">
        <v>222</v>
      </c>
      <c r="I7" s="15"/>
      <c r="J7" s="15"/>
      <c r="K7" s="1"/>
    </row>
    <row r="8" spans="1:11" ht="15" customHeight="1" x14ac:dyDescent="0.25">
      <c r="A8" s="14">
        <f>+A7+1</f>
        <v>2</v>
      </c>
      <c r="B8" s="10" t="s">
        <v>52</v>
      </c>
      <c r="C8" s="10" t="s">
        <v>26</v>
      </c>
      <c r="D8" s="9" t="s">
        <v>216</v>
      </c>
      <c r="E8" s="9" t="s">
        <v>217</v>
      </c>
      <c r="F8" s="20" t="s">
        <v>218</v>
      </c>
      <c r="G8" s="16">
        <v>1</v>
      </c>
      <c r="H8" s="2" t="s">
        <v>219</v>
      </c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9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9"/>
      <c r="F10" s="20"/>
      <c r="G10" s="16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9"/>
      <c r="F11" s="20"/>
      <c r="G11" s="16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9"/>
      <c r="F12" s="20"/>
      <c r="G12" s="16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9"/>
      <c r="F13" s="20"/>
      <c r="G13" s="16">
        <v>1</v>
      </c>
      <c r="H13" s="2"/>
      <c r="I13" s="2"/>
      <c r="J13" s="2"/>
      <c r="K13" s="1"/>
    </row>
    <row r="14" spans="1:11" ht="15" customHeight="1" x14ac:dyDescent="0.25">
      <c r="A14" s="14">
        <f t="shared" si="0"/>
        <v>8</v>
      </c>
      <c r="B14" s="12"/>
      <c r="C14" s="10"/>
      <c r="D14" s="9"/>
      <c r="E14" s="9"/>
      <c r="F14" s="20"/>
      <c r="G14" s="16">
        <v>1</v>
      </c>
      <c r="H14" s="21"/>
      <c r="I14" s="2"/>
      <c r="J14" s="2"/>
      <c r="K14" s="1"/>
    </row>
    <row r="15" spans="1:11" ht="15" customHeight="1" x14ac:dyDescent="0.25">
      <c r="A15" s="14">
        <f t="shared" si="0"/>
        <v>9</v>
      </c>
      <c r="B15" s="10"/>
      <c r="C15" s="10"/>
      <c r="D15" s="9"/>
      <c r="E15" s="9"/>
      <c r="F15" s="20"/>
      <c r="G15" s="16">
        <v>1</v>
      </c>
      <c r="H15" s="21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9"/>
      <c r="F16" s="20"/>
      <c r="G16" s="16">
        <v>1</v>
      </c>
      <c r="H16" s="21"/>
      <c r="I16" s="2"/>
      <c r="J16" s="2"/>
    </row>
    <row r="17" spans="1:10" ht="15" customHeight="1" x14ac:dyDescent="0.25">
      <c r="A17" s="14">
        <f t="shared" si="0"/>
        <v>11</v>
      </c>
      <c r="B17" s="10"/>
      <c r="C17" s="10"/>
      <c r="D17" s="9"/>
      <c r="E17" s="9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0"/>
      <c r="C18" s="10"/>
      <c r="D18" s="9"/>
      <c r="E18" s="9"/>
      <c r="F18" s="20"/>
      <c r="G18" s="16">
        <v>1</v>
      </c>
      <c r="H18" s="2"/>
      <c r="I18" s="2"/>
      <c r="J18" s="2"/>
    </row>
    <row r="19" spans="1:10" ht="15" customHeight="1" x14ac:dyDescent="0.25">
      <c r="A19" s="14">
        <f t="shared" si="0"/>
        <v>13</v>
      </c>
      <c r="B19" s="10"/>
      <c r="C19" s="10"/>
      <c r="D19" s="9"/>
      <c r="E19" s="12"/>
      <c r="F19" s="20"/>
      <c r="G19" s="16">
        <v>1</v>
      </c>
      <c r="H19" s="21"/>
      <c r="I19" s="2"/>
      <c r="J19" s="2"/>
    </row>
    <row r="20" spans="1:10" ht="15" customHeight="1" x14ac:dyDescent="0.25">
      <c r="A20" s="14">
        <f t="shared" si="0"/>
        <v>14</v>
      </c>
      <c r="B20" s="10"/>
      <c r="C20" s="10"/>
      <c r="D20" s="9"/>
      <c r="E20" s="12"/>
      <c r="F20" s="20"/>
      <c r="G20" s="16">
        <v>1</v>
      </c>
      <c r="H20" s="21"/>
      <c r="I20" s="2"/>
      <c r="J20" s="2"/>
    </row>
    <row r="21" spans="1:10" ht="15" customHeight="1" x14ac:dyDescent="0.25">
      <c r="A21" s="14">
        <f t="shared" si="0"/>
        <v>15</v>
      </c>
      <c r="B21" s="10"/>
      <c r="C21" s="10"/>
      <c r="D21" s="9"/>
      <c r="E21" s="12"/>
      <c r="F21" s="20"/>
      <c r="G21" s="16">
        <v>1</v>
      </c>
      <c r="H21" s="21"/>
      <c r="I21" s="2"/>
      <c r="J21" s="2"/>
    </row>
    <row r="22" spans="1:10" ht="15" customHeight="1" x14ac:dyDescent="0.25">
      <c r="A22" s="14">
        <f t="shared" si="0"/>
        <v>16</v>
      </c>
      <c r="B22" s="12"/>
      <c r="C22" s="10"/>
      <c r="D22" s="9"/>
      <c r="E22" s="12"/>
      <c r="F22" s="20"/>
      <c r="G22" s="16">
        <v>1</v>
      </c>
      <c r="H22" s="11"/>
      <c r="I22" s="2"/>
      <c r="J22" s="2"/>
    </row>
    <row r="23" spans="1:10" ht="15" customHeight="1" x14ac:dyDescent="0.25">
      <c r="A23" s="14">
        <f t="shared" si="0"/>
        <v>17</v>
      </c>
      <c r="B23" s="12"/>
      <c r="C23" s="10"/>
      <c r="D23" s="9"/>
      <c r="E23" s="12"/>
      <c r="F23" s="20"/>
      <c r="G23" s="16">
        <v>1</v>
      </c>
      <c r="H23" s="2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1"/>
      <c r="I24" s="2"/>
      <c r="J24" s="2"/>
    </row>
    <row r="25" spans="1:10" ht="15" customHeight="1" x14ac:dyDescent="0.25">
      <c r="A25" s="14">
        <f t="shared" si="0"/>
        <v>19</v>
      </c>
      <c r="B25" s="12"/>
      <c r="C25" s="10"/>
      <c r="D25" s="9"/>
      <c r="E25" s="12"/>
      <c r="F25" s="20"/>
      <c r="G25" s="16">
        <v>1</v>
      </c>
      <c r="H25" s="1"/>
      <c r="I25" s="2"/>
      <c r="J25" s="2"/>
    </row>
    <row r="26" spans="1:10" ht="15" customHeight="1" x14ac:dyDescent="0.25">
      <c r="A26" s="14">
        <f t="shared" si="0"/>
        <v>20</v>
      </c>
      <c r="B26" s="12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"/>
      <c r="I27" s="1"/>
      <c r="J27" s="1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21"/>
      <c r="I28" s="1"/>
      <c r="J28" s="1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>
        <v>1</v>
      </c>
      <c r="H30" s="1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12"/>
      <c r="C34" s="10"/>
      <c r="D34" s="9"/>
      <c r="E34" s="12"/>
      <c r="F34" s="20"/>
      <c r="G34" s="16">
        <v>1</v>
      </c>
      <c r="I34" s="1"/>
      <c r="J34" s="1"/>
    </row>
    <row r="35" spans="1:10" ht="15" customHeight="1" x14ac:dyDescent="0.25">
      <c r="A35" s="14">
        <f t="shared" si="0"/>
        <v>29</v>
      </c>
      <c r="B35" s="12"/>
      <c r="C35" s="10"/>
      <c r="D35" s="9"/>
      <c r="E35" s="12"/>
      <c r="F35" s="20"/>
      <c r="G35" s="16">
        <v>1</v>
      </c>
      <c r="I35" s="1"/>
      <c r="J35" s="1"/>
    </row>
    <row r="36" spans="1:10" x14ac:dyDescent="0.25">
      <c r="A36" s="14">
        <f t="shared" si="0"/>
        <v>30</v>
      </c>
      <c r="B36" s="12"/>
      <c r="C36" s="10"/>
      <c r="D36" s="9"/>
      <c r="E36" s="12"/>
      <c r="F36" s="20"/>
      <c r="G36" s="16">
        <v>1</v>
      </c>
    </row>
    <row r="37" spans="1:10" x14ac:dyDescent="0.25">
      <c r="A37" s="14">
        <f t="shared" si="0"/>
        <v>31</v>
      </c>
      <c r="B37" s="12"/>
      <c r="C37" s="10"/>
      <c r="D37" s="9"/>
      <c r="E37" s="12"/>
      <c r="F37" s="20"/>
      <c r="G37" s="16">
        <v>1</v>
      </c>
      <c r="H37" s="1"/>
    </row>
    <row r="38" spans="1:10" x14ac:dyDescent="0.25">
      <c r="A38" s="14">
        <f t="shared" si="0"/>
        <v>32</v>
      </c>
      <c r="B38" s="12"/>
      <c r="C38" s="10"/>
      <c r="D38" s="9"/>
      <c r="E38" s="12"/>
      <c r="F38" s="20"/>
      <c r="G38" s="16">
        <v>1</v>
      </c>
    </row>
    <row r="39" spans="1:10" x14ac:dyDescent="0.25">
      <c r="A39" s="14">
        <f t="shared" si="0"/>
        <v>33</v>
      </c>
      <c r="B39" s="12"/>
      <c r="C39" s="10"/>
      <c r="D39" s="9"/>
      <c r="E39" s="12"/>
      <c r="F39" s="20"/>
      <c r="G39" s="16">
        <v>1</v>
      </c>
    </row>
    <row r="40" spans="1:10" x14ac:dyDescent="0.25">
      <c r="A40" s="14">
        <f t="shared" si="0"/>
        <v>34</v>
      </c>
      <c r="B40" s="12"/>
      <c r="C40" s="10"/>
      <c r="D40" s="9"/>
      <c r="E40" s="12"/>
      <c r="F40" s="20"/>
      <c r="G40" s="16">
        <v>1</v>
      </c>
    </row>
    <row r="41" spans="1:10" x14ac:dyDescent="0.25">
      <c r="A41" s="14">
        <f t="shared" si="0"/>
        <v>35</v>
      </c>
      <c r="B41" s="12"/>
      <c r="C41" s="10"/>
      <c r="D41" s="9"/>
      <c r="E41" s="12"/>
      <c r="F41" s="20"/>
      <c r="G41" s="16">
        <v>1</v>
      </c>
      <c r="H41" s="1"/>
    </row>
    <row r="42" spans="1:10" x14ac:dyDescent="0.25">
      <c r="A42" s="14">
        <f t="shared" si="0"/>
        <v>36</v>
      </c>
      <c r="B42" s="12"/>
      <c r="C42" s="10"/>
      <c r="D42" s="9"/>
      <c r="E42" s="12"/>
      <c r="F42" s="20"/>
      <c r="G42" s="16">
        <v>1</v>
      </c>
    </row>
    <row r="43" spans="1:10" x14ac:dyDescent="0.25">
      <c r="A43" s="14">
        <f t="shared" si="0"/>
        <v>37</v>
      </c>
      <c r="B43" s="12"/>
      <c r="C43" s="10"/>
      <c r="D43" s="9"/>
      <c r="E43" s="12"/>
      <c r="F43" s="20"/>
      <c r="G43" s="16">
        <v>1</v>
      </c>
    </row>
    <row r="44" spans="1:10" x14ac:dyDescent="0.25">
      <c r="A44" s="14">
        <f t="shared" si="0"/>
        <v>38</v>
      </c>
      <c r="B44" s="12"/>
      <c r="C44" s="10"/>
      <c r="D44" s="9"/>
      <c r="E44" s="12"/>
      <c r="F44" s="20"/>
      <c r="G44" s="16">
        <v>1</v>
      </c>
    </row>
    <row r="45" spans="1:10" x14ac:dyDescent="0.25">
      <c r="A45" s="14">
        <f t="shared" si="0"/>
        <v>39</v>
      </c>
      <c r="B45" s="12"/>
      <c r="C45" s="10"/>
      <c r="D45" s="9"/>
      <c r="E45" s="12"/>
      <c r="F45" s="20"/>
      <c r="G45" s="16">
        <v>1</v>
      </c>
    </row>
    <row r="46" spans="1:10" x14ac:dyDescent="0.25">
      <c r="A46" s="14">
        <f t="shared" si="0"/>
        <v>40</v>
      </c>
      <c r="B46" s="12"/>
      <c r="C46" s="10"/>
      <c r="D46" s="9"/>
      <c r="E46" s="12"/>
      <c r="F46" s="20"/>
      <c r="G46" s="16">
        <v>1</v>
      </c>
    </row>
  </sheetData>
  <sortState xmlns:xlrd2="http://schemas.microsoft.com/office/spreadsheetml/2017/richdata2" ref="B7:H8">
    <sortCondition ref="E7:E8"/>
    <sortCondition ref="D7:D8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K46"/>
  <sheetViews>
    <sheetView tabSelected="1" workbookViewId="0">
      <selection activeCell="B10" sqref="B10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5.28515625" hidden="1" customWidth="1"/>
    <col min="8" max="8" width="29.85546875" customWidth="1"/>
  </cols>
  <sheetData>
    <row r="1" spans="1:11" ht="18" x14ac:dyDescent="0.25">
      <c r="A1" s="22" t="s">
        <v>0</v>
      </c>
      <c r="B1" s="22"/>
      <c r="C1" s="22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6" t="s">
        <v>2</v>
      </c>
      <c r="B2" s="26"/>
      <c r="C2" s="26"/>
      <c r="D2" s="6"/>
      <c r="E2" s="27" t="s">
        <v>3</v>
      </c>
      <c r="F2" s="27"/>
      <c r="G2" s="4"/>
      <c r="H2" s="4"/>
      <c r="I2" s="23" t="s">
        <v>4</v>
      </c>
      <c r="J2" s="24"/>
      <c r="K2" s="17">
        <f>SUMIF(F7:F35,"Elimination*",G7:G35)</f>
        <v>1</v>
      </c>
    </row>
    <row r="3" spans="1:11" x14ac:dyDescent="0.25">
      <c r="A3" s="27" t="s">
        <v>5</v>
      </c>
      <c r="B3" s="27"/>
      <c r="C3" s="27"/>
      <c r="D3" s="5"/>
      <c r="E3" s="27" t="s">
        <v>16</v>
      </c>
      <c r="F3" s="27"/>
      <c r="G3" s="4"/>
      <c r="H3" s="4"/>
      <c r="I3" s="23" t="s">
        <v>6</v>
      </c>
      <c r="J3" s="24"/>
      <c r="K3" s="17">
        <f>SUMIF(F7:F35,"NB*",G7:G35)</f>
        <v>2</v>
      </c>
    </row>
    <row r="4" spans="1:11" ht="18" x14ac:dyDescent="0.25">
      <c r="A4" s="22" t="s">
        <v>7</v>
      </c>
      <c r="B4" s="22"/>
      <c r="C4" s="22"/>
      <c r="D4" s="22"/>
      <c r="E4" s="22"/>
      <c r="F4" s="22"/>
      <c r="G4" s="4"/>
      <c r="H4" s="4"/>
      <c r="I4" s="23" t="s">
        <v>8</v>
      </c>
      <c r="J4" s="24"/>
      <c r="K4" s="17">
        <f>SUMIF(F7:F35,"Ve*",G7:G35)</f>
        <v>0</v>
      </c>
    </row>
    <row r="5" spans="1:11" ht="15.75" x14ac:dyDescent="0.25">
      <c r="A5" s="25" t="s">
        <v>223</v>
      </c>
      <c r="B5" s="25"/>
      <c r="C5" s="25"/>
      <c r="D5" s="25"/>
      <c r="E5" s="25"/>
      <c r="F5" s="25"/>
      <c r="G5" s="18"/>
      <c r="H5" s="18"/>
      <c r="I5" s="23" t="s">
        <v>9</v>
      </c>
      <c r="J5" s="24"/>
      <c r="K5" s="19">
        <f>SUM(K2:K4)</f>
        <v>3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/>
      <c r="I6" s="3"/>
      <c r="J6" s="3"/>
      <c r="K6" s="1"/>
    </row>
    <row r="7" spans="1:11" ht="15" customHeight="1" x14ac:dyDescent="0.25">
      <c r="A7" s="14">
        <v>1</v>
      </c>
      <c r="B7" s="10" t="s">
        <v>52</v>
      </c>
      <c r="C7" s="10" t="s">
        <v>26</v>
      </c>
      <c r="D7" s="9" t="s">
        <v>227</v>
      </c>
      <c r="E7" s="9" t="s">
        <v>228</v>
      </c>
      <c r="F7" s="20" t="s">
        <v>230</v>
      </c>
      <c r="G7" s="16">
        <v>1</v>
      </c>
      <c r="H7" s="2" t="s">
        <v>229</v>
      </c>
      <c r="I7" s="15"/>
      <c r="J7" s="15"/>
      <c r="K7" s="1"/>
    </row>
    <row r="8" spans="1:11" ht="15" customHeight="1" x14ac:dyDescent="0.25">
      <c r="A8" s="14">
        <f>+A7+1</f>
        <v>2</v>
      </c>
      <c r="B8" s="10" t="s">
        <v>52</v>
      </c>
      <c r="C8" s="10" t="s">
        <v>26</v>
      </c>
      <c r="D8" s="9" t="s">
        <v>224</v>
      </c>
      <c r="E8" s="9" t="s">
        <v>225</v>
      </c>
      <c r="F8" s="20" t="s">
        <v>231</v>
      </c>
      <c r="G8" s="16">
        <v>1</v>
      </c>
      <c r="H8" s="2" t="s">
        <v>226</v>
      </c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 t="s">
        <v>234</v>
      </c>
      <c r="C9" s="10" t="s">
        <v>26</v>
      </c>
      <c r="D9" s="9" t="s">
        <v>232</v>
      </c>
      <c r="E9" s="9" t="s">
        <v>233</v>
      </c>
      <c r="F9" s="20" t="s">
        <v>24</v>
      </c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9"/>
      <c r="F10" s="20"/>
      <c r="G10" s="16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9"/>
      <c r="F11" s="20"/>
      <c r="G11" s="16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9"/>
      <c r="F12" s="20"/>
      <c r="G12" s="16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9"/>
      <c r="F13" s="20"/>
      <c r="G13" s="16">
        <v>1</v>
      </c>
      <c r="H13" s="2"/>
      <c r="I13" s="2"/>
      <c r="J13" s="2"/>
      <c r="K13" s="1"/>
    </row>
    <row r="14" spans="1:11" ht="15" customHeight="1" x14ac:dyDescent="0.25">
      <c r="A14" s="14">
        <f t="shared" si="0"/>
        <v>8</v>
      </c>
      <c r="B14" s="12"/>
      <c r="C14" s="10"/>
      <c r="D14" s="9"/>
      <c r="E14" s="9"/>
      <c r="F14" s="20"/>
      <c r="G14" s="16">
        <v>1</v>
      </c>
      <c r="H14" s="21"/>
      <c r="I14" s="2"/>
      <c r="J14" s="2"/>
      <c r="K14" s="1"/>
    </row>
    <row r="15" spans="1:11" ht="15" customHeight="1" x14ac:dyDescent="0.25">
      <c r="A15" s="14">
        <f t="shared" si="0"/>
        <v>9</v>
      </c>
      <c r="B15" s="10"/>
      <c r="C15" s="10"/>
      <c r="D15" s="9"/>
      <c r="E15" s="9"/>
      <c r="F15" s="20"/>
      <c r="G15" s="16">
        <v>1</v>
      </c>
      <c r="H15" s="21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9"/>
      <c r="F16" s="20"/>
      <c r="G16" s="16">
        <v>1</v>
      </c>
      <c r="H16" s="21"/>
      <c r="I16" s="2"/>
      <c r="J16" s="2"/>
    </row>
    <row r="17" spans="1:10" ht="15" customHeight="1" x14ac:dyDescent="0.25">
      <c r="A17" s="14">
        <f t="shared" si="0"/>
        <v>11</v>
      </c>
      <c r="B17" s="10"/>
      <c r="C17" s="10"/>
      <c r="D17" s="9"/>
      <c r="E17" s="9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0"/>
      <c r="C18" s="10"/>
      <c r="D18" s="9"/>
      <c r="E18" s="9"/>
      <c r="F18" s="20"/>
      <c r="G18" s="16">
        <v>1</v>
      </c>
      <c r="H18" s="2"/>
      <c r="I18" s="2"/>
      <c r="J18" s="2"/>
    </row>
    <row r="19" spans="1:10" ht="15" customHeight="1" x14ac:dyDescent="0.25">
      <c r="A19" s="14">
        <f t="shared" si="0"/>
        <v>13</v>
      </c>
      <c r="B19" s="10"/>
      <c r="C19" s="10"/>
      <c r="D19" s="9"/>
      <c r="E19" s="12"/>
      <c r="F19" s="20"/>
      <c r="G19" s="16">
        <v>1</v>
      </c>
      <c r="H19" s="21"/>
      <c r="I19" s="2"/>
      <c r="J19" s="2"/>
    </row>
    <row r="20" spans="1:10" ht="15" customHeight="1" x14ac:dyDescent="0.25">
      <c r="A20" s="14">
        <f t="shared" si="0"/>
        <v>14</v>
      </c>
      <c r="B20" s="10"/>
      <c r="C20" s="10"/>
      <c r="D20" s="9"/>
      <c r="E20" s="12"/>
      <c r="F20" s="20"/>
      <c r="G20" s="16">
        <v>1</v>
      </c>
      <c r="H20" s="21"/>
      <c r="I20" s="2"/>
      <c r="J20" s="2"/>
    </row>
    <row r="21" spans="1:10" ht="15" customHeight="1" x14ac:dyDescent="0.25">
      <c r="A21" s="14">
        <f t="shared" si="0"/>
        <v>15</v>
      </c>
      <c r="B21" s="10"/>
      <c r="C21" s="10"/>
      <c r="D21" s="9"/>
      <c r="E21" s="12"/>
      <c r="F21" s="20"/>
      <c r="G21" s="16">
        <v>1</v>
      </c>
      <c r="H21" s="21"/>
      <c r="I21" s="2"/>
      <c r="J21" s="2"/>
    </row>
    <row r="22" spans="1:10" ht="15" customHeight="1" x14ac:dyDescent="0.25">
      <c r="A22" s="14">
        <f t="shared" si="0"/>
        <v>16</v>
      </c>
      <c r="B22" s="12"/>
      <c r="C22" s="10"/>
      <c r="D22" s="9"/>
      <c r="E22" s="12"/>
      <c r="F22" s="20"/>
      <c r="G22" s="16">
        <v>1</v>
      </c>
      <c r="H22" s="11"/>
      <c r="I22" s="2"/>
      <c r="J22" s="2"/>
    </row>
    <row r="23" spans="1:10" ht="15" customHeight="1" x14ac:dyDescent="0.25">
      <c r="A23" s="14">
        <f t="shared" si="0"/>
        <v>17</v>
      </c>
      <c r="B23" s="12"/>
      <c r="C23" s="10"/>
      <c r="D23" s="9"/>
      <c r="E23" s="12"/>
      <c r="F23" s="20"/>
      <c r="G23" s="16">
        <v>1</v>
      </c>
      <c r="H23" s="2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1"/>
      <c r="I24" s="2"/>
      <c r="J24" s="2"/>
    </row>
    <row r="25" spans="1:10" ht="15" customHeight="1" x14ac:dyDescent="0.25">
      <c r="A25" s="14">
        <f t="shared" si="0"/>
        <v>19</v>
      </c>
      <c r="B25" s="12"/>
      <c r="C25" s="10"/>
      <c r="D25" s="9"/>
      <c r="E25" s="12"/>
      <c r="F25" s="20"/>
      <c r="G25" s="16">
        <v>1</v>
      </c>
      <c r="H25" s="1"/>
      <c r="I25" s="2"/>
      <c r="J25" s="2"/>
    </row>
    <row r="26" spans="1:10" ht="15" customHeight="1" x14ac:dyDescent="0.25">
      <c r="A26" s="14">
        <f t="shared" si="0"/>
        <v>20</v>
      </c>
      <c r="B26" s="12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"/>
      <c r="I27" s="1"/>
      <c r="J27" s="1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21"/>
      <c r="I28" s="1"/>
      <c r="J28" s="1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>
        <v>1</v>
      </c>
      <c r="H30" s="1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12"/>
      <c r="C34" s="10"/>
      <c r="D34" s="9"/>
      <c r="E34" s="12"/>
      <c r="F34" s="20"/>
      <c r="G34" s="16">
        <v>1</v>
      </c>
      <c r="I34" s="1"/>
      <c r="J34" s="1"/>
    </row>
    <row r="35" spans="1:10" ht="15" customHeight="1" x14ac:dyDescent="0.25">
      <c r="A35" s="14">
        <f t="shared" si="0"/>
        <v>29</v>
      </c>
      <c r="B35" s="12"/>
      <c r="C35" s="10"/>
      <c r="D35" s="9"/>
      <c r="E35" s="12"/>
      <c r="F35" s="20"/>
      <c r="G35" s="16">
        <v>1</v>
      </c>
      <c r="I35" s="1"/>
      <c r="J35" s="1"/>
    </row>
    <row r="36" spans="1:10" x14ac:dyDescent="0.25">
      <c r="A36" s="14">
        <f t="shared" si="0"/>
        <v>30</v>
      </c>
      <c r="B36" s="12"/>
      <c r="C36" s="10"/>
      <c r="D36" s="9"/>
      <c r="E36" s="12"/>
      <c r="F36" s="20"/>
      <c r="G36" s="16">
        <v>1</v>
      </c>
    </row>
    <row r="37" spans="1:10" x14ac:dyDescent="0.25">
      <c r="A37" s="14">
        <f t="shared" si="0"/>
        <v>31</v>
      </c>
      <c r="B37" s="12"/>
      <c r="C37" s="10"/>
      <c r="D37" s="9"/>
      <c r="E37" s="12"/>
      <c r="F37" s="20"/>
      <c r="G37" s="16">
        <v>1</v>
      </c>
      <c r="H37" s="1"/>
    </row>
    <row r="38" spans="1:10" x14ac:dyDescent="0.25">
      <c r="A38" s="14">
        <f t="shared" si="0"/>
        <v>32</v>
      </c>
      <c r="B38" s="12"/>
      <c r="C38" s="10"/>
      <c r="D38" s="9"/>
      <c r="E38" s="12"/>
      <c r="F38" s="20"/>
      <c r="G38" s="16">
        <v>1</v>
      </c>
    </row>
    <row r="39" spans="1:10" x14ac:dyDescent="0.25">
      <c r="A39" s="14">
        <f t="shared" si="0"/>
        <v>33</v>
      </c>
      <c r="B39" s="12"/>
      <c r="C39" s="10"/>
      <c r="D39" s="9"/>
      <c r="E39" s="12"/>
      <c r="F39" s="20"/>
      <c r="G39" s="16">
        <v>1</v>
      </c>
    </row>
    <row r="40" spans="1:10" x14ac:dyDescent="0.25">
      <c r="A40" s="14">
        <f t="shared" si="0"/>
        <v>34</v>
      </c>
      <c r="B40" s="12"/>
      <c r="C40" s="10"/>
      <c r="D40" s="9"/>
      <c r="E40" s="12"/>
      <c r="F40" s="20"/>
      <c r="G40" s="16">
        <v>1</v>
      </c>
    </row>
    <row r="41" spans="1:10" x14ac:dyDescent="0.25">
      <c r="A41" s="14">
        <f t="shared" si="0"/>
        <v>35</v>
      </c>
      <c r="B41" s="12"/>
      <c r="C41" s="10"/>
      <c r="D41" s="9"/>
      <c r="E41" s="12"/>
      <c r="F41" s="20"/>
      <c r="G41" s="16">
        <v>1</v>
      </c>
      <c r="H41" s="1"/>
    </row>
    <row r="42" spans="1:10" x14ac:dyDescent="0.25">
      <c r="A42" s="14">
        <f t="shared" si="0"/>
        <v>36</v>
      </c>
      <c r="B42" s="12"/>
      <c r="C42" s="10"/>
      <c r="D42" s="9"/>
      <c r="E42" s="12"/>
      <c r="F42" s="20"/>
      <c r="G42" s="16">
        <v>1</v>
      </c>
    </row>
    <row r="43" spans="1:10" x14ac:dyDescent="0.25">
      <c r="A43" s="14">
        <f t="shared" si="0"/>
        <v>37</v>
      </c>
      <c r="B43" s="12"/>
      <c r="C43" s="10"/>
      <c r="D43" s="9"/>
      <c r="E43" s="12"/>
      <c r="F43" s="20"/>
      <c r="G43" s="16">
        <v>1</v>
      </c>
    </row>
    <row r="44" spans="1:10" x14ac:dyDescent="0.25">
      <c r="A44" s="14">
        <f t="shared" si="0"/>
        <v>38</v>
      </c>
      <c r="B44" s="12"/>
      <c r="C44" s="10"/>
      <c r="D44" s="9"/>
      <c r="E44" s="12"/>
      <c r="F44" s="20"/>
      <c r="G44" s="16">
        <v>1</v>
      </c>
    </row>
    <row r="45" spans="1:10" x14ac:dyDescent="0.25">
      <c r="A45" s="14">
        <f t="shared" si="0"/>
        <v>39</v>
      </c>
      <c r="B45" s="12"/>
      <c r="C45" s="10"/>
      <c r="D45" s="9"/>
      <c r="E45" s="12"/>
      <c r="F45" s="20"/>
      <c r="G45" s="16">
        <v>1</v>
      </c>
    </row>
    <row r="46" spans="1:10" x14ac:dyDescent="0.25">
      <c r="A46" s="14">
        <f t="shared" si="0"/>
        <v>40</v>
      </c>
      <c r="B46" s="12"/>
      <c r="C46" s="10"/>
      <c r="D46" s="9"/>
      <c r="E46" s="12"/>
      <c r="F46" s="20"/>
      <c r="G46" s="16">
        <v>1</v>
      </c>
    </row>
  </sheetData>
  <sortState xmlns:xlrd2="http://schemas.microsoft.com/office/spreadsheetml/2017/richdata2" ref="B7:H8">
    <sortCondition ref="E7:E8"/>
    <sortCondition ref="D7:D8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11</vt:i4>
      </vt:variant>
      <vt:variant>
        <vt:lpstr>Plages nommées</vt:lpstr>
      </vt:variant>
      <vt:variant>
        <vt:i4>11</vt:i4>
      </vt:variant>
    </vt:vector>
  </HeadingPairs>
  <TitlesOfParts>
    <vt:vector size="22" baseType="lpstr">
      <vt:lpstr>Janvier 2025</vt:lpstr>
      <vt:lpstr>Fevrier 2025</vt:lpstr>
      <vt:lpstr>Mars 2025</vt:lpstr>
      <vt:lpstr>Avril 2025</vt:lpstr>
      <vt:lpstr>MAi 2025</vt:lpstr>
      <vt:lpstr>JUIN 2025</vt:lpstr>
      <vt:lpstr>JUILLET 2025</vt:lpstr>
      <vt:lpstr>AOUT 2025</vt:lpstr>
      <vt:lpstr>SEPTEMBRE 2025</vt:lpstr>
      <vt:lpstr>OCTOBRE 2025</vt:lpstr>
      <vt:lpstr>NOVEMBRE 2025</vt:lpstr>
      <vt:lpstr>'AOUT 2025'!Impression_des_titres</vt:lpstr>
      <vt:lpstr>'Avril 2025'!Impression_des_titres</vt:lpstr>
      <vt:lpstr>'Fevrier 2025'!Impression_des_titres</vt:lpstr>
      <vt:lpstr>'Janvier 2025'!Impression_des_titres</vt:lpstr>
      <vt:lpstr>'JUILLET 2025'!Impression_des_titres</vt:lpstr>
      <vt:lpstr>'JUIN 2025'!Impression_des_titres</vt:lpstr>
      <vt:lpstr>'MAi 2025'!Impression_des_titres</vt:lpstr>
      <vt:lpstr>'Mars 2025'!Impression_des_titres</vt:lpstr>
      <vt:lpstr>'NOVEMBRE 2025'!Impression_des_titres</vt:lpstr>
      <vt:lpstr>'OCTOBRE 2025'!Impression_des_titres</vt:lpstr>
      <vt:lpstr>'SEPTEMBRE 2025'!Impression_des_titres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 BERROUAGHIA</dc:creator>
  <cp:lastModifiedBy>HP</cp:lastModifiedBy>
  <cp:lastPrinted>2025-11-09T11:19:53Z</cp:lastPrinted>
  <dcterms:created xsi:type="dcterms:W3CDTF">2014-12-31T15:00:30Z</dcterms:created>
  <dcterms:modified xsi:type="dcterms:W3CDTF">2025-12-01T13:05:05Z</dcterms:modified>
</cp:coreProperties>
</file>