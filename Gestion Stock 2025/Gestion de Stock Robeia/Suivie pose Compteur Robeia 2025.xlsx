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5\Gestion de Stock Robeia\"/>
    </mc:Choice>
  </mc:AlternateContent>
  <xr:revisionPtr revIDLastSave="0" documentId="13_ncr:1_{844990E9-BB57-4A73-B3A7-C28174B73A95}" xr6:coauthVersionLast="47" xr6:coauthVersionMax="47" xr10:uidLastSave="{00000000-0000-0000-0000-000000000000}"/>
  <bookViews>
    <workbookView xWindow="-120" yWindow="-120" windowWidth="29040" windowHeight="15720" firstSheet="4" activeTab="11" xr2:uid="{00000000-000D-0000-FFFF-FFFF00000000}"/>
  </bookViews>
  <sheets>
    <sheet name="JANVIER 2025" sheetId="12" r:id="rId1"/>
    <sheet name="FEVRIER 2025" sheetId="13" r:id="rId2"/>
    <sheet name="MARS 2025" sheetId="14" r:id="rId3"/>
    <sheet name="AVRIL 2025" sheetId="15" r:id="rId4"/>
    <sheet name="MAI 2025" sheetId="16" r:id="rId5"/>
    <sheet name="JUIN 2025" sheetId="17" r:id="rId6"/>
    <sheet name="JUILLET 2025" sheetId="18" r:id="rId7"/>
    <sheet name="AOUT 2025" sheetId="19" r:id="rId8"/>
    <sheet name="SEPTEMBRE 2025" sheetId="20" r:id="rId9"/>
    <sheet name="OCTOBRE 2025" sheetId="21" r:id="rId10"/>
    <sheet name="NOVEMBRE 2025" sheetId="22" r:id="rId11"/>
    <sheet name="DECEMBRE 2025" sheetId="23" r:id="rId12"/>
  </sheets>
  <definedNames>
    <definedName name="_xlnm.Print_Titles" localSheetId="7">'AOUT 2025'!$1:$6</definedName>
    <definedName name="_xlnm.Print_Titles" localSheetId="3">'AVRIL 2025'!$1:$6</definedName>
    <definedName name="_xlnm.Print_Titles" localSheetId="11">'DECEMBRE 2025'!$1:$6</definedName>
    <definedName name="_xlnm.Print_Titles" localSheetId="1">'FEVRIER 2025'!$1:$6</definedName>
    <definedName name="_xlnm.Print_Titles" localSheetId="0">'JANVIER 2025'!$1:$6</definedName>
    <definedName name="_xlnm.Print_Titles" localSheetId="6">'JUILLET 2025'!$1:$6</definedName>
    <definedName name="_xlnm.Print_Titles" localSheetId="5">'JUIN 2025'!$1:$6</definedName>
    <definedName name="_xlnm.Print_Titles" localSheetId="4">'MAI 2025'!$1:$6</definedName>
    <definedName name="_xlnm.Print_Titles" localSheetId="2">'MARS 2025'!$1:$6</definedName>
    <definedName name="_xlnm.Print_Titles" localSheetId="10">'NOVEMBRE 2025'!$1:$6</definedName>
    <definedName name="_xlnm.Print_Titles" localSheetId="9">'OCTOBRE 2025'!$1:$6</definedName>
    <definedName name="_xlnm.Print_Titles" localSheetId="8">'SEPTEMBRE 2025'!$1:$6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3" l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A43" i="23" s="1"/>
  <c r="A44" i="23" s="1"/>
  <c r="A45" i="23" s="1"/>
  <c r="A46" i="23" s="1"/>
  <c r="K4" i="23"/>
  <c r="K3" i="23"/>
  <c r="K2" i="23"/>
  <c r="K5" i="23" s="1"/>
  <c r="A9" i="22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A39" i="22" s="1"/>
  <c r="A40" i="22" s="1"/>
  <c r="A41" i="22" s="1"/>
  <c r="A42" i="22" s="1"/>
  <c r="A43" i="22" s="1"/>
  <c r="A44" i="22" s="1"/>
  <c r="A45" i="22" s="1"/>
  <c r="A46" i="22" s="1"/>
  <c r="A8" i="22"/>
  <c r="K4" i="22"/>
  <c r="K3" i="22"/>
  <c r="K2" i="22"/>
  <c r="K5" i="22" s="1"/>
  <c r="A8" i="2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K4" i="21"/>
  <c r="K3" i="21"/>
  <c r="K2" i="21"/>
  <c r="K5" i="21" s="1"/>
  <c r="A8" i="20" l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K4" i="20"/>
  <c r="K3" i="20"/>
  <c r="K2" i="20"/>
  <c r="K5" i="20" l="1"/>
  <c r="A8" i="19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K4" i="19"/>
  <c r="K3" i="19"/>
  <c r="K2" i="19"/>
  <c r="K5" i="19" l="1"/>
  <c r="A8" i="18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K4" i="18"/>
  <c r="K3" i="18"/>
  <c r="K2" i="18"/>
  <c r="K5" i="18" s="1"/>
  <c r="A8" i="17" l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K4" i="17"/>
  <c r="K3" i="17"/>
  <c r="K2" i="17"/>
  <c r="K5" i="17" l="1"/>
  <c r="A8" i="16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K4" i="16"/>
  <c r="K3" i="16"/>
  <c r="K2" i="16"/>
  <c r="K5" i="16" l="1"/>
  <c r="A8" i="15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K4" i="15"/>
  <c r="K3" i="15"/>
  <c r="K2" i="15"/>
  <c r="K5" i="15" l="1"/>
  <c r="A8" i="14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K4" i="14"/>
  <c r="K3" i="14"/>
  <c r="K2" i="14"/>
  <c r="K5" i="14" l="1"/>
  <c r="A8" i="13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K4" i="13"/>
  <c r="K3" i="13"/>
  <c r="K2" i="13"/>
  <c r="K5" i="13" s="1"/>
  <c r="A8" i="12" l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K4" i="12"/>
  <c r="K3" i="12"/>
  <c r="K2" i="12"/>
  <c r="K5" i="12" l="1"/>
</calcChain>
</file>

<file path=xl/sharedStrings.xml><?xml version="1.0" encoding="utf-8"?>
<sst xmlns="http://schemas.openxmlformats.org/spreadsheetml/2006/main" count="277" uniqueCount="62">
  <si>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</si>
  <si>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</si>
  <si>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</si>
  <si>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</si>
  <si>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</si>
  <si>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</si>
  <si>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</si>
  <si>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</si>
  <si>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</si>
  <si>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</si>
  <si>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</si>
  <si>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</si>
  <si>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</si>
  <si>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</si>
  <si>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</si>
  <si>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</si>
  <si>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Antenne Robeia</t>
  </si>
  <si>
    <t>cc</t>
  </si>
  <si>
    <t>BO</t>
  </si>
  <si>
    <t>15/21</t>
  </si>
  <si>
    <t>Mois de JANVIER  2025</t>
  </si>
  <si>
    <t>Mois de FEVRIER 2025</t>
  </si>
  <si>
    <t>2024219140</t>
  </si>
  <si>
    <t>NB(371/2023)</t>
  </si>
  <si>
    <t>Boumaali mhamed</t>
  </si>
  <si>
    <t>Mois de MARS 2025</t>
  </si>
  <si>
    <t>Mois de AVRIL 2025</t>
  </si>
  <si>
    <t>2024218974</t>
  </si>
  <si>
    <t>NB(046/2025)</t>
  </si>
  <si>
    <t>Stade communale</t>
  </si>
  <si>
    <t>Mois de MAI 2025</t>
  </si>
  <si>
    <t>Mois de JUIN 2025</t>
  </si>
  <si>
    <t>2025061490</t>
  </si>
  <si>
    <t>NB(063/2025)</t>
  </si>
  <si>
    <t>Bouchibane ahmed b/med</t>
  </si>
  <si>
    <t>Mois de JUILLET 2025</t>
  </si>
  <si>
    <t>2025061092</t>
  </si>
  <si>
    <t>NB(626/2024)</t>
  </si>
  <si>
    <t>Bouchiba mohamed</t>
  </si>
  <si>
    <t>Mois de AOUT 2025</t>
  </si>
  <si>
    <t>2025059816</t>
  </si>
  <si>
    <t>NB(236/2025)</t>
  </si>
  <si>
    <t>Adil hakim</t>
  </si>
  <si>
    <t>2025060639</t>
  </si>
  <si>
    <t>NB(600/2024)</t>
  </si>
  <si>
    <t>Charef mouloud</t>
  </si>
  <si>
    <t>2025118050</t>
  </si>
  <si>
    <t>NB(263/2025)</t>
  </si>
  <si>
    <t>Bouchibane ammar</t>
  </si>
  <si>
    <t>Mois de SEPTEMBRE 2025</t>
  </si>
  <si>
    <t>Aoufi ameur</t>
  </si>
  <si>
    <t>2025118020</t>
  </si>
  <si>
    <t>NB(235/2025)</t>
  </si>
  <si>
    <t>2025119051</t>
  </si>
  <si>
    <t>NB(277/2025)</t>
  </si>
  <si>
    <t>Bouchibane brahim</t>
  </si>
  <si>
    <t>Mois de OCTOBRE 2025</t>
  </si>
  <si>
    <t>BO0746</t>
  </si>
  <si>
    <t>2025119228</t>
  </si>
  <si>
    <t>Elimination Forfait</t>
  </si>
  <si>
    <t>Mois de NOVEMBRE 2025</t>
  </si>
  <si>
    <t>Mois de DECEMBRE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</si>
</sst>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8" fillId="0" borderId="0"/>
    <xf numFmtId="0" fontId="1" fillId="0" borderId="0"/>
  </cellStyleXfs>
  <cellXfs count="30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0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49" fontId="1" fillId="0" borderId="0" xfId="1" applyNumberFormat="1" applyAlignment="1">
      <alignment vertical="center" wrapText="1"/>
    </xf>
    <xf numFmtId="20" fontId="3" fillId="3" borderId="1" xfId="1" applyNumberFormat="1" applyFont="1" applyFill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5">
    <cellStyle name="Euro" xfId="2" xr:uid="{00000000-0005-0000-0000-000000000000}"/>
    <cellStyle name="Normal" xfId="0" builtinId="0"/>
    <cellStyle name="Normal 2" xfId="3" xr:uid="{00000000-0005-0000-0000-000002000000}"/>
    <cellStyle name="Normal 2 2" xfId="4" xr:uid="{00000000-0005-0000-0000-000003000000}"/>
    <cellStyle name="Normal 3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28575</xdr:rowOff>
    </xdr:from>
    <xdr:to>
      <xdr:col>5</xdr:col>
      <xdr:colOff>1304925</xdr:colOff>
      <xdr:row>45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 flipH="1">
          <a:off x="590550" y="1343025"/>
          <a:ext cx="4552950" cy="75533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28575</xdr:rowOff>
    </xdr:from>
    <xdr:to>
      <xdr:col>5</xdr:col>
      <xdr:colOff>1304925</xdr:colOff>
      <xdr:row>45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 flipH="1">
          <a:off x="590550" y="1343025"/>
          <a:ext cx="4552950" cy="75533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28575</xdr:rowOff>
    </xdr:from>
    <xdr:to>
      <xdr:col>5</xdr:col>
      <xdr:colOff>1304925</xdr:colOff>
      <xdr:row>45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 flipH="1">
          <a:off x="590550" y="1343025"/>
          <a:ext cx="4552950" cy="75533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1276350</xdr:colOff>
      <xdr:row>45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 flipH="1">
          <a:off x="590550" y="1504950"/>
          <a:ext cx="4524375" cy="7391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6</xdr:row>
      <xdr:rowOff>19050</xdr:rowOff>
    </xdr:from>
    <xdr:to>
      <xdr:col>5</xdr:col>
      <xdr:colOff>1304925</xdr:colOff>
      <xdr:row>45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/>
      </xdr:nvCxnSpPr>
      <xdr:spPr>
        <a:xfrm flipH="1">
          <a:off x="590551" y="1333500"/>
          <a:ext cx="4552949" cy="75628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</xdr:colOff>
      <xdr:row>7</xdr:row>
      <xdr:rowOff>0</xdr:rowOff>
    </xdr:from>
    <xdr:to>
      <xdr:col>5</xdr:col>
      <xdr:colOff>1295400</xdr:colOff>
      <xdr:row>45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 flipH="1">
          <a:off x="590552" y="1504950"/>
          <a:ext cx="4543423" cy="7391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</xdr:colOff>
      <xdr:row>7</xdr:row>
      <xdr:rowOff>0</xdr:rowOff>
    </xdr:from>
    <xdr:to>
      <xdr:col>5</xdr:col>
      <xdr:colOff>1295400</xdr:colOff>
      <xdr:row>45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 flipH="1">
          <a:off x="590552" y="1504950"/>
          <a:ext cx="4543423" cy="7391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</xdr:colOff>
      <xdr:row>9</xdr:row>
      <xdr:rowOff>76200</xdr:rowOff>
    </xdr:from>
    <xdr:to>
      <xdr:col>5</xdr:col>
      <xdr:colOff>1304925</xdr:colOff>
      <xdr:row>45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CxnSpPr/>
      </xdr:nvCxnSpPr>
      <xdr:spPr>
        <a:xfrm flipH="1">
          <a:off x="590553" y="1962150"/>
          <a:ext cx="4552947" cy="69342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</xdr:colOff>
      <xdr:row>8</xdr:row>
      <xdr:rowOff>28575</xdr:rowOff>
    </xdr:from>
    <xdr:to>
      <xdr:col>6</xdr:col>
      <xdr:colOff>0</xdr:colOff>
      <xdr:row>45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CxnSpPr/>
      </xdr:nvCxnSpPr>
      <xdr:spPr>
        <a:xfrm flipH="1">
          <a:off x="590554" y="1724025"/>
          <a:ext cx="4562471" cy="71723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</xdr:colOff>
      <xdr:row>8</xdr:row>
      <xdr:rowOff>28575</xdr:rowOff>
    </xdr:from>
    <xdr:to>
      <xdr:col>6</xdr:col>
      <xdr:colOff>0</xdr:colOff>
      <xdr:row>45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CxnSpPr/>
      </xdr:nvCxnSpPr>
      <xdr:spPr>
        <a:xfrm flipH="1">
          <a:off x="590554" y="1724025"/>
          <a:ext cx="4562471" cy="71723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</xdr:colOff>
      <xdr:row>6</xdr:row>
      <xdr:rowOff>47625</xdr:rowOff>
    </xdr:from>
    <xdr:to>
      <xdr:col>5</xdr:col>
      <xdr:colOff>1295400</xdr:colOff>
      <xdr:row>45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7E55E859-EDD2-4EEA-9904-228E5CC147FD}"/>
            </a:ext>
          </a:extLst>
        </xdr:cNvPr>
        <xdr:cNvCxnSpPr/>
      </xdr:nvCxnSpPr>
      <xdr:spPr>
        <a:xfrm flipH="1">
          <a:off x="590554" y="1362075"/>
          <a:ext cx="4543421" cy="75342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</xdr:colOff>
      <xdr:row>6</xdr:row>
      <xdr:rowOff>47625</xdr:rowOff>
    </xdr:from>
    <xdr:to>
      <xdr:col>5</xdr:col>
      <xdr:colOff>1295400</xdr:colOff>
      <xdr:row>45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6EF87BF-62A4-43D4-91DD-02FDC1F98ABC}"/>
            </a:ext>
          </a:extLst>
        </xdr:cNvPr>
        <xdr:cNvCxnSpPr/>
      </xdr:nvCxnSpPr>
      <xdr:spPr>
        <a:xfrm flipH="1">
          <a:off x="590554" y="1362075"/>
          <a:ext cx="4543421" cy="75342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7">
        <f>SUMIF(F7:F38,"Elimination*",G7:G38)</f>
        <v>0</v>
      </c>
    </row>
    <row r="3" spans="1:11" x14ac:dyDescent="0.25">
      <c r="A3" s="29" t="s">
        <v>5</v>
      </c>
      <c r="B3" s="29"/>
      <c r="C3" s="29"/>
      <c r="D3" s="5"/>
      <c r="E3" s="29" t="s">
        <v>16</v>
      </c>
      <c r="F3" s="29"/>
      <c r="G3" s="4"/>
      <c r="H3" s="4"/>
      <c r="I3" s="25" t="s">
        <v>6</v>
      </c>
      <c r="J3" s="26"/>
      <c r="K3" s="17">
        <f>SUMIF(F7:F38,"NB*",G7:G38)</f>
        <v>0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7">
        <f>SUMIF(F7:F38,"Ve*",G7:G38)</f>
        <v>0</v>
      </c>
    </row>
    <row r="5" spans="1:11" ht="15.75" x14ac:dyDescent="0.25">
      <c r="A5" s="27" t="s">
        <v>20</v>
      </c>
      <c r="B5" s="27"/>
      <c r="C5" s="27"/>
      <c r="D5" s="27"/>
      <c r="E5" s="27"/>
      <c r="F5" s="27"/>
      <c r="G5" s="18"/>
      <c r="H5" s="18"/>
      <c r="I5" s="25" t="s">
        <v>9</v>
      </c>
      <c r="J5" s="26"/>
      <c r="K5" s="19">
        <f>SUM(K2:K4)</f>
        <v>0</v>
      </c>
    </row>
    <row r="6" spans="1:11" ht="21.6" customHeight="1" x14ac:dyDescent="0.25">
      <c r="A6" s="22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23" t="s">
        <v>17</v>
      </c>
      <c r="I6" s="3"/>
      <c r="J6" s="3"/>
      <c r="K6" s="1"/>
    </row>
    <row r="7" spans="1:11" ht="15" customHeight="1" x14ac:dyDescent="0.25">
      <c r="A7" s="14">
        <v>1</v>
      </c>
      <c r="B7" s="10"/>
      <c r="C7" s="10"/>
      <c r="D7" s="9"/>
      <c r="E7" s="12"/>
      <c r="F7" s="20"/>
      <c r="G7" s="16">
        <v>1</v>
      </c>
      <c r="H7" s="21"/>
      <c r="I7" s="15"/>
      <c r="J7" s="15"/>
      <c r="K7" s="1"/>
    </row>
    <row r="8" spans="1:11" ht="15" customHeight="1" x14ac:dyDescent="0.25">
      <c r="A8" s="14">
        <f>+A7+1</f>
        <v>2</v>
      </c>
      <c r="B8" s="10"/>
      <c r="C8" s="10"/>
      <c r="D8" s="9"/>
      <c r="E8" s="12"/>
      <c r="F8" s="20"/>
      <c r="G8" s="16">
        <v>1</v>
      </c>
      <c r="H8" s="21"/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/>
      <c r="C9" s="10"/>
      <c r="D9" s="9"/>
      <c r="E9" s="12"/>
      <c r="F9" s="20"/>
      <c r="G9" s="16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10"/>
      <c r="C10" s="10"/>
      <c r="D10" s="9"/>
      <c r="E10" s="12"/>
      <c r="F10" s="20"/>
      <c r="G10" s="16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2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/>
      <c r="H13" s="2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12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2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0"/>
      <c r="C22" s="10"/>
      <c r="D22" s="9"/>
      <c r="E22" s="12"/>
      <c r="F22" s="20"/>
      <c r="G22" s="16">
        <v>1</v>
      </c>
      <c r="H22" s="21"/>
      <c r="I22" s="2"/>
      <c r="J22" s="2"/>
    </row>
    <row r="23" spans="1:10" ht="15" customHeight="1" x14ac:dyDescent="0.25">
      <c r="A23" s="14">
        <f t="shared" si="0"/>
        <v>17</v>
      </c>
      <c r="B23" s="12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10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>
        <v>1</v>
      </c>
      <c r="H29" s="21"/>
      <c r="I29" s="2"/>
      <c r="J29" s="2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/>
      <c r="H33" s="1"/>
      <c r="I33" s="1"/>
      <c r="J33" s="1"/>
    </row>
    <row r="34" spans="1:10" ht="15" customHeight="1" x14ac:dyDescent="0.25">
      <c r="A34" s="14">
        <f t="shared" si="0"/>
        <v>28</v>
      </c>
      <c r="B34" s="12"/>
      <c r="C34" s="10"/>
      <c r="D34" s="9"/>
      <c r="E34" s="12"/>
      <c r="F34" s="20"/>
      <c r="G34" s="16"/>
      <c r="H34" s="1"/>
      <c r="I34" s="1"/>
      <c r="J34" s="1"/>
    </row>
    <row r="35" spans="1:10" ht="15" customHeight="1" x14ac:dyDescent="0.25">
      <c r="A35" s="14">
        <f t="shared" si="0"/>
        <v>29</v>
      </c>
      <c r="B35" s="12"/>
      <c r="C35" s="10"/>
      <c r="D35" s="9"/>
      <c r="E35" s="12"/>
      <c r="F35" s="20"/>
      <c r="G35" s="16"/>
      <c r="H35" s="1"/>
      <c r="I35" s="1"/>
      <c r="J35" s="1"/>
    </row>
    <row r="36" spans="1:10" ht="15" customHeight="1" x14ac:dyDescent="0.25">
      <c r="A36" s="14">
        <f t="shared" si="0"/>
        <v>30</v>
      </c>
      <c r="B36" s="12"/>
      <c r="C36" s="10"/>
      <c r="D36" s="9"/>
      <c r="E36" s="12"/>
      <c r="F36" s="20"/>
      <c r="G36" s="16"/>
      <c r="H36" s="1"/>
      <c r="I36" s="1"/>
      <c r="J36" s="1"/>
    </row>
    <row r="37" spans="1:10" ht="15" customHeight="1" x14ac:dyDescent="0.25">
      <c r="A37" s="14">
        <f t="shared" si="0"/>
        <v>31</v>
      </c>
      <c r="B37" s="12"/>
      <c r="C37" s="10"/>
      <c r="D37" s="9"/>
      <c r="E37" s="12"/>
      <c r="F37" s="20"/>
      <c r="G37" s="16"/>
      <c r="H37" s="1"/>
      <c r="I37" s="1"/>
      <c r="J37" s="1"/>
    </row>
    <row r="38" spans="1:10" ht="15" customHeight="1" x14ac:dyDescent="0.25">
      <c r="A38" s="14">
        <f t="shared" si="0"/>
        <v>32</v>
      </c>
      <c r="B38" s="12"/>
      <c r="C38" s="10"/>
      <c r="D38" s="9"/>
      <c r="E38" s="12"/>
      <c r="F38" s="20"/>
      <c r="G38" s="16"/>
      <c r="H38" s="1"/>
      <c r="I38" s="1"/>
      <c r="J38" s="1"/>
    </row>
    <row r="39" spans="1:10" x14ac:dyDescent="0.25">
      <c r="A39" s="14">
        <f t="shared" si="0"/>
        <v>33</v>
      </c>
      <c r="B39" s="12"/>
      <c r="C39" s="10"/>
      <c r="D39" s="9"/>
      <c r="E39" s="12"/>
      <c r="F39" s="20"/>
    </row>
    <row r="40" spans="1:10" x14ac:dyDescent="0.25">
      <c r="A40" s="14">
        <f t="shared" si="0"/>
        <v>34</v>
      </c>
      <c r="B40" s="12"/>
      <c r="C40" s="10"/>
      <c r="D40" s="9"/>
      <c r="E40" s="12"/>
      <c r="F40" s="20"/>
    </row>
    <row r="41" spans="1:10" x14ac:dyDescent="0.25">
      <c r="A41" s="14">
        <f t="shared" si="0"/>
        <v>35</v>
      </c>
      <c r="B41" s="12"/>
      <c r="C41" s="10"/>
      <c r="D41" s="9"/>
      <c r="E41" s="12"/>
      <c r="F41" s="20"/>
    </row>
    <row r="42" spans="1:10" x14ac:dyDescent="0.25">
      <c r="A42" s="14">
        <f t="shared" si="0"/>
        <v>36</v>
      </c>
      <c r="B42" s="12"/>
      <c r="C42" s="10"/>
      <c r="D42" s="9"/>
      <c r="E42" s="12"/>
      <c r="F42" s="20"/>
    </row>
    <row r="43" spans="1:10" x14ac:dyDescent="0.25">
      <c r="A43" s="14">
        <f t="shared" si="0"/>
        <v>37</v>
      </c>
      <c r="B43" s="12"/>
      <c r="C43" s="10"/>
      <c r="D43" s="9"/>
      <c r="E43" s="12"/>
      <c r="F43" s="20"/>
    </row>
    <row r="44" spans="1:10" x14ac:dyDescent="0.25">
      <c r="A44" s="14">
        <f t="shared" si="0"/>
        <v>38</v>
      </c>
      <c r="B44" s="12"/>
      <c r="C44" s="10"/>
      <c r="D44" s="9"/>
      <c r="E44" s="12"/>
      <c r="F44" s="20"/>
    </row>
    <row r="45" spans="1:10" x14ac:dyDescent="0.25">
      <c r="A45" s="14">
        <f t="shared" si="0"/>
        <v>39</v>
      </c>
      <c r="B45" s="12"/>
      <c r="C45" s="10"/>
      <c r="D45" s="9"/>
      <c r="E45" s="12"/>
      <c r="F45" s="20"/>
    </row>
    <row r="46" spans="1:10" x14ac:dyDescent="0.25">
      <c r="A46" s="14">
        <f t="shared" si="0"/>
        <v>40</v>
      </c>
      <c r="B46" s="1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6"/>
  <sheetViews>
    <sheetView workbookViewId="0">
      <selection activeCell="H8" sqref="H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7">
        <f>SUMIF(F7:F38,"Elimination*",G7:G38)</f>
        <v>0</v>
      </c>
    </row>
    <row r="3" spans="1:11" x14ac:dyDescent="0.25">
      <c r="A3" s="29" t="s">
        <v>5</v>
      </c>
      <c r="B3" s="29"/>
      <c r="C3" s="29"/>
      <c r="D3" s="5"/>
      <c r="E3" s="29" t="s">
        <v>16</v>
      </c>
      <c r="F3" s="29"/>
      <c r="G3" s="4"/>
      <c r="H3" s="4"/>
      <c r="I3" s="25" t="s">
        <v>6</v>
      </c>
      <c r="J3" s="26"/>
      <c r="K3" s="17">
        <f>SUMIF(F7:F38,"NB*",G7:G38)</f>
        <v>1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7">
        <f>SUMIF(F7:F38,"Ve*",G7:G38)</f>
        <v>0</v>
      </c>
    </row>
    <row r="5" spans="1:11" ht="15.75" x14ac:dyDescent="0.25">
      <c r="A5" s="27" t="s">
        <v>21</v>
      </c>
      <c r="B5" s="27"/>
      <c r="C5" s="27"/>
      <c r="D5" s="27"/>
      <c r="E5" s="27"/>
      <c r="F5" s="27"/>
      <c r="G5" s="18"/>
      <c r="H5" s="18"/>
      <c r="I5" s="25" t="s">
        <v>9</v>
      </c>
      <c r="J5" s="26"/>
      <c r="K5" s="19">
        <f>SUM(K2:K4)</f>
        <v>1</v>
      </c>
    </row>
    <row r="6" spans="1:11" ht="21.6" customHeight="1" x14ac:dyDescent="0.25">
      <c r="A6" s="22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23" t="s">
        <v>17</v>
      </c>
      <c r="I6" s="3"/>
      <c r="J6" s="3"/>
      <c r="K6" s="1"/>
    </row>
    <row r="7" spans="1:11" ht="15" customHeight="1" x14ac:dyDescent="0.25">
      <c r="A7" s="14">
        <v>1</v>
      </c>
      <c r="B7" s="10" t="s">
        <v>18</v>
      </c>
      <c r="C7" s="10" t="s">
        <v>19</v>
      </c>
      <c r="D7" s="9" t="s">
        <v>22</v>
      </c>
      <c r="E7" s="12">
        <v>45701</v>
      </c>
      <c r="F7" s="20" t="s">
        <v>23</v>
      </c>
      <c r="G7" s="16">
        <v>1</v>
      </c>
      <c r="H7" s="21" t="s">
        <v>24</v>
      </c>
      <c r="I7" s="15"/>
      <c r="J7" s="15"/>
      <c r="K7" s="1"/>
    </row>
    <row r="8" spans="1:11" ht="15" customHeight="1" x14ac:dyDescent="0.25">
      <c r="A8" s="14">
        <f>+A7+1</f>
        <v>2</v>
      </c>
      <c r="B8" s="10"/>
      <c r="C8" s="10"/>
      <c r="D8" s="9"/>
      <c r="E8" s="12"/>
      <c r="F8" s="20"/>
      <c r="G8" s="16">
        <v>1</v>
      </c>
      <c r="H8" s="21"/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/>
      <c r="C9" s="10"/>
      <c r="D9" s="9"/>
      <c r="E9" s="12"/>
      <c r="F9" s="20"/>
      <c r="G9" s="16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10"/>
      <c r="C10" s="10"/>
      <c r="D10" s="9"/>
      <c r="E10" s="12"/>
      <c r="F10" s="20"/>
      <c r="G10" s="16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2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/>
      <c r="H13" s="2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12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2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0"/>
      <c r="C22" s="10"/>
      <c r="D22" s="9"/>
      <c r="E22" s="12"/>
      <c r="F22" s="20"/>
      <c r="G22" s="16">
        <v>1</v>
      </c>
      <c r="H22" s="21"/>
      <c r="I22" s="2"/>
      <c r="J22" s="2"/>
    </row>
    <row r="23" spans="1:10" ht="15" customHeight="1" x14ac:dyDescent="0.25">
      <c r="A23" s="14">
        <f t="shared" si="0"/>
        <v>17</v>
      </c>
      <c r="B23" s="12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10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>
        <v>1</v>
      </c>
      <c r="H29" s="21"/>
      <c r="I29" s="2"/>
      <c r="J29" s="2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/>
      <c r="H33" s="1"/>
      <c r="I33" s="1"/>
      <c r="J33" s="1"/>
    </row>
    <row r="34" spans="1:10" ht="15" customHeight="1" x14ac:dyDescent="0.25">
      <c r="A34" s="14">
        <f t="shared" si="0"/>
        <v>28</v>
      </c>
      <c r="B34" s="12"/>
      <c r="C34" s="10"/>
      <c r="D34" s="9"/>
      <c r="E34" s="12"/>
      <c r="F34" s="20"/>
      <c r="G34" s="16"/>
      <c r="H34" s="1"/>
      <c r="I34" s="1"/>
      <c r="J34" s="1"/>
    </row>
    <row r="35" spans="1:10" ht="15" customHeight="1" x14ac:dyDescent="0.25">
      <c r="A35" s="14">
        <f t="shared" si="0"/>
        <v>29</v>
      </c>
      <c r="B35" s="12"/>
      <c r="C35" s="10"/>
      <c r="D35" s="9"/>
      <c r="E35" s="12"/>
      <c r="F35" s="20"/>
      <c r="G35" s="16"/>
      <c r="H35" s="1"/>
      <c r="I35" s="1"/>
      <c r="J35" s="1"/>
    </row>
    <row r="36" spans="1:10" ht="15" customHeight="1" x14ac:dyDescent="0.25">
      <c r="A36" s="14">
        <f t="shared" si="0"/>
        <v>30</v>
      </c>
      <c r="B36" s="12"/>
      <c r="C36" s="10"/>
      <c r="D36" s="9"/>
      <c r="E36" s="12"/>
      <c r="F36" s="20"/>
      <c r="G36" s="16"/>
      <c r="H36" s="1"/>
      <c r="I36" s="1"/>
      <c r="J36" s="1"/>
    </row>
    <row r="37" spans="1:10" ht="15" customHeight="1" x14ac:dyDescent="0.25">
      <c r="A37" s="14">
        <f t="shared" si="0"/>
        <v>31</v>
      </c>
      <c r="B37" s="12"/>
      <c r="C37" s="10"/>
      <c r="D37" s="9"/>
      <c r="E37" s="12"/>
      <c r="F37" s="20"/>
      <c r="G37" s="16"/>
      <c r="H37" s="1"/>
      <c r="I37" s="1"/>
      <c r="J37" s="1"/>
    </row>
    <row r="38" spans="1:10" ht="15" customHeight="1" x14ac:dyDescent="0.25">
      <c r="A38" s="14">
        <f t="shared" si="0"/>
        <v>32</v>
      </c>
      <c r="B38" s="12"/>
      <c r="C38" s="10"/>
      <c r="D38" s="9"/>
      <c r="E38" s="12"/>
      <c r="F38" s="20"/>
      <c r="G38" s="16"/>
      <c r="H38" s="1"/>
      <c r="I38" s="1"/>
      <c r="J38" s="1"/>
    </row>
    <row r="39" spans="1:10" x14ac:dyDescent="0.25">
      <c r="A39" s="14">
        <f t="shared" si="0"/>
        <v>33</v>
      </c>
      <c r="B39" s="12"/>
      <c r="C39" s="10"/>
      <c r="D39" s="9"/>
      <c r="E39" s="12"/>
      <c r="F39" s="20"/>
    </row>
    <row r="40" spans="1:10" x14ac:dyDescent="0.25">
      <c r="A40" s="14">
        <f t="shared" si="0"/>
        <v>34</v>
      </c>
      <c r="B40" s="12"/>
      <c r="C40" s="10"/>
      <c r="D40" s="9"/>
      <c r="E40" s="12"/>
      <c r="F40" s="20"/>
    </row>
    <row r="41" spans="1:10" x14ac:dyDescent="0.25">
      <c r="A41" s="14">
        <f t="shared" si="0"/>
        <v>35</v>
      </c>
      <c r="B41" s="12"/>
      <c r="C41" s="10"/>
      <c r="D41" s="9"/>
      <c r="E41" s="12"/>
      <c r="F41" s="20"/>
    </row>
    <row r="42" spans="1:10" x14ac:dyDescent="0.25">
      <c r="A42" s="14">
        <f t="shared" si="0"/>
        <v>36</v>
      </c>
      <c r="B42" s="12"/>
      <c r="C42" s="10"/>
      <c r="D42" s="9"/>
      <c r="E42" s="12"/>
      <c r="F42" s="20"/>
    </row>
    <row r="43" spans="1:10" x14ac:dyDescent="0.25">
      <c r="A43" s="14">
        <f t="shared" si="0"/>
        <v>37</v>
      </c>
      <c r="B43" s="12"/>
      <c r="C43" s="10"/>
      <c r="D43" s="9"/>
      <c r="E43" s="12"/>
      <c r="F43" s="20"/>
    </row>
    <row r="44" spans="1:10" x14ac:dyDescent="0.25">
      <c r="A44" s="14">
        <f t="shared" si="0"/>
        <v>38</v>
      </c>
      <c r="B44" s="12"/>
      <c r="C44" s="10"/>
      <c r="D44" s="9"/>
      <c r="E44" s="12"/>
      <c r="F44" s="20"/>
    </row>
    <row r="45" spans="1:10" x14ac:dyDescent="0.25">
      <c r="A45" s="14">
        <f t="shared" si="0"/>
        <v>39</v>
      </c>
      <c r="B45" s="12"/>
      <c r="C45" s="10"/>
      <c r="D45" s="9"/>
      <c r="E45" s="12"/>
      <c r="F45" s="20"/>
    </row>
    <row r="46" spans="1:10" x14ac:dyDescent="0.25">
      <c r="A46" s="14">
        <f t="shared" si="0"/>
        <v>40</v>
      </c>
      <c r="B46" s="1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6"/>
  <sheetViews>
    <sheetView workbookViewId="0">
      <selection activeCell="D7" sqref="D7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7">
        <f>SUMIF(F7:F38,"Elimination*",G7:G38)</f>
        <v>0</v>
      </c>
    </row>
    <row r="3" spans="1:11" x14ac:dyDescent="0.25">
      <c r="A3" s="29" t="s">
        <v>5</v>
      </c>
      <c r="B3" s="29"/>
      <c r="C3" s="29"/>
      <c r="D3" s="5"/>
      <c r="E3" s="29" t="s">
        <v>16</v>
      </c>
      <c r="F3" s="29"/>
      <c r="G3" s="4"/>
      <c r="H3" s="4"/>
      <c r="I3" s="25" t="s">
        <v>6</v>
      </c>
      <c r="J3" s="26"/>
      <c r="K3" s="17">
        <f>SUMIF(F7:F38,"NB*",G7:G38)</f>
        <v>0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7">
        <f>SUMIF(F7:F38,"Ve*",G7:G38)</f>
        <v>0</v>
      </c>
    </row>
    <row r="5" spans="1:11" ht="15.75" x14ac:dyDescent="0.25">
      <c r="A5" s="27" t="s">
        <v>25</v>
      </c>
      <c r="B5" s="27"/>
      <c r="C5" s="27"/>
      <c r="D5" s="27"/>
      <c r="E5" s="27"/>
      <c r="F5" s="27"/>
      <c r="G5" s="18"/>
      <c r="H5" s="18"/>
      <c r="I5" s="25" t="s">
        <v>9</v>
      </c>
      <c r="J5" s="26"/>
      <c r="K5" s="19">
        <f>SUM(K2:K4)</f>
        <v>0</v>
      </c>
    </row>
    <row r="6" spans="1:11" ht="21.6" customHeight="1" x14ac:dyDescent="0.25">
      <c r="A6" s="22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23" t="s">
        <v>17</v>
      </c>
      <c r="I6" s="3"/>
      <c r="J6" s="3"/>
      <c r="K6" s="1"/>
    </row>
    <row r="7" spans="1:11" ht="15" customHeight="1" x14ac:dyDescent="0.25">
      <c r="A7" s="14">
        <v>1</v>
      </c>
      <c r="B7" s="10"/>
      <c r="C7" s="10"/>
      <c r="D7" s="9"/>
      <c r="E7" s="12"/>
      <c r="F7" s="20"/>
      <c r="G7" s="16">
        <v>1</v>
      </c>
      <c r="H7" s="21"/>
      <c r="I7" s="15"/>
      <c r="J7" s="15"/>
      <c r="K7" s="1"/>
    </row>
    <row r="8" spans="1:11" ht="15" customHeight="1" x14ac:dyDescent="0.25">
      <c r="A8" s="14">
        <f>+A7+1</f>
        <v>2</v>
      </c>
      <c r="B8" s="10"/>
      <c r="C8" s="10"/>
      <c r="D8" s="9"/>
      <c r="E8" s="12"/>
      <c r="F8" s="20"/>
      <c r="G8" s="16">
        <v>1</v>
      </c>
      <c r="H8" s="21"/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/>
      <c r="C9" s="10"/>
      <c r="D9" s="9"/>
      <c r="E9" s="12"/>
      <c r="F9" s="20"/>
      <c r="G9" s="16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10"/>
      <c r="C10" s="10"/>
      <c r="D10" s="9"/>
      <c r="E10" s="12"/>
      <c r="F10" s="20"/>
      <c r="G10" s="16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2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/>
      <c r="H13" s="2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12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2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0"/>
      <c r="C22" s="10"/>
      <c r="D22" s="9"/>
      <c r="E22" s="12"/>
      <c r="F22" s="20"/>
      <c r="G22" s="16">
        <v>1</v>
      </c>
      <c r="H22" s="21"/>
      <c r="I22" s="2"/>
      <c r="J22" s="2"/>
    </row>
    <row r="23" spans="1:10" ht="15" customHeight="1" x14ac:dyDescent="0.25">
      <c r="A23" s="14">
        <f t="shared" si="0"/>
        <v>17</v>
      </c>
      <c r="B23" s="12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10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>
        <v>1</v>
      </c>
      <c r="H29" s="21"/>
      <c r="I29" s="2"/>
      <c r="J29" s="2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/>
      <c r="H33" s="1"/>
      <c r="I33" s="1"/>
      <c r="J33" s="1"/>
    </row>
    <row r="34" spans="1:10" ht="15" customHeight="1" x14ac:dyDescent="0.25">
      <c r="A34" s="14">
        <f t="shared" si="0"/>
        <v>28</v>
      </c>
      <c r="B34" s="12"/>
      <c r="C34" s="10"/>
      <c r="D34" s="9"/>
      <c r="E34" s="12"/>
      <c r="F34" s="20"/>
      <c r="G34" s="16"/>
      <c r="H34" s="1"/>
      <c r="I34" s="1"/>
      <c r="J34" s="1"/>
    </row>
    <row r="35" spans="1:10" ht="15" customHeight="1" x14ac:dyDescent="0.25">
      <c r="A35" s="14">
        <f t="shared" si="0"/>
        <v>29</v>
      </c>
      <c r="B35" s="12"/>
      <c r="C35" s="10"/>
      <c r="D35" s="9"/>
      <c r="E35" s="12"/>
      <c r="F35" s="20"/>
      <c r="G35" s="16"/>
      <c r="H35" s="1"/>
      <c r="I35" s="1"/>
      <c r="J35" s="1"/>
    </row>
    <row r="36" spans="1:10" ht="15" customHeight="1" x14ac:dyDescent="0.25">
      <c r="A36" s="14">
        <f t="shared" si="0"/>
        <v>30</v>
      </c>
      <c r="B36" s="12"/>
      <c r="C36" s="10"/>
      <c r="D36" s="9"/>
      <c r="E36" s="12"/>
      <c r="F36" s="20"/>
      <c r="G36" s="16"/>
      <c r="H36" s="1"/>
      <c r="I36" s="1"/>
      <c r="J36" s="1"/>
    </row>
    <row r="37" spans="1:10" ht="15" customHeight="1" x14ac:dyDescent="0.25">
      <c r="A37" s="14">
        <f t="shared" si="0"/>
        <v>31</v>
      </c>
      <c r="B37" s="12"/>
      <c r="C37" s="10"/>
      <c r="D37" s="9"/>
      <c r="E37" s="12"/>
      <c r="F37" s="20"/>
      <c r="G37" s="16"/>
      <c r="H37" s="1"/>
      <c r="I37" s="1"/>
      <c r="J37" s="1"/>
    </row>
    <row r="38" spans="1:10" ht="15" customHeight="1" x14ac:dyDescent="0.25">
      <c r="A38" s="14">
        <f t="shared" si="0"/>
        <v>32</v>
      </c>
      <c r="B38" s="12"/>
      <c r="C38" s="10"/>
      <c r="D38" s="9"/>
      <c r="E38" s="12"/>
      <c r="F38" s="20"/>
      <c r="G38" s="16"/>
      <c r="H38" s="1"/>
      <c r="I38" s="1"/>
      <c r="J38" s="1"/>
    </row>
    <row r="39" spans="1:10" x14ac:dyDescent="0.25">
      <c r="A39" s="14">
        <f t="shared" si="0"/>
        <v>33</v>
      </c>
      <c r="B39" s="12"/>
      <c r="C39" s="10"/>
      <c r="D39" s="9"/>
      <c r="E39" s="12"/>
      <c r="F39" s="20"/>
    </row>
    <row r="40" spans="1:10" x14ac:dyDescent="0.25">
      <c r="A40" s="14">
        <f t="shared" si="0"/>
        <v>34</v>
      </c>
      <c r="B40" s="12"/>
      <c r="C40" s="10"/>
      <c r="D40" s="9"/>
      <c r="E40" s="12"/>
      <c r="F40" s="20"/>
    </row>
    <row r="41" spans="1:10" x14ac:dyDescent="0.25">
      <c r="A41" s="14">
        <f t="shared" si="0"/>
        <v>35</v>
      </c>
      <c r="B41" s="12"/>
      <c r="C41" s="10"/>
      <c r="D41" s="9"/>
      <c r="E41" s="12"/>
      <c r="F41" s="20"/>
    </row>
    <row r="42" spans="1:10" x14ac:dyDescent="0.25">
      <c r="A42" s="14">
        <f t="shared" si="0"/>
        <v>36</v>
      </c>
      <c r="B42" s="12"/>
      <c r="C42" s="10"/>
      <c r="D42" s="9"/>
      <c r="E42" s="12"/>
      <c r="F42" s="20"/>
    </row>
    <row r="43" spans="1:10" x14ac:dyDescent="0.25">
      <c r="A43" s="14">
        <f t="shared" si="0"/>
        <v>37</v>
      </c>
      <c r="B43" s="12"/>
      <c r="C43" s="10"/>
      <c r="D43" s="9"/>
      <c r="E43" s="12"/>
      <c r="F43" s="20"/>
    </row>
    <row r="44" spans="1:10" x14ac:dyDescent="0.25">
      <c r="A44" s="14">
        <f t="shared" si="0"/>
        <v>38</v>
      </c>
      <c r="B44" s="12"/>
      <c r="C44" s="10"/>
      <c r="D44" s="9"/>
      <c r="E44" s="12"/>
      <c r="F44" s="20"/>
    </row>
    <row r="45" spans="1:10" x14ac:dyDescent="0.25">
      <c r="A45" s="14">
        <f t="shared" si="0"/>
        <v>39</v>
      </c>
      <c r="B45" s="12"/>
      <c r="C45" s="10"/>
      <c r="D45" s="9"/>
      <c r="E45" s="12"/>
      <c r="F45" s="20"/>
    </row>
    <row r="46" spans="1:10" x14ac:dyDescent="0.25">
      <c r="A46" s="14">
        <f t="shared" si="0"/>
        <v>40</v>
      </c>
      <c r="B46" s="1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6"/>
  <sheetViews>
    <sheetView workbookViewId="0">
      <selection activeCell="F13" sqref="F13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7">
        <f>SUMIF(F7:F38,"Elimination*",G7:G38)</f>
        <v>0</v>
      </c>
    </row>
    <row r="3" spans="1:11" x14ac:dyDescent="0.25">
      <c r="A3" s="29" t="s">
        <v>5</v>
      </c>
      <c r="B3" s="29"/>
      <c r="C3" s="29"/>
      <c r="D3" s="5"/>
      <c r="E3" s="29" t="s">
        <v>16</v>
      </c>
      <c r="F3" s="29"/>
      <c r="G3" s="4"/>
      <c r="H3" s="4"/>
      <c r="I3" s="25" t="s">
        <v>6</v>
      </c>
      <c r="J3" s="26"/>
      <c r="K3" s="17">
        <f>SUMIF(F7:F38,"NB*",G7:G38)</f>
        <v>1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7">
        <f>SUMIF(F7:F38,"Ve*",G7:G38)</f>
        <v>0</v>
      </c>
    </row>
    <row r="5" spans="1:11" ht="15.75" x14ac:dyDescent="0.25">
      <c r="A5" s="27" t="s">
        <v>26</v>
      </c>
      <c r="B5" s="27"/>
      <c r="C5" s="27"/>
      <c r="D5" s="27"/>
      <c r="E5" s="27"/>
      <c r="F5" s="27"/>
      <c r="G5" s="18"/>
      <c r="H5" s="18"/>
      <c r="I5" s="25" t="s">
        <v>9</v>
      </c>
      <c r="J5" s="26"/>
      <c r="K5" s="19">
        <f>SUM(K2:K4)</f>
        <v>1</v>
      </c>
    </row>
    <row r="6" spans="1:11" ht="21.6" customHeight="1" x14ac:dyDescent="0.25">
      <c r="A6" s="22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23" t="s">
        <v>17</v>
      </c>
      <c r="I6" s="3"/>
      <c r="J6" s="3"/>
      <c r="K6" s="1"/>
    </row>
    <row r="7" spans="1:11" ht="15" customHeight="1" x14ac:dyDescent="0.25">
      <c r="A7" s="14">
        <v>1</v>
      </c>
      <c r="B7" s="10" t="s">
        <v>18</v>
      </c>
      <c r="C7" s="10" t="s">
        <v>19</v>
      </c>
      <c r="D7" s="9" t="s">
        <v>27</v>
      </c>
      <c r="E7" s="12">
        <v>45756</v>
      </c>
      <c r="F7" s="20" t="s">
        <v>28</v>
      </c>
      <c r="G7" s="16">
        <v>1</v>
      </c>
      <c r="H7" s="21" t="s">
        <v>29</v>
      </c>
      <c r="I7" s="15"/>
      <c r="J7" s="15"/>
      <c r="K7" s="1"/>
    </row>
    <row r="8" spans="1:11" ht="15" customHeight="1" x14ac:dyDescent="0.25">
      <c r="A8" s="14">
        <f>+A7+1</f>
        <v>2</v>
      </c>
      <c r="B8" s="10"/>
      <c r="C8" s="10"/>
      <c r="D8" s="9"/>
      <c r="E8" s="12"/>
      <c r="F8" s="20"/>
      <c r="G8" s="16">
        <v>1</v>
      </c>
      <c r="H8" s="21"/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/>
      <c r="C9" s="10"/>
      <c r="D9" s="9"/>
      <c r="E9" s="12"/>
      <c r="F9" s="20"/>
      <c r="G9" s="16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10"/>
      <c r="C10" s="10"/>
      <c r="D10" s="9"/>
      <c r="E10" s="12"/>
      <c r="F10" s="20"/>
      <c r="G10" s="16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2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/>
      <c r="H13" s="2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12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2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0"/>
      <c r="C22" s="10"/>
      <c r="D22" s="9"/>
      <c r="E22" s="12"/>
      <c r="F22" s="20"/>
      <c r="G22" s="16">
        <v>1</v>
      </c>
      <c r="H22" s="21"/>
      <c r="I22" s="2"/>
      <c r="J22" s="2"/>
    </row>
    <row r="23" spans="1:10" ht="15" customHeight="1" x14ac:dyDescent="0.25">
      <c r="A23" s="14">
        <f t="shared" si="0"/>
        <v>17</v>
      </c>
      <c r="B23" s="12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10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>
        <v>1</v>
      </c>
      <c r="H29" s="21"/>
      <c r="I29" s="2"/>
      <c r="J29" s="2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/>
      <c r="H33" s="1"/>
      <c r="I33" s="1"/>
      <c r="J33" s="1"/>
    </row>
    <row r="34" spans="1:10" ht="15" customHeight="1" x14ac:dyDescent="0.25">
      <c r="A34" s="14">
        <f t="shared" si="0"/>
        <v>28</v>
      </c>
      <c r="B34" s="12"/>
      <c r="C34" s="10"/>
      <c r="D34" s="9"/>
      <c r="E34" s="12"/>
      <c r="F34" s="20"/>
      <c r="G34" s="16"/>
      <c r="H34" s="1"/>
      <c r="I34" s="1"/>
      <c r="J34" s="1"/>
    </row>
    <row r="35" spans="1:10" ht="15" customHeight="1" x14ac:dyDescent="0.25">
      <c r="A35" s="14">
        <f t="shared" si="0"/>
        <v>29</v>
      </c>
      <c r="B35" s="12"/>
      <c r="C35" s="10"/>
      <c r="D35" s="9"/>
      <c r="E35" s="12"/>
      <c r="F35" s="20"/>
      <c r="G35" s="16"/>
      <c r="H35" s="1"/>
      <c r="I35" s="1"/>
      <c r="J35" s="1"/>
    </row>
    <row r="36" spans="1:10" ht="15" customHeight="1" x14ac:dyDescent="0.25">
      <c r="A36" s="14">
        <f t="shared" si="0"/>
        <v>30</v>
      </c>
      <c r="B36" s="12"/>
      <c r="C36" s="10"/>
      <c r="D36" s="9"/>
      <c r="E36" s="12"/>
      <c r="F36" s="20"/>
      <c r="G36" s="16"/>
      <c r="H36" s="1"/>
      <c r="I36" s="1"/>
      <c r="J36" s="1"/>
    </row>
    <row r="37" spans="1:10" ht="15" customHeight="1" x14ac:dyDescent="0.25">
      <c r="A37" s="14">
        <f t="shared" si="0"/>
        <v>31</v>
      </c>
      <c r="B37" s="12"/>
      <c r="C37" s="10"/>
      <c r="D37" s="9"/>
      <c r="E37" s="12"/>
      <c r="F37" s="20"/>
      <c r="G37" s="16"/>
      <c r="H37" s="1"/>
      <c r="I37" s="1"/>
      <c r="J37" s="1"/>
    </row>
    <row r="38" spans="1:10" ht="15" customHeight="1" x14ac:dyDescent="0.25">
      <c r="A38" s="14">
        <f t="shared" si="0"/>
        <v>32</v>
      </c>
      <c r="B38" s="12"/>
      <c r="C38" s="10"/>
      <c r="D38" s="9"/>
      <c r="E38" s="12"/>
      <c r="F38" s="20"/>
      <c r="G38" s="16"/>
      <c r="H38" s="1"/>
      <c r="I38" s="1"/>
      <c r="J38" s="1"/>
    </row>
    <row r="39" spans="1:10" x14ac:dyDescent="0.25">
      <c r="A39" s="14">
        <f t="shared" si="0"/>
        <v>33</v>
      </c>
      <c r="B39" s="12"/>
      <c r="C39" s="10"/>
      <c r="D39" s="9"/>
      <c r="E39" s="12"/>
      <c r="F39" s="20"/>
    </row>
    <row r="40" spans="1:10" x14ac:dyDescent="0.25">
      <c r="A40" s="14">
        <f t="shared" si="0"/>
        <v>34</v>
      </c>
      <c r="B40" s="12"/>
      <c r="C40" s="10"/>
      <c r="D40" s="9"/>
      <c r="E40" s="12"/>
      <c r="F40" s="20"/>
    </row>
    <row r="41" spans="1:10" x14ac:dyDescent="0.25">
      <c r="A41" s="14">
        <f t="shared" si="0"/>
        <v>35</v>
      </c>
      <c r="B41" s="12"/>
      <c r="C41" s="10"/>
      <c r="D41" s="9"/>
      <c r="E41" s="12"/>
      <c r="F41" s="20"/>
    </row>
    <row r="42" spans="1:10" x14ac:dyDescent="0.25">
      <c r="A42" s="14">
        <f t="shared" si="0"/>
        <v>36</v>
      </c>
      <c r="B42" s="12"/>
      <c r="C42" s="10"/>
      <c r="D42" s="9"/>
      <c r="E42" s="12"/>
      <c r="F42" s="20"/>
    </row>
    <row r="43" spans="1:10" x14ac:dyDescent="0.25">
      <c r="A43" s="14">
        <f t="shared" si="0"/>
        <v>37</v>
      </c>
      <c r="B43" s="12"/>
      <c r="C43" s="10"/>
      <c r="D43" s="9"/>
      <c r="E43" s="12"/>
      <c r="F43" s="20"/>
    </row>
    <row r="44" spans="1:10" x14ac:dyDescent="0.25">
      <c r="A44" s="14">
        <f t="shared" si="0"/>
        <v>38</v>
      </c>
      <c r="B44" s="12"/>
      <c r="C44" s="10"/>
      <c r="D44" s="9"/>
      <c r="E44" s="12"/>
      <c r="F44" s="20"/>
    </row>
    <row r="45" spans="1:10" x14ac:dyDescent="0.25">
      <c r="A45" s="14">
        <f t="shared" si="0"/>
        <v>39</v>
      </c>
      <c r="B45" s="12"/>
      <c r="C45" s="10"/>
      <c r="D45" s="9"/>
      <c r="E45" s="12"/>
      <c r="F45" s="20"/>
    </row>
    <row r="46" spans="1:10" x14ac:dyDescent="0.25">
      <c r="A46" s="14">
        <f t="shared" si="0"/>
        <v>40</v>
      </c>
      <c r="B46" s="1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6"/>
  <sheetViews>
    <sheetView workbookViewId="0">
      <selection activeCell="B7" sqref="B7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7">
        <f>SUMIF(F7:F38,"Elimination*",G7:G38)</f>
        <v>0</v>
      </c>
    </row>
    <row r="3" spans="1:11" x14ac:dyDescent="0.25">
      <c r="A3" s="29" t="s">
        <v>5</v>
      </c>
      <c r="B3" s="29"/>
      <c r="C3" s="29"/>
      <c r="D3" s="5"/>
      <c r="E3" s="29" t="s">
        <v>16</v>
      </c>
      <c r="F3" s="29"/>
      <c r="G3" s="4"/>
      <c r="H3" s="4"/>
      <c r="I3" s="25" t="s">
        <v>6</v>
      </c>
      <c r="J3" s="26"/>
      <c r="K3" s="17">
        <f>SUMIF(F7:F38,"NB*",G7:G38)</f>
        <v>0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7">
        <f>SUMIF(F7:F38,"Ve*",G7:G38)</f>
        <v>0</v>
      </c>
    </row>
    <row r="5" spans="1:11" ht="15.75" x14ac:dyDescent="0.25">
      <c r="A5" s="27" t="s">
        <v>30</v>
      </c>
      <c r="B5" s="27"/>
      <c r="C5" s="27"/>
      <c r="D5" s="27"/>
      <c r="E5" s="27"/>
      <c r="F5" s="27"/>
      <c r="G5" s="18"/>
      <c r="H5" s="18"/>
      <c r="I5" s="25" t="s">
        <v>9</v>
      </c>
      <c r="J5" s="26"/>
      <c r="K5" s="19">
        <f>SUM(K2:K4)</f>
        <v>0</v>
      </c>
    </row>
    <row r="6" spans="1:11" ht="21.6" customHeight="1" x14ac:dyDescent="0.25">
      <c r="A6" s="22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23" t="s">
        <v>17</v>
      </c>
      <c r="I6" s="3"/>
      <c r="J6" s="3"/>
      <c r="K6" s="1"/>
    </row>
    <row r="7" spans="1:11" ht="15" customHeight="1" x14ac:dyDescent="0.25">
      <c r="A7" s="14">
        <v>1</v>
      </c>
      <c r="B7" s="10"/>
      <c r="C7" s="10"/>
      <c r="D7" s="9"/>
      <c r="E7" s="12"/>
      <c r="F7" s="20"/>
      <c r="G7" s="16">
        <v>1</v>
      </c>
      <c r="H7" s="21"/>
      <c r="I7" s="15"/>
      <c r="J7" s="15"/>
      <c r="K7" s="1"/>
    </row>
    <row r="8" spans="1:11" ht="15" customHeight="1" x14ac:dyDescent="0.25">
      <c r="A8" s="14">
        <f>+A7+1</f>
        <v>2</v>
      </c>
      <c r="B8" s="10"/>
      <c r="C8" s="10"/>
      <c r="D8" s="9"/>
      <c r="E8" s="12"/>
      <c r="F8" s="20"/>
      <c r="G8" s="16">
        <v>1</v>
      </c>
      <c r="H8" s="21"/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/>
      <c r="C9" s="10"/>
      <c r="D9" s="9"/>
      <c r="E9" s="12"/>
      <c r="F9" s="20"/>
      <c r="G9" s="16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10"/>
      <c r="C10" s="10"/>
      <c r="D10" s="9"/>
      <c r="E10" s="12"/>
      <c r="F10" s="20"/>
      <c r="G10" s="16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2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/>
      <c r="H13" s="2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12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2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0"/>
      <c r="C22" s="10"/>
      <c r="D22" s="9"/>
      <c r="E22" s="12"/>
      <c r="F22" s="20"/>
      <c r="G22" s="16">
        <v>1</v>
      </c>
      <c r="H22" s="21"/>
      <c r="I22" s="2"/>
      <c r="J22" s="2"/>
    </row>
    <row r="23" spans="1:10" ht="15" customHeight="1" x14ac:dyDescent="0.25">
      <c r="A23" s="14">
        <f t="shared" si="0"/>
        <v>17</v>
      </c>
      <c r="B23" s="12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10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>
        <v>1</v>
      </c>
      <c r="H29" s="21"/>
      <c r="I29" s="2"/>
      <c r="J29" s="2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/>
      <c r="H33" s="1"/>
      <c r="I33" s="1"/>
      <c r="J33" s="1"/>
    </row>
    <row r="34" spans="1:10" ht="15" customHeight="1" x14ac:dyDescent="0.25">
      <c r="A34" s="14">
        <f t="shared" si="0"/>
        <v>28</v>
      </c>
      <c r="B34" s="12"/>
      <c r="C34" s="10"/>
      <c r="D34" s="9"/>
      <c r="E34" s="12"/>
      <c r="F34" s="20"/>
      <c r="G34" s="16"/>
      <c r="H34" s="1"/>
      <c r="I34" s="1"/>
      <c r="J34" s="1"/>
    </row>
    <row r="35" spans="1:10" ht="15" customHeight="1" x14ac:dyDescent="0.25">
      <c r="A35" s="14">
        <f t="shared" si="0"/>
        <v>29</v>
      </c>
      <c r="B35" s="12"/>
      <c r="C35" s="10"/>
      <c r="D35" s="9"/>
      <c r="E35" s="12"/>
      <c r="F35" s="20"/>
      <c r="G35" s="16"/>
      <c r="H35" s="1"/>
      <c r="I35" s="1"/>
      <c r="J35" s="1"/>
    </row>
    <row r="36" spans="1:10" ht="15" customHeight="1" x14ac:dyDescent="0.25">
      <c r="A36" s="14">
        <f t="shared" si="0"/>
        <v>30</v>
      </c>
      <c r="B36" s="12"/>
      <c r="C36" s="10"/>
      <c r="D36" s="9"/>
      <c r="E36" s="12"/>
      <c r="F36" s="20"/>
      <c r="G36" s="16"/>
      <c r="H36" s="1"/>
      <c r="I36" s="1"/>
      <c r="J36" s="1"/>
    </row>
    <row r="37" spans="1:10" ht="15" customHeight="1" x14ac:dyDescent="0.25">
      <c r="A37" s="14">
        <f t="shared" si="0"/>
        <v>31</v>
      </c>
      <c r="B37" s="12"/>
      <c r="C37" s="10"/>
      <c r="D37" s="9"/>
      <c r="E37" s="12"/>
      <c r="F37" s="20"/>
      <c r="G37" s="16"/>
      <c r="H37" s="1"/>
      <c r="I37" s="1"/>
      <c r="J37" s="1"/>
    </row>
    <row r="38" spans="1:10" ht="15" customHeight="1" x14ac:dyDescent="0.25">
      <c r="A38" s="14">
        <f t="shared" si="0"/>
        <v>32</v>
      </c>
      <c r="B38" s="12"/>
      <c r="C38" s="10"/>
      <c r="D38" s="9"/>
      <c r="E38" s="12"/>
      <c r="F38" s="20"/>
      <c r="G38" s="16"/>
      <c r="H38" s="1"/>
      <c r="I38" s="1"/>
      <c r="J38" s="1"/>
    </row>
    <row r="39" spans="1:10" x14ac:dyDescent="0.25">
      <c r="A39" s="14">
        <f t="shared" si="0"/>
        <v>33</v>
      </c>
      <c r="B39" s="12"/>
      <c r="C39" s="10"/>
      <c r="D39" s="9"/>
      <c r="E39" s="12"/>
      <c r="F39" s="20"/>
    </row>
    <row r="40" spans="1:10" x14ac:dyDescent="0.25">
      <c r="A40" s="14">
        <f t="shared" si="0"/>
        <v>34</v>
      </c>
      <c r="B40" s="12"/>
      <c r="C40" s="10"/>
      <c r="D40" s="9"/>
      <c r="E40" s="12"/>
      <c r="F40" s="20"/>
    </row>
    <row r="41" spans="1:10" x14ac:dyDescent="0.25">
      <c r="A41" s="14">
        <f t="shared" si="0"/>
        <v>35</v>
      </c>
      <c r="B41" s="12"/>
      <c r="C41" s="10"/>
      <c r="D41" s="9"/>
      <c r="E41" s="12"/>
      <c r="F41" s="20"/>
    </row>
    <row r="42" spans="1:10" x14ac:dyDescent="0.25">
      <c r="A42" s="14">
        <f t="shared" si="0"/>
        <v>36</v>
      </c>
      <c r="B42" s="12"/>
      <c r="C42" s="10"/>
      <c r="D42" s="9"/>
      <c r="E42" s="12"/>
      <c r="F42" s="20"/>
    </row>
    <row r="43" spans="1:10" x14ac:dyDescent="0.25">
      <c r="A43" s="14">
        <f t="shared" si="0"/>
        <v>37</v>
      </c>
      <c r="B43" s="12"/>
      <c r="C43" s="10"/>
      <c r="D43" s="9"/>
      <c r="E43" s="12"/>
      <c r="F43" s="20"/>
    </row>
    <row r="44" spans="1:10" x14ac:dyDescent="0.25">
      <c r="A44" s="14">
        <f t="shared" si="0"/>
        <v>38</v>
      </c>
      <c r="B44" s="12"/>
      <c r="C44" s="10"/>
      <c r="D44" s="9"/>
      <c r="E44" s="12"/>
      <c r="F44" s="20"/>
    </row>
    <row r="45" spans="1:10" x14ac:dyDescent="0.25">
      <c r="A45" s="14">
        <f t="shared" si="0"/>
        <v>39</v>
      </c>
      <c r="B45" s="12"/>
      <c r="C45" s="10"/>
      <c r="D45" s="9"/>
      <c r="E45" s="12"/>
      <c r="F45" s="20"/>
    </row>
    <row r="46" spans="1:10" x14ac:dyDescent="0.25">
      <c r="A46" s="14">
        <f t="shared" si="0"/>
        <v>40</v>
      </c>
      <c r="B46" s="1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6"/>
  <sheetViews>
    <sheetView workbookViewId="0">
      <selection activeCell="H8" sqref="H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7">
        <f>SUMIF(F7:F38,"Elimination*",G7:G38)</f>
        <v>0</v>
      </c>
    </row>
    <row r="3" spans="1:11" x14ac:dyDescent="0.25">
      <c r="A3" s="29" t="s">
        <v>5</v>
      </c>
      <c r="B3" s="29"/>
      <c r="C3" s="29"/>
      <c r="D3" s="5"/>
      <c r="E3" s="29" t="s">
        <v>16</v>
      </c>
      <c r="F3" s="29"/>
      <c r="G3" s="4"/>
      <c r="H3" s="4"/>
      <c r="I3" s="25" t="s">
        <v>6</v>
      </c>
      <c r="J3" s="26"/>
      <c r="K3" s="17">
        <f>SUMIF(F7:F38,"NB*",G7:G38)</f>
        <v>1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7">
        <f>SUMIF(F7:F38,"Ve*",G7:G38)</f>
        <v>0</v>
      </c>
    </row>
    <row r="5" spans="1:11" ht="15.75" x14ac:dyDescent="0.25">
      <c r="A5" s="27" t="s">
        <v>31</v>
      </c>
      <c r="B5" s="27"/>
      <c r="C5" s="27"/>
      <c r="D5" s="27"/>
      <c r="E5" s="27"/>
      <c r="F5" s="27"/>
      <c r="G5" s="18"/>
      <c r="H5" s="18"/>
      <c r="I5" s="25" t="s">
        <v>9</v>
      </c>
      <c r="J5" s="26"/>
      <c r="K5" s="19">
        <f>SUM(K2:K4)</f>
        <v>1</v>
      </c>
    </row>
    <row r="6" spans="1:11" ht="21.6" customHeight="1" x14ac:dyDescent="0.25">
      <c r="A6" s="22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23" t="s">
        <v>17</v>
      </c>
      <c r="I6" s="3"/>
      <c r="J6" s="3"/>
      <c r="K6" s="1"/>
    </row>
    <row r="7" spans="1:11" ht="15" customHeight="1" x14ac:dyDescent="0.25">
      <c r="A7" s="14">
        <v>1</v>
      </c>
      <c r="B7" s="10" t="s">
        <v>18</v>
      </c>
      <c r="C7" s="10" t="s">
        <v>19</v>
      </c>
      <c r="D7" s="9" t="s">
        <v>32</v>
      </c>
      <c r="E7" s="12">
        <v>45838</v>
      </c>
      <c r="F7" s="20" t="s">
        <v>33</v>
      </c>
      <c r="G7" s="16">
        <v>1</v>
      </c>
      <c r="H7" s="21" t="s">
        <v>34</v>
      </c>
      <c r="I7" s="15"/>
      <c r="J7" s="15"/>
      <c r="K7" s="1"/>
    </row>
    <row r="8" spans="1:11" ht="15" customHeight="1" x14ac:dyDescent="0.25">
      <c r="A8" s="14">
        <f>+A7+1</f>
        <v>2</v>
      </c>
      <c r="B8" s="10"/>
      <c r="C8" s="10"/>
      <c r="D8" s="9"/>
      <c r="E8" s="12"/>
      <c r="F8" s="20"/>
      <c r="G8" s="16">
        <v>1</v>
      </c>
      <c r="H8" s="21"/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/>
      <c r="C9" s="10"/>
      <c r="D9" s="9"/>
      <c r="E9" s="12"/>
      <c r="F9" s="20"/>
      <c r="G9" s="16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10"/>
      <c r="C10" s="10"/>
      <c r="D10" s="9"/>
      <c r="E10" s="12"/>
      <c r="F10" s="20"/>
      <c r="G10" s="16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2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/>
      <c r="H13" s="2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12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2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0"/>
      <c r="C22" s="10"/>
      <c r="D22" s="9"/>
      <c r="E22" s="12"/>
      <c r="F22" s="20"/>
      <c r="G22" s="16">
        <v>1</v>
      </c>
      <c r="H22" s="21"/>
      <c r="I22" s="2"/>
      <c r="J22" s="2"/>
    </row>
    <row r="23" spans="1:10" ht="15" customHeight="1" x14ac:dyDescent="0.25">
      <c r="A23" s="14">
        <f t="shared" si="0"/>
        <v>17</v>
      </c>
      <c r="B23" s="12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10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>
        <v>1</v>
      </c>
      <c r="H29" s="21"/>
      <c r="I29" s="2"/>
      <c r="J29" s="2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/>
      <c r="H33" s="1"/>
      <c r="I33" s="1"/>
      <c r="J33" s="1"/>
    </row>
    <row r="34" spans="1:10" ht="15" customHeight="1" x14ac:dyDescent="0.25">
      <c r="A34" s="14">
        <f t="shared" si="0"/>
        <v>28</v>
      </c>
      <c r="B34" s="12"/>
      <c r="C34" s="10"/>
      <c r="D34" s="9"/>
      <c r="E34" s="12"/>
      <c r="F34" s="20"/>
      <c r="G34" s="16"/>
      <c r="H34" s="1"/>
      <c r="I34" s="1"/>
      <c r="J34" s="1"/>
    </row>
    <row r="35" spans="1:10" ht="15" customHeight="1" x14ac:dyDescent="0.25">
      <c r="A35" s="14">
        <f t="shared" si="0"/>
        <v>29</v>
      </c>
      <c r="B35" s="12"/>
      <c r="C35" s="10"/>
      <c r="D35" s="9"/>
      <c r="E35" s="12"/>
      <c r="F35" s="20"/>
      <c r="G35" s="16"/>
      <c r="H35" s="1"/>
      <c r="I35" s="1"/>
      <c r="J35" s="1"/>
    </row>
    <row r="36" spans="1:10" ht="15" customHeight="1" x14ac:dyDescent="0.25">
      <c r="A36" s="14">
        <f t="shared" si="0"/>
        <v>30</v>
      </c>
      <c r="B36" s="12"/>
      <c r="C36" s="10"/>
      <c r="D36" s="9"/>
      <c r="E36" s="12"/>
      <c r="F36" s="20"/>
      <c r="G36" s="16"/>
      <c r="H36" s="1"/>
      <c r="I36" s="1"/>
      <c r="J36" s="1"/>
    </row>
    <row r="37" spans="1:10" ht="15" customHeight="1" x14ac:dyDescent="0.25">
      <c r="A37" s="14">
        <f t="shared" si="0"/>
        <v>31</v>
      </c>
      <c r="B37" s="12"/>
      <c r="C37" s="10"/>
      <c r="D37" s="9"/>
      <c r="E37" s="12"/>
      <c r="F37" s="20"/>
      <c r="G37" s="16"/>
      <c r="H37" s="1"/>
      <c r="I37" s="1"/>
      <c r="J37" s="1"/>
    </row>
    <row r="38" spans="1:10" ht="15" customHeight="1" x14ac:dyDescent="0.25">
      <c r="A38" s="14">
        <f t="shared" si="0"/>
        <v>32</v>
      </c>
      <c r="B38" s="12"/>
      <c r="C38" s="10"/>
      <c r="D38" s="9"/>
      <c r="E38" s="12"/>
      <c r="F38" s="20"/>
      <c r="G38" s="16"/>
      <c r="H38" s="1"/>
      <c r="I38" s="1"/>
      <c r="J38" s="1"/>
    </row>
    <row r="39" spans="1:10" x14ac:dyDescent="0.25">
      <c r="A39" s="14">
        <f t="shared" si="0"/>
        <v>33</v>
      </c>
      <c r="B39" s="12"/>
      <c r="C39" s="10"/>
      <c r="D39" s="9"/>
      <c r="E39" s="12"/>
      <c r="F39" s="20"/>
    </row>
    <row r="40" spans="1:10" x14ac:dyDescent="0.25">
      <c r="A40" s="14">
        <f t="shared" si="0"/>
        <v>34</v>
      </c>
      <c r="B40" s="12"/>
      <c r="C40" s="10"/>
      <c r="D40" s="9"/>
      <c r="E40" s="12"/>
      <c r="F40" s="20"/>
    </row>
    <row r="41" spans="1:10" x14ac:dyDescent="0.25">
      <c r="A41" s="14">
        <f t="shared" si="0"/>
        <v>35</v>
      </c>
      <c r="B41" s="12"/>
      <c r="C41" s="10"/>
      <c r="D41" s="9"/>
      <c r="E41" s="12"/>
      <c r="F41" s="20"/>
    </row>
    <row r="42" spans="1:10" x14ac:dyDescent="0.25">
      <c r="A42" s="14">
        <f t="shared" si="0"/>
        <v>36</v>
      </c>
      <c r="B42" s="12"/>
      <c r="C42" s="10"/>
      <c r="D42" s="9"/>
      <c r="E42" s="12"/>
      <c r="F42" s="20"/>
    </row>
    <row r="43" spans="1:10" x14ac:dyDescent="0.25">
      <c r="A43" s="14">
        <f t="shared" si="0"/>
        <v>37</v>
      </c>
      <c r="B43" s="12"/>
      <c r="C43" s="10"/>
      <c r="D43" s="9"/>
      <c r="E43" s="12"/>
      <c r="F43" s="20"/>
    </row>
    <row r="44" spans="1:10" x14ac:dyDescent="0.25">
      <c r="A44" s="14">
        <f t="shared" si="0"/>
        <v>38</v>
      </c>
      <c r="B44" s="12"/>
      <c r="C44" s="10"/>
      <c r="D44" s="9"/>
      <c r="E44" s="12"/>
      <c r="F44" s="20"/>
    </row>
    <row r="45" spans="1:10" x14ac:dyDescent="0.25">
      <c r="A45" s="14">
        <f t="shared" si="0"/>
        <v>39</v>
      </c>
      <c r="B45" s="12"/>
      <c r="C45" s="10"/>
      <c r="D45" s="9"/>
      <c r="E45" s="12"/>
      <c r="F45" s="20"/>
    </row>
    <row r="46" spans="1:10" x14ac:dyDescent="0.25">
      <c r="A46" s="14">
        <f t="shared" si="0"/>
        <v>40</v>
      </c>
      <c r="B46" s="1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6"/>
  <sheetViews>
    <sheetView workbookViewId="0">
      <selection activeCell="H8" sqref="H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7">
        <f>SUMIF(F7:F38,"Elimination*",G7:G38)</f>
        <v>0</v>
      </c>
    </row>
    <row r="3" spans="1:11" x14ac:dyDescent="0.25">
      <c r="A3" s="29" t="s">
        <v>5</v>
      </c>
      <c r="B3" s="29"/>
      <c r="C3" s="29"/>
      <c r="D3" s="5"/>
      <c r="E3" s="29" t="s">
        <v>16</v>
      </c>
      <c r="F3" s="29"/>
      <c r="G3" s="4"/>
      <c r="H3" s="4"/>
      <c r="I3" s="25" t="s">
        <v>6</v>
      </c>
      <c r="J3" s="26"/>
      <c r="K3" s="17">
        <f>SUMIF(F7:F38,"NB*",G7:G38)</f>
        <v>1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7">
        <f>SUMIF(F7:F38,"Ve*",G7:G38)</f>
        <v>0</v>
      </c>
    </row>
    <row r="5" spans="1:11" ht="15.75" x14ac:dyDescent="0.25">
      <c r="A5" s="27" t="s">
        <v>35</v>
      </c>
      <c r="B5" s="27"/>
      <c r="C5" s="27"/>
      <c r="D5" s="27"/>
      <c r="E5" s="27"/>
      <c r="F5" s="27"/>
      <c r="G5" s="18"/>
      <c r="H5" s="18"/>
      <c r="I5" s="25" t="s">
        <v>9</v>
      </c>
      <c r="J5" s="26"/>
      <c r="K5" s="19">
        <f>SUM(K2:K4)</f>
        <v>1</v>
      </c>
    </row>
    <row r="6" spans="1:11" ht="21.6" customHeight="1" x14ac:dyDescent="0.25">
      <c r="A6" s="22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23" t="s">
        <v>17</v>
      </c>
      <c r="I6" s="3"/>
      <c r="J6" s="3"/>
      <c r="K6" s="1"/>
    </row>
    <row r="7" spans="1:11" ht="15" customHeight="1" x14ac:dyDescent="0.25">
      <c r="A7" s="14">
        <v>1</v>
      </c>
      <c r="B7" s="10" t="s">
        <v>18</v>
      </c>
      <c r="C7" s="10" t="s">
        <v>19</v>
      </c>
      <c r="D7" s="9" t="s">
        <v>36</v>
      </c>
      <c r="E7" s="12">
        <v>45847</v>
      </c>
      <c r="F7" s="20" t="s">
        <v>37</v>
      </c>
      <c r="G7" s="16">
        <v>1</v>
      </c>
      <c r="H7" s="21" t="s">
        <v>38</v>
      </c>
      <c r="I7" s="15"/>
      <c r="J7" s="15"/>
      <c r="K7" s="1"/>
    </row>
    <row r="8" spans="1:11" ht="15" customHeight="1" x14ac:dyDescent="0.25">
      <c r="A8" s="14">
        <f>+A7+1</f>
        <v>2</v>
      </c>
      <c r="B8" s="10"/>
      <c r="C8" s="10"/>
      <c r="D8" s="9"/>
      <c r="E8" s="12"/>
      <c r="F8" s="20"/>
      <c r="G8" s="16">
        <v>1</v>
      </c>
      <c r="H8" s="21"/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/>
      <c r="C9" s="10"/>
      <c r="D9" s="9"/>
      <c r="E9" s="12"/>
      <c r="F9" s="20"/>
      <c r="G9" s="16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10"/>
      <c r="C10" s="10"/>
      <c r="D10" s="9"/>
      <c r="E10" s="12"/>
      <c r="F10" s="20"/>
      <c r="G10" s="16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2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/>
      <c r="H13" s="2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12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2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0"/>
      <c r="C22" s="10"/>
      <c r="D22" s="9"/>
      <c r="E22" s="12"/>
      <c r="F22" s="20"/>
      <c r="G22" s="16">
        <v>1</v>
      </c>
      <c r="H22" s="21"/>
      <c r="I22" s="2"/>
      <c r="J22" s="2"/>
    </row>
    <row r="23" spans="1:10" ht="15" customHeight="1" x14ac:dyDescent="0.25">
      <c r="A23" s="14">
        <f t="shared" si="0"/>
        <v>17</v>
      </c>
      <c r="B23" s="12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10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>
        <v>1</v>
      </c>
      <c r="H29" s="21"/>
      <c r="I29" s="2"/>
      <c r="J29" s="2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/>
      <c r="H33" s="1"/>
      <c r="I33" s="1"/>
      <c r="J33" s="1"/>
    </row>
    <row r="34" spans="1:10" ht="15" customHeight="1" x14ac:dyDescent="0.25">
      <c r="A34" s="14">
        <f t="shared" si="0"/>
        <v>28</v>
      </c>
      <c r="B34" s="12"/>
      <c r="C34" s="10"/>
      <c r="D34" s="9"/>
      <c r="E34" s="12"/>
      <c r="F34" s="20"/>
      <c r="G34" s="16"/>
      <c r="H34" s="1"/>
      <c r="I34" s="1"/>
      <c r="J34" s="1"/>
    </row>
    <row r="35" spans="1:10" ht="15" customHeight="1" x14ac:dyDescent="0.25">
      <c r="A35" s="14">
        <f t="shared" si="0"/>
        <v>29</v>
      </c>
      <c r="B35" s="12"/>
      <c r="C35" s="10"/>
      <c r="D35" s="9"/>
      <c r="E35" s="12"/>
      <c r="F35" s="20"/>
      <c r="G35" s="16"/>
      <c r="H35" s="1"/>
      <c r="I35" s="1"/>
      <c r="J35" s="1"/>
    </row>
    <row r="36" spans="1:10" ht="15" customHeight="1" x14ac:dyDescent="0.25">
      <c r="A36" s="14">
        <f t="shared" si="0"/>
        <v>30</v>
      </c>
      <c r="B36" s="12"/>
      <c r="C36" s="10"/>
      <c r="D36" s="9"/>
      <c r="E36" s="12"/>
      <c r="F36" s="20"/>
      <c r="G36" s="16"/>
      <c r="H36" s="1"/>
      <c r="I36" s="1"/>
      <c r="J36" s="1"/>
    </row>
    <row r="37" spans="1:10" ht="15" customHeight="1" x14ac:dyDescent="0.25">
      <c r="A37" s="14">
        <f t="shared" si="0"/>
        <v>31</v>
      </c>
      <c r="B37" s="12"/>
      <c r="C37" s="10"/>
      <c r="D37" s="9"/>
      <c r="E37" s="12"/>
      <c r="F37" s="20"/>
      <c r="G37" s="16"/>
      <c r="H37" s="1"/>
      <c r="I37" s="1"/>
      <c r="J37" s="1"/>
    </row>
    <row r="38" spans="1:10" ht="15" customHeight="1" x14ac:dyDescent="0.25">
      <c r="A38" s="14">
        <f t="shared" si="0"/>
        <v>32</v>
      </c>
      <c r="B38" s="12"/>
      <c r="C38" s="10"/>
      <c r="D38" s="9"/>
      <c r="E38" s="12"/>
      <c r="F38" s="20"/>
      <c r="G38" s="16"/>
      <c r="H38" s="1"/>
      <c r="I38" s="1"/>
      <c r="J38" s="1"/>
    </row>
    <row r="39" spans="1:10" x14ac:dyDescent="0.25">
      <c r="A39" s="14">
        <f t="shared" si="0"/>
        <v>33</v>
      </c>
      <c r="B39" s="12"/>
      <c r="C39" s="10"/>
      <c r="D39" s="9"/>
      <c r="E39" s="12"/>
      <c r="F39" s="20"/>
    </row>
    <row r="40" spans="1:10" x14ac:dyDescent="0.25">
      <c r="A40" s="14">
        <f t="shared" si="0"/>
        <v>34</v>
      </c>
      <c r="B40" s="12"/>
      <c r="C40" s="10"/>
      <c r="D40" s="9"/>
      <c r="E40" s="12"/>
      <c r="F40" s="20"/>
    </row>
    <row r="41" spans="1:10" x14ac:dyDescent="0.25">
      <c r="A41" s="14">
        <f t="shared" si="0"/>
        <v>35</v>
      </c>
      <c r="B41" s="12"/>
      <c r="C41" s="10"/>
      <c r="D41" s="9"/>
      <c r="E41" s="12"/>
      <c r="F41" s="20"/>
    </row>
    <row r="42" spans="1:10" x14ac:dyDescent="0.25">
      <c r="A42" s="14">
        <f t="shared" si="0"/>
        <v>36</v>
      </c>
      <c r="B42" s="12"/>
      <c r="C42" s="10"/>
      <c r="D42" s="9"/>
      <c r="E42" s="12"/>
      <c r="F42" s="20"/>
    </row>
    <row r="43" spans="1:10" x14ac:dyDescent="0.25">
      <c r="A43" s="14">
        <f t="shared" si="0"/>
        <v>37</v>
      </c>
      <c r="B43" s="12"/>
      <c r="C43" s="10"/>
      <c r="D43" s="9"/>
      <c r="E43" s="12"/>
      <c r="F43" s="20"/>
    </row>
    <row r="44" spans="1:10" x14ac:dyDescent="0.25">
      <c r="A44" s="14">
        <f t="shared" si="0"/>
        <v>38</v>
      </c>
      <c r="B44" s="12"/>
      <c r="C44" s="10"/>
      <c r="D44" s="9"/>
      <c r="E44" s="12"/>
      <c r="F44" s="20"/>
    </row>
    <row r="45" spans="1:10" x14ac:dyDescent="0.25">
      <c r="A45" s="14">
        <f t="shared" si="0"/>
        <v>39</v>
      </c>
      <c r="B45" s="12"/>
      <c r="C45" s="10"/>
      <c r="D45" s="9"/>
      <c r="E45" s="12"/>
      <c r="F45" s="20"/>
    </row>
    <row r="46" spans="1:10" x14ac:dyDescent="0.25">
      <c r="A46" s="14">
        <f t="shared" si="0"/>
        <v>40</v>
      </c>
      <c r="B46" s="1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6"/>
  <sheetViews>
    <sheetView workbookViewId="0">
      <selection activeCell="B10" sqref="B10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7">
        <f>SUMIF(F7:F38,"Elimination*",G7:G38)</f>
        <v>0</v>
      </c>
    </row>
    <row r="3" spans="1:11" x14ac:dyDescent="0.25">
      <c r="A3" s="29" t="s">
        <v>5</v>
      </c>
      <c r="B3" s="29"/>
      <c r="C3" s="29"/>
      <c r="D3" s="5"/>
      <c r="E3" s="29" t="s">
        <v>16</v>
      </c>
      <c r="F3" s="29"/>
      <c r="G3" s="4"/>
      <c r="H3" s="4"/>
      <c r="I3" s="25" t="s">
        <v>6</v>
      </c>
      <c r="J3" s="26"/>
      <c r="K3" s="17">
        <f>SUMIF(F7:F38,"NB*",G7:G38)</f>
        <v>3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7">
        <f>SUMIF(F7:F38,"Ve*",G7:G38)</f>
        <v>0</v>
      </c>
    </row>
    <row r="5" spans="1:11" ht="15.75" x14ac:dyDescent="0.25">
      <c r="A5" s="27" t="s">
        <v>39</v>
      </c>
      <c r="B5" s="27"/>
      <c r="C5" s="27"/>
      <c r="D5" s="27"/>
      <c r="E5" s="27"/>
      <c r="F5" s="27"/>
      <c r="G5" s="18"/>
      <c r="H5" s="18"/>
      <c r="I5" s="25" t="s">
        <v>9</v>
      </c>
      <c r="J5" s="26"/>
      <c r="K5" s="19">
        <f>SUM(K2:K4)</f>
        <v>3</v>
      </c>
    </row>
    <row r="6" spans="1:11" ht="21.6" customHeight="1" x14ac:dyDescent="0.25">
      <c r="A6" s="22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23" t="s">
        <v>17</v>
      </c>
      <c r="I6" s="3"/>
      <c r="J6" s="3"/>
      <c r="K6" s="1"/>
    </row>
    <row r="7" spans="1:11" ht="15" customHeight="1" x14ac:dyDescent="0.25">
      <c r="A7" s="14">
        <v>1</v>
      </c>
      <c r="B7" s="10" t="s">
        <v>18</v>
      </c>
      <c r="C7" s="10" t="s">
        <v>19</v>
      </c>
      <c r="D7" s="9" t="s">
        <v>40</v>
      </c>
      <c r="E7" s="12">
        <v>45889</v>
      </c>
      <c r="F7" s="20" t="s">
        <v>41</v>
      </c>
      <c r="G7" s="16">
        <v>1</v>
      </c>
      <c r="H7" s="21" t="s">
        <v>42</v>
      </c>
      <c r="I7" s="15"/>
      <c r="J7" s="15"/>
      <c r="K7" s="1"/>
    </row>
    <row r="8" spans="1:11" ht="15" customHeight="1" x14ac:dyDescent="0.25">
      <c r="A8" s="14">
        <f>+A7+1</f>
        <v>2</v>
      </c>
      <c r="B8" s="10" t="s">
        <v>18</v>
      </c>
      <c r="C8" s="10" t="s">
        <v>19</v>
      </c>
      <c r="D8" s="9" t="s">
        <v>43</v>
      </c>
      <c r="E8" s="12">
        <v>45889</v>
      </c>
      <c r="F8" s="20" t="s">
        <v>44</v>
      </c>
      <c r="G8" s="16">
        <v>1</v>
      </c>
      <c r="H8" s="21" t="s">
        <v>45</v>
      </c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 t="s">
        <v>18</v>
      </c>
      <c r="C9" s="10" t="s">
        <v>19</v>
      </c>
      <c r="D9" s="9" t="s">
        <v>46</v>
      </c>
      <c r="E9" s="12">
        <v>45890</v>
      </c>
      <c r="F9" s="20" t="s">
        <v>47</v>
      </c>
      <c r="G9" s="16">
        <v>1</v>
      </c>
      <c r="H9" s="2" t="s">
        <v>48</v>
      </c>
      <c r="I9" s="2"/>
      <c r="J9" s="2"/>
      <c r="K9" s="1"/>
    </row>
    <row r="10" spans="1:11" ht="15" customHeight="1" x14ac:dyDescent="0.25">
      <c r="A10" s="14">
        <f t="shared" si="0"/>
        <v>4</v>
      </c>
      <c r="B10" s="10"/>
      <c r="C10" s="10"/>
      <c r="D10" s="9"/>
      <c r="E10" s="12"/>
      <c r="F10" s="20"/>
      <c r="G10" s="16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2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/>
      <c r="H13" s="2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12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2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0"/>
      <c r="C22" s="10"/>
      <c r="D22" s="9"/>
      <c r="E22" s="12"/>
      <c r="F22" s="20"/>
      <c r="G22" s="16">
        <v>1</v>
      </c>
      <c r="H22" s="21"/>
      <c r="I22" s="2"/>
      <c r="J22" s="2"/>
    </row>
    <row r="23" spans="1:10" ht="15" customHeight="1" x14ac:dyDescent="0.25">
      <c r="A23" s="14">
        <f t="shared" si="0"/>
        <v>17</v>
      </c>
      <c r="B23" s="12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10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>
        <v>1</v>
      </c>
      <c r="H29" s="21"/>
      <c r="I29" s="2"/>
      <c r="J29" s="2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/>
      <c r="H33" s="1"/>
      <c r="I33" s="1"/>
      <c r="J33" s="1"/>
    </row>
    <row r="34" spans="1:10" ht="15" customHeight="1" x14ac:dyDescent="0.25">
      <c r="A34" s="14">
        <f t="shared" si="0"/>
        <v>28</v>
      </c>
      <c r="B34" s="12"/>
      <c r="C34" s="10"/>
      <c r="D34" s="9"/>
      <c r="E34" s="12"/>
      <c r="F34" s="20"/>
      <c r="G34" s="16"/>
      <c r="H34" s="1"/>
      <c r="I34" s="1"/>
      <c r="J34" s="1"/>
    </row>
    <row r="35" spans="1:10" ht="15" customHeight="1" x14ac:dyDescent="0.25">
      <c r="A35" s="14">
        <f t="shared" si="0"/>
        <v>29</v>
      </c>
      <c r="B35" s="12"/>
      <c r="C35" s="10"/>
      <c r="D35" s="9"/>
      <c r="E35" s="12"/>
      <c r="F35" s="20"/>
      <c r="G35" s="16"/>
      <c r="H35" s="1"/>
      <c r="I35" s="1"/>
      <c r="J35" s="1"/>
    </row>
    <row r="36" spans="1:10" ht="15" customHeight="1" x14ac:dyDescent="0.25">
      <c r="A36" s="14">
        <f t="shared" si="0"/>
        <v>30</v>
      </c>
      <c r="B36" s="12"/>
      <c r="C36" s="10"/>
      <c r="D36" s="9"/>
      <c r="E36" s="12"/>
      <c r="F36" s="20"/>
      <c r="G36" s="16"/>
      <c r="H36" s="1"/>
      <c r="I36" s="1"/>
      <c r="J36" s="1"/>
    </row>
    <row r="37" spans="1:10" ht="15" customHeight="1" x14ac:dyDescent="0.25">
      <c r="A37" s="14">
        <f t="shared" si="0"/>
        <v>31</v>
      </c>
      <c r="B37" s="12"/>
      <c r="C37" s="10"/>
      <c r="D37" s="9"/>
      <c r="E37" s="12"/>
      <c r="F37" s="20"/>
      <c r="G37" s="16"/>
      <c r="H37" s="1"/>
      <c r="I37" s="1"/>
      <c r="J37" s="1"/>
    </row>
    <row r="38" spans="1:10" ht="15" customHeight="1" x14ac:dyDescent="0.25">
      <c r="A38" s="14">
        <f t="shared" si="0"/>
        <v>32</v>
      </c>
      <c r="B38" s="12"/>
      <c r="C38" s="10"/>
      <c r="D38" s="9"/>
      <c r="E38" s="12"/>
      <c r="F38" s="20"/>
      <c r="G38" s="16"/>
      <c r="H38" s="1"/>
      <c r="I38" s="1"/>
      <c r="J38" s="1"/>
    </row>
    <row r="39" spans="1:10" x14ac:dyDescent="0.25">
      <c r="A39" s="14">
        <f t="shared" si="0"/>
        <v>33</v>
      </c>
      <c r="B39" s="12"/>
      <c r="C39" s="10"/>
      <c r="D39" s="9"/>
      <c r="E39" s="12"/>
      <c r="F39" s="20"/>
    </row>
    <row r="40" spans="1:10" x14ac:dyDescent="0.25">
      <c r="A40" s="14">
        <f t="shared" si="0"/>
        <v>34</v>
      </c>
      <c r="B40" s="12"/>
      <c r="C40" s="10"/>
      <c r="D40" s="9"/>
      <c r="E40" s="12"/>
      <c r="F40" s="20"/>
    </row>
    <row r="41" spans="1:10" x14ac:dyDescent="0.25">
      <c r="A41" s="14">
        <f t="shared" si="0"/>
        <v>35</v>
      </c>
      <c r="B41" s="12"/>
      <c r="C41" s="10"/>
      <c r="D41" s="9"/>
      <c r="E41" s="12"/>
      <c r="F41" s="20"/>
    </row>
    <row r="42" spans="1:10" x14ac:dyDescent="0.25">
      <c r="A42" s="14">
        <f t="shared" si="0"/>
        <v>36</v>
      </c>
      <c r="B42" s="12"/>
      <c r="C42" s="10"/>
      <c r="D42" s="9"/>
      <c r="E42" s="12"/>
      <c r="F42" s="20"/>
    </row>
    <row r="43" spans="1:10" x14ac:dyDescent="0.25">
      <c r="A43" s="14">
        <f t="shared" si="0"/>
        <v>37</v>
      </c>
      <c r="B43" s="12"/>
      <c r="C43" s="10"/>
      <c r="D43" s="9"/>
      <c r="E43" s="12"/>
      <c r="F43" s="20"/>
    </row>
    <row r="44" spans="1:10" x14ac:dyDescent="0.25">
      <c r="A44" s="14">
        <f t="shared" si="0"/>
        <v>38</v>
      </c>
      <c r="B44" s="12"/>
      <c r="C44" s="10"/>
      <c r="D44" s="9"/>
      <c r="E44" s="12"/>
      <c r="F44" s="20"/>
    </row>
    <row r="45" spans="1:10" x14ac:dyDescent="0.25">
      <c r="A45" s="14">
        <f t="shared" si="0"/>
        <v>39</v>
      </c>
      <c r="B45" s="12"/>
      <c r="C45" s="10"/>
      <c r="D45" s="9"/>
      <c r="E45" s="12"/>
      <c r="F45" s="20"/>
    </row>
    <row r="46" spans="1:10" x14ac:dyDescent="0.25">
      <c r="A46" s="14">
        <f t="shared" si="0"/>
        <v>40</v>
      </c>
      <c r="B46" s="1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46"/>
  <sheetViews>
    <sheetView workbookViewId="0">
      <selection activeCell="B10" sqref="B10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7">
        <f>SUMIF(F7:F38,"Elimination*",G7:G38)</f>
        <v>0</v>
      </c>
    </row>
    <row r="3" spans="1:11" x14ac:dyDescent="0.25">
      <c r="A3" s="29" t="s">
        <v>5</v>
      </c>
      <c r="B3" s="29"/>
      <c r="C3" s="29"/>
      <c r="D3" s="5"/>
      <c r="E3" s="29" t="s">
        <v>16</v>
      </c>
      <c r="F3" s="29"/>
      <c r="G3" s="4"/>
      <c r="H3" s="4"/>
      <c r="I3" s="25" t="s">
        <v>6</v>
      </c>
      <c r="J3" s="26"/>
      <c r="K3" s="17">
        <f>SUMIF(F7:F38,"NB*",G7:G38)</f>
        <v>2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7">
        <f>SUMIF(F7:F38,"Ve*",G7:G38)</f>
        <v>0</v>
      </c>
    </row>
    <row r="5" spans="1:11" ht="15.75" x14ac:dyDescent="0.25">
      <c r="A5" s="27" t="s">
        <v>49</v>
      </c>
      <c r="B5" s="27"/>
      <c r="C5" s="27"/>
      <c r="D5" s="27"/>
      <c r="E5" s="27"/>
      <c r="F5" s="27"/>
      <c r="G5" s="18"/>
      <c r="H5" s="18"/>
      <c r="I5" s="25" t="s">
        <v>9</v>
      </c>
      <c r="J5" s="26"/>
      <c r="K5" s="19">
        <f>SUM(K2:K4)</f>
        <v>2</v>
      </c>
    </row>
    <row r="6" spans="1:11" ht="21.6" customHeight="1" x14ac:dyDescent="0.25">
      <c r="A6" s="22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23" t="s">
        <v>17</v>
      </c>
      <c r="I6" s="3"/>
      <c r="J6" s="3"/>
      <c r="K6" s="1"/>
    </row>
    <row r="7" spans="1:11" ht="15" customHeight="1" x14ac:dyDescent="0.25">
      <c r="A7" s="14">
        <v>1</v>
      </c>
      <c r="B7" s="10" t="s">
        <v>18</v>
      </c>
      <c r="C7" s="10" t="s">
        <v>19</v>
      </c>
      <c r="D7" s="9" t="s">
        <v>51</v>
      </c>
      <c r="E7" s="12">
        <v>45902</v>
      </c>
      <c r="F7" s="20" t="s">
        <v>52</v>
      </c>
      <c r="G7" s="16">
        <v>1</v>
      </c>
      <c r="H7" s="21" t="s">
        <v>50</v>
      </c>
      <c r="I7" s="15"/>
      <c r="J7" s="15"/>
      <c r="K7" s="1"/>
    </row>
    <row r="8" spans="1:11" ht="15" customHeight="1" x14ac:dyDescent="0.25">
      <c r="A8" s="14">
        <f>+A7+1</f>
        <v>2</v>
      </c>
      <c r="B8" s="10" t="s">
        <v>18</v>
      </c>
      <c r="C8" s="10" t="s">
        <v>19</v>
      </c>
      <c r="D8" s="9" t="s">
        <v>53</v>
      </c>
      <c r="E8" s="12">
        <v>45909</v>
      </c>
      <c r="F8" s="20" t="s">
        <v>54</v>
      </c>
      <c r="G8" s="16">
        <v>1</v>
      </c>
      <c r="H8" s="21" t="s">
        <v>55</v>
      </c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/>
      <c r="C9" s="10"/>
      <c r="D9" s="9"/>
      <c r="E9" s="12"/>
      <c r="F9" s="20"/>
      <c r="G9" s="16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10"/>
      <c r="C10" s="10"/>
      <c r="D10" s="9"/>
      <c r="E10" s="12"/>
      <c r="F10" s="20"/>
      <c r="G10" s="16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2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/>
      <c r="H13" s="2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12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2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0"/>
      <c r="C22" s="10"/>
      <c r="D22" s="9"/>
      <c r="E22" s="12"/>
      <c r="F22" s="20"/>
      <c r="G22" s="16">
        <v>1</v>
      </c>
      <c r="H22" s="21"/>
      <c r="I22" s="2"/>
      <c r="J22" s="2"/>
    </row>
    <row r="23" spans="1:10" ht="15" customHeight="1" x14ac:dyDescent="0.25">
      <c r="A23" s="14">
        <f t="shared" si="0"/>
        <v>17</v>
      </c>
      <c r="B23" s="12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10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>
        <v>1</v>
      </c>
      <c r="H29" s="21"/>
      <c r="I29" s="2"/>
      <c r="J29" s="2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/>
      <c r="H33" s="1"/>
      <c r="I33" s="1"/>
      <c r="J33" s="1"/>
    </row>
    <row r="34" spans="1:10" ht="15" customHeight="1" x14ac:dyDescent="0.25">
      <c r="A34" s="14">
        <f t="shared" si="0"/>
        <v>28</v>
      </c>
      <c r="B34" s="12"/>
      <c r="C34" s="10"/>
      <c r="D34" s="9"/>
      <c r="E34" s="12"/>
      <c r="F34" s="20"/>
      <c r="G34" s="16"/>
      <c r="H34" s="1"/>
      <c r="I34" s="1"/>
      <c r="J34" s="1"/>
    </row>
    <row r="35" spans="1:10" ht="15" customHeight="1" x14ac:dyDescent="0.25">
      <c r="A35" s="14">
        <f t="shared" si="0"/>
        <v>29</v>
      </c>
      <c r="B35" s="12"/>
      <c r="C35" s="10"/>
      <c r="D35" s="9"/>
      <c r="E35" s="12"/>
      <c r="F35" s="20"/>
      <c r="G35" s="16"/>
      <c r="H35" s="1"/>
      <c r="I35" s="1"/>
      <c r="J35" s="1"/>
    </row>
    <row r="36" spans="1:10" ht="15" customHeight="1" x14ac:dyDescent="0.25">
      <c r="A36" s="14">
        <f t="shared" si="0"/>
        <v>30</v>
      </c>
      <c r="B36" s="12"/>
      <c r="C36" s="10"/>
      <c r="D36" s="9"/>
      <c r="E36" s="12"/>
      <c r="F36" s="20"/>
      <c r="G36" s="16"/>
      <c r="H36" s="1"/>
      <c r="I36" s="1"/>
      <c r="J36" s="1"/>
    </row>
    <row r="37" spans="1:10" ht="15" customHeight="1" x14ac:dyDescent="0.25">
      <c r="A37" s="14">
        <f t="shared" si="0"/>
        <v>31</v>
      </c>
      <c r="B37" s="12"/>
      <c r="C37" s="10"/>
      <c r="D37" s="9"/>
      <c r="E37" s="12"/>
      <c r="F37" s="20"/>
      <c r="G37" s="16"/>
      <c r="H37" s="1"/>
      <c r="I37" s="1"/>
      <c r="J37" s="1"/>
    </row>
    <row r="38" spans="1:10" ht="15" customHeight="1" x14ac:dyDescent="0.25">
      <c r="A38" s="14">
        <f t="shared" si="0"/>
        <v>32</v>
      </c>
      <c r="B38" s="12"/>
      <c r="C38" s="10"/>
      <c r="D38" s="9"/>
      <c r="E38" s="12"/>
      <c r="F38" s="20"/>
      <c r="G38" s="16"/>
      <c r="H38" s="1"/>
      <c r="I38" s="1"/>
      <c r="J38" s="1"/>
    </row>
    <row r="39" spans="1:10" x14ac:dyDescent="0.25">
      <c r="A39" s="14">
        <f t="shared" si="0"/>
        <v>33</v>
      </c>
      <c r="B39" s="12"/>
      <c r="C39" s="10"/>
      <c r="D39" s="9"/>
      <c r="E39" s="12"/>
      <c r="F39" s="20"/>
    </row>
    <row r="40" spans="1:10" x14ac:dyDescent="0.25">
      <c r="A40" s="14">
        <f t="shared" si="0"/>
        <v>34</v>
      </c>
      <c r="B40" s="12"/>
      <c r="C40" s="10"/>
      <c r="D40" s="9"/>
      <c r="E40" s="12"/>
      <c r="F40" s="20"/>
    </row>
    <row r="41" spans="1:10" x14ac:dyDescent="0.25">
      <c r="A41" s="14">
        <f t="shared" si="0"/>
        <v>35</v>
      </c>
      <c r="B41" s="12"/>
      <c r="C41" s="10"/>
      <c r="D41" s="9"/>
      <c r="E41" s="12"/>
      <c r="F41" s="20"/>
    </row>
    <row r="42" spans="1:10" x14ac:dyDescent="0.25">
      <c r="A42" s="14">
        <f t="shared" si="0"/>
        <v>36</v>
      </c>
      <c r="B42" s="12"/>
      <c r="C42" s="10"/>
      <c r="D42" s="9"/>
      <c r="E42" s="12"/>
      <c r="F42" s="20"/>
    </row>
    <row r="43" spans="1:10" x14ac:dyDescent="0.25">
      <c r="A43" s="14">
        <f t="shared" si="0"/>
        <v>37</v>
      </c>
      <c r="B43" s="12"/>
      <c r="C43" s="10"/>
      <c r="D43" s="9"/>
      <c r="E43" s="12"/>
      <c r="F43" s="20"/>
    </row>
    <row r="44" spans="1:10" x14ac:dyDescent="0.25">
      <c r="A44" s="14">
        <f t="shared" si="0"/>
        <v>38</v>
      </c>
      <c r="B44" s="12"/>
      <c r="C44" s="10"/>
      <c r="D44" s="9"/>
      <c r="E44" s="12"/>
      <c r="F44" s="20"/>
    </row>
    <row r="45" spans="1:10" x14ac:dyDescent="0.25">
      <c r="A45" s="14">
        <f t="shared" si="0"/>
        <v>39</v>
      </c>
      <c r="B45" s="12"/>
      <c r="C45" s="10"/>
      <c r="D45" s="9"/>
      <c r="E45" s="12"/>
      <c r="F45" s="20"/>
    </row>
    <row r="46" spans="1:10" x14ac:dyDescent="0.25">
      <c r="A46" s="14">
        <f t="shared" si="0"/>
        <v>40</v>
      </c>
      <c r="B46" s="1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46"/>
  <sheetViews>
    <sheetView workbookViewId="0">
      <selection activeCell="E8" sqref="E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7">
        <f>SUMIF(F7:F38,"Elimination*",G7:G38)</f>
        <v>1</v>
      </c>
    </row>
    <row r="3" spans="1:11" x14ac:dyDescent="0.25">
      <c r="A3" s="29" t="s">
        <v>5</v>
      </c>
      <c r="B3" s="29"/>
      <c r="C3" s="29"/>
      <c r="D3" s="5"/>
      <c r="E3" s="29" t="s">
        <v>16</v>
      </c>
      <c r="F3" s="29"/>
      <c r="G3" s="4"/>
      <c r="H3" s="4"/>
      <c r="I3" s="25" t="s">
        <v>6</v>
      </c>
      <c r="J3" s="26"/>
      <c r="K3" s="17">
        <f>SUMIF(F7:F38,"NB*",G7:G38)</f>
        <v>0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7">
        <f>SUMIF(F7:F38,"Ve*",G7:G38)</f>
        <v>0</v>
      </c>
    </row>
    <row r="5" spans="1:11" ht="15.75" x14ac:dyDescent="0.25">
      <c r="A5" s="27" t="s">
        <v>56</v>
      </c>
      <c r="B5" s="27"/>
      <c r="C5" s="27"/>
      <c r="D5" s="27"/>
      <c r="E5" s="27"/>
      <c r="F5" s="27"/>
      <c r="G5" s="18"/>
      <c r="H5" s="18"/>
      <c r="I5" s="25" t="s">
        <v>9</v>
      </c>
      <c r="J5" s="26"/>
      <c r="K5" s="19">
        <f>SUM(K2:K4)</f>
        <v>1</v>
      </c>
    </row>
    <row r="6" spans="1:11" ht="21.6" customHeight="1" x14ac:dyDescent="0.25">
      <c r="A6" s="22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23" t="s">
        <v>17</v>
      </c>
      <c r="I6" s="3"/>
      <c r="J6" s="3"/>
      <c r="K6" s="1"/>
    </row>
    <row r="7" spans="1:11" ht="15" customHeight="1" x14ac:dyDescent="0.25">
      <c r="A7" s="14">
        <v>1</v>
      </c>
      <c r="B7" s="10" t="s">
        <v>57</v>
      </c>
      <c r="C7" s="10" t="s">
        <v>19</v>
      </c>
      <c r="D7" s="9" t="s">
        <v>58</v>
      </c>
      <c r="E7" s="12">
        <v>45937</v>
      </c>
      <c r="F7" s="20" t="s">
        <v>59</v>
      </c>
      <c r="G7" s="16">
        <v>1</v>
      </c>
      <c r="H7" s="21"/>
      <c r="I7" s="15"/>
      <c r="J7" s="15"/>
      <c r="K7" s="1"/>
    </row>
    <row r="8" spans="1:11" ht="15" customHeight="1" x14ac:dyDescent="0.25">
      <c r="A8" s="14">
        <f>+A7+1</f>
        <v>2</v>
      </c>
      <c r="B8" s="10"/>
      <c r="C8" s="10"/>
      <c r="D8" s="9"/>
      <c r="E8" s="12"/>
      <c r="F8" s="20"/>
      <c r="G8" s="16">
        <v>1</v>
      </c>
      <c r="H8" s="21"/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/>
      <c r="C9" s="10"/>
      <c r="D9" s="9"/>
      <c r="E9" s="12"/>
      <c r="F9" s="20"/>
      <c r="G9" s="16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10"/>
      <c r="C10" s="10"/>
      <c r="D10" s="9"/>
      <c r="E10" s="12"/>
      <c r="F10" s="20"/>
      <c r="G10" s="16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2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/>
      <c r="H13" s="2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12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2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0"/>
      <c r="C22" s="10"/>
      <c r="D22" s="9"/>
      <c r="E22" s="12"/>
      <c r="F22" s="20"/>
      <c r="G22" s="16">
        <v>1</v>
      </c>
      <c r="H22" s="21"/>
      <c r="I22" s="2"/>
      <c r="J22" s="2"/>
    </row>
    <row r="23" spans="1:10" ht="15" customHeight="1" x14ac:dyDescent="0.25">
      <c r="A23" s="14">
        <f t="shared" si="0"/>
        <v>17</v>
      </c>
      <c r="B23" s="12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10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>
        <v>1</v>
      </c>
      <c r="H29" s="21"/>
      <c r="I29" s="2"/>
      <c r="J29" s="2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/>
      <c r="H33" s="1"/>
      <c r="I33" s="1"/>
      <c r="J33" s="1"/>
    </row>
    <row r="34" spans="1:10" ht="15" customHeight="1" x14ac:dyDescent="0.25">
      <c r="A34" s="14">
        <f t="shared" si="0"/>
        <v>28</v>
      </c>
      <c r="B34" s="12"/>
      <c r="C34" s="10"/>
      <c r="D34" s="9"/>
      <c r="E34" s="12"/>
      <c r="F34" s="20"/>
      <c r="G34" s="16"/>
      <c r="H34" s="1"/>
      <c r="I34" s="1"/>
      <c r="J34" s="1"/>
    </row>
    <row r="35" spans="1:10" ht="15" customHeight="1" x14ac:dyDescent="0.25">
      <c r="A35" s="14">
        <f t="shared" si="0"/>
        <v>29</v>
      </c>
      <c r="B35" s="12"/>
      <c r="C35" s="10"/>
      <c r="D35" s="9"/>
      <c r="E35" s="12"/>
      <c r="F35" s="20"/>
      <c r="G35" s="16"/>
      <c r="H35" s="1"/>
      <c r="I35" s="1"/>
      <c r="J35" s="1"/>
    </row>
    <row r="36" spans="1:10" ht="15" customHeight="1" x14ac:dyDescent="0.25">
      <c r="A36" s="14">
        <f t="shared" si="0"/>
        <v>30</v>
      </c>
      <c r="B36" s="12"/>
      <c r="C36" s="10"/>
      <c r="D36" s="9"/>
      <c r="E36" s="12"/>
      <c r="F36" s="20"/>
      <c r="G36" s="16"/>
      <c r="H36" s="1"/>
      <c r="I36" s="1"/>
      <c r="J36" s="1"/>
    </row>
    <row r="37" spans="1:10" ht="15" customHeight="1" x14ac:dyDescent="0.25">
      <c r="A37" s="14">
        <f t="shared" si="0"/>
        <v>31</v>
      </c>
      <c r="B37" s="12"/>
      <c r="C37" s="10"/>
      <c r="D37" s="9"/>
      <c r="E37" s="12"/>
      <c r="F37" s="20"/>
      <c r="G37" s="16"/>
      <c r="H37" s="1"/>
      <c r="I37" s="1"/>
      <c r="J37" s="1"/>
    </row>
    <row r="38" spans="1:10" ht="15" customHeight="1" x14ac:dyDescent="0.25">
      <c r="A38" s="14">
        <f t="shared" si="0"/>
        <v>32</v>
      </c>
      <c r="B38" s="12"/>
      <c r="C38" s="10"/>
      <c r="D38" s="9"/>
      <c r="E38" s="12"/>
      <c r="F38" s="20"/>
      <c r="G38" s="16"/>
      <c r="H38" s="1"/>
      <c r="I38" s="1"/>
      <c r="J38" s="1"/>
    </row>
    <row r="39" spans="1:10" x14ac:dyDescent="0.25">
      <c r="A39" s="14">
        <f t="shared" si="0"/>
        <v>33</v>
      </c>
      <c r="B39" s="12"/>
      <c r="C39" s="10"/>
      <c r="D39" s="9"/>
      <c r="E39" s="12"/>
      <c r="F39" s="20"/>
    </row>
    <row r="40" spans="1:10" x14ac:dyDescent="0.25">
      <c r="A40" s="14">
        <f t="shared" si="0"/>
        <v>34</v>
      </c>
      <c r="B40" s="12"/>
      <c r="C40" s="10"/>
      <c r="D40" s="9"/>
      <c r="E40" s="12"/>
      <c r="F40" s="20"/>
    </row>
    <row r="41" spans="1:10" x14ac:dyDescent="0.25">
      <c r="A41" s="14">
        <f t="shared" si="0"/>
        <v>35</v>
      </c>
      <c r="B41" s="12"/>
      <c r="C41" s="10"/>
      <c r="D41" s="9"/>
      <c r="E41" s="12"/>
      <c r="F41" s="20"/>
    </row>
    <row r="42" spans="1:10" x14ac:dyDescent="0.25">
      <c r="A42" s="14">
        <f t="shared" si="0"/>
        <v>36</v>
      </c>
      <c r="B42" s="12"/>
      <c r="C42" s="10"/>
      <c r="D42" s="9"/>
      <c r="E42" s="12"/>
      <c r="F42" s="20"/>
    </row>
    <row r="43" spans="1:10" x14ac:dyDescent="0.25">
      <c r="A43" s="14">
        <f t="shared" si="0"/>
        <v>37</v>
      </c>
      <c r="B43" s="12"/>
      <c r="C43" s="10"/>
      <c r="D43" s="9"/>
      <c r="E43" s="12"/>
      <c r="F43" s="20"/>
    </row>
    <row r="44" spans="1:10" x14ac:dyDescent="0.25">
      <c r="A44" s="14">
        <f t="shared" si="0"/>
        <v>38</v>
      </c>
      <c r="B44" s="12"/>
      <c r="C44" s="10"/>
      <c r="D44" s="9"/>
      <c r="E44" s="12"/>
      <c r="F44" s="20"/>
    </row>
    <row r="45" spans="1:10" x14ac:dyDescent="0.25">
      <c r="A45" s="14">
        <f t="shared" si="0"/>
        <v>39</v>
      </c>
      <c r="B45" s="12"/>
      <c r="C45" s="10"/>
      <c r="D45" s="9"/>
      <c r="E45" s="12"/>
      <c r="F45" s="20"/>
    </row>
    <row r="46" spans="1:10" x14ac:dyDescent="0.25">
      <c r="A46" s="14">
        <f t="shared" si="0"/>
        <v>40</v>
      </c>
      <c r="B46" s="1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4DD95-E7C5-4C4C-9893-8FA129B3DE17}">
  <dimension ref="A1:K46"/>
  <sheetViews>
    <sheetView topLeftCell="A30" workbookViewId="0">
      <selection activeCell="F10" sqref="F10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7">
        <f>SUMIF(F7:F38,"Elimination*",G7:G38)</f>
        <v>0</v>
      </c>
    </row>
    <row r="3" spans="1:11" x14ac:dyDescent="0.25">
      <c r="A3" s="29" t="s">
        <v>5</v>
      </c>
      <c r="B3" s="29"/>
      <c r="C3" s="29"/>
      <c r="D3" s="5"/>
      <c r="E3" s="29" t="s">
        <v>16</v>
      </c>
      <c r="F3" s="29"/>
      <c r="G3" s="4"/>
      <c r="H3" s="4"/>
      <c r="I3" s="25" t="s">
        <v>6</v>
      </c>
      <c r="J3" s="26"/>
      <c r="K3" s="17">
        <f>SUMIF(F7:F38,"NB*",G7:G38)</f>
        <v>0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7">
        <f>SUMIF(F7:F38,"Ve*",G7:G38)</f>
        <v>0</v>
      </c>
    </row>
    <row r="5" spans="1:11" ht="15.75" x14ac:dyDescent="0.25">
      <c r="A5" s="27" t="s">
        <v>60</v>
      </c>
      <c r="B5" s="27"/>
      <c r="C5" s="27"/>
      <c r="D5" s="27"/>
      <c r="E5" s="27"/>
      <c r="F5" s="27"/>
      <c r="G5" s="18"/>
      <c r="H5" s="18"/>
      <c r="I5" s="25" t="s">
        <v>9</v>
      </c>
      <c r="J5" s="26"/>
      <c r="K5" s="19">
        <f>SUM(K2:K4)</f>
        <v>0</v>
      </c>
    </row>
    <row r="6" spans="1:11" ht="21.6" customHeight="1" x14ac:dyDescent="0.25">
      <c r="A6" s="22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23" t="s">
        <v>17</v>
      </c>
      <c r="I6" s="3"/>
      <c r="J6" s="3"/>
      <c r="K6" s="1"/>
    </row>
    <row r="7" spans="1:11" ht="15" customHeight="1" x14ac:dyDescent="0.25">
      <c r="A7" s="14">
        <v>1</v>
      </c>
      <c r="B7" s="10"/>
      <c r="C7" s="10"/>
      <c r="D7" s="9"/>
      <c r="E7" s="12"/>
      <c r="F7" s="20"/>
      <c r="G7" s="16">
        <v>1</v>
      </c>
      <c r="H7" s="21"/>
      <c r="I7" s="15"/>
      <c r="J7" s="15"/>
      <c r="K7" s="1"/>
    </row>
    <row r="8" spans="1:11" ht="15" customHeight="1" x14ac:dyDescent="0.25">
      <c r="A8" s="14">
        <f>+A7+1</f>
        <v>2</v>
      </c>
      <c r="B8" s="10"/>
      <c r="C8" s="10"/>
      <c r="D8" s="9"/>
      <c r="E8" s="12"/>
      <c r="F8" s="20"/>
      <c r="G8" s="16">
        <v>1</v>
      </c>
      <c r="H8" s="21"/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/>
      <c r="C9" s="10"/>
      <c r="D9" s="9"/>
      <c r="E9" s="12"/>
      <c r="F9" s="20"/>
      <c r="G9" s="16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10"/>
      <c r="C10" s="10"/>
      <c r="D10" s="9"/>
      <c r="E10" s="12"/>
      <c r="F10" s="20"/>
      <c r="G10" s="16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2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/>
      <c r="H13" s="2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12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2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0"/>
      <c r="C22" s="10"/>
      <c r="D22" s="9"/>
      <c r="E22" s="12"/>
      <c r="F22" s="20"/>
      <c r="G22" s="16">
        <v>1</v>
      </c>
      <c r="H22" s="21"/>
      <c r="I22" s="2"/>
      <c r="J22" s="2"/>
    </row>
    <row r="23" spans="1:10" ht="15" customHeight="1" x14ac:dyDescent="0.25">
      <c r="A23" s="14">
        <f t="shared" si="0"/>
        <v>17</v>
      </c>
      <c r="B23" s="12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10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>
        <v>1</v>
      </c>
      <c r="H29" s="21"/>
      <c r="I29" s="2"/>
      <c r="J29" s="2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/>
      <c r="H33" s="1"/>
      <c r="I33" s="1"/>
      <c r="J33" s="1"/>
    </row>
    <row r="34" spans="1:10" ht="15" customHeight="1" x14ac:dyDescent="0.25">
      <c r="A34" s="14">
        <f t="shared" si="0"/>
        <v>28</v>
      </c>
      <c r="B34" s="12"/>
      <c r="C34" s="10"/>
      <c r="D34" s="9"/>
      <c r="E34" s="12"/>
      <c r="F34" s="20"/>
      <c r="G34" s="16"/>
      <c r="H34" s="1"/>
      <c r="I34" s="1"/>
      <c r="J34" s="1"/>
    </row>
    <row r="35" spans="1:10" ht="15" customHeight="1" x14ac:dyDescent="0.25">
      <c r="A35" s="14">
        <f t="shared" si="0"/>
        <v>29</v>
      </c>
      <c r="B35" s="12"/>
      <c r="C35" s="10"/>
      <c r="D35" s="9"/>
      <c r="E35" s="12"/>
      <c r="F35" s="20"/>
      <c r="G35" s="16"/>
      <c r="H35" s="1"/>
      <c r="I35" s="1"/>
      <c r="J35" s="1"/>
    </row>
    <row r="36" spans="1:10" ht="15" customHeight="1" x14ac:dyDescent="0.25">
      <c r="A36" s="14">
        <f t="shared" si="0"/>
        <v>30</v>
      </c>
      <c r="B36" s="12"/>
      <c r="C36" s="10"/>
      <c r="D36" s="9"/>
      <c r="E36" s="12"/>
      <c r="F36" s="20"/>
      <c r="G36" s="16"/>
      <c r="H36" s="1"/>
      <c r="I36" s="1"/>
      <c r="J36" s="1"/>
    </row>
    <row r="37" spans="1:10" ht="15" customHeight="1" x14ac:dyDescent="0.25">
      <c r="A37" s="14">
        <f t="shared" si="0"/>
        <v>31</v>
      </c>
      <c r="B37" s="12"/>
      <c r="C37" s="10"/>
      <c r="D37" s="9"/>
      <c r="E37" s="12"/>
      <c r="F37" s="20"/>
      <c r="G37" s="16"/>
      <c r="H37" s="1"/>
      <c r="I37" s="1"/>
      <c r="J37" s="1"/>
    </row>
    <row r="38" spans="1:10" ht="15" customHeight="1" x14ac:dyDescent="0.25">
      <c r="A38" s="14">
        <f t="shared" si="0"/>
        <v>32</v>
      </c>
      <c r="B38" s="12"/>
      <c r="C38" s="10"/>
      <c r="D38" s="9"/>
      <c r="E38" s="12"/>
      <c r="F38" s="20"/>
      <c r="G38" s="16"/>
      <c r="H38" s="1"/>
      <c r="I38" s="1"/>
      <c r="J38" s="1"/>
    </row>
    <row r="39" spans="1:10" x14ac:dyDescent="0.25">
      <c r="A39" s="14">
        <f t="shared" si="0"/>
        <v>33</v>
      </c>
      <c r="B39" s="12"/>
      <c r="C39" s="10"/>
      <c r="D39" s="9"/>
      <c r="E39" s="12"/>
      <c r="F39" s="20"/>
    </row>
    <row r="40" spans="1:10" x14ac:dyDescent="0.25">
      <c r="A40" s="14">
        <f t="shared" si="0"/>
        <v>34</v>
      </c>
      <c r="B40" s="12"/>
      <c r="C40" s="10"/>
      <c r="D40" s="9"/>
      <c r="E40" s="12"/>
      <c r="F40" s="20"/>
    </row>
    <row r="41" spans="1:10" x14ac:dyDescent="0.25">
      <c r="A41" s="14">
        <f t="shared" si="0"/>
        <v>35</v>
      </c>
      <c r="B41" s="12"/>
      <c r="C41" s="10"/>
      <c r="D41" s="9"/>
      <c r="E41" s="12"/>
      <c r="F41" s="20"/>
    </row>
    <row r="42" spans="1:10" x14ac:dyDescent="0.25">
      <c r="A42" s="14">
        <f t="shared" si="0"/>
        <v>36</v>
      </c>
      <c r="B42" s="12"/>
      <c r="C42" s="10"/>
      <c r="D42" s="9"/>
      <c r="E42" s="12"/>
      <c r="F42" s="20"/>
    </row>
    <row r="43" spans="1:10" x14ac:dyDescent="0.25">
      <c r="A43" s="14">
        <f t="shared" si="0"/>
        <v>37</v>
      </c>
      <c r="B43" s="12"/>
      <c r="C43" s="10"/>
      <c r="D43" s="9"/>
      <c r="E43" s="12"/>
      <c r="F43" s="20"/>
    </row>
    <row r="44" spans="1:10" x14ac:dyDescent="0.25">
      <c r="A44" s="14">
        <f t="shared" si="0"/>
        <v>38</v>
      </c>
      <c r="B44" s="12"/>
      <c r="C44" s="10"/>
      <c r="D44" s="9"/>
      <c r="E44" s="12"/>
      <c r="F44" s="20"/>
    </row>
    <row r="45" spans="1:10" x14ac:dyDescent="0.25">
      <c r="A45" s="14">
        <f t="shared" si="0"/>
        <v>39</v>
      </c>
      <c r="B45" s="12"/>
      <c r="C45" s="10"/>
      <c r="D45" s="9"/>
      <c r="E45" s="12"/>
      <c r="F45" s="20"/>
    </row>
    <row r="46" spans="1:10" x14ac:dyDescent="0.25">
      <c r="A46" s="14">
        <f t="shared" si="0"/>
        <v>40</v>
      </c>
      <c r="B46" s="1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59389-2AD7-4D6C-A1F1-6963F92C7B92}">
  <dimension ref="A1:K46"/>
  <sheetViews>
    <sheetView tabSelected="1" topLeftCell="A37" workbookViewId="0">
      <selection activeCell="B42" sqref="B42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7">
        <f>SUMIF(F7:F38,"Elimination*",G7:G38)</f>
        <v>0</v>
      </c>
    </row>
    <row r="3" spans="1:11" x14ac:dyDescent="0.25">
      <c r="A3" s="29" t="s">
        <v>5</v>
      </c>
      <c r="B3" s="29"/>
      <c r="C3" s="29"/>
      <c r="D3" s="5"/>
      <c r="E3" s="29" t="s">
        <v>16</v>
      </c>
      <c r="F3" s="29"/>
      <c r="G3" s="4"/>
      <c r="H3" s="4"/>
      <c r="I3" s="25" t="s">
        <v>6</v>
      </c>
      <c r="J3" s="26"/>
      <c r="K3" s="17">
        <f>SUMIF(F7:F38,"NB*",G7:G38)</f>
        <v>0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7">
        <f>SUMIF(F7:F38,"Ve*",G7:G38)</f>
        <v>0</v>
      </c>
    </row>
    <row r="5" spans="1:11" ht="15.75" x14ac:dyDescent="0.25">
      <c r="A5" s="27" t="s">
        <v>61</v>
      </c>
      <c r="B5" s="27"/>
      <c r="C5" s="27"/>
      <c r="D5" s="27"/>
      <c r="E5" s="27"/>
      <c r="F5" s="27"/>
      <c r="G5" s="18"/>
      <c r="H5" s="18"/>
      <c r="I5" s="25" t="s">
        <v>9</v>
      </c>
      <c r="J5" s="26"/>
      <c r="K5" s="19">
        <f>SUM(K2:K4)</f>
        <v>0</v>
      </c>
    </row>
    <row r="6" spans="1:11" ht="21.6" customHeight="1" x14ac:dyDescent="0.25">
      <c r="A6" s="22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23" t="s">
        <v>17</v>
      </c>
      <c r="I6" s="3"/>
      <c r="J6" s="3"/>
      <c r="K6" s="1"/>
    </row>
    <row r="7" spans="1:11" ht="15" customHeight="1" x14ac:dyDescent="0.25">
      <c r="A7" s="14">
        <v>1</v>
      </c>
      <c r="B7" s="10"/>
      <c r="C7" s="10"/>
      <c r="D7" s="9"/>
      <c r="E7" s="12"/>
      <c r="F7" s="20"/>
      <c r="G7" s="16">
        <v>1</v>
      </c>
      <c r="H7" s="21"/>
      <c r="I7" s="15"/>
      <c r="J7" s="15"/>
      <c r="K7" s="1"/>
    </row>
    <row r="8" spans="1:11" ht="15" customHeight="1" x14ac:dyDescent="0.25">
      <c r="A8" s="14">
        <f>+A7+1</f>
        <v>2</v>
      </c>
      <c r="B8" s="10"/>
      <c r="C8" s="10"/>
      <c r="D8" s="9"/>
      <c r="E8" s="12"/>
      <c r="F8" s="20"/>
      <c r="G8" s="16">
        <v>1</v>
      </c>
      <c r="H8" s="21"/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/>
      <c r="C9" s="10"/>
      <c r="D9" s="9"/>
      <c r="E9" s="12"/>
      <c r="F9" s="20"/>
      <c r="G9" s="16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10"/>
      <c r="C10" s="10"/>
      <c r="D10" s="9"/>
      <c r="E10" s="12"/>
      <c r="F10" s="20"/>
      <c r="G10" s="16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2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/>
      <c r="H13" s="2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12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2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0"/>
      <c r="C22" s="10"/>
      <c r="D22" s="9"/>
      <c r="E22" s="12"/>
      <c r="F22" s="20"/>
      <c r="G22" s="16">
        <v>1</v>
      </c>
      <c r="H22" s="21"/>
      <c r="I22" s="2"/>
      <c r="J22" s="2"/>
    </row>
    <row r="23" spans="1:10" ht="15" customHeight="1" x14ac:dyDescent="0.25">
      <c r="A23" s="14">
        <f t="shared" si="0"/>
        <v>17</v>
      </c>
      <c r="B23" s="12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10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>
        <v>1</v>
      </c>
      <c r="H29" s="21"/>
      <c r="I29" s="2"/>
      <c r="J29" s="2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/>
      <c r="H33" s="1"/>
      <c r="I33" s="1"/>
      <c r="J33" s="1"/>
    </row>
    <row r="34" spans="1:10" ht="15" customHeight="1" x14ac:dyDescent="0.25">
      <c r="A34" s="14">
        <f t="shared" si="0"/>
        <v>28</v>
      </c>
      <c r="B34" s="12"/>
      <c r="C34" s="10"/>
      <c r="D34" s="9"/>
      <c r="E34" s="12"/>
      <c r="F34" s="20"/>
      <c r="G34" s="16"/>
      <c r="H34" s="1"/>
      <c r="I34" s="1"/>
      <c r="J34" s="1"/>
    </row>
    <row r="35" spans="1:10" ht="15" customHeight="1" x14ac:dyDescent="0.25">
      <c r="A35" s="14">
        <f t="shared" si="0"/>
        <v>29</v>
      </c>
      <c r="B35" s="12"/>
      <c r="C35" s="10"/>
      <c r="D35" s="9"/>
      <c r="E35" s="12"/>
      <c r="F35" s="20"/>
      <c r="G35" s="16"/>
      <c r="H35" s="1"/>
      <c r="I35" s="1"/>
      <c r="J35" s="1"/>
    </row>
    <row r="36" spans="1:10" ht="15" customHeight="1" x14ac:dyDescent="0.25">
      <c r="A36" s="14">
        <f t="shared" si="0"/>
        <v>30</v>
      </c>
      <c r="B36" s="12"/>
      <c r="C36" s="10"/>
      <c r="D36" s="9"/>
      <c r="E36" s="12"/>
      <c r="F36" s="20"/>
      <c r="G36" s="16"/>
      <c r="H36" s="1"/>
      <c r="I36" s="1"/>
      <c r="J36" s="1"/>
    </row>
    <row r="37" spans="1:10" ht="15" customHeight="1" x14ac:dyDescent="0.25">
      <c r="A37" s="14">
        <f t="shared" si="0"/>
        <v>31</v>
      </c>
      <c r="B37" s="12"/>
      <c r="C37" s="10"/>
      <c r="D37" s="9"/>
      <c r="E37" s="12"/>
      <c r="F37" s="20"/>
      <c r="G37" s="16"/>
      <c r="H37" s="1"/>
      <c r="I37" s="1"/>
      <c r="J37" s="1"/>
    </row>
    <row r="38" spans="1:10" ht="15" customHeight="1" x14ac:dyDescent="0.25">
      <c r="A38" s="14">
        <f t="shared" si="0"/>
        <v>32</v>
      </c>
      <c r="B38" s="12"/>
      <c r="C38" s="10"/>
      <c r="D38" s="9"/>
      <c r="E38" s="12"/>
      <c r="F38" s="20"/>
      <c r="G38" s="16"/>
      <c r="H38" s="1"/>
      <c r="I38" s="1"/>
      <c r="J38" s="1"/>
    </row>
    <row r="39" spans="1:10" x14ac:dyDescent="0.25">
      <c r="A39" s="14">
        <f t="shared" si="0"/>
        <v>33</v>
      </c>
      <c r="B39" s="12"/>
      <c r="C39" s="10"/>
      <c r="D39" s="9"/>
      <c r="E39" s="12"/>
      <c r="F39" s="20"/>
    </row>
    <row r="40" spans="1:10" x14ac:dyDescent="0.25">
      <c r="A40" s="14">
        <f t="shared" si="0"/>
        <v>34</v>
      </c>
      <c r="B40" s="12"/>
      <c r="C40" s="10"/>
      <c r="D40" s="9"/>
      <c r="E40" s="12"/>
      <c r="F40" s="20"/>
    </row>
    <row r="41" spans="1:10" x14ac:dyDescent="0.25">
      <c r="A41" s="14">
        <f t="shared" si="0"/>
        <v>35</v>
      </c>
      <c r="B41" s="12"/>
      <c r="C41" s="10"/>
      <c r="D41" s="9"/>
      <c r="E41" s="12"/>
      <c r="F41" s="20"/>
    </row>
    <row r="42" spans="1:10" x14ac:dyDescent="0.25">
      <c r="A42" s="14">
        <f t="shared" si="0"/>
        <v>36</v>
      </c>
      <c r="B42" s="12"/>
      <c r="C42" s="10"/>
      <c r="D42" s="9"/>
      <c r="E42" s="12"/>
      <c r="F42" s="20"/>
    </row>
    <row r="43" spans="1:10" x14ac:dyDescent="0.25">
      <c r="A43" s="14">
        <f t="shared" si="0"/>
        <v>37</v>
      </c>
      <c r="B43" s="12"/>
      <c r="C43" s="10"/>
      <c r="D43" s="9"/>
      <c r="E43" s="12"/>
      <c r="F43" s="20"/>
    </row>
    <row r="44" spans="1:10" x14ac:dyDescent="0.25">
      <c r="A44" s="14">
        <f t="shared" si="0"/>
        <v>38</v>
      </c>
      <c r="B44" s="12"/>
      <c r="C44" s="10"/>
      <c r="D44" s="9"/>
      <c r="E44" s="12"/>
      <c r="F44" s="20"/>
    </row>
    <row r="45" spans="1:10" x14ac:dyDescent="0.25">
      <c r="A45" s="14">
        <f t="shared" si="0"/>
        <v>39</v>
      </c>
      <c r="B45" s="12"/>
      <c r="C45" s="10"/>
      <c r="D45" s="9"/>
      <c r="E45" s="12"/>
      <c r="F45" s="20"/>
    </row>
    <row r="46" spans="1:10" x14ac:dyDescent="0.25">
      <c r="A46" s="14">
        <f t="shared" si="0"/>
        <v>40</v>
      </c>
      <c r="B46" s="1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2025</vt:lpstr>
      <vt:lpstr>FEVRIER 2025</vt:lpstr>
      <vt:lpstr>MARS 2025</vt:lpstr>
      <vt:lpstr>AVRIL 2025</vt:lpstr>
      <vt:lpstr>MAI 2025</vt:lpstr>
      <vt:lpstr>JUIN 2025</vt:lpstr>
      <vt:lpstr>JUILLET 2025</vt:lpstr>
      <vt:lpstr>AOUT 2025</vt:lpstr>
      <vt:lpstr>SEPTEMBRE 2025</vt:lpstr>
      <vt:lpstr>OCTOBRE 2025</vt:lpstr>
      <vt:lpstr>NOVEMBRE 2025</vt:lpstr>
      <vt:lpstr>DECEMBRE 2025</vt:lpstr>
      <vt:lpstr>'AOUT 2025'!Impression_des_titres</vt:lpstr>
      <vt:lpstr>'AVRIL 2025'!Impression_des_titres</vt:lpstr>
      <vt:lpstr>'DECEMBRE 2025'!Impression_des_titres</vt:lpstr>
      <vt:lpstr>'FEVRIER 2025'!Impression_des_titres</vt:lpstr>
      <vt:lpstr>'JANVIER 2025'!Impression_des_titres</vt:lpstr>
      <vt:lpstr>'JUILLET 2025'!Impression_des_titres</vt:lpstr>
      <vt:lpstr>'JUIN 2025'!Impression_des_titres</vt:lpstr>
      <vt:lpstr>'MAI 2025'!Impression_des_titres</vt:lpstr>
      <vt:lpstr>'MARS 2025'!Impression_des_titres</vt:lpstr>
      <vt:lpstr>'NOVEMBRE 2025'!Impression_des_titres</vt:lpstr>
      <vt:lpstr>'OCTOBRE 2025'!Impression_des_titres</vt:lpstr>
      <vt:lpstr>'SEPTEMBRE 2025'!Impression_des_titres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HP</cp:lastModifiedBy>
  <cp:lastPrinted>2025-12-07T11:08:17Z</cp:lastPrinted>
  <dcterms:created xsi:type="dcterms:W3CDTF">2014-12-31T15:00:30Z</dcterms:created>
  <dcterms:modified xsi:type="dcterms:W3CDTF">2026-01-07T07:57:31Z</dcterms:modified>
</cp:coreProperties>
</file>