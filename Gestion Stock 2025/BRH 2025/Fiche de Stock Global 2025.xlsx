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BRH 2025\"/>
    </mc:Choice>
  </mc:AlternateContent>
  <bookViews>
    <workbookView xWindow="555" yWindow="75" windowWidth="11700" windowHeight="6825" activeTab="2"/>
  </bookViews>
  <sheets>
    <sheet name="JANVIER 2025" sheetId="13" r:id="rId1"/>
    <sheet name="FEVRIER 2025" sheetId="14" r:id="rId2"/>
    <sheet name="MARS 2025" sheetId="15" r:id="rId3"/>
  </sheets>
  <calcPr calcId="162913"/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L37" i="15" s="1"/>
  <c r="F37" i="15"/>
  <c r="L36" i="15"/>
  <c r="K36" i="15"/>
  <c r="F36" i="15"/>
  <c r="K35" i="15"/>
  <c r="F35" i="15"/>
  <c r="L35" i="15" s="1"/>
  <c r="K34" i="15"/>
  <c r="F34" i="15"/>
  <c r="L34" i="15" s="1"/>
  <c r="K33" i="15"/>
  <c r="L33" i="15" s="1"/>
  <c r="F33" i="15"/>
  <c r="K32" i="15"/>
  <c r="F32" i="15"/>
  <c r="L32" i="15" s="1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L27" i="15" s="1"/>
  <c r="K26" i="15"/>
  <c r="F26" i="15"/>
  <c r="L26" i="15" s="1"/>
  <c r="K25" i="15"/>
  <c r="F25" i="15"/>
  <c r="K24" i="15"/>
  <c r="L24" i="15" s="1"/>
  <c r="F24" i="15"/>
  <c r="K23" i="15"/>
  <c r="F23" i="15"/>
  <c r="L23" i="15" s="1"/>
  <c r="K22" i="15"/>
  <c r="F22" i="15"/>
  <c r="L22" i="15" s="1"/>
  <c r="K21" i="15"/>
  <c r="L21" i="15" s="1"/>
  <c r="F21" i="15"/>
  <c r="K20" i="15"/>
  <c r="F20" i="15"/>
  <c r="L20" i="15" s="1"/>
  <c r="K19" i="15"/>
  <c r="F19" i="15"/>
  <c r="L19" i="15" s="1"/>
  <c r="K18" i="15"/>
  <c r="F18" i="15"/>
  <c r="K17" i="15"/>
  <c r="L17" i="15" s="1"/>
  <c r="F17" i="15"/>
  <c r="L16" i="15"/>
  <c r="K16" i="15"/>
  <c r="F16" i="15"/>
  <c r="K15" i="15"/>
  <c r="F15" i="15"/>
  <c r="L15" i="15" s="1"/>
  <c r="K14" i="15"/>
  <c r="F14" i="15"/>
  <c r="L14" i="15" s="1"/>
  <c r="K13" i="15"/>
  <c r="L13" i="15" s="1"/>
  <c r="F13" i="15"/>
  <c r="K12" i="15"/>
  <c r="L12" i="15" s="1"/>
  <c r="F12" i="15"/>
  <c r="K11" i="15"/>
  <c r="F11" i="15"/>
  <c r="K10" i="15"/>
  <c r="F10" i="15"/>
  <c r="K9" i="15"/>
  <c r="F9" i="15"/>
  <c r="K40" i="15" l="1"/>
  <c r="L18" i="15"/>
  <c r="L11" i="15"/>
  <c r="L25" i="15"/>
  <c r="L29" i="15"/>
  <c r="F40" i="15"/>
  <c r="L10" i="15"/>
  <c r="L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L36" i="14" s="1"/>
  <c r="F36" i="14"/>
  <c r="K35" i="14"/>
  <c r="F35" i="14"/>
  <c r="L35" i="14" s="1"/>
  <c r="K34" i="14"/>
  <c r="F34" i="14"/>
  <c r="L34" i="14" s="1"/>
  <c r="K33" i="14"/>
  <c r="F33" i="14"/>
  <c r="L33" i="14" s="1"/>
  <c r="K32" i="14"/>
  <c r="F32" i="14"/>
  <c r="K31" i="14"/>
  <c r="F31" i="14"/>
  <c r="L31" i="14" s="1"/>
  <c r="K30" i="14"/>
  <c r="F30" i="14"/>
  <c r="L30" i="14" s="1"/>
  <c r="L29" i="14"/>
  <c r="K29" i="14"/>
  <c r="F29" i="14"/>
  <c r="K28" i="14"/>
  <c r="L28" i="14" s="1"/>
  <c r="F28" i="14"/>
  <c r="K27" i="14"/>
  <c r="F27" i="14"/>
  <c r="K26" i="14"/>
  <c r="F26" i="14"/>
  <c r="L26" i="14" s="1"/>
  <c r="L25" i="14"/>
  <c r="K25" i="14"/>
  <c r="F25" i="14"/>
  <c r="K24" i="14"/>
  <c r="F24" i="14"/>
  <c r="K23" i="14"/>
  <c r="F23" i="14"/>
  <c r="L23" i="14" s="1"/>
  <c r="K22" i="14"/>
  <c r="F22" i="14"/>
  <c r="L22" i="14" s="1"/>
  <c r="K21" i="14"/>
  <c r="F21" i="14"/>
  <c r="K20" i="14"/>
  <c r="F20" i="14"/>
  <c r="K19" i="14"/>
  <c r="F19" i="14"/>
  <c r="L19" i="14" s="1"/>
  <c r="K18" i="14"/>
  <c r="F18" i="14"/>
  <c r="K17" i="14"/>
  <c r="F17" i="14"/>
  <c r="K16" i="14"/>
  <c r="F16" i="14"/>
  <c r="K15" i="14"/>
  <c r="F15" i="14"/>
  <c r="L15" i="14" s="1"/>
  <c r="K14" i="14"/>
  <c r="F14" i="14"/>
  <c r="L14" i="14" s="1"/>
  <c r="K13" i="14"/>
  <c r="F13" i="14"/>
  <c r="K12" i="14"/>
  <c r="F12" i="14"/>
  <c r="K11" i="14"/>
  <c r="K40" i="14" s="1"/>
  <c r="F11" i="14"/>
  <c r="K10" i="14"/>
  <c r="F10" i="14"/>
  <c r="L10" i="14" s="1"/>
  <c r="L9" i="14"/>
  <c r="K9" i="14"/>
  <c r="F9" i="14"/>
  <c r="L40" i="15" l="1"/>
  <c r="G46" i="15" s="1"/>
  <c r="G47" i="15" s="1"/>
  <c r="G49" i="15" s="1"/>
  <c r="L32" i="14"/>
  <c r="L12" i="14"/>
  <c r="L16" i="14"/>
  <c r="L20" i="14"/>
  <c r="L24" i="14"/>
  <c r="F40" i="14"/>
  <c r="L13" i="14"/>
  <c r="L17" i="14"/>
  <c r="L21" i="14"/>
  <c r="L11" i="14"/>
  <c r="L18" i="14"/>
  <c r="L27" i="14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40" i="14" l="1"/>
  <c r="G46" i="14" s="1"/>
  <c r="G47" i="14" s="1"/>
  <c r="G49" i="14" s="1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3" l="1"/>
  <c r="G46" i="13" s="1"/>
  <c r="G47" i="13" s="1"/>
  <c r="G49" i="13" s="1"/>
</calcChain>
</file>

<file path=xl/sharedStrings.xml><?xml version="1.0" encoding="utf-8"?>
<sst xmlns="http://schemas.openxmlformats.org/spreadsheetml/2006/main" count="99" uniqueCount="31">
  <si>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</si>
  <si>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</si>
  <si>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</si>
  <si>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</si>
  <si>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</si>
  <si>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</si>
  <si>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</si>
  <si>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</si>
  <si>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</si>
  <si>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</si>
  <si>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</si>
  <si>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</si>
  <si>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</si>
  <si>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</si>
  <si>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</si>
  <si>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</si>
  <si>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</si>
  <si>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</si>
  <si>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</si>
  <si>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</si>
  <si>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</si>
  <si>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</si>
  <si>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</si>
  <si>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</si>
  <si>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</si>
  <si>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</si>
  <si>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</si>
  <si>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</si>
  <si>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</si>
  <si>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</si>
  <si>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Mois de MARS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</si>
</sst>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95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on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Fill="1" applyBorder="1" applyAlignment="1" applyProtection="1">
      <alignment horizontal="center" vertical="center" wrapText="1"/>
      <protection locked="0"/>
    </xf>
    <xf numFmtId="1" fontId="7" fillId="0" borderId="22" xfId="3" applyNumberFormat="1" applyFill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1" fontId="1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11" xfId="4" applyNumberFormat="1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ont="1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L52"/>
  <sheetViews>
    <sheetView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22"/>
      <c r="F1" s="23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22"/>
      <c r="F2" s="23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22"/>
      <c r="F3" s="23"/>
      <c r="G3" s="82" t="s">
        <v>27</v>
      </c>
      <c r="H3" s="82"/>
      <c r="I3" s="82"/>
      <c r="J3" s="82"/>
      <c r="K3" s="82"/>
      <c r="L3" s="82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0" t="s">
        <v>5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</row>
    <row r="6" spans="1:12" ht="16.5" thickBot="1" x14ac:dyDescent="0.3">
      <c r="A6" s="81" t="s">
        <v>28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</row>
    <row r="7" spans="1:12" x14ac:dyDescent="0.25">
      <c r="A7" s="83" t="s">
        <v>6</v>
      </c>
      <c r="B7" s="85" t="s">
        <v>7</v>
      </c>
      <c r="C7" s="86"/>
      <c r="D7" s="86"/>
      <c r="E7" s="86"/>
      <c r="F7" s="87"/>
      <c r="G7" s="88" t="s">
        <v>8</v>
      </c>
      <c r="H7" s="86"/>
      <c r="I7" s="86"/>
      <c r="J7" s="86"/>
      <c r="K7" s="87"/>
      <c r="L7" s="89" t="s">
        <v>9</v>
      </c>
    </row>
    <row r="8" spans="1:12" ht="15.75" thickBot="1" x14ac:dyDescent="0.3">
      <c r="A8" s="84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0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44"/>
      <c r="C18" s="36"/>
      <c r="D18" s="36"/>
      <c r="E18" s="37"/>
      <c r="F18" s="13">
        <f t="shared" si="0"/>
        <v>0</v>
      </c>
      <c r="G18" s="41"/>
      <c r="H18" s="41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44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/>
      <c r="C21" s="36"/>
      <c r="D21" s="36"/>
      <c r="E21" s="37"/>
      <c r="F21" s="13">
        <f t="shared" si="0"/>
        <v>0</v>
      </c>
      <c r="G21" s="21"/>
      <c r="H21" s="42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44">
        <v>2</v>
      </c>
      <c r="C22" s="36"/>
      <c r="D22" s="36"/>
      <c r="E22" s="37"/>
      <c r="F22" s="13">
        <f t="shared" si="0"/>
        <v>2</v>
      </c>
      <c r="G22" s="21"/>
      <c r="H22" s="14"/>
      <c r="I22" s="14"/>
      <c r="J22" s="14"/>
      <c r="K22" s="11">
        <f t="shared" si="1"/>
        <v>0</v>
      </c>
      <c r="L22" s="5">
        <f t="shared" si="2"/>
        <v>2</v>
      </c>
    </row>
    <row r="23" spans="1:12" ht="15" customHeight="1" thickBot="1" x14ac:dyDescent="0.3">
      <c r="A23" s="49">
        <v>15</v>
      </c>
      <c r="B23" s="44"/>
      <c r="C23" s="36"/>
      <c r="D23" s="36"/>
      <c r="E23" s="37"/>
      <c r="F23" s="13">
        <f t="shared" si="0"/>
        <v>0</v>
      </c>
      <c r="G23" s="19">
        <v>3</v>
      </c>
      <c r="H23" s="14"/>
      <c r="I23" s="14"/>
      <c r="J23" s="14"/>
      <c r="K23" s="11">
        <f t="shared" si="1"/>
        <v>3</v>
      </c>
      <c r="L23" s="5">
        <f t="shared" si="2"/>
        <v>3</v>
      </c>
    </row>
    <row r="24" spans="1:12" ht="15" customHeight="1" thickBot="1" x14ac:dyDescent="0.3">
      <c r="A24" s="49">
        <v>16</v>
      </c>
      <c r="B24" s="44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9">
        <v>17</v>
      </c>
      <c r="B25" s="44"/>
      <c r="C25" s="44"/>
      <c r="D25" s="43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44"/>
      <c r="C26" s="36"/>
      <c r="D26" s="36"/>
      <c r="E26" s="37"/>
      <c r="F26" s="13">
        <f t="shared" si="0"/>
        <v>0</v>
      </c>
      <c r="G26" s="19"/>
      <c r="H26" s="55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/>
      <c r="C27" s="43"/>
      <c r="D27" s="36"/>
      <c r="E27" s="37"/>
      <c r="F27" s="13">
        <f t="shared" si="0"/>
        <v>0</v>
      </c>
      <c r="G27" s="19"/>
      <c r="H27" s="14"/>
      <c r="I27" s="14"/>
      <c r="J27" s="14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>
        <v>2</v>
      </c>
      <c r="C28" s="36"/>
      <c r="D28" s="36"/>
      <c r="E28" s="37"/>
      <c r="F28" s="13">
        <f t="shared" si="0"/>
        <v>2</v>
      </c>
      <c r="G28" s="19"/>
      <c r="H28" s="14"/>
      <c r="I28" s="14"/>
      <c r="J28" s="14"/>
      <c r="K28" s="11">
        <f t="shared" si="1"/>
        <v>0</v>
      </c>
      <c r="L28" s="5">
        <f t="shared" si="2"/>
        <v>2</v>
      </c>
    </row>
    <row r="29" spans="1:12" ht="15" customHeight="1" thickBot="1" x14ac:dyDescent="0.3">
      <c r="A29" s="49">
        <v>21</v>
      </c>
      <c r="B29" s="44"/>
      <c r="C29" s="36"/>
      <c r="D29" s="36"/>
      <c r="E29" s="37"/>
      <c r="F29" s="13">
        <f t="shared" si="0"/>
        <v>0</v>
      </c>
      <c r="G29" s="19">
        <v>1</v>
      </c>
      <c r="H29" s="14"/>
      <c r="I29" s="14"/>
      <c r="J29" s="14"/>
      <c r="K29" s="11">
        <f t="shared" si="1"/>
        <v>1</v>
      </c>
      <c r="L29" s="5">
        <f t="shared" si="2"/>
        <v>1</v>
      </c>
    </row>
    <row r="30" spans="1:12" ht="15" customHeight="1" thickBot="1" x14ac:dyDescent="0.3">
      <c r="A30" s="49">
        <v>22</v>
      </c>
      <c r="B30" s="44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/>
      <c r="C31" s="36"/>
      <c r="D31" s="36"/>
      <c r="E31" s="37"/>
      <c r="F31" s="13">
        <f t="shared" si="0"/>
        <v>0</v>
      </c>
      <c r="G31" s="19">
        <v>1</v>
      </c>
      <c r="H31" s="14"/>
      <c r="I31" s="14"/>
      <c r="J31" s="14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9">
        <v>24</v>
      </c>
      <c r="B32" s="44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/>
      <c r="C33" s="36"/>
      <c r="D33" s="36"/>
      <c r="E33" s="37"/>
      <c r="F33" s="13">
        <f t="shared" si="0"/>
        <v>0</v>
      </c>
      <c r="G33" s="19"/>
      <c r="H33" s="14"/>
      <c r="I33" s="14"/>
      <c r="J33" s="14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>
        <v>4</v>
      </c>
      <c r="C34" s="43"/>
      <c r="D34" s="36"/>
      <c r="E34" s="37"/>
      <c r="F34" s="13">
        <f t="shared" si="0"/>
        <v>4</v>
      </c>
      <c r="G34" s="19"/>
      <c r="H34" s="38"/>
      <c r="I34" s="14"/>
      <c r="J34" s="14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9">
        <v>27</v>
      </c>
      <c r="B35" s="46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16"/>
      <c r="D39" s="47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4">
        <f>SUM(B9:B39)</f>
        <v>8</v>
      </c>
      <c r="C40" s="54">
        <f t="shared" ref="C40:E40" si="3">SUM(C9:C39)</f>
        <v>0</v>
      </c>
      <c r="D40" s="54">
        <f t="shared" si="3"/>
        <v>0</v>
      </c>
      <c r="E40" s="54">
        <f t="shared" si="3"/>
        <v>0</v>
      </c>
      <c r="F40" s="53">
        <f>SUM(F9:F39)</f>
        <v>8</v>
      </c>
      <c r="G40" s="12">
        <f>SUM(G9:G39)</f>
        <v>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5</v>
      </c>
      <c r="L40" s="12">
        <f t="shared" si="4"/>
        <v>13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3"/>
      <c r="B42" s="73"/>
      <c r="C42" s="73"/>
      <c r="D42" s="73"/>
      <c r="E42" s="73"/>
      <c r="F42" s="73"/>
      <c r="G42" s="74" t="s">
        <v>16</v>
      </c>
      <c r="H42" s="75"/>
      <c r="I42" s="75" t="s">
        <v>17</v>
      </c>
      <c r="J42" s="76"/>
      <c r="K42" s="7"/>
      <c r="L42" s="9"/>
    </row>
    <row r="43" spans="1:12" ht="15" customHeight="1" thickBot="1" x14ac:dyDescent="0.3">
      <c r="A43" s="10"/>
      <c r="B43" s="60" t="s">
        <v>18</v>
      </c>
      <c r="C43" s="61"/>
      <c r="D43" s="61"/>
      <c r="E43" s="61"/>
      <c r="F43" s="61"/>
      <c r="G43" s="71">
        <v>0</v>
      </c>
      <c r="H43" s="77"/>
      <c r="I43" s="78"/>
      <c r="J43" s="79"/>
      <c r="K43" s="7"/>
      <c r="L43" s="9"/>
    </row>
    <row r="44" spans="1:12" ht="15" customHeight="1" thickBot="1" x14ac:dyDescent="0.3">
      <c r="A44" s="10"/>
      <c r="B44" s="60" t="s">
        <v>19</v>
      </c>
      <c r="C44" s="61"/>
      <c r="D44" s="61"/>
      <c r="E44" s="61"/>
      <c r="F44" s="61"/>
      <c r="G44" s="64">
        <v>100</v>
      </c>
      <c r="H44" s="63"/>
      <c r="I44" s="64"/>
      <c r="J44" s="63"/>
      <c r="K44" s="7"/>
      <c r="L44" s="9"/>
    </row>
    <row r="45" spans="1:12" ht="15" customHeight="1" thickBot="1" x14ac:dyDescent="0.3">
      <c r="A45" s="10"/>
      <c r="B45" s="68" t="s">
        <v>20</v>
      </c>
      <c r="C45" s="68"/>
      <c r="D45" s="68"/>
      <c r="E45" s="68"/>
      <c r="F45" s="60"/>
      <c r="G45" s="69">
        <v>0</v>
      </c>
      <c r="H45" s="70"/>
      <c r="I45" s="71"/>
      <c r="J45" s="72"/>
      <c r="K45" s="7"/>
      <c r="L45" s="9"/>
    </row>
    <row r="46" spans="1:12" ht="15" customHeight="1" thickBot="1" x14ac:dyDescent="0.3">
      <c r="A46" s="10"/>
      <c r="B46" s="60" t="s">
        <v>21</v>
      </c>
      <c r="C46" s="61"/>
      <c r="D46" s="61"/>
      <c r="E46" s="61"/>
      <c r="F46" s="61"/>
      <c r="G46" s="62">
        <f>L40+G45</f>
        <v>13</v>
      </c>
      <c r="H46" s="63"/>
      <c r="I46" s="64"/>
      <c r="J46" s="63"/>
      <c r="K46" s="7"/>
      <c r="L46" s="9"/>
    </row>
    <row r="47" spans="1:12" ht="15" customHeight="1" thickBot="1" x14ac:dyDescent="0.3">
      <c r="A47" s="3"/>
      <c r="B47" s="60" t="s">
        <v>22</v>
      </c>
      <c r="C47" s="61"/>
      <c r="D47" s="61"/>
      <c r="E47" s="61"/>
      <c r="F47" s="61"/>
      <c r="G47" s="62">
        <f>G43+G44-G46</f>
        <v>87</v>
      </c>
      <c r="H47" s="63"/>
      <c r="I47" s="64"/>
      <c r="J47" s="63"/>
      <c r="K47" s="7"/>
      <c r="L47" s="2"/>
    </row>
    <row r="48" spans="1:12" ht="15" customHeight="1" thickBot="1" x14ac:dyDescent="0.3">
      <c r="A48" s="3"/>
      <c r="B48" s="60" t="s">
        <v>23</v>
      </c>
      <c r="C48" s="61"/>
      <c r="D48" s="61"/>
      <c r="E48" s="61"/>
      <c r="F48" s="61"/>
      <c r="G48" s="62">
        <v>87</v>
      </c>
      <c r="H48" s="63"/>
      <c r="I48" s="64"/>
      <c r="J48" s="63"/>
      <c r="K48" s="7"/>
      <c r="L48" s="2"/>
    </row>
    <row r="49" spans="1:12" ht="15" customHeight="1" thickBot="1" x14ac:dyDescent="0.3">
      <c r="A49" s="3"/>
      <c r="B49" s="60" t="s">
        <v>24</v>
      </c>
      <c r="C49" s="61"/>
      <c r="D49" s="61"/>
      <c r="E49" s="61"/>
      <c r="F49" s="61"/>
      <c r="G49" s="65">
        <f>G47-G48</f>
        <v>0</v>
      </c>
      <c r="H49" s="66"/>
      <c r="I49" s="67"/>
      <c r="J49" s="66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workbookViewId="0">
      <selection activeCell="A7" sqref="A7:A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22"/>
      <c r="F1" s="23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22"/>
      <c r="F2" s="23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22"/>
      <c r="F3" s="23"/>
      <c r="G3" s="82" t="s">
        <v>27</v>
      </c>
      <c r="H3" s="82"/>
      <c r="I3" s="82"/>
      <c r="J3" s="82"/>
      <c r="K3" s="82"/>
      <c r="L3" s="82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0" t="s">
        <v>5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</row>
    <row r="6" spans="1:12" ht="16.5" thickBot="1" x14ac:dyDescent="0.3">
      <c r="A6" s="81" t="s">
        <v>29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</row>
    <row r="7" spans="1:12" x14ac:dyDescent="0.25">
      <c r="A7" s="83" t="s">
        <v>6</v>
      </c>
      <c r="B7" s="85" t="s">
        <v>7</v>
      </c>
      <c r="C7" s="86"/>
      <c r="D7" s="86"/>
      <c r="E7" s="86"/>
      <c r="F7" s="87"/>
      <c r="G7" s="88" t="s">
        <v>8</v>
      </c>
      <c r="H7" s="86"/>
      <c r="I7" s="86"/>
      <c r="J7" s="86"/>
      <c r="K7" s="87"/>
      <c r="L7" s="89" t="s">
        <v>9</v>
      </c>
    </row>
    <row r="8" spans="1:12" ht="15.75" thickBot="1" x14ac:dyDescent="0.3">
      <c r="A8" s="84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0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>
        <v>1</v>
      </c>
      <c r="I11" s="14"/>
      <c r="J11" s="14"/>
      <c r="K11" s="11">
        <f t="shared" si="1"/>
        <v>1</v>
      </c>
      <c r="L11" s="5">
        <f t="shared" si="2"/>
        <v>1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44">
        <v>10</v>
      </c>
      <c r="C18" s="36"/>
      <c r="D18" s="36"/>
      <c r="E18" s="37"/>
      <c r="F18" s="13">
        <f t="shared" si="0"/>
        <v>10</v>
      </c>
      <c r="G18" s="41"/>
      <c r="H18" s="41"/>
      <c r="I18" s="14"/>
      <c r="J18" s="14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9">
        <v>11</v>
      </c>
      <c r="B19" s="44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36"/>
      <c r="D20" s="36"/>
      <c r="E20" s="37"/>
      <c r="F20" s="13">
        <f t="shared" si="0"/>
        <v>0</v>
      </c>
      <c r="G20" s="19">
        <v>1</v>
      </c>
      <c r="H20" s="38"/>
      <c r="I20" s="20"/>
      <c r="J20" s="20"/>
      <c r="K20" s="11">
        <f t="shared" si="1"/>
        <v>1</v>
      </c>
      <c r="L20" s="5">
        <f t="shared" si="2"/>
        <v>1</v>
      </c>
    </row>
    <row r="21" spans="1:12" ht="15" customHeight="1" thickBot="1" x14ac:dyDescent="0.3">
      <c r="A21" s="49">
        <v>13</v>
      </c>
      <c r="B21" s="44">
        <v>1</v>
      </c>
      <c r="C21" s="36"/>
      <c r="D21" s="36"/>
      <c r="E21" s="37"/>
      <c r="F21" s="13">
        <f t="shared" si="0"/>
        <v>1</v>
      </c>
      <c r="G21" s="21">
        <v>1</v>
      </c>
      <c r="H21" s="42"/>
      <c r="I21" s="14"/>
      <c r="J21" s="14"/>
      <c r="K21" s="11">
        <f t="shared" si="1"/>
        <v>1</v>
      </c>
      <c r="L21" s="5">
        <f t="shared" si="2"/>
        <v>2</v>
      </c>
    </row>
    <row r="22" spans="1:12" ht="15" customHeight="1" thickBot="1" x14ac:dyDescent="0.3">
      <c r="A22" s="49">
        <v>14</v>
      </c>
      <c r="B22" s="44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9">
        <v>16</v>
      </c>
      <c r="B24" s="44">
        <v>2</v>
      </c>
      <c r="C24" s="36"/>
      <c r="D24" s="36"/>
      <c r="E24" s="37"/>
      <c r="F24" s="13">
        <f t="shared" si="0"/>
        <v>2</v>
      </c>
      <c r="G24" s="19"/>
      <c r="H24" s="14"/>
      <c r="I24" s="14"/>
      <c r="J24" s="14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9">
        <v>17</v>
      </c>
      <c r="B25" s="44"/>
      <c r="C25" s="44"/>
      <c r="D25" s="43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44"/>
      <c r="C26" s="36"/>
      <c r="D26" s="36"/>
      <c r="E26" s="37"/>
      <c r="F26" s="13">
        <f t="shared" si="0"/>
        <v>0</v>
      </c>
      <c r="G26" s="19"/>
      <c r="H26" s="55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>
        <v>2</v>
      </c>
      <c r="C27" s="43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9">
        <v>20</v>
      </c>
      <c r="B28" s="44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9">
        <v>21</v>
      </c>
      <c r="B29" s="44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44">
        <v>4</v>
      </c>
      <c r="C32" s="36"/>
      <c r="D32" s="36"/>
      <c r="E32" s="37"/>
      <c r="F32" s="13">
        <f t="shared" si="0"/>
        <v>4</v>
      </c>
      <c r="G32" s="19"/>
      <c r="H32" s="14"/>
      <c r="I32" s="14"/>
      <c r="J32" s="14"/>
      <c r="K32" s="11">
        <f t="shared" si="1"/>
        <v>0</v>
      </c>
      <c r="L32" s="5">
        <f t="shared" si="2"/>
        <v>4</v>
      </c>
    </row>
    <row r="33" spans="1:12" ht="15" customHeight="1" thickBot="1" x14ac:dyDescent="0.3">
      <c r="A33" s="49">
        <v>25</v>
      </c>
      <c r="B33" s="44"/>
      <c r="C33" s="36"/>
      <c r="D33" s="43">
        <v>1</v>
      </c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9">
        <v>26</v>
      </c>
      <c r="B34" s="44"/>
      <c r="C34" s="43"/>
      <c r="D34" s="36"/>
      <c r="E34" s="37"/>
      <c r="F34" s="13">
        <f t="shared" si="0"/>
        <v>0</v>
      </c>
      <c r="G34" s="19"/>
      <c r="H34" s="38"/>
      <c r="I34" s="14"/>
      <c r="J34" s="14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16"/>
      <c r="D39" s="47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7">
        <f>SUM(B9:B39)</f>
        <v>19</v>
      </c>
      <c r="C40" s="57">
        <f t="shared" ref="C40:E40" si="3">SUM(C9:C39)</f>
        <v>0</v>
      </c>
      <c r="D40" s="57">
        <f t="shared" si="3"/>
        <v>1</v>
      </c>
      <c r="E40" s="57">
        <f t="shared" si="3"/>
        <v>0</v>
      </c>
      <c r="F40" s="56">
        <f>SUM(F9:F39)</f>
        <v>20</v>
      </c>
      <c r="G40" s="12">
        <f>SUM(G9:G39)</f>
        <v>2</v>
      </c>
      <c r="H40" s="12">
        <f t="shared" ref="H40:L40" si="4">SUM(H9:H39)</f>
        <v>1</v>
      </c>
      <c r="I40" s="12">
        <f t="shared" si="4"/>
        <v>0</v>
      </c>
      <c r="J40" s="12">
        <f t="shared" si="4"/>
        <v>0</v>
      </c>
      <c r="K40" s="12">
        <f t="shared" si="4"/>
        <v>3</v>
      </c>
      <c r="L40" s="12">
        <f t="shared" si="4"/>
        <v>23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3"/>
      <c r="B42" s="73"/>
      <c r="C42" s="73"/>
      <c r="D42" s="73"/>
      <c r="E42" s="73"/>
      <c r="F42" s="73"/>
      <c r="G42" s="74" t="s">
        <v>16</v>
      </c>
      <c r="H42" s="75"/>
      <c r="I42" s="75" t="s">
        <v>17</v>
      </c>
      <c r="J42" s="76"/>
      <c r="K42" s="7"/>
      <c r="L42" s="9"/>
    </row>
    <row r="43" spans="1:12" ht="15" customHeight="1" thickBot="1" x14ac:dyDescent="0.3">
      <c r="A43" s="10"/>
      <c r="B43" s="60" t="s">
        <v>18</v>
      </c>
      <c r="C43" s="61"/>
      <c r="D43" s="61"/>
      <c r="E43" s="61"/>
      <c r="F43" s="61"/>
      <c r="G43" s="71">
        <v>87</v>
      </c>
      <c r="H43" s="77"/>
      <c r="I43" s="78"/>
      <c r="J43" s="79"/>
      <c r="K43" s="7"/>
      <c r="L43" s="9"/>
    </row>
    <row r="44" spans="1:12" ht="15" customHeight="1" thickBot="1" x14ac:dyDescent="0.3">
      <c r="A44" s="10"/>
      <c r="B44" s="60" t="s">
        <v>19</v>
      </c>
      <c r="C44" s="61"/>
      <c r="D44" s="61"/>
      <c r="E44" s="61"/>
      <c r="F44" s="61"/>
      <c r="G44" s="64">
        <v>0</v>
      </c>
      <c r="H44" s="63"/>
      <c r="I44" s="64"/>
      <c r="J44" s="63"/>
      <c r="K44" s="7"/>
      <c r="L44" s="9"/>
    </row>
    <row r="45" spans="1:12" ht="15" customHeight="1" thickBot="1" x14ac:dyDescent="0.3">
      <c r="A45" s="10"/>
      <c r="B45" s="68" t="s">
        <v>20</v>
      </c>
      <c r="C45" s="68"/>
      <c r="D45" s="68"/>
      <c r="E45" s="68"/>
      <c r="F45" s="60"/>
      <c r="G45" s="69">
        <v>0</v>
      </c>
      <c r="H45" s="70"/>
      <c r="I45" s="71"/>
      <c r="J45" s="72"/>
      <c r="K45" s="7"/>
      <c r="L45" s="9"/>
    </row>
    <row r="46" spans="1:12" ht="15" customHeight="1" thickBot="1" x14ac:dyDescent="0.3">
      <c r="A46" s="10"/>
      <c r="B46" s="60" t="s">
        <v>21</v>
      </c>
      <c r="C46" s="61"/>
      <c r="D46" s="61"/>
      <c r="E46" s="61"/>
      <c r="F46" s="61"/>
      <c r="G46" s="62">
        <f>L40+G45</f>
        <v>23</v>
      </c>
      <c r="H46" s="63"/>
      <c r="I46" s="64"/>
      <c r="J46" s="63"/>
      <c r="K46" s="7"/>
      <c r="L46" s="9"/>
    </row>
    <row r="47" spans="1:12" ht="15" customHeight="1" thickBot="1" x14ac:dyDescent="0.3">
      <c r="A47" s="3"/>
      <c r="B47" s="60" t="s">
        <v>22</v>
      </c>
      <c r="C47" s="61"/>
      <c r="D47" s="61"/>
      <c r="E47" s="61"/>
      <c r="F47" s="61"/>
      <c r="G47" s="62">
        <f>G43+G44-G46</f>
        <v>64</v>
      </c>
      <c r="H47" s="63"/>
      <c r="I47" s="64"/>
      <c r="J47" s="63"/>
      <c r="K47" s="7"/>
      <c r="L47" s="2"/>
    </row>
    <row r="48" spans="1:12" ht="15" customHeight="1" thickBot="1" x14ac:dyDescent="0.3">
      <c r="A48" s="3"/>
      <c r="B48" s="60" t="s">
        <v>23</v>
      </c>
      <c r="C48" s="61"/>
      <c r="D48" s="61"/>
      <c r="E48" s="61"/>
      <c r="F48" s="61"/>
      <c r="G48" s="62">
        <v>64</v>
      </c>
      <c r="H48" s="63"/>
      <c r="I48" s="64"/>
      <c r="J48" s="63"/>
      <c r="K48" s="7"/>
      <c r="L48" s="2"/>
    </row>
    <row r="49" spans="1:12" ht="15" customHeight="1" thickBot="1" x14ac:dyDescent="0.3">
      <c r="A49" s="3"/>
      <c r="B49" s="60" t="s">
        <v>24</v>
      </c>
      <c r="C49" s="61"/>
      <c r="D49" s="61"/>
      <c r="E49" s="61"/>
      <c r="F49" s="61"/>
      <c r="G49" s="65">
        <f>G47-G48</f>
        <v>0</v>
      </c>
      <c r="H49" s="66"/>
      <c r="I49" s="67"/>
      <c r="J49" s="66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abSelected="1" topLeftCell="A29" workbookViewId="0">
      <selection activeCell="H29" sqref="H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22"/>
      <c r="F1" s="23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22"/>
      <c r="F2" s="23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22"/>
      <c r="F3" s="23"/>
      <c r="G3" s="82" t="s">
        <v>27</v>
      </c>
      <c r="H3" s="82"/>
      <c r="I3" s="82"/>
      <c r="J3" s="82"/>
      <c r="K3" s="82"/>
      <c r="L3" s="82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0" t="s">
        <v>5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</row>
    <row r="6" spans="1:12" ht="16.5" thickBot="1" x14ac:dyDescent="0.3">
      <c r="A6" s="81" t="s">
        <v>30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</row>
    <row r="7" spans="1:12" x14ac:dyDescent="0.25">
      <c r="A7" s="83" t="s">
        <v>6</v>
      </c>
      <c r="B7" s="85" t="s">
        <v>7</v>
      </c>
      <c r="C7" s="86"/>
      <c r="D7" s="86"/>
      <c r="E7" s="86"/>
      <c r="F7" s="87"/>
      <c r="G7" s="88" t="s">
        <v>8</v>
      </c>
      <c r="H7" s="86"/>
      <c r="I7" s="86"/>
      <c r="J7" s="86"/>
      <c r="K7" s="87"/>
      <c r="L7" s="89" t="s">
        <v>9</v>
      </c>
    </row>
    <row r="8" spans="1:12" ht="15.75" thickBot="1" x14ac:dyDescent="0.3">
      <c r="A8" s="84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0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>
        <v>8</v>
      </c>
      <c r="H10" s="38"/>
      <c r="I10" s="14"/>
      <c r="J10" s="14"/>
      <c r="K10" s="11">
        <f t="shared" ref="K10:K39" si="1">SUM(G10:J10)</f>
        <v>8</v>
      </c>
      <c r="L10" s="5">
        <f t="shared" ref="L10:L39" si="2">SUM(F10+K10)</f>
        <v>8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>
        <v>8</v>
      </c>
      <c r="H11" s="38"/>
      <c r="I11" s="14"/>
      <c r="J11" s="14"/>
      <c r="K11" s="11">
        <f t="shared" si="1"/>
        <v>8</v>
      </c>
      <c r="L11" s="5">
        <f t="shared" si="2"/>
        <v>8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>
        <v>8</v>
      </c>
      <c r="H12" s="40"/>
      <c r="I12" s="14"/>
      <c r="J12" s="14"/>
      <c r="K12" s="11">
        <f t="shared" si="1"/>
        <v>8</v>
      </c>
      <c r="L12" s="5">
        <f t="shared" si="2"/>
        <v>8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>
        <v>1</v>
      </c>
      <c r="C14" s="36"/>
      <c r="D14" s="36"/>
      <c r="E14" s="37"/>
      <c r="F14" s="13">
        <f t="shared" si="0"/>
        <v>1</v>
      </c>
      <c r="G14" s="38">
        <v>7</v>
      </c>
      <c r="H14" s="38"/>
      <c r="I14" s="14"/>
      <c r="J14" s="14"/>
      <c r="K14" s="11">
        <f t="shared" si="1"/>
        <v>7</v>
      </c>
      <c r="L14" s="5">
        <f t="shared" si="2"/>
        <v>8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>
        <v>6</v>
      </c>
      <c r="H17" s="38"/>
      <c r="I17" s="14"/>
      <c r="J17" s="14"/>
      <c r="K17" s="11">
        <f t="shared" si="1"/>
        <v>6</v>
      </c>
      <c r="L17" s="5">
        <f t="shared" si="2"/>
        <v>6</v>
      </c>
    </row>
    <row r="18" spans="1:12" ht="15" customHeight="1" thickBot="1" x14ac:dyDescent="0.3">
      <c r="A18" s="49">
        <v>10</v>
      </c>
      <c r="B18" s="44"/>
      <c r="C18" s="43"/>
      <c r="D18" s="43"/>
      <c r="E18" s="39"/>
      <c r="F18" s="13">
        <f t="shared" si="0"/>
        <v>0</v>
      </c>
      <c r="G18" s="41">
        <v>3</v>
      </c>
      <c r="H18" s="41"/>
      <c r="I18" s="55"/>
      <c r="J18" s="55"/>
      <c r="K18" s="11">
        <f t="shared" si="1"/>
        <v>3</v>
      </c>
      <c r="L18" s="5">
        <f t="shared" si="2"/>
        <v>3</v>
      </c>
    </row>
    <row r="19" spans="1:12" ht="15" customHeight="1" thickBot="1" x14ac:dyDescent="0.3">
      <c r="A19" s="49">
        <v>11</v>
      </c>
      <c r="B19" s="44"/>
      <c r="C19" s="43"/>
      <c r="D19" s="43"/>
      <c r="E19" s="39"/>
      <c r="F19" s="13">
        <f t="shared" si="0"/>
        <v>0</v>
      </c>
      <c r="G19" s="19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43"/>
      <c r="D20" s="43"/>
      <c r="E20" s="39"/>
      <c r="F20" s="13">
        <f t="shared" si="0"/>
        <v>0</v>
      </c>
      <c r="G20" s="19"/>
      <c r="H20" s="38"/>
      <c r="I20" s="91"/>
      <c r="J20" s="91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/>
      <c r="C21" s="43"/>
      <c r="D21" s="43"/>
      <c r="E21" s="39"/>
      <c r="F21" s="13">
        <f t="shared" si="0"/>
        <v>0</v>
      </c>
      <c r="G21" s="21"/>
      <c r="H21" s="42"/>
      <c r="I21" s="55"/>
      <c r="J21" s="55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44"/>
      <c r="C22" s="43"/>
      <c r="D22" s="43"/>
      <c r="E22" s="39"/>
      <c r="F22" s="13">
        <f t="shared" si="0"/>
        <v>0</v>
      </c>
      <c r="G22" s="21"/>
      <c r="H22" s="55"/>
      <c r="I22" s="55"/>
      <c r="J22" s="55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43"/>
      <c r="D23" s="43"/>
      <c r="E23" s="39"/>
      <c r="F23" s="13">
        <f t="shared" si="0"/>
        <v>0</v>
      </c>
      <c r="G23" s="19"/>
      <c r="H23" s="55"/>
      <c r="I23" s="55"/>
      <c r="J23" s="55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9">
        <v>16</v>
      </c>
      <c r="B24" s="44"/>
      <c r="C24" s="43"/>
      <c r="D24" s="43"/>
      <c r="E24" s="39"/>
      <c r="F24" s="13">
        <f t="shared" si="0"/>
        <v>0</v>
      </c>
      <c r="G24" s="19">
        <v>1</v>
      </c>
      <c r="H24" s="55"/>
      <c r="I24" s="55"/>
      <c r="J24" s="55"/>
      <c r="K24" s="11">
        <f t="shared" si="1"/>
        <v>1</v>
      </c>
      <c r="L24" s="5">
        <f t="shared" si="2"/>
        <v>1</v>
      </c>
    </row>
    <row r="25" spans="1:12" ht="15" customHeight="1" thickBot="1" x14ac:dyDescent="0.3">
      <c r="A25" s="49">
        <v>17</v>
      </c>
      <c r="B25" s="44">
        <v>1</v>
      </c>
      <c r="C25" s="44"/>
      <c r="D25" s="43">
        <v>1</v>
      </c>
      <c r="E25" s="39"/>
      <c r="F25" s="13">
        <f t="shared" si="0"/>
        <v>2</v>
      </c>
      <c r="G25" s="19">
        <v>3</v>
      </c>
      <c r="H25" s="55"/>
      <c r="I25" s="55"/>
      <c r="J25" s="55"/>
      <c r="K25" s="11">
        <f t="shared" si="1"/>
        <v>3</v>
      </c>
      <c r="L25" s="5">
        <f t="shared" si="2"/>
        <v>5</v>
      </c>
    </row>
    <row r="26" spans="1:12" ht="15" customHeight="1" thickBot="1" x14ac:dyDescent="0.3">
      <c r="A26" s="49">
        <v>18</v>
      </c>
      <c r="B26" s="44">
        <v>7</v>
      </c>
      <c r="C26" s="43"/>
      <c r="D26" s="43"/>
      <c r="E26" s="39">
        <v>1</v>
      </c>
      <c r="F26" s="13">
        <f t="shared" si="0"/>
        <v>8</v>
      </c>
      <c r="G26" s="19">
        <v>1</v>
      </c>
      <c r="H26" s="55"/>
      <c r="I26" s="55"/>
      <c r="J26" s="55"/>
      <c r="K26" s="11">
        <f t="shared" si="1"/>
        <v>1</v>
      </c>
      <c r="L26" s="5">
        <f t="shared" si="2"/>
        <v>9</v>
      </c>
    </row>
    <row r="27" spans="1:12" ht="15" customHeight="1" thickBot="1" x14ac:dyDescent="0.3">
      <c r="A27" s="49">
        <v>19</v>
      </c>
      <c r="B27" s="44"/>
      <c r="C27" s="43"/>
      <c r="D27" s="43"/>
      <c r="E27" s="39"/>
      <c r="F27" s="13">
        <f t="shared" si="0"/>
        <v>0</v>
      </c>
      <c r="G27" s="19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/>
      <c r="C28" s="43"/>
      <c r="D28" s="43"/>
      <c r="E28" s="39"/>
      <c r="F28" s="13">
        <f t="shared" si="0"/>
        <v>0</v>
      </c>
      <c r="G28" s="19"/>
      <c r="H28" s="55">
        <v>3</v>
      </c>
      <c r="I28" s="55"/>
      <c r="J28" s="55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9">
        <v>21</v>
      </c>
      <c r="B29" s="44"/>
      <c r="C29" s="43"/>
      <c r="D29" s="43"/>
      <c r="E29" s="39"/>
      <c r="F29" s="13">
        <f t="shared" si="0"/>
        <v>0</v>
      </c>
      <c r="G29" s="19"/>
      <c r="H29" s="55"/>
      <c r="I29" s="55"/>
      <c r="J29" s="55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/>
      <c r="C30" s="43"/>
      <c r="D30" s="43"/>
      <c r="E30" s="39"/>
      <c r="F30" s="13">
        <f t="shared" si="0"/>
        <v>0</v>
      </c>
      <c r="G30" s="19"/>
      <c r="H30" s="55"/>
      <c r="I30" s="55"/>
      <c r="J30" s="55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>
        <v>3</v>
      </c>
      <c r="C31" s="43"/>
      <c r="D31" s="43"/>
      <c r="E31" s="39"/>
      <c r="F31" s="13">
        <f t="shared" si="0"/>
        <v>3</v>
      </c>
      <c r="G31" s="19"/>
      <c r="H31" s="55"/>
      <c r="I31" s="55"/>
      <c r="J31" s="55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9">
        <v>24</v>
      </c>
      <c r="B32" s="44"/>
      <c r="C32" s="43"/>
      <c r="D32" s="43"/>
      <c r="E32" s="39"/>
      <c r="F32" s="13">
        <f t="shared" si="0"/>
        <v>0</v>
      </c>
      <c r="G32" s="19"/>
      <c r="H32" s="55"/>
      <c r="I32" s="55"/>
      <c r="J32" s="55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/>
      <c r="C33" s="43"/>
      <c r="D33" s="43"/>
      <c r="E33" s="39"/>
      <c r="F33" s="13">
        <f t="shared" si="0"/>
        <v>0</v>
      </c>
      <c r="G33" s="19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/>
      <c r="C34" s="43"/>
      <c r="D34" s="43"/>
      <c r="E34" s="39"/>
      <c r="F34" s="13">
        <f t="shared" si="0"/>
        <v>0</v>
      </c>
      <c r="G34" s="19"/>
      <c r="H34" s="38"/>
      <c r="I34" s="55"/>
      <c r="J34" s="55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43"/>
      <c r="D35" s="43"/>
      <c r="E35" s="39"/>
      <c r="F35" s="13">
        <f t="shared" si="0"/>
        <v>0</v>
      </c>
      <c r="G35" s="30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55"/>
      <c r="D36" s="55"/>
      <c r="E36" s="92"/>
      <c r="F36" s="13">
        <f t="shared" si="0"/>
        <v>0</v>
      </c>
      <c r="G36" s="19"/>
      <c r="H36" s="55"/>
      <c r="I36" s="55"/>
      <c r="J36" s="55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55"/>
      <c r="D37" s="55"/>
      <c r="E37" s="92"/>
      <c r="F37" s="13">
        <f t="shared" si="0"/>
        <v>0</v>
      </c>
      <c r="G37" s="19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>
        <v>1</v>
      </c>
      <c r="C38" s="55"/>
      <c r="D38" s="55"/>
      <c r="E38" s="92"/>
      <c r="F38" s="13">
        <f t="shared" si="0"/>
        <v>1</v>
      </c>
      <c r="G38" s="19"/>
      <c r="H38" s="55"/>
      <c r="I38" s="55"/>
      <c r="J38" s="55"/>
      <c r="K38" s="11">
        <f t="shared" si="1"/>
        <v>0</v>
      </c>
      <c r="L38" s="5">
        <f t="shared" si="2"/>
        <v>1</v>
      </c>
    </row>
    <row r="39" spans="1:12" ht="15" customHeight="1" thickBot="1" x14ac:dyDescent="0.3">
      <c r="A39" s="51">
        <v>31</v>
      </c>
      <c r="B39" s="47"/>
      <c r="C39" s="93"/>
      <c r="D39" s="47"/>
      <c r="E39" s="94"/>
      <c r="F39" s="13">
        <f t="shared" si="0"/>
        <v>0</v>
      </c>
      <c r="G39" s="19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9">
        <f>SUM(B9:B39)</f>
        <v>13</v>
      </c>
      <c r="C40" s="59">
        <f t="shared" ref="C40:E40" si="3">SUM(C9:C39)</f>
        <v>0</v>
      </c>
      <c r="D40" s="59">
        <f t="shared" si="3"/>
        <v>1</v>
      </c>
      <c r="E40" s="59">
        <f t="shared" si="3"/>
        <v>1</v>
      </c>
      <c r="F40" s="58">
        <f>SUM(F9:F39)</f>
        <v>15</v>
      </c>
      <c r="G40" s="12">
        <f>SUM(G9:G39)</f>
        <v>45</v>
      </c>
      <c r="H40" s="12">
        <f t="shared" ref="H40:L40" si="4">SUM(H9:H39)</f>
        <v>3</v>
      </c>
      <c r="I40" s="12">
        <f t="shared" si="4"/>
        <v>0</v>
      </c>
      <c r="J40" s="12">
        <f t="shared" si="4"/>
        <v>0</v>
      </c>
      <c r="K40" s="12">
        <f t="shared" si="4"/>
        <v>48</v>
      </c>
      <c r="L40" s="12">
        <f t="shared" si="4"/>
        <v>63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3"/>
      <c r="B42" s="73"/>
      <c r="C42" s="73"/>
      <c r="D42" s="73"/>
      <c r="E42" s="73"/>
      <c r="F42" s="73"/>
      <c r="G42" s="74" t="s">
        <v>16</v>
      </c>
      <c r="H42" s="75"/>
      <c r="I42" s="75" t="s">
        <v>17</v>
      </c>
      <c r="J42" s="76"/>
      <c r="K42" s="7"/>
      <c r="L42" s="9"/>
    </row>
    <row r="43" spans="1:12" ht="15" customHeight="1" thickBot="1" x14ac:dyDescent="0.3">
      <c r="A43" s="10"/>
      <c r="B43" s="60" t="s">
        <v>18</v>
      </c>
      <c r="C43" s="61"/>
      <c r="D43" s="61"/>
      <c r="E43" s="61"/>
      <c r="F43" s="61"/>
      <c r="G43" s="71">
        <v>64</v>
      </c>
      <c r="H43" s="77"/>
      <c r="I43" s="78"/>
      <c r="J43" s="79"/>
      <c r="K43" s="7"/>
      <c r="L43" s="9"/>
    </row>
    <row r="44" spans="1:12" ht="15" customHeight="1" thickBot="1" x14ac:dyDescent="0.3">
      <c r="A44" s="10"/>
      <c r="B44" s="60" t="s">
        <v>19</v>
      </c>
      <c r="C44" s="61"/>
      <c r="D44" s="61"/>
      <c r="E44" s="61"/>
      <c r="F44" s="61"/>
      <c r="G44" s="64">
        <v>5</v>
      </c>
      <c r="H44" s="63"/>
      <c r="I44" s="64"/>
      <c r="J44" s="63"/>
      <c r="K44" s="7"/>
      <c r="L44" s="9"/>
    </row>
    <row r="45" spans="1:12" ht="15" customHeight="1" thickBot="1" x14ac:dyDescent="0.3">
      <c r="A45" s="10"/>
      <c r="B45" s="68" t="s">
        <v>20</v>
      </c>
      <c r="C45" s="68"/>
      <c r="D45" s="68"/>
      <c r="E45" s="68"/>
      <c r="F45" s="60"/>
      <c r="G45" s="69">
        <v>0</v>
      </c>
      <c r="H45" s="70"/>
      <c r="I45" s="71"/>
      <c r="J45" s="72"/>
      <c r="K45" s="7"/>
      <c r="L45" s="9"/>
    </row>
    <row r="46" spans="1:12" ht="15" customHeight="1" thickBot="1" x14ac:dyDescent="0.3">
      <c r="A46" s="10"/>
      <c r="B46" s="60" t="s">
        <v>21</v>
      </c>
      <c r="C46" s="61"/>
      <c r="D46" s="61"/>
      <c r="E46" s="61"/>
      <c r="F46" s="61"/>
      <c r="G46" s="62">
        <f>L40+G45</f>
        <v>63</v>
      </c>
      <c r="H46" s="63"/>
      <c r="I46" s="64"/>
      <c r="J46" s="63"/>
      <c r="K46" s="7"/>
      <c r="L46" s="9"/>
    </row>
    <row r="47" spans="1:12" ht="15" customHeight="1" thickBot="1" x14ac:dyDescent="0.3">
      <c r="A47" s="3"/>
      <c r="B47" s="60" t="s">
        <v>22</v>
      </c>
      <c r="C47" s="61"/>
      <c r="D47" s="61"/>
      <c r="E47" s="61"/>
      <c r="F47" s="61"/>
      <c r="G47" s="62">
        <f>G43+G44-G46</f>
        <v>6</v>
      </c>
      <c r="H47" s="63"/>
      <c r="I47" s="64"/>
      <c r="J47" s="63"/>
      <c r="K47" s="7"/>
      <c r="L47" s="2"/>
    </row>
    <row r="48" spans="1:12" ht="15" customHeight="1" thickBot="1" x14ac:dyDescent="0.3">
      <c r="A48" s="3"/>
      <c r="B48" s="60" t="s">
        <v>23</v>
      </c>
      <c r="C48" s="61"/>
      <c r="D48" s="61"/>
      <c r="E48" s="61"/>
      <c r="F48" s="61"/>
      <c r="G48" s="62">
        <v>6</v>
      </c>
      <c r="H48" s="63"/>
      <c r="I48" s="64"/>
      <c r="J48" s="63"/>
      <c r="K48" s="7"/>
      <c r="L48" s="2"/>
    </row>
    <row r="49" spans="1:12" ht="15" customHeight="1" thickBot="1" x14ac:dyDescent="0.3">
      <c r="A49" s="3"/>
      <c r="B49" s="60" t="s">
        <v>24</v>
      </c>
      <c r="C49" s="61"/>
      <c r="D49" s="61"/>
      <c r="E49" s="61"/>
      <c r="F49" s="61"/>
      <c r="G49" s="65">
        <f>G47-G48</f>
        <v>0</v>
      </c>
      <c r="H49" s="66"/>
      <c r="I49" s="67"/>
      <c r="J49" s="66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JANVIER 2025</vt:lpstr>
      <vt:lpstr>FEVRIER 2025</vt:lpstr>
      <vt:lpstr>MARS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2024-11-03T09:18:30Z</cp:lastPrinted>
  <dcterms:created xsi:type="dcterms:W3CDTF">2014-12-31T15:22:06Z</dcterms:created>
  <dcterms:modified xsi:type="dcterms:W3CDTF">2025-04-02T13:04:41Z</dcterms:modified>
</cp:coreProperties>
</file>