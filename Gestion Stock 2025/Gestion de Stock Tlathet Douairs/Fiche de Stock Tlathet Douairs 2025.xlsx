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5\Gestion de Stock Tlathet Douairs\"/>
    </mc:Choice>
  </mc:AlternateContent>
  <bookViews>
    <workbookView xWindow="555" yWindow="75" windowWidth="11700" windowHeight="6825" firstSheet="4" activeTab="9"/>
  </bookViews>
  <sheets>
    <sheet name="JANVIER 2025" sheetId="12" r:id="rId1"/>
    <sheet name="FEVRIER 2025" sheetId="13" r:id="rId2"/>
    <sheet name="MARS 2025" sheetId="14" r:id="rId3"/>
    <sheet name="AVRIL 2025" sheetId="15" r:id="rId4"/>
    <sheet name="MAI 2025" sheetId="16" r:id="rId5"/>
    <sheet name="JUIN 2025" sheetId="17" r:id="rId6"/>
    <sheet name="JUILLET 2025" sheetId="18" r:id="rId7"/>
    <sheet name="AOUT 2025" sheetId="19" r:id="rId8"/>
    <sheet name="SEPTEMBRE 2025" sheetId="20" r:id="rId9"/>
    <sheet name="OCTOBRE 2025" sheetId="21" r:id="rId10"/>
  </sheets>
  <calcPr calcId="162913"/>
</workbook>
</file>

<file path=xl/calcChain.xml><?xml version="1.0" encoding="utf-8"?>
<calcChain xmlns="http://schemas.openxmlformats.org/spreadsheetml/2006/main">
  <c r="J40" i="21" l="1"/>
  <c r="I40" i="21"/>
  <c r="H40" i="21"/>
  <c r="G40" i="21"/>
  <c r="E40" i="21"/>
  <c r="D40" i="21"/>
  <c r="C40" i="21"/>
  <c r="B40" i="21"/>
  <c r="K39" i="21"/>
  <c r="L39" i="21" s="1"/>
  <c r="F39" i="21"/>
  <c r="K38" i="21"/>
  <c r="F38" i="21"/>
  <c r="L38" i="21" s="1"/>
  <c r="K37" i="21"/>
  <c r="F37" i="21"/>
  <c r="L37" i="21" s="1"/>
  <c r="K36" i="21"/>
  <c r="F36" i="21"/>
  <c r="K35" i="21"/>
  <c r="L35" i="21" s="1"/>
  <c r="F35" i="21"/>
  <c r="K34" i="21"/>
  <c r="F34" i="21"/>
  <c r="K33" i="21"/>
  <c r="F33" i="21"/>
  <c r="L33" i="21" s="1"/>
  <c r="L32" i="21"/>
  <c r="K32" i="21"/>
  <c r="F32" i="21"/>
  <c r="K31" i="21"/>
  <c r="F31" i="21"/>
  <c r="K30" i="21"/>
  <c r="F30" i="21"/>
  <c r="L30" i="21" s="1"/>
  <c r="K29" i="21"/>
  <c r="F29" i="21"/>
  <c r="L29" i="21" s="1"/>
  <c r="K28" i="21"/>
  <c r="F28" i="21"/>
  <c r="L28" i="21" s="1"/>
  <c r="K27" i="21"/>
  <c r="L27" i="21" s="1"/>
  <c r="F27" i="21"/>
  <c r="K26" i="21"/>
  <c r="F26" i="21"/>
  <c r="L26" i="21" s="1"/>
  <c r="K25" i="21"/>
  <c r="F25" i="21"/>
  <c r="L25" i="21" s="1"/>
  <c r="K24" i="21"/>
  <c r="F24" i="21"/>
  <c r="K23" i="21"/>
  <c r="F23" i="21"/>
  <c r="K22" i="21"/>
  <c r="F22" i="21"/>
  <c r="K21" i="21"/>
  <c r="F21" i="21"/>
  <c r="L21" i="21" s="1"/>
  <c r="K20" i="21"/>
  <c r="L20" i="21" s="1"/>
  <c r="F20" i="21"/>
  <c r="K19" i="21"/>
  <c r="F19" i="21"/>
  <c r="K18" i="21"/>
  <c r="F18" i="21"/>
  <c r="L18" i="21" s="1"/>
  <c r="K17" i="21"/>
  <c r="F17" i="21"/>
  <c r="K16" i="21"/>
  <c r="L16" i="21" s="1"/>
  <c r="F16" i="21"/>
  <c r="K15" i="21"/>
  <c r="F15" i="21"/>
  <c r="K14" i="21"/>
  <c r="F14" i="21"/>
  <c r="L14" i="21" s="1"/>
  <c r="K13" i="21"/>
  <c r="F13" i="21"/>
  <c r="L13" i="21" s="1"/>
  <c r="K12" i="21"/>
  <c r="F12" i="21"/>
  <c r="L12" i="21" s="1"/>
  <c r="K11" i="21"/>
  <c r="L11" i="21" s="1"/>
  <c r="F11" i="21"/>
  <c r="K10" i="21"/>
  <c r="F10" i="21"/>
  <c r="L10" i="21" s="1"/>
  <c r="K9" i="21"/>
  <c r="F9" i="21"/>
  <c r="L36" i="21" l="1"/>
  <c r="L24" i="21"/>
  <c r="L22" i="21"/>
  <c r="L9" i="21"/>
  <c r="K40" i="21"/>
  <c r="L17" i="21"/>
  <c r="L34" i="21"/>
  <c r="L15" i="21"/>
  <c r="L31" i="21"/>
  <c r="L19" i="21"/>
  <c r="L23" i="21"/>
  <c r="F40" i="21"/>
  <c r="J40" i="20"/>
  <c r="I40" i="20"/>
  <c r="H40" i="20"/>
  <c r="G40" i="20"/>
  <c r="E40" i="20"/>
  <c r="D40" i="20"/>
  <c r="C40" i="20"/>
  <c r="B40" i="20"/>
  <c r="K39" i="20"/>
  <c r="L39" i="20" s="1"/>
  <c r="F39" i="20"/>
  <c r="K38" i="20"/>
  <c r="F38" i="20"/>
  <c r="L38" i="20" s="1"/>
  <c r="K37" i="20"/>
  <c r="F37" i="20"/>
  <c r="K36" i="20"/>
  <c r="L36" i="20" s="1"/>
  <c r="F36" i="20"/>
  <c r="K35" i="20"/>
  <c r="L35" i="20" s="1"/>
  <c r="F35" i="20"/>
  <c r="K34" i="20"/>
  <c r="F34" i="20"/>
  <c r="L34" i="20" s="1"/>
  <c r="K33" i="20"/>
  <c r="F33" i="20"/>
  <c r="L33" i="20" s="1"/>
  <c r="L32" i="20"/>
  <c r="K32" i="20"/>
  <c r="F32" i="20"/>
  <c r="K31" i="20"/>
  <c r="L31" i="20" s="1"/>
  <c r="F31" i="20"/>
  <c r="K30" i="20"/>
  <c r="F30" i="20"/>
  <c r="L30" i="20" s="1"/>
  <c r="K29" i="20"/>
  <c r="F29" i="20"/>
  <c r="L29" i="20" s="1"/>
  <c r="L28" i="20"/>
  <c r="K28" i="20"/>
  <c r="F28" i="20"/>
  <c r="K27" i="20"/>
  <c r="L27" i="20" s="1"/>
  <c r="F27" i="20"/>
  <c r="K26" i="20"/>
  <c r="F26" i="20"/>
  <c r="L26" i="20" s="1"/>
  <c r="K25" i="20"/>
  <c r="F25" i="20"/>
  <c r="L25" i="20" s="1"/>
  <c r="L24" i="20"/>
  <c r="K24" i="20"/>
  <c r="F24" i="20"/>
  <c r="K23" i="20"/>
  <c r="L23" i="20" s="1"/>
  <c r="F23" i="20"/>
  <c r="K22" i="20"/>
  <c r="F22" i="20"/>
  <c r="L22" i="20" s="1"/>
  <c r="K21" i="20"/>
  <c r="F21" i="20"/>
  <c r="L21" i="20" s="1"/>
  <c r="L20" i="20"/>
  <c r="K20" i="20"/>
  <c r="F20" i="20"/>
  <c r="K19" i="20"/>
  <c r="L19" i="20" s="1"/>
  <c r="F19" i="20"/>
  <c r="K18" i="20"/>
  <c r="F18" i="20"/>
  <c r="L18" i="20" s="1"/>
  <c r="K17" i="20"/>
  <c r="F17" i="20"/>
  <c r="L17" i="20" s="1"/>
  <c r="L16" i="20"/>
  <c r="K16" i="20"/>
  <c r="F16" i="20"/>
  <c r="K15" i="20"/>
  <c r="F15" i="20"/>
  <c r="K14" i="20"/>
  <c r="F14" i="20"/>
  <c r="L14" i="20" s="1"/>
  <c r="K13" i="20"/>
  <c r="F13" i="20"/>
  <c r="L13" i="20" s="1"/>
  <c r="L12" i="20"/>
  <c r="K12" i="20"/>
  <c r="F12" i="20"/>
  <c r="K11" i="20"/>
  <c r="L11" i="20" s="1"/>
  <c r="F11" i="20"/>
  <c r="K10" i="20"/>
  <c r="F10" i="20"/>
  <c r="L10" i="20" s="1"/>
  <c r="K9" i="20"/>
  <c r="K40" i="20" s="1"/>
  <c r="F9" i="20"/>
  <c r="L9" i="20" s="1"/>
  <c r="L40" i="21" l="1"/>
  <c r="G46" i="21" s="1"/>
  <c r="G47" i="21" s="1"/>
  <c r="G49" i="21" s="1"/>
  <c r="L37" i="20"/>
  <c r="L15" i="20"/>
  <c r="L40" i="20"/>
  <c r="G46" i="20" s="1"/>
  <c r="G47" i="20" s="1"/>
  <c r="G49" i="20" s="1"/>
  <c r="F40" i="20"/>
  <c r="J40" i="19"/>
  <c r="I40" i="19"/>
  <c r="H40" i="19"/>
  <c r="G40" i="19"/>
  <c r="E40" i="19"/>
  <c r="D40" i="19"/>
  <c r="C40" i="19"/>
  <c r="B40" i="19"/>
  <c r="L39" i="19"/>
  <c r="K39" i="19"/>
  <c r="F39" i="19"/>
  <c r="K38" i="19"/>
  <c r="L38" i="19" s="1"/>
  <c r="F38" i="19"/>
  <c r="K37" i="19"/>
  <c r="F37" i="19"/>
  <c r="L37" i="19" s="1"/>
  <c r="K36" i="19"/>
  <c r="F36" i="19"/>
  <c r="L36" i="19" s="1"/>
  <c r="L35" i="19"/>
  <c r="K35" i="19"/>
  <c r="F35" i="19"/>
  <c r="K34" i="19"/>
  <c r="L34" i="19" s="1"/>
  <c r="F34" i="19"/>
  <c r="K33" i="19"/>
  <c r="F33" i="19"/>
  <c r="L33" i="19" s="1"/>
  <c r="K32" i="19"/>
  <c r="F32" i="19"/>
  <c r="L32" i="19" s="1"/>
  <c r="L31" i="19"/>
  <c r="K31" i="19"/>
  <c r="F31" i="19"/>
  <c r="K30" i="19"/>
  <c r="L30" i="19" s="1"/>
  <c r="F30" i="19"/>
  <c r="K29" i="19"/>
  <c r="F29" i="19"/>
  <c r="L29" i="19" s="1"/>
  <c r="K28" i="19"/>
  <c r="F28" i="19"/>
  <c r="L28" i="19" s="1"/>
  <c r="L27" i="19"/>
  <c r="K27" i="19"/>
  <c r="F27" i="19"/>
  <c r="K26" i="19"/>
  <c r="L26" i="19" s="1"/>
  <c r="F26" i="19"/>
  <c r="K25" i="19"/>
  <c r="F25" i="19"/>
  <c r="L25" i="19" s="1"/>
  <c r="K24" i="19"/>
  <c r="F24" i="19"/>
  <c r="L24" i="19" s="1"/>
  <c r="L23" i="19"/>
  <c r="K23" i="19"/>
  <c r="F23" i="19"/>
  <c r="K22" i="19"/>
  <c r="L22" i="19" s="1"/>
  <c r="F22" i="19"/>
  <c r="K21" i="19"/>
  <c r="F21" i="19"/>
  <c r="L21" i="19" s="1"/>
  <c r="K20" i="19"/>
  <c r="F20" i="19"/>
  <c r="L20" i="19" s="1"/>
  <c r="L19" i="19"/>
  <c r="K19" i="19"/>
  <c r="F19" i="19"/>
  <c r="K18" i="19"/>
  <c r="L18" i="19" s="1"/>
  <c r="F18" i="19"/>
  <c r="K17" i="19"/>
  <c r="F17" i="19"/>
  <c r="L17" i="19" s="1"/>
  <c r="K16" i="19"/>
  <c r="F16" i="19"/>
  <c r="L16" i="19" s="1"/>
  <c r="L15" i="19"/>
  <c r="K15" i="19"/>
  <c r="F15" i="19"/>
  <c r="K14" i="19"/>
  <c r="L14" i="19" s="1"/>
  <c r="F14" i="19"/>
  <c r="K13" i="19"/>
  <c r="F13" i="19"/>
  <c r="L13" i="19" s="1"/>
  <c r="K12" i="19"/>
  <c r="F12" i="19"/>
  <c r="L12" i="19" s="1"/>
  <c r="L11" i="19"/>
  <c r="K11" i="19"/>
  <c r="F11" i="19"/>
  <c r="K10" i="19"/>
  <c r="L10" i="19" s="1"/>
  <c r="F10" i="19"/>
  <c r="K9" i="19"/>
  <c r="K40" i="19" s="1"/>
  <c r="F9" i="19"/>
  <c r="L9" i="19" s="1"/>
  <c r="L40" i="19" l="1"/>
  <c r="G46" i="19" s="1"/>
  <c r="G47" i="19" s="1"/>
  <c r="G49" i="19" s="1"/>
  <c r="F40" i="19"/>
  <c r="J40" i="18"/>
  <c r="I40" i="18"/>
  <c r="H40" i="18"/>
  <c r="G40" i="18"/>
  <c r="E40" i="18"/>
  <c r="D40" i="18"/>
  <c r="C40" i="18"/>
  <c r="B40" i="18"/>
  <c r="K39" i="18"/>
  <c r="F39" i="18"/>
  <c r="L39" i="18" s="1"/>
  <c r="K38" i="18"/>
  <c r="F38" i="18"/>
  <c r="L38" i="18" s="1"/>
  <c r="K37" i="18"/>
  <c r="F37" i="18"/>
  <c r="L37" i="18" s="1"/>
  <c r="L36" i="18"/>
  <c r="K36" i="18"/>
  <c r="F36" i="18"/>
  <c r="K35" i="18"/>
  <c r="F35" i="18"/>
  <c r="L35" i="18" s="1"/>
  <c r="K34" i="18"/>
  <c r="F34" i="18"/>
  <c r="L34" i="18" s="1"/>
  <c r="K33" i="18"/>
  <c r="F33" i="18"/>
  <c r="L33" i="18" s="1"/>
  <c r="K32" i="18"/>
  <c r="L32" i="18" s="1"/>
  <c r="F32" i="18"/>
  <c r="K31" i="18"/>
  <c r="F31" i="18"/>
  <c r="L31" i="18" s="1"/>
  <c r="K30" i="18"/>
  <c r="F30" i="18"/>
  <c r="L30" i="18" s="1"/>
  <c r="K29" i="18"/>
  <c r="F29" i="18"/>
  <c r="L29" i="18" s="1"/>
  <c r="L28" i="18"/>
  <c r="K28" i="18"/>
  <c r="F28" i="18"/>
  <c r="K27" i="18"/>
  <c r="L27" i="18" s="1"/>
  <c r="F27" i="18"/>
  <c r="K26" i="18"/>
  <c r="F26" i="18"/>
  <c r="L26" i="18" s="1"/>
  <c r="K25" i="18"/>
  <c r="F25" i="18"/>
  <c r="L25" i="18" s="1"/>
  <c r="L24" i="18"/>
  <c r="K24" i="18"/>
  <c r="F24" i="18"/>
  <c r="K23" i="18"/>
  <c r="L23" i="18" s="1"/>
  <c r="F23" i="18"/>
  <c r="K22" i="18"/>
  <c r="F22" i="18"/>
  <c r="L22" i="18" s="1"/>
  <c r="K21" i="18"/>
  <c r="F21" i="18"/>
  <c r="L21" i="18" s="1"/>
  <c r="L20" i="18"/>
  <c r="K20" i="18"/>
  <c r="F20" i="18"/>
  <c r="K19" i="18"/>
  <c r="L19" i="18" s="1"/>
  <c r="F19" i="18"/>
  <c r="K18" i="18"/>
  <c r="F18" i="18"/>
  <c r="L18" i="18" s="1"/>
  <c r="K17" i="18"/>
  <c r="F17" i="18"/>
  <c r="L17" i="18" s="1"/>
  <c r="L16" i="18"/>
  <c r="K16" i="18"/>
  <c r="F16" i="18"/>
  <c r="K15" i="18"/>
  <c r="L15" i="18" s="1"/>
  <c r="F15" i="18"/>
  <c r="K14" i="18"/>
  <c r="F14" i="18"/>
  <c r="L14" i="18" s="1"/>
  <c r="K13" i="18"/>
  <c r="F13" i="18"/>
  <c r="L13" i="18" s="1"/>
  <c r="K12" i="18"/>
  <c r="L12" i="18" s="1"/>
  <c r="F12" i="18"/>
  <c r="K11" i="18"/>
  <c r="L11" i="18" s="1"/>
  <c r="F11" i="18"/>
  <c r="K10" i="18"/>
  <c r="F10" i="18"/>
  <c r="L10" i="18" s="1"/>
  <c r="K9" i="18"/>
  <c r="F9" i="18"/>
  <c r="L9" i="18" s="1"/>
  <c r="K40" i="18" l="1"/>
  <c r="L40" i="18"/>
  <c r="G46" i="18" s="1"/>
  <c r="G47" i="18" s="1"/>
  <c r="G49" i="18" s="1"/>
  <c r="F40" i="18"/>
  <c r="J40" i="17"/>
  <c r="I40" i="17"/>
  <c r="H40" i="17"/>
  <c r="G40" i="17"/>
  <c r="E40" i="17"/>
  <c r="D40" i="17"/>
  <c r="C40" i="17"/>
  <c r="B40" i="17"/>
  <c r="K39" i="17"/>
  <c r="F39" i="17"/>
  <c r="L39" i="17" s="1"/>
  <c r="L38" i="17"/>
  <c r="K38" i="17"/>
  <c r="F38" i="17"/>
  <c r="K37" i="17"/>
  <c r="L37" i="17" s="1"/>
  <c r="F37" i="17"/>
  <c r="K36" i="17"/>
  <c r="F36" i="17"/>
  <c r="L36" i="17" s="1"/>
  <c r="K35" i="17"/>
  <c r="F35" i="17"/>
  <c r="L35" i="17" s="1"/>
  <c r="K34" i="17"/>
  <c r="L34" i="17" s="1"/>
  <c r="F34" i="17"/>
  <c r="K33" i="17"/>
  <c r="L33" i="17" s="1"/>
  <c r="F33" i="17"/>
  <c r="K32" i="17"/>
  <c r="F32" i="17"/>
  <c r="K31" i="17"/>
  <c r="F31" i="17"/>
  <c r="L31" i="17" s="1"/>
  <c r="L30" i="17"/>
  <c r="K30" i="17"/>
  <c r="F30" i="17"/>
  <c r="K29" i="17"/>
  <c r="L29" i="17" s="1"/>
  <c r="F29" i="17"/>
  <c r="K28" i="17"/>
  <c r="F28" i="17"/>
  <c r="L28" i="17" s="1"/>
  <c r="K27" i="17"/>
  <c r="F27" i="17"/>
  <c r="K26" i="17"/>
  <c r="L26" i="17" s="1"/>
  <c r="F26" i="17"/>
  <c r="K25" i="17"/>
  <c r="L25" i="17" s="1"/>
  <c r="F25" i="17"/>
  <c r="K24" i="17"/>
  <c r="F24" i="17"/>
  <c r="L24" i="17" s="1"/>
  <c r="K23" i="17"/>
  <c r="F23" i="17"/>
  <c r="K22" i="17"/>
  <c r="L22" i="17" s="1"/>
  <c r="F22" i="17"/>
  <c r="K21" i="17"/>
  <c r="L21" i="17" s="1"/>
  <c r="F21" i="17"/>
  <c r="K20" i="17"/>
  <c r="F20" i="17"/>
  <c r="L20" i="17" s="1"/>
  <c r="K19" i="17"/>
  <c r="F19" i="17"/>
  <c r="L19" i="17" s="1"/>
  <c r="L18" i="17"/>
  <c r="K18" i="17"/>
  <c r="F18" i="17"/>
  <c r="K17" i="17"/>
  <c r="L17" i="17" s="1"/>
  <c r="F17" i="17"/>
  <c r="K16" i="17"/>
  <c r="F16" i="17"/>
  <c r="L16" i="17" s="1"/>
  <c r="K15" i="17"/>
  <c r="F15" i="17"/>
  <c r="L15" i="17" s="1"/>
  <c r="L14" i="17"/>
  <c r="K14" i="17"/>
  <c r="F14" i="17"/>
  <c r="K13" i="17"/>
  <c r="L13" i="17" s="1"/>
  <c r="F13" i="17"/>
  <c r="K12" i="17"/>
  <c r="F12" i="17"/>
  <c r="L12" i="17" s="1"/>
  <c r="K11" i="17"/>
  <c r="F11" i="17"/>
  <c r="F40" i="17" s="1"/>
  <c r="L10" i="17"/>
  <c r="K10" i="17"/>
  <c r="F10" i="17"/>
  <c r="K9" i="17"/>
  <c r="F9" i="17"/>
  <c r="L23" i="17" l="1"/>
  <c r="L32" i="17"/>
  <c r="K40" i="17"/>
  <c r="L27" i="17"/>
  <c r="L11" i="17"/>
  <c r="L9" i="17"/>
  <c r="J40" i="16"/>
  <c r="I40" i="16"/>
  <c r="H40" i="16"/>
  <c r="G40" i="16"/>
  <c r="E40" i="16"/>
  <c r="D40" i="16"/>
  <c r="C40" i="16"/>
  <c r="B40" i="16"/>
  <c r="K39" i="16"/>
  <c r="F39" i="16"/>
  <c r="L39" i="16" s="1"/>
  <c r="K38" i="16"/>
  <c r="F38" i="16"/>
  <c r="L38" i="16" s="1"/>
  <c r="L37" i="16"/>
  <c r="K37" i="16"/>
  <c r="F37" i="16"/>
  <c r="K36" i="16"/>
  <c r="L36" i="16" s="1"/>
  <c r="F36" i="16"/>
  <c r="K35" i="16"/>
  <c r="F35" i="16"/>
  <c r="K34" i="16"/>
  <c r="F34" i="16"/>
  <c r="L34" i="16" s="1"/>
  <c r="L33" i="16"/>
  <c r="K33" i="16"/>
  <c r="F33" i="16"/>
  <c r="K32" i="16"/>
  <c r="L32" i="16" s="1"/>
  <c r="F32" i="16"/>
  <c r="K31" i="16"/>
  <c r="F31" i="16"/>
  <c r="L31" i="16" s="1"/>
  <c r="K30" i="16"/>
  <c r="F30" i="16"/>
  <c r="L30" i="16" s="1"/>
  <c r="L29" i="16"/>
  <c r="K29" i="16"/>
  <c r="F29" i="16"/>
  <c r="K28" i="16"/>
  <c r="L28" i="16" s="1"/>
  <c r="F28" i="16"/>
  <c r="K27" i="16"/>
  <c r="F27" i="16"/>
  <c r="L27" i="16" s="1"/>
  <c r="K26" i="16"/>
  <c r="F26" i="16"/>
  <c r="L26" i="16" s="1"/>
  <c r="L25" i="16"/>
  <c r="K25" i="16"/>
  <c r="F25" i="16"/>
  <c r="K24" i="16"/>
  <c r="L24" i="16" s="1"/>
  <c r="F24" i="16"/>
  <c r="K23" i="16"/>
  <c r="F23" i="16"/>
  <c r="L23" i="16" s="1"/>
  <c r="K22" i="16"/>
  <c r="F22" i="16"/>
  <c r="L21" i="16"/>
  <c r="K21" i="16"/>
  <c r="F21" i="16"/>
  <c r="K20" i="16"/>
  <c r="L20" i="16" s="1"/>
  <c r="F20" i="16"/>
  <c r="K19" i="16"/>
  <c r="F19" i="16"/>
  <c r="L19" i="16" s="1"/>
  <c r="K18" i="16"/>
  <c r="F18" i="16"/>
  <c r="L18" i="16" s="1"/>
  <c r="L17" i="16"/>
  <c r="K17" i="16"/>
  <c r="F17" i="16"/>
  <c r="K16" i="16"/>
  <c r="L16" i="16" s="1"/>
  <c r="F16" i="16"/>
  <c r="K15" i="16"/>
  <c r="F15" i="16"/>
  <c r="L15" i="16" s="1"/>
  <c r="K14" i="16"/>
  <c r="F14" i="16"/>
  <c r="L14" i="16" s="1"/>
  <c r="L13" i="16"/>
  <c r="K13" i="16"/>
  <c r="F13" i="16"/>
  <c r="K12" i="16"/>
  <c r="L12" i="16" s="1"/>
  <c r="F12" i="16"/>
  <c r="K11" i="16"/>
  <c r="F11" i="16"/>
  <c r="L11" i="16" s="1"/>
  <c r="K10" i="16"/>
  <c r="F10" i="16"/>
  <c r="L10" i="16" s="1"/>
  <c r="L9" i="16"/>
  <c r="K9" i="16"/>
  <c r="F9" i="16"/>
  <c r="L40" i="17" l="1"/>
  <c r="G46" i="17" s="1"/>
  <c r="G47" i="17" s="1"/>
  <c r="G49" i="17" s="1"/>
  <c r="F40" i="16"/>
  <c r="L35" i="16"/>
  <c r="L22" i="16"/>
  <c r="L40" i="16"/>
  <c r="G46" i="16" s="1"/>
  <c r="G47" i="16" s="1"/>
  <c r="G49" i="16" s="1"/>
  <c r="K40" i="16"/>
  <c r="J40" i="15"/>
  <c r="I40" i="15"/>
  <c r="H40" i="15"/>
  <c r="G40" i="15"/>
  <c r="E40" i="15"/>
  <c r="D40" i="15"/>
  <c r="C40" i="15"/>
  <c r="B40" i="15"/>
  <c r="K39" i="15"/>
  <c r="L39" i="15" s="1"/>
  <c r="F39" i="15"/>
  <c r="K38" i="15"/>
  <c r="F38" i="15"/>
  <c r="L38" i="15" s="1"/>
  <c r="K37" i="15"/>
  <c r="F37" i="15"/>
  <c r="L37" i="15" s="1"/>
  <c r="L36" i="15"/>
  <c r="K36" i="15"/>
  <c r="F36" i="15"/>
  <c r="K35" i="15"/>
  <c r="L35" i="15" s="1"/>
  <c r="F35" i="15"/>
  <c r="K34" i="15"/>
  <c r="F34" i="15"/>
  <c r="L34" i="15" s="1"/>
  <c r="K33" i="15"/>
  <c r="F33" i="15"/>
  <c r="L33" i="15" s="1"/>
  <c r="L32" i="15"/>
  <c r="K32" i="15"/>
  <c r="F32" i="15"/>
  <c r="K31" i="15"/>
  <c r="L31" i="15" s="1"/>
  <c r="F31" i="15"/>
  <c r="K30" i="15"/>
  <c r="F30" i="15"/>
  <c r="L30" i="15" s="1"/>
  <c r="K29" i="15"/>
  <c r="F29" i="15"/>
  <c r="L29" i="15" s="1"/>
  <c r="L28" i="15"/>
  <c r="K28" i="15"/>
  <c r="F28" i="15"/>
  <c r="K27" i="15"/>
  <c r="L27" i="15" s="1"/>
  <c r="F27" i="15"/>
  <c r="K26" i="15"/>
  <c r="F26" i="15"/>
  <c r="L26" i="15" s="1"/>
  <c r="K25" i="15"/>
  <c r="F25" i="15"/>
  <c r="L25" i="15" s="1"/>
  <c r="L24" i="15"/>
  <c r="K24" i="15"/>
  <c r="F24" i="15"/>
  <c r="K23" i="15"/>
  <c r="L23" i="15" s="1"/>
  <c r="F23" i="15"/>
  <c r="K22" i="15"/>
  <c r="F22" i="15"/>
  <c r="L22" i="15" s="1"/>
  <c r="K21" i="15"/>
  <c r="F21" i="15"/>
  <c r="L21" i="15" s="1"/>
  <c r="L20" i="15"/>
  <c r="K20" i="15"/>
  <c r="F20" i="15"/>
  <c r="K19" i="15"/>
  <c r="L19" i="15" s="1"/>
  <c r="F19" i="15"/>
  <c r="K18" i="15"/>
  <c r="F18" i="15"/>
  <c r="L18" i="15" s="1"/>
  <c r="K17" i="15"/>
  <c r="F17" i="15"/>
  <c r="L17" i="15" s="1"/>
  <c r="L16" i="15"/>
  <c r="K16" i="15"/>
  <c r="F16" i="15"/>
  <c r="K15" i="15"/>
  <c r="L15" i="15" s="1"/>
  <c r="F15" i="15"/>
  <c r="K14" i="15"/>
  <c r="F14" i="15"/>
  <c r="L14" i="15" s="1"/>
  <c r="K13" i="15"/>
  <c r="F13" i="15"/>
  <c r="L13" i="15" s="1"/>
  <c r="L12" i="15"/>
  <c r="K12" i="15"/>
  <c r="F12" i="15"/>
  <c r="K11" i="15"/>
  <c r="L11" i="15" s="1"/>
  <c r="F11" i="15"/>
  <c r="K10" i="15"/>
  <c r="F10" i="15"/>
  <c r="L10" i="15" s="1"/>
  <c r="K9" i="15"/>
  <c r="K40" i="15" s="1"/>
  <c r="F9" i="15"/>
  <c r="L9" i="15" s="1"/>
  <c r="L40" i="15" l="1"/>
  <c r="G46" i="15" s="1"/>
  <c r="G47" i="15" s="1"/>
  <c r="G49" i="15" s="1"/>
  <c r="F40" i="15"/>
  <c r="J40" i="14"/>
  <c r="I40" i="14"/>
  <c r="H40" i="14"/>
  <c r="G40" i="14"/>
  <c r="E40" i="14"/>
  <c r="D40" i="14"/>
  <c r="C40" i="14"/>
  <c r="B40" i="14"/>
  <c r="K39" i="14"/>
  <c r="F39" i="14"/>
  <c r="L39" i="14" s="1"/>
  <c r="K38" i="14"/>
  <c r="F38" i="14"/>
  <c r="L38" i="14" s="1"/>
  <c r="K37" i="14"/>
  <c r="F37" i="14"/>
  <c r="L37" i="14" s="1"/>
  <c r="L36" i="14"/>
  <c r="K36" i="14"/>
  <c r="F36" i="14"/>
  <c r="K35" i="14"/>
  <c r="F35" i="14"/>
  <c r="L35" i="14" s="1"/>
  <c r="K34" i="14"/>
  <c r="F34" i="14"/>
  <c r="L34" i="14" s="1"/>
  <c r="K33" i="14"/>
  <c r="F33" i="14"/>
  <c r="L33" i="14" s="1"/>
  <c r="L32" i="14"/>
  <c r="K32" i="14"/>
  <c r="F32" i="14"/>
  <c r="K31" i="14"/>
  <c r="F31" i="14"/>
  <c r="L31" i="14" s="1"/>
  <c r="K30" i="14"/>
  <c r="F30" i="14"/>
  <c r="L30" i="14" s="1"/>
  <c r="K29" i="14"/>
  <c r="F29" i="14"/>
  <c r="L29" i="14" s="1"/>
  <c r="L28" i="14"/>
  <c r="K28" i="14"/>
  <c r="F28" i="14"/>
  <c r="K27" i="14"/>
  <c r="F27" i="14"/>
  <c r="L27" i="14" s="1"/>
  <c r="K26" i="14"/>
  <c r="F26" i="14"/>
  <c r="L26" i="14" s="1"/>
  <c r="K25" i="14"/>
  <c r="F25" i="14"/>
  <c r="L25" i="14" s="1"/>
  <c r="L24" i="14"/>
  <c r="K24" i="14"/>
  <c r="F24" i="14"/>
  <c r="K23" i="14"/>
  <c r="F23" i="14"/>
  <c r="L23" i="14" s="1"/>
  <c r="K22" i="14"/>
  <c r="F22" i="14"/>
  <c r="L22" i="14" s="1"/>
  <c r="K21" i="14"/>
  <c r="F21" i="14"/>
  <c r="L21" i="14" s="1"/>
  <c r="L20" i="14"/>
  <c r="K20" i="14"/>
  <c r="F20" i="14"/>
  <c r="K19" i="14"/>
  <c r="F19" i="14"/>
  <c r="L19" i="14" s="1"/>
  <c r="K18" i="14"/>
  <c r="F18" i="14"/>
  <c r="L18" i="14" s="1"/>
  <c r="K17" i="14"/>
  <c r="F17" i="14"/>
  <c r="L17" i="14" s="1"/>
  <c r="L16" i="14"/>
  <c r="K16" i="14"/>
  <c r="F16" i="14"/>
  <c r="K15" i="14"/>
  <c r="F15" i="14"/>
  <c r="L15" i="14" s="1"/>
  <c r="K14" i="14"/>
  <c r="F14" i="14"/>
  <c r="L14" i="14" s="1"/>
  <c r="K13" i="14"/>
  <c r="F13" i="14"/>
  <c r="L13" i="14" s="1"/>
  <c r="L12" i="14"/>
  <c r="K12" i="14"/>
  <c r="F12" i="14"/>
  <c r="K11" i="14"/>
  <c r="L11" i="14" s="1"/>
  <c r="F11" i="14"/>
  <c r="K10" i="14"/>
  <c r="F10" i="14"/>
  <c r="L10" i="14" s="1"/>
  <c r="K9" i="14"/>
  <c r="K40" i="14" s="1"/>
  <c r="F9" i="14"/>
  <c r="L9" i="14" s="1"/>
  <c r="L40" i="14" l="1"/>
  <c r="G46" i="14" s="1"/>
  <c r="G47" i="14" s="1"/>
  <c r="G49" i="14" s="1"/>
  <c r="F40" i="14"/>
  <c r="J40" i="13"/>
  <c r="I40" i="13"/>
  <c r="H40" i="13"/>
  <c r="G40" i="13"/>
  <c r="E40" i="13"/>
  <c r="D40" i="13"/>
  <c r="C40" i="13"/>
  <c r="B40" i="13"/>
  <c r="K39" i="13"/>
  <c r="L39" i="13" s="1"/>
  <c r="F39" i="13"/>
  <c r="K38" i="13"/>
  <c r="F38" i="13"/>
  <c r="L38" i="13" s="1"/>
  <c r="K37" i="13"/>
  <c r="F37" i="13"/>
  <c r="L37" i="13" s="1"/>
  <c r="L36" i="13"/>
  <c r="K36" i="13"/>
  <c r="F36" i="13"/>
  <c r="K35" i="13"/>
  <c r="L35" i="13" s="1"/>
  <c r="F35" i="13"/>
  <c r="K34" i="13"/>
  <c r="F34" i="13"/>
  <c r="L34" i="13" s="1"/>
  <c r="K33" i="13"/>
  <c r="F33" i="13"/>
  <c r="L33" i="13" s="1"/>
  <c r="L32" i="13"/>
  <c r="K32" i="13"/>
  <c r="F32" i="13"/>
  <c r="K31" i="13"/>
  <c r="F31" i="13"/>
  <c r="K30" i="13"/>
  <c r="F30" i="13"/>
  <c r="K29" i="13"/>
  <c r="F29" i="13"/>
  <c r="L29" i="13" s="1"/>
  <c r="K28" i="13"/>
  <c r="F28" i="13"/>
  <c r="K27" i="13"/>
  <c r="L27" i="13" s="1"/>
  <c r="F27" i="13"/>
  <c r="K26" i="13"/>
  <c r="F26" i="13"/>
  <c r="K25" i="13"/>
  <c r="F25" i="13"/>
  <c r="L25" i="13" s="1"/>
  <c r="K24" i="13"/>
  <c r="F24" i="13"/>
  <c r="K23" i="13"/>
  <c r="F23" i="13"/>
  <c r="K22" i="13"/>
  <c r="F22" i="13"/>
  <c r="K21" i="13"/>
  <c r="F21" i="13"/>
  <c r="L21" i="13" s="1"/>
  <c r="L20" i="13"/>
  <c r="K20" i="13"/>
  <c r="F20" i="13"/>
  <c r="K19" i="13"/>
  <c r="F19" i="13"/>
  <c r="K18" i="13"/>
  <c r="F18" i="13"/>
  <c r="L18" i="13" s="1"/>
  <c r="K17" i="13"/>
  <c r="F17" i="13"/>
  <c r="K16" i="13"/>
  <c r="L16" i="13" s="1"/>
  <c r="F16" i="13"/>
  <c r="K15" i="13"/>
  <c r="F15" i="13"/>
  <c r="K14" i="13"/>
  <c r="F14" i="13"/>
  <c r="L14" i="13" s="1"/>
  <c r="K13" i="13"/>
  <c r="F13" i="13"/>
  <c r="K12" i="13"/>
  <c r="F12" i="13"/>
  <c r="L12" i="13" s="1"/>
  <c r="K11" i="13"/>
  <c r="L11" i="13" s="1"/>
  <c r="F11" i="13"/>
  <c r="K10" i="13"/>
  <c r="F10" i="13"/>
  <c r="L10" i="13" s="1"/>
  <c r="K9" i="13"/>
  <c r="F9" i="13"/>
  <c r="L9" i="13" l="1"/>
  <c r="L13" i="13"/>
  <c r="L22" i="13"/>
  <c r="L24" i="13"/>
  <c r="L26" i="13"/>
  <c r="L28" i="13"/>
  <c r="L30" i="13"/>
  <c r="K40" i="13"/>
  <c r="L17" i="13"/>
  <c r="L31" i="13"/>
  <c r="L19" i="13"/>
  <c r="L15" i="13"/>
  <c r="L40" i="13" s="1"/>
  <c r="G46" i="13" s="1"/>
  <c r="G47" i="13" s="1"/>
  <c r="G49" i="13" s="1"/>
  <c r="L23" i="13"/>
  <c r="F40" i="13"/>
  <c r="J40" i="12"/>
  <c r="I40" i="12"/>
  <c r="H40" i="12"/>
  <c r="G40" i="12"/>
  <c r="E40" i="12"/>
  <c r="D40" i="12"/>
  <c r="C40" i="12"/>
  <c r="B40" i="12"/>
  <c r="K39" i="12"/>
  <c r="F39" i="12"/>
  <c r="K38" i="12"/>
  <c r="F38" i="12"/>
  <c r="K37" i="12"/>
  <c r="F37" i="12"/>
  <c r="K36" i="12"/>
  <c r="F36" i="12"/>
  <c r="K35" i="12"/>
  <c r="F35" i="12"/>
  <c r="K34" i="12"/>
  <c r="F34" i="12"/>
  <c r="K33" i="12"/>
  <c r="F33" i="12"/>
  <c r="K32" i="12"/>
  <c r="F32" i="12"/>
  <c r="K31" i="12"/>
  <c r="F31" i="12"/>
  <c r="K30" i="12"/>
  <c r="F30" i="12"/>
  <c r="K29" i="12"/>
  <c r="F29" i="12"/>
  <c r="K28" i="12"/>
  <c r="F28" i="12"/>
  <c r="K27" i="12"/>
  <c r="F27" i="12"/>
  <c r="K26" i="12"/>
  <c r="F26" i="12"/>
  <c r="K25" i="12"/>
  <c r="F25" i="12"/>
  <c r="K24" i="12"/>
  <c r="F24" i="12"/>
  <c r="K23" i="12"/>
  <c r="F23" i="12"/>
  <c r="K22" i="12"/>
  <c r="F22" i="12"/>
  <c r="K21" i="12"/>
  <c r="F21" i="12"/>
  <c r="K20" i="12"/>
  <c r="F20" i="12"/>
  <c r="K19" i="12"/>
  <c r="F19" i="12"/>
  <c r="K18" i="12"/>
  <c r="F18" i="12"/>
  <c r="K17" i="12"/>
  <c r="F17" i="12"/>
  <c r="K16" i="12"/>
  <c r="F16" i="12"/>
  <c r="K15" i="12"/>
  <c r="F15" i="12"/>
  <c r="K14" i="12"/>
  <c r="F14" i="12"/>
  <c r="K13" i="12"/>
  <c r="F13" i="12"/>
  <c r="K12" i="12"/>
  <c r="F12" i="12"/>
  <c r="K11" i="12"/>
  <c r="F11" i="12"/>
  <c r="K10" i="12"/>
  <c r="F10" i="12"/>
  <c r="K9" i="12"/>
  <c r="F9" i="12"/>
  <c r="F40" i="12" l="1"/>
  <c r="K40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9" i="12"/>
  <c r="L40" i="12" l="1"/>
  <c r="G46" i="12" s="1"/>
  <c r="G47" i="12" s="1"/>
  <c r="G49" i="12" s="1"/>
</calcChain>
</file>

<file path=xl/sharedStrings.xml><?xml version="1.0" encoding="utf-8"?>
<sst xmlns="http://schemas.openxmlformats.org/spreadsheetml/2006/main" count="340" uniqueCount="39">
  <si>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</si>
  <si>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</si>
  <si>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</si>
  <si>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</si>
  <si>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</si>
  <si>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</si>
  <si>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 xml:space="preserve"> 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</si>
  <si>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</si>
  <si>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</si>
  <si>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</si>
  <si>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</si>
  <si>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</si>
  <si>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</si>
  <si>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</si>
  <si>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</si>
  <si>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</si>
  <si>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</si>
  <si>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</si>
  <si>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</si>
  <si>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</si>
  <si>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</si>
  <si>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</si>
  <si>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</si>
  <si>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</si>
  <si>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</si>
  <si>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</si>
  <si>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</si>
  <si>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</si>
  <si>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t>Antenne Tlathet Douairs</t>
  </si>
  <si>
    <t>Mois de JANVIER 2025</t>
  </si>
  <si>
    <t>Mois de FEVRIER 2025</t>
  </si>
  <si>
    <t>Mois de MARS 2025</t>
  </si>
  <si>
    <t>Mois de AVRIL 2025</t>
  </si>
  <si>
    <t>Mois de MAI 2025</t>
  </si>
  <si>
    <t>Mois de JUIN 2025</t>
  </si>
  <si>
    <t>Mois de JUILLET 2025</t>
  </si>
  <si>
    <t>Mois de AOUT 2025</t>
  </si>
  <si>
    <t>Mois de SEPTEMBRE 2025</t>
  </si>
  <si>
    <t>Mois de OCTOBRE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</si>
</sst>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€&quot;_-;\-* #,##0.00\ &quot;€&quot;_-;_-* &quot;-&quot;??\ &quot;€&quot;_-;_-@_-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sz val="10"/>
      <color rgb="FF92D050"/>
      <name val="Arial"/>
      <family val="2"/>
    </font>
    <font>
      <sz val="10"/>
      <color rgb="FFFF0000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7" fillId="0" borderId="0"/>
    <xf numFmtId="0" fontId="1" fillId="0" borderId="0"/>
  </cellStyleXfs>
  <cellXfs count="101">
    <xf numFmtId="0" fontId="0" fillId="0" borderId="0" xfId="0"/>
    <xf numFmtId="0" fontId="10" fillId="0" borderId="0" xfId="3" applyFont="1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10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0" fontId="7" fillId="2" borderId="8" xfId="3" applyFill="1" applyBorder="1" applyAlignment="1">
      <alignment horizontal="center" vertical="center" wrapText="1"/>
    </xf>
    <xf numFmtId="1" fontId="10" fillId="2" borderId="11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14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0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1" fontId="7" fillId="2" borderId="20" xfId="3" applyNumberFormat="1" applyFont="1" applyFill="1" applyBorder="1" applyAlignment="1">
      <alignment horizontal="center" vertical="center" wrapText="1"/>
    </xf>
    <xf numFmtId="1" fontId="7" fillId="2" borderId="25" xfId="3" applyNumberFormat="1" applyFill="1" applyBorder="1" applyAlignment="1">
      <alignment horizontal="center" vertical="center" wrapText="1"/>
    </xf>
    <xf numFmtId="0" fontId="7" fillId="2" borderId="11" xfId="3" applyFont="1" applyFill="1" applyBorder="1" applyAlignment="1">
      <alignment horizontal="center" vertical="center" wrapText="1"/>
    </xf>
    <xf numFmtId="0" fontId="7" fillId="2" borderId="9" xfId="3" applyFill="1" applyBorder="1" applyAlignment="1" applyProtection="1">
      <alignment horizontal="center" vertical="center" wrapText="1"/>
      <protection locked="0"/>
    </xf>
    <xf numFmtId="0" fontId="7" fillId="2" borderId="10" xfId="3" applyFill="1" applyBorder="1" applyAlignment="1" applyProtection="1">
      <alignment vertical="center" wrapText="1"/>
      <protection locked="0"/>
    </xf>
    <xf numFmtId="0" fontId="7" fillId="2" borderId="22" xfId="3" applyFill="1" applyBorder="1" applyAlignment="1" applyProtection="1">
      <alignment vertical="center" wrapText="1"/>
      <protection locked="0"/>
    </xf>
    <xf numFmtId="0" fontId="7" fillId="2" borderId="6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7" fillId="2" borderId="15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 applyProtection="1">
      <alignment vertical="center" wrapText="1"/>
      <protection locked="0"/>
    </xf>
    <xf numFmtId="0" fontId="7" fillId="2" borderId="23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1" fontId="7" fillId="2" borderId="13" xfId="3" applyNumberFormat="1" applyFill="1" applyBorder="1" applyAlignment="1" applyProtection="1">
      <alignment horizontal="center" vertical="center" wrapText="1"/>
      <protection locked="0"/>
    </xf>
    <xf numFmtId="1" fontId="7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13" xfId="3" applyNumberFormat="1" applyFill="1" applyBorder="1" applyAlignment="1" applyProtection="1">
      <alignment horizontal="center" vertical="center" wrapText="1"/>
      <protection locked="0"/>
    </xf>
    <xf numFmtId="0" fontId="9" fillId="2" borderId="7" xfId="3" applyFont="1" applyFill="1" applyBorder="1" applyAlignment="1" applyProtection="1">
      <alignment vertical="center" wrapText="1"/>
      <protection locked="0"/>
    </xf>
    <xf numFmtId="1" fontId="10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15" fontId="7" fillId="2" borderId="0" xfId="3" applyNumberFormat="1" applyFill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0" fontId="11" fillId="2" borderId="6" xfId="3" applyFont="1" applyFill="1" applyBorder="1" applyAlignment="1" applyProtection="1">
      <alignment horizontal="center" vertical="center" wrapText="1"/>
      <protection locked="0"/>
    </xf>
    <xf numFmtId="1" fontId="7" fillId="0" borderId="13" xfId="3" applyNumberFormat="1" applyFill="1" applyBorder="1" applyAlignment="1" applyProtection="1">
      <alignment horizontal="center" vertical="center" wrapText="1"/>
      <protection locked="0"/>
    </xf>
    <xf numFmtId="1" fontId="7" fillId="0" borderId="24" xfId="3" applyNumberFormat="1" applyFill="1" applyBorder="1" applyAlignment="1" applyProtection="1">
      <alignment horizontal="center" vertical="center" wrapText="1"/>
      <protection locked="0"/>
    </xf>
    <xf numFmtId="0" fontId="12" fillId="2" borderId="7" xfId="3" applyFont="1" applyFill="1" applyBorder="1" applyAlignment="1" applyProtection="1">
      <alignment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1" fillId="2" borderId="6" xfId="3" applyFont="1" applyFill="1" applyBorder="1" applyAlignment="1" applyProtection="1">
      <alignment horizontal="center"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left" vertical="center" wrapText="1"/>
    </xf>
    <xf numFmtId="0" fontId="7" fillId="2" borderId="18" xfId="3" applyFill="1" applyBorder="1" applyAlignment="1">
      <alignment horizontal="left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8" xfId="3" applyFill="1" applyBorder="1" applyAlignment="1">
      <alignment horizontal="center" vertical="center" wrapText="1"/>
    </xf>
    <xf numFmtId="1" fontId="7" fillId="2" borderId="15" xfId="3" applyNumberFormat="1" applyFill="1" applyBorder="1" applyAlignment="1">
      <alignment horizontal="center" vertical="center" wrapText="1"/>
    </xf>
    <xf numFmtId="0" fontId="7" fillId="2" borderId="27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0" fontId="7" fillId="2" borderId="29" xfId="3" applyFill="1" applyBorder="1" applyAlignment="1">
      <alignment horizontal="left" vertical="center" wrapText="1"/>
    </xf>
    <xf numFmtId="0" fontId="7" fillId="2" borderId="30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 applyProtection="1">
      <alignment horizontal="center" vertical="center" wrapText="1"/>
      <protection locked="0"/>
    </xf>
    <xf numFmtId="0" fontId="7" fillId="2" borderId="30" xfId="3" applyFill="1" applyBorder="1" applyAlignment="1">
      <alignment horizontal="center" vertical="center" wrapText="1"/>
    </xf>
    <xf numFmtId="0" fontId="7" fillId="2" borderId="31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39" xfId="3" applyFill="1" applyBorder="1" applyAlignment="1">
      <alignment horizontal="center" vertical="center" wrapText="1"/>
    </xf>
    <xf numFmtId="0" fontId="7" fillId="2" borderId="40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9" xfId="3" applyFont="1" applyFill="1" applyBorder="1" applyAlignment="1">
      <alignment horizontal="center" vertical="center" wrapText="1"/>
    </xf>
    <xf numFmtId="0" fontId="7" fillId="2" borderId="32" xfId="3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5" fontId="7" fillId="2" borderId="41" xfId="3" applyNumberFormat="1" applyFill="1" applyBorder="1" applyAlignment="1">
      <alignment horizontal="center" vertical="center" wrapText="1"/>
    </xf>
    <xf numFmtId="0" fontId="6" fillId="0" borderId="33" xfId="3" applyFont="1" applyBorder="1" applyAlignment="1">
      <alignment horizontal="center" vertical="center" wrapText="1"/>
    </xf>
    <xf numFmtId="0" fontId="6" fillId="0" borderId="34" xfId="3" applyFont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6" fillId="2" borderId="37" xfId="3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horizontal="center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0" fontId="5" fillId="0" borderId="0" xfId="3" applyFont="1" applyAlignment="1">
      <alignment horizontal="center" vertical="center"/>
    </xf>
  </cellXfs>
  <cellStyles count="5">
    <cellStyle name="Euro" xfId="2"/>
    <cellStyle name="Normal" xfId="0" builtinId="0"/>
    <cellStyle name="Normal 2" xfId="3"/>
    <cellStyle name="Normal 2 2" xfId="4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G45" sqref="G45:H4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89" t="s">
        <v>0</v>
      </c>
      <c r="B1" s="89"/>
      <c r="C1" s="89"/>
      <c r="D1" s="89"/>
      <c r="E1" s="35"/>
      <c r="F1" s="36"/>
      <c r="G1" s="90" t="s">
        <v>1</v>
      </c>
      <c r="H1" s="90"/>
      <c r="I1" s="90"/>
      <c r="J1" s="90"/>
      <c r="K1" s="90"/>
      <c r="L1" s="90"/>
    </row>
    <row r="2" spans="1:12" ht="15.75" x14ac:dyDescent="0.25">
      <c r="A2" s="90" t="s">
        <v>2</v>
      </c>
      <c r="B2" s="90"/>
      <c r="C2" s="90"/>
      <c r="D2" s="90"/>
      <c r="E2" s="35"/>
      <c r="F2" s="36"/>
      <c r="G2" s="100" t="s">
        <v>3</v>
      </c>
      <c r="H2" s="100"/>
      <c r="I2" s="100"/>
      <c r="J2" s="100"/>
      <c r="K2" s="100"/>
      <c r="L2" s="100"/>
    </row>
    <row r="3" spans="1:12" x14ac:dyDescent="0.25">
      <c r="A3" s="100" t="s">
        <v>4</v>
      </c>
      <c r="B3" s="100"/>
      <c r="C3" s="100"/>
      <c r="D3" s="100"/>
      <c r="E3" s="35"/>
      <c r="F3" s="36"/>
      <c r="G3" s="100" t="s">
        <v>28</v>
      </c>
      <c r="H3" s="100"/>
      <c r="I3" s="100"/>
      <c r="J3" s="100"/>
      <c r="K3" s="100"/>
      <c r="L3" s="100"/>
    </row>
    <row r="4" spans="1:12" ht="18" x14ac:dyDescent="0.25">
      <c r="A4" s="89" t="s">
        <v>5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</row>
    <row r="5" spans="1:12" ht="15.75" x14ac:dyDescent="0.25">
      <c r="A5" s="90" t="s">
        <v>29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1"/>
      <c r="I6" s="91"/>
      <c r="J6" s="12"/>
      <c r="K6" s="37"/>
      <c r="L6" s="3"/>
    </row>
    <row r="7" spans="1:12" x14ac:dyDescent="0.25">
      <c r="A7" s="92" t="s">
        <v>7</v>
      </c>
      <c r="B7" s="94" t="s">
        <v>8</v>
      </c>
      <c r="C7" s="95"/>
      <c r="D7" s="95"/>
      <c r="E7" s="95"/>
      <c r="F7" s="96"/>
      <c r="G7" s="97" t="s">
        <v>9</v>
      </c>
      <c r="H7" s="95"/>
      <c r="I7" s="95"/>
      <c r="J7" s="95"/>
      <c r="K7" s="96"/>
      <c r="L7" s="98" t="s">
        <v>10</v>
      </c>
    </row>
    <row r="8" spans="1:12" ht="15.75" thickBot="1" x14ac:dyDescent="0.3">
      <c r="A8" s="93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99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9">
        <f>SUM(B9:B39)</f>
        <v>0</v>
      </c>
      <c r="C40" s="49">
        <f t="shared" ref="C40:E40" si="3">SUM(C9:C39)</f>
        <v>0</v>
      </c>
      <c r="D40" s="49">
        <f t="shared" si="3"/>
        <v>0</v>
      </c>
      <c r="E40" s="49">
        <f t="shared" si="3"/>
        <v>0</v>
      </c>
      <c r="F40" s="48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2"/>
      <c r="B42" s="82"/>
      <c r="C42" s="82"/>
      <c r="D42" s="82"/>
      <c r="E42" s="82"/>
      <c r="F42" s="82"/>
      <c r="G42" s="83" t="s">
        <v>17</v>
      </c>
      <c r="H42" s="84"/>
      <c r="I42" s="84" t="s">
        <v>18</v>
      </c>
      <c r="J42" s="85"/>
      <c r="K42" s="11"/>
      <c r="L42" s="13"/>
    </row>
    <row r="43" spans="1:12" ht="15.75" thickBot="1" x14ac:dyDescent="0.3">
      <c r="A43" s="14"/>
      <c r="B43" s="69" t="s">
        <v>19</v>
      </c>
      <c r="C43" s="70"/>
      <c r="D43" s="70"/>
      <c r="E43" s="70"/>
      <c r="F43" s="70"/>
      <c r="G43" s="80">
        <v>0</v>
      </c>
      <c r="H43" s="86"/>
      <c r="I43" s="87"/>
      <c r="J43" s="88"/>
      <c r="K43" s="11"/>
      <c r="L43" s="13"/>
    </row>
    <row r="44" spans="1:12" ht="15.75" thickBot="1" x14ac:dyDescent="0.3">
      <c r="A44" s="14"/>
      <c r="B44" s="69" t="s">
        <v>20</v>
      </c>
      <c r="C44" s="70"/>
      <c r="D44" s="70"/>
      <c r="E44" s="70"/>
      <c r="F44" s="70"/>
      <c r="G44" s="71">
        <v>0</v>
      </c>
      <c r="H44" s="72"/>
      <c r="I44" s="71"/>
      <c r="J44" s="72"/>
      <c r="K44" s="11"/>
      <c r="L44" s="13"/>
    </row>
    <row r="45" spans="1:12" ht="15.75" thickBot="1" x14ac:dyDescent="0.3">
      <c r="A45" s="14"/>
      <c r="B45" s="77" t="s">
        <v>21</v>
      </c>
      <c r="C45" s="77"/>
      <c r="D45" s="77"/>
      <c r="E45" s="77"/>
      <c r="F45" s="69"/>
      <c r="G45" s="78">
        <v>0</v>
      </c>
      <c r="H45" s="79"/>
      <c r="I45" s="80"/>
      <c r="J45" s="81"/>
      <c r="K45" s="11"/>
      <c r="L45" s="13"/>
    </row>
    <row r="46" spans="1:12" ht="15.75" thickBot="1" x14ac:dyDescent="0.3">
      <c r="A46" s="14"/>
      <c r="B46" s="69" t="s">
        <v>22</v>
      </c>
      <c r="C46" s="70"/>
      <c r="D46" s="70"/>
      <c r="E46" s="70"/>
      <c r="F46" s="70"/>
      <c r="G46" s="76">
        <f>L40+G45</f>
        <v>0</v>
      </c>
      <c r="H46" s="72"/>
      <c r="I46" s="71"/>
      <c r="J46" s="72"/>
      <c r="K46" s="11"/>
      <c r="L46" s="13"/>
    </row>
    <row r="47" spans="1:12" ht="15.75" thickBot="1" x14ac:dyDescent="0.3">
      <c r="A47" s="4"/>
      <c r="B47" s="69" t="s">
        <v>23</v>
      </c>
      <c r="C47" s="70"/>
      <c r="D47" s="70"/>
      <c r="E47" s="70"/>
      <c r="F47" s="70"/>
      <c r="G47" s="76">
        <f>G43+G44-G46</f>
        <v>0</v>
      </c>
      <c r="H47" s="72"/>
      <c r="I47" s="71"/>
      <c r="J47" s="72"/>
      <c r="K47" s="11"/>
      <c r="L47" s="3"/>
    </row>
    <row r="48" spans="1:12" ht="15.75" thickBot="1" x14ac:dyDescent="0.3">
      <c r="A48" s="4"/>
      <c r="B48" s="69" t="s">
        <v>24</v>
      </c>
      <c r="C48" s="70"/>
      <c r="D48" s="70"/>
      <c r="E48" s="70"/>
      <c r="F48" s="70"/>
      <c r="G48" s="71">
        <v>0</v>
      </c>
      <c r="H48" s="72"/>
      <c r="I48" s="71"/>
      <c r="J48" s="72"/>
      <c r="K48" s="11"/>
      <c r="L48" s="3"/>
    </row>
    <row r="49" spans="1:12" ht="15.75" thickBot="1" x14ac:dyDescent="0.3">
      <c r="A49" s="4"/>
      <c r="B49" s="69" t="s">
        <v>25</v>
      </c>
      <c r="C49" s="70"/>
      <c r="D49" s="70"/>
      <c r="E49" s="70"/>
      <c r="F49" s="70"/>
      <c r="G49" s="73">
        <f>G47-G48</f>
        <v>0</v>
      </c>
      <c r="H49" s="74"/>
      <c r="I49" s="75"/>
      <c r="J49" s="74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4"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89" t="s">
        <v>0</v>
      </c>
      <c r="B1" s="89"/>
      <c r="C1" s="89"/>
      <c r="D1" s="89"/>
      <c r="E1" s="35"/>
      <c r="F1" s="36"/>
      <c r="G1" s="90" t="s">
        <v>1</v>
      </c>
      <c r="H1" s="90"/>
      <c r="I1" s="90"/>
      <c r="J1" s="90"/>
      <c r="K1" s="90"/>
      <c r="L1" s="90"/>
    </row>
    <row r="2" spans="1:12" ht="15.75" x14ac:dyDescent="0.25">
      <c r="A2" s="90" t="s">
        <v>2</v>
      </c>
      <c r="B2" s="90"/>
      <c r="C2" s="90"/>
      <c r="D2" s="90"/>
      <c r="E2" s="35"/>
      <c r="F2" s="36"/>
      <c r="G2" s="100" t="s">
        <v>3</v>
      </c>
      <c r="H2" s="100"/>
      <c r="I2" s="100"/>
      <c r="J2" s="100"/>
      <c r="K2" s="100"/>
      <c r="L2" s="100"/>
    </row>
    <row r="3" spans="1:12" x14ac:dyDescent="0.25">
      <c r="A3" s="100" t="s">
        <v>4</v>
      </c>
      <c r="B3" s="100"/>
      <c r="C3" s="100"/>
      <c r="D3" s="100"/>
      <c r="E3" s="35"/>
      <c r="F3" s="36"/>
      <c r="G3" s="100" t="s">
        <v>28</v>
      </c>
      <c r="H3" s="100"/>
      <c r="I3" s="100"/>
      <c r="J3" s="100"/>
      <c r="K3" s="100"/>
      <c r="L3" s="100"/>
    </row>
    <row r="4" spans="1:12" ht="18" x14ac:dyDescent="0.25">
      <c r="A4" s="89" t="s">
        <v>5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</row>
    <row r="5" spans="1:12" ht="15.75" x14ac:dyDescent="0.25">
      <c r="A5" s="90" t="s">
        <v>30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1"/>
      <c r="I6" s="91"/>
      <c r="J6" s="12"/>
      <c r="K6" s="37"/>
      <c r="L6" s="3"/>
    </row>
    <row r="7" spans="1:12" x14ac:dyDescent="0.25">
      <c r="A7" s="92" t="s">
        <v>7</v>
      </c>
      <c r="B7" s="94" t="s">
        <v>8</v>
      </c>
      <c r="C7" s="95"/>
      <c r="D7" s="95"/>
      <c r="E7" s="95"/>
      <c r="F7" s="96"/>
      <c r="G7" s="97" t="s">
        <v>9</v>
      </c>
      <c r="H7" s="95"/>
      <c r="I7" s="95"/>
      <c r="J7" s="95"/>
      <c r="K7" s="96"/>
      <c r="L7" s="98" t="s">
        <v>10</v>
      </c>
    </row>
    <row r="8" spans="1:12" ht="15.75" thickBot="1" x14ac:dyDescent="0.3">
      <c r="A8" s="93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99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1">
        <f>SUM(B9:B39)</f>
        <v>0</v>
      </c>
      <c r="C40" s="51">
        <f t="shared" ref="C40:E40" si="3">SUM(C9:C39)</f>
        <v>0</v>
      </c>
      <c r="D40" s="51">
        <f t="shared" si="3"/>
        <v>0</v>
      </c>
      <c r="E40" s="51">
        <f t="shared" si="3"/>
        <v>0</v>
      </c>
      <c r="F40" s="50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2"/>
      <c r="B42" s="82"/>
      <c r="C42" s="82"/>
      <c r="D42" s="82"/>
      <c r="E42" s="82"/>
      <c r="F42" s="82"/>
      <c r="G42" s="83" t="s">
        <v>17</v>
      </c>
      <c r="H42" s="84"/>
      <c r="I42" s="84" t="s">
        <v>18</v>
      </c>
      <c r="J42" s="85"/>
      <c r="K42" s="11"/>
      <c r="L42" s="13"/>
    </row>
    <row r="43" spans="1:12" ht="15.75" thickBot="1" x14ac:dyDescent="0.3">
      <c r="A43" s="14"/>
      <c r="B43" s="69" t="s">
        <v>19</v>
      </c>
      <c r="C43" s="70"/>
      <c r="D43" s="70"/>
      <c r="E43" s="70"/>
      <c r="F43" s="70"/>
      <c r="G43" s="80">
        <v>0</v>
      </c>
      <c r="H43" s="86"/>
      <c r="I43" s="87"/>
      <c r="J43" s="88"/>
      <c r="K43" s="11"/>
      <c r="L43" s="13"/>
    </row>
    <row r="44" spans="1:12" ht="15.75" thickBot="1" x14ac:dyDescent="0.3">
      <c r="A44" s="14"/>
      <c r="B44" s="69" t="s">
        <v>20</v>
      </c>
      <c r="C44" s="70"/>
      <c r="D44" s="70"/>
      <c r="E44" s="70"/>
      <c r="F44" s="70"/>
      <c r="G44" s="71">
        <v>0</v>
      </c>
      <c r="H44" s="72"/>
      <c r="I44" s="71"/>
      <c r="J44" s="72"/>
      <c r="K44" s="11"/>
      <c r="L44" s="13"/>
    </row>
    <row r="45" spans="1:12" ht="15.75" thickBot="1" x14ac:dyDescent="0.3">
      <c r="A45" s="14"/>
      <c r="B45" s="77" t="s">
        <v>21</v>
      </c>
      <c r="C45" s="77"/>
      <c r="D45" s="77"/>
      <c r="E45" s="77"/>
      <c r="F45" s="69"/>
      <c r="G45" s="78">
        <v>0</v>
      </c>
      <c r="H45" s="79"/>
      <c r="I45" s="80"/>
      <c r="J45" s="81"/>
      <c r="K45" s="11"/>
      <c r="L45" s="13"/>
    </row>
    <row r="46" spans="1:12" ht="15.75" thickBot="1" x14ac:dyDescent="0.3">
      <c r="A46" s="14"/>
      <c r="B46" s="69" t="s">
        <v>22</v>
      </c>
      <c r="C46" s="70"/>
      <c r="D46" s="70"/>
      <c r="E46" s="70"/>
      <c r="F46" s="70"/>
      <c r="G46" s="76">
        <f>L40+G45</f>
        <v>0</v>
      </c>
      <c r="H46" s="72"/>
      <c r="I46" s="71"/>
      <c r="J46" s="72"/>
      <c r="K46" s="11"/>
      <c r="L46" s="13"/>
    </row>
    <row r="47" spans="1:12" ht="15.75" thickBot="1" x14ac:dyDescent="0.3">
      <c r="A47" s="4"/>
      <c r="B47" s="69" t="s">
        <v>23</v>
      </c>
      <c r="C47" s="70"/>
      <c r="D47" s="70"/>
      <c r="E47" s="70"/>
      <c r="F47" s="70"/>
      <c r="G47" s="76">
        <f>G43+G44-G46</f>
        <v>0</v>
      </c>
      <c r="H47" s="72"/>
      <c r="I47" s="71"/>
      <c r="J47" s="72"/>
      <c r="K47" s="11"/>
      <c r="L47" s="3"/>
    </row>
    <row r="48" spans="1:12" ht="15.75" thickBot="1" x14ac:dyDescent="0.3">
      <c r="A48" s="4"/>
      <c r="B48" s="69" t="s">
        <v>24</v>
      </c>
      <c r="C48" s="70"/>
      <c r="D48" s="70"/>
      <c r="E48" s="70"/>
      <c r="F48" s="70"/>
      <c r="G48" s="71">
        <v>0</v>
      </c>
      <c r="H48" s="72"/>
      <c r="I48" s="71"/>
      <c r="J48" s="72"/>
      <c r="K48" s="11"/>
      <c r="L48" s="3"/>
    </row>
    <row r="49" spans="1:12" ht="15.75" thickBot="1" x14ac:dyDescent="0.3">
      <c r="A49" s="4"/>
      <c r="B49" s="69" t="s">
        <v>25</v>
      </c>
      <c r="C49" s="70"/>
      <c r="D49" s="70"/>
      <c r="E49" s="70"/>
      <c r="F49" s="70"/>
      <c r="G49" s="73">
        <f>G47-G48</f>
        <v>0</v>
      </c>
      <c r="H49" s="74"/>
      <c r="I49" s="75"/>
      <c r="J49" s="74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4" workbookViewId="0">
      <selection activeCell="B27" sqref="B27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89" t="s">
        <v>0</v>
      </c>
      <c r="B1" s="89"/>
      <c r="C1" s="89"/>
      <c r="D1" s="89"/>
      <c r="E1" s="35"/>
      <c r="F1" s="36"/>
      <c r="G1" s="90" t="s">
        <v>1</v>
      </c>
      <c r="H1" s="90"/>
      <c r="I1" s="90"/>
      <c r="J1" s="90"/>
      <c r="K1" s="90"/>
      <c r="L1" s="90"/>
    </row>
    <row r="2" spans="1:12" ht="15.75" x14ac:dyDescent="0.25">
      <c r="A2" s="90" t="s">
        <v>2</v>
      </c>
      <c r="B2" s="90"/>
      <c r="C2" s="90"/>
      <c r="D2" s="90"/>
      <c r="E2" s="35"/>
      <c r="F2" s="36"/>
      <c r="G2" s="100" t="s">
        <v>3</v>
      </c>
      <c r="H2" s="100"/>
      <c r="I2" s="100"/>
      <c r="J2" s="100"/>
      <c r="K2" s="100"/>
      <c r="L2" s="100"/>
    </row>
    <row r="3" spans="1:12" x14ac:dyDescent="0.25">
      <c r="A3" s="100" t="s">
        <v>4</v>
      </c>
      <c r="B3" s="100"/>
      <c r="C3" s="100"/>
      <c r="D3" s="100"/>
      <c r="E3" s="35"/>
      <c r="F3" s="36"/>
      <c r="G3" s="100" t="s">
        <v>28</v>
      </c>
      <c r="H3" s="100"/>
      <c r="I3" s="100"/>
      <c r="J3" s="100"/>
      <c r="K3" s="100"/>
      <c r="L3" s="100"/>
    </row>
    <row r="4" spans="1:12" ht="18" x14ac:dyDescent="0.25">
      <c r="A4" s="89" t="s">
        <v>5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</row>
    <row r="5" spans="1:12" ht="15.75" x14ac:dyDescent="0.25">
      <c r="A5" s="90" t="s">
        <v>31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1"/>
      <c r="I6" s="91"/>
      <c r="J6" s="12"/>
      <c r="K6" s="37"/>
      <c r="L6" s="3"/>
    </row>
    <row r="7" spans="1:12" x14ac:dyDescent="0.25">
      <c r="A7" s="92" t="s">
        <v>7</v>
      </c>
      <c r="B7" s="94" t="s">
        <v>8</v>
      </c>
      <c r="C7" s="95"/>
      <c r="D7" s="95"/>
      <c r="E7" s="95"/>
      <c r="F7" s="96"/>
      <c r="G7" s="97" t="s">
        <v>9</v>
      </c>
      <c r="H7" s="95"/>
      <c r="I7" s="95"/>
      <c r="J7" s="95"/>
      <c r="K7" s="96"/>
      <c r="L7" s="98" t="s">
        <v>10</v>
      </c>
    </row>
    <row r="8" spans="1:12" ht="15.75" thickBot="1" x14ac:dyDescent="0.3">
      <c r="A8" s="93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99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>
        <v>2</v>
      </c>
      <c r="C26" s="22"/>
      <c r="D26" s="22"/>
      <c r="E26" s="23"/>
      <c r="F26" s="17">
        <f t="shared" si="0"/>
        <v>2</v>
      </c>
      <c r="G26" s="30"/>
      <c r="H26" s="22"/>
      <c r="I26" s="22"/>
      <c r="J26" s="22"/>
      <c r="K26" s="15">
        <f t="shared" si="1"/>
        <v>0</v>
      </c>
      <c r="L26" s="7">
        <f t="shared" si="2"/>
        <v>2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3">
        <f>SUM(B9:B39)</f>
        <v>2</v>
      </c>
      <c r="C40" s="53">
        <f t="shared" ref="C40:E40" si="3">SUM(C9:C39)</f>
        <v>0</v>
      </c>
      <c r="D40" s="53">
        <f t="shared" si="3"/>
        <v>0</v>
      </c>
      <c r="E40" s="53">
        <f t="shared" si="3"/>
        <v>0</v>
      </c>
      <c r="F40" s="52">
        <f>SUM(F9:F39)</f>
        <v>2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2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2"/>
      <c r="B42" s="82"/>
      <c r="C42" s="82"/>
      <c r="D42" s="82"/>
      <c r="E42" s="82"/>
      <c r="F42" s="82"/>
      <c r="G42" s="83" t="s">
        <v>17</v>
      </c>
      <c r="H42" s="84"/>
      <c r="I42" s="84" t="s">
        <v>18</v>
      </c>
      <c r="J42" s="85"/>
      <c r="K42" s="11"/>
      <c r="L42" s="13"/>
    </row>
    <row r="43" spans="1:12" ht="15.75" thickBot="1" x14ac:dyDescent="0.3">
      <c r="A43" s="14"/>
      <c r="B43" s="69" t="s">
        <v>19</v>
      </c>
      <c r="C43" s="70"/>
      <c r="D43" s="70"/>
      <c r="E43" s="70"/>
      <c r="F43" s="70"/>
      <c r="G43" s="80">
        <v>0</v>
      </c>
      <c r="H43" s="86"/>
      <c r="I43" s="87"/>
      <c r="J43" s="88"/>
      <c r="K43" s="11"/>
      <c r="L43" s="13"/>
    </row>
    <row r="44" spans="1:12" ht="15.75" thickBot="1" x14ac:dyDescent="0.3">
      <c r="A44" s="14"/>
      <c r="B44" s="69" t="s">
        <v>20</v>
      </c>
      <c r="C44" s="70"/>
      <c r="D44" s="70"/>
      <c r="E44" s="70"/>
      <c r="F44" s="70"/>
      <c r="G44" s="71">
        <v>2</v>
      </c>
      <c r="H44" s="72"/>
      <c r="I44" s="71"/>
      <c r="J44" s="72"/>
      <c r="K44" s="11"/>
      <c r="L44" s="13"/>
    </row>
    <row r="45" spans="1:12" ht="15.75" thickBot="1" x14ac:dyDescent="0.3">
      <c r="A45" s="14"/>
      <c r="B45" s="77" t="s">
        <v>21</v>
      </c>
      <c r="C45" s="77"/>
      <c r="D45" s="77"/>
      <c r="E45" s="77"/>
      <c r="F45" s="69"/>
      <c r="G45" s="78">
        <v>0</v>
      </c>
      <c r="H45" s="79"/>
      <c r="I45" s="80"/>
      <c r="J45" s="81"/>
      <c r="K45" s="11"/>
      <c r="L45" s="13"/>
    </row>
    <row r="46" spans="1:12" ht="15.75" thickBot="1" x14ac:dyDescent="0.3">
      <c r="A46" s="14"/>
      <c r="B46" s="69" t="s">
        <v>22</v>
      </c>
      <c r="C46" s="70"/>
      <c r="D46" s="70"/>
      <c r="E46" s="70"/>
      <c r="F46" s="70"/>
      <c r="G46" s="76">
        <f>L40+G45</f>
        <v>2</v>
      </c>
      <c r="H46" s="72"/>
      <c r="I46" s="71"/>
      <c r="J46" s="72"/>
      <c r="K46" s="11"/>
      <c r="L46" s="13"/>
    </row>
    <row r="47" spans="1:12" ht="15.75" thickBot="1" x14ac:dyDescent="0.3">
      <c r="A47" s="4"/>
      <c r="B47" s="69" t="s">
        <v>23</v>
      </c>
      <c r="C47" s="70"/>
      <c r="D47" s="70"/>
      <c r="E47" s="70"/>
      <c r="F47" s="70"/>
      <c r="G47" s="76">
        <f>G43+G44-G46</f>
        <v>0</v>
      </c>
      <c r="H47" s="72"/>
      <c r="I47" s="71"/>
      <c r="J47" s="72"/>
      <c r="K47" s="11"/>
      <c r="L47" s="3"/>
    </row>
    <row r="48" spans="1:12" ht="15.75" thickBot="1" x14ac:dyDescent="0.3">
      <c r="A48" s="4"/>
      <c r="B48" s="69" t="s">
        <v>24</v>
      </c>
      <c r="C48" s="70"/>
      <c r="D48" s="70"/>
      <c r="E48" s="70"/>
      <c r="F48" s="70"/>
      <c r="G48" s="71">
        <v>0</v>
      </c>
      <c r="H48" s="72"/>
      <c r="I48" s="71"/>
      <c r="J48" s="72"/>
      <c r="K48" s="11"/>
      <c r="L48" s="3"/>
    </row>
    <row r="49" spans="1:12" ht="15.75" thickBot="1" x14ac:dyDescent="0.3">
      <c r="A49" s="4"/>
      <c r="B49" s="69" t="s">
        <v>25</v>
      </c>
      <c r="C49" s="70"/>
      <c r="D49" s="70"/>
      <c r="E49" s="70"/>
      <c r="F49" s="70"/>
      <c r="G49" s="73">
        <f>G47-G48</f>
        <v>0</v>
      </c>
      <c r="H49" s="74"/>
      <c r="I49" s="75"/>
      <c r="J49" s="74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43" workbookViewId="0">
      <selection activeCell="G45" sqref="G45:H4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89" t="s">
        <v>0</v>
      </c>
      <c r="B1" s="89"/>
      <c r="C1" s="89"/>
      <c r="D1" s="89"/>
      <c r="E1" s="35"/>
      <c r="F1" s="36"/>
      <c r="G1" s="90" t="s">
        <v>1</v>
      </c>
      <c r="H1" s="90"/>
      <c r="I1" s="90"/>
      <c r="J1" s="90"/>
      <c r="K1" s="90"/>
      <c r="L1" s="90"/>
    </row>
    <row r="2" spans="1:12" ht="15.75" x14ac:dyDescent="0.25">
      <c r="A2" s="90" t="s">
        <v>2</v>
      </c>
      <c r="B2" s="90"/>
      <c r="C2" s="90"/>
      <c r="D2" s="90"/>
      <c r="E2" s="35"/>
      <c r="F2" s="36"/>
      <c r="G2" s="100" t="s">
        <v>3</v>
      </c>
      <c r="H2" s="100"/>
      <c r="I2" s="100"/>
      <c r="J2" s="100"/>
      <c r="K2" s="100"/>
      <c r="L2" s="100"/>
    </row>
    <row r="3" spans="1:12" x14ac:dyDescent="0.25">
      <c r="A3" s="100" t="s">
        <v>4</v>
      </c>
      <c r="B3" s="100"/>
      <c r="C3" s="100"/>
      <c r="D3" s="100"/>
      <c r="E3" s="35"/>
      <c r="F3" s="36"/>
      <c r="G3" s="100" t="s">
        <v>28</v>
      </c>
      <c r="H3" s="100"/>
      <c r="I3" s="100"/>
      <c r="J3" s="100"/>
      <c r="K3" s="100"/>
      <c r="L3" s="100"/>
    </row>
    <row r="4" spans="1:12" ht="18" x14ac:dyDescent="0.25">
      <c r="A4" s="89" t="s">
        <v>5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</row>
    <row r="5" spans="1:12" ht="15.75" x14ac:dyDescent="0.25">
      <c r="A5" s="90" t="s">
        <v>32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1"/>
      <c r="I6" s="91"/>
      <c r="J6" s="12"/>
      <c r="K6" s="37"/>
      <c r="L6" s="3"/>
    </row>
    <row r="7" spans="1:12" x14ac:dyDescent="0.25">
      <c r="A7" s="92" t="s">
        <v>7</v>
      </c>
      <c r="B7" s="94" t="s">
        <v>8</v>
      </c>
      <c r="C7" s="95"/>
      <c r="D7" s="95"/>
      <c r="E7" s="95"/>
      <c r="F7" s="96"/>
      <c r="G7" s="97" t="s">
        <v>9</v>
      </c>
      <c r="H7" s="95"/>
      <c r="I7" s="95"/>
      <c r="J7" s="95"/>
      <c r="K7" s="96"/>
      <c r="L7" s="98" t="s">
        <v>10</v>
      </c>
    </row>
    <row r="8" spans="1:12" ht="15.75" thickBot="1" x14ac:dyDescent="0.3">
      <c r="A8" s="93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99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5">
        <f>SUM(B9:B39)</f>
        <v>0</v>
      </c>
      <c r="C40" s="55">
        <f t="shared" ref="C40:E40" si="3">SUM(C9:C39)</f>
        <v>0</v>
      </c>
      <c r="D40" s="55">
        <f t="shared" si="3"/>
        <v>0</v>
      </c>
      <c r="E40" s="55">
        <f t="shared" si="3"/>
        <v>0</v>
      </c>
      <c r="F40" s="54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2"/>
      <c r="B42" s="82"/>
      <c r="C42" s="82"/>
      <c r="D42" s="82"/>
      <c r="E42" s="82"/>
      <c r="F42" s="82"/>
      <c r="G42" s="83" t="s">
        <v>17</v>
      </c>
      <c r="H42" s="84"/>
      <c r="I42" s="84" t="s">
        <v>18</v>
      </c>
      <c r="J42" s="85"/>
      <c r="K42" s="11"/>
      <c r="L42" s="13"/>
    </row>
    <row r="43" spans="1:12" ht="15.75" thickBot="1" x14ac:dyDescent="0.3">
      <c r="A43" s="14"/>
      <c r="B43" s="69" t="s">
        <v>19</v>
      </c>
      <c r="C43" s="70"/>
      <c r="D43" s="70"/>
      <c r="E43" s="70"/>
      <c r="F43" s="70"/>
      <c r="G43" s="80">
        <v>0</v>
      </c>
      <c r="H43" s="86"/>
      <c r="I43" s="87"/>
      <c r="J43" s="88"/>
      <c r="K43" s="11"/>
      <c r="L43" s="13"/>
    </row>
    <row r="44" spans="1:12" ht="15.75" thickBot="1" x14ac:dyDescent="0.3">
      <c r="A44" s="14"/>
      <c r="B44" s="69" t="s">
        <v>20</v>
      </c>
      <c r="C44" s="70"/>
      <c r="D44" s="70"/>
      <c r="E44" s="70"/>
      <c r="F44" s="70"/>
      <c r="G44" s="71">
        <v>0</v>
      </c>
      <c r="H44" s="72"/>
      <c r="I44" s="71"/>
      <c r="J44" s="72"/>
      <c r="K44" s="11"/>
      <c r="L44" s="13"/>
    </row>
    <row r="45" spans="1:12" ht="15.75" thickBot="1" x14ac:dyDescent="0.3">
      <c r="A45" s="14"/>
      <c r="B45" s="77" t="s">
        <v>21</v>
      </c>
      <c r="C45" s="77"/>
      <c r="D45" s="77"/>
      <c r="E45" s="77"/>
      <c r="F45" s="69"/>
      <c r="G45" s="78">
        <v>0</v>
      </c>
      <c r="H45" s="79"/>
      <c r="I45" s="80"/>
      <c r="J45" s="81"/>
      <c r="K45" s="11"/>
      <c r="L45" s="13"/>
    </row>
    <row r="46" spans="1:12" ht="15.75" thickBot="1" x14ac:dyDescent="0.3">
      <c r="A46" s="14"/>
      <c r="B46" s="69" t="s">
        <v>22</v>
      </c>
      <c r="C46" s="70"/>
      <c r="D46" s="70"/>
      <c r="E46" s="70"/>
      <c r="F46" s="70"/>
      <c r="G46" s="76">
        <f>L40+G45</f>
        <v>0</v>
      </c>
      <c r="H46" s="72"/>
      <c r="I46" s="71"/>
      <c r="J46" s="72"/>
      <c r="K46" s="11"/>
      <c r="L46" s="13"/>
    </row>
    <row r="47" spans="1:12" ht="15.75" thickBot="1" x14ac:dyDescent="0.3">
      <c r="A47" s="4"/>
      <c r="B47" s="69" t="s">
        <v>23</v>
      </c>
      <c r="C47" s="70"/>
      <c r="D47" s="70"/>
      <c r="E47" s="70"/>
      <c r="F47" s="70"/>
      <c r="G47" s="76">
        <f>G43+G44-G46</f>
        <v>0</v>
      </c>
      <c r="H47" s="72"/>
      <c r="I47" s="71"/>
      <c r="J47" s="72"/>
      <c r="K47" s="11"/>
      <c r="L47" s="3"/>
    </row>
    <row r="48" spans="1:12" ht="15.75" thickBot="1" x14ac:dyDescent="0.3">
      <c r="A48" s="4"/>
      <c r="B48" s="69" t="s">
        <v>24</v>
      </c>
      <c r="C48" s="70"/>
      <c r="D48" s="70"/>
      <c r="E48" s="70"/>
      <c r="F48" s="70"/>
      <c r="G48" s="71">
        <v>0</v>
      </c>
      <c r="H48" s="72"/>
      <c r="I48" s="71"/>
      <c r="J48" s="72"/>
      <c r="K48" s="11"/>
      <c r="L48" s="3"/>
    </row>
    <row r="49" spans="1:12" ht="15.75" thickBot="1" x14ac:dyDescent="0.3">
      <c r="A49" s="4"/>
      <c r="B49" s="69" t="s">
        <v>25</v>
      </c>
      <c r="C49" s="70"/>
      <c r="D49" s="70"/>
      <c r="E49" s="70"/>
      <c r="F49" s="70"/>
      <c r="G49" s="73">
        <f>G47-G48</f>
        <v>0</v>
      </c>
      <c r="H49" s="74"/>
      <c r="I49" s="75"/>
      <c r="J49" s="74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28" workbookViewId="0">
      <selection activeCell="G47" sqref="G47:H47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89" t="s">
        <v>0</v>
      </c>
      <c r="B1" s="89"/>
      <c r="C1" s="89"/>
      <c r="D1" s="89"/>
      <c r="E1" s="35"/>
      <c r="F1" s="36"/>
      <c r="G1" s="90" t="s">
        <v>1</v>
      </c>
      <c r="H1" s="90"/>
      <c r="I1" s="90"/>
      <c r="J1" s="90"/>
      <c r="K1" s="90"/>
      <c r="L1" s="90"/>
    </row>
    <row r="2" spans="1:12" ht="15.75" x14ac:dyDescent="0.25">
      <c r="A2" s="90" t="s">
        <v>2</v>
      </c>
      <c r="B2" s="90"/>
      <c r="C2" s="90"/>
      <c r="D2" s="90"/>
      <c r="E2" s="35"/>
      <c r="F2" s="36"/>
      <c r="G2" s="100" t="s">
        <v>3</v>
      </c>
      <c r="H2" s="100"/>
      <c r="I2" s="100"/>
      <c r="J2" s="100"/>
      <c r="K2" s="100"/>
      <c r="L2" s="100"/>
    </row>
    <row r="3" spans="1:12" x14ac:dyDescent="0.25">
      <c r="A3" s="100" t="s">
        <v>4</v>
      </c>
      <c r="B3" s="100"/>
      <c r="C3" s="100"/>
      <c r="D3" s="100"/>
      <c r="E3" s="35"/>
      <c r="F3" s="36"/>
      <c r="G3" s="100" t="s">
        <v>28</v>
      </c>
      <c r="H3" s="100"/>
      <c r="I3" s="100"/>
      <c r="J3" s="100"/>
      <c r="K3" s="100"/>
      <c r="L3" s="100"/>
    </row>
    <row r="4" spans="1:12" ht="18" x14ac:dyDescent="0.25">
      <c r="A4" s="89" t="s">
        <v>5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</row>
    <row r="5" spans="1:12" ht="15.75" x14ac:dyDescent="0.25">
      <c r="A5" s="90" t="s">
        <v>33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1"/>
      <c r="I6" s="91"/>
      <c r="J6" s="12"/>
      <c r="K6" s="37"/>
      <c r="L6" s="3"/>
    </row>
    <row r="7" spans="1:12" x14ac:dyDescent="0.25">
      <c r="A7" s="92" t="s">
        <v>7</v>
      </c>
      <c r="B7" s="94" t="s">
        <v>8</v>
      </c>
      <c r="C7" s="95"/>
      <c r="D7" s="95"/>
      <c r="E7" s="95"/>
      <c r="F7" s="96"/>
      <c r="G7" s="97" t="s">
        <v>9</v>
      </c>
      <c r="H7" s="95"/>
      <c r="I7" s="95"/>
      <c r="J7" s="95"/>
      <c r="K7" s="96"/>
      <c r="L7" s="98" t="s">
        <v>10</v>
      </c>
    </row>
    <row r="8" spans="1:12" ht="15.75" thickBot="1" x14ac:dyDescent="0.3">
      <c r="A8" s="93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99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>
        <v>1</v>
      </c>
      <c r="H22" s="22"/>
      <c r="I22" s="22"/>
      <c r="J22" s="22"/>
      <c r="K22" s="15">
        <f t="shared" si="1"/>
        <v>1</v>
      </c>
      <c r="L22" s="7">
        <f t="shared" si="2"/>
        <v>1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>
        <v>1</v>
      </c>
      <c r="H23" s="22"/>
      <c r="I23" s="22"/>
      <c r="J23" s="22"/>
      <c r="K23" s="15">
        <f t="shared" si="1"/>
        <v>1</v>
      </c>
      <c r="L23" s="7">
        <f t="shared" si="2"/>
        <v>1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58">
        <v>3</v>
      </c>
      <c r="C35" s="22"/>
      <c r="D35" s="22"/>
      <c r="E35" s="23"/>
      <c r="F35" s="17">
        <f t="shared" si="0"/>
        <v>3</v>
      </c>
      <c r="G35" s="45">
        <v>1</v>
      </c>
      <c r="H35" s="22"/>
      <c r="I35" s="22"/>
      <c r="J35" s="22"/>
      <c r="K35" s="15">
        <f t="shared" si="1"/>
        <v>1</v>
      </c>
      <c r="L35" s="7">
        <f t="shared" si="2"/>
        <v>4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7">
        <f>SUM(B9:B39)</f>
        <v>3</v>
      </c>
      <c r="C40" s="57">
        <f t="shared" ref="C40:E40" si="3">SUM(C9:C39)</f>
        <v>0</v>
      </c>
      <c r="D40" s="57">
        <f t="shared" si="3"/>
        <v>0</v>
      </c>
      <c r="E40" s="57">
        <f t="shared" si="3"/>
        <v>0</v>
      </c>
      <c r="F40" s="56">
        <f>SUM(F9:F39)</f>
        <v>3</v>
      </c>
      <c r="G40" s="16">
        <f>SUM(G9:G39)</f>
        <v>3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3</v>
      </c>
      <c r="L40" s="16">
        <f t="shared" si="4"/>
        <v>6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2"/>
      <c r="B42" s="82"/>
      <c r="C42" s="82"/>
      <c r="D42" s="82"/>
      <c r="E42" s="82"/>
      <c r="F42" s="82"/>
      <c r="G42" s="83" t="s">
        <v>17</v>
      </c>
      <c r="H42" s="84"/>
      <c r="I42" s="84" t="s">
        <v>18</v>
      </c>
      <c r="J42" s="85"/>
      <c r="K42" s="11"/>
      <c r="L42" s="13"/>
    </row>
    <row r="43" spans="1:12" ht="15.75" thickBot="1" x14ac:dyDescent="0.3">
      <c r="A43" s="14"/>
      <c r="B43" s="69" t="s">
        <v>19</v>
      </c>
      <c r="C43" s="70"/>
      <c r="D43" s="70"/>
      <c r="E43" s="70"/>
      <c r="F43" s="70"/>
      <c r="G43" s="80">
        <v>0</v>
      </c>
      <c r="H43" s="86"/>
      <c r="I43" s="87"/>
      <c r="J43" s="88"/>
      <c r="K43" s="11"/>
      <c r="L43" s="13"/>
    </row>
    <row r="44" spans="1:12" ht="15.75" thickBot="1" x14ac:dyDescent="0.3">
      <c r="A44" s="14"/>
      <c r="B44" s="69" t="s">
        <v>20</v>
      </c>
      <c r="C44" s="70"/>
      <c r="D44" s="70"/>
      <c r="E44" s="70"/>
      <c r="F44" s="70"/>
      <c r="G44" s="71">
        <v>7</v>
      </c>
      <c r="H44" s="72"/>
      <c r="I44" s="71"/>
      <c r="J44" s="72"/>
      <c r="K44" s="11"/>
      <c r="L44" s="13"/>
    </row>
    <row r="45" spans="1:12" ht="15.75" thickBot="1" x14ac:dyDescent="0.3">
      <c r="A45" s="14"/>
      <c r="B45" s="77" t="s">
        <v>21</v>
      </c>
      <c r="C45" s="77"/>
      <c r="D45" s="77"/>
      <c r="E45" s="77"/>
      <c r="F45" s="69"/>
      <c r="G45" s="78">
        <v>0</v>
      </c>
      <c r="H45" s="79"/>
      <c r="I45" s="80"/>
      <c r="J45" s="81"/>
      <c r="K45" s="11"/>
      <c r="L45" s="13"/>
    </row>
    <row r="46" spans="1:12" ht="15.75" thickBot="1" x14ac:dyDescent="0.3">
      <c r="A46" s="14"/>
      <c r="B46" s="69" t="s">
        <v>22</v>
      </c>
      <c r="C46" s="70"/>
      <c r="D46" s="70"/>
      <c r="E46" s="70"/>
      <c r="F46" s="70"/>
      <c r="G46" s="76">
        <f>L40+G45</f>
        <v>6</v>
      </c>
      <c r="H46" s="72"/>
      <c r="I46" s="71"/>
      <c r="J46" s="72"/>
      <c r="K46" s="11"/>
      <c r="L46" s="13"/>
    </row>
    <row r="47" spans="1:12" ht="15.75" thickBot="1" x14ac:dyDescent="0.3">
      <c r="A47" s="4"/>
      <c r="B47" s="69" t="s">
        <v>23</v>
      </c>
      <c r="C47" s="70"/>
      <c r="D47" s="70"/>
      <c r="E47" s="70"/>
      <c r="F47" s="70"/>
      <c r="G47" s="76">
        <f>G43+G44-G46</f>
        <v>1</v>
      </c>
      <c r="H47" s="72"/>
      <c r="I47" s="71"/>
      <c r="J47" s="72"/>
      <c r="K47" s="11"/>
      <c r="L47" s="3"/>
    </row>
    <row r="48" spans="1:12" ht="15.75" thickBot="1" x14ac:dyDescent="0.3">
      <c r="A48" s="4"/>
      <c r="B48" s="69" t="s">
        <v>24</v>
      </c>
      <c r="C48" s="70"/>
      <c r="D48" s="70"/>
      <c r="E48" s="70"/>
      <c r="F48" s="70"/>
      <c r="G48" s="71">
        <v>1</v>
      </c>
      <c r="H48" s="72"/>
      <c r="I48" s="71"/>
      <c r="J48" s="72"/>
      <c r="K48" s="11"/>
      <c r="L48" s="3"/>
    </row>
    <row r="49" spans="1:12" ht="15.75" thickBot="1" x14ac:dyDescent="0.3">
      <c r="A49" s="4"/>
      <c r="B49" s="69" t="s">
        <v>25</v>
      </c>
      <c r="C49" s="70"/>
      <c r="D49" s="70"/>
      <c r="E49" s="70"/>
      <c r="F49" s="70"/>
      <c r="G49" s="73">
        <f>G47-G48</f>
        <v>0</v>
      </c>
      <c r="H49" s="74"/>
      <c r="I49" s="75"/>
      <c r="J49" s="74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29" workbookViewId="0">
      <selection activeCell="G49" sqref="G49:H49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89" t="s">
        <v>0</v>
      </c>
      <c r="B1" s="89"/>
      <c r="C1" s="89"/>
      <c r="D1" s="89"/>
      <c r="E1" s="35"/>
      <c r="F1" s="36"/>
      <c r="G1" s="90" t="s">
        <v>1</v>
      </c>
      <c r="H1" s="90"/>
      <c r="I1" s="90"/>
      <c r="J1" s="90"/>
      <c r="K1" s="90"/>
      <c r="L1" s="90"/>
    </row>
    <row r="2" spans="1:12" ht="15.75" x14ac:dyDescent="0.25">
      <c r="A2" s="90" t="s">
        <v>2</v>
      </c>
      <c r="B2" s="90"/>
      <c r="C2" s="90"/>
      <c r="D2" s="90"/>
      <c r="E2" s="35"/>
      <c r="F2" s="36"/>
      <c r="G2" s="100" t="s">
        <v>3</v>
      </c>
      <c r="H2" s="100"/>
      <c r="I2" s="100"/>
      <c r="J2" s="100"/>
      <c r="K2" s="100"/>
      <c r="L2" s="100"/>
    </row>
    <row r="3" spans="1:12" x14ac:dyDescent="0.25">
      <c r="A3" s="100" t="s">
        <v>4</v>
      </c>
      <c r="B3" s="100"/>
      <c r="C3" s="100"/>
      <c r="D3" s="100"/>
      <c r="E3" s="35"/>
      <c r="F3" s="36"/>
      <c r="G3" s="100" t="s">
        <v>28</v>
      </c>
      <c r="H3" s="100"/>
      <c r="I3" s="100"/>
      <c r="J3" s="100"/>
      <c r="K3" s="100"/>
      <c r="L3" s="100"/>
    </row>
    <row r="4" spans="1:12" ht="18" x14ac:dyDescent="0.25">
      <c r="A4" s="89" t="s">
        <v>5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</row>
    <row r="5" spans="1:12" ht="15.75" x14ac:dyDescent="0.25">
      <c r="A5" s="90" t="s">
        <v>34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1"/>
      <c r="I6" s="91"/>
      <c r="J6" s="12"/>
      <c r="K6" s="37"/>
      <c r="L6" s="3"/>
    </row>
    <row r="7" spans="1:12" x14ac:dyDescent="0.25">
      <c r="A7" s="92" t="s">
        <v>7</v>
      </c>
      <c r="B7" s="94" t="s">
        <v>8</v>
      </c>
      <c r="C7" s="95"/>
      <c r="D7" s="95"/>
      <c r="E7" s="95"/>
      <c r="F7" s="96"/>
      <c r="G7" s="97" t="s">
        <v>9</v>
      </c>
      <c r="H7" s="95"/>
      <c r="I7" s="95"/>
      <c r="J7" s="95"/>
      <c r="K7" s="96"/>
      <c r="L7" s="98" t="s">
        <v>10</v>
      </c>
    </row>
    <row r="8" spans="1:12" ht="15.75" thickBot="1" x14ac:dyDescent="0.3">
      <c r="A8" s="93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99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>
        <v>1</v>
      </c>
      <c r="H12" s="22"/>
      <c r="I12" s="22"/>
      <c r="J12" s="22"/>
      <c r="K12" s="15">
        <f t="shared" si="1"/>
        <v>1</v>
      </c>
      <c r="L12" s="7">
        <f t="shared" si="2"/>
        <v>1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>
        <v>2</v>
      </c>
      <c r="H33" s="22"/>
      <c r="I33" s="22"/>
      <c r="J33" s="22"/>
      <c r="K33" s="15">
        <f t="shared" si="1"/>
        <v>2</v>
      </c>
      <c r="L33" s="7">
        <f t="shared" si="2"/>
        <v>2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>
        <v>4</v>
      </c>
      <c r="H34" s="22"/>
      <c r="I34" s="22"/>
      <c r="J34" s="22"/>
      <c r="K34" s="15">
        <f t="shared" si="1"/>
        <v>4</v>
      </c>
      <c r="L34" s="7">
        <f t="shared" si="2"/>
        <v>4</v>
      </c>
    </row>
    <row r="35" spans="1:12" ht="15.75" thickBot="1" x14ac:dyDescent="0.3">
      <c r="A35" s="8">
        <v>27</v>
      </c>
      <c r="B35" s="58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0">
        <f>SUM(B9:B39)</f>
        <v>0</v>
      </c>
      <c r="C40" s="60">
        <f t="shared" ref="C40:E40" si="3">SUM(C9:C39)</f>
        <v>0</v>
      </c>
      <c r="D40" s="60">
        <f t="shared" si="3"/>
        <v>0</v>
      </c>
      <c r="E40" s="60">
        <f t="shared" si="3"/>
        <v>0</v>
      </c>
      <c r="F40" s="59">
        <f>SUM(F9:F39)</f>
        <v>0</v>
      </c>
      <c r="G40" s="16">
        <f>SUM(G9:G39)</f>
        <v>7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7</v>
      </c>
      <c r="L40" s="16">
        <f t="shared" si="4"/>
        <v>7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2"/>
      <c r="B42" s="82"/>
      <c r="C42" s="82"/>
      <c r="D42" s="82"/>
      <c r="E42" s="82"/>
      <c r="F42" s="82"/>
      <c r="G42" s="83" t="s">
        <v>17</v>
      </c>
      <c r="H42" s="84"/>
      <c r="I42" s="84" t="s">
        <v>18</v>
      </c>
      <c r="J42" s="85"/>
      <c r="K42" s="11"/>
      <c r="L42" s="13"/>
    </row>
    <row r="43" spans="1:12" ht="15.75" thickBot="1" x14ac:dyDescent="0.3">
      <c r="A43" s="14"/>
      <c r="B43" s="69" t="s">
        <v>19</v>
      </c>
      <c r="C43" s="70"/>
      <c r="D43" s="70"/>
      <c r="E43" s="70"/>
      <c r="F43" s="70"/>
      <c r="G43" s="80">
        <v>1</v>
      </c>
      <c r="H43" s="86"/>
      <c r="I43" s="87"/>
      <c r="J43" s="88"/>
      <c r="K43" s="11"/>
      <c r="L43" s="13"/>
    </row>
    <row r="44" spans="1:12" ht="15.75" thickBot="1" x14ac:dyDescent="0.3">
      <c r="A44" s="14"/>
      <c r="B44" s="69" t="s">
        <v>20</v>
      </c>
      <c r="C44" s="70"/>
      <c r="D44" s="70"/>
      <c r="E44" s="70"/>
      <c r="F44" s="70"/>
      <c r="G44" s="71">
        <v>6</v>
      </c>
      <c r="H44" s="72"/>
      <c r="I44" s="71"/>
      <c r="J44" s="72"/>
      <c r="K44" s="11"/>
      <c r="L44" s="13"/>
    </row>
    <row r="45" spans="1:12" ht="15.75" thickBot="1" x14ac:dyDescent="0.3">
      <c r="A45" s="14"/>
      <c r="B45" s="77" t="s">
        <v>21</v>
      </c>
      <c r="C45" s="77"/>
      <c r="D45" s="77"/>
      <c r="E45" s="77"/>
      <c r="F45" s="69"/>
      <c r="G45" s="78">
        <v>0</v>
      </c>
      <c r="H45" s="79"/>
      <c r="I45" s="80"/>
      <c r="J45" s="81"/>
      <c r="K45" s="11"/>
      <c r="L45" s="13"/>
    </row>
    <row r="46" spans="1:12" ht="15.75" thickBot="1" x14ac:dyDescent="0.3">
      <c r="A46" s="14"/>
      <c r="B46" s="69" t="s">
        <v>22</v>
      </c>
      <c r="C46" s="70"/>
      <c r="D46" s="70"/>
      <c r="E46" s="70"/>
      <c r="F46" s="70"/>
      <c r="G46" s="76">
        <f>L40+G45</f>
        <v>7</v>
      </c>
      <c r="H46" s="72"/>
      <c r="I46" s="71"/>
      <c r="J46" s="72"/>
      <c r="K46" s="11"/>
      <c r="L46" s="13"/>
    </row>
    <row r="47" spans="1:12" ht="15.75" thickBot="1" x14ac:dyDescent="0.3">
      <c r="A47" s="4"/>
      <c r="B47" s="69" t="s">
        <v>23</v>
      </c>
      <c r="C47" s="70"/>
      <c r="D47" s="70"/>
      <c r="E47" s="70"/>
      <c r="F47" s="70"/>
      <c r="G47" s="76">
        <f>G43+G44-G46</f>
        <v>0</v>
      </c>
      <c r="H47" s="72"/>
      <c r="I47" s="71"/>
      <c r="J47" s="72"/>
      <c r="K47" s="11"/>
      <c r="L47" s="3"/>
    </row>
    <row r="48" spans="1:12" ht="15.75" thickBot="1" x14ac:dyDescent="0.3">
      <c r="A48" s="4"/>
      <c r="B48" s="69" t="s">
        <v>24</v>
      </c>
      <c r="C48" s="70"/>
      <c r="D48" s="70"/>
      <c r="E48" s="70"/>
      <c r="F48" s="70"/>
      <c r="G48" s="71">
        <v>0</v>
      </c>
      <c r="H48" s="72"/>
      <c r="I48" s="71"/>
      <c r="J48" s="72"/>
      <c r="K48" s="11"/>
      <c r="L48" s="3"/>
    </row>
    <row r="49" spans="1:12" ht="15.75" thickBot="1" x14ac:dyDescent="0.3">
      <c r="A49" s="4"/>
      <c r="B49" s="69" t="s">
        <v>25</v>
      </c>
      <c r="C49" s="70"/>
      <c r="D49" s="70"/>
      <c r="E49" s="70"/>
      <c r="F49" s="70"/>
      <c r="G49" s="73">
        <f>G47-G48</f>
        <v>0</v>
      </c>
      <c r="H49" s="74"/>
      <c r="I49" s="75"/>
      <c r="J49" s="74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G10" sqref="G1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89" t="s">
        <v>0</v>
      </c>
      <c r="B1" s="89"/>
      <c r="C1" s="89"/>
      <c r="D1" s="89"/>
      <c r="E1" s="35"/>
      <c r="F1" s="36"/>
      <c r="G1" s="90" t="s">
        <v>1</v>
      </c>
      <c r="H1" s="90"/>
      <c r="I1" s="90"/>
      <c r="J1" s="90"/>
      <c r="K1" s="90"/>
      <c r="L1" s="90"/>
    </row>
    <row r="2" spans="1:12" ht="15.75" x14ac:dyDescent="0.25">
      <c r="A2" s="90" t="s">
        <v>2</v>
      </c>
      <c r="B2" s="90"/>
      <c r="C2" s="90"/>
      <c r="D2" s="90"/>
      <c r="E2" s="35"/>
      <c r="F2" s="36"/>
      <c r="G2" s="100" t="s">
        <v>3</v>
      </c>
      <c r="H2" s="100"/>
      <c r="I2" s="100"/>
      <c r="J2" s="100"/>
      <c r="K2" s="100"/>
      <c r="L2" s="100"/>
    </row>
    <row r="3" spans="1:12" x14ac:dyDescent="0.25">
      <c r="A3" s="100" t="s">
        <v>4</v>
      </c>
      <c r="B3" s="100"/>
      <c r="C3" s="100"/>
      <c r="D3" s="100"/>
      <c r="E3" s="35"/>
      <c r="F3" s="36"/>
      <c r="G3" s="100" t="s">
        <v>28</v>
      </c>
      <c r="H3" s="100"/>
      <c r="I3" s="100"/>
      <c r="J3" s="100"/>
      <c r="K3" s="100"/>
      <c r="L3" s="100"/>
    </row>
    <row r="4" spans="1:12" ht="18" x14ac:dyDescent="0.25">
      <c r="A4" s="89" t="s">
        <v>5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</row>
    <row r="5" spans="1:12" ht="15.75" x14ac:dyDescent="0.25">
      <c r="A5" s="90" t="s">
        <v>35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1"/>
      <c r="I6" s="91"/>
      <c r="J6" s="12"/>
      <c r="K6" s="37"/>
      <c r="L6" s="3"/>
    </row>
    <row r="7" spans="1:12" x14ac:dyDescent="0.25">
      <c r="A7" s="92" t="s">
        <v>7</v>
      </c>
      <c r="B7" s="94" t="s">
        <v>8</v>
      </c>
      <c r="C7" s="95"/>
      <c r="D7" s="95"/>
      <c r="E7" s="95"/>
      <c r="F7" s="96"/>
      <c r="G7" s="97" t="s">
        <v>9</v>
      </c>
      <c r="H7" s="95"/>
      <c r="I7" s="95"/>
      <c r="J7" s="95"/>
      <c r="K7" s="96"/>
      <c r="L7" s="98" t="s">
        <v>10</v>
      </c>
    </row>
    <row r="8" spans="1:12" ht="15.75" thickBot="1" x14ac:dyDescent="0.3">
      <c r="A8" s="93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99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>
        <v>1</v>
      </c>
      <c r="C22" s="22"/>
      <c r="D22" s="22"/>
      <c r="E22" s="23"/>
      <c r="F22" s="17">
        <f t="shared" si="0"/>
        <v>1</v>
      </c>
      <c r="G22" s="34"/>
      <c r="H22" s="22"/>
      <c r="I22" s="22"/>
      <c r="J22" s="22"/>
      <c r="K22" s="15">
        <f t="shared" si="1"/>
        <v>0</v>
      </c>
      <c r="L22" s="7">
        <f t="shared" si="2"/>
        <v>1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58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2">
        <f>SUM(B9:B39)</f>
        <v>1</v>
      </c>
      <c r="C40" s="62">
        <f t="shared" ref="C40:E40" si="3">SUM(C9:C39)</f>
        <v>0</v>
      </c>
      <c r="D40" s="62">
        <f t="shared" si="3"/>
        <v>0</v>
      </c>
      <c r="E40" s="62">
        <f t="shared" si="3"/>
        <v>0</v>
      </c>
      <c r="F40" s="61">
        <f>SUM(F9:F39)</f>
        <v>1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1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2"/>
      <c r="B42" s="82"/>
      <c r="C42" s="82"/>
      <c r="D42" s="82"/>
      <c r="E42" s="82"/>
      <c r="F42" s="82"/>
      <c r="G42" s="83" t="s">
        <v>17</v>
      </c>
      <c r="H42" s="84"/>
      <c r="I42" s="84" t="s">
        <v>18</v>
      </c>
      <c r="J42" s="85"/>
      <c r="K42" s="11"/>
      <c r="L42" s="13"/>
    </row>
    <row r="43" spans="1:12" ht="15.75" thickBot="1" x14ac:dyDescent="0.3">
      <c r="A43" s="14"/>
      <c r="B43" s="69" t="s">
        <v>19</v>
      </c>
      <c r="C43" s="70"/>
      <c r="D43" s="70"/>
      <c r="E43" s="70"/>
      <c r="F43" s="70"/>
      <c r="G43" s="80">
        <v>0</v>
      </c>
      <c r="H43" s="86"/>
      <c r="I43" s="87"/>
      <c r="J43" s="88"/>
      <c r="K43" s="11"/>
      <c r="L43" s="13"/>
    </row>
    <row r="44" spans="1:12" ht="15.75" thickBot="1" x14ac:dyDescent="0.3">
      <c r="A44" s="14"/>
      <c r="B44" s="69" t="s">
        <v>20</v>
      </c>
      <c r="C44" s="70"/>
      <c r="D44" s="70"/>
      <c r="E44" s="70"/>
      <c r="F44" s="70"/>
      <c r="G44" s="71">
        <v>1</v>
      </c>
      <c r="H44" s="72"/>
      <c r="I44" s="71"/>
      <c r="J44" s="72"/>
      <c r="K44" s="11"/>
      <c r="L44" s="13"/>
    </row>
    <row r="45" spans="1:12" ht="15.75" thickBot="1" x14ac:dyDescent="0.3">
      <c r="A45" s="14"/>
      <c r="B45" s="77" t="s">
        <v>21</v>
      </c>
      <c r="C45" s="77"/>
      <c r="D45" s="77"/>
      <c r="E45" s="77"/>
      <c r="F45" s="69"/>
      <c r="G45" s="78">
        <v>0</v>
      </c>
      <c r="H45" s="79"/>
      <c r="I45" s="80"/>
      <c r="J45" s="81"/>
      <c r="K45" s="11"/>
      <c r="L45" s="13"/>
    </row>
    <row r="46" spans="1:12" ht="15.75" thickBot="1" x14ac:dyDescent="0.3">
      <c r="A46" s="14"/>
      <c r="B46" s="69" t="s">
        <v>22</v>
      </c>
      <c r="C46" s="70"/>
      <c r="D46" s="70"/>
      <c r="E46" s="70"/>
      <c r="F46" s="70"/>
      <c r="G46" s="76">
        <f>L40+G45</f>
        <v>1</v>
      </c>
      <c r="H46" s="72"/>
      <c r="I46" s="71"/>
      <c r="J46" s="72"/>
      <c r="K46" s="11"/>
      <c r="L46" s="13"/>
    </row>
    <row r="47" spans="1:12" ht="15.75" thickBot="1" x14ac:dyDescent="0.3">
      <c r="A47" s="4"/>
      <c r="B47" s="69" t="s">
        <v>23</v>
      </c>
      <c r="C47" s="70"/>
      <c r="D47" s="70"/>
      <c r="E47" s="70"/>
      <c r="F47" s="70"/>
      <c r="G47" s="76">
        <f>G43+G44-G46</f>
        <v>0</v>
      </c>
      <c r="H47" s="72"/>
      <c r="I47" s="71"/>
      <c r="J47" s="72"/>
      <c r="K47" s="11"/>
      <c r="L47" s="3"/>
    </row>
    <row r="48" spans="1:12" ht="15.75" thickBot="1" x14ac:dyDescent="0.3">
      <c r="A48" s="4"/>
      <c r="B48" s="69" t="s">
        <v>24</v>
      </c>
      <c r="C48" s="70"/>
      <c r="D48" s="70"/>
      <c r="E48" s="70"/>
      <c r="F48" s="70"/>
      <c r="G48" s="71">
        <v>0</v>
      </c>
      <c r="H48" s="72"/>
      <c r="I48" s="71"/>
      <c r="J48" s="72"/>
      <c r="K48" s="11"/>
      <c r="L48" s="3"/>
    </row>
    <row r="49" spans="1:12" ht="15.75" thickBot="1" x14ac:dyDescent="0.3">
      <c r="A49" s="4"/>
      <c r="B49" s="69" t="s">
        <v>25</v>
      </c>
      <c r="C49" s="70"/>
      <c r="D49" s="70"/>
      <c r="E49" s="70"/>
      <c r="F49" s="70"/>
      <c r="G49" s="73">
        <f>G47-G48</f>
        <v>0</v>
      </c>
      <c r="H49" s="74"/>
      <c r="I49" s="75"/>
      <c r="J49" s="74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M14" sqref="M14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89" t="s">
        <v>0</v>
      </c>
      <c r="B1" s="89"/>
      <c r="C1" s="89"/>
      <c r="D1" s="89"/>
      <c r="E1" s="35"/>
      <c r="F1" s="36"/>
      <c r="G1" s="90" t="s">
        <v>1</v>
      </c>
      <c r="H1" s="90"/>
      <c r="I1" s="90"/>
      <c r="J1" s="90"/>
      <c r="K1" s="90"/>
      <c r="L1" s="90"/>
    </row>
    <row r="2" spans="1:12" ht="15.75" x14ac:dyDescent="0.25">
      <c r="A2" s="90" t="s">
        <v>2</v>
      </c>
      <c r="B2" s="90"/>
      <c r="C2" s="90"/>
      <c r="D2" s="90"/>
      <c r="E2" s="35"/>
      <c r="F2" s="36"/>
      <c r="G2" s="100" t="s">
        <v>3</v>
      </c>
      <c r="H2" s="100"/>
      <c r="I2" s="100"/>
      <c r="J2" s="100"/>
      <c r="K2" s="100"/>
      <c r="L2" s="100"/>
    </row>
    <row r="3" spans="1:12" x14ac:dyDescent="0.25">
      <c r="A3" s="100" t="s">
        <v>4</v>
      </c>
      <c r="B3" s="100"/>
      <c r="C3" s="100"/>
      <c r="D3" s="100"/>
      <c r="E3" s="35"/>
      <c r="F3" s="36"/>
      <c r="G3" s="100" t="s">
        <v>28</v>
      </c>
      <c r="H3" s="100"/>
      <c r="I3" s="100"/>
      <c r="J3" s="100"/>
      <c r="K3" s="100"/>
      <c r="L3" s="100"/>
    </row>
    <row r="4" spans="1:12" ht="18" x14ac:dyDescent="0.25">
      <c r="A4" s="89" t="s">
        <v>5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</row>
    <row r="5" spans="1:12" ht="15.75" x14ac:dyDescent="0.25">
      <c r="A5" s="90" t="s">
        <v>36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1"/>
      <c r="I6" s="91"/>
      <c r="J6" s="12"/>
      <c r="K6" s="37"/>
      <c r="L6" s="3"/>
    </row>
    <row r="7" spans="1:12" x14ac:dyDescent="0.25">
      <c r="A7" s="92" t="s">
        <v>7</v>
      </c>
      <c r="B7" s="94" t="s">
        <v>8</v>
      </c>
      <c r="C7" s="95"/>
      <c r="D7" s="95"/>
      <c r="E7" s="95"/>
      <c r="F7" s="96"/>
      <c r="G7" s="97" t="s">
        <v>9</v>
      </c>
      <c r="H7" s="95"/>
      <c r="I7" s="95"/>
      <c r="J7" s="95"/>
      <c r="K7" s="96"/>
      <c r="L7" s="98" t="s">
        <v>10</v>
      </c>
    </row>
    <row r="8" spans="1:12" ht="15.75" thickBot="1" x14ac:dyDescent="0.3">
      <c r="A8" s="93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99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>
        <v>28</v>
      </c>
      <c r="H22" s="22"/>
      <c r="I22" s="22"/>
      <c r="J22" s="22"/>
      <c r="K22" s="15">
        <f t="shared" si="1"/>
        <v>28</v>
      </c>
      <c r="L22" s="7">
        <f t="shared" si="2"/>
        <v>28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58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4">
        <f>SUM(B9:B39)</f>
        <v>0</v>
      </c>
      <c r="C40" s="64">
        <f t="shared" ref="C40:E40" si="3">SUM(C9:C39)</f>
        <v>0</v>
      </c>
      <c r="D40" s="64">
        <f t="shared" si="3"/>
        <v>0</v>
      </c>
      <c r="E40" s="64">
        <f t="shared" si="3"/>
        <v>0</v>
      </c>
      <c r="F40" s="63">
        <f>SUM(F9:F39)</f>
        <v>0</v>
      </c>
      <c r="G40" s="16">
        <f>SUM(G9:G39)</f>
        <v>28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28</v>
      </c>
      <c r="L40" s="16">
        <f t="shared" si="4"/>
        <v>28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2"/>
      <c r="B42" s="82"/>
      <c r="C42" s="82"/>
      <c r="D42" s="82"/>
      <c r="E42" s="82"/>
      <c r="F42" s="82"/>
      <c r="G42" s="83" t="s">
        <v>17</v>
      </c>
      <c r="H42" s="84"/>
      <c r="I42" s="84" t="s">
        <v>18</v>
      </c>
      <c r="J42" s="85"/>
      <c r="K42" s="11"/>
      <c r="L42" s="13"/>
    </row>
    <row r="43" spans="1:12" ht="15.75" thickBot="1" x14ac:dyDescent="0.3">
      <c r="A43" s="14"/>
      <c r="B43" s="69" t="s">
        <v>19</v>
      </c>
      <c r="C43" s="70"/>
      <c r="D43" s="70"/>
      <c r="E43" s="70"/>
      <c r="F43" s="70"/>
      <c r="G43" s="80">
        <v>0</v>
      </c>
      <c r="H43" s="86"/>
      <c r="I43" s="87"/>
      <c r="J43" s="88"/>
      <c r="K43" s="11"/>
      <c r="L43" s="13"/>
    </row>
    <row r="44" spans="1:12" ht="15.75" thickBot="1" x14ac:dyDescent="0.3">
      <c r="A44" s="14"/>
      <c r="B44" s="69" t="s">
        <v>20</v>
      </c>
      <c r="C44" s="70"/>
      <c r="D44" s="70"/>
      <c r="E44" s="70"/>
      <c r="F44" s="70"/>
      <c r="G44" s="71">
        <v>28</v>
      </c>
      <c r="H44" s="72"/>
      <c r="I44" s="71"/>
      <c r="J44" s="72"/>
      <c r="K44" s="11"/>
      <c r="L44" s="13"/>
    </row>
    <row r="45" spans="1:12" ht="15.75" thickBot="1" x14ac:dyDescent="0.3">
      <c r="A45" s="14"/>
      <c r="B45" s="77" t="s">
        <v>21</v>
      </c>
      <c r="C45" s="77"/>
      <c r="D45" s="77"/>
      <c r="E45" s="77"/>
      <c r="F45" s="69"/>
      <c r="G45" s="78">
        <v>0</v>
      </c>
      <c r="H45" s="79"/>
      <c r="I45" s="80"/>
      <c r="J45" s="81"/>
      <c r="K45" s="11"/>
      <c r="L45" s="13"/>
    </row>
    <row r="46" spans="1:12" ht="15.75" thickBot="1" x14ac:dyDescent="0.3">
      <c r="A46" s="14"/>
      <c r="B46" s="69" t="s">
        <v>22</v>
      </c>
      <c r="C46" s="70"/>
      <c r="D46" s="70"/>
      <c r="E46" s="70"/>
      <c r="F46" s="70"/>
      <c r="G46" s="76">
        <f>L40+G45</f>
        <v>28</v>
      </c>
      <c r="H46" s="72"/>
      <c r="I46" s="71"/>
      <c r="J46" s="72"/>
      <c r="K46" s="11"/>
      <c r="L46" s="13"/>
    </row>
    <row r="47" spans="1:12" ht="15.75" thickBot="1" x14ac:dyDescent="0.3">
      <c r="A47" s="4"/>
      <c r="B47" s="69" t="s">
        <v>23</v>
      </c>
      <c r="C47" s="70"/>
      <c r="D47" s="70"/>
      <c r="E47" s="70"/>
      <c r="F47" s="70"/>
      <c r="G47" s="76">
        <f>G43+G44-G46</f>
        <v>0</v>
      </c>
      <c r="H47" s="72"/>
      <c r="I47" s="71"/>
      <c r="J47" s="72"/>
      <c r="K47" s="11"/>
      <c r="L47" s="3"/>
    </row>
    <row r="48" spans="1:12" ht="15.75" thickBot="1" x14ac:dyDescent="0.3">
      <c r="A48" s="4"/>
      <c r="B48" s="69" t="s">
        <v>24</v>
      </c>
      <c r="C48" s="70"/>
      <c r="D48" s="70"/>
      <c r="E48" s="70"/>
      <c r="F48" s="70"/>
      <c r="G48" s="71">
        <v>0</v>
      </c>
      <c r="H48" s="72"/>
      <c r="I48" s="71"/>
      <c r="J48" s="72"/>
      <c r="K48" s="11"/>
      <c r="L48" s="3"/>
    </row>
    <row r="49" spans="1:12" ht="15.75" thickBot="1" x14ac:dyDescent="0.3">
      <c r="A49" s="4"/>
      <c r="B49" s="69" t="s">
        <v>25</v>
      </c>
      <c r="C49" s="70"/>
      <c r="D49" s="70"/>
      <c r="E49" s="70"/>
      <c r="F49" s="70"/>
      <c r="G49" s="73">
        <f>G47-G48</f>
        <v>0</v>
      </c>
      <c r="H49" s="74"/>
      <c r="I49" s="75"/>
      <c r="J49" s="74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2" workbookViewId="0">
      <selection activeCell="G38" sqref="G38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89" t="s">
        <v>0</v>
      </c>
      <c r="B1" s="89"/>
      <c r="C1" s="89"/>
      <c r="D1" s="89"/>
      <c r="E1" s="35"/>
      <c r="F1" s="36"/>
      <c r="G1" s="90" t="s">
        <v>1</v>
      </c>
      <c r="H1" s="90"/>
      <c r="I1" s="90"/>
      <c r="J1" s="90"/>
      <c r="K1" s="90"/>
      <c r="L1" s="90"/>
    </row>
    <row r="2" spans="1:12" ht="15.75" x14ac:dyDescent="0.25">
      <c r="A2" s="90" t="s">
        <v>2</v>
      </c>
      <c r="B2" s="90"/>
      <c r="C2" s="90"/>
      <c r="D2" s="90"/>
      <c r="E2" s="35"/>
      <c r="F2" s="36"/>
      <c r="G2" s="100" t="s">
        <v>3</v>
      </c>
      <c r="H2" s="100"/>
      <c r="I2" s="100"/>
      <c r="J2" s="100"/>
      <c r="K2" s="100"/>
      <c r="L2" s="100"/>
    </row>
    <row r="3" spans="1:12" x14ac:dyDescent="0.25">
      <c r="A3" s="100" t="s">
        <v>4</v>
      </c>
      <c r="B3" s="100"/>
      <c r="C3" s="100"/>
      <c r="D3" s="100"/>
      <c r="E3" s="35"/>
      <c r="F3" s="36"/>
      <c r="G3" s="100" t="s">
        <v>28</v>
      </c>
      <c r="H3" s="100"/>
      <c r="I3" s="100"/>
      <c r="J3" s="100"/>
      <c r="K3" s="100"/>
      <c r="L3" s="100"/>
    </row>
    <row r="4" spans="1:12" ht="18" x14ac:dyDescent="0.25">
      <c r="A4" s="89" t="s">
        <v>5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</row>
    <row r="5" spans="1:12" ht="15.75" x14ac:dyDescent="0.25">
      <c r="A5" s="90" t="s">
        <v>37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1"/>
      <c r="I6" s="91"/>
      <c r="J6" s="12"/>
      <c r="K6" s="37"/>
      <c r="L6" s="3"/>
    </row>
    <row r="7" spans="1:12" x14ac:dyDescent="0.25">
      <c r="A7" s="92" t="s">
        <v>7</v>
      </c>
      <c r="B7" s="94" t="s">
        <v>8</v>
      </c>
      <c r="C7" s="95"/>
      <c r="D7" s="95"/>
      <c r="E7" s="95"/>
      <c r="F7" s="96"/>
      <c r="G7" s="97" t="s">
        <v>9</v>
      </c>
      <c r="H7" s="95"/>
      <c r="I7" s="95"/>
      <c r="J7" s="95"/>
      <c r="K7" s="96"/>
      <c r="L7" s="98" t="s">
        <v>10</v>
      </c>
    </row>
    <row r="8" spans="1:12" ht="15.75" thickBot="1" x14ac:dyDescent="0.3">
      <c r="A8" s="93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99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>
        <v>3</v>
      </c>
      <c r="C10" s="22"/>
      <c r="D10" s="22"/>
      <c r="E10" s="23"/>
      <c r="F10" s="17">
        <f t="shared" ref="F10:F39" si="0">SUM(B10:E10)</f>
        <v>3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3</v>
      </c>
    </row>
    <row r="11" spans="1:12" ht="15.75" thickBot="1" x14ac:dyDescent="0.3">
      <c r="A11" s="8">
        <v>3</v>
      </c>
      <c r="B11" s="21">
        <v>3</v>
      </c>
      <c r="C11" s="22"/>
      <c r="D11" s="22"/>
      <c r="E11" s="24"/>
      <c r="F11" s="17">
        <f t="shared" si="0"/>
        <v>3</v>
      </c>
      <c r="G11" s="30"/>
      <c r="H11" s="22"/>
      <c r="I11" s="22"/>
      <c r="J11" s="22"/>
      <c r="K11" s="15">
        <f t="shared" si="1"/>
        <v>0</v>
      </c>
      <c r="L11" s="7">
        <f t="shared" si="2"/>
        <v>3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>
        <v>1</v>
      </c>
      <c r="C15" s="22"/>
      <c r="D15" s="22"/>
      <c r="E15" s="23"/>
      <c r="F15" s="17">
        <f t="shared" si="0"/>
        <v>1</v>
      </c>
      <c r="G15" s="30"/>
      <c r="H15" s="22"/>
      <c r="I15" s="22"/>
      <c r="J15" s="22"/>
      <c r="K15" s="15">
        <f t="shared" si="1"/>
        <v>0</v>
      </c>
      <c r="L15" s="7">
        <f t="shared" si="2"/>
        <v>1</v>
      </c>
    </row>
    <row r="16" spans="1:12" ht="15.75" thickBot="1" x14ac:dyDescent="0.3">
      <c r="A16" s="8">
        <v>8</v>
      </c>
      <c r="B16" s="21"/>
      <c r="C16" s="25">
        <v>2</v>
      </c>
      <c r="D16" s="22"/>
      <c r="E16" s="23"/>
      <c r="F16" s="17">
        <f t="shared" si="0"/>
        <v>2</v>
      </c>
      <c r="G16" s="30"/>
      <c r="H16" s="22"/>
      <c r="I16" s="22"/>
      <c r="J16" s="22"/>
      <c r="K16" s="15">
        <f t="shared" si="1"/>
        <v>0</v>
      </c>
      <c r="L16" s="7">
        <f t="shared" si="2"/>
        <v>2</v>
      </c>
    </row>
    <row r="17" spans="1:12" ht="15.75" thickBot="1" x14ac:dyDescent="0.3">
      <c r="A17" s="8">
        <v>9</v>
      </c>
      <c r="B17" s="21">
        <v>1</v>
      </c>
      <c r="C17" s="22"/>
      <c r="D17" s="22"/>
      <c r="E17" s="23"/>
      <c r="F17" s="17">
        <f t="shared" si="0"/>
        <v>1</v>
      </c>
      <c r="G17" s="30"/>
      <c r="H17" s="22"/>
      <c r="I17" s="22"/>
      <c r="J17" s="22"/>
      <c r="K17" s="15">
        <f t="shared" si="1"/>
        <v>0</v>
      </c>
      <c r="L17" s="7">
        <f t="shared" si="2"/>
        <v>1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>
        <v>1</v>
      </c>
      <c r="E25" s="23"/>
      <c r="F25" s="17">
        <f t="shared" si="0"/>
        <v>1</v>
      </c>
      <c r="G25" s="30"/>
      <c r="H25" s="22"/>
      <c r="I25" s="22"/>
      <c r="J25" s="22"/>
      <c r="K25" s="15">
        <f t="shared" si="1"/>
        <v>0</v>
      </c>
      <c r="L25" s="7">
        <f t="shared" si="2"/>
        <v>1</v>
      </c>
    </row>
    <row r="26" spans="1:12" ht="15.75" thickBot="1" x14ac:dyDescent="0.3">
      <c r="A26" s="8">
        <v>18</v>
      </c>
      <c r="B26" s="21">
        <v>1</v>
      </c>
      <c r="C26" s="22"/>
      <c r="D26" s="22"/>
      <c r="E26" s="23"/>
      <c r="F26" s="17">
        <f t="shared" si="0"/>
        <v>1</v>
      </c>
      <c r="G26" s="30"/>
      <c r="H26" s="22"/>
      <c r="I26" s="22"/>
      <c r="J26" s="22"/>
      <c r="K26" s="15">
        <f t="shared" si="1"/>
        <v>0</v>
      </c>
      <c r="L26" s="7">
        <f t="shared" si="2"/>
        <v>1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>
        <v>3</v>
      </c>
      <c r="C29" s="22"/>
      <c r="D29" s="22"/>
      <c r="E29" s="23"/>
      <c r="F29" s="17">
        <f t="shared" si="0"/>
        <v>3</v>
      </c>
      <c r="G29" s="30">
        <v>22</v>
      </c>
      <c r="H29" s="22"/>
      <c r="I29" s="22"/>
      <c r="J29" s="22"/>
      <c r="K29" s="15">
        <f t="shared" si="1"/>
        <v>22</v>
      </c>
      <c r="L29" s="7">
        <f t="shared" si="2"/>
        <v>25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>
        <v>10</v>
      </c>
      <c r="H32" s="22"/>
      <c r="I32" s="22"/>
      <c r="J32" s="22"/>
      <c r="K32" s="15">
        <f t="shared" si="1"/>
        <v>10</v>
      </c>
      <c r="L32" s="7">
        <f t="shared" si="2"/>
        <v>10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58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>
        <v>10</v>
      </c>
      <c r="H36" s="22"/>
      <c r="I36" s="22"/>
      <c r="J36" s="22"/>
      <c r="K36" s="15">
        <f t="shared" si="1"/>
        <v>10</v>
      </c>
      <c r="L36" s="7">
        <f t="shared" si="2"/>
        <v>10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>
        <v>20</v>
      </c>
      <c r="H37" s="22"/>
      <c r="I37" s="22"/>
      <c r="J37" s="22"/>
      <c r="K37" s="15">
        <f t="shared" si="1"/>
        <v>20</v>
      </c>
      <c r="L37" s="7">
        <f t="shared" si="2"/>
        <v>20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6">
        <f>SUM(B9:B39)</f>
        <v>12</v>
      </c>
      <c r="C40" s="66">
        <f t="shared" ref="C40:E40" si="3">SUM(C9:C39)</f>
        <v>2</v>
      </c>
      <c r="D40" s="66">
        <f t="shared" si="3"/>
        <v>1</v>
      </c>
      <c r="E40" s="66">
        <f t="shared" si="3"/>
        <v>0</v>
      </c>
      <c r="F40" s="65">
        <f>SUM(F9:F39)</f>
        <v>15</v>
      </c>
      <c r="G40" s="16">
        <f>SUM(G9:G39)</f>
        <v>62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62</v>
      </c>
      <c r="L40" s="16">
        <f t="shared" si="4"/>
        <v>77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2"/>
      <c r="B42" s="82"/>
      <c r="C42" s="82"/>
      <c r="D42" s="82"/>
      <c r="E42" s="82"/>
      <c r="F42" s="82"/>
      <c r="G42" s="83" t="s">
        <v>17</v>
      </c>
      <c r="H42" s="84"/>
      <c r="I42" s="84" t="s">
        <v>18</v>
      </c>
      <c r="J42" s="85"/>
      <c r="K42" s="11"/>
      <c r="L42" s="13"/>
    </row>
    <row r="43" spans="1:12" ht="15.75" thickBot="1" x14ac:dyDescent="0.3">
      <c r="A43" s="14"/>
      <c r="B43" s="69" t="s">
        <v>19</v>
      </c>
      <c r="C43" s="70"/>
      <c r="D43" s="70"/>
      <c r="E43" s="70"/>
      <c r="F43" s="70"/>
      <c r="G43" s="80">
        <v>0</v>
      </c>
      <c r="H43" s="86"/>
      <c r="I43" s="87"/>
      <c r="J43" s="88"/>
      <c r="K43" s="11"/>
      <c r="L43" s="13"/>
    </row>
    <row r="44" spans="1:12" ht="15.75" thickBot="1" x14ac:dyDescent="0.3">
      <c r="A44" s="14"/>
      <c r="B44" s="69" t="s">
        <v>20</v>
      </c>
      <c r="C44" s="70"/>
      <c r="D44" s="70"/>
      <c r="E44" s="70"/>
      <c r="F44" s="70"/>
      <c r="G44" s="71">
        <v>77</v>
      </c>
      <c r="H44" s="72"/>
      <c r="I44" s="71"/>
      <c r="J44" s="72"/>
      <c r="K44" s="11"/>
      <c r="L44" s="13"/>
    </row>
    <row r="45" spans="1:12" ht="15.75" thickBot="1" x14ac:dyDescent="0.3">
      <c r="A45" s="14"/>
      <c r="B45" s="77" t="s">
        <v>21</v>
      </c>
      <c r="C45" s="77"/>
      <c r="D45" s="77"/>
      <c r="E45" s="77"/>
      <c r="F45" s="69"/>
      <c r="G45" s="78">
        <v>0</v>
      </c>
      <c r="H45" s="79"/>
      <c r="I45" s="80"/>
      <c r="J45" s="81"/>
      <c r="K45" s="11"/>
      <c r="L45" s="13"/>
    </row>
    <row r="46" spans="1:12" ht="15.75" thickBot="1" x14ac:dyDescent="0.3">
      <c r="A46" s="14"/>
      <c r="B46" s="69" t="s">
        <v>22</v>
      </c>
      <c r="C46" s="70"/>
      <c r="D46" s="70"/>
      <c r="E46" s="70"/>
      <c r="F46" s="70"/>
      <c r="G46" s="76">
        <f>L40+G45</f>
        <v>77</v>
      </c>
      <c r="H46" s="72"/>
      <c r="I46" s="71"/>
      <c r="J46" s="72"/>
      <c r="K46" s="11"/>
      <c r="L46" s="13"/>
    </row>
    <row r="47" spans="1:12" ht="15.75" thickBot="1" x14ac:dyDescent="0.3">
      <c r="A47" s="4"/>
      <c r="B47" s="69" t="s">
        <v>23</v>
      </c>
      <c r="C47" s="70"/>
      <c r="D47" s="70"/>
      <c r="E47" s="70"/>
      <c r="F47" s="70"/>
      <c r="G47" s="76">
        <f>G43+G44-G46</f>
        <v>0</v>
      </c>
      <c r="H47" s="72"/>
      <c r="I47" s="71"/>
      <c r="J47" s="72"/>
      <c r="K47" s="11"/>
      <c r="L47" s="3"/>
    </row>
    <row r="48" spans="1:12" ht="15.75" thickBot="1" x14ac:dyDescent="0.3">
      <c r="A48" s="4"/>
      <c r="B48" s="69" t="s">
        <v>24</v>
      </c>
      <c r="C48" s="70"/>
      <c r="D48" s="70"/>
      <c r="E48" s="70"/>
      <c r="F48" s="70"/>
      <c r="G48" s="71">
        <v>0</v>
      </c>
      <c r="H48" s="72"/>
      <c r="I48" s="71"/>
      <c r="J48" s="72"/>
      <c r="K48" s="11"/>
      <c r="L48" s="3"/>
    </row>
    <row r="49" spans="1:12" ht="15.75" thickBot="1" x14ac:dyDescent="0.3">
      <c r="A49" s="4"/>
      <c r="B49" s="69" t="s">
        <v>25</v>
      </c>
      <c r="C49" s="70"/>
      <c r="D49" s="70"/>
      <c r="E49" s="70"/>
      <c r="F49" s="70"/>
      <c r="G49" s="73">
        <f>G47-G48</f>
        <v>0</v>
      </c>
      <c r="H49" s="74"/>
      <c r="I49" s="75"/>
      <c r="J49" s="74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abSelected="1" topLeftCell="A22" workbookViewId="0">
      <selection activeCell="G37" sqref="G37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89" t="s">
        <v>0</v>
      </c>
      <c r="B1" s="89"/>
      <c r="C1" s="89"/>
      <c r="D1" s="89"/>
      <c r="E1" s="35"/>
      <c r="F1" s="36"/>
      <c r="G1" s="90" t="s">
        <v>1</v>
      </c>
      <c r="H1" s="90"/>
      <c r="I1" s="90"/>
      <c r="J1" s="90"/>
      <c r="K1" s="90"/>
      <c r="L1" s="90"/>
    </row>
    <row r="2" spans="1:12" ht="15.75" x14ac:dyDescent="0.25">
      <c r="A2" s="90" t="s">
        <v>2</v>
      </c>
      <c r="B2" s="90"/>
      <c r="C2" s="90"/>
      <c r="D2" s="90"/>
      <c r="E2" s="35"/>
      <c r="F2" s="36"/>
      <c r="G2" s="100" t="s">
        <v>3</v>
      </c>
      <c r="H2" s="100"/>
      <c r="I2" s="100"/>
      <c r="J2" s="100"/>
      <c r="K2" s="100"/>
      <c r="L2" s="100"/>
    </row>
    <row r="3" spans="1:12" x14ac:dyDescent="0.25">
      <c r="A3" s="100" t="s">
        <v>4</v>
      </c>
      <c r="B3" s="100"/>
      <c r="C3" s="100"/>
      <c r="D3" s="100"/>
      <c r="E3" s="35"/>
      <c r="F3" s="36"/>
      <c r="G3" s="100" t="s">
        <v>28</v>
      </c>
      <c r="H3" s="100"/>
      <c r="I3" s="100"/>
      <c r="J3" s="100"/>
      <c r="K3" s="100"/>
      <c r="L3" s="100"/>
    </row>
    <row r="4" spans="1:12" ht="18" x14ac:dyDescent="0.25">
      <c r="A4" s="89" t="s">
        <v>5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</row>
    <row r="5" spans="1:12" ht="15.75" x14ac:dyDescent="0.25">
      <c r="A5" s="90" t="s">
        <v>38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1"/>
      <c r="I6" s="91"/>
      <c r="J6" s="12"/>
      <c r="K6" s="37"/>
      <c r="L6" s="3"/>
    </row>
    <row r="7" spans="1:12" x14ac:dyDescent="0.25">
      <c r="A7" s="92" t="s">
        <v>7</v>
      </c>
      <c r="B7" s="94" t="s">
        <v>8</v>
      </c>
      <c r="C7" s="95"/>
      <c r="D7" s="95"/>
      <c r="E7" s="95"/>
      <c r="F7" s="96"/>
      <c r="G7" s="97" t="s">
        <v>9</v>
      </c>
      <c r="H7" s="95"/>
      <c r="I7" s="95"/>
      <c r="J7" s="95"/>
      <c r="K7" s="96"/>
      <c r="L7" s="98" t="s">
        <v>10</v>
      </c>
    </row>
    <row r="8" spans="1:12" ht="15.75" thickBot="1" x14ac:dyDescent="0.3">
      <c r="A8" s="93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99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>
        <v>10</v>
      </c>
      <c r="H9" s="29"/>
      <c r="I9" s="29"/>
      <c r="J9" s="29"/>
      <c r="K9" s="15">
        <f>SUM(G9:J9)</f>
        <v>10</v>
      </c>
      <c r="L9" s="7">
        <f>SUM(F9+K9)</f>
        <v>10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>
        <v>1</v>
      </c>
      <c r="C14" s="22"/>
      <c r="D14" s="22"/>
      <c r="E14" s="23"/>
      <c r="F14" s="17">
        <f t="shared" si="0"/>
        <v>1</v>
      </c>
      <c r="G14" s="30">
        <v>20</v>
      </c>
      <c r="H14" s="22"/>
      <c r="I14" s="22"/>
      <c r="J14" s="22"/>
      <c r="K14" s="15">
        <f t="shared" si="1"/>
        <v>20</v>
      </c>
      <c r="L14" s="7">
        <f t="shared" si="2"/>
        <v>21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>
        <v>20</v>
      </c>
      <c r="H15" s="22"/>
      <c r="I15" s="22"/>
      <c r="J15" s="22"/>
      <c r="K15" s="15">
        <f t="shared" si="1"/>
        <v>20</v>
      </c>
      <c r="L15" s="7">
        <f t="shared" si="2"/>
        <v>20</v>
      </c>
    </row>
    <row r="16" spans="1:12" ht="15.75" thickBot="1" x14ac:dyDescent="0.3">
      <c r="A16" s="8">
        <v>8</v>
      </c>
      <c r="B16" s="21"/>
      <c r="C16" s="25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>
        <v>20</v>
      </c>
      <c r="H22" s="22"/>
      <c r="I22" s="22"/>
      <c r="J22" s="22"/>
      <c r="K22" s="15">
        <f t="shared" si="1"/>
        <v>20</v>
      </c>
      <c r="L22" s="7">
        <f t="shared" si="2"/>
        <v>20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>
        <v>20</v>
      </c>
      <c r="H23" s="22"/>
      <c r="I23" s="22"/>
      <c r="J23" s="22"/>
      <c r="K23" s="15">
        <f t="shared" si="1"/>
        <v>20</v>
      </c>
      <c r="L23" s="7">
        <f t="shared" si="2"/>
        <v>20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>
        <v>50</v>
      </c>
      <c r="H24" s="22"/>
      <c r="I24" s="22"/>
      <c r="J24" s="22"/>
      <c r="K24" s="15">
        <f t="shared" si="1"/>
        <v>50</v>
      </c>
      <c r="L24" s="7">
        <f t="shared" si="2"/>
        <v>50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>
        <v>10</v>
      </c>
      <c r="H27" s="22"/>
      <c r="I27" s="22"/>
      <c r="J27" s="22"/>
      <c r="K27" s="15">
        <f t="shared" si="1"/>
        <v>10</v>
      </c>
      <c r="L27" s="7">
        <f t="shared" si="2"/>
        <v>10</v>
      </c>
    </row>
    <row r="28" spans="1:12" ht="15.75" thickBot="1" x14ac:dyDescent="0.3">
      <c r="A28" s="8">
        <v>20</v>
      </c>
      <c r="B28" s="21">
        <v>1</v>
      </c>
      <c r="C28" s="22"/>
      <c r="D28" s="22"/>
      <c r="E28" s="23"/>
      <c r="F28" s="17">
        <f t="shared" si="0"/>
        <v>1</v>
      </c>
      <c r="G28" s="30"/>
      <c r="H28" s="22"/>
      <c r="I28" s="22"/>
      <c r="J28" s="22"/>
      <c r="K28" s="15">
        <f t="shared" si="1"/>
        <v>0</v>
      </c>
      <c r="L28" s="7">
        <f t="shared" si="2"/>
        <v>1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>
        <v>1</v>
      </c>
      <c r="C31" s="22"/>
      <c r="D31" s="22"/>
      <c r="E31" s="23"/>
      <c r="F31" s="17">
        <f t="shared" si="0"/>
        <v>1</v>
      </c>
      <c r="G31" s="30"/>
      <c r="H31" s="22"/>
      <c r="I31" s="22"/>
      <c r="J31" s="22"/>
      <c r="K31" s="15">
        <f t="shared" si="1"/>
        <v>0</v>
      </c>
      <c r="L31" s="7">
        <f t="shared" si="2"/>
        <v>1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58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>
        <v>20</v>
      </c>
      <c r="H36" s="22"/>
      <c r="I36" s="22"/>
      <c r="J36" s="22"/>
      <c r="K36" s="15">
        <f t="shared" si="1"/>
        <v>20</v>
      </c>
      <c r="L36" s="7">
        <f t="shared" si="2"/>
        <v>20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8">
        <f>SUM(B9:B39)</f>
        <v>3</v>
      </c>
      <c r="C40" s="68">
        <f t="shared" ref="C40:E40" si="3">SUM(C9:C39)</f>
        <v>0</v>
      </c>
      <c r="D40" s="68">
        <f t="shared" si="3"/>
        <v>0</v>
      </c>
      <c r="E40" s="68">
        <f t="shared" si="3"/>
        <v>0</v>
      </c>
      <c r="F40" s="67">
        <f>SUM(F9:F39)</f>
        <v>3</v>
      </c>
      <c r="G40" s="16">
        <f>SUM(G9:G39)</f>
        <v>170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170</v>
      </c>
      <c r="L40" s="16">
        <f t="shared" si="4"/>
        <v>173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2"/>
      <c r="B42" s="82"/>
      <c r="C42" s="82"/>
      <c r="D42" s="82"/>
      <c r="E42" s="82"/>
      <c r="F42" s="82"/>
      <c r="G42" s="83" t="s">
        <v>17</v>
      </c>
      <c r="H42" s="84"/>
      <c r="I42" s="84" t="s">
        <v>18</v>
      </c>
      <c r="J42" s="85"/>
      <c r="K42" s="11"/>
      <c r="L42" s="13"/>
    </row>
    <row r="43" spans="1:12" ht="15.75" thickBot="1" x14ac:dyDescent="0.3">
      <c r="A43" s="14"/>
      <c r="B43" s="69" t="s">
        <v>19</v>
      </c>
      <c r="C43" s="70"/>
      <c r="D43" s="70"/>
      <c r="E43" s="70"/>
      <c r="F43" s="70"/>
      <c r="G43" s="80">
        <v>0</v>
      </c>
      <c r="H43" s="86"/>
      <c r="I43" s="87"/>
      <c r="J43" s="88"/>
      <c r="K43" s="11"/>
      <c r="L43" s="13"/>
    </row>
    <row r="44" spans="1:12" ht="15.75" thickBot="1" x14ac:dyDescent="0.3">
      <c r="A44" s="14"/>
      <c r="B44" s="69" t="s">
        <v>20</v>
      </c>
      <c r="C44" s="70"/>
      <c r="D44" s="70"/>
      <c r="E44" s="70"/>
      <c r="F44" s="70"/>
      <c r="G44" s="71">
        <v>173</v>
      </c>
      <c r="H44" s="72"/>
      <c r="I44" s="71"/>
      <c r="J44" s="72"/>
      <c r="K44" s="11"/>
      <c r="L44" s="13"/>
    </row>
    <row r="45" spans="1:12" ht="15.75" thickBot="1" x14ac:dyDescent="0.3">
      <c r="A45" s="14"/>
      <c r="B45" s="77" t="s">
        <v>21</v>
      </c>
      <c r="C45" s="77"/>
      <c r="D45" s="77"/>
      <c r="E45" s="77"/>
      <c r="F45" s="69"/>
      <c r="G45" s="78">
        <v>0</v>
      </c>
      <c r="H45" s="79"/>
      <c r="I45" s="80"/>
      <c r="J45" s="81"/>
      <c r="K45" s="11"/>
      <c r="L45" s="13"/>
    </row>
    <row r="46" spans="1:12" ht="15.75" thickBot="1" x14ac:dyDescent="0.3">
      <c r="A46" s="14"/>
      <c r="B46" s="69" t="s">
        <v>22</v>
      </c>
      <c r="C46" s="70"/>
      <c r="D46" s="70"/>
      <c r="E46" s="70"/>
      <c r="F46" s="70"/>
      <c r="G46" s="76">
        <f>L40+G45</f>
        <v>173</v>
      </c>
      <c r="H46" s="72"/>
      <c r="I46" s="71"/>
      <c r="J46" s="72"/>
      <c r="K46" s="11"/>
      <c r="L46" s="13"/>
    </row>
    <row r="47" spans="1:12" ht="15.75" thickBot="1" x14ac:dyDescent="0.3">
      <c r="A47" s="4"/>
      <c r="B47" s="69" t="s">
        <v>23</v>
      </c>
      <c r="C47" s="70"/>
      <c r="D47" s="70"/>
      <c r="E47" s="70"/>
      <c r="F47" s="70"/>
      <c r="G47" s="76">
        <f>G43+G44-G46</f>
        <v>0</v>
      </c>
      <c r="H47" s="72"/>
      <c r="I47" s="71"/>
      <c r="J47" s="72"/>
      <c r="K47" s="11"/>
      <c r="L47" s="3"/>
    </row>
    <row r="48" spans="1:12" ht="15.75" thickBot="1" x14ac:dyDescent="0.3">
      <c r="A48" s="4"/>
      <c r="B48" s="69" t="s">
        <v>24</v>
      </c>
      <c r="C48" s="70"/>
      <c r="D48" s="70"/>
      <c r="E48" s="70"/>
      <c r="F48" s="70"/>
      <c r="G48" s="71">
        <v>0</v>
      </c>
      <c r="H48" s="72"/>
      <c r="I48" s="71"/>
      <c r="J48" s="72"/>
      <c r="K48" s="11"/>
      <c r="L48" s="3"/>
    </row>
    <row r="49" spans="1:12" ht="15.75" thickBot="1" x14ac:dyDescent="0.3">
      <c r="A49" s="4"/>
      <c r="B49" s="69" t="s">
        <v>25</v>
      </c>
      <c r="C49" s="70"/>
      <c r="D49" s="70"/>
      <c r="E49" s="70"/>
      <c r="F49" s="70"/>
      <c r="G49" s="73">
        <f>G47-G48</f>
        <v>0</v>
      </c>
      <c r="H49" s="74"/>
      <c r="I49" s="75"/>
      <c r="J49" s="74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JANVIER 2025</vt:lpstr>
      <vt:lpstr>FEVRIER 2025</vt:lpstr>
      <vt:lpstr>MARS 2025</vt:lpstr>
      <vt:lpstr>AVRIL 2025</vt:lpstr>
      <vt:lpstr>MAI 2025</vt:lpstr>
      <vt:lpstr>JUIN 2025</vt:lpstr>
      <vt:lpstr>JUILLET 2025</vt:lpstr>
      <vt:lpstr>AOUT 2025</vt:lpstr>
      <vt:lpstr>SEPTEMBRE 2025</vt:lpstr>
      <vt:lpstr>OCTOBRE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Lounnaci</cp:lastModifiedBy>
  <cp:lastPrinted>2025-09-03T12:12:31Z</cp:lastPrinted>
  <dcterms:created xsi:type="dcterms:W3CDTF">2014-12-31T15:22:06Z</dcterms:created>
  <dcterms:modified xsi:type="dcterms:W3CDTF">2025-11-09T13:03:08Z</dcterms:modified>
</cp:coreProperties>
</file>