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Suivie Pose Compteurs\Gestion Stock 2025\Gestion de Stock Berrouaghia\"/>
    </mc:Choice>
  </mc:AlternateContent>
  <bookViews>
    <workbookView xWindow="0" yWindow="0" windowWidth="16530" windowHeight="7755" activeTab="4"/>
  </bookViews>
  <sheets>
    <sheet name="Janvier 2025" sheetId="1" r:id="rId1"/>
    <sheet name="Fevrier 2025" sheetId="2" r:id="rId2"/>
    <sheet name="Mars 2025" sheetId="3" r:id="rId3"/>
    <sheet name="Avril 2025" sheetId="4" r:id="rId4"/>
    <sheet name="MAI 2025" sheetId="5" r:id="rId5"/>
  </sheets>
  <definedNames>
    <definedName name="_xlnm.Print_Titles" localSheetId="3">'Avril 2025'!$1:$6</definedName>
    <definedName name="_xlnm.Print_Titles" localSheetId="1">'Fevrier 2025'!$1:$6</definedName>
    <definedName name="_xlnm.Print_Titles" localSheetId="0">'Janvier 2025'!$1:$6</definedName>
    <definedName name="_xlnm.Print_Titles" localSheetId="4">'MAI 2025'!$1:$6</definedName>
    <definedName name="_xlnm.Print_Titles" localSheetId="2">'Mars 2025'!$1:$6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8" i="5" l="1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29" i="5" s="1"/>
  <c r="A30" i="5" s="1"/>
  <c r="A31" i="5" s="1"/>
  <c r="A32" i="5" s="1"/>
  <c r="A33" i="5" s="1"/>
  <c r="A34" i="5" s="1"/>
  <c r="A35" i="5" s="1"/>
  <c r="A36" i="5" s="1"/>
  <c r="A37" i="5" s="1"/>
  <c r="A38" i="5" s="1"/>
  <c r="A39" i="5" s="1"/>
  <c r="A40" i="5" s="1"/>
  <c r="A41" i="5" s="1"/>
  <c r="A42" i="5" s="1"/>
  <c r="A43" i="5" s="1"/>
  <c r="A44" i="5" s="1"/>
  <c r="A45" i="5" s="1"/>
  <c r="A46" i="5" s="1"/>
  <c r="A47" i="5" s="1"/>
  <c r="A48" i="5" s="1"/>
  <c r="A49" i="5" s="1"/>
  <c r="A50" i="5" s="1"/>
  <c r="A51" i="5" s="1"/>
  <c r="A52" i="5" s="1"/>
  <c r="A53" i="5" s="1"/>
  <c r="A54" i="5" s="1"/>
  <c r="A55" i="5" s="1"/>
  <c r="A56" i="5" s="1"/>
  <c r="A57" i="5" s="1"/>
  <c r="K4" i="5"/>
  <c r="K3" i="5"/>
  <c r="K2" i="5"/>
  <c r="K5" i="5" l="1"/>
  <c r="A9" i="4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A55" i="4" s="1"/>
  <c r="A56" i="4" s="1"/>
  <c r="A57" i="4" s="1"/>
  <c r="A8" i="4"/>
  <c r="K4" i="4"/>
  <c r="K3" i="4"/>
  <c r="K2" i="4"/>
  <c r="K5" i="4" l="1"/>
  <c r="A8" i="3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K4" i="3"/>
  <c r="K3" i="3"/>
  <c r="K2" i="3"/>
  <c r="K5" i="3" l="1"/>
  <c r="A9" i="2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8" i="2"/>
  <c r="K4" i="2"/>
  <c r="K3" i="2"/>
  <c r="K2" i="2"/>
  <c r="K5" i="2" l="1"/>
  <c r="A8" i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K4" i="1"/>
  <c r="K3" i="1"/>
  <c r="K2" i="1"/>
  <c r="A39" i="1" l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K5" i="1"/>
</calcChain>
</file>

<file path=xl/sharedStrings.xml><?xml version="1.0" encoding="utf-8"?>
<sst xmlns="http://schemas.openxmlformats.org/spreadsheetml/2006/main" count="720" uniqueCount="355">
  <si>
    <t>Algérienne des Eaux</t>
  </si>
  <si>
    <t>Centre de : Berrouaghia</t>
  </si>
  <si>
    <t>Zone d'Alger</t>
  </si>
  <si>
    <r>
      <t>Agence de</t>
    </r>
    <r>
      <rPr>
        <sz val="10"/>
        <rFont val="Arial"/>
        <family val="2"/>
      </rPr>
      <t xml:space="preserve"> : </t>
    </r>
    <r>
      <rPr>
        <b/>
        <sz val="10"/>
        <rFont val="Arial"/>
        <family val="2"/>
      </rPr>
      <t xml:space="preserve">Berrouaghia </t>
    </r>
  </si>
  <si>
    <t>Nbr Elémination de mois</t>
  </si>
  <si>
    <t>Unité de Médéa</t>
  </si>
  <si>
    <t xml:space="preserve">              </t>
  </si>
  <si>
    <t>Nouveau Branchement</t>
  </si>
  <si>
    <t xml:space="preserve">Suivi Pose Compteurs  </t>
  </si>
  <si>
    <t>Vente Compteur</t>
  </si>
  <si>
    <t>Total Compteurs</t>
  </si>
  <si>
    <t>N° d'ordre</t>
  </si>
  <si>
    <t>N° de Concession</t>
  </si>
  <si>
    <t>Diamètre de compteur</t>
  </si>
  <si>
    <t xml:space="preserve">N° de Série de compteur </t>
  </si>
  <si>
    <t>Date d'installation</t>
  </si>
  <si>
    <t>Observation</t>
  </si>
  <si>
    <t>CC</t>
  </si>
  <si>
    <t>15/21</t>
  </si>
  <si>
    <t>Elimination Forfait</t>
  </si>
  <si>
    <t>B1</t>
  </si>
  <si>
    <t>ff</t>
  </si>
  <si>
    <t>NB</t>
  </si>
  <si>
    <r>
      <t>Mois de Janvier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</si>
  <si>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t>B32219</t>
  </si>
  <si>
    <t>B32212</t>
  </si>
  <si>
    <t>B32483</t>
  </si>
  <si>
    <t>Toumi miloud</t>
  </si>
  <si>
    <t>NB(673/2022)</t>
  </si>
  <si>
    <t>B20796</t>
  </si>
  <si>
    <t>B3</t>
  </si>
  <si>
    <t>NB(596/2024)</t>
  </si>
  <si>
    <t xml:space="preserve">DGSN </t>
  </si>
  <si>
    <t>B41870</t>
  </si>
  <si>
    <t>NB(012/2025)</t>
  </si>
  <si>
    <t>Douma med</t>
  </si>
  <si>
    <t>NB(275/2024)</t>
  </si>
  <si>
    <t>Boutora toufik</t>
  </si>
  <si>
    <t>NB(820/2022)</t>
  </si>
  <si>
    <t>Hachache nabil</t>
  </si>
  <si>
    <t>NB(155/2022)</t>
  </si>
  <si>
    <t>Tahraoui med</t>
  </si>
  <si>
    <r>
      <t>Mois de Fevrier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</si>
  <si>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t>BB0015</t>
  </si>
  <si>
    <t>2024219303</t>
  </si>
  <si>
    <t>2024219307</t>
  </si>
  <si>
    <t>NB(021/2025)</t>
  </si>
  <si>
    <t>Larbi miloud</t>
  </si>
  <si>
    <t>2024219304</t>
  </si>
  <si>
    <t>NB(022/2025)</t>
  </si>
  <si>
    <t>Boudjemaa djamel</t>
  </si>
  <si>
    <t>2024219305</t>
  </si>
  <si>
    <t>NB(847/2022)</t>
  </si>
  <si>
    <t>Megatli benaissa</t>
  </si>
  <si>
    <t>2024219306</t>
  </si>
  <si>
    <t>NB(835/2022)</t>
  </si>
  <si>
    <t>Khalfi abdelkrim</t>
  </si>
  <si>
    <t>2021219135</t>
  </si>
  <si>
    <t>NB(721/2024)</t>
  </si>
  <si>
    <t>Mouzaoui med</t>
  </si>
  <si>
    <t>Meghsel med</t>
  </si>
  <si>
    <t>2021219310</t>
  </si>
  <si>
    <t>NB(025/2025)</t>
  </si>
  <si>
    <t>2021219134</t>
  </si>
  <si>
    <t>Chikhi kamel</t>
  </si>
  <si>
    <t>NB(011/2025)</t>
  </si>
  <si>
    <t>2021219133</t>
  </si>
  <si>
    <t>Yahoum aek</t>
  </si>
  <si>
    <t>NB(042/2023)</t>
  </si>
  <si>
    <t>2024219308</t>
  </si>
  <si>
    <t>Bettouche soufiane</t>
  </si>
  <si>
    <t>NB(030/2025)</t>
  </si>
  <si>
    <t>2021219131</t>
  </si>
  <si>
    <t>Hasnaoui hacen</t>
  </si>
  <si>
    <t>NB(027/2025)</t>
  </si>
  <si>
    <t>B10710</t>
  </si>
  <si>
    <t>2024219139</t>
  </si>
  <si>
    <t>B21574</t>
  </si>
  <si>
    <t>2021219138</t>
  </si>
  <si>
    <t>2024219132</t>
  </si>
  <si>
    <t>NB(064/2024)</t>
  </si>
  <si>
    <t>Kebal nassira</t>
  </si>
  <si>
    <t>2024219137</t>
  </si>
  <si>
    <t>NB(009/2025)</t>
  </si>
  <si>
    <t>Aiouadj redouane</t>
  </si>
  <si>
    <t>2024219136</t>
  </si>
  <si>
    <t>NB(028/2025)</t>
  </si>
  <si>
    <t>Kouadria tewfik</t>
  </si>
  <si>
    <t>2024220486</t>
  </si>
  <si>
    <t>NB(034/2025)</t>
  </si>
  <si>
    <t>Megatli med</t>
  </si>
  <si>
    <t>B21440</t>
  </si>
  <si>
    <t>2024218839</t>
  </si>
  <si>
    <t>B21880</t>
  </si>
  <si>
    <t>2024218836</t>
  </si>
  <si>
    <t>B22670</t>
  </si>
  <si>
    <t>2024218838</t>
  </si>
  <si>
    <t>B10395</t>
  </si>
  <si>
    <t>2024218840</t>
  </si>
  <si>
    <t>BC</t>
  </si>
  <si>
    <t>2024218837</t>
  </si>
  <si>
    <t>NB(108/2023)</t>
  </si>
  <si>
    <t>Mag hait fatma</t>
  </si>
  <si>
    <t>B40578</t>
  </si>
  <si>
    <t>2024220488</t>
  </si>
  <si>
    <r>
      <t>Mois de Mars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</si>
  <si>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t>B40589</t>
  </si>
  <si>
    <t>2024220487</t>
  </si>
  <si>
    <t>B40599</t>
  </si>
  <si>
    <t>2024220489</t>
  </si>
  <si>
    <t>B40672</t>
  </si>
  <si>
    <t>2024220485</t>
  </si>
  <si>
    <t>B40674</t>
  </si>
  <si>
    <t>2024218833</t>
  </si>
  <si>
    <t>B40675</t>
  </si>
  <si>
    <t>2024220490</t>
  </si>
  <si>
    <t>B40679</t>
  </si>
  <si>
    <t>2024218831</t>
  </si>
  <si>
    <t>B40686</t>
  </si>
  <si>
    <t>2024218832</t>
  </si>
  <si>
    <t>B40764</t>
  </si>
  <si>
    <t>2024218866</t>
  </si>
  <si>
    <t>B40702</t>
  </si>
  <si>
    <t>2024218869</t>
  </si>
  <si>
    <t>B40708</t>
  </si>
  <si>
    <t>2024218835</t>
  </si>
  <si>
    <t>B40714</t>
  </si>
  <si>
    <t>2024218834</t>
  </si>
  <si>
    <t>B40715</t>
  </si>
  <si>
    <t>2024220482</t>
  </si>
  <si>
    <t>B40797</t>
  </si>
  <si>
    <t>2024218867</t>
  </si>
  <si>
    <t>B40799</t>
  </si>
  <si>
    <t>2024220484</t>
  </si>
  <si>
    <t>B40801</t>
  </si>
  <si>
    <t>2024220481</t>
  </si>
  <si>
    <t>B40809</t>
  </si>
  <si>
    <t>2024218863</t>
  </si>
  <si>
    <t>B40847</t>
  </si>
  <si>
    <t>2024218862</t>
  </si>
  <si>
    <t>B40848</t>
  </si>
  <si>
    <t>2024218865</t>
  </si>
  <si>
    <t>B40878</t>
  </si>
  <si>
    <t>2024218864</t>
  </si>
  <si>
    <t>2024220483</t>
  </si>
  <si>
    <t>B40896</t>
  </si>
  <si>
    <t>2024218868</t>
  </si>
  <si>
    <t>B40897</t>
  </si>
  <si>
    <t>B40903</t>
  </si>
  <si>
    <t>2024218870</t>
  </si>
  <si>
    <t>B40908</t>
  </si>
  <si>
    <t>2024218861</t>
  </si>
  <si>
    <t>2024219193</t>
  </si>
  <si>
    <t>NB(709/2024)</t>
  </si>
  <si>
    <t>Fergani mahmoud abdelhak</t>
  </si>
  <si>
    <t>B40585</t>
  </si>
  <si>
    <t>2024219192</t>
  </si>
  <si>
    <t>B40591</t>
  </si>
  <si>
    <t>2024219196</t>
  </si>
  <si>
    <t>B40611</t>
  </si>
  <si>
    <t>2024219200</t>
  </si>
  <si>
    <t>B40625</t>
  </si>
  <si>
    <t>2024219194</t>
  </si>
  <si>
    <t>B40651</t>
  </si>
  <si>
    <t>2024219195</t>
  </si>
  <si>
    <t>B40662</t>
  </si>
  <si>
    <t>2024219191</t>
  </si>
  <si>
    <t>B40784</t>
  </si>
  <si>
    <t>2024219197</t>
  </si>
  <si>
    <t xml:space="preserve"> </t>
  </si>
  <si>
    <t>B40697</t>
  </si>
  <si>
    <t>2024219376</t>
  </si>
  <si>
    <t>B40699</t>
  </si>
  <si>
    <t>2024219377</t>
  </si>
  <si>
    <t>B40737</t>
  </si>
  <si>
    <t>2024219373</t>
  </si>
  <si>
    <t>B40747</t>
  </si>
  <si>
    <t>2024219374</t>
  </si>
  <si>
    <t>B40752</t>
  </si>
  <si>
    <t>2024219371</t>
  </si>
  <si>
    <t>B40760</t>
  </si>
  <si>
    <t>2024219379</t>
  </si>
  <si>
    <t>B40808</t>
  </si>
  <si>
    <t>2024219090</t>
  </si>
  <si>
    <t>B40837</t>
  </si>
  <si>
    <t>2024219087</t>
  </si>
  <si>
    <t>B40901</t>
  </si>
  <si>
    <t>2024219088</t>
  </si>
  <si>
    <t>B32281</t>
  </si>
  <si>
    <t>2024219089</t>
  </si>
  <si>
    <t>2024219198</t>
  </si>
  <si>
    <t>NB(053/2025)</t>
  </si>
  <si>
    <t>2024219085</t>
  </si>
  <si>
    <t>NB(029/2025)</t>
  </si>
  <si>
    <t>Eurl Alsson</t>
  </si>
  <si>
    <t>Henouni rabah</t>
  </si>
  <si>
    <t>B33423</t>
  </si>
  <si>
    <t>2024219086</t>
  </si>
  <si>
    <t>B33395</t>
  </si>
  <si>
    <t>2024219378</t>
  </si>
  <si>
    <t>B33416</t>
  </si>
  <si>
    <t>2024219082</t>
  </si>
  <si>
    <t>B36959</t>
  </si>
  <si>
    <t>2024219081</t>
  </si>
  <si>
    <t>B5</t>
  </si>
  <si>
    <t>19006031</t>
  </si>
  <si>
    <t>NB(324/2024)</t>
  </si>
  <si>
    <t>Eurl power hydraulique</t>
  </si>
  <si>
    <t>19006097</t>
  </si>
  <si>
    <t>BB0053</t>
  </si>
  <si>
    <t>2024218980</t>
  </si>
  <si>
    <t>Kiheli med</t>
  </si>
  <si>
    <t>2024218978</t>
  </si>
  <si>
    <t>NB(479/2022)</t>
  </si>
  <si>
    <t>Chadouli mahmoud</t>
  </si>
  <si>
    <t>NB(256/2024)</t>
  </si>
  <si>
    <t>Yaiche abdelkrim</t>
  </si>
  <si>
    <t>2024218979</t>
  </si>
  <si>
    <t>NB(623/2023)</t>
  </si>
  <si>
    <t>2024218973</t>
  </si>
  <si>
    <t>NB(227/2024)</t>
  </si>
  <si>
    <t>Bouaissa sofiane</t>
  </si>
  <si>
    <r>
      <t>Mois de Avril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</si>
  <si>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t>B41793</t>
  </si>
  <si>
    <t>2024218971</t>
  </si>
  <si>
    <t>2024218972</t>
  </si>
  <si>
    <t>NB(298/2024)</t>
  </si>
  <si>
    <t>Bensalah zohir</t>
  </si>
  <si>
    <t>2024218975</t>
  </si>
  <si>
    <t>Seder rabah</t>
  </si>
  <si>
    <t>NB(052/2025)</t>
  </si>
  <si>
    <t>BB</t>
  </si>
  <si>
    <t>20/27</t>
  </si>
  <si>
    <t>2024004683</t>
  </si>
  <si>
    <t>NB(059/2025)</t>
  </si>
  <si>
    <t>2025012550</t>
  </si>
  <si>
    <t>NB(068/2025)</t>
  </si>
  <si>
    <t>Benchoucha fatiha</t>
  </si>
  <si>
    <t>2024004684</t>
  </si>
  <si>
    <t>BC0627</t>
  </si>
  <si>
    <t>2025012549</t>
  </si>
  <si>
    <t>B50005</t>
  </si>
  <si>
    <t>2024004682</t>
  </si>
  <si>
    <t>B10327</t>
  </si>
  <si>
    <t>Ecole primaire chorfa-dep Medea</t>
  </si>
  <si>
    <t>2025012548</t>
  </si>
  <si>
    <t>B15385</t>
  </si>
  <si>
    <t>Sabour abdenour</t>
  </si>
  <si>
    <t>2025012541</t>
  </si>
  <si>
    <t>Kefaifi naçer</t>
  </si>
  <si>
    <t>NB(654/2024)</t>
  </si>
  <si>
    <t>2025011719</t>
  </si>
  <si>
    <t>B10031</t>
  </si>
  <si>
    <t>B10149</t>
  </si>
  <si>
    <t>2025011718</t>
  </si>
  <si>
    <t>B11307</t>
  </si>
  <si>
    <t>2025011720</t>
  </si>
  <si>
    <t>BC0451</t>
  </si>
  <si>
    <t>2025011713</t>
  </si>
  <si>
    <t>B10355</t>
  </si>
  <si>
    <t>2025011716</t>
  </si>
  <si>
    <t>B10400</t>
  </si>
  <si>
    <t>2025011711</t>
  </si>
  <si>
    <t>B10492</t>
  </si>
  <si>
    <t>2025011777</t>
  </si>
  <si>
    <t>B10514</t>
  </si>
  <si>
    <t>2025011771</t>
  </si>
  <si>
    <t>B10528</t>
  </si>
  <si>
    <t>2025011772</t>
  </si>
  <si>
    <t>B10678</t>
  </si>
  <si>
    <t>2025011778</t>
  </si>
  <si>
    <t>B11711</t>
  </si>
  <si>
    <t>2025011774</t>
  </si>
  <si>
    <t>B11773</t>
  </si>
  <si>
    <t>2025011776</t>
  </si>
  <si>
    <t>B12111</t>
  </si>
  <si>
    <t>2025011773</t>
  </si>
  <si>
    <t>B12257</t>
  </si>
  <si>
    <t>2025011779</t>
  </si>
  <si>
    <t>B10723</t>
  </si>
  <si>
    <t>2025011775</t>
  </si>
  <si>
    <t>B11719</t>
  </si>
  <si>
    <t>2025011780</t>
  </si>
  <si>
    <t>B40922</t>
  </si>
  <si>
    <t>2025011877</t>
  </si>
  <si>
    <t>B41951</t>
  </si>
  <si>
    <t>2025011878</t>
  </si>
  <si>
    <t>B42083</t>
  </si>
  <si>
    <t>2025011880</t>
  </si>
  <si>
    <t>B42150</t>
  </si>
  <si>
    <t>2025011876</t>
  </si>
  <si>
    <t>B41806</t>
  </si>
  <si>
    <t>2025011873</t>
  </si>
  <si>
    <t>B41852</t>
  </si>
  <si>
    <t>2025011872</t>
  </si>
  <si>
    <t>B41856</t>
  </si>
  <si>
    <t>2025011871</t>
  </si>
  <si>
    <t>B41868</t>
  </si>
  <si>
    <t>2025011875</t>
  </si>
  <si>
    <t>B40975</t>
  </si>
  <si>
    <t>2025011874</t>
  </si>
  <si>
    <t>B40985</t>
  </si>
  <si>
    <t>2025011879</t>
  </si>
  <si>
    <t>B10570</t>
  </si>
  <si>
    <t>2025011712</t>
  </si>
  <si>
    <t>B10640</t>
  </si>
  <si>
    <t>2025011717</t>
  </si>
  <si>
    <t>B11229</t>
  </si>
  <si>
    <t>2025012545</t>
  </si>
  <si>
    <t>2025012544</t>
  </si>
  <si>
    <t>B11263</t>
  </si>
  <si>
    <t>B10742</t>
  </si>
  <si>
    <t>2025012543</t>
  </si>
  <si>
    <t>B11297</t>
  </si>
  <si>
    <t>2025011715</t>
  </si>
  <si>
    <t>B11331</t>
  </si>
  <si>
    <t>2025011714</t>
  </si>
  <si>
    <t>2025012542</t>
  </si>
  <si>
    <t>B21253</t>
  </si>
  <si>
    <r>
      <t>Mois de Mai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</si>
  <si>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t>B4</t>
  </si>
  <si>
    <t>2025012401</t>
  </si>
  <si>
    <t>2025012402</t>
  </si>
  <si>
    <t>B10228</t>
  </si>
  <si>
    <t>2025012409</t>
  </si>
  <si>
    <t>B10753</t>
  </si>
  <si>
    <t>2025012408</t>
  </si>
  <si>
    <t>B10853</t>
  </si>
  <si>
    <t>2025012406</t>
  </si>
  <si>
    <t>B11193</t>
  </si>
  <si>
    <t>2025012410</t>
  </si>
  <si>
    <t>2025012407</t>
  </si>
  <si>
    <t>NB(663/2024)</t>
  </si>
  <si>
    <t>Nadji med-cherif</t>
  </si>
  <si>
    <t>Rahmani rabah</t>
  </si>
  <si>
    <t>B41694</t>
  </si>
  <si>
    <t>2025011654</t>
  </si>
  <si>
    <t>B41971</t>
  </si>
  <si>
    <t>2025011659</t>
  </si>
  <si>
    <t>B41697</t>
  </si>
  <si>
    <t>2025011653</t>
  </si>
  <si>
    <t>B41707</t>
  </si>
  <si>
    <t>2025011651</t>
  </si>
  <si>
    <t>B41718</t>
  </si>
  <si>
    <t>2025011660</t>
  </si>
  <si>
    <t>B41875</t>
  </si>
  <si>
    <t>2025011655</t>
  </si>
  <si>
    <t>B42000</t>
  </si>
  <si>
    <t>2025011652</t>
  </si>
  <si>
    <t>B22194</t>
  </si>
  <si>
    <t>NB(667/2024)</t>
  </si>
  <si>
    <t>B10296</t>
  </si>
  <si>
    <t>2025012404</t>
  </si>
  <si>
    <t>2024004685</t>
  </si>
  <si>
    <t>BC0012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</si>
</sst>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2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Arial"/>
      <family val="2"/>
    </font>
    <font>
      <b/>
      <sz val="12"/>
      <name val="Arial"/>
      <family val="2"/>
    </font>
    <font>
      <b/>
      <sz val="10"/>
      <name val="Arial"/>
      <family val="2"/>
    </font>
    <font>
      <sz val="11"/>
      <name val="Arial"/>
      <family val="2"/>
    </font>
    <font>
      <b/>
      <sz val="10"/>
      <color rgb="FFFF0000"/>
      <name val="Arial"/>
      <family val="2"/>
    </font>
    <font>
      <b/>
      <sz val="8"/>
      <name val="Arial"/>
      <family val="2"/>
    </font>
    <font>
      <sz val="11"/>
      <name val="Times New Roman"/>
      <family val="1"/>
    </font>
    <font>
      <sz val="9"/>
      <name val="Times New Roman"/>
      <family val="1"/>
    </font>
    <font>
      <b/>
      <i/>
      <sz val="11"/>
      <name val="Arial"/>
      <family val="2"/>
    </font>
    <font>
      <b/>
      <sz val="1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0" fontId="1" fillId="0" borderId="0"/>
  </cellStyleXfs>
  <cellXfs count="31">
    <xf numFmtId="0" fontId="0" fillId="0" borderId="0" xfId="0"/>
    <xf numFmtId="0" fontId="2" fillId="0" borderId="0" xfId="1" applyFont="1" applyAlignment="1">
      <alignment vertical="center"/>
    </xf>
    <xf numFmtId="0" fontId="3" fillId="0" borderId="0" xfId="1" applyFont="1" applyAlignment="1">
      <alignment vertical="center"/>
    </xf>
    <xf numFmtId="0" fontId="1" fillId="0" borderId="0" xfId="1" applyAlignment="1">
      <alignment vertical="center"/>
    </xf>
    <xf numFmtId="0" fontId="1" fillId="0" borderId="0" xfId="1"/>
    <xf numFmtId="0" fontId="4" fillId="0" borderId="0" xfId="1" applyFont="1" applyAlignment="1">
      <alignment vertical="center"/>
    </xf>
    <xf numFmtId="0" fontId="4" fillId="2" borderId="2" xfId="1" applyFont="1" applyFill="1" applyBorder="1" applyAlignment="1">
      <alignment horizontal="center"/>
    </xf>
    <xf numFmtId="0" fontId="1" fillId="0" borderId="0" xfId="2" applyAlignment="1">
      <alignment vertical="center"/>
    </xf>
    <xf numFmtId="0" fontId="6" fillId="2" borderId="2" xfId="2" applyFont="1" applyFill="1" applyBorder="1" applyAlignment="1">
      <alignment horizontal="center" vertical="center"/>
    </xf>
    <xf numFmtId="0" fontId="7" fillId="3" borderId="2" xfId="1" applyFont="1" applyFill="1" applyBorder="1" applyAlignment="1">
      <alignment horizontal="center" vertical="center" wrapText="1"/>
    </xf>
    <xf numFmtId="0" fontId="1" fillId="0" borderId="2" xfId="1" applyBorder="1" applyAlignment="1">
      <alignment horizontal="center" vertical="center" wrapText="1"/>
    </xf>
    <xf numFmtId="0" fontId="1" fillId="0" borderId="0" xfId="1" applyAlignment="1">
      <alignment horizontal="center" vertical="center" wrapText="1"/>
    </xf>
    <xf numFmtId="0" fontId="5" fillId="0" borderId="2" xfId="1" applyFont="1" applyFill="1" applyBorder="1" applyAlignment="1">
      <alignment horizontal="center" vertical="center" wrapText="1"/>
    </xf>
    <xf numFmtId="0" fontId="8" fillId="0" borderId="2" xfId="1" applyFont="1" applyFill="1" applyBorder="1" applyAlignment="1">
      <alignment horizontal="center" vertical="center" wrapText="1"/>
    </xf>
    <xf numFmtId="0" fontId="8" fillId="0" borderId="2" xfId="1" applyFont="1" applyBorder="1" applyAlignment="1">
      <alignment horizontal="center" vertical="center" wrapText="1"/>
    </xf>
    <xf numFmtId="49" fontId="8" fillId="0" borderId="2" xfId="1" applyNumberFormat="1" applyFont="1" applyFill="1" applyBorder="1" applyAlignment="1">
      <alignment horizontal="center" vertical="center" wrapText="1"/>
    </xf>
    <xf numFmtId="14" fontId="8" fillId="0" borderId="2" xfId="1" applyNumberFormat="1" applyFont="1" applyFill="1" applyBorder="1" applyAlignment="1">
      <alignment horizontal="center" vertical="center" wrapText="1"/>
    </xf>
    <xf numFmtId="49" fontId="9" fillId="0" borderId="2" xfId="1" applyNumberFormat="1" applyFont="1" applyBorder="1" applyAlignment="1">
      <alignment horizontal="center" vertical="top" wrapText="1"/>
    </xf>
    <xf numFmtId="0" fontId="5" fillId="0" borderId="2" xfId="1" applyFont="1" applyFill="1" applyBorder="1" applyAlignment="1">
      <alignment horizontal="right" vertical="center" wrapText="1"/>
    </xf>
    <xf numFmtId="49" fontId="1" fillId="0" borderId="0" xfId="1" applyNumberFormat="1" applyFont="1" applyFill="1" applyAlignment="1">
      <alignment vertical="center" wrapText="1"/>
    </xf>
    <xf numFmtId="0" fontId="5" fillId="0" borderId="0" xfId="1" applyFont="1" applyAlignment="1">
      <alignment horizontal="center" vertical="center" wrapText="1"/>
    </xf>
    <xf numFmtId="49" fontId="8" fillId="0" borderId="2" xfId="1" applyNumberFormat="1" applyFont="1" applyBorder="1" applyAlignment="1">
      <alignment horizontal="center" vertical="center" wrapText="1"/>
    </xf>
    <xf numFmtId="0" fontId="1" fillId="0" borderId="0" xfId="1" applyAlignment="1">
      <alignment vertical="center" wrapText="1"/>
    </xf>
    <xf numFmtId="49" fontId="1" fillId="0" borderId="0" xfId="1" applyNumberFormat="1" applyFont="1" applyAlignment="1">
      <alignment vertical="center" wrapText="1"/>
    </xf>
    <xf numFmtId="0" fontId="1" fillId="0" borderId="0" xfId="1" applyFill="1"/>
    <xf numFmtId="0" fontId="3" fillId="0" borderId="3" xfId="2" applyFont="1" applyBorder="1" applyAlignment="1">
      <alignment horizontal="center" vertical="center"/>
    </xf>
    <xf numFmtId="0" fontId="1" fillId="0" borderId="0" xfId="1" applyAlignment="1">
      <alignment horizontal="left" vertical="center"/>
    </xf>
    <xf numFmtId="0" fontId="1" fillId="0" borderId="1" xfId="1" applyBorder="1" applyAlignment="1">
      <alignment horizontal="left" vertical="center"/>
    </xf>
    <xf numFmtId="0" fontId="2" fillId="0" borderId="0" xfId="1" applyFont="1" applyAlignment="1">
      <alignment horizontal="center" vertical="center"/>
    </xf>
    <xf numFmtId="0" fontId="3" fillId="0" borderId="0" xfId="1" applyFont="1" applyAlignment="1">
      <alignment horizontal="center" vertical="center"/>
    </xf>
    <xf numFmtId="0" fontId="4" fillId="0" borderId="0" xfId="1" applyFont="1" applyAlignment="1">
      <alignment horizontal="center" vertical="center"/>
    </xf>
  </cellXfs>
  <cellStyles count="3">
    <cellStyle name="Normal" xfId="0" builtinId="0"/>
    <cellStyle name="Normal 2" xfId="2"/>
    <cellStyle name="Normal 3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19060</xdr:colOff>
      <xdr:row>19</xdr:row>
      <xdr:rowOff>19050</xdr:rowOff>
    </xdr:from>
    <xdr:to>
      <xdr:col>5</xdr:col>
      <xdr:colOff>1190625</xdr:colOff>
      <xdr:row>46</xdr:row>
      <xdr:rowOff>9525</xdr:rowOff>
    </xdr:to>
    <xdr:cxnSp macro="">
      <xdr:nvCxnSpPr>
        <xdr:cNvPr id="3" name="Connecteur droit 2"/>
        <xdr:cNvCxnSpPr/>
      </xdr:nvCxnSpPr>
      <xdr:spPr>
        <a:xfrm flipH="1">
          <a:off x="609610" y="3810000"/>
          <a:ext cx="4419590" cy="51339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19061</xdr:colOff>
      <xdr:row>28</xdr:row>
      <xdr:rowOff>28575</xdr:rowOff>
    </xdr:from>
    <xdr:to>
      <xdr:col>6</xdr:col>
      <xdr:colOff>0</xdr:colOff>
      <xdr:row>46</xdr:row>
      <xdr:rowOff>9525</xdr:rowOff>
    </xdr:to>
    <xdr:cxnSp macro="">
      <xdr:nvCxnSpPr>
        <xdr:cNvPr id="2" name="Connecteur droit 1"/>
        <xdr:cNvCxnSpPr/>
      </xdr:nvCxnSpPr>
      <xdr:spPr>
        <a:xfrm flipH="1">
          <a:off x="609611" y="5534025"/>
          <a:ext cx="4448164" cy="34099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19050</xdr:colOff>
      <xdr:row>60</xdr:row>
      <xdr:rowOff>57150</xdr:rowOff>
    </xdr:from>
    <xdr:to>
      <xdr:col>5</xdr:col>
      <xdr:colOff>1209675</xdr:colOff>
      <xdr:row>67</xdr:row>
      <xdr:rowOff>161925</xdr:rowOff>
    </xdr:to>
    <xdr:cxnSp macro="">
      <xdr:nvCxnSpPr>
        <xdr:cNvPr id="2" name="Connecteur droit 1"/>
        <xdr:cNvCxnSpPr/>
      </xdr:nvCxnSpPr>
      <xdr:spPr>
        <a:xfrm flipH="1">
          <a:off x="609600" y="11658600"/>
          <a:ext cx="4438650" cy="14382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19051</xdr:colOff>
      <xdr:row>50</xdr:row>
      <xdr:rowOff>95250</xdr:rowOff>
    </xdr:from>
    <xdr:to>
      <xdr:col>5</xdr:col>
      <xdr:colOff>1209675</xdr:colOff>
      <xdr:row>57</xdr:row>
      <xdr:rowOff>0</xdr:rowOff>
    </xdr:to>
    <xdr:cxnSp macro="">
      <xdr:nvCxnSpPr>
        <xdr:cNvPr id="2" name="Connecteur droit 1"/>
        <xdr:cNvCxnSpPr/>
      </xdr:nvCxnSpPr>
      <xdr:spPr>
        <a:xfrm flipH="1">
          <a:off x="609601" y="9791700"/>
          <a:ext cx="4438649" cy="12382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19051</xdr:colOff>
      <xdr:row>50</xdr:row>
      <xdr:rowOff>95250</xdr:rowOff>
    </xdr:from>
    <xdr:to>
      <xdr:col>5</xdr:col>
      <xdr:colOff>1209675</xdr:colOff>
      <xdr:row>57</xdr:row>
      <xdr:rowOff>0</xdr:rowOff>
    </xdr:to>
    <xdr:cxnSp macro="">
      <xdr:nvCxnSpPr>
        <xdr:cNvPr id="2" name="Connecteur droit 1"/>
        <xdr:cNvCxnSpPr/>
      </xdr:nvCxnSpPr>
      <xdr:spPr>
        <a:xfrm flipH="1">
          <a:off x="609601" y="9791700"/>
          <a:ext cx="4438649" cy="12382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68"/>
  <sheetViews>
    <sheetView workbookViewId="0">
      <selection activeCell="C17" sqref="C17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8.28515625" customWidth="1"/>
    <col min="7" max="7" width="4.7109375" hidden="1" customWidth="1"/>
    <col min="8" max="8" width="29.85546875" customWidth="1"/>
    <col min="9" max="9" width="17.5703125" customWidth="1"/>
  </cols>
  <sheetData>
    <row r="1" spans="1:11" ht="18" x14ac:dyDescent="0.25">
      <c r="A1" s="28" t="s">
        <v>0</v>
      </c>
      <c r="B1" s="28"/>
      <c r="C1" s="28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9" t="s">
        <v>2</v>
      </c>
      <c r="B2" s="29"/>
      <c r="C2" s="29"/>
      <c r="D2" s="2"/>
      <c r="E2" s="5" t="s">
        <v>3</v>
      </c>
      <c r="F2" s="5"/>
      <c r="G2" s="3"/>
      <c r="H2" s="3"/>
      <c r="I2" s="26" t="s">
        <v>4</v>
      </c>
      <c r="J2" s="27"/>
      <c r="K2" s="6">
        <f>SUMIF(F7:F364,"Elimination*",G7:G364)</f>
        <v>5</v>
      </c>
    </row>
    <row r="3" spans="1:11" x14ac:dyDescent="0.25">
      <c r="A3" s="30" t="s">
        <v>5</v>
      </c>
      <c r="B3" s="30"/>
      <c r="C3" s="30"/>
      <c r="D3" s="5"/>
      <c r="E3" s="3" t="s">
        <v>6</v>
      </c>
      <c r="F3" s="3"/>
      <c r="G3" s="3"/>
      <c r="H3" s="3"/>
      <c r="I3" s="26" t="s">
        <v>7</v>
      </c>
      <c r="J3" s="27"/>
      <c r="K3" s="6">
        <f>SUMIF(F7:F364,"NB*",G7:G364)</f>
        <v>8</v>
      </c>
    </row>
    <row r="4" spans="1:11" ht="18" x14ac:dyDescent="0.25">
      <c r="A4" s="28" t="s">
        <v>8</v>
      </c>
      <c r="B4" s="28"/>
      <c r="C4" s="28"/>
      <c r="D4" s="28"/>
      <c r="E4" s="28"/>
      <c r="F4" s="28"/>
      <c r="G4" s="3"/>
      <c r="H4" s="3"/>
      <c r="I4" s="26" t="s">
        <v>9</v>
      </c>
      <c r="J4" s="27"/>
      <c r="K4" s="6">
        <f>SUMIF(F7:F364,"Ve*",G7:G364)</f>
        <v>0</v>
      </c>
    </row>
    <row r="5" spans="1:11" ht="15.75" x14ac:dyDescent="0.25">
      <c r="A5" s="25" t="s">
        <v>23</v>
      </c>
      <c r="B5" s="25"/>
      <c r="C5" s="25"/>
      <c r="D5" s="25"/>
      <c r="E5" s="25"/>
      <c r="F5" s="25"/>
      <c r="G5" s="7"/>
      <c r="H5" s="7"/>
      <c r="I5" s="26" t="s">
        <v>10</v>
      </c>
      <c r="J5" s="27"/>
      <c r="K5" s="8">
        <f>SUM(K2:K4)</f>
        <v>13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 t="s">
        <v>21</v>
      </c>
      <c r="J6" s="11"/>
      <c r="K6" s="4"/>
    </row>
    <row r="7" spans="1:11" ht="15" customHeight="1" x14ac:dyDescent="0.25">
      <c r="A7" s="12">
        <v>1</v>
      </c>
      <c r="B7" s="13" t="s">
        <v>20</v>
      </c>
      <c r="C7" s="14">
        <v>2024219051</v>
      </c>
      <c r="D7" s="15" t="s">
        <v>18</v>
      </c>
      <c r="E7" s="16">
        <v>45671</v>
      </c>
      <c r="F7" s="17" t="s">
        <v>22</v>
      </c>
      <c r="G7" s="18">
        <v>1</v>
      </c>
      <c r="H7" s="19"/>
      <c r="I7" s="22"/>
      <c r="J7" s="20"/>
      <c r="K7" s="4"/>
    </row>
    <row r="8" spans="1:11" ht="15" customHeight="1" x14ac:dyDescent="0.25">
      <c r="A8" s="12">
        <f>+A7+1</f>
        <v>2</v>
      </c>
      <c r="B8" s="13" t="s">
        <v>20</v>
      </c>
      <c r="C8" s="14">
        <v>2024219052</v>
      </c>
      <c r="D8" s="15" t="s">
        <v>18</v>
      </c>
      <c r="E8" s="16">
        <v>45671</v>
      </c>
      <c r="F8" s="17" t="s">
        <v>28</v>
      </c>
      <c r="G8" s="18">
        <v>1</v>
      </c>
      <c r="H8" s="19" t="s">
        <v>27</v>
      </c>
      <c r="I8" s="22"/>
      <c r="J8" s="22"/>
      <c r="K8" s="4"/>
    </row>
    <row r="9" spans="1:11" ht="15" customHeight="1" x14ac:dyDescent="0.25">
      <c r="A9" s="12">
        <f t="shared" ref="A9:A68" si="0">+A8+1</f>
        <v>3</v>
      </c>
      <c r="B9" s="13" t="s">
        <v>24</v>
      </c>
      <c r="C9" s="14">
        <v>2024219054</v>
      </c>
      <c r="D9" s="15" t="s">
        <v>18</v>
      </c>
      <c r="E9" s="16">
        <v>45672</v>
      </c>
      <c r="F9" s="17" t="s">
        <v>19</v>
      </c>
      <c r="G9" s="18">
        <v>1</v>
      </c>
      <c r="H9" s="19"/>
      <c r="I9" s="22"/>
      <c r="J9" s="22"/>
      <c r="K9" s="4"/>
    </row>
    <row r="10" spans="1:11" ht="15" customHeight="1" x14ac:dyDescent="0.25">
      <c r="A10" s="12">
        <f t="shared" si="0"/>
        <v>4</v>
      </c>
      <c r="B10" s="13" t="s">
        <v>25</v>
      </c>
      <c r="C10" s="14">
        <v>2024219055</v>
      </c>
      <c r="D10" s="15" t="s">
        <v>18</v>
      </c>
      <c r="E10" s="16">
        <v>45672</v>
      </c>
      <c r="F10" s="17" t="s">
        <v>19</v>
      </c>
      <c r="G10" s="18">
        <v>1</v>
      </c>
      <c r="H10" s="19"/>
      <c r="I10" s="20"/>
      <c r="J10" s="22"/>
      <c r="K10" s="4"/>
    </row>
    <row r="11" spans="1:11" ht="15" customHeight="1" x14ac:dyDescent="0.25">
      <c r="A11" s="12">
        <f t="shared" si="0"/>
        <v>5</v>
      </c>
      <c r="B11" s="13" t="s">
        <v>26</v>
      </c>
      <c r="C11" s="14">
        <v>2024219053</v>
      </c>
      <c r="D11" s="15" t="s">
        <v>18</v>
      </c>
      <c r="E11" s="16">
        <v>45672</v>
      </c>
      <c r="F11" s="17" t="s">
        <v>19</v>
      </c>
      <c r="G11" s="18">
        <v>1</v>
      </c>
      <c r="H11" s="19"/>
      <c r="I11" s="22"/>
      <c r="J11" s="22"/>
      <c r="K11" s="4"/>
    </row>
    <row r="12" spans="1:11" ht="15" customHeight="1" x14ac:dyDescent="0.25">
      <c r="A12" s="12">
        <f t="shared" si="0"/>
        <v>6</v>
      </c>
      <c r="B12" s="13" t="s">
        <v>30</v>
      </c>
      <c r="C12" s="14">
        <v>2024219056</v>
      </c>
      <c r="D12" s="15" t="s">
        <v>18</v>
      </c>
      <c r="E12" s="16">
        <v>45677</v>
      </c>
      <c r="F12" s="17" t="s">
        <v>31</v>
      </c>
      <c r="G12" s="18">
        <v>1</v>
      </c>
      <c r="H12" s="19" t="s">
        <v>32</v>
      </c>
      <c r="I12" s="22"/>
      <c r="J12" s="22"/>
      <c r="K12" s="4"/>
    </row>
    <row r="13" spans="1:11" ht="15" customHeight="1" x14ac:dyDescent="0.25">
      <c r="A13" s="12">
        <f t="shared" si="0"/>
        <v>7</v>
      </c>
      <c r="B13" s="13" t="s">
        <v>30</v>
      </c>
      <c r="C13" s="14">
        <v>2024219057</v>
      </c>
      <c r="D13" s="15" t="s">
        <v>18</v>
      </c>
      <c r="E13" s="16">
        <v>45677</v>
      </c>
      <c r="F13" s="17" t="s">
        <v>31</v>
      </c>
      <c r="G13" s="18">
        <v>1</v>
      </c>
      <c r="H13" s="19" t="s">
        <v>32</v>
      </c>
      <c r="I13" s="22"/>
      <c r="J13" s="22"/>
      <c r="K13" s="4"/>
    </row>
    <row r="14" spans="1:11" ht="15" customHeight="1" x14ac:dyDescent="0.25">
      <c r="A14" s="12">
        <f t="shared" si="0"/>
        <v>8</v>
      </c>
      <c r="B14" s="13" t="s">
        <v>29</v>
      </c>
      <c r="C14" s="14">
        <v>2024219058</v>
      </c>
      <c r="D14" s="15" t="s">
        <v>18</v>
      </c>
      <c r="E14" s="16">
        <v>45678</v>
      </c>
      <c r="F14" s="17" t="s">
        <v>19</v>
      </c>
      <c r="G14" s="18">
        <v>1</v>
      </c>
      <c r="H14" s="19"/>
      <c r="I14" s="22"/>
      <c r="J14" s="22"/>
      <c r="K14" s="4"/>
    </row>
    <row r="15" spans="1:11" ht="15" customHeight="1" x14ac:dyDescent="0.25">
      <c r="A15" s="12">
        <f t="shared" si="0"/>
        <v>9</v>
      </c>
      <c r="B15" s="13" t="s">
        <v>33</v>
      </c>
      <c r="C15" s="14">
        <v>2024219059</v>
      </c>
      <c r="D15" s="15" t="s">
        <v>18</v>
      </c>
      <c r="E15" s="16">
        <v>45680</v>
      </c>
      <c r="F15" s="17" t="s">
        <v>19</v>
      </c>
      <c r="G15" s="18">
        <v>1</v>
      </c>
      <c r="H15" s="19"/>
      <c r="I15" s="22"/>
      <c r="J15" s="22"/>
    </row>
    <row r="16" spans="1:11" ht="15" customHeight="1" x14ac:dyDescent="0.25">
      <c r="A16" s="12">
        <f t="shared" si="0"/>
        <v>10</v>
      </c>
      <c r="B16" s="13" t="s">
        <v>20</v>
      </c>
      <c r="C16" s="14">
        <v>2024219301</v>
      </c>
      <c r="D16" s="15" t="s">
        <v>18</v>
      </c>
      <c r="E16" s="16">
        <v>45683</v>
      </c>
      <c r="F16" s="17" t="s">
        <v>34</v>
      </c>
      <c r="G16" s="18">
        <v>1</v>
      </c>
      <c r="H16" s="19" t="s">
        <v>35</v>
      </c>
      <c r="I16" s="22"/>
      <c r="J16" s="22"/>
    </row>
    <row r="17" spans="1:10" ht="15" customHeight="1" x14ac:dyDescent="0.25">
      <c r="A17" s="12">
        <f t="shared" si="0"/>
        <v>11</v>
      </c>
      <c r="B17" s="13" t="s">
        <v>20</v>
      </c>
      <c r="C17" s="14">
        <v>2024219302</v>
      </c>
      <c r="D17" s="15" t="s">
        <v>18</v>
      </c>
      <c r="E17" s="16">
        <v>45683</v>
      </c>
      <c r="F17" s="17" t="s">
        <v>36</v>
      </c>
      <c r="G17" s="18">
        <v>1</v>
      </c>
      <c r="H17" s="19" t="s">
        <v>37</v>
      </c>
      <c r="I17" s="22"/>
      <c r="J17" s="22"/>
    </row>
    <row r="18" spans="1:10" ht="15" customHeight="1" x14ac:dyDescent="0.25">
      <c r="A18" s="12">
        <f t="shared" si="0"/>
        <v>12</v>
      </c>
      <c r="B18" s="16" t="s">
        <v>20</v>
      </c>
      <c r="C18" s="14">
        <v>2024219060</v>
      </c>
      <c r="D18" s="15" t="s">
        <v>18</v>
      </c>
      <c r="E18" s="16">
        <v>45683</v>
      </c>
      <c r="F18" s="17" t="s">
        <v>38</v>
      </c>
      <c r="G18" s="18">
        <v>1</v>
      </c>
      <c r="H18" s="19" t="s">
        <v>39</v>
      </c>
      <c r="I18" s="22"/>
      <c r="J18" s="22"/>
    </row>
    <row r="19" spans="1:10" ht="15" customHeight="1" x14ac:dyDescent="0.25">
      <c r="A19" s="12">
        <f t="shared" si="0"/>
        <v>13</v>
      </c>
      <c r="B19" s="13" t="s">
        <v>20</v>
      </c>
      <c r="C19" s="14">
        <v>2024219309</v>
      </c>
      <c r="D19" s="15" t="s">
        <v>18</v>
      </c>
      <c r="E19" s="16">
        <v>45683</v>
      </c>
      <c r="F19" s="17" t="s">
        <v>40</v>
      </c>
      <c r="G19" s="18">
        <v>1</v>
      </c>
      <c r="H19" s="19" t="s">
        <v>41</v>
      </c>
      <c r="I19" s="22"/>
      <c r="J19" s="22"/>
    </row>
    <row r="20" spans="1:10" ht="15" customHeight="1" x14ac:dyDescent="0.25">
      <c r="A20" s="12">
        <f t="shared" si="0"/>
        <v>14</v>
      </c>
      <c r="B20" s="13"/>
      <c r="C20" s="14"/>
      <c r="D20" s="21"/>
      <c r="E20" s="16"/>
      <c r="F20" s="17"/>
      <c r="G20" s="18">
        <v>1</v>
      </c>
      <c r="H20" s="23"/>
      <c r="I20" s="22"/>
      <c r="J20" s="22"/>
    </row>
    <row r="21" spans="1:10" ht="15" customHeight="1" x14ac:dyDescent="0.25">
      <c r="A21" s="12">
        <f t="shared" si="0"/>
        <v>15</v>
      </c>
      <c r="B21" s="16"/>
      <c r="C21" s="14"/>
      <c r="D21" s="21"/>
      <c r="E21" s="16"/>
      <c r="F21" s="17"/>
      <c r="G21" s="18">
        <v>1</v>
      </c>
      <c r="H21" s="19"/>
      <c r="I21" s="22"/>
      <c r="J21" s="22"/>
    </row>
    <row r="22" spans="1:10" ht="15" customHeight="1" x14ac:dyDescent="0.25">
      <c r="A22" s="12">
        <f t="shared" si="0"/>
        <v>16</v>
      </c>
      <c r="B22" s="13"/>
      <c r="C22" s="14"/>
      <c r="D22" s="21"/>
      <c r="E22" s="16"/>
      <c r="F22" s="17"/>
      <c r="G22" s="18">
        <v>1</v>
      </c>
      <c r="H22" s="19"/>
      <c r="I22" s="22"/>
      <c r="J22" s="22"/>
    </row>
    <row r="23" spans="1:10" ht="15" customHeight="1" x14ac:dyDescent="0.25">
      <c r="A23" s="12">
        <f t="shared" si="0"/>
        <v>17</v>
      </c>
      <c r="B23" s="13"/>
      <c r="C23" s="14"/>
      <c r="D23" s="21"/>
      <c r="E23" s="16"/>
      <c r="F23" s="17"/>
      <c r="G23" s="18">
        <v>1</v>
      </c>
      <c r="H23" s="19"/>
      <c r="I23" s="22"/>
      <c r="J23" s="22"/>
    </row>
    <row r="24" spans="1:10" ht="15" customHeight="1" x14ac:dyDescent="0.25">
      <c r="A24" s="12">
        <f t="shared" si="0"/>
        <v>18</v>
      </c>
      <c r="B24" s="13"/>
      <c r="C24" s="14"/>
      <c r="D24" s="21"/>
      <c r="E24" s="16"/>
      <c r="F24" s="17"/>
      <c r="G24" s="18">
        <v>1</v>
      </c>
      <c r="H24" s="23"/>
      <c r="I24" s="22"/>
      <c r="J24" s="22"/>
    </row>
    <row r="25" spans="1:10" ht="15" customHeight="1" x14ac:dyDescent="0.25">
      <c r="A25" s="12">
        <f t="shared" si="0"/>
        <v>19</v>
      </c>
      <c r="B25" s="13"/>
      <c r="C25" s="14"/>
      <c r="D25" s="21"/>
      <c r="E25" s="16"/>
      <c r="F25" s="17"/>
      <c r="G25" s="18">
        <v>1</v>
      </c>
      <c r="H25" s="19"/>
      <c r="I25" s="22"/>
      <c r="J25" s="22"/>
    </row>
    <row r="26" spans="1:10" ht="15" customHeight="1" x14ac:dyDescent="0.25">
      <c r="A26" s="12">
        <f t="shared" si="0"/>
        <v>20</v>
      </c>
      <c r="B26" s="13"/>
      <c r="C26" s="14"/>
      <c r="D26" s="21"/>
      <c r="E26" s="16"/>
      <c r="F26" s="17"/>
      <c r="G26" s="18">
        <v>1</v>
      </c>
      <c r="H26" s="19"/>
      <c r="I26" s="22"/>
      <c r="J26" s="22"/>
    </row>
    <row r="27" spans="1:10" ht="15" customHeight="1" x14ac:dyDescent="0.25">
      <c r="A27" s="12">
        <f t="shared" si="0"/>
        <v>21</v>
      </c>
      <c r="B27" s="16"/>
      <c r="C27" s="14"/>
      <c r="D27" s="15"/>
      <c r="E27" s="16"/>
      <c r="F27" s="17"/>
      <c r="G27" s="18">
        <v>1</v>
      </c>
      <c r="H27" s="19"/>
      <c r="I27" s="22"/>
      <c r="J27" s="22"/>
    </row>
    <row r="28" spans="1:10" ht="15" customHeight="1" x14ac:dyDescent="0.25">
      <c r="A28" s="12">
        <f t="shared" si="0"/>
        <v>22</v>
      </c>
      <c r="B28" s="16"/>
      <c r="C28" s="14"/>
      <c r="D28" s="15"/>
      <c r="E28" s="16"/>
      <c r="F28" s="17"/>
      <c r="G28" s="18">
        <v>1</v>
      </c>
      <c r="H28" s="23"/>
      <c r="I28" s="22"/>
      <c r="J28" s="22"/>
    </row>
    <row r="29" spans="1:10" ht="15" customHeight="1" x14ac:dyDescent="0.25">
      <c r="A29" s="12">
        <f t="shared" si="0"/>
        <v>23</v>
      </c>
      <c r="B29" s="16"/>
      <c r="C29" s="14"/>
      <c r="D29" s="15"/>
      <c r="E29" s="16"/>
      <c r="F29" s="17"/>
      <c r="G29" s="18">
        <v>1</v>
      </c>
      <c r="H29" s="23"/>
      <c r="I29" s="22"/>
      <c r="J29" s="22"/>
    </row>
    <row r="30" spans="1:10" ht="15" customHeight="1" x14ac:dyDescent="0.25">
      <c r="A30" s="12">
        <f t="shared" si="0"/>
        <v>24</v>
      </c>
      <c r="B30" s="16"/>
      <c r="C30" s="14"/>
      <c r="D30" s="15"/>
      <c r="E30" s="16"/>
      <c r="F30" s="17"/>
      <c r="G30" s="18">
        <v>1</v>
      </c>
      <c r="H30" s="23"/>
      <c r="I30" s="4"/>
      <c r="J30" s="4"/>
    </row>
    <row r="31" spans="1:10" ht="15" customHeight="1" x14ac:dyDescent="0.25">
      <c r="A31" s="12">
        <f t="shared" si="0"/>
        <v>25</v>
      </c>
      <c r="B31" s="16"/>
      <c r="C31" s="14"/>
      <c r="D31" s="15"/>
      <c r="E31" s="16"/>
      <c r="F31" s="17"/>
      <c r="G31" s="18">
        <v>1</v>
      </c>
      <c r="H31" s="23"/>
      <c r="I31" s="4"/>
      <c r="J31" s="4"/>
    </row>
    <row r="32" spans="1:10" ht="15" customHeight="1" x14ac:dyDescent="0.25">
      <c r="A32" s="12">
        <f t="shared" si="0"/>
        <v>26</v>
      </c>
      <c r="B32" s="16"/>
      <c r="C32" s="14"/>
      <c r="D32" s="15"/>
      <c r="E32" s="16"/>
      <c r="F32" s="17"/>
      <c r="G32" s="18">
        <v>1</v>
      </c>
      <c r="H32" s="4"/>
      <c r="I32" s="4"/>
      <c r="J32" s="4"/>
    </row>
    <row r="33" spans="1:10" ht="15" customHeight="1" x14ac:dyDescent="0.25">
      <c r="A33" s="12">
        <f t="shared" si="0"/>
        <v>27</v>
      </c>
      <c r="B33" s="16"/>
      <c r="C33" s="14"/>
      <c r="D33" s="15"/>
      <c r="E33" s="16"/>
      <c r="F33" s="17"/>
      <c r="G33" s="18">
        <v>1</v>
      </c>
      <c r="H33" s="23"/>
      <c r="I33" s="4"/>
      <c r="J33" s="4"/>
    </row>
    <row r="34" spans="1:10" ht="15" customHeight="1" x14ac:dyDescent="0.25">
      <c r="A34" s="12">
        <f t="shared" si="0"/>
        <v>28</v>
      </c>
      <c r="B34" s="16"/>
      <c r="C34" s="14"/>
      <c r="D34" s="15"/>
      <c r="E34" s="16"/>
      <c r="F34" s="17"/>
      <c r="G34" s="18">
        <v>1</v>
      </c>
      <c r="H34" s="4"/>
      <c r="I34" s="4"/>
      <c r="J34" s="4"/>
    </row>
    <row r="35" spans="1:10" ht="15" customHeight="1" x14ac:dyDescent="0.25">
      <c r="A35" s="12">
        <f t="shared" si="0"/>
        <v>29</v>
      </c>
      <c r="B35" s="16"/>
      <c r="C35" s="14"/>
      <c r="D35" s="15"/>
      <c r="E35" s="16"/>
      <c r="F35" s="17"/>
      <c r="G35" s="18">
        <v>1</v>
      </c>
      <c r="H35" s="4"/>
      <c r="I35" s="4"/>
      <c r="J35" s="4"/>
    </row>
    <row r="36" spans="1:10" ht="15" customHeight="1" x14ac:dyDescent="0.25">
      <c r="A36" s="12">
        <f t="shared" si="0"/>
        <v>30</v>
      </c>
      <c r="B36" s="16"/>
      <c r="C36" s="14"/>
      <c r="D36" s="15"/>
      <c r="E36" s="16"/>
      <c r="F36" s="17"/>
      <c r="G36" s="18">
        <v>1</v>
      </c>
      <c r="H36" s="4"/>
      <c r="I36" s="4"/>
      <c r="J36" s="4"/>
    </row>
    <row r="37" spans="1:10" ht="15" customHeight="1" x14ac:dyDescent="0.25">
      <c r="A37" s="12">
        <f t="shared" si="0"/>
        <v>31</v>
      </c>
      <c r="B37" s="16"/>
      <c r="C37" s="14"/>
      <c r="D37" s="15"/>
      <c r="E37" s="16"/>
      <c r="F37" s="17"/>
      <c r="G37" s="18">
        <v>1</v>
      </c>
      <c r="H37" s="24"/>
      <c r="I37" s="4"/>
      <c r="J37" s="4"/>
    </row>
    <row r="38" spans="1:10" ht="15" customHeight="1" x14ac:dyDescent="0.25">
      <c r="A38" s="12">
        <f t="shared" si="0"/>
        <v>32</v>
      </c>
      <c r="B38" s="16"/>
      <c r="C38" s="14"/>
      <c r="D38" s="15"/>
      <c r="E38" s="16"/>
      <c r="F38" s="17"/>
      <c r="G38" s="18">
        <v>1</v>
      </c>
      <c r="H38" s="24"/>
      <c r="I38" s="4"/>
      <c r="J38" s="4"/>
    </row>
    <row r="39" spans="1:10" x14ac:dyDescent="0.25">
      <c r="A39" s="12">
        <f t="shared" si="0"/>
        <v>33</v>
      </c>
      <c r="B39" s="16"/>
      <c r="C39" s="14"/>
      <c r="D39" s="15"/>
      <c r="E39" s="16"/>
      <c r="F39" s="17"/>
      <c r="G39" s="18">
        <v>1</v>
      </c>
      <c r="H39" s="24"/>
    </row>
    <row r="40" spans="1:10" x14ac:dyDescent="0.25">
      <c r="A40" s="12">
        <f>+A39+1</f>
        <v>34</v>
      </c>
      <c r="B40" s="16"/>
      <c r="C40" s="14"/>
      <c r="D40" s="15"/>
      <c r="E40" s="16"/>
      <c r="F40" s="17"/>
      <c r="G40" s="18">
        <v>1</v>
      </c>
      <c r="H40" s="4"/>
    </row>
    <row r="41" spans="1:10" x14ac:dyDescent="0.25">
      <c r="A41" s="12">
        <f t="shared" si="0"/>
        <v>35</v>
      </c>
      <c r="B41" s="16"/>
      <c r="C41" s="14"/>
      <c r="D41" s="15"/>
      <c r="E41" s="16"/>
      <c r="F41" s="17"/>
      <c r="G41" s="18">
        <v>1</v>
      </c>
      <c r="H41" s="4"/>
    </row>
    <row r="42" spans="1:10" x14ac:dyDescent="0.25">
      <c r="A42" s="12">
        <f t="shared" si="0"/>
        <v>36</v>
      </c>
      <c r="B42" s="16"/>
      <c r="C42" s="14"/>
      <c r="D42" s="15"/>
      <c r="E42" s="16"/>
      <c r="F42" s="17"/>
      <c r="G42" s="18">
        <v>1</v>
      </c>
      <c r="H42" s="24"/>
    </row>
    <row r="43" spans="1:10" x14ac:dyDescent="0.25">
      <c r="A43" s="12">
        <f t="shared" si="0"/>
        <v>37</v>
      </c>
      <c r="B43" s="16"/>
      <c r="C43" s="14"/>
      <c r="D43" s="15"/>
      <c r="E43" s="16"/>
      <c r="F43" s="17"/>
      <c r="G43" s="18">
        <v>1</v>
      </c>
      <c r="H43" s="24"/>
    </row>
    <row r="44" spans="1:10" x14ac:dyDescent="0.25">
      <c r="A44" s="12">
        <f t="shared" si="0"/>
        <v>38</v>
      </c>
      <c r="B44" s="16"/>
      <c r="C44" s="14"/>
      <c r="D44" s="15"/>
      <c r="E44" s="16"/>
      <c r="F44" s="17"/>
      <c r="G44" s="18">
        <v>1</v>
      </c>
      <c r="H44" s="24"/>
    </row>
    <row r="45" spans="1:10" x14ac:dyDescent="0.25">
      <c r="A45" s="12">
        <f t="shared" si="0"/>
        <v>39</v>
      </c>
      <c r="B45" s="16"/>
      <c r="C45" s="14"/>
      <c r="D45" s="15"/>
      <c r="E45" s="16"/>
      <c r="F45" s="17"/>
      <c r="G45" s="18">
        <v>1</v>
      </c>
      <c r="H45" s="24"/>
    </row>
    <row r="46" spans="1:10" x14ac:dyDescent="0.25">
      <c r="A46" s="12">
        <f t="shared" si="0"/>
        <v>40</v>
      </c>
      <c r="B46" s="16"/>
      <c r="C46" s="14"/>
      <c r="D46" s="15"/>
      <c r="E46" s="16"/>
      <c r="F46" s="17"/>
      <c r="G46" s="18">
        <v>1</v>
      </c>
      <c r="H46" s="24"/>
    </row>
    <row r="47" spans="1:10" x14ac:dyDescent="0.25">
      <c r="A47" s="12">
        <f t="shared" si="0"/>
        <v>41</v>
      </c>
      <c r="B47" s="16"/>
      <c r="C47" s="14"/>
      <c r="D47" s="15"/>
      <c r="E47" s="16"/>
      <c r="F47" s="17"/>
      <c r="G47" s="18">
        <v>1</v>
      </c>
      <c r="H47" s="24"/>
    </row>
    <row r="48" spans="1:10" x14ac:dyDescent="0.25">
      <c r="A48" s="12">
        <f t="shared" si="0"/>
        <v>42</v>
      </c>
      <c r="B48" s="16"/>
      <c r="C48" s="14"/>
      <c r="D48" s="15"/>
      <c r="E48" s="16"/>
      <c r="F48" s="17"/>
      <c r="G48" s="18">
        <v>1</v>
      </c>
      <c r="H48" s="24"/>
    </row>
    <row r="49" spans="1:8" x14ac:dyDescent="0.25">
      <c r="A49" s="12">
        <f t="shared" si="0"/>
        <v>43</v>
      </c>
      <c r="B49" s="16"/>
      <c r="C49" s="14"/>
      <c r="D49" s="15"/>
      <c r="E49" s="16"/>
      <c r="F49" s="17"/>
      <c r="G49" s="18">
        <v>1</v>
      </c>
      <c r="H49" s="24"/>
    </row>
    <row r="50" spans="1:8" x14ac:dyDescent="0.25">
      <c r="A50" s="12">
        <f t="shared" si="0"/>
        <v>44</v>
      </c>
      <c r="B50" s="16"/>
      <c r="C50" s="14"/>
      <c r="D50" s="15"/>
      <c r="E50" s="16"/>
      <c r="F50" s="17"/>
      <c r="G50" s="18">
        <v>1</v>
      </c>
      <c r="H50" s="24"/>
    </row>
    <row r="51" spans="1:8" x14ac:dyDescent="0.25">
      <c r="A51" s="12">
        <f t="shared" si="0"/>
        <v>45</v>
      </c>
      <c r="B51" s="16"/>
      <c r="C51" s="14"/>
      <c r="D51" s="15"/>
      <c r="E51" s="16"/>
      <c r="F51" s="17"/>
      <c r="G51" s="18">
        <v>1</v>
      </c>
      <c r="H51" s="24"/>
    </row>
    <row r="52" spans="1:8" x14ac:dyDescent="0.25">
      <c r="A52" s="12">
        <f t="shared" si="0"/>
        <v>46</v>
      </c>
      <c r="B52" s="16"/>
      <c r="C52" s="14"/>
      <c r="D52" s="15"/>
      <c r="E52" s="16"/>
      <c r="F52" s="17"/>
      <c r="G52" s="18">
        <v>1</v>
      </c>
      <c r="H52" s="24"/>
    </row>
    <row r="53" spans="1:8" x14ac:dyDescent="0.25">
      <c r="A53" s="12">
        <f t="shared" si="0"/>
        <v>47</v>
      </c>
      <c r="B53" s="16"/>
      <c r="C53" s="14"/>
      <c r="D53" s="15"/>
      <c r="E53" s="16"/>
      <c r="F53" s="17"/>
      <c r="G53" s="18">
        <v>1</v>
      </c>
      <c r="H53" s="24"/>
    </row>
    <row r="54" spans="1:8" x14ac:dyDescent="0.25">
      <c r="A54" s="12">
        <f t="shared" si="0"/>
        <v>48</v>
      </c>
      <c r="B54" s="16"/>
      <c r="C54" s="14"/>
      <c r="D54" s="15"/>
      <c r="E54" s="16"/>
      <c r="F54" s="17"/>
      <c r="G54" s="18">
        <v>1</v>
      </c>
      <c r="H54" s="24"/>
    </row>
    <row r="55" spans="1:8" x14ac:dyDescent="0.25">
      <c r="A55" s="12">
        <f t="shared" si="0"/>
        <v>49</v>
      </c>
      <c r="B55" s="16"/>
      <c r="C55" s="14"/>
      <c r="D55" s="15"/>
      <c r="E55" s="16"/>
      <c r="F55" s="17"/>
      <c r="G55" s="18">
        <v>1</v>
      </c>
      <c r="H55" s="24"/>
    </row>
    <row r="56" spans="1:8" x14ac:dyDescent="0.25">
      <c r="A56" s="12">
        <f t="shared" si="0"/>
        <v>50</v>
      </c>
      <c r="B56" s="16"/>
      <c r="C56" s="14"/>
      <c r="D56" s="15"/>
      <c r="E56" s="16"/>
      <c r="F56" s="17"/>
      <c r="G56" s="18">
        <v>1</v>
      </c>
      <c r="H56" s="24"/>
    </row>
    <row r="57" spans="1:8" x14ac:dyDescent="0.25">
      <c r="A57" s="12">
        <f t="shared" si="0"/>
        <v>51</v>
      </c>
      <c r="B57" s="16"/>
      <c r="C57" s="14"/>
      <c r="D57" s="15"/>
      <c r="E57" s="16"/>
      <c r="F57" s="17"/>
      <c r="G57" s="18">
        <v>1</v>
      </c>
      <c r="H57" s="24"/>
    </row>
    <row r="58" spans="1:8" x14ac:dyDescent="0.25">
      <c r="A58" s="12">
        <f t="shared" si="0"/>
        <v>52</v>
      </c>
      <c r="B58" s="16"/>
      <c r="C58" s="14"/>
      <c r="D58" s="15"/>
      <c r="E58" s="16"/>
      <c r="F58" s="17"/>
      <c r="G58" s="18">
        <v>1</v>
      </c>
      <c r="H58" s="24"/>
    </row>
    <row r="59" spans="1:8" x14ac:dyDescent="0.25">
      <c r="A59" s="12">
        <f t="shared" si="0"/>
        <v>53</v>
      </c>
      <c r="B59" s="16"/>
      <c r="C59" s="14"/>
      <c r="D59" s="15"/>
      <c r="E59" s="16"/>
      <c r="F59" s="17"/>
      <c r="G59" s="18">
        <v>1</v>
      </c>
      <c r="H59" s="24"/>
    </row>
    <row r="60" spans="1:8" x14ac:dyDescent="0.25">
      <c r="A60" s="12">
        <f t="shared" si="0"/>
        <v>54</v>
      </c>
      <c r="B60" s="16"/>
      <c r="C60" s="14"/>
      <c r="D60" s="15"/>
      <c r="E60" s="16"/>
      <c r="F60" s="17"/>
      <c r="G60" s="18">
        <v>1</v>
      </c>
      <c r="H60" s="24"/>
    </row>
    <row r="61" spans="1:8" x14ac:dyDescent="0.25">
      <c r="A61" s="12">
        <f t="shared" si="0"/>
        <v>55</v>
      </c>
      <c r="B61" s="16"/>
      <c r="C61" s="14"/>
      <c r="D61" s="15"/>
      <c r="E61" s="16"/>
      <c r="F61" s="17"/>
      <c r="G61" s="18">
        <v>1</v>
      </c>
      <c r="H61" s="24"/>
    </row>
    <row r="62" spans="1:8" x14ac:dyDescent="0.25">
      <c r="A62" s="12">
        <f t="shared" si="0"/>
        <v>56</v>
      </c>
      <c r="B62" s="16"/>
      <c r="C62" s="14"/>
      <c r="D62" s="15"/>
      <c r="E62" s="16"/>
      <c r="F62" s="17"/>
      <c r="G62" s="18">
        <v>1</v>
      </c>
      <c r="H62" s="24"/>
    </row>
    <row r="63" spans="1:8" x14ac:dyDescent="0.25">
      <c r="A63" s="12">
        <f t="shared" si="0"/>
        <v>57</v>
      </c>
      <c r="B63" s="16"/>
      <c r="C63" s="14"/>
      <c r="D63" s="15"/>
      <c r="E63" s="16"/>
      <c r="F63" s="17"/>
      <c r="G63" s="18">
        <v>1</v>
      </c>
      <c r="H63" s="24"/>
    </row>
    <row r="64" spans="1:8" x14ac:dyDescent="0.25">
      <c r="A64" s="12">
        <f t="shared" si="0"/>
        <v>58</v>
      </c>
      <c r="B64" s="16"/>
      <c r="C64" s="14"/>
      <c r="D64" s="15"/>
      <c r="E64" s="16"/>
      <c r="F64" s="17"/>
      <c r="G64" s="18">
        <v>1</v>
      </c>
      <c r="H64" s="24"/>
    </row>
    <row r="65" spans="1:8" x14ac:dyDescent="0.25">
      <c r="A65" s="12">
        <f t="shared" si="0"/>
        <v>59</v>
      </c>
      <c r="B65" s="16"/>
      <c r="C65" s="14"/>
      <c r="D65" s="15"/>
      <c r="E65" s="16"/>
      <c r="F65" s="17"/>
      <c r="G65" s="18">
        <v>1</v>
      </c>
      <c r="H65" s="24"/>
    </row>
    <row r="66" spans="1:8" x14ac:dyDescent="0.25">
      <c r="A66" s="12">
        <f t="shared" si="0"/>
        <v>60</v>
      </c>
      <c r="B66" s="16"/>
      <c r="C66" s="14"/>
      <c r="D66" s="15"/>
      <c r="E66" s="16"/>
      <c r="F66" s="17"/>
      <c r="G66" s="18">
        <v>1</v>
      </c>
      <c r="H66" s="24"/>
    </row>
    <row r="67" spans="1:8" x14ac:dyDescent="0.25">
      <c r="A67" s="12">
        <f t="shared" si="0"/>
        <v>61</v>
      </c>
      <c r="B67" s="16"/>
      <c r="C67" s="14"/>
      <c r="D67" s="15"/>
      <c r="E67" s="16"/>
      <c r="F67" s="17"/>
      <c r="G67" s="18">
        <v>1</v>
      </c>
      <c r="H67" s="24"/>
    </row>
    <row r="68" spans="1:8" x14ac:dyDescent="0.25">
      <c r="A68" s="12">
        <f t="shared" si="0"/>
        <v>62</v>
      </c>
      <c r="B68" s="16"/>
      <c r="C68" s="14"/>
      <c r="D68" s="15"/>
      <c r="E68" s="16"/>
      <c r="F68" s="17"/>
      <c r="G68" s="18">
        <v>1</v>
      </c>
      <c r="H68" s="24"/>
    </row>
  </sheetData>
  <sortState ref="B7:I19">
    <sortCondition ref="E7:E19"/>
    <sortCondition ref="D7:D19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68"/>
  <sheetViews>
    <sheetView topLeftCell="A16" workbookViewId="0">
      <selection activeCell="D32" sqref="D32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8.28515625" customWidth="1"/>
    <col min="7" max="7" width="4.7109375" hidden="1" customWidth="1"/>
    <col min="8" max="8" width="29.85546875" customWidth="1"/>
    <col min="9" max="9" width="17.5703125" customWidth="1"/>
  </cols>
  <sheetData>
    <row r="1" spans="1:11" ht="18" x14ac:dyDescent="0.25">
      <c r="A1" s="28" t="s">
        <v>0</v>
      </c>
      <c r="B1" s="28"/>
      <c r="C1" s="28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9" t="s">
        <v>2</v>
      </c>
      <c r="B2" s="29"/>
      <c r="C2" s="29"/>
      <c r="D2" s="2"/>
      <c r="E2" s="5" t="s">
        <v>3</v>
      </c>
      <c r="F2" s="5"/>
      <c r="G2" s="3"/>
      <c r="H2" s="3"/>
      <c r="I2" s="26" t="s">
        <v>4</v>
      </c>
      <c r="J2" s="27"/>
      <c r="K2" s="6">
        <f>SUMIF(F7:F364,"Elimination*",G7:G364)</f>
        <v>7</v>
      </c>
    </row>
    <row r="3" spans="1:11" x14ac:dyDescent="0.25">
      <c r="A3" s="30" t="s">
        <v>5</v>
      </c>
      <c r="B3" s="30"/>
      <c r="C3" s="30"/>
      <c r="D3" s="5"/>
      <c r="E3" s="3" t="s">
        <v>6</v>
      </c>
      <c r="F3" s="3"/>
      <c r="G3" s="3"/>
      <c r="H3" s="3"/>
      <c r="I3" s="26" t="s">
        <v>7</v>
      </c>
      <c r="J3" s="27"/>
      <c r="K3" s="6">
        <f>SUMIF(F7:F364,"NB*",G7:G364)</f>
        <v>15</v>
      </c>
    </row>
    <row r="4" spans="1:11" ht="18" x14ac:dyDescent="0.25">
      <c r="A4" s="28" t="s">
        <v>8</v>
      </c>
      <c r="B4" s="28"/>
      <c r="C4" s="28"/>
      <c r="D4" s="28"/>
      <c r="E4" s="28"/>
      <c r="F4" s="28"/>
      <c r="G4" s="3"/>
      <c r="H4" s="3"/>
      <c r="I4" s="26" t="s">
        <v>9</v>
      </c>
      <c r="J4" s="27"/>
      <c r="K4" s="6">
        <f>SUMIF(F7:F364,"Ve*",G7:G364)</f>
        <v>0</v>
      </c>
    </row>
    <row r="5" spans="1:11" ht="15.75" x14ac:dyDescent="0.25">
      <c r="A5" s="25" t="s">
        <v>42</v>
      </c>
      <c r="B5" s="25"/>
      <c r="C5" s="25"/>
      <c r="D5" s="25"/>
      <c r="E5" s="25"/>
      <c r="F5" s="25"/>
      <c r="G5" s="7"/>
      <c r="H5" s="7"/>
      <c r="I5" s="26" t="s">
        <v>10</v>
      </c>
      <c r="J5" s="27"/>
      <c r="K5" s="8">
        <f>SUM(K2:K4)</f>
        <v>22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 t="s">
        <v>21</v>
      </c>
      <c r="J6" s="11"/>
      <c r="K6" s="4"/>
    </row>
    <row r="7" spans="1:11" ht="15" customHeight="1" x14ac:dyDescent="0.25">
      <c r="A7" s="12">
        <v>1</v>
      </c>
      <c r="B7" s="13" t="s">
        <v>43</v>
      </c>
      <c r="C7" s="14" t="s">
        <v>18</v>
      </c>
      <c r="D7" s="15" t="s">
        <v>44</v>
      </c>
      <c r="E7" s="16">
        <v>45691</v>
      </c>
      <c r="F7" s="17" t="s">
        <v>19</v>
      </c>
      <c r="G7" s="18">
        <v>1</v>
      </c>
      <c r="H7" s="19"/>
      <c r="I7" s="22"/>
      <c r="J7" s="20"/>
      <c r="K7" s="4"/>
    </row>
    <row r="8" spans="1:11" ht="15" customHeight="1" x14ac:dyDescent="0.25">
      <c r="A8" s="12">
        <f>+A7+1</f>
        <v>2</v>
      </c>
      <c r="B8" s="13" t="s">
        <v>20</v>
      </c>
      <c r="C8" s="14" t="s">
        <v>18</v>
      </c>
      <c r="D8" s="15" t="s">
        <v>72</v>
      </c>
      <c r="E8" s="16">
        <v>45698</v>
      </c>
      <c r="F8" s="17" t="s">
        <v>74</v>
      </c>
      <c r="G8" s="18">
        <v>1</v>
      </c>
      <c r="H8" s="19" t="s">
        <v>73</v>
      </c>
      <c r="I8" s="22"/>
      <c r="J8" s="22"/>
      <c r="K8" s="4"/>
    </row>
    <row r="9" spans="1:11" ht="15" customHeight="1" x14ac:dyDescent="0.25">
      <c r="A9" s="12">
        <f t="shared" ref="A9:A68" si="0">+A8+1</f>
        <v>3</v>
      </c>
      <c r="B9" s="13" t="s">
        <v>20</v>
      </c>
      <c r="C9" s="14" t="s">
        <v>18</v>
      </c>
      <c r="D9" s="15" t="s">
        <v>66</v>
      </c>
      <c r="E9" s="16">
        <v>45698</v>
      </c>
      <c r="F9" s="17" t="s">
        <v>68</v>
      </c>
      <c r="G9" s="18">
        <v>1</v>
      </c>
      <c r="H9" s="19" t="s">
        <v>67</v>
      </c>
      <c r="I9" s="22"/>
      <c r="J9" s="22"/>
      <c r="K9" s="4"/>
    </row>
    <row r="10" spans="1:11" ht="15" customHeight="1" x14ac:dyDescent="0.25">
      <c r="A10" s="12">
        <f t="shared" si="0"/>
        <v>4</v>
      </c>
      <c r="B10" s="13" t="s">
        <v>20</v>
      </c>
      <c r="C10" s="14" t="s">
        <v>18</v>
      </c>
      <c r="D10" s="15" t="s">
        <v>63</v>
      </c>
      <c r="E10" s="16">
        <v>45698</v>
      </c>
      <c r="F10" s="17" t="s">
        <v>65</v>
      </c>
      <c r="G10" s="18">
        <v>1</v>
      </c>
      <c r="H10" s="19" t="s">
        <v>64</v>
      </c>
      <c r="I10" s="22"/>
      <c r="J10" s="22"/>
      <c r="K10" s="4"/>
    </row>
    <row r="11" spans="1:11" ht="15" customHeight="1" x14ac:dyDescent="0.25">
      <c r="A11" s="12">
        <f t="shared" si="0"/>
        <v>5</v>
      </c>
      <c r="B11" s="13" t="s">
        <v>20</v>
      </c>
      <c r="C11" s="14" t="s">
        <v>18</v>
      </c>
      <c r="D11" s="15" t="s">
        <v>57</v>
      </c>
      <c r="E11" s="16">
        <v>45698</v>
      </c>
      <c r="F11" s="17" t="s">
        <v>58</v>
      </c>
      <c r="G11" s="18">
        <v>1</v>
      </c>
      <c r="H11" s="19" t="s">
        <v>59</v>
      </c>
      <c r="I11" s="22"/>
      <c r="J11" s="22"/>
      <c r="K11" s="4"/>
    </row>
    <row r="12" spans="1:11" ht="15" customHeight="1" x14ac:dyDescent="0.25">
      <c r="A12" s="12">
        <f t="shared" si="0"/>
        <v>6</v>
      </c>
      <c r="B12" s="13" t="s">
        <v>20</v>
      </c>
      <c r="C12" s="14" t="s">
        <v>18</v>
      </c>
      <c r="D12" s="15" t="s">
        <v>61</v>
      </c>
      <c r="E12" s="16">
        <v>45698</v>
      </c>
      <c r="F12" s="17" t="s">
        <v>62</v>
      </c>
      <c r="G12" s="18">
        <v>1</v>
      </c>
      <c r="H12" s="19" t="s">
        <v>60</v>
      </c>
      <c r="I12" s="22"/>
      <c r="J12" s="22"/>
      <c r="K12" s="4"/>
    </row>
    <row r="13" spans="1:11" ht="15" customHeight="1" x14ac:dyDescent="0.25">
      <c r="A13" s="12">
        <f t="shared" si="0"/>
        <v>7</v>
      </c>
      <c r="B13" s="13" t="s">
        <v>20</v>
      </c>
      <c r="C13" s="14" t="s">
        <v>18</v>
      </c>
      <c r="D13" s="15" t="s">
        <v>48</v>
      </c>
      <c r="E13" s="16">
        <v>45698</v>
      </c>
      <c r="F13" s="17" t="s">
        <v>49</v>
      </c>
      <c r="G13" s="18">
        <v>1</v>
      </c>
      <c r="H13" s="19" t="s">
        <v>50</v>
      </c>
      <c r="I13" s="22"/>
      <c r="J13" s="22"/>
      <c r="K13" s="4"/>
    </row>
    <row r="14" spans="1:11" ht="15" customHeight="1" x14ac:dyDescent="0.25">
      <c r="A14" s="12">
        <f t="shared" si="0"/>
        <v>8</v>
      </c>
      <c r="B14" s="13" t="s">
        <v>20</v>
      </c>
      <c r="C14" s="14" t="s">
        <v>18</v>
      </c>
      <c r="D14" s="15" t="s">
        <v>51</v>
      </c>
      <c r="E14" s="16">
        <v>45698</v>
      </c>
      <c r="F14" s="17" t="s">
        <v>52</v>
      </c>
      <c r="G14" s="18">
        <v>1</v>
      </c>
      <c r="H14" s="19" t="s">
        <v>53</v>
      </c>
      <c r="I14" s="22"/>
      <c r="J14" s="22"/>
      <c r="K14" s="4"/>
    </row>
    <row r="15" spans="1:11" ht="15" customHeight="1" x14ac:dyDescent="0.25">
      <c r="A15" s="12">
        <f t="shared" si="0"/>
        <v>9</v>
      </c>
      <c r="B15" s="13" t="s">
        <v>20</v>
      </c>
      <c r="C15" s="14" t="s">
        <v>18</v>
      </c>
      <c r="D15" s="15" t="s">
        <v>54</v>
      </c>
      <c r="E15" s="16">
        <v>45698</v>
      </c>
      <c r="F15" s="17" t="s">
        <v>55</v>
      </c>
      <c r="G15" s="18">
        <v>1</v>
      </c>
      <c r="H15" s="19" t="s">
        <v>56</v>
      </c>
      <c r="I15" s="22"/>
      <c r="J15" s="22"/>
    </row>
    <row r="16" spans="1:11" ht="15" customHeight="1" x14ac:dyDescent="0.25">
      <c r="A16" s="12">
        <f t="shared" si="0"/>
        <v>10</v>
      </c>
      <c r="B16" s="13" t="s">
        <v>20</v>
      </c>
      <c r="C16" s="14" t="s">
        <v>18</v>
      </c>
      <c r="D16" s="15" t="s">
        <v>45</v>
      </c>
      <c r="E16" s="16">
        <v>45698</v>
      </c>
      <c r="F16" s="17" t="s">
        <v>46</v>
      </c>
      <c r="G16" s="18">
        <v>1</v>
      </c>
      <c r="H16" s="19" t="s">
        <v>47</v>
      </c>
      <c r="I16" s="22"/>
      <c r="J16" s="22"/>
    </row>
    <row r="17" spans="1:10" ht="15" customHeight="1" x14ac:dyDescent="0.25">
      <c r="A17" s="12">
        <f t="shared" si="0"/>
        <v>11</v>
      </c>
      <c r="B17" s="13" t="s">
        <v>20</v>
      </c>
      <c r="C17" s="14" t="s">
        <v>18</v>
      </c>
      <c r="D17" s="15" t="s">
        <v>69</v>
      </c>
      <c r="E17" s="16">
        <v>45698</v>
      </c>
      <c r="F17" s="17" t="s">
        <v>71</v>
      </c>
      <c r="G17" s="18">
        <v>1</v>
      </c>
      <c r="H17" s="19" t="s">
        <v>70</v>
      </c>
      <c r="I17" s="22"/>
      <c r="J17" s="22"/>
    </row>
    <row r="18" spans="1:10" ht="15" customHeight="1" x14ac:dyDescent="0.25">
      <c r="A18" s="12">
        <f t="shared" si="0"/>
        <v>12</v>
      </c>
      <c r="B18" s="16" t="s">
        <v>75</v>
      </c>
      <c r="C18" s="14" t="s">
        <v>18</v>
      </c>
      <c r="D18" s="15" t="s">
        <v>76</v>
      </c>
      <c r="E18" s="16">
        <v>45700</v>
      </c>
      <c r="F18" s="17" t="s">
        <v>19</v>
      </c>
      <c r="G18" s="18">
        <v>1</v>
      </c>
      <c r="H18" s="19"/>
      <c r="I18" s="22"/>
      <c r="J18" s="22"/>
    </row>
    <row r="19" spans="1:10" ht="15" customHeight="1" x14ac:dyDescent="0.25">
      <c r="A19" s="12">
        <f t="shared" si="0"/>
        <v>13</v>
      </c>
      <c r="B19" s="13" t="s">
        <v>77</v>
      </c>
      <c r="C19" s="14" t="s">
        <v>18</v>
      </c>
      <c r="D19" s="15" t="s">
        <v>78</v>
      </c>
      <c r="E19" s="16">
        <v>45701</v>
      </c>
      <c r="F19" s="17" t="s">
        <v>19</v>
      </c>
      <c r="G19" s="18">
        <v>1</v>
      </c>
      <c r="H19" s="19"/>
      <c r="I19" s="22"/>
      <c r="J19" s="22"/>
    </row>
    <row r="20" spans="1:10" ht="15" customHeight="1" x14ac:dyDescent="0.25">
      <c r="A20" s="12">
        <f t="shared" si="0"/>
        <v>14</v>
      </c>
      <c r="B20" s="13" t="s">
        <v>20</v>
      </c>
      <c r="C20" s="14" t="s">
        <v>18</v>
      </c>
      <c r="D20" s="21" t="s">
        <v>79</v>
      </c>
      <c r="E20" s="16">
        <v>45704</v>
      </c>
      <c r="F20" s="17" t="s">
        <v>80</v>
      </c>
      <c r="G20" s="18">
        <v>1</v>
      </c>
      <c r="H20" s="23" t="s">
        <v>81</v>
      </c>
      <c r="I20" s="22"/>
      <c r="J20" s="22"/>
    </row>
    <row r="21" spans="1:10" ht="15" customHeight="1" x14ac:dyDescent="0.25">
      <c r="A21" s="12">
        <f t="shared" si="0"/>
        <v>15</v>
      </c>
      <c r="B21" s="16" t="s">
        <v>20</v>
      </c>
      <c r="C21" s="14" t="s">
        <v>18</v>
      </c>
      <c r="D21" s="21" t="s">
        <v>82</v>
      </c>
      <c r="E21" s="16">
        <v>45704</v>
      </c>
      <c r="F21" s="17" t="s">
        <v>83</v>
      </c>
      <c r="G21" s="18">
        <v>1</v>
      </c>
      <c r="H21" s="19" t="s">
        <v>84</v>
      </c>
      <c r="I21" s="22"/>
      <c r="J21" s="22"/>
    </row>
    <row r="22" spans="1:10" ht="15" customHeight="1" x14ac:dyDescent="0.25">
      <c r="A22" s="12">
        <f t="shared" si="0"/>
        <v>16</v>
      </c>
      <c r="B22" s="16" t="s">
        <v>20</v>
      </c>
      <c r="C22" s="14" t="s">
        <v>18</v>
      </c>
      <c r="D22" s="21" t="s">
        <v>85</v>
      </c>
      <c r="E22" s="16">
        <v>45707</v>
      </c>
      <c r="F22" s="17" t="s">
        <v>86</v>
      </c>
      <c r="G22" s="18">
        <v>1</v>
      </c>
      <c r="H22" s="19" t="s">
        <v>87</v>
      </c>
      <c r="I22" s="22"/>
      <c r="J22" s="22"/>
    </row>
    <row r="23" spans="1:10" ht="15" customHeight="1" x14ac:dyDescent="0.25">
      <c r="A23" s="12">
        <f t="shared" si="0"/>
        <v>17</v>
      </c>
      <c r="B23" s="16" t="s">
        <v>20</v>
      </c>
      <c r="C23" s="14" t="s">
        <v>18</v>
      </c>
      <c r="D23" s="21" t="s">
        <v>88</v>
      </c>
      <c r="E23" s="16">
        <v>45707</v>
      </c>
      <c r="F23" s="17" t="s">
        <v>89</v>
      </c>
      <c r="G23" s="18">
        <v>1</v>
      </c>
      <c r="H23" s="19" t="s">
        <v>90</v>
      </c>
      <c r="I23" s="22"/>
      <c r="J23" s="22"/>
    </row>
    <row r="24" spans="1:10" ht="15" customHeight="1" x14ac:dyDescent="0.25">
      <c r="A24" s="12">
        <f t="shared" si="0"/>
        <v>18</v>
      </c>
      <c r="B24" s="13" t="s">
        <v>91</v>
      </c>
      <c r="C24" s="14" t="s">
        <v>18</v>
      </c>
      <c r="D24" s="21" t="s">
        <v>92</v>
      </c>
      <c r="E24" s="16">
        <v>45712</v>
      </c>
      <c r="F24" s="17" t="s">
        <v>19</v>
      </c>
      <c r="G24" s="18">
        <v>1</v>
      </c>
      <c r="H24" s="23"/>
      <c r="I24" s="22"/>
      <c r="J24" s="22"/>
    </row>
    <row r="25" spans="1:10" ht="15" customHeight="1" x14ac:dyDescent="0.25">
      <c r="A25" s="12">
        <f t="shared" si="0"/>
        <v>19</v>
      </c>
      <c r="B25" s="13" t="s">
        <v>93</v>
      </c>
      <c r="C25" s="14" t="s">
        <v>18</v>
      </c>
      <c r="D25" s="21" t="s">
        <v>94</v>
      </c>
      <c r="E25" s="16">
        <v>45712</v>
      </c>
      <c r="F25" s="17" t="s">
        <v>19</v>
      </c>
      <c r="G25" s="18">
        <v>1</v>
      </c>
      <c r="H25" s="19"/>
      <c r="I25" s="22"/>
      <c r="J25" s="22"/>
    </row>
    <row r="26" spans="1:10" ht="15" customHeight="1" x14ac:dyDescent="0.25">
      <c r="A26" s="12">
        <f t="shared" si="0"/>
        <v>20</v>
      </c>
      <c r="B26" s="13" t="s">
        <v>95</v>
      </c>
      <c r="C26" s="14" t="s">
        <v>18</v>
      </c>
      <c r="D26" s="21" t="s">
        <v>96</v>
      </c>
      <c r="E26" s="16">
        <v>45712</v>
      </c>
      <c r="F26" s="17" t="s">
        <v>19</v>
      </c>
      <c r="G26" s="18">
        <v>1</v>
      </c>
      <c r="H26" s="19"/>
      <c r="I26" s="22"/>
      <c r="J26" s="22"/>
    </row>
    <row r="27" spans="1:10" ht="15" customHeight="1" x14ac:dyDescent="0.25">
      <c r="A27" s="12">
        <f t="shared" si="0"/>
        <v>21</v>
      </c>
      <c r="B27" s="16" t="s">
        <v>97</v>
      </c>
      <c r="C27" s="14" t="s">
        <v>18</v>
      </c>
      <c r="D27" s="21" t="s">
        <v>98</v>
      </c>
      <c r="E27" s="16">
        <v>45712</v>
      </c>
      <c r="F27" s="17" t="s">
        <v>19</v>
      </c>
      <c r="G27" s="18">
        <v>1</v>
      </c>
      <c r="H27" s="19"/>
      <c r="I27" s="22"/>
      <c r="J27" s="22"/>
    </row>
    <row r="28" spans="1:10" ht="15" customHeight="1" x14ac:dyDescent="0.25">
      <c r="A28" s="12">
        <f t="shared" si="0"/>
        <v>22</v>
      </c>
      <c r="B28" s="16" t="s">
        <v>99</v>
      </c>
      <c r="C28" s="14" t="s">
        <v>18</v>
      </c>
      <c r="D28" s="21" t="s">
        <v>100</v>
      </c>
      <c r="E28" s="16">
        <v>45713</v>
      </c>
      <c r="F28" s="17" t="s">
        <v>101</v>
      </c>
      <c r="G28" s="18">
        <v>1</v>
      </c>
      <c r="H28" s="23" t="s">
        <v>102</v>
      </c>
      <c r="I28" s="22"/>
      <c r="J28" s="22"/>
    </row>
    <row r="29" spans="1:10" ht="15" customHeight="1" x14ac:dyDescent="0.25">
      <c r="A29" s="12">
        <f t="shared" si="0"/>
        <v>23</v>
      </c>
      <c r="B29" s="16"/>
      <c r="C29" s="14"/>
      <c r="D29" s="15"/>
      <c r="E29" s="16"/>
      <c r="F29" s="17"/>
      <c r="G29" s="18">
        <v>1</v>
      </c>
      <c r="H29" s="23"/>
      <c r="I29" s="22"/>
      <c r="J29" s="22"/>
    </row>
    <row r="30" spans="1:10" ht="15" customHeight="1" x14ac:dyDescent="0.25">
      <c r="A30" s="12">
        <f t="shared" si="0"/>
        <v>24</v>
      </c>
      <c r="B30" s="16"/>
      <c r="C30" s="14"/>
      <c r="D30" s="15"/>
      <c r="E30" s="16"/>
      <c r="F30" s="17"/>
      <c r="G30" s="18">
        <v>1</v>
      </c>
      <c r="H30" s="23"/>
      <c r="I30" s="4"/>
      <c r="J30" s="4"/>
    </row>
    <row r="31" spans="1:10" ht="15" customHeight="1" x14ac:dyDescent="0.25">
      <c r="A31" s="12">
        <f t="shared" si="0"/>
        <v>25</v>
      </c>
      <c r="B31" s="16"/>
      <c r="C31" s="14"/>
      <c r="D31" s="15"/>
      <c r="E31" s="16"/>
      <c r="F31" s="17"/>
      <c r="G31" s="18">
        <v>1</v>
      </c>
      <c r="H31" s="23"/>
      <c r="I31" s="4"/>
      <c r="J31" s="4"/>
    </row>
    <row r="32" spans="1:10" ht="15" customHeight="1" x14ac:dyDescent="0.25">
      <c r="A32" s="12">
        <f t="shared" si="0"/>
        <v>26</v>
      </c>
      <c r="B32" s="16"/>
      <c r="C32" s="14"/>
      <c r="D32" s="15"/>
      <c r="E32" s="16"/>
      <c r="F32" s="17"/>
      <c r="G32" s="18">
        <v>1</v>
      </c>
      <c r="H32" s="4"/>
      <c r="I32" s="4"/>
      <c r="J32" s="4"/>
    </row>
    <row r="33" spans="1:10" ht="15" customHeight="1" x14ac:dyDescent="0.25">
      <c r="A33" s="12">
        <f t="shared" si="0"/>
        <v>27</v>
      </c>
      <c r="B33" s="16"/>
      <c r="C33" s="14"/>
      <c r="D33" s="15"/>
      <c r="E33" s="16"/>
      <c r="F33" s="17"/>
      <c r="G33" s="18">
        <v>1</v>
      </c>
      <c r="H33" s="23"/>
      <c r="I33" s="4"/>
      <c r="J33" s="4"/>
    </row>
    <row r="34" spans="1:10" ht="15" customHeight="1" x14ac:dyDescent="0.25">
      <c r="A34" s="12">
        <f t="shared" si="0"/>
        <v>28</v>
      </c>
      <c r="B34" s="16"/>
      <c r="C34" s="14"/>
      <c r="D34" s="15"/>
      <c r="E34" s="16"/>
      <c r="F34" s="17"/>
      <c r="G34" s="18">
        <v>1</v>
      </c>
      <c r="H34" s="4"/>
      <c r="I34" s="4"/>
      <c r="J34" s="4"/>
    </row>
    <row r="35" spans="1:10" ht="15" customHeight="1" x14ac:dyDescent="0.25">
      <c r="A35" s="12">
        <f t="shared" si="0"/>
        <v>29</v>
      </c>
      <c r="B35" s="16"/>
      <c r="C35" s="14"/>
      <c r="D35" s="15"/>
      <c r="E35" s="16"/>
      <c r="F35" s="17"/>
      <c r="G35" s="18">
        <v>1</v>
      </c>
      <c r="H35" s="4"/>
      <c r="I35" s="4"/>
      <c r="J35" s="4"/>
    </row>
    <row r="36" spans="1:10" ht="15" customHeight="1" x14ac:dyDescent="0.25">
      <c r="A36" s="12">
        <f t="shared" si="0"/>
        <v>30</v>
      </c>
      <c r="B36" s="16"/>
      <c r="C36" s="14"/>
      <c r="D36" s="15"/>
      <c r="E36" s="16"/>
      <c r="F36" s="17"/>
      <c r="G36" s="18">
        <v>1</v>
      </c>
      <c r="H36" s="4"/>
      <c r="I36" s="4"/>
      <c r="J36" s="4"/>
    </row>
    <row r="37" spans="1:10" ht="15" customHeight="1" x14ac:dyDescent="0.25">
      <c r="A37" s="12">
        <f t="shared" si="0"/>
        <v>31</v>
      </c>
      <c r="B37" s="16"/>
      <c r="C37" s="14"/>
      <c r="D37" s="15"/>
      <c r="E37" s="16"/>
      <c r="F37" s="17"/>
      <c r="G37" s="18">
        <v>1</v>
      </c>
      <c r="H37" s="24"/>
      <c r="I37" s="4"/>
      <c r="J37" s="4"/>
    </row>
    <row r="38" spans="1:10" ht="15" customHeight="1" x14ac:dyDescent="0.25">
      <c r="A38" s="12">
        <f t="shared" si="0"/>
        <v>32</v>
      </c>
      <c r="B38" s="16"/>
      <c r="C38" s="14"/>
      <c r="D38" s="15"/>
      <c r="E38" s="16"/>
      <c r="F38" s="17"/>
      <c r="G38" s="18">
        <v>1</v>
      </c>
      <c r="H38" s="24"/>
      <c r="I38" s="4"/>
      <c r="J38" s="4"/>
    </row>
    <row r="39" spans="1:10" x14ac:dyDescent="0.25">
      <c r="A39" s="12">
        <f t="shared" si="0"/>
        <v>33</v>
      </c>
      <c r="B39" s="16"/>
      <c r="C39" s="14"/>
      <c r="D39" s="15"/>
      <c r="E39" s="16"/>
      <c r="F39" s="17"/>
      <c r="G39" s="18">
        <v>1</v>
      </c>
      <c r="H39" s="24"/>
    </row>
    <row r="40" spans="1:10" x14ac:dyDescent="0.25">
      <c r="A40" s="12">
        <f>+A39+1</f>
        <v>34</v>
      </c>
      <c r="B40" s="16"/>
      <c r="C40" s="14"/>
      <c r="D40" s="15"/>
      <c r="E40" s="16"/>
      <c r="F40" s="17"/>
      <c r="G40" s="18">
        <v>1</v>
      </c>
      <c r="H40" s="4"/>
    </row>
    <row r="41" spans="1:10" x14ac:dyDescent="0.25">
      <c r="A41" s="12">
        <f t="shared" si="0"/>
        <v>35</v>
      </c>
      <c r="B41" s="16"/>
      <c r="C41" s="14"/>
      <c r="D41" s="15"/>
      <c r="E41" s="16"/>
      <c r="F41" s="17"/>
      <c r="G41" s="18">
        <v>1</v>
      </c>
      <c r="H41" s="4"/>
    </row>
    <row r="42" spans="1:10" x14ac:dyDescent="0.25">
      <c r="A42" s="12">
        <f t="shared" si="0"/>
        <v>36</v>
      </c>
      <c r="B42" s="16"/>
      <c r="C42" s="14"/>
      <c r="D42" s="15"/>
      <c r="E42" s="16"/>
      <c r="F42" s="17"/>
      <c r="G42" s="18">
        <v>1</v>
      </c>
      <c r="H42" s="24"/>
    </row>
    <row r="43" spans="1:10" x14ac:dyDescent="0.25">
      <c r="A43" s="12">
        <f t="shared" si="0"/>
        <v>37</v>
      </c>
      <c r="B43" s="16"/>
      <c r="C43" s="14"/>
      <c r="D43" s="15"/>
      <c r="E43" s="16"/>
      <c r="F43" s="17"/>
      <c r="G43" s="18">
        <v>1</v>
      </c>
      <c r="H43" s="24"/>
    </row>
    <row r="44" spans="1:10" x14ac:dyDescent="0.25">
      <c r="A44" s="12">
        <f t="shared" si="0"/>
        <v>38</v>
      </c>
      <c r="B44" s="16"/>
      <c r="C44" s="14"/>
      <c r="D44" s="15"/>
      <c r="E44" s="16"/>
      <c r="F44" s="17"/>
      <c r="G44" s="18">
        <v>1</v>
      </c>
      <c r="H44" s="24"/>
    </row>
    <row r="45" spans="1:10" x14ac:dyDescent="0.25">
      <c r="A45" s="12">
        <f t="shared" si="0"/>
        <v>39</v>
      </c>
      <c r="B45" s="16"/>
      <c r="C45" s="14"/>
      <c r="D45" s="15"/>
      <c r="E45" s="16"/>
      <c r="F45" s="17"/>
      <c r="G45" s="18">
        <v>1</v>
      </c>
      <c r="H45" s="24"/>
    </row>
    <row r="46" spans="1:10" x14ac:dyDescent="0.25">
      <c r="A46" s="12">
        <f t="shared" si="0"/>
        <v>40</v>
      </c>
      <c r="B46" s="16"/>
      <c r="C46" s="14"/>
      <c r="D46" s="15"/>
      <c r="E46" s="16"/>
      <c r="F46" s="17"/>
      <c r="G46" s="18">
        <v>1</v>
      </c>
      <c r="H46" s="24"/>
    </row>
    <row r="47" spans="1:10" x14ac:dyDescent="0.25">
      <c r="A47" s="12">
        <f t="shared" si="0"/>
        <v>41</v>
      </c>
      <c r="B47" s="16"/>
      <c r="C47" s="14"/>
      <c r="D47" s="15"/>
      <c r="E47" s="16"/>
      <c r="F47" s="17"/>
      <c r="G47" s="18">
        <v>1</v>
      </c>
      <c r="H47" s="24"/>
    </row>
    <row r="48" spans="1:10" x14ac:dyDescent="0.25">
      <c r="A48" s="12">
        <f t="shared" si="0"/>
        <v>42</v>
      </c>
      <c r="B48" s="16"/>
      <c r="C48" s="14"/>
      <c r="D48" s="15"/>
      <c r="E48" s="16"/>
      <c r="F48" s="17"/>
      <c r="G48" s="18">
        <v>1</v>
      </c>
      <c r="H48" s="24"/>
    </row>
    <row r="49" spans="1:8" x14ac:dyDescent="0.25">
      <c r="A49" s="12">
        <f t="shared" si="0"/>
        <v>43</v>
      </c>
      <c r="B49" s="16"/>
      <c r="C49" s="14"/>
      <c r="D49" s="15"/>
      <c r="E49" s="16"/>
      <c r="F49" s="17"/>
      <c r="G49" s="18">
        <v>1</v>
      </c>
      <c r="H49" s="24"/>
    </row>
    <row r="50" spans="1:8" x14ac:dyDescent="0.25">
      <c r="A50" s="12">
        <f t="shared" si="0"/>
        <v>44</v>
      </c>
      <c r="B50" s="16"/>
      <c r="C50" s="14"/>
      <c r="D50" s="15"/>
      <c r="E50" s="16"/>
      <c r="F50" s="17"/>
      <c r="G50" s="18">
        <v>1</v>
      </c>
      <c r="H50" s="24"/>
    </row>
    <row r="51" spans="1:8" x14ac:dyDescent="0.25">
      <c r="A51" s="12">
        <f t="shared" si="0"/>
        <v>45</v>
      </c>
      <c r="B51" s="16"/>
      <c r="C51" s="14"/>
      <c r="D51" s="15"/>
      <c r="E51" s="16"/>
      <c r="F51" s="17"/>
      <c r="G51" s="18">
        <v>1</v>
      </c>
      <c r="H51" s="24"/>
    </row>
    <row r="52" spans="1:8" x14ac:dyDescent="0.25">
      <c r="A52" s="12">
        <f t="shared" si="0"/>
        <v>46</v>
      </c>
      <c r="B52" s="16"/>
      <c r="C52" s="14"/>
      <c r="D52" s="15"/>
      <c r="E52" s="16"/>
      <c r="F52" s="17"/>
      <c r="G52" s="18">
        <v>1</v>
      </c>
      <c r="H52" s="24"/>
    </row>
    <row r="53" spans="1:8" x14ac:dyDescent="0.25">
      <c r="A53" s="12">
        <f t="shared" si="0"/>
        <v>47</v>
      </c>
      <c r="B53" s="16"/>
      <c r="C53" s="14"/>
      <c r="D53" s="15"/>
      <c r="E53" s="16"/>
      <c r="F53" s="17"/>
      <c r="G53" s="18">
        <v>1</v>
      </c>
      <c r="H53" s="24"/>
    </row>
    <row r="54" spans="1:8" x14ac:dyDescent="0.25">
      <c r="A54" s="12">
        <f t="shared" si="0"/>
        <v>48</v>
      </c>
      <c r="B54" s="16"/>
      <c r="C54" s="14"/>
      <c r="D54" s="15"/>
      <c r="E54" s="16"/>
      <c r="F54" s="17"/>
      <c r="G54" s="18">
        <v>1</v>
      </c>
      <c r="H54" s="24"/>
    </row>
    <row r="55" spans="1:8" x14ac:dyDescent="0.25">
      <c r="A55" s="12">
        <f t="shared" si="0"/>
        <v>49</v>
      </c>
      <c r="B55" s="16"/>
      <c r="C55" s="14"/>
      <c r="D55" s="15"/>
      <c r="E55" s="16"/>
      <c r="F55" s="17"/>
      <c r="G55" s="18">
        <v>1</v>
      </c>
      <c r="H55" s="24"/>
    </row>
    <row r="56" spans="1:8" x14ac:dyDescent="0.25">
      <c r="A56" s="12">
        <f t="shared" si="0"/>
        <v>50</v>
      </c>
      <c r="B56" s="16"/>
      <c r="C56" s="14"/>
      <c r="D56" s="15"/>
      <c r="E56" s="16"/>
      <c r="F56" s="17"/>
      <c r="G56" s="18">
        <v>1</v>
      </c>
      <c r="H56" s="24"/>
    </row>
    <row r="57" spans="1:8" x14ac:dyDescent="0.25">
      <c r="A57" s="12">
        <f t="shared" si="0"/>
        <v>51</v>
      </c>
      <c r="B57" s="16"/>
      <c r="C57" s="14"/>
      <c r="D57" s="15"/>
      <c r="E57" s="16"/>
      <c r="F57" s="17"/>
      <c r="G57" s="18">
        <v>1</v>
      </c>
      <c r="H57" s="24"/>
    </row>
    <row r="58" spans="1:8" x14ac:dyDescent="0.25">
      <c r="A58" s="12">
        <f t="shared" si="0"/>
        <v>52</v>
      </c>
      <c r="B58" s="16"/>
      <c r="C58" s="14"/>
      <c r="D58" s="15"/>
      <c r="E58" s="16"/>
      <c r="F58" s="17"/>
      <c r="G58" s="18">
        <v>1</v>
      </c>
      <c r="H58" s="24"/>
    </row>
    <row r="59" spans="1:8" x14ac:dyDescent="0.25">
      <c r="A59" s="12">
        <f t="shared" si="0"/>
        <v>53</v>
      </c>
      <c r="B59" s="16"/>
      <c r="C59" s="14"/>
      <c r="D59" s="15"/>
      <c r="E59" s="16"/>
      <c r="F59" s="17"/>
      <c r="G59" s="18">
        <v>1</v>
      </c>
      <c r="H59" s="24"/>
    </row>
    <row r="60" spans="1:8" x14ac:dyDescent="0.25">
      <c r="A60" s="12">
        <f t="shared" si="0"/>
        <v>54</v>
      </c>
      <c r="B60" s="16"/>
      <c r="C60" s="14"/>
      <c r="D60" s="15"/>
      <c r="E60" s="16"/>
      <c r="F60" s="17"/>
      <c r="G60" s="18">
        <v>1</v>
      </c>
      <c r="H60" s="24"/>
    </row>
    <row r="61" spans="1:8" x14ac:dyDescent="0.25">
      <c r="A61" s="12">
        <f t="shared" si="0"/>
        <v>55</v>
      </c>
      <c r="B61" s="16"/>
      <c r="C61" s="14"/>
      <c r="D61" s="15"/>
      <c r="E61" s="16"/>
      <c r="F61" s="17"/>
      <c r="G61" s="18">
        <v>1</v>
      </c>
      <c r="H61" s="24"/>
    </row>
    <row r="62" spans="1:8" x14ac:dyDescent="0.25">
      <c r="A62" s="12">
        <f t="shared" si="0"/>
        <v>56</v>
      </c>
      <c r="B62" s="16"/>
      <c r="C62" s="14"/>
      <c r="D62" s="15"/>
      <c r="E62" s="16"/>
      <c r="F62" s="17"/>
      <c r="G62" s="18">
        <v>1</v>
      </c>
      <c r="H62" s="24"/>
    </row>
    <row r="63" spans="1:8" x14ac:dyDescent="0.25">
      <c r="A63" s="12">
        <f t="shared" si="0"/>
        <v>57</v>
      </c>
      <c r="B63" s="16"/>
      <c r="C63" s="14"/>
      <c r="D63" s="15"/>
      <c r="E63" s="16"/>
      <c r="F63" s="17"/>
      <c r="G63" s="18">
        <v>1</v>
      </c>
      <c r="H63" s="24"/>
    </row>
    <row r="64" spans="1:8" x14ac:dyDescent="0.25">
      <c r="A64" s="12">
        <f t="shared" si="0"/>
        <v>58</v>
      </c>
      <c r="B64" s="16"/>
      <c r="C64" s="14"/>
      <c r="D64" s="15"/>
      <c r="E64" s="16"/>
      <c r="F64" s="17"/>
      <c r="G64" s="18">
        <v>1</v>
      </c>
      <c r="H64" s="24"/>
    </row>
    <row r="65" spans="1:8" x14ac:dyDescent="0.25">
      <c r="A65" s="12">
        <f t="shared" si="0"/>
        <v>59</v>
      </c>
      <c r="B65" s="16"/>
      <c r="C65" s="14"/>
      <c r="D65" s="15"/>
      <c r="E65" s="16"/>
      <c r="F65" s="17"/>
      <c r="G65" s="18">
        <v>1</v>
      </c>
      <c r="H65" s="24"/>
    </row>
    <row r="66" spans="1:8" x14ac:dyDescent="0.25">
      <c r="A66" s="12">
        <f t="shared" si="0"/>
        <v>60</v>
      </c>
      <c r="B66" s="16"/>
      <c r="C66" s="14"/>
      <c r="D66" s="15"/>
      <c r="E66" s="16"/>
      <c r="F66" s="17"/>
      <c r="G66" s="18">
        <v>1</v>
      </c>
      <c r="H66" s="24"/>
    </row>
    <row r="67" spans="1:8" x14ac:dyDescent="0.25">
      <c r="A67" s="12">
        <f t="shared" si="0"/>
        <v>61</v>
      </c>
      <c r="B67" s="16"/>
      <c r="C67" s="14"/>
      <c r="D67" s="15"/>
      <c r="E67" s="16"/>
      <c r="F67" s="17"/>
      <c r="G67" s="18">
        <v>1</v>
      </c>
      <c r="H67" s="24"/>
    </row>
    <row r="68" spans="1:8" x14ac:dyDescent="0.25">
      <c r="A68" s="12">
        <f t="shared" si="0"/>
        <v>62</v>
      </c>
      <c r="B68" s="16"/>
      <c r="C68" s="14"/>
      <c r="D68" s="15"/>
      <c r="E68" s="16"/>
      <c r="F68" s="17"/>
      <c r="G68" s="18">
        <v>1</v>
      </c>
      <c r="H68" s="24"/>
    </row>
  </sheetData>
  <sortState ref="B7:I17">
    <sortCondition ref="E7:E17"/>
    <sortCondition ref="D7:D17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68"/>
  <sheetViews>
    <sheetView topLeftCell="A43" workbookViewId="0">
      <selection activeCell="B61" sqref="B61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8.28515625" customWidth="1"/>
    <col min="7" max="7" width="2.140625" hidden="1" customWidth="1"/>
    <col min="8" max="8" width="29.85546875" customWidth="1"/>
    <col min="9" max="9" width="17.5703125" customWidth="1"/>
  </cols>
  <sheetData>
    <row r="1" spans="1:11" ht="18" x14ac:dyDescent="0.25">
      <c r="A1" s="28" t="s">
        <v>0</v>
      </c>
      <c r="B1" s="28"/>
      <c r="C1" s="28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9" t="s">
        <v>2</v>
      </c>
      <c r="B2" s="29"/>
      <c r="C2" s="29"/>
      <c r="D2" s="2"/>
      <c r="E2" s="5" t="s">
        <v>3</v>
      </c>
      <c r="F2" s="5"/>
      <c r="G2" s="3"/>
      <c r="H2" s="3"/>
      <c r="I2" s="26" t="s">
        <v>4</v>
      </c>
      <c r="J2" s="27"/>
      <c r="K2" s="6">
        <f>SUMIF(F7:F364,"Elimination*",G7:G364)</f>
        <v>46</v>
      </c>
    </row>
    <row r="3" spans="1:11" x14ac:dyDescent="0.25">
      <c r="A3" s="30" t="s">
        <v>5</v>
      </c>
      <c r="B3" s="30"/>
      <c r="C3" s="30"/>
      <c r="D3" s="5"/>
      <c r="E3" s="3" t="s">
        <v>6</v>
      </c>
      <c r="F3" s="3"/>
      <c r="G3" s="3"/>
      <c r="H3" s="3"/>
      <c r="I3" s="26" t="s">
        <v>7</v>
      </c>
      <c r="J3" s="27"/>
      <c r="K3" s="6">
        <f>SUMIF(F7:F364,"NB*",G7:G364)</f>
        <v>8</v>
      </c>
    </row>
    <row r="4" spans="1:11" ht="18" x14ac:dyDescent="0.25">
      <c r="A4" s="28" t="s">
        <v>8</v>
      </c>
      <c r="B4" s="28"/>
      <c r="C4" s="28"/>
      <c r="D4" s="28"/>
      <c r="E4" s="28"/>
      <c r="F4" s="28"/>
      <c r="G4" s="3"/>
      <c r="H4" s="3"/>
      <c r="I4" s="26" t="s">
        <v>9</v>
      </c>
      <c r="J4" s="27"/>
      <c r="K4" s="6">
        <f>SUMIF(F7:F364,"Ve*",G7:G364)</f>
        <v>0</v>
      </c>
    </row>
    <row r="5" spans="1:11" ht="15.75" x14ac:dyDescent="0.25">
      <c r="A5" s="25" t="s">
        <v>105</v>
      </c>
      <c r="B5" s="25"/>
      <c r="C5" s="25"/>
      <c r="D5" s="25"/>
      <c r="E5" s="25"/>
      <c r="F5" s="25"/>
      <c r="G5" s="7"/>
      <c r="H5" s="7"/>
      <c r="I5" s="26" t="s">
        <v>10</v>
      </c>
      <c r="J5" s="27"/>
      <c r="K5" s="8">
        <f>SUM(K2:K4)</f>
        <v>54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 t="s">
        <v>21</v>
      </c>
      <c r="J6" s="11"/>
      <c r="K6" s="4"/>
    </row>
    <row r="7" spans="1:11" ht="15" customHeight="1" x14ac:dyDescent="0.25">
      <c r="A7" s="12">
        <v>1</v>
      </c>
      <c r="B7" s="13" t="s">
        <v>116</v>
      </c>
      <c r="C7" s="14" t="s">
        <v>18</v>
      </c>
      <c r="D7" s="15" t="s">
        <v>117</v>
      </c>
      <c r="E7" s="16">
        <v>45718</v>
      </c>
      <c r="F7" s="17" t="s">
        <v>19</v>
      </c>
      <c r="G7" s="18">
        <v>1</v>
      </c>
      <c r="H7" s="19"/>
      <c r="I7" s="22"/>
      <c r="J7" s="20"/>
      <c r="K7" s="4"/>
    </row>
    <row r="8" spans="1:11" ht="15" customHeight="1" x14ac:dyDescent="0.25">
      <c r="A8" s="12">
        <f>+A7+1</f>
        <v>2</v>
      </c>
      <c r="B8" s="13" t="s">
        <v>118</v>
      </c>
      <c r="C8" s="14" t="s">
        <v>18</v>
      </c>
      <c r="D8" s="15" t="s">
        <v>119</v>
      </c>
      <c r="E8" s="16">
        <v>45718</v>
      </c>
      <c r="F8" s="17" t="s">
        <v>19</v>
      </c>
      <c r="G8" s="18">
        <v>1</v>
      </c>
      <c r="H8" s="19"/>
      <c r="I8" s="22"/>
      <c r="J8" s="22"/>
      <c r="K8" s="4"/>
    </row>
    <row r="9" spans="1:11" ht="15" customHeight="1" x14ac:dyDescent="0.25">
      <c r="A9" s="12">
        <f t="shared" ref="A9:A68" si="0">+A8+1</f>
        <v>3</v>
      </c>
      <c r="B9" s="13" t="s">
        <v>112</v>
      </c>
      <c r="C9" s="14" t="s">
        <v>18</v>
      </c>
      <c r="D9" s="15" t="s">
        <v>113</v>
      </c>
      <c r="E9" s="16">
        <v>45718</v>
      </c>
      <c r="F9" s="17" t="s">
        <v>19</v>
      </c>
      <c r="G9" s="18">
        <v>1</v>
      </c>
      <c r="H9" s="19"/>
      <c r="I9" s="22"/>
      <c r="J9" s="22"/>
      <c r="K9" s="4"/>
    </row>
    <row r="10" spans="1:11" ht="15" customHeight="1" x14ac:dyDescent="0.25">
      <c r="A10" s="12">
        <f t="shared" si="0"/>
        <v>4</v>
      </c>
      <c r="B10" s="13" t="s">
        <v>110</v>
      </c>
      <c r="C10" s="14" t="s">
        <v>18</v>
      </c>
      <c r="D10" s="15" t="s">
        <v>111</v>
      </c>
      <c r="E10" s="16">
        <v>45718</v>
      </c>
      <c r="F10" s="17" t="s">
        <v>19</v>
      </c>
      <c r="G10" s="18">
        <v>1</v>
      </c>
      <c r="H10" s="19"/>
      <c r="I10" s="22"/>
      <c r="J10" s="22"/>
      <c r="K10" s="4"/>
    </row>
    <row r="11" spans="1:11" ht="15" customHeight="1" x14ac:dyDescent="0.25">
      <c r="A11" s="12">
        <f t="shared" si="0"/>
        <v>5</v>
      </c>
      <c r="B11" s="13" t="s">
        <v>106</v>
      </c>
      <c r="C11" s="14" t="s">
        <v>18</v>
      </c>
      <c r="D11" s="15" t="s">
        <v>107</v>
      </c>
      <c r="E11" s="16">
        <v>45718</v>
      </c>
      <c r="F11" s="17" t="s">
        <v>19</v>
      </c>
      <c r="G11" s="18">
        <v>1</v>
      </c>
      <c r="H11" s="19"/>
      <c r="I11" s="22"/>
      <c r="J11" s="22"/>
      <c r="K11" s="4"/>
    </row>
    <row r="12" spans="1:11" ht="15" customHeight="1" x14ac:dyDescent="0.25">
      <c r="A12" s="12">
        <f t="shared" si="0"/>
        <v>6</v>
      </c>
      <c r="B12" s="13" t="s">
        <v>103</v>
      </c>
      <c r="C12" s="14" t="s">
        <v>18</v>
      </c>
      <c r="D12" s="15" t="s">
        <v>104</v>
      </c>
      <c r="E12" s="16">
        <v>45718</v>
      </c>
      <c r="F12" s="17" t="s">
        <v>19</v>
      </c>
      <c r="G12" s="18">
        <v>1</v>
      </c>
      <c r="H12" s="19"/>
      <c r="I12" s="22"/>
      <c r="J12" s="22"/>
      <c r="K12" s="4"/>
    </row>
    <row r="13" spans="1:11" ht="15" customHeight="1" x14ac:dyDescent="0.25">
      <c r="A13" s="12">
        <f t="shared" si="0"/>
        <v>7</v>
      </c>
      <c r="B13" s="13" t="s">
        <v>108</v>
      </c>
      <c r="C13" s="14" t="s">
        <v>18</v>
      </c>
      <c r="D13" s="15" t="s">
        <v>109</v>
      </c>
      <c r="E13" s="16">
        <v>45718</v>
      </c>
      <c r="F13" s="17" t="s">
        <v>19</v>
      </c>
      <c r="G13" s="18">
        <v>1</v>
      </c>
      <c r="H13" s="19"/>
      <c r="I13" s="22"/>
      <c r="J13" s="22"/>
      <c r="K13" s="4"/>
    </row>
    <row r="14" spans="1:11" ht="15" customHeight="1" x14ac:dyDescent="0.25">
      <c r="A14" s="12">
        <f t="shared" si="0"/>
        <v>8</v>
      </c>
      <c r="B14" s="13" t="s">
        <v>114</v>
      </c>
      <c r="C14" s="14" t="s">
        <v>18</v>
      </c>
      <c r="D14" s="15" t="s">
        <v>115</v>
      </c>
      <c r="E14" s="16">
        <v>45718</v>
      </c>
      <c r="F14" s="17" t="s">
        <v>19</v>
      </c>
      <c r="G14" s="18">
        <v>1</v>
      </c>
      <c r="H14" s="19"/>
      <c r="I14" s="22"/>
      <c r="J14" s="22"/>
      <c r="K14" s="4"/>
    </row>
    <row r="15" spans="1:11" ht="15" customHeight="1" x14ac:dyDescent="0.25">
      <c r="A15" s="12">
        <f t="shared" si="0"/>
        <v>9</v>
      </c>
      <c r="B15" s="16" t="s">
        <v>126</v>
      </c>
      <c r="C15" s="14" t="s">
        <v>18</v>
      </c>
      <c r="D15" s="15" t="s">
        <v>127</v>
      </c>
      <c r="E15" s="16">
        <v>45719</v>
      </c>
      <c r="F15" s="17" t="s">
        <v>19</v>
      </c>
      <c r="G15" s="18">
        <v>1</v>
      </c>
      <c r="H15" s="19"/>
      <c r="I15" s="22"/>
      <c r="J15" s="22"/>
    </row>
    <row r="16" spans="1:11" ht="15" customHeight="1" x14ac:dyDescent="0.25">
      <c r="A16" s="12">
        <f t="shared" si="0"/>
        <v>10</v>
      </c>
      <c r="B16" s="13" t="s">
        <v>124</v>
      </c>
      <c r="C16" s="14" t="s">
        <v>18</v>
      </c>
      <c r="D16" s="15" t="s">
        <v>125</v>
      </c>
      <c r="E16" s="16">
        <v>45719</v>
      </c>
      <c r="F16" s="17" t="s">
        <v>19</v>
      </c>
      <c r="G16" s="18">
        <v>1</v>
      </c>
      <c r="H16" s="19"/>
      <c r="I16" s="22"/>
      <c r="J16" s="22"/>
    </row>
    <row r="17" spans="1:10" ht="15" customHeight="1" x14ac:dyDescent="0.25">
      <c r="A17" s="12">
        <f t="shared" si="0"/>
        <v>11</v>
      </c>
      <c r="B17" s="13" t="s">
        <v>120</v>
      </c>
      <c r="C17" s="14" t="s">
        <v>18</v>
      </c>
      <c r="D17" s="15" t="s">
        <v>121</v>
      </c>
      <c r="E17" s="16">
        <v>45719</v>
      </c>
      <c r="F17" s="17" t="s">
        <v>19</v>
      </c>
      <c r="G17" s="18">
        <v>1</v>
      </c>
      <c r="H17" s="19"/>
      <c r="I17" s="22"/>
      <c r="J17" s="22"/>
    </row>
    <row r="18" spans="1:10" ht="15" customHeight="1" x14ac:dyDescent="0.25">
      <c r="A18" s="12">
        <f t="shared" si="0"/>
        <v>12</v>
      </c>
      <c r="B18" s="13" t="s">
        <v>130</v>
      </c>
      <c r="C18" s="14" t="s">
        <v>18</v>
      </c>
      <c r="D18" s="15" t="s">
        <v>131</v>
      </c>
      <c r="E18" s="16">
        <v>45719</v>
      </c>
      <c r="F18" s="17" t="s">
        <v>19</v>
      </c>
      <c r="G18" s="18">
        <v>1</v>
      </c>
      <c r="H18" s="19"/>
      <c r="I18" s="22"/>
      <c r="J18" s="22"/>
    </row>
    <row r="19" spans="1:10" ht="15" customHeight="1" x14ac:dyDescent="0.25">
      <c r="A19" s="12">
        <f t="shared" si="0"/>
        <v>13</v>
      </c>
      <c r="B19" s="13" t="s">
        <v>122</v>
      </c>
      <c r="C19" s="14" t="s">
        <v>18</v>
      </c>
      <c r="D19" s="15" t="s">
        <v>123</v>
      </c>
      <c r="E19" s="16">
        <v>45719</v>
      </c>
      <c r="F19" s="17" t="s">
        <v>19</v>
      </c>
      <c r="G19" s="18">
        <v>1</v>
      </c>
      <c r="H19" s="19"/>
      <c r="I19" s="22"/>
      <c r="J19" s="22"/>
    </row>
    <row r="20" spans="1:10" ht="15" customHeight="1" x14ac:dyDescent="0.25">
      <c r="A20" s="12">
        <f t="shared" si="0"/>
        <v>14</v>
      </c>
      <c r="B20" s="16" t="s">
        <v>134</v>
      </c>
      <c r="C20" s="14" t="s">
        <v>18</v>
      </c>
      <c r="D20" s="15" t="s">
        <v>135</v>
      </c>
      <c r="E20" s="16">
        <v>45719</v>
      </c>
      <c r="F20" s="17" t="s">
        <v>19</v>
      </c>
      <c r="G20" s="18">
        <v>1</v>
      </c>
      <c r="H20" s="23"/>
      <c r="I20" s="22"/>
      <c r="J20" s="22"/>
    </row>
    <row r="21" spans="1:10" ht="15" customHeight="1" x14ac:dyDescent="0.25">
      <c r="A21" s="12">
        <f t="shared" si="0"/>
        <v>15</v>
      </c>
      <c r="B21" s="13" t="s">
        <v>128</v>
      </c>
      <c r="C21" s="14" t="s">
        <v>18</v>
      </c>
      <c r="D21" s="15" t="s">
        <v>129</v>
      </c>
      <c r="E21" s="16">
        <v>45719</v>
      </c>
      <c r="F21" s="17" t="s">
        <v>19</v>
      </c>
      <c r="G21" s="18">
        <v>1</v>
      </c>
      <c r="H21" s="19"/>
      <c r="I21" s="22"/>
      <c r="J21" s="22"/>
    </row>
    <row r="22" spans="1:10" ht="15" customHeight="1" x14ac:dyDescent="0.25">
      <c r="A22" s="12">
        <f t="shared" si="0"/>
        <v>16</v>
      </c>
      <c r="B22" s="16" t="s">
        <v>132</v>
      </c>
      <c r="C22" s="14" t="s">
        <v>18</v>
      </c>
      <c r="D22" s="15" t="s">
        <v>133</v>
      </c>
      <c r="E22" s="16">
        <v>45719</v>
      </c>
      <c r="F22" s="17" t="s">
        <v>19</v>
      </c>
      <c r="G22" s="18">
        <v>1</v>
      </c>
      <c r="H22" s="19"/>
      <c r="I22" s="22"/>
      <c r="J22" s="22"/>
    </row>
    <row r="23" spans="1:10" ht="15" customHeight="1" x14ac:dyDescent="0.25">
      <c r="A23" s="12">
        <f t="shared" si="0"/>
        <v>17</v>
      </c>
      <c r="B23" s="16" t="s">
        <v>150</v>
      </c>
      <c r="C23" s="14" t="s">
        <v>18</v>
      </c>
      <c r="D23" s="15" t="s">
        <v>151</v>
      </c>
      <c r="E23" s="16">
        <v>45720</v>
      </c>
      <c r="F23" s="17" t="s">
        <v>19</v>
      </c>
      <c r="G23" s="18">
        <v>1</v>
      </c>
      <c r="H23" s="19"/>
      <c r="I23" s="22"/>
      <c r="J23" s="22"/>
    </row>
    <row r="24" spans="1:10" ht="15" customHeight="1" x14ac:dyDescent="0.25">
      <c r="A24" s="12">
        <f t="shared" si="0"/>
        <v>18</v>
      </c>
      <c r="B24" s="13" t="s">
        <v>138</v>
      </c>
      <c r="C24" s="14" t="s">
        <v>18</v>
      </c>
      <c r="D24" s="15" t="s">
        <v>139</v>
      </c>
      <c r="E24" s="16">
        <v>45720</v>
      </c>
      <c r="F24" s="17" t="s">
        <v>19</v>
      </c>
      <c r="G24" s="18">
        <v>1</v>
      </c>
      <c r="H24" s="23"/>
      <c r="I24" s="22"/>
      <c r="J24" s="22"/>
    </row>
    <row r="25" spans="1:10" ht="15" customHeight="1" x14ac:dyDescent="0.25">
      <c r="A25" s="12">
        <f t="shared" si="0"/>
        <v>19</v>
      </c>
      <c r="B25" s="16" t="s">
        <v>136</v>
      </c>
      <c r="C25" s="14" t="s">
        <v>18</v>
      </c>
      <c r="D25" s="15" t="s">
        <v>137</v>
      </c>
      <c r="E25" s="16">
        <v>45720</v>
      </c>
      <c r="F25" s="17" t="s">
        <v>19</v>
      </c>
      <c r="G25" s="18">
        <v>1</v>
      </c>
      <c r="H25" s="19"/>
      <c r="I25" s="22"/>
      <c r="J25" s="22"/>
    </row>
    <row r="26" spans="1:10" ht="15" customHeight="1" x14ac:dyDescent="0.25">
      <c r="A26" s="12">
        <f t="shared" si="0"/>
        <v>20</v>
      </c>
      <c r="B26" s="13" t="s">
        <v>142</v>
      </c>
      <c r="C26" s="14" t="s">
        <v>18</v>
      </c>
      <c r="D26" s="15" t="s">
        <v>143</v>
      </c>
      <c r="E26" s="16">
        <v>45720</v>
      </c>
      <c r="F26" s="17" t="s">
        <v>19</v>
      </c>
      <c r="G26" s="18">
        <v>1</v>
      </c>
      <c r="H26" s="19"/>
      <c r="I26" s="22"/>
      <c r="J26" s="22"/>
    </row>
    <row r="27" spans="1:10" ht="15" customHeight="1" x14ac:dyDescent="0.25">
      <c r="A27" s="12">
        <f t="shared" si="0"/>
        <v>21</v>
      </c>
      <c r="B27" s="13" t="s">
        <v>140</v>
      </c>
      <c r="C27" s="14" t="s">
        <v>18</v>
      </c>
      <c r="D27" s="15" t="s">
        <v>141</v>
      </c>
      <c r="E27" s="16">
        <v>45720</v>
      </c>
      <c r="F27" s="17" t="s">
        <v>19</v>
      </c>
      <c r="G27" s="18">
        <v>1</v>
      </c>
      <c r="H27" s="19"/>
      <c r="I27" s="22"/>
      <c r="J27" s="22"/>
    </row>
    <row r="28" spans="1:10" ht="15" customHeight="1" x14ac:dyDescent="0.25">
      <c r="A28" s="12">
        <f t="shared" si="0"/>
        <v>22</v>
      </c>
      <c r="B28" s="16" t="s">
        <v>147</v>
      </c>
      <c r="C28" s="14" t="s">
        <v>18</v>
      </c>
      <c r="D28" s="15" t="s">
        <v>146</v>
      </c>
      <c r="E28" s="16">
        <v>45720</v>
      </c>
      <c r="F28" s="17" t="s">
        <v>19</v>
      </c>
      <c r="G28" s="18">
        <v>1</v>
      </c>
      <c r="H28" s="23"/>
      <c r="I28" s="22"/>
      <c r="J28" s="22"/>
    </row>
    <row r="29" spans="1:10" ht="15" customHeight="1" x14ac:dyDescent="0.25">
      <c r="A29" s="12">
        <f t="shared" si="0"/>
        <v>23</v>
      </c>
      <c r="B29" s="16" t="s">
        <v>148</v>
      </c>
      <c r="C29" s="14" t="s">
        <v>18</v>
      </c>
      <c r="D29" s="15" t="s">
        <v>149</v>
      </c>
      <c r="E29" s="16">
        <v>45720</v>
      </c>
      <c r="F29" s="17" t="s">
        <v>19</v>
      </c>
      <c r="G29" s="18">
        <v>1</v>
      </c>
      <c r="H29" s="23"/>
      <c r="I29" s="22"/>
      <c r="J29" s="22"/>
    </row>
    <row r="30" spans="1:10" ht="15" customHeight="1" x14ac:dyDescent="0.25">
      <c r="A30" s="12">
        <f t="shared" si="0"/>
        <v>24</v>
      </c>
      <c r="B30" s="16" t="s">
        <v>145</v>
      </c>
      <c r="C30" s="14" t="s">
        <v>18</v>
      </c>
      <c r="D30" s="15" t="s">
        <v>144</v>
      </c>
      <c r="E30" s="16">
        <v>45720</v>
      </c>
      <c r="F30" s="17" t="s">
        <v>19</v>
      </c>
      <c r="G30" s="18">
        <v>1</v>
      </c>
      <c r="H30" s="23"/>
      <c r="I30" s="4"/>
      <c r="J30" s="4"/>
    </row>
    <row r="31" spans="1:10" ht="15" customHeight="1" x14ac:dyDescent="0.25">
      <c r="A31" s="12">
        <f t="shared" si="0"/>
        <v>25</v>
      </c>
      <c r="B31" s="16" t="s">
        <v>165</v>
      </c>
      <c r="C31" s="14" t="s">
        <v>18</v>
      </c>
      <c r="D31" s="15" t="s">
        <v>166</v>
      </c>
      <c r="E31" s="16">
        <v>45722</v>
      </c>
      <c r="F31" s="17" t="s">
        <v>19</v>
      </c>
      <c r="G31" s="18">
        <v>1</v>
      </c>
      <c r="H31" s="24"/>
      <c r="I31" s="4"/>
      <c r="J31" s="4"/>
    </row>
    <row r="32" spans="1:10" ht="15" customHeight="1" x14ac:dyDescent="0.25">
      <c r="A32" s="12">
        <f t="shared" si="0"/>
        <v>26</v>
      </c>
      <c r="B32" s="16" t="s">
        <v>155</v>
      </c>
      <c r="C32" s="14" t="s">
        <v>18</v>
      </c>
      <c r="D32" s="15" t="s">
        <v>156</v>
      </c>
      <c r="E32" s="16">
        <v>45722</v>
      </c>
      <c r="F32" s="17" t="s">
        <v>19</v>
      </c>
      <c r="G32" s="18">
        <v>1</v>
      </c>
      <c r="H32" s="4"/>
      <c r="I32" s="4"/>
      <c r="J32" s="4"/>
    </row>
    <row r="33" spans="1:10" ht="15" customHeight="1" x14ac:dyDescent="0.25">
      <c r="A33" s="12">
        <f t="shared" si="0"/>
        <v>27</v>
      </c>
      <c r="B33" s="16" t="s">
        <v>20</v>
      </c>
      <c r="C33" s="14" t="s">
        <v>18</v>
      </c>
      <c r="D33" s="15" t="s">
        <v>152</v>
      </c>
      <c r="E33" s="16">
        <v>45722</v>
      </c>
      <c r="F33" s="17" t="s">
        <v>153</v>
      </c>
      <c r="G33" s="18">
        <v>1</v>
      </c>
      <c r="H33" s="23" t="s">
        <v>154</v>
      </c>
      <c r="I33" s="4"/>
      <c r="J33" s="4"/>
    </row>
    <row r="34" spans="1:10" ht="15" customHeight="1" x14ac:dyDescent="0.25">
      <c r="A34" s="12">
        <f t="shared" si="0"/>
        <v>28</v>
      </c>
      <c r="B34" s="16" t="s">
        <v>161</v>
      </c>
      <c r="C34" s="14" t="s">
        <v>18</v>
      </c>
      <c r="D34" s="15" t="s">
        <v>162</v>
      </c>
      <c r="E34" s="16">
        <v>45722</v>
      </c>
      <c r="F34" s="17" t="s">
        <v>19</v>
      </c>
      <c r="G34" s="18">
        <v>1</v>
      </c>
      <c r="H34" s="4"/>
      <c r="I34" s="4"/>
      <c r="J34" s="4"/>
    </row>
    <row r="35" spans="1:10" ht="15" customHeight="1" x14ac:dyDescent="0.25">
      <c r="A35" s="12">
        <f t="shared" si="0"/>
        <v>29</v>
      </c>
      <c r="B35" s="16" t="s">
        <v>163</v>
      </c>
      <c r="C35" s="14" t="s">
        <v>18</v>
      </c>
      <c r="D35" s="15" t="s">
        <v>164</v>
      </c>
      <c r="E35" s="16">
        <v>45722</v>
      </c>
      <c r="F35" s="17" t="s">
        <v>19</v>
      </c>
      <c r="G35" s="18">
        <v>1</v>
      </c>
      <c r="H35" s="4"/>
      <c r="I35" s="4"/>
      <c r="J35" s="4"/>
    </row>
    <row r="36" spans="1:10" ht="15" customHeight="1" x14ac:dyDescent="0.25">
      <c r="A36" s="12">
        <f t="shared" si="0"/>
        <v>30</v>
      </c>
      <c r="B36" s="16" t="s">
        <v>157</v>
      </c>
      <c r="C36" s="14" t="s">
        <v>18</v>
      </c>
      <c r="D36" s="15" t="s">
        <v>158</v>
      </c>
      <c r="E36" s="16">
        <v>45722</v>
      </c>
      <c r="F36" s="17" t="s">
        <v>19</v>
      </c>
      <c r="G36" s="18">
        <v>1</v>
      </c>
      <c r="H36" s="23"/>
      <c r="I36" s="4"/>
      <c r="J36" s="4"/>
    </row>
    <row r="37" spans="1:10" ht="15" customHeight="1" x14ac:dyDescent="0.25">
      <c r="A37" s="12">
        <f t="shared" si="0"/>
        <v>31</v>
      </c>
      <c r="B37" s="16" t="s">
        <v>167</v>
      </c>
      <c r="C37" s="14" t="s">
        <v>18</v>
      </c>
      <c r="D37" s="15" t="s">
        <v>168</v>
      </c>
      <c r="E37" s="16">
        <v>45722</v>
      </c>
      <c r="F37" s="17" t="s">
        <v>19</v>
      </c>
      <c r="G37" s="18">
        <v>1</v>
      </c>
      <c r="H37" s="24" t="s">
        <v>169</v>
      </c>
      <c r="I37" s="4"/>
      <c r="J37" s="4"/>
    </row>
    <row r="38" spans="1:10" ht="15" customHeight="1" x14ac:dyDescent="0.25">
      <c r="A38" s="12">
        <f t="shared" si="0"/>
        <v>32</v>
      </c>
      <c r="B38" s="16" t="s">
        <v>159</v>
      </c>
      <c r="C38" s="14" t="s">
        <v>18</v>
      </c>
      <c r="D38" s="15" t="s">
        <v>160</v>
      </c>
      <c r="E38" s="16">
        <v>45722</v>
      </c>
      <c r="F38" s="17" t="s">
        <v>19</v>
      </c>
      <c r="G38" s="18">
        <v>1</v>
      </c>
      <c r="H38" s="4"/>
      <c r="I38" s="4"/>
      <c r="J38" s="4"/>
    </row>
    <row r="39" spans="1:10" x14ac:dyDescent="0.25">
      <c r="A39" s="12">
        <f t="shared" si="0"/>
        <v>33</v>
      </c>
      <c r="B39" s="16" t="s">
        <v>178</v>
      </c>
      <c r="C39" s="14" t="s">
        <v>18</v>
      </c>
      <c r="D39" s="15" t="s">
        <v>179</v>
      </c>
      <c r="E39" s="16">
        <v>45725</v>
      </c>
      <c r="F39" s="17" t="s">
        <v>19</v>
      </c>
      <c r="G39" s="18">
        <v>1</v>
      </c>
      <c r="H39" s="24"/>
    </row>
    <row r="40" spans="1:10" x14ac:dyDescent="0.25">
      <c r="A40" s="12">
        <f>+A39+1</f>
        <v>34</v>
      </c>
      <c r="B40" s="16" t="s">
        <v>174</v>
      </c>
      <c r="C40" s="14" t="s">
        <v>18</v>
      </c>
      <c r="D40" s="15" t="s">
        <v>175</v>
      </c>
      <c r="E40" s="16">
        <v>45725</v>
      </c>
      <c r="F40" s="17" t="s">
        <v>19</v>
      </c>
      <c r="G40" s="18">
        <v>1</v>
      </c>
      <c r="H40" s="4"/>
    </row>
    <row r="41" spans="1:10" x14ac:dyDescent="0.25">
      <c r="A41" s="12">
        <f t="shared" si="0"/>
        <v>35</v>
      </c>
      <c r="B41" s="16" t="s">
        <v>176</v>
      </c>
      <c r="C41" s="14" t="s">
        <v>18</v>
      </c>
      <c r="D41" s="15" t="s">
        <v>177</v>
      </c>
      <c r="E41" s="16">
        <v>45725</v>
      </c>
      <c r="F41" s="17" t="s">
        <v>19</v>
      </c>
      <c r="G41" s="18">
        <v>1</v>
      </c>
      <c r="H41" s="24"/>
    </row>
    <row r="42" spans="1:10" x14ac:dyDescent="0.25">
      <c r="A42" s="12">
        <f t="shared" si="0"/>
        <v>36</v>
      </c>
      <c r="B42" s="16" t="s">
        <v>170</v>
      </c>
      <c r="C42" s="14" t="s">
        <v>18</v>
      </c>
      <c r="D42" s="15" t="s">
        <v>171</v>
      </c>
      <c r="E42" s="16">
        <v>45725</v>
      </c>
      <c r="F42" s="17" t="s">
        <v>19</v>
      </c>
      <c r="G42" s="18">
        <v>1</v>
      </c>
      <c r="H42" s="24"/>
    </row>
    <row r="43" spans="1:10" x14ac:dyDescent="0.25">
      <c r="A43" s="12">
        <f t="shared" si="0"/>
        <v>37</v>
      </c>
      <c r="B43" s="16" t="s">
        <v>172</v>
      </c>
      <c r="C43" s="14" t="s">
        <v>18</v>
      </c>
      <c r="D43" s="15" t="s">
        <v>173</v>
      </c>
      <c r="E43" s="16">
        <v>45725</v>
      </c>
      <c r="F43" s="17" t="s">
        <v>19</v>
      </c>
      <c r="G43" s="18">
        <v>1</v>
      </c>
      <c r="H43" s="4"/>
    </row>
    <row r="44" spans="1:10" x14ac:dyDescent="0.25">
      <c r="A44" s="12">
        <f t="shared" si="0"/>
        <v>38</v>
      </c>
      <c r="B44" s="16" t="s">
        <v>180</v>
      </c>
      <c r="C44" s="14" t="s">
        <v>18</v>
      </c>
      <c r="D44" s="15" t="s">
        <v>181</v>
      </c>
      <c r="E44" s="16">
        <v>45725</v>
      </c>
      <c r="F44" s="17" t="s">
        <v>19</v>
      </c>
      <c r="G44" s="18">
        <v>1</v>
      </c>
      <c r="H44" s="24"/>
    </row>
    <row r="45" spans="1:10" x14ac:dyDescent="0.25">
      <c r="A45" s="12">
        <f t="shared" si="0"/>
        <v>39</v>
      </c>
      <c r="B45" s="16" t="s">
        <v>184</v>
      </c>
      <c r="C45" s="14" t="s">
        <v>18</v>
      </c>
      <c r="D45" s="15" t="s">
        <v>185</v>
      </c>
      <c r="E45" s="16">
        <v>45726</v>
      </c>
      <c r="F45" s="17" t="s">
        <v>19</v>
      </c>
      <c r="G45" s="18">
        <v>1</v>
      </c>
      <c r="H45" s="24"/>
    </row>
    <row r="46" spans="1:10" x14ac:dyDescent="0.25">
      <c r="A46" s="12">
        <f t="shared" si="0"/>
        <v>40</v>
      </c>
      <c r="B46" s="16" t="s">
        <v>186</v>
      </c>
      <c r="C46" s="14" t="s">
        <v>18</v>
      </c>
      <c r="D46" s="15" t="s">
        <v>187</v>
      </c>
      <c r="E46" s="16">
        <v>45726</v>
      </c>
      <c r="F46" s="17" t="s">
        <v>19</v>
      </c>
      <c r="G46" s="18">
        <v>1</v>
      </c>
      <c r="H46" s="24"/>
    </row>
    <row r="47" spans="1:10" x14ac:dyDescent="0.25">
      <c r="A47" s="12">
        <f t="shared" si="0"/>
        <v>41</v>
      </c>
      <c r="B47" s="16" t="s">
        <v>182</v>
      </c>
      <c r="C47" s="14" t="s">
        <v>18</v>
      </c>
      <c r="D47" s="15" t="s">
        <v>183</v>
      </c>
      <c r="E47" s="16">
        <v>45726</v>
      </c>
      <c r="F47" s="17" t="s">
        <v>19</v>
      </c>
      <c r="G47" s="18">
        <v>1</v>
      </c>
      <c r="H47" s="24"/>
    </row>
    <row r="48" spans="1:10" x14ac:dyDescent="0.25">
      <c r="A48" s="12">
        <f t="shared" si="0"/>
        <v>42</v>
      </c>
      <c r="B48" s="16" t="s">
        <v>188</v>
      </c>
      <c r="C48" s="14" t="s">
        <v>18</v>
      </c>
      <c r="D48" s="15" t="s">
        <v>189</v>
      </c>
      <c r="E48" s="16">
        <v>45732</v>
      </c>
      <c r="F48" s="17" t="s">
        <v>19</v>
      </c>
      <c r="G48" s="18">
        <v>1</v>
      </c>
      <c r="H48" s="24"/>
    </row>
    <row r="49" spans="1:8" x14ac:dyDescent="0.25">
      <c r="A49" s="12">
        <f t="shared" si="0"/>
        <v>43</v>
      </c>
      <c r="B49" s="16" t="s">
        <v>200</v>
      </c>
      <c r="C49" s="14" t="s">
        <v>18</v>
      </c>
      <c r="D49" s="15" t="s">
        <v>201</v>
      </c>
      <c r="E49" s="16">
        <v>45733</v>
      </c>
      <c r="F49" s="17" t="s">
        <v>19</v>
      </c>
      <c r="G49" s="18">
        <v>1</v>
      </c>
      <c r="H49" s="24"/>
    </row>
    <row r="50" spans="1:8" x14ac:dyDescent="0.25">
      <c r="A50" s="12">
        <f t="shared" si="0"/>
        <v>44</v>
      </c>
      <c r="B50" s="16" t="s">
        <v>99</v>
      </c>
      <c r="C50" s="14" t="s">
        <v>18</v>
      </c>
      <c r="D50" s="15" t="s">
        <v>192</v>
      </c>
      <c r="E50" s="16">
        <v>45733</v>
      </c>
      <c r="F50" s="17" t="s">
        <v>193</v>
      </c>
      <c r="G50" s="18">
        <v>1</v>
      </c>
      <c r="H50" s="24" t="s">
        <v>194</v>
      </c>
    </row>
    <row r="51" spans="1:8" x14ac:dyDescent="0.25">
      <c r="A51" s="12">
        <f t="shared" si="0"/>
        <v>45</v>
      </c>
      <c r="B51" s="16" t="s">
        <v>196</v>
      </c>
      <c r="C51" s="14" t="s">
        <v>18</v>
      </c>
      <c r="D51" s="15" t="s">
        <v>197</v>
      </c>
      <c r="E51" s="16">
        <v>45733</v>
      </c>
      <c r="F51" s="17" t="s">
        <v>19</v>
      </c>
      <c r="G51" s="18">
        <v>1</v>
      </c>
      <c r="H51" s="24"/>
    </row>
    <row r="52" spans="1:8" x14ac:dyDescent="0.25">
      <c r="A52" s="12">
        <f t="shared" si="0"/>
        <v>46</v>
      </c>
      <c r="B52" s="16" t="s">
        <v>20</v>
      </c>
      <c r="C52" s="14" t="s">
        <v>18</v>
      </c>
      <c r="D52" s="15" t="s">
        <v>190</v>
      </c>
      <c r="E52" s="16">
        <v>45733</v>
      </c>
      <c r="F52" s="17" t="s">
        <v>191</v>
      </c>
      <c r="G52" s="18">
        <v>1</v>
      </c>
      <c r="H52" s="24" t="s">
        <v>195</v>
      </c>
    </row>
    <row r="53" spans="1:8" x14ac:dyDescent="0.25">
      <c r="A53" s="12">
        <f t="shared" si="0"/>
        <v>47</v>
      </c>
      <c r="B53" s="16" t="s">
        <v>198</v>
      </c>
      <c r="C53" s="14" t="s">
        <v>18</v>
      </c>
      <c r="D53" s="15" t="s">
        <v>199</v>
      </c>
      <c r="E53" s="16">
        <v>45733</v>
      </c>
      <c r="F53" s="17" t="s">
        <v>19</v>
      </c>
      <c r="G53" s="18">
        <v>1</v>
      </c>
      <c r="H53" s="24"/>
    </row>
    <row r="54" spans="1:8" x14ac:dyDescent="0.25">
      <c r="A54" s="12">
        <f t="shared" si="0"/>
        <v>48</v>
      </c>
      <c r="B54" s="16" t="s">
        <v>202</v>
      </c>
      <c r="C54" s="14" t="s">
        <v>18</v>
      </c>
      <c r="D54" s="15" t="s">
        <v>203</v>
      </c>
      <c r="E54" s="16">
        <v>45734</v>
      </c>
      <c r="F54" s="17" t="s">
        <v>19</v>
      </c>
      <c r="G54" s="18">
        <v>1</v>
      </c>
      <c r="H54" s="24"/>
    </row>
    <row r="55" spans="1:8" x14ac:dyDescent="0.25">
      <c r="A55" s="12">
        <f t="shared" si="0"/>
        <v>49</v>
      </c>
      <c r="B55" s="16" t="s">
        <v>204</v>
      </c>
      <c r="C55" s="14">
        <v>65</v>
      </c>
      <c r="D55" s="15" t="s">
        <v>205</v>
      </c>
      <c r="E55" s="16">
        <v>45734</v>
      </c>
      <c r="F55" s="17" t="s">
        <v>206</v>
      </c>
      <c r="G55" s="18">
        <v>1</v>
      </c>
      <c r="H55" s="24" t="s">
        <v>207</v>
      </c>
    </row>
    <row r="56" spans="1:8" x14ac:dyDescent="0.25">
      <c r="A56" s="12">
        <f t="shared" si="0"/>
        <v>50</v>
      </c>
      <c r="B56" s="16" t="s">
        <v>209</v>
      </c>
      <c r="C56" s="14">
        <v>65</v>
      </c>
      <c r="D56" s="15" t="s">
        <v>208</v>
      </c>
      <c r="E56" s="16">
        <v>45736</v>
      </c>
      <c r="F56" s="17" t="s">
        <v>19</v>
      </c>
      <c r="G56" s="18">
        <v>1</v>
      </c>
      <c r="H56" s="24"/>
    </row>
    <row r="57" spans="1:8" x14ac:dyDescent="0.25">
      <c r="A57" s="12">
        <f t="shared" si="0"/>
        <v>51</v>
      </c>
      <c r="B57" s="16" t="s">
        <v>20</v>
      </c>
      <c r="C57" s="14" t="s">
        <v>18</v>
      </c>
      <c r="D57" s="15" t="s">
        <v>210</v>
      </c>
      <c r="E57" s="16">
        <v>45739</v>
      </c>
      <c r="F57" s="17" t="s">
        <v>213</v>
      </c>
      <c r="G57" s="18">
        <v>1</v>
      </c>
      <c r="H57" s="24" t="s">
        <v>211</v>
      </c>
    </row>
    <row r="58" spans="1:8" x14ac:dyDescent="0.25">
      <c r="A58" s="12">
        <f t="shared" si="0"/>
        <v>52</v>
      </c>
      <c r="B58" s="16" t="s">
        <v>20</v>
      </c>
      <c r="C58" s="14" t="s">
        <v>18</v>
      </c>
      <c r="D58" s="15" t="s">
        <v>212</v>
      </c>
      <c r="E58" s="16">
        <v>45739</v>
      </c>
      <c r="F58" s="17" t="s">
        <v>215</v>
      </c>
      <c r="G58" s="18">
        <v>1</v>
      </c>
      <c r="H58" s="24" t="s">
        <v>214</v>
      </c>
    </row>
    <row r="59" spans="1:8" x14ac:dyDescent="0.25">
      <c r="A59" s="12">
        <f t="shared" si="0"/>
        <v>53</v>
      </c>
      <c r="B59" s="16" t="s">
        <v>20</v>
      </c>
      <c r="C59" s="14" t="s">
        <v>18</v>
      </c>
      <c r="D59" s="15" t="s">
        <v>217</v>
      </c>
      <c r="E59" s="16">
        <v>45739</v>
      </c>
      <c r="F59" s="17" t="s">
        <v>218</v>
      </c>
      <c r="G59" s="18">
        <v>1</v>
      </c>
      <c r="H59" s="24" t="s">
        <v>216</v>
      </c>
    </row>
    <row r="60" spans="1:8" x14ac:dyDescent="0.25">
      <c r="A60" s="12">
        <f t="shared" si="0"/>
        <v>54</v>
      </c>
      <c r="B60" s="16" t="s">
        <v>20</v>
      </c>
      <c r="C60" s="14" t="s">
        <v>18</v>
      </c>
      <c r="D60" s="15" t="s">
        <v>219</v>
      </c>
      <c r="E60" s="16">
        <v>45746</v>
      </c>
      <c r="F60" s="17" t="s">
        <v>220</v>
      </c>
      <c r="G60" s="18">
        <v>1</v>
      </c>
      <c r="H60" s="24" t="s">
        <v>221</v>
      </c>
    </row>
    <row r="61" spans="1:8" x14ac:dyDescent="0.25">
      <c r="A61" s="12">
        <f t="shared" si="0"/>
        <v>55</v>
      </c>
      <c r="B61" s="16"/>
      <c r="C61" s="14"/>
      <c r="D61" s="15"/>
      <c r="E61" s="16"/>
      <c r="F61" s="17"/>
      <c r="G61" s="18">
        <v>1</v>
      </c>
      <c r="H61" s="24"/>
    </row>
    <row r="62" spans="1:8" x14ac:dyDescent="0.25">
      <c r="A62" s="12">
        <f t="shared" si="0"/>
        <v>56</v>
      </c>
      <c r="B62" s="16"/>
      <c r="C62" s="14"/>
      <c r="D62" s="15"/>
      <c r="E62" s="16"/>
      <c r="F62" s="17"/>
      <c r="G62" s="18">
        <v>1</v>
      </c>
      <c r="H62" s="24"/>
    </row>
    <row r="63" spans="1:8" x14ac:dyDescent="0.25">
      <c r="A63" s="12">
        <f t="shared" si="0"/>
        <v>57</v>
      </c>
      <c r="B63" s="16"/>
      <c r="C63" s="14"/>
      <c r="D63" s="15"/>
      <c r="E63" s="16"/>
      <c r="F63" s="17"/>
      <c r="G63" s="18">
        <v>1</v>
      </c>
      <c r="H63" s="24"/>
    </row>
    <row r="64" spans="1:8" x14ac:dyDescent="0.25">
      <c r="A64" s="12">
        <f t="shared" si="0"/>
        <v>58</v>
      </c>
      <c r="B64" s="16"/>
      <c r="C64" s="14"/>
      <c r="D64" s="15"/>
      <c r="E64" s="16"/>
      <c r="F64" s="17"/>
      <c r="G64" s="18">
        <v>1</v>
      </c>
      <c r="H64" s="24"/>
    </row>
    <row r="65" spans="1:8" x14ac:dyDescent="0.25">
      <c r="A65" s="12">
        <f t="shared" si="0"/>
        <v>59</v>
      </c>
      <c r="B65" s="16"/>
      <c r="C65" s="14"/>
      <c r="D65" s="15"/>
      <c r="E65" s="16"/>
      <c r="F65" s="17"/>
      <c r="G65" s="18">
        <v>1</v>
      </c>
      <c r="H65" s="24"/>
    </row>
    <row r="66" spans="1:8" x14ac:dyDescent="0.25">
      <c r="A66" s="12">
        <f t="shared" si="0"/>
        <v>60</v>
      </c>
      <c r="B66" s="16"/>
      <c r="C66" s="14"/>
      <c r="D66" s="15"/>
      <c r="E66" s="16"/>
      <c r="F66" s="17"/>
      <c r="G66" s="18">
        <v>1</v>
      </c>
      <c r="H66" s="24"/>
    </row>
    <row r="67" spans="1:8" x14ac:dyDescent="0.25">
      <c r="A67" s="12">
        <f t="shared" si="0"/>
        <v>61</v>
      </c>
      <c r="B67" s="16"/>
      <c r="C67" s="14"/>
      <c r="D67" s="15"/>
      <c r="E67" s="16"/>
      <c r="F67" s="17"/>
      <c r="G67" s="18">
        <v>1</v>
      </c>
      <c r="H67" s="24"/>
    </row>
    <row r="68" spans="1:8" x14ac:dyDescent="0.25">
      <c r="A68" s="12">
        <f t="shared" si="0"/>
        <v>62</v>
      </c>
      <c r="B68" s="16"/>
      <c r="C68" s="14"/>
      <c r="D68" s="15"/>
      <c r="E68" s="16"/>
      <c r="F68" s="17"/>
      <c r="G68" s="18">
        <v>1</v>
      </c>
      <c r="H68" s="24"/>
    </row>
  </sheetData>
  <sortState ref="B7:I53">
    <sortCondition ref="E7:E53"/>
    <sortCondition ref="D7:D53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57"/>
  <sheetViews>
    <sheetView topLeftCell="A37" workbookViewId="0">
      <selection activeCell="F48" sqref="F48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8.28515625" customWidth="1"/>
    <col min="7" max="7" width="2.140625" hidden="1" customWidth="1"/>
    <col min="8" max="8" width="29.85546875" customWidth="1"/>
    <col min="9" max="9" width="21.5703125" customWidth="1"/>
  </cols>
  <sheetData>
    <row r="1" spans="1:11" ht="18" x14ac:dyDescent="0.25">
      <c r="A1" s="28" t="s">
        <v>0</v>
      </c>
      <c r="B1" s="28"/>
      <c r="C1" s="28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9" t="s">
        <v>2</v>
      </c>
      <c r="B2" s="29"/>
      <c r="C2" s="29"/>
      <c r="D2" s="2"/>
      <c r="E2" s="5" t="s">
        <v>3</v>
      </c>
      <c r="F2" s="5"/>
      <c r="G2" s="3"/>
      <c r="H2" s="3"/>
      <c r="I2" s="26" t="s">
        <v>4</v>
      </c>
      <c r="J2" s="27"/>
      <c r="K2" s="6">
        <f>SUMIF(F7:F353,"Elimination*",G7:G353)</f>
        <v>38</v>
      </c>
    </row>
    <row r="3" spans="1:11" x14ac:dyDescent="0.25">
      <c r="A3" s="30" t="s">
        <v>5</v>
      </c>
      <c r="B3" s="30"/>
      <c r="C3" s="30"/>
      <c r="D3" s="5"/>
      <c r="E3" s="3" t="s">
        <v>6</v>
      </c>
      <c r="F3" s="3"/>
      <c r="G3" s="3"/>
      <c r="H3" s="3"/>
      <c r="I3" s="26" t="s">
        <v>7</v>
      </c>
      <c r="J3" s="27"/>
      <c r="K3" s="6">
        <f>SUMIF(F7:F353,"NB*",G7:G353)</f>
        <v>6</v>
      </c>
    </row>
    <row r="4" spans="1:11" ht="18" x14ac:dyDescent="0.25">
      <c r="A4" s="28" t="s">
        <v>8</v>
      </c>
      <c r="B4" s="28"/>
      <c r="C4" s="28"/>
      <c r="D4" s="28"/>
      <c r="E4" s="28"/>
      <c r="F4" s="28"/>
      <c r="G4" s="3"/>
      <c r="H4" s="3"/>
      <c r="I4" s="26" t="s">
        <v>9</v>
      </c>
      <c r="J4" s="27"/>
      <c r="K4" s="6">
        <f>SUMIF(F7:F353,"Ve*",G7:G353)</f>
        <v>0</v>
      </c>
    </row>
    <row r="5" spans="1:11" ht="15.75" x14ac:dyDescent="0.25">
      <c r="A5" s="25" t="s">
        <v>222</v>
      </c>
      <c r="B5" s="25"/>
      <c r="C5" s="25"/>
      <c r="D5" s="25"/>
      <c r="E5" s="25"/>
      <c r="F5" s="25"/>
      <c r="G5" s="7"/>
      <c r="H5" s="7"/>
      <c r="I5" s="26" t="s">
        <v>10</v>
      </c>
      <c r="J5" s="27"/>
      <c r="K5" s="8">
        <f>SUM(K2:K4)</f>
        <v>44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 t="s">
        <v>21</v>
      </c>
      <c r="J6" s="11"/>
      <c r="K6" s="4"/>
    </row>
    <row r="7" spans="1:11" ht="15" customHeight="1" x14ac:dyDescent="0.25">
      <c r="A7" s="12">
        <v>1</v>
      </c>
      <c r="B7" s="13" t="s">
        <v>223</v>
      </c>
      <c r="C7" s="14" t="s">
        <v>18</v>
      </c>
      <c r="D7" s="15" t="s">
        <v>224</v>
      </c>
      <c r="E7" s="16">
        <v>45756</v>
      </c>
      <c r="F7" s="17" t="s">
        <v>19</v>
      </c>
      <c r="G7" s="18">
        <v>1</v>
      </c>
      <c r="H7" s="19"/>
      <c r="I7" s="22"/>
      <c r="J7" s="20"/>
      <c r="K7" s="4"/>
    </row>
    <row r="8" spans="1:11" ht="15" customHeight="1" x14ac:dyDescent="0.25">
      <c r="A8" s="12">
        <f>+A7+1</f>
        <v>2</v>
      </c>
      <c r="B8" s="13" t="s">
        <v>20</v>
      </c>
      <c r="C8" s="14" t="s">
        <v>18</v>
      </c>
      <c r="D8" s="15" t="s">
        <v>225</v>
      </c>
      <c r="E8" s="16">
        <v>45760</v>
      </c>
      <c r="F8" s="17" t="s">
        <v>226</v>
      </c>
      <c r="G8" s="18">
        <v>1</v>
      </c>
      <c r="H8" s="19" t="s">
        <v>227</v>
      </c>
      <c r="I8" s="22"/>
      <c r="J8" s="22"/>
      <c r="K8" s="4"/>
    </row>
    <row r="9" spans="1:11" ht="15" customHeight="1" x14ac:dyDescent="0.25">
      <c r="A9" s="12">
        <f t="shared" ref="A9:A57" si="0">+A8+1</f>
        <v>3</v>
      </c>
      <c r="B9" s="13" t="s">
        <v>20</v>
      </c>
      <c r="C9" s="14" t="s">
        <v>18</v>
      </c>
      <c r="D9" s="15" t="s">
        <v>228</v>
      </c>
      <c r="E9" s="16">
        <v>45760</v>
      </c>
      <c r="F9" s="17" t="s">
        <v>230</v>
      </c>
      <c r="G9" s="18">
        <v>1</v>
      </c>
      <c r="H9" s="19" t="s">
        <v>229</v>
      </c>
      <c r="I9" s="22"/>
      <c r="J9" s="22"/>
      <c r="K9" s="4"/>
    </row>
    <row r="10" spans="1:11" ht="15" customHeight="1" x14ac:dyDescent="0.25">
      <c r="A10" s="12">
        <f t="shared" si="0"/>
        <v>4</v>
      </c>
      <c r="B10" s="13" t="s">
        <v>231</v>
      </c>
      <c r="C10" s="14" t="s">
        <v>232</v>
      </c>
      <c r="D10" s="15" t="s">
        <v>233</v>
      </c>
      <c r="E10" s="16">
        <v>45762</v>
      </c>
      <c r="F10" s="17" t="s">
        <v>234</v>
      </c>
      <c r="G10" s="18">
        <v>1</v>
      </c>
      <c r="H10" s="19" t="s">
        <v>244</v>
      </c>
      <c r="I10" s="22"/>
      <c r="J10" s="22"/>
      <c r="K10" s="4"/>
    </row>
    <row r="11" spans="1:11" ht="15" customHeight="1" x14ac:dyDescent="0.25">
      <c r="A11" s="12">
        <f t="shared" si="0"/>
        <v>5</v>
      </c>
      <c r="B11" s="13" t="s">
        <v>243</v>
      </c>
      <c r="C11" s="14" t="s">
        <v>232</v>
      </c>
      <c r="D11" s="15" t="s">
        <v>238</v>
      </c>
      <c r="E11" s="16">
        <v>45763</v>
      </c>
      <c r="F11" s="17" t="s">
        <v>19</v>
      </c>
      <c r="G11" s="18">
        <v>1</v>
      </c>
      <c r="H11" s="19"/>
      <c r="I11" s="22"/>
      <c r="J11" s="22"/>
      <c r="K11" s="4"/>
    </row>
    <row r="12" spans="1:11" ht="15" customHeight="1" x14ac:dyDescent="0.25">
      <c r="A12" s="12">
        <f t="shared" si="0"/>
        <v>6</v>
      </c>
      <c r="B12" s="13" t="s">
        <v>20</v>
      </c>
      <c r="C12" s="14" t="s">
        <v>18</v>
      </c>
      <c r="D12" s="15" t="s">
        <v>235</v>
      </c>
      <c r="E12" s="16">
        <v>45763</v>
      </c>
      <c r="F12" s="17" t="s">
        <v>236</v>
      </c>
      <c r="G12" s="18">
        <v>1</v>
      </c>
      <c r="H12" s="19" t="s">
        <v>237</v>
      </c>
      <c r="I12" s="22"/>
      <c r="J12" s="22"/>
      <c r="K12" s="4"/>
    </row>
    <row r="13" spans="1:11" ht="15" customHeight="1" x14ac:dyDescent="0.25">
      <c r="A13" s="12">
        <f t="shared" si="0"/>
        <v>7</v>
      </c>
      <c r="B13" s="13" t="s">
        <v>241</v>
      </c>
      <c r="C13" s="14" t="s">
        <v>232</v>
      </c>
      <c r="D13" s="15" t="s">
        <v>242</v>
      </c>
      <c r="E13" s="16">
        <v>45764</v>
      </c>
      <c r="F13" s="17" t="s">
        <v>19</v>
      </c>
      <c r="G13" s="18">
        <v>1</v>
      </c>
      <c r="H13" s="19"/>
      <c r="I13" s="22"/>
      <c r="J13" s="22"/>
      <c r="K13" s="4"/>
    </row>
    <row r="14" spans="1:11" ht="15" customHeight="1" x14ac:dyDescent="0.25">
      <c r="A14" s="12">
        <f t="shared" si="0"/>
        <v>8</v>
      </c>
      <c r="B14" s="16" t="s">
        <v>246</v>
      </c>
      <c r="C14" s="14" t="s">
        <v>18</v>
      </c>
      <c r="D14" s="15" t="s">
        <v>245</v>
      </c>
      <c r="E14" s="16">
        <v>45764</v>
      </c>
      <c r="F14" s="17" t="s">
        <v>22</v>
      </c>
      <c r="G14" s="18">
        <v>1</v>
      </c>
      <c r="H14" s="19" t="s">
        <v>247</v>
      </c>
      <c r="I14" s="22"/>
      <c r="J14" s="22"/>
      <c r="K14" s="4"/>
    </row>
    <row r="15" spans="1:11" ht="15" customHeight="1" x14ac:dyDescent="0.25">
      <c r="A15" s="12">
        <f t="shared" si="0"/>
        <v>9</v>
      </c>
      <c r="B15" s="13" t="s">
        <v>239</v>
      </c>
      <c r="C15" s="14" t="s">
        <v>18</v>
      </c>
      <c r="D15" s="15" t="s">
        <v>240</v>
      </c>
      <c r="E15" s="16">
        <v>45764</v>
      </c>
      <c r="F15" s="17" t="s">
        <v>19</v>
      </c>
      <c r="G15" s="18">
        <v>1</v>
      </c>
      <c r="H15" s="19"/>
      <c r="I15" s="22"/>
      <c r="J15" s="22"/>
    </row>
    <row r="16" spans="1:11" ht="15" customHeight="1" x14ac:dyDescent="0.25">
      <c r="A16" s="12">
        <f t="shared" si="0"/>
        <v>10</v>
      </c>
      <c r="B16" s="13" t="s">
        <v>20</v>
      </c>
      <c r="C16" s="14" t="s">
        <v>18</v>
      </c>
      <c r="D16" s="15" t="s">
        <v>248</v>
      </c>
      <c r="E16" s="16">
        <v>45769</v>
      </c>
      <c r="F16" s="17" t="s">
        <v>250</v>
      </c>
      <c r="G16" s="18">
        <v>1</v>
      </c>
      <c r="H16" s="19" t="s">
        <v>249</v>
      </c>
      <c r="I16" s="22"/>
      <c r="J16" s="22"/>
    </row>
    <row r="17" spans="1:10" ht="15" customHeight="1" x14ac:dyDescent="0.25">
      <c r="A17" s="12">
        <f t="shared" si="0"/>
        <v>11</v>
      </c>
      <c r="B17" s="16" t="s">
        <v>261</v>
      </c>
      <c r="C17" s="14" t="s">
        <v>18</v>
      </c>
      <c r="D17" s="15" t="s">
        <v>262</v>
      </c>
      <c r="E17" s="16">
        <v>45771</v>
      </c>
      <c r="F17" s="17" t="s">
        <v>19</v>
      </c>
      <c r="G17" s="18">
        <v>1</v>
      </c>
      <c r="H17" s="19"/>
      <c r="I17" s="22"/>
      <c r="J17" s="22"/>
    </row>
    <row r="18" spans="1:10" ht="15" customHeight="1" x14ac:dyDescent="0.25">
      <c r="A18" s="12">
        <f t="shared" si="0"/>
        <v>12</v>
      </c>
      <c r="B18" s="16" t="s">
        <v>257</v>
      </c>
      <c r="C18" s="14" t="s">
        <v>18</v>
      </c>
      <c r="D18" s="15" t="s">
        <v>258</v>
      </c>
      <c r="E18" s="16">
        <v>45771</v>
      </c>
      <c r="F18" s="17" t="s">
        <v>19</v>
      </c>
      <c r="G18" s="18">
        <v>1</v>
      </c>
      <c r="H18" s="23"/>
      <c r="I18" s="22"/>
      <c r="J18" s="22"/>
    </row>
    <row r="19" spans="1:10" ht="15" customHeight="1" x14ac:dyDescent="0.25">
      <c r="A19" s="12">
        <f t="shared" si="0"/>
        <v>13</v>
      </c>
      <c r="B19" s="13" t="s">
        <v>259</v>
      </c>
      <c r="C19" s="14" t="s">
        <v>18</v>
      </c>
      <c r="D19" s="15" t="s">
        <v>260</v>
      </c>
      <c r="E19" s="16">
        <v>45771</v>
      </c>
      <c r="F19" s="17" t="s">
        <v>19</v>
      </c>
      <c r="G19" s="18">
        <v>1</v>
      </c>
      <c r="H19" s="19"/>
      <c r="I19" s="22"/>
      <c r="J19" s="22"/>
    </row>
    <row r="20" spans="1:10" ht="15" customHeight="1" x14ac:dyDescent="0.25">
      <c r="A20" s="12">
        <f t="shared" si="0"/>
        <v>14</v>
      </c>
      <c r="B20" s="13" t="s">
        <v>253</v>
      </c>
      <c r="C20" s="14" t="s">
        <v>18</v>
      </c>
      <c r="D20" s="15" t="s">
        <v>254</v>
      </c>
      <c r="E20" s="16">
        <v>45771</v>
      </c>
      <c r="F20" s="17" t="s">
        <v>19</v>
      </c>
      <c r="G20" s="18">
        <v>1</v>
      </c>
      <c r="H20" s="19"/>
      <c r="I20" s="22"/>
      <c r="J20" s="22"/>
    </row>
    <row r="21" spans="1:10" ht="15" customHeight="1" x14ac:dyDescent="0.25">
      <c r="A21" s="12">
        <f t="shared" si="0"/>
        <v>15</v>
      </c>
      <c r="B21" s="13" t="s">
        <v>252</v>
      </c>
      <c r="C21" s="14" t="s">
        <v>18</v>
      </c>
      <c r="D21" s="15" t="s">
        <v>251</v>
      </c>
      <c r="E21" s="16">
        <v>45771</v>
      </c>
      <c r="F21" s="17" t="s">
        <v>19</v>
      </c>
      <c r="G21" s="18">
        <v>1</v>
      </c>
      <c r="H21" s="19"/>
      <c r="I21" s="22"/>
      <c r="J21" s="22"/>
    </row>
    <row r="22" spans="1:10" ht="15" customHeight="1" x14ac:dyDescent="0.25">
      <c r="A22" s="12">
        <f t="shared" si="0"/>
        <v>16</v>
      </c>
      <c r="B22" s="13" t="s">
        <v>255</v>
      </c>
      <c r="C22" s="14" t="s">
        <v>18</v>
      </c>
      <c r="D22" s="15" t="s">
        <v>256</v>
      </c>
      <c r="E22" s="16">
        <v>45771</v>
      </c>
      <c r="F22" s="17" t="s">
        <v>19</v>
      </c>
      <c r="G22" s="18">
        <v>1</v>
      </c>
      <c r="H22" s="19"/>
      <c r="I22" s="22"/>
      <c r="J22" s="22"/>
    </row>
    <row r="23" spans="1:10" ht="15" customHeight="1" x14ac:dyDescent="0.25">
      <c r="A23" s="12">
        <f t="shared" si="0"/>
        <v>17</v>
      </c>
      <c r="B23" s="13" t="s">
        <v>265</v>
      </c>
      <c r="C23" s="14" t="s">
        <v>18</v>
      </c>
      <c r="D23" s="15" t="s">
        <v>266</v>
      </c>
      <c r="E23" s="16">
        <v>45771</v>
      </c>
      <c r="F23" s="17" t="s">
        <v>19</v>
      </c>
      <c r="G23" s="18">
        <v>1</v>
      </c>
      <c r="H23" s="23"/>
      <c r="I23" s="22"/>
      <c r="J23" s="22"/>
    </row>
    <row r="24" spans="1:10" ht="15" customHeight="1" x14ac:dyDescent="0.25">
      <c r="A24" s="12">
        <f t="shared" si="0"/>
        <v>18</v>
      </c>
      <c r="B24" s="16" t="s">
        <v>267</v>
      </c>
      <c r="C24" s="14" t="s">
        <v>18</v>
      </c>
      <c r="D24" s="15" t="s">
        <v>268</v>
      </c>
      <c r="E24" s="16">
        <v>45771</v>
      </c>
      <c r="F24" s="17" t="s">
        <v>19</v>
      </c>
      <c r="G24" s="18">
        <v>1</v>
      </c>
      <c r="H24" s="19"/>
      <c r="I24" s="22"/>
      <c r="J24" s="22"/>
    </row>
    <row r="25" spans="1:10" ht="15" customHeight="1" x14ac:dyDescent="0.25">
      <c r="A25" s="12">
        <f t="shared" si="0"/>
        <v>19</v>
      </c>
      <c r="B25" s="16" t="s">
        <v>275</v>
      </c>
      <c r="C25" s="14" t="s">
        <v>18</v>
      </c>
      <c r="D25" s="15" t="s">
        <v>276</v>
      </c>
      <c r="E25" s="16">
        <v>45771</v>
      </c>
      <c r="F25" s="17" t="s">
        <v>19</v>
      </c>
      <c r="G25" s="18">
        <v>1</v>
      </c>
      <c r="H25" s="23"/>
      <c r="I25" s="22"/>
      <c r="J25" s="22"/>
    </row>
    <row r="26" spans="1:10" ht="15" customHeight="1" x14ac:dyDescent="0.25">
      <c r="A26" s="12">
        <f t="shared" si="0"/>
        <v>20</v>
      </c>
      <c r="B26" s="13" t="s">
        <v>271</v>
      </c>
      <c r="C26" s="14" t="s">
        <v>18</v>
      </c>
      <c r="D26" s="15" t="s">
        <v>272</v>
      </c>
      <c r="E26" s="16">
        <v>45771</v>
      </c>
      <c r="F26" s="17" t="s">
        <v>19</v>
      </c>
      <c r="G26" s="18">
        <v>1</v>
      </c>
      <c r="H26" s="19"/>
      <c r="I26" s="22"/>
      <c r="J26" s="22"/>
    </row>
    <row r="27" spans="1:10" ht="15" customHeight="1" x14ac:dyDescent="0.25">
      <c r="A27" s="12">
        <f t="shared" si="0"/>
        <v>21</v>
      </c>
      <c r="B27" s="16" t="s">
        <v>279</v>
      </c>
      <c r="C27" s="14" t="s">
        <v>18</v>
      </c>
      <c r="D27" s="15" t="s">
        <v>280</v>
      </c>
      <c r="E27" s="16">
        <v>45771</v>
      </c>
      <c r="F27" s="17" t="s">
        <v>19</v>
      </c>
      <c r="G27" s="18">
        <v>1</v>
      </c>
      <c r="H27" s="24"/>
      <c r="I27" s="4"/>
      <c r="J27" s="22"/>
    </row>
    <row r="28" spans="1:10" ht="15" customHeight="1" x14ac:dyDescent="0.25">
      <c r="A28" s="12">
        <f t="shared" si="0"/>
        <v>22</v>
      </c>
      <c r="B28" s="16" t="s">
        <v>273</v>
      </c>
      <c r="C28" s="14" t="s">
        <v>18</v>
      </c>
      <c r="D28" s="15" t="s">
        <v>274</v>
      </c>
      <c r="E28" s="16">
        <v>45771</v>
      </c>
      <c r="F28" s="17" t="s">
        <v>19</v>
      </c>
      <c r="G28" s="18">
        <v>1</v>
      </c>
      <c r="H28" s="23"/>
      <c r="I28" s="22"/>
      <c r="J28" s="22"/>
    </row>
    <row r="29" spans="1:10" ht="15" customHeight="1" x14ac:dyDescent="0.25">
      <c r="A29" s="12">
        <f t="shared" si="0"/>
        <v>23</v>
      </c>
      <c r="B29" s="16" t="s">
        <v>263</v>
      </c>
      <c r="C29" s="14" t="s">
        <v>18</v>
      </c>
      <c r="D29" s="15" t="s">
        <v>264</v>
      </c>
      <c r="E29" s="16">
        <v>45771</v>
      </c>
      <c r="F29" s="17" t="s">
        <v>19</v>
      </c>
      <c r="G29" s="18">
        <v>1</v>
      </c>
      <c r="H29" s="19"/>
      <c r="I29" s="22"/>
      <c r="J29" s="22"/>
    </row>
    <row r="30" spans="1:10" ht="15" customHeight="1" x14ac:dyDescent="0.25">
      <c r="A30" s="12">
        <f t="shared" si="0"/>
        <v>24</v>
      </c>
      <c r="B30" s="13" t="s">
        <v>269</v>
      </c>
      <c r="C30" s="14" t="s">
        <v>18</v>
      </c>
      <c r="D30" s="15" t="s">
        <v>270</v>
      </c>
      <c r="E30" s="16">
        <v>45771</v>
      </c>
      <c r="F30" s="17" t="s">
        <v>19</v>
      </c>
      <c r="G30" s="18">
        <v>1</v>
      </c>
      <c r="H30" s="19"/>
      <c r="I30" s="22"/>
      <c r="J30" s="4"/>
    </row>
    <row r="31" spans="1:10" ht="15" customHeight="1" x14ac:dyDescent="0.25">
      <c r="A31" s="12">
        <f t="shared" si="0"/>
        <v>25</v>
      </c>
      <c r="B31" s="16" t="s">
        <v>277</v>
      </c>
      <c r="C31" s="14" t="s">
        <v>18</v>
      </c>
      <c r="D31" s="15" t="s">
        <v>278</v>
      </c>
      <c r="E31" s="16">
        <v>45771</v>
      </c>
      <c r="F31" s="17" t="s">
        <v>19</v>
      </c>
      <c r="G31" s="18">
        <v>1</v>
      </c>
      <c r="H31" s="23"/>
      <c r="I31" s="4"/>
      <c r="J31" s="4"/>
    </row>
    <row r="32" spans="1:10" ht="15" customHeight="1" x14ac:dyDescent="0.25">
      <c r="A32" s="12">
        <f t="shared" si="0"/>
        <v>26</v>
      </c>
      <c r="B32" s="16" t="s">
        <v>281</v>
      </c>
      <c r="C32" s="14" t="s">
        <v>18</v>
      </c>
      <c r="D32" s="15" t="s">
        <v>282</v>
      </c>
      <c r="E32" s="16">
        <v>45771</v>
      </c>
      <c r="F32" s="17" t="s">
        <v>19</v>
      </c>
      <c r="G32" s="18">
        <v>1</v>
      </c>
      <c r="H32" s="4"/>
      <c r="I32" s="4"/>
      <c r="J32" s="4"/>
    </row>
    <row r="33" spans="1:10" ht="15" customHeight="1" x14ac:dyDescent="0.25">
      <c r="A33" s="12">
        <f t="shared" si="0"/>
        <v>27</v>
      </c>
      <c r="B33" s="16" t="s">
        <v>295</v>
      </c>
      <c r="C33" s="14" t="s">
        <v>18</v>
      </c>
      <c r="D33" s="15" t="s">
        <v>296</v>
      </c>
      <c r="E33" s="16">
        <v>45771</v>
      </c>
      <c r="F33" s="17" t="s">
        <v>19</v>
      </c>
      <c r="G33" s="18">
        <v>1</v>
      </c>
      <c r="H33" s="24"/>
      <c r="J33" s="4"/>
    </row>
    <row r="34" spans="1:10" ht="15" customHeight="1" x14ac:dyDescent="0.25">
      <c r="A34" s="12">
        <f t="shared" si="0"/>
        <v>28</v>
      </c>
      <c r="B34" s="16" t="s">
        <v>293</v>
      </c>
      <c r="C34" s="14" t="s">
        <v>18</v>
      </c>
      <c r="D34" s="15" t="s">
        <v>294</v>
      </c>
      <c r="E34" s="16">
        <v>45771</v>
      </c>
      <c r="F34" s="17" t="s">
        <v>19</v>
      </c>
      <c r="G34" s="18">
        <v>1</v>
      </c>
      <c r="H34" s="4"/>
      <c r="I34" s="4"/>
      <c r="J34" s="4"/>
    </row>
    <row r="35" spans="1:10" ht="15" customHeight="1" x14ac:dyDescent="0.25">
      <c r="A35" s="12">
        <f t="shared" si="0"/>
        <v>29</v>
      </c>
      <c r="B35" s="16" t="s">
        <v>291</v>
      </c>
      <c r="C35" s="14" t="s">
        <v>18</v>
      </c>
      <c r="D35" s="15" t="s">
        <v>292</v>
      </c>
      <c r="E35" s="16">
        <v>45771</v>
      </c>
      <c r="F35" s="17" t="s">
        <v>19</v>
      </c>
      <c r="G35" s="18">
        <v>1</v>
      </c>
      <c r="H35" s="24"/>
      <c r="I35" s="4"/>
      <c r="J35" s="4"/>
    </row>
    <row r="36" spans="1:10" ht="15" customHeight="1" x14ac:dyDescent="0.25">
      <c r="A36" s="12">
        <f t="shared" si="0"/>
        <v>30</v>
      </c>
      <c r="B36" s="16" t="s">
        <v>299</v>
      </c>
      <c r="C36" s="14" t="s">
        <v>18</v>
      </c>
      <c r="D36" s="15" t="s">
        <v>300</v>
      </c>
      <c r="E36" s="16">
        <v>45771</v>
      </c>
      <c r="F36" s="17" t="s">
        <v>19</v>
      </c>
      <c r="G36" s="18">
        <v>1</v>
      </c>
      <c r="H36" s="24"/>
      <c r="J36" s="4"/>
    </row>
    <row r="37" spans="1:10" ht="15" customHeight="1" x14ac:dyDescent="0.25">
      <c r="A37" s="12">
        <f t="shared" si="0"/>
        <v>31</v>
      </c>
      <c r="B37" s="16" t="s">
        <v>297</v>
      </c>
      <c r="C37" s="14" t="s">
        <v>18</v>
      </c>
      <c r="D37" s="15" t="s">
        <v>298</v>
      </c>
      <c r="E37" s="16">
        <v>45771</v>
      </c>
      <c r="F37" s="17" t="s">
        <v>19</v>
      </c>
      <c r="G37" s="18">
        <v>1</v>
      </c>
      <c r="H37" s="4"/>
      <c r="J37" s="4"/>
    </row>
    <row r="38" spans="1:10" ht="15" customHeight="1" x14ac:dyDescent="0.25">
      <c r="A38" s="12">
        <f t="shared" si="0"/>
        <v>32</v>
      </c>
      <c r="B38" s="16" t="s">
        <v>289</v>
      </c>
      <c r="C38" s="14" t="s">
        <v>18</v>
      </c>
      <c r="D38" s="15" t="s">
        <v>290</v>
      </c>
      <c r="E38" s="16">
        <v>45771</v>
      </c>
      <c r="F38" s="17" t="s">
        <v>19</v>
      </c>
      <c r="G38" s="18">
        <v>1</v>
      </c>
      <c r="H38" s="23"/>
      <c r="I38" s="4"/>
      <c r="J38" s="4"/>
    </row>
    <row r="39" spans="1:10" x14ac:dyDescent="0.25">
      <c r="A39" s="12">
        <f t="shared" si="0"/>
        <v>33</v>
      </c>
      <c r="B39" s="16" t="s">
        <v>283</v>
      </c>
      <c r="C39" s="14" t="s">
        <v>18</v>
      </c>
      <c r="D39" s="15" t="s">
        <v>284</v>
      </c>
      <c r="E39" s="16">
        <v>45771</v>
      </c>
      <c r="F39" s="17" t="s">
        <v>19</v>
      </c>
      <c r="G39" s="18">
        <v>1</v>
      </c>
      <c r="H39" s="23"/>
      <c r="I39" s="4"/>
    </row>
    <row r="40" spans="1:10" x14ac:dyDescent="0.25">
      <c r="A40" s="12">
        <f>+A39+1</f>
        <v>34</v>
      </c>
      <c r="B40" s="16" t="s">
        <v>285</v>
      </c>
      <c r="C40" s="14" t="s">
        <v>18</v>
      </c>
      <c r="D40" s="15" t="s">
        <v>286</v>
      </c>
      <c r="E40" s="16">
        <v>45771</v>
      </c>
      <c r="F40" s="17" t="s">
        <v>19</v>
      </c>
      <c r="G40" s="18">
        <v>1</v>
      </c>
      <c r="H40" s="4"/>
      <c r="I40" s="4"/>
    </row>
    <row r="41" spans="1:10" x14ac:dyDescent="0.25">
      <c r="A41" s="12">
        <f t="shared" si="0"/>
        <v>35</v>
      </c>
      <c r="B41" s="16" t="s">
        <v>301</v>
      </c>
      <c r="C41" s="14" t="s">
        <v>18</v>
      </c>
      <c r="D41" s="15" t="s">
        <v>302</v>
      </c>
      <c r="E41" s="16">
        <v>45771</v>
      </c>
      <c r="F41" s="17" t="s">
        <v>19</v>
      </c>
      <c r="G41" s="18">
        <v>1</v>
      </c>
      <c r="H41" s="24"/>
    </row>
    <row r="42" spans="1:10" x14ac:dyDescent="0.25">
      <c r="A42" s="12">
        <f t="shared" si="0"/>
        <v>36</v>
      </c>
      <c r="B42" s="16" t="s">
        <v>287</v>
      </c>
      <c r="C42" s="14" t="s">
        <v>18</v>
      </c>
      <c r="D42" s="15" t="s">
        <v>288</v>
      </c>
      <c r="E42" s="16">
        <v>45771</v>
      </c>
      <c r="F42" s="17" t="s">
        <v>19</v>
      </c>
      <c r="G42" s="18">
        <v>1</v>
      </c>
      <c r="H42" s="4"/>
      <c r="I42" s="4"/>
    </row>
    <row r="43" spans="1:10" x14ac:dyDescent="0.25">
      <c r="A43" s="12">
        <f t="shared" si="0"/>
        <v>37</v>
      </c>
      <c r="B43" s="16" t="s">
        <v>303</v>
      </c>
      <c r="C43" s="14" t="s">
        <v>18</v>
      </c>
      <c r="D43" s="15" t="s">
        <v>304</v>
      </c>
      <c r="E43" s="16">
        <v>45775</v>
      </c>
      <c r="F43" s="17" t="s">
        <v>19</v>
      </c>
      <c r="G43" s="18">
        <v>1</v>
      </c>
      <c r="H43" s="4"/>
    </row>
    <row r="44" spans="1:10" x14ac:dyDescent="0.25">
      <c r="A44" s="12">
        <f t="shared" si="0"/>
        <v>38</v>
      </c>
      <c r="B44" s="16" t="s">
        <v>315</v>
      </c>
      <c r="C44" s="14" t="s">
        <v>18</v>
      </c>
      <c r="D44" s="15" t="s">
        <v>316</v>
      </c>
      <c r="E44" s="16">
        <v>45775</v>
      </c>
      <c r="F44" s="17" t="s">
        <v>19</v>
      </c>
      <c r="G44" s="18">
        <v>1</v>
      </c>
      <c r="H44" s="24"/>
    </row>
    <row r="45" spans="1:10" x14ac:dyDescent="0.25">
      <c r="A45" s="12">
        <f t="shared" si="0"/>
        <v>39</v>
      </c>
      <c r="B45" s="16" t="s">
        <v>313</v>
      </c>
      <c r="C45" s="14" t="s">
        <v>18</v>
      </c>
      <c r="D45" s="15" t="s">
        <v>314</v>
      </c>
      <c r="E45" s="16">
        <v>45775</v>
      </c>
      <c r="F45" s="17" t="s">
        <v>19</v>
      </c>
      <c r="G45" s="18">
        <v>1</v>
      </c>
      <c r="H45" s="24"/>
    </row>
    <row r="46" spans="1:10" x14ac:dyDescent="0.25">
      <c r="A46" s="12">
        <f t="shared" si="0"/>
        <v>40</v>
      </c>
      <c r="B46" s="16" t="s">
        <v>305</v>
      </c>
      <c r="C46" s="14" t="s">
        <v>18</v>
      </c>
      <c r="D46" s="15" t="s">
        <v>306</v>
      </c>
      <c r="E46" s="16">
        <v>45775</v>
      </c>
      <c r="F46" s="17" t="s">
        <v>19</v>
      </c>
      <c r="G46" s="18">
        <v>1</v>
      </c>
      <c r="H46" s="24"/>
    </row>
    <row r="47" spans="1:10" x14ac:dyDescent="0.25">
      <c r="A47" s="12">
        <f t="shared" si="0"/>
        <v>41</v>
      </c>
      <c r="B47" s="16" t="s">
        <v>318</v>
      </c>
      <c r="C47" s="14" t="s">
        <v>18</v>
      </c>
      <c r="D47" s="15" t="s">
        <v>317</v>
      </c>
      <c r="E47" s="16">
        <v>45775</v>
      </c>
      <c r="F47" s="17" t="s">
        <v>19</v>
      </c>
      <c r="G47" s="18">
        <v>1</v>
      </c>
      <c r="H47" s="24"/>
    </row>
    <row r="48" spans="1:10" x14ac:dyDescent="0.25">
      <c r="A48" s="12">
        <f t="shared" si="0"/>
        <v>42</v>
      </c>
      <c r="B48" s="16" t="s">
        <v>311</v>
      </c>
      <c r="C48" s="14" t="s">
        <v>18</v>
      </c>
      <c r="D48" s="15" t="s">
        <v>312</v>
      </c>
      <c r="E48" s="16">
        <v>45775</v>
      </c>
      <c r="F48" s="17" t="s">
        <v>19</v>
      </c>
      <c r="G48" s="18">
        <v>1</v>
      </c>
      <c r="H48" s="24"/>
    </row>
    <row r="49" spans="1:8" x14ac:dyDescent="0.25">
      <c r="A49" s="12">
        <f t="shared" si="0"/>
        <v>43</v>
      </c>
      <c r="B49" s="16" t="s">
        <v>307</v>
      </c>
      <c r="C49" s="14" t="s">
        <v>18</v>
      </c>
      <c r="D49" s="15" t="s">
        <v>309</v>
      </c>
      <c r="E49" s="16">
        <v>45775</v>
      </c>
      <c r="F49" s="17" t="s">
        <v>19</v>
      </c>
      <c r="G49" s="18">
        <v>1</v>
      </c>
      <c r="H49" s="24"/>
    </row>
    <row r="50" spans="1:8" x14ac:dyDescent="0.25">
      <c r="A50" s="12">
        <f t="shared" si="0"/>
        <v>44</v>
      </c>
      <c r="B50" s="16" t="s">
        <v>310</v>
      </c>
      <c r="C50" s="14" t="s">
        <v>18</v>
      </c>
      <c r="D50" s="15" t="s">
        <v>308</v>
      </c>
      <c r="E50" s="16">
        <v>45775</v>
      </c>
      <c r="F50" s="17" t="s">
        <v>19</v>
      </c>
      <c r="G50" s="18">
        <v>1</v>
      </c>
      <c r="H50" s="24"/>
    </row>
    <row r="51" spans="1:8" x14ac:dyDescent="0.25">
      <c r="A51" s="12">
        <f t="shared" si="0"/>
        <v>45</v>
      </c>
      <c r="B51" s="16"/>
      <c r="C51" s="14"/>
      <c r="D51" s="15"/>
      <c r="E51" s="16"/>
      <c r="F51" s="17"/>
      <c r="G51" s="18">
        <v>1</v>
      </c>
      <c r="H51" s="24"/>
    </row>
    <row r="52" spans="1:8" x14ac:dyDescent="0.25">
      <c r="A52" s="12">
        <f t="shared" si="0"/>
        <v>46</v>
      </c>
      <c r="B52" s="16"/>
      <c r="C52" s="14"/>
      <c r="D52" s="15"/>
      <c r="E52" s="16"/>
      <c r="F52" s="17"/>
      <c r="G52" s="18">
        <v>1</v>
      </c>
      <c r="H52" s="24"/>
    </row>
    <row r="53" spans="1:8" x14ac:dyDescent="0.25">
      <c r="A53" s="12">
        <f t="shared" si="0"/>
        <v>47</v>
      </c>
      <c r="B53" s="16"/>
      <c r="C53" s="14"/>
      <c r="D53" s="15"/>
      <c r="E53" s="16"/>
      <c r="F53" s="17"/>
      <c r="G53" s="18">
        <v>1</v>
      </c>
      <c r="H53" s="24"/>
    </row>
    <row r="54" spans="1:8" x14ac:dyDescent="0.25">
      <c r="A54" s="12">
        <f t="shared" si="0"/>
        <v>48</v>
      </c>
      <c r="B54" s="16"/>
      <c r="C54" s="14"/>
      <c r="D54" s="15"/>
      <c r="E54" s="16"/>
      <c r="F54" s="17"/>
      <c r="G54" s="18">
        <v>1</v>
      </c>
      <c r="H54" s="24"/>
    </row>
    <row r="55" spans="1:8" x14ac:dyDescent="0.25">
      <c r="A55" s="12">
        <f t="shared" si="0"/>
        <v>49</v>
      </c>
      <c r="B55" s="16"/>
      <c r="C55" s="14"/>
      <c r="D55" s="15"/>
      <c r="E55" s="16"/>
      <c r="F55" s="17"/>
      <c r="G55" s="18">
        <v>1</v>
      </c>
      <c r="H55" s="24"/>
    </row>
    <row r="56" spans="1:8" x14ac:dyDescent="0.25">
      <c r="A56" s="12">
        <f t="shared" si="0"/>
        <v>50</v>
      </c>
      <c r="B56" s="16"/>
      <c r="C56" s="14"/>
      <c r="D56" s="15"/>
      <c r="E56" s="16"/>
      <c r="F56" s="17"/>
      <c r="G56" s="18">
        <v>1</v>
      </c>
      <c r="H56" s="24"/>
    </row>
    <row r="57" spans="1:8" x14ac:dyDescent="0.25">
      <c r="A57" s="12">
        <f t="shared" si="0"/>
        <v>51</v>
      </c>
      <c r="B57" s="16"/>
      <c r="C57" s="14"/>
      <c r="D57" s="15"/>
      <c r="E57" s="16"/>
      <c r="F57" s="17"/>
      <c r="G57" s="18">
        <v>1</v>
      </c>
      <c r="H57" s="24"/>
    </row>
  </sheetData>
  <sortState ref="B7:H50">
    <sortCondition ref="E7:E50"/>
    <sortCondition ref="D7:D50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57"/>
  <sheetViews>
    <sheetView tabSelected="1" topLeftCell="A7" workbookViewId="0">
      <selection activeCell="B23" sqref="B23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8.28515625" customWidth="1"/>
    <col min="7" max="7" width="2" hidden="1" customWidth="1"/>
    <col min="8" max="8" width="29.85546875" customWidth="1"/>
    <col min="9" max="9" width="21.5703125" customWidth="1"/>
  </cols>
  <sheetData>
    <row r="1" spans="1:11" ht="18" x14ac:dyDescent="0.25">
      <c r="A1" s="28" t="s">
        <v>0</v>
      </c>
      <c r="B1" s="28"/>
      <c r="C1" s="28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9" t="s">
        <v>2</v>
      </c>
      <c r="B2" s="29"/>
      <c r="C2" s="29"/>
      <c r="D2" s="2"/>
      <c r="E2" s="5" t="s">
        <v>3</v>
      </c>
      <c r="F2" s="5"/>
      <c r="G2" s="3"/>
      <c r="H2" s="3"/>
      <c r="I2" s="26" t="s">
        <v>4</v>
      </c>
      <c r="J2" s="27"/>
      <c r="K2" s="6">
        <f>SUMIF(F7:F353,"Elimination*",G7:G353)</f>
        <v>14</v>
      </c>
    </row>
    <row r="3" spans="1:11" x14ac:dyDescent="0.25">
      <c r="A3" s="30" t="s">
        <v>5</v>
      </c>
      <c r="B3" s="30"/>
      <c r="C3" s="30"/>
      <c r="D3" s="5"/>
      <c r="E3" s="3" t="s">
        <v>6</v>
      </c>
      <c r="F3" s="3"/>
      <c r="G3" s="3"/>
      <c r="H3" s="3"/>
      <c r="I3" s="26" t="s">
        <v>7</v>
      </c>
      <c r="J3" s="27"/>
      <c r="K3" s="6">
        <f>SUMIF(F7:F353,"NB*",G7:G353)</f>
        <v>2</v>
      </c>
    </row>
    <row r="4" spans="1:11" ht="18" x14ac:dyDescent="0.25">
      <c r="A4" s="28" t="s">
        <v>8</v>
      </c>
      <c r="B4" s="28"/>
      <c r="C4" s="28"/>
      <c r="D4" s="28"/>
      <c r="E4" s="28"/>
      <c r="F4" s="28"/>
      <c r="G4" s="3"/>
      <c r="H4" s="3"/>
      <c r="I4" s="26" t="s">
        <v>9</v>
      </c>
      <c r="J4" s="27"/>
      <c r="K4" s="6">
        <f>SUMIF(F7:F353,"Ve*",G7:G353)</f>
        <v>0</v>
      </c>
    </row>
    <row r="5" spans="1:11" ht="15.75" x14ac:dyDescent="0.25">
      <c r="A5" s="25" t="s">
        <v>319</v>
      </c>
      <c r="B5" s="25"/>
      <c r="C5" s="25"/>
      <c r="D5" s="25"/>
      <c r="E5" s="25"/>
      <c r="F5" s="25"/>
      <c r="G5" s="7"/>
      <c r="H5" s="7"/>
      <c r="I5" s="26" t="s">
        <v>10</v>
      </c>
      <c r="J5" s="27"/>
      <c r="K5" s="8">
        <f>SUM(K2:K4)</f>
        <v>16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 t="s">
        <v>21</v>
      </c>
      <c r="J6" s="11"/>
      <c r="K6" s="4"/>
    </row>
    <row r="7" spans="1:11" ht="15" customHeight="1" x14ac:dyDescent="0.25">
      <c r="A7" s="12">
        <v>1</v>
      </c>
      <c r="B7" s="13" t="s">
        <v>320</v>
      </c>
      <c r="C7" s="14" t="s">
        <v>18</v>
      </c>
      <c r="D7" s="15" t="s">
        <v>321</v>
      </c>
      <c r="E7" s="16">
        <v>45781</v>
      </c>
      <c r="F7" s="17" t="s">
        <v>332</v>
      </c>
      <c r="G7" s="18">
        <v>1</v>
      </c>
      <c r="H7" s="19" t="s">
        <v>333</v>
      </c>
      <c r="I7" s="22"/>
      <c r="J7" s="20"/>
      <c r="K7" s="4"/>
    </row>
    <row r="8" spans="1:11" ht="15" customHeight="1" x14ac:dyDescent="0.25">
      <c r="A8" s="12">
        <f>+A7+1</f>
        <v>2</v>
      </c>
      <c r="B8" s="13" t="s">
        <v>320</v>
      </c>
      <c r="C8" s="14" t="s">
        <v>18</v>
      </c>
      <c r="D8" s="15" t="s">
        <v>322</v>
      </c>
      <c r="E8" s="16">
        <v>45781</v>
      </c>
      <c r="F8" s="17" t="s">
        <v>350</v>
      </c>
      <c r="G8" s="18">
        <v>1</v>
      </c>
      <c r="H8" s="19" t="s">
        <v>334</v>
      </c>
      <c r="I8" s="22"/>
      <c r="J8" s="22"/>
      <c r="K8" s="4"/>
    </row>
    <row r="9" spans="1:11" ht="15" customHeight="1" x14ac:dyDescent="0.25">
      <c r="A9" s="12">
        <f t="shared" ref="A9:A57" si="0">+A8+1</f>
        <v>3</v>
      </c>
      <c r="B9" s="13" t="s">
        <v>327</v>
      </c>
      <c r="C9" s="14" t="s">
        <v>18</v>
      </c>
      <c r="D9" s="15" t="s">
        <v>328</v>
      </c>
      <c r="E9" s="16">
        <v>45781</v>
      </c>
      <c r="F9" s="17" t="s">
        <v>19</v>
      </c>
      <c r="G9" s="18">
        <v>1</v>
      </c>
      <c r="H9" s="19"/>
      <c r="I9" s="22"/>
      <c r="J9" s="22"/>
      <c r="K9" s="4"/>
    </row>
    <row r="10" spans="1:11" ht="15" customHeight="1" x14ac:dyDescent="0.25">
      <c r="A10" s="12">
        <f t="shared" si="0"/>
        <v>4</v>
      </c>
      <c r="B10" s="13" t="s">
        <v>349</v>
      </c>
      <c r="C10" s="14" t="s">
        <v>18</v>
      </c>
      <c r="D10" s="15" t="s">
        <v>331</v>
      </c>
      <c r="E10" s="16">
        <v>45781</v>
      </c>
      <c r="F10" s="17" t="s">
        <v>19</v>
      </c>
      <c r="G10" s="18">
        <v>1</v>
      </c>
      <c r="H10" s="19"/>
      <c r="I10" s="22"/>
      <c r="J10" s="22"/>
      <c r="K10" s="4"/>
    </row>
    <row r="11" spans="1:11" ht="15" customHeight="1" x14ac:dyDescent="0.25">
      <c r="A11" s="12">
        <f t="shared" si="0"/>
        <v>5</v>
      </c>
      <c r="B11" s="13" t="s">
        <v>325</v>
      </c>
      <c r="C11" s="14" t="s">
        <v>18</v>
      </c>
      <c r="D11" s="15" t="s">
        <v>326</v>
      </c>
      <c r="E11" s="16">
        <v>45781</v>
      </c>
      <c r="F11" s="17" t="s">
        <v>19</v>
      </c>
      <c r="G11" s="18">
        <v>1</v>
      </c>
      <c r="H11" s="19"/>
      <c r="I11" s="22"/>
      <c r="J11" s="22"/>
      <c r="K11" s="4"/>
    </row>
    <row r="12" spans="1:11" ht="15" customHeight="1" x14ac:dyDescent="0.25">
      <c r="A12" s="12">
        <f t="shared" si="0"/>
        <v>6</v>
      </c>
      <c r="B12" s="13" t="s">
        <v>323</v>
      </c>
      <c r="C12" s="14" t="s">
        <v>18</v>
      </c>
      <c r="D12" s="15" t="s">
        <v>324</v>
      </c>
      <c r="E12" s="16">
        <v>45781</v>
      </c>
      <c r="F12" s="17" t="s">
        <v>19</v>
      </c>
      <c r="G12" s="18">
        <v>1</v>
      </c>
      <c r="H12" s="19"/>
      <c r="I12" s="22"/>
      <c r="J12" s="22"/>
      <c r="K12" s="4"/>
    </row>
    <row r="13" spans="1:11" ht="15" customHeight="1" x14ac:dyDescent="0.25">
      <c r="A13" s="12">
        <f t="shared" si="0"/>
        <v>7</v>
      </c>
      <c r="B13" s="13" t="s">
        <v>329</v>
      </c>
      <c r="C13" s="14" t="s">
        <v>18</v>
      </c>
      <c r="D13" s="15" t="s">
        <v>330</v>
      </c>
      <c r="E13" s="16">
        <v>45781</v>
      </c>
      <c r="F13" s="17" t="s">
        <v>19</v>
      </c>
      <c r="G13" s="18">
        <v>1</v>
      </c>
      <c r="H13" s="19"/>
      <c r="I13" s="22"/>
      <c r="J13" s="22"/>
      <c r="K13" s="4"/>
    </row>
    <row r="14" spans="1:11" ht="15" customHeight="1" x14ac:dyDescent="0.25">
      <c r="A14" s="12">
        <f t="shared" si="0"/>
        <v>8</v>
      </c>
      <c r="B14" s="16" t="s">
        <v>341</v>
      </c>
      <c r="C14" s="14" t="s">
        <v>18</v>
      </c>
      <c r="D14" s="15" t="s">
        <v>342</v>
      </c>
      <c r="E14" s="16">
        <v>45782</v>
      </c>
      <c r="F14" s="17" t="s">
        <v>19</v>
      </c>
      <c r="G14" s="18">
        <v>1</v>
      </c>
      <c r="H14" s="19"/>
      <c r="I14" s="22"/>
      <c r="J14" s="22"/>
      <c r="K14" s="4"/>
    </row>
    <row r="15" spans="1:11" ht="15" customHeight="1" x14ac:dyDescent="0.25">
      <c r="A15" s="12">
        <f t="shared" si="0"/>
        <v>9</v>
      </c>
      <c r="B15" s="13" t="s">
        <v>347</v>
      </c>
      <c r="C15" s="14" t="s">
        <v>18</v>
      </c>
      <c r="D15" s="15" t="s">
        <v>348</v>
      </c>
      <c r="E15" s="16">
        <v>45782</v>
      </c>
      <c r="F15" s="17" t="s">
        <v>19</v>
      </c>
      <c r="G15" s="18">
        <v>1</v>
      </c>
      <c r="H15" s="19"/>
      <c r="I15" s="22"/>
      <c r="J15" s="22"/>
    </row>
    <row r="16" spans="1:11" ht="15" customHeight="1" x14ac:dyDescent="0.25">
      <c r="A16" s="12">
        <f t="shared" si="0"/>
        <v>10</v>
      </c>
      <c r="B16" s="16" t="s">
        <v>339</v>
      </c>
      <c r="C16" s="14" t="s">
        <v>18</v>
      </c>
      <c r="D16" s="15" t="s">
        <v>340</v>
      </c>
      <c r="E16" s="16">
        <v>45782</v>
      </c>
      <c r="F16" s="17" t="s">
        <v>19</v>
      </c>
      <c r="G16" s="18">
        <v>1</v>
      </c>
      <c r="H16" s="19"/>
      <c r="I16" s="22"/>
      <c r="J16" s="22"/>
    </row>
    <row r="17" spans="1:10" ht="15" customHeight="1" x14ac:dyDescent="0.25">
      <c r="A17" s="12">
        <f t="shared" si="0"/>
        <v>11</v>
      </c>
      <c r="B17" s="16" t="s">
        <v>335</v>
      </c>
      <c r="C17" s="14" t="s">
        <v>18</v>
      </c>
      <c r="D17" s="15" t="s">
        <v>336</v>
      </c>
      <c r="E17" s="16">
        <v>45782</v>
      </c>
      <c r="F17" s="17" t="s">
        <v>19</v>
      </c>
      <c r="G17" s="18">
        <v>1</v>
      </c>
      <c r="H17" s="19"/>
      <c r="I17" s="22"/>
      <c r="J17" s="22"/>
    </row>
    <row r="18" spans="1:10" ht="15" customHeight="1" x14ac:dyDescent="0.25">
      <c r="A18" s="12">
        <f t="shared" si="0"/>
        <v>12</v>
      </c>
      <c r="B18" s="13" t="s">
        <v>345</v>
      </c>
      <c r="C18" s="14" t="s">
        <v>18</v>
      </c>
      <c r="D18" s="15" t="s">
        <v>346</v>
      </c>
      <c r="E18" s="16">
        <v>45782</v>
      </c>
      <c r="F18" s="17" t="s">
        <v>19</v>
      </c>
      <c r="G18" s="18">
        <v>1</v>
      </c>
      <c r="H18" s="23"/>
      <c r="I18" s="22"/>
      <c r="J18" s="22"/>
    </row>
    <row r="19" spans="1:10" ht="15" customHeight="1" x14ac:dyDescent="0.25">
      <c r="A19" s="12">
        <f t="shared" si="0"/>
        <v>13</v>
      </c>
      <c r="B19" s="13" t="s">
        <v>337</v>
      </c>
      <c r="C19" s="14" t="s">
        <v>18</v>
      </c>
      <c r="D19" s="15" t="s">
        <v>338</v>
      </c>
      <c r="E19" s="16">
        <v>45782</v>
      </c>
      <c r="F19" s="17" t="s">
        <v>19</v>
      </c>
      <c r="G19" s="18">
        <v>1</v>
      </c>
      <c r="H19" s="19"/>
      <c r="I19" s="22"/>
      <c r="J19" s="22"/>
    </row>
    <row r="20" spans="1:10" ht="15" customHeight="1" x14ac:dyDescent="0.25">
      <c r="A20" s="12">
        <f t="shared" si="0"/>
        <v>14</v>
      </c>
      <c r="B20" s="16" t="s">
        <v>343</v>
      </c>
      <c r="C20" s="14" t="s">
        <v>18</v>
      </c>
      <c r="D20" s="15" t="s">
        <v>344</v>
      </c>
      <c r="E20" s="16">
        <v>45782</v>
      </c>
      <c r="F20" s="17" t="s">
        <v>19</v>
      </c>
      <c r="G20" s="18">
        <v>1</v>
      </c>
      <c r="H20" s="19"/>
      <c r="I20" s="22"/>
      <c r="J20" s="22"/>
    </row>
    <row r="21" spans="1:10" ht="15" customHeight="1" x14ac:dyDescent="0.25">
      <c r="A21" s="12">
        <f t="shared" si="0"/>
        <v>15</v>
      </c>
      <c r="B21" s="13" t="s">
        <v>351</v>
      </c>
      <c r="C21" s="14" t="s">
        <v>18</v>
      </c>
      <c r="D21" s="15" t="s">
        <v>352</v>
      </c>
      <c r="E21" s="16">
        <v>45783</v>
      </c>
      <c r="F21" s="17" t="s">
        <v>19</v>
      </c>
      <c r="G21" s="18">
        <v>1</v>
      </c>
      <c r="H21" s="19"/>
      <c r="I21" s="22"/>
      <c r="J21" s="22"/>
    </row>
    <row r="22" spans="1:10" ht="15" customHeight="1" x14ac:dyDescent="0.25">
      <c r="A22" s="12">
        <f t="shared" si="0"/>
        <v>16</v>
      </c>
      <c r="B22" s="13" t="s">
        <v>354</v>
      </c>
      <c r="C22" s="14" t="s">
        <v>232</v>
      </c>
      <c r="D22" s="15" t="s">
        <v>353</v>
      </c>
      <c r="E22" s="16">
        <v>45783</v>
      </c>
      <c r="F22" s="17" t="s">
        <v>19</v>
      </c>
      <c r="G22" s="18">
        <v>1</v>
      </c>
      <c r="H22" s="19"/>
      <c r="I22" s="22"/>
      <c r="J22" s="22"/>
    </row>
    <row r="23" spans="1:10" ht="15" customHeight="1" x14ac:dyDescent="0.25">
      <c r="A23" s="12">
        <f t="shared" si="0"/>
        <v>17</v>
      </c>
      <c r="B23" s="13"/>
      <c r="C23" s="14"/>
      <c r="D23" s="15"/>
      <c r="E23" s="16"/>
      <c r="F23" s="17"/>
      <c r="G23" s="18">
        <v>1</v>
      </c>
      <c r="H23" s="23"/>
      <c r="I23" s="22"/>
      <c r="J23" s="22"/>
    </row>
    <row r="24" spans="1:10" ht="15" customHeight="1" x14ac:dyDescent="0.25">
      <c r="A24" s="12">
        <f t="shared" si="0"/>
        <v>18</v>
      </c>
      <c r="B24" s="16"/>
      <c r="C24" s="14"/>
      <c r="D24" s="15"/>
      <c r="E24" s="16"/>
      <c r="F24" s="17"/>
      <c r="G24" s="18">
        <v>1</v>
      </c>
      <c r="H24" s="19"/>
      <c r="I24" s="22"/>
      <c r="J24" s="22"/>
    </row>
    <row r="25" spans="1:10" ht="15" customHeight="1" x14ac:dyDescent="0.25">
      <c r="A25" s="12">
        <f t="shared" si="0"/>
        <v>19</v>
      </c>
      <c r="B25" s="16"/>
      <c r="C25" s="14"/>
      <c r="D25" s="15"/>
      <c r="E25" s="16"/>
      <c r="F25" s="17"/>
      <c r="G25" s="18">
        <v>1</v>
      </c>
      <c r="H25" s="23"/>
      <c r="I25" s="22"/>
      <c r="J25" s="22"/>
    </row>
    <row r="26" spans="1:10" ht="15" customHeight="1" x14ac:dyDescent="0.25">
      <c r="A26" s="12">
        <f t="shared" si="0"/>
        <v>20</v>
      </c>
      <c r="B26" s="13"/>
      <c r="C26" s="14"/>
      <c r="D26" s="15"/>
      <c r="E26" s="16"/>
      <c r="F26" s="17"/>
      <c r="G26" s="18">
        <v>1</v>
      </c>
      <c r="H26" s="19"/>
      <c r="I26" s="22"/>
      <c r="J26" s="22"/>
    </row>
    <row r="27" spans="1:10" ht="15" customHeight="1" x14ac:dyDescent="0.25">
      <c r="A27" s="12">
        <f t="shared" si="0"/>
        <v>21</v>
      </c>
      <c r="B27" s="16"/>
      <c r="C27" s="14"/>
      <c r="D27" s="15"/>
      <c r="E27" s="16"/>
      <c r="F27" s="17"/>
      <c r="G27" s="18">
        <v>1</v>
      </c>
      <c r="H27" s="24"/>
      <c r="I27" s="4"/>
      <c r="J27" s="22"/>
    </row>
    <row r="28" spans="1:10" ht="15" customHeight="1" x14ac:dyDescent="0.25">
      <c r="A28" s="12">
        <f t="shared" si="0"/>
        <v>22</v>
      </c>
      <c r="B28" s="16"/>
      <c r="C28" s="14"/>
      <c r="D28" s="15"/>
      <c r="E28" s="16"/>
      <c r="F28" s="17"/>
      <c r="G28" s="18">
        <v>1</v>
      </c>
      <c r="H28" s="23"/>
      <c r="I28" s="22"/>
      <c r="J28" s="22"/>
    </row>
    <row r="29" spans="1:10" ht="15" customHeight="1" x14ac:dyDescent="0.25">
      <c r="A29" s="12">
        <f t="shared" si="0"/>
        <v>23</v>
      </c>
      <c r="B29" s="16"/>
      <c r="C29" s="14"/>
      <c r="D29" s="15"/>
      <c r="E29" s="16"/>
      <c r="F29" s="17"/>
      <c r="G29" s="18">
        <v>1</v>
      </c>
      <c r="H29" s="19"/>
      <c r="I29" s="22"/>
      <c r="J29" s="22"/>
    </row>
    <row r="30" spans="1:10" ht="15" customHeight="1" x14ac:dyDescent="0.25">
      <c r="A30" s="12">
        <f t="shared" si="0"/>
        <v>24</v>
      </c>
      <c r="B30" s="13"/>
      <c r="C30" s="14"/>
      <c r="D30" s="15"/>
      <c r="E30" s="16"/>
      <c r="F30" s="17"/>
      <c r="G30" s="18">
        <v>1</v>
      </c>
      <c r="H30" s="19"/>
      <c r="I30" s="22"/>
      <c r="J30" s="4"/>
    </row>
    <row r="31" spans="1:10" ht="15" customHeight="1" x14ac:dyDescent="0.25">
      <c r="A31" s="12">
        <f t="shared" si="0"/>
        <v>25</v>
      </c>
      <c r="B31" s="16"/>
      <c r="C31" s="14"/>
      <c r="D31" s="15"/>
      <c r="E31" s="16"/>
      <c r="F31" s="17"/>
      <c r="G31" s="18">
        <v>1</v>
      </c>
      <c r="H31" s="23"/>
      <c r="I31" s="4"/>
      <c r="J31" s="4"/>
    </row>
    <row r="32" spans="1:10" ht="15" customHeight="1" x14ac:dyDescent="0.25">
      <c r="A32" s="12">
        <f t="shared" si="0"/>
        <v>26</v>
      </c>
      <c r="B32" s="16"/>
      <c r="C32" s="14"/>
      <c r="D32" s="15"/>
      <c r="E32" s="16"/>
      <c r="F32" s="17"/>
      <c r="G32" s="18">
        <v>1</v>
      </c>
      <c r="H32" s="4"/>
      <c r="I32" s="4"/>
      <c r="J32" s="4"/>
    </row>
    <row r="33" spans="1:10" ht="15" customHeight="1" x14ac:dyDescent="0.25">
      <c r="A33" s="12">
        <f t="shared" si="0"/>
        <v>27</v>
      </c>
      <c r="B33" s="16"/>
      <c r="C33" s="14"/>
      <c r="D33" s="15"/>
      <c r="E33" s="16"/>
      <c r="F33" s="17"/>
      <c r="G33" s="18">
        <v>1</v>
      </c>
      <c r="H33" s="24"/>
      <c r="J33" s="4"/>
    </row>
    <row r="34" spans="1:10" ht="15" customHeight="1" x14ac:dyDescent="0.25">
      <c r="A34" s="12">
        <f t="shared" si="0"/>
        <v>28</v>
      </c>
      <c r="B34" s="16"/>
      <c r="C34" s="14"/>
      <c r="D34" s="15"/>
      <c r="E34" s="16"/>
      <c r="F34" s="17"/>
      <c r="G34" s="18">
        <v>1</v>
      </c>
      <c r="H34" s="4"/>
      <c r="I34" s="4"/>
      <c r="J34" s="4"/>
    </row>
    <row r="35" spans="1:10" ht="15" customHeight="1" x14ac:dyDescent="0.25">
      <c r="A35" s="12">
        <f t="shared" si="0"/>
        <v>29</v>
      </c>
      <c r="B35" s="16"/>
      <c r="C35" s="14"/>
      <c r="D35" s="15"/>
      <c r="E35" s="16"/>
      <c r="F35" s="17"/>
      <c r="G35" s="18">
        <v>1</v>
      </c>
      <c r="H35" s="24"/>
      <c r="I35" s="4"/>
      <c r="J35" s="4"/>
    </row>
    <row r="36" spans="1:10" ht="15" customHeight="1" x14ac:dyDescent="0.25">
      <c r="A36" s="12">
        <f t="shared" si="0"/>
        <v>30</v>
      </c>
      <c r="B36" s="16"/>
      <c r="C36" s="14"/>
      <c r="D36" s="15"/>
      <c r="E36" s="16"/>
      <c r="F36" s="17"/>
      <c r="G36" s="18">
        <v>1</v>
      </c>
      <c r="H36" s="24"/>
      <c r="J36" s="4"/>
    </row>
    <row r="37" spans="1:10" ht="15" customHeight="1" x14ac:dyDescent="0.25">
      <c r="A37" s="12">
        <f t="shared" si="0"/>
        <v>31</v>
      </c>
      <c r="B37" s="16"/>
      <c r="C37" s="14"/>
      <c r="D37" s="15"/>
      <c r="E37" s="16"/>
      <c r="F37" s="17"/>
      <c r="G37" s="18">
        <v>1</v>
      </c>
      <c r="H37" s="4"/>
      <c r="J37" s="4"/>
    </row>
    <row r="38" spans="1:10" ht="15" customHeight="1" x14ac:dyDescent="0.25">
      <c r="A38" s="12">
        <f t="shared" si="0"/>
        <v>32</v>
      </c>
      <c r="B38" s="16"/>
      <c r="C38" s="14"/>
      <c r="D38" s="15"/>
      <c r="E38" s="16"/>
      <c r="F38" s="17"/>
      <c r="G38" s="18">
        <v>1</v>
      </c>
      <c r="H38" s="23"/>
      <c r="I38" s="4"/>
      <c r="J38" s="4"/>
    </row>
    <row r="39" spans="1:10" x14ac:dyDescent="0.25">
      <c r="A39" s="12">
        <f t="shared" si="0"/>
        <v>33</v>
      </c>
      <c r="B39" s="16"/>
      <c r="C39" s="14"/>
      <c r="D39" s="15"/>
      <c r="E39" s="16"/>
      <c r="F39" s="17"/>
      <c r="G39" s="18">
        <v>1</v>
      </c>
      <c r="H39" s="23"/>
      <c r="I39" s="4"/>
    </row>
    <row r="40" spans="1:10" x14ac:dyDescent="0.25">
      <c r="A40" s="12">
        <f>+A39+1</f>
        <v>34</v>
      </c>
      <c r="B40" s="16"/>
      <c r="C40" s="14"/>
      <c r="D40" s="15"/>
      <c r="E40" s="16"/>
      <c r="F40" s="17"/>
      <c r="G40" s="18">
        <v>1</v>
      </c>
      <c r="H40" s="4"/>
      <c r="I40" s="4"/>
    </row>
    <row r="41" spans="1:10" x14ac:dyDescent="0.25">
      <c r="A41" s="12">
        <f t="shared" si="0"/>
        <v>35</v>
      </c>
      <c r="B41" s="16"/>
      <c r="C41" s="14"/>
      <c r="D41" s="15"/>
      <c r="E41" s="16"/>
      <c r="F41" s="17"/>
      <c r="G41" s="18">
        <v>1</v>
      </c>
      <c r="H41" s="24"/>
    </row>
    <row r="42" spans="1:10" x14ac:dyDescent="0.25">
      <c r="A42" s="12">
        <f t="shared" si="0"/>
        <v>36</v>
      </c>
      <c r="B42" s="16"/>
      <c r="C42" s="14"/>
      <c r="D42" s="15"/>
      <c r="E42" s="16"/>
      <c r="F42" s="17"/>
      <c r="G42" s="18">
        <v>1</v>
      </c>
      <c r="H42" s="4"/>
      <c r="I42" s="4"/>
    </row>
    <row r="43" spans="1:10" x14ac:dyDescent="0.25">
      <c r="A43" s="12">
        <f t="shared" si="0"/>
        <v>37</v>
      </c>
      <c r="B43" s="16"/>
      <c r="C43" s="14"/>
      <c r="D43" s="15"/>
      <c r="E43" s="16"/>
      <c r="F43" s="17"/>
      <c r="G43" s="18">
        <v>1</v>
      </c>
      <c r="H43" s="4"/>
    </row>
    <row r="44" spans="1:10" x14ac:dyDescent="0.25">
      <c r="A44" s="12">
        <f t="shared" si="0"/>
        <v>38</v>
      </c>
      <c r="B44" s="16"/>
      <c r="C44" s="14"/>
      <c r="D44" s="15"/>
      <c r="E44" s="16"/>
      <c r="F44" s="17"/>
      <c r="G44" s="18">
        <v>1</v>
      </c>
      <c r="H44" s="24"/>
    </row>
    <row r="45" spans="1:10" x14ac:dyDescent="0.25">
      <c r="A45" s="12">
        <f t="shared" si="0"/>
        <v>39</v>
      </c>
      <c r="B45" s="16"/>
      <c r="C45" s="14"/>
      <c r="D45" s="15"/>
      <c r="E45" s="16"/>
      <c r="F45" s="17"/>
      <c r="G45" s="18">
        <v>1</v>
      </c>
      <c r="H45" s="24"/>
    </row>
    <row r="46" spans="1:10" x14ac:dyDescent="0.25">
      <c r="A46" s="12">
        <f t="shared" si="0"/>
        <v>40</v>
      </c>
      <c r="B46" s="16"/>
      <c r="C46" s="14"/>
      <c r="D46" s="15"/>
      <c r="E46" s="16"/>
      <c r="F46" s="17"/>
      <c r="G46" s="18">
        <v>1</v>
      </c>
      <c r="H46" s="24"/>
    </row>
    <row r="47" spans="1:10" x14ac:dyDescent="0.25">
      <c r="A47" s="12">
        <f t="shared" si="0"/>
        <v>41</v>
      </c>
      <c r="B47" s="16"/>
      <c r="C47" s="14"/>
      <c r="D47" s="15"/>
      <c r="E47" s="16"/>
      <c r="F47" s="17"/>
      <c r="G47" s="18">
        <v>1</v>
      </c>
      <c r="H47" s="24"/>
    </row>
    <row r="48" spans="1:10" x14ac:dyDescent="0.25">
      <c r="A48" s="12">
        <f t="shared" si="0"/>
        <v>42</v>
      </c>
      <c r="B48" s="16"/>
      <c r="C48" s="14"/>
      <c r="D48" s="15"/>
      <c r="E48" s="16"/>
      <c r="F48" s="17"/>
      <c r="G48" s="18">
        <v>1</v>
      </c>
      <c r="H48" s="24"/>
    </row>
    <row r="49" spans="1:8" x14ac:dyDescent="0.25">
      <c r="A49" s="12">
        <f t="shared" si="0"/>
        <v>43</v>
      </c>
      <c r="B49" s="16"/>
      <c r="C49" s="14"/>
      <c r="D49" s="15"/>
      <c r="E49" s="16"/>
      <c r="F49" s="17"/>
      <c r="G49" s="18">
        <v>1</v>
      </c>
      <c r="H49" s="24"/>
    </row>
    <row r="50" spans="1:8" x14ac:dyDescent="0.25">
      <c r="A50" s="12">
        <f t="shared" si="0"/>
        <v>44</v>
      </c>
      <c r="B50" s="16"/>
      <c r="C50" s="14"/>
      <c r="D50" s="15"/>
      <c r="E50" s="16"/>
      <c r="F50" s="17"/>
      <c r="G50" s="18">
        <v>1</v>
      </c>
      <c r="H50" s="24"/>
    </row>
    <row r="51" spans="1:8" x14ac:dyDescent="0.25">
      <c r="A51" s="12">
        <f t="shared" si="0"/>
        <v>45</v>
      </c>
      <c r="B51" s="16"/>
      <c r="C51" s="14"/>
      <c r="D51" s="15"/>
      <c r="E51" s="16"/>
      <c r="F51" s="17"/>
      <c r="G51" s="18">
        <v>1</v>
      </c>
      <c r="H51" s="24"/>
    </row>
    <row r="52" spans="1:8" x14ac:dyDescent="0.25">
      <c r="A52" s="12">
        <f t="shared" si="0"/>
        <v>46</v>
      </c>
      <c r="B52" s="16"/>
      <c r="C52" s="14"/>
      <c r="D52" s="15"/>
      <c r="E52" s="16"/>
      <c r="F52" s="17"/>
      <c r="G52" s="18">
        <v>1</v>
      </c>
      <c r="H52" s="24"/>
    </row>
    <row r="53" spans="1:8" x14ac:dyDescent="0.25">
      <c r="A53" s="12">
        <f t="shared" si="0"/>
        <v>47</v>
      </c>
      <c r="B53" s="16"/>
      <c r="C53" s="14"/>
      <c r="D53" s="15"/>
      <c r="E53" s="16"/>
      <c r="F53" s="17"/>
      <c r="G53" s="18">
        <v>1</v>
      </c>
      <c r="H53" s="24"/>
    </row>
    <row r="54" spans="1:8" x14ac:dyDescent="0.25">
      <c r="A54" s="12">
        <f t="shared" si="0"/>
        <v>48</v>
      </c>
      <c r="B54" s="16"/>
      <c r="C54" s="14"/>
      <c r="D54" s="15"/>
      <c r="E54" s="16"/>
      <c r="F54" s="17"/>
      <c r="G54" s="18">
        <v>1</v>
      </c>
      <c r="H54" s="24"/>
    </row>
    <row r="55" spans="1:8" x14ac:dyDescent="0.25">
      <c r="A55" s="12">
        <f t="shared" si="0"/>
        <v>49</v>
      </c>
      <c r="B55" s="16"/>
      <c r="C55" s="14"/>
      <c r="D55" s="15"/>
      <c r="E55" s="16"/>
      <c r="F55" s="17"/>
      <c r="G55" s="18">
        <v>1</v>
      </c>
      <c r="H55" s="24"/>
    </row>
    <row r="56" spans="1:8" x14ac:dyDescent="0.25">
      <c r="A56" s="12">
        <f t="shared" si="0"/>
        <v>50</v>
      </c>
      <c r="B56" s="16"/>
      <c r="C56" s="14"/>
      <c r="D56" s="15"/>
      <c r="E56" s="16"/>
      <c r="F56" s="17"/>
      <c r="G56" s="18">
        <v>1</v>
      </c>
      <c r="H56" s="24"/>
    </row>
    <row r="57" spans="1:8" x14ac:dyDescent="0.25">
      <c r="A57" s="12">
        <f t="shared" si="0"/>
        <v>51</v>
      </c>
      <c r="B57" s="16"/>
      <c r="C57" s="14"/>
      <c r="D57" s="15"/>
      <c r="E57" s="16"/>
      <c r="F57" s="17"/>
      <c r="G57" s="18">
        <v>1</v>
      </c>
      <c r="H57" s="24"/>
    </row>
  </sheetData>
  <sortState ref="B7:F20">
    <sortCondition ref="E7:E20"/>
    <sortCondition ref="D7:D20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5</vt:i4>
      </vt:variant>
      <vt:variant>
        <vt:lpstr>Plages nommées</vt:lpstr>
      </vt:variant>
      <vt:variant>
        <vt:i4>5</vt:i4>
      </vt:variant>
    </vt:vector>
  </HeadingPairs>
  <TitlesOfParts>
    <vt:vector size="10" baseType="lpstr">
      <vt:lpstr>Janvier 2025</vt:lpstr>
      <vt:lpstr>Fevrier 2025</vt:lpstr>
      <vt:lpstr>Mars 2025</vt:lpstr>
      <vt:lpstr>Avril 2025</vt:lpstr>
      <vt:lpstr>MAI 2025</vt:lpstr>
      <vt:lpstr>'Avril 2025'!Impression_des_titres</vt:lpstr>
      <vt:lpstr>'Fevrier 2025'!Impression_des_titres</vt:lpstr>
      <vt:lpstr>'Janvier 2025'!Impression_des_titres</vt:lpstr>
      <vt:lpstr>'MAI 2025'!Impression_des_titres</vt:lpstr>
      <vt:lpstr>'Mars 2025'!Impression_des_titres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</dc:creator>
  <cp:lastModifiedBy>Lounnaci</cp:lastModifiedBy>
  <cp:lastPrinted>2025-04-16T09:24:09Z</cp:lastPrinted>
  <dcterms:created xsi:type="dcterms:W3CDTF">2019-01-07T07:24:45Z</dcterms:created>
  <dcterms:modified xsi:type="dcterms:W3CDTF">2025-05-06T12:03:17Z</dcterms:modified>
</cp:coreProperties>
</file>