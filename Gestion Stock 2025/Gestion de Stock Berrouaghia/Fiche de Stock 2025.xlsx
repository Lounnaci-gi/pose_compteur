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16B160F5-5625-46A8-9873-FCD891311584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5" sheetId="34" r:id="rId1"/>
    <sheet name="FEVRIER 2025" sheetId="35" r:id="rId2"/>
    <sheet name="MARS 2025" sheetId="36" r:id="rId3"/>
    <sheet name="AVRIL 2025" sheetId="37" r:id="rId4"/>
    <sheet name="MAI 2025" sheetId="38" r:id="rId5"/>
    <sheet name="JUIN 2025" sheetId="39" r:id="rId6"/>
    <sheet name="JUILLET 2025" sheetId="40" r:id="rId7"/>
    <sheet name="AOUT 2025" sheetId="41" r:id="rId8"/>
    <sheet name="SEPTEMBRE 2025" sheetId="42" r:id="rId9"/>
    <sheet name="OCTOBRE 2025" sheetId="43" r:id="rId10"/>
    <sheet name="NOVEMBRE 2025" sheetId="44" r:id="rId11"/>
    <sheet name="DECEMBRE 2025" sheetId="4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45" l="1"/>
  <c r="I40" i="45"/>
  <c r="H40" i="45"/>
  <c r="G40" i="45"/>
  <c r="E40" i="45"/>
  <c r="D40" i="45"/>
  <c r="C40" i="45"/>
  <c r="B40" i="45"/>
  <c r="K39" i="45"/>
  <c r="F39" i="45"/>
  <c r="L39" i="45" s="1"/>
  <c r="K38" i="45"/>
  <c r="F38" i="45"/>
  <c r="L38" i="45" s="1"/>
  <c r="K37" i="45"/>
  <c r="F37" i="45"/>
  <c r="L37" i="45" s="1"/>
  <c r="K36" i="45"/>
  <c r="F36" i="45"/>
  <c r="L36" i="45" s="1"/>
  <c r="K35" i="45"/>
  <c r="F35" i="45"/>
  <c r="L35" i="45" s="1"/>
  <c r="K34" i="45"/>
  <c r="F34" i="45"/>
  <c r="L34" i="45" s="1"/>
  <c r="K33" i="45"/>
  <c r="F33" i="45"/>
  <c r="L33" i="45" s="1"/>
  <c r="K32" i="45"/>
  <c r="F32" i="45"/>
  <c r="K31" i="45"/>
  <c r="F31" i="45"/>
  <c r="L31" i="45" s="1"/>
  <c r="K30" i="45"/>
  <c r="F30" i="45"/>
  <c r="L30" i="45" s="1"/>
  <c r="K29" i="45"/>
  <c r="F29" i="45"/>
  <c r="L29" i="45" s="1"/>
  <c r="K28" i="45"/>
  <c r="F28" i="45"/>
  <c r="L28" i="45" s="1"/>
  <c r="K27" i="45"/>
  <c r="F27" i="45"/>
  <c r="L27" i="45" s="1"/>
  <c r="K26" i="45"/>
  <c r="F26" i="45"/>
  <c r="K25" i="45"/>
  <c r="F25" i="45"/>
  <c r="L25" i="45" s="1"/>
  <c r="K24" i="45"/>
  <c r="F24" i="45"/>
  <c r="L24" i="45" s="1"/>
  <c r="K23" i="45"/>
  <c r="F23" i="45"/>
  <c r="L23" i="45" s="1"/>
  <c r="K22" i="45"/>
  <c r="F22" i="45"/>
  <c r="L22" i="45" s="1"/>
  <c r="K21" i="45"/>
  <c r="F21" i="45"/>
  <c r="L21" i="45" s="1"/>
  <c r="L20" i="45"/>
  <c r="K20" i="45"/>
  <c r="F20" i="45"/>
  <c r="K19" i="45"/>
  <c r="F19" i="45"/>
  <c r="L19" i="45" s="1"/>
  <c r="K18" i="45"/>
  <c r="F18" i="45"/>
  <c r="L18" i="45" s="1"/>
  <c r="K17" i="45"/>
  <c r="F17" i="45"/>
  <c r="L17" i="45" s="1"/>
  <c r="K16" i="45"/>
  <c r="L16" i="45" s="1"/>
  <c r="F16" i="45"/>
  <c r="K15" i="45"/>
  <c r="F15" i="45"/>
  <c r="K14" i="45"/>
  <c r="F14" i="45"/>
  <c r="L14" i="45" s="1"/>
  <c r="K13" i="45"/>
  <c r="F13" i="45"/>
  <c r="L13" i="45" s="1"/>
  <c r="K12" i="45"/>
  <c r="F12" i="45"/>
  <c r="L12" i="45" s="1"/>
  <c r="K11" i="45"/>
  <c r="F11" i="45"/>
  <c r="L11" i="45" s="1"/>
  <c r="K10" i="45"/>
  <c r="F10" i="45"/>
  <c r="L10" i="45" s="1"/>
  <c r="K9" i="45"/>
  <c r="K40" i="45" s="1"/>
  <c r="F9" i="45"/>
  <c r="L32" i="45" l="1"/>
  <c r="L9" i="45"/>
  <c r="L15" i="45"/>
  <c r="L26" i="45"/>
  <c r="F40" i="45"/>
  <c r="J40" i="44"/>
  <c r="I40" i="44"/>
  <c r="H40" i="44"/>
  <c r="G40" i="44"/>
  <c r="E40" i="44"/>
  <c r="D40" i="44"/>
  <c r="C40" i="44"/>
  <c r="B40" i="44"/>
  <c r="K39" i="44"/>
  <c r="F39" i="44"/>
  <c r="L39" i="44" s="1"/>
  <c r="K38" i="44"/>
  <c r="F38" i="44"/>
  <c r="L38" i="44" s="1"/>
  <c r="K37" i="44"/>
  <c r="F37" i="44"/>
  <c r="L37" i="44" s="1"/>
  <c r="K36" i="44"/>
  <c r="F36" i="44"/>
  <c r="L36" i="44" s="1"/>
  <c r="K35" i="44"/>
  <c r="F35" i="44"/>
  <c r="L35" i="44" s="1"/>
  <c r="K34" i="44"/>
  <c r="F34" i="44"/>
  <c r="K33" i="44"/>
  <c r="F33" i="44"/>
  <c r="L33" i="44" s="1"/>
  <c r="K32" i="44"/>
  <c r="F32" i="44"/>
  <c r="K31" i="44"/>
  <c r="F31" i="44"/>
  <c r="L31" i="44" s="1"/>
  <c r="K30" i="44"/>
  <c r="F30" i="44"/>
  <c r="L30" i="44" s="1"/>
  <c r="K29" i="44"/>
  <c r="F29" i="44"/>
  <c r="L29" i="44" s="1"/>
  <c r="K28" i="44"/>
  <c r="F28" i="44"/>
  <c r="L28" i="44" s="1"/>
  <c r="K27" i="44"/>
  <c r="F27" i="44"/>
  <c r="L27" i="44" s="1"/>
  <c r="K26" i="44"/>
  <c r="F26" i="44"/>
  <c r="K25" i="44"/>
  <c r="F25" i="44"/>
  <c r="L25" i="44" s="1"/>
  <c r="K24" i="44"/>
  <c r="F24" i="44"/>
  <c r="L24" i="44" s="1"/>
  <c r="K23" i="44"/>
  <c r="F23" i="44"/>
  <c r="L23" i="44" s="1"/>
  <c r="K22" i="44"/>
  <c r="F22" i="44"/>
  <c r="L22" i="44" s="1"/>
  <c r="K21" i="44"/>
  <c r="F21" i="44"/>
  <c r="K20" i="44"/>
  <c r="F20" i="44"/>
  <c r="K19" i="44"/>
  <c r="F19" i="44"/>
  <c r="L19" i="44" s="1"/>
  <c r="K18" i="44"/>
  <c r="F18" i="44"/>
  <c r="K17" i="44"/>
  <c r="F17" i="44"/>
  <c r="L17" i="44" s="1"/>
  <c r="K16" i="44"/>
  <c r="F16" i="44"/>
  <c r="K15" i="44"/>
  <c r="F15" i="44"/>
  <c r="L15" i="44" s="1"/>
  <c r="K14" i="44"/>
  <c r="F14" i="44"/>
  <c r="L14" i="44" s="1"/>
  <c r="K13" i="44"/>
  <c r="F13" i="44"/>
  <c r="L13" i="44" s="1"/>
  <c r="K12" i="44"/>
  <c r="F12" i="44"/>
  <c r="L12" i="44" s="1"/>
  <c r="K11" i="44"/>
  <c r="F11" i="44"/>
  <c r="L11" i="44" s="1"/>
  <c r="K10" i="44"/>
  <c r="F10" i="44"/>
  <c r="L10" i="44" s="1"/>
  <c r="K9" i="44"/>
  <c r="F9" i="44"/>
  <c r="L40" i="45" l="1"/>
  <c r="G46" i="45" s="1"/>
  <c r="G47" i="45" s="1"/>
  <c r="G49" i="45" s="1"/>
  <c r="L34" i="44"/>
  <c r="L32" i="44"/>
  <c r="L16" i="44"/>
  <c r="L21" i="44"/>
  <c r="L18" i="44"/>
  <c r="K40" i="44"/>
  <c r="L20" i="44"/>
  <c r="L26" i="44"/>
  <c r="F40" i="44"/>
  <c r="L9" i="44"/>
  <c r="J40" i="43"/>
  <c r="I40" i="43"/>
  <c r="H40" i="43"/>
  <c r="G40" i="43"/>
  <c r="E40" i="43"/>
  <c r="D40" i="43"/>
  <c r="C40" i="43"/>
  <c r="B40" i="43"/>
  <c r="K39" i="43"/>
  <c r="F39" i="43"/>
  <c r="L39" i="43" s="1"/>
  <c r="K38" i="43"/>
  <c r="F38" i="43"/>
  <c r="L38" i="43" s="1"/>
  <c r="K37" i="43"/>
  <c r="F37" i="43"/>
  <c r="L37" i="43" s="1"/>
  <c r="K36" i="43"/>
  <c r="F36" i="43"/>
  <c r="L36" i="43" s="1"/>
  <c r="K35" i="43"/>
  <c r="F35" i="43"/>
  <c r="K34" i="43"/>
  <c r="F34" i="43"/>
  <c r="K33" i="43"/>
  <c r="F33" i="43"/>
  <c r="L33" i="43" s="1"/>
  <c r="K32" i="43"/>
  <c r="F32" i="43"/>
  <c r="L32" i="43" s="1"/>
  <c r="K31" i="43"/>
  <c r="F31" i="43"/>
  <c r="L31" i="43" s="1"/>
  <c r="K30" i="43"/>
  <c r="F30" i="43"/>
  <c r="L30" i="43" s="1"/>
  <c r="K29" i="43"/>
  <c r="F29" i="43"/>
  <c r="K28" i="43"/>
  <c r="F28" i="43"/>
  <c r="L28" i="43" s="1"/>
  <c r="K27" i="43"/>
  <c r="F27" i="43"/>
  <c r="K26" i="43"/>
  <c r="F26" i="43"/>
  <c r="L26" i="43" s="1"/>
  <c r="K25" i="43"/>
  <c r="F25" i="43"/>
  <c r="K24" i="43"/>
  <c r="L24" i="43" s="1"/>
  <c r="F24" i="43"/>
  <c r="K23" i="43"/>
  <c r="F23" i="43"/>
  <c r="L23" i="43" s="1"/>
  <c r="K22" i="43"/>
  <c r="F22" i="43"/>
  <c r="L22" i="43" s="1"/>
  <c r="K21" i="43"/>
  <c r="F21" i="43"/>
  <c r="K20" i="43"/>
  <c r="F20" i="43"/>
  <c r="K19" i="43"/>
  <c r="F19" i="43"/>
  <c r="L19" i="43" s="1"/>
  <c r="K18" i="43"/>
  <c r="F18" i="43"/>
  <c r="K17" i="43"/>
  <c r="F17" i="43"/>
  <c r="L17" i="43" s="1"/>
  <c r="K16" i="43"/>
  <c r="F16" i="43"/>
  <c r="L16" i="43" s="1"/>
  <c r="K15" i="43"/>
  <c r="F15" i="43"/>
  <c r="L15" i="43" s="1"/>
  <c r="K14" i="43"/>
  <c r="F14" i="43"/>
  <c r="L14" i="43" s="1"/>
  <c r="K13" i="43"/>
  <c r="F13" i="43"/>
  <c r="K12" i="43"/>
  <c r="F12" i="43"/>
  <c r="L12" i="43" s="1"/>
  <c r="K11" i="43"/>
  <c r="F11" i="43"/>
  <c r="L11" i="43" s="1"/>
  <c r="K10" i="43"/>
  <c r="F10" i="43"/>
  <c r="K9" i="43"/>
  <c r="F9" i="43"/>
  <c r="L40" i="44" l="1"/>
  <c r="G46" i="44" s="1"/>
  <c r="G47" i="44" s="1"/>
  <c r="G49" i="44" s="1"/>
  <c r="L18" i="43"/>
  <c r="L35" i="43"/>
  <c r="L13" i="43"/>
  <c r="L21" i="43"/>
  <c r="L27" i="43"/>
  <c r="K40" i="43"/>
  <c r="L34" i="43"/>
  <c r="L29" i="43"/>
  <c r="L20" i="43"/>
  <c r="L25" i="43"/>
  <c r="L9" i="43"/>
  <c r="L10" i="43"/>
  <c r="L40" i="43" s="1"/>
  <c r="G46" i="43" s="1"/>
  <c r="G47" i="43" s="1"/>
  <c r="G49" i="43" s="1"/>
  <c r="F40" i="43"/>
  <c r="J40" i="42"/>
  <c r="I40" i="42"/>
  <c r="H40" i="42"/>
  <c r="G40" i="42"/>
  <c r="E40" i="42"/>
  <c r="D40" i="42"/>
  <c r="C40" i="42"/>
  <c r="B40" i="42"/>
  <c r="K39" i="42"/>
  <c r="F39" i="42"/>
  <c r="K38" i="42"/>
  <c r="F38" i="42"/>
  <c r="K37" i="42"/>
  <c r="F37" i="42"/>
  <c r="L37" i="42" s="1"/>
  <c r="K36" i="42"/>
  <c r="F36" i="42"/>
  <c r="L36" i="42" s="1"/>
  <c r="K35" i="42"/>
  <c r="F35" i="42"/>
  <c r="K34" i="42"/>
  <c r="F34" i="42"/>
  <c r="L34" i="42" s="1"/>
  <c r="K33" i="42"/>
  <c r="F33" i="42"/>
  <c r="L33" i="42" s="1"/>
  <c r="K32" i="42"/>
  <c r="F32" i="42"/>
  <c r="K31" i="42"/>
  <c r="F31" i="42"/>
  <c r="K30" i="42"/>
  <c r="F30" i="42"/>
  <c r="K29" i="42"/>
  <c r="F29" i="42"/>
  <c r="L29" i="42" s="1"/>
  <c r="K28" i="42"/>
  <c r="F28" i="42"/>
  <c r="L28" i="42" s="1"/>
  <c r="K27" i="42"/>
  <c r="F27" i="42"/>
  <c r="K26" i="42"/>
  <c r="F26" i="42"/>
  <c r="K25" i="42"/>
  <c r="F25" i="42"/>
  <c r="L25" i="42" s="1"/>
  <c r="K24" i="42"/>
  <c r="F24" i="42"/>
  <c r="K23" i="42"/>
  <c r="F23" i="42"/>
  <c r="K22" i="42"/>
  <c r="F22" i="42"/>
  <c r="K21" i="42"/>
  <c r="F21" i="42"/>
  <c r="L21" i="42" s="1"/>
  <c r="K20" i="42"/>
  <c r="F20" i="42"/>
  <c r="K19" i="42"/>
  <c r="F19" i="42"/>
  <c r="K18" i="42"/>
  <c r="F18" i="42"/>
  <c r="L18" i="42" s="1"/>
  <c r="K17" i="42"/>
  <c r="F17" i="42"/>
  <c r="L17" i="42" s="1"/>
  <c r="K16" i="42"/>
  <c r="F16" i="42"/>
  <c r="K15" i="42"/>
  <c r="F15" i="42"/>
  <c r="K14" i="42"/>
  <c r="F14" i="42"/>
  <c r="K13" i="42"/>
  <c r="F13" i="42"/>
  <c r="K12" i="42"/>
  <c r="F12" i="42"/>
  <c r="K11" i="42"/>
  <c r="F11" i="42"/>
  <c r="K10" i="42"/>
  <c r="F10" i="42"/>
  <c r="K9" i="42"/>
  <c r="F9" i="42"/>
  <c r="L39" i="42" l="1"/>
  <c r="L12" i="42"/>
  <c r="L14" i="42"/>
  <c r="L20" i="42"/>
  <c r="L38" i="42"/>
  <c r="L32" i="42"/>
  <c r="L26" i="42"/>
  <c r="L24" i="42"/>
  <c r="L23" i="42"/>
  <c r="L22" i="42"/>
  <c r="L16" i="42"/>
  <c r="L10" i="42"/>
  <c r="L9" i="42"/>
  <c r="K40" i="42"/>
  <c r="L13" i="42"/>
  <c r="L30" i="42"/>
  <c r="L27" i="42"/>
  <c r="L15" i="42"/>
  <c r="L31" i="42"/>
  <c r="L11" i="42"/>
  <c r="L19" i="42"/>
  <c r="L35" i="42"/>
  <c r="F40" i="42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K36" i="41"/>
  <c r="F36" i="41"/>
  <c r="K35" i="41"/>
  <c r="F35" i="41"/>
  <c r="L35" i="41" s="1"/>
  <c r="K34" i="41"/>
  <c r="F34" i="41"/>
  <c r="K33" i="41"/>
  <c r="F33" i="41"/>
  <c r="L33" i="41" s="1"/>
  <c r="K32" i="41"/>
  <c r="F32" i="41"/>
  <c r="K31" i="41"/>
  <c r="F31" i="41"/>
  <c r="K30" i="41"/>
  <c r="F30" i="41"/>
  <c r="K29" i="41"/>
  <c r="F29" i="41"/>
  <c r="L29" i="41" s="1"/>
  <c r="K28" i="41"/>
  <c r="F28" i="41"/>
  <c r="L28" i="41" s="1"/>
  <c r="K27" i="41"/>
  <c r="F27" i="41"/>
  <c r="L27" i="41" s="1"/>
  <c r="K26" i="41"/>
  <c r="F26" i="41"/>
  <c r="K25" i="41"/>
  <c r="F25" i="4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K19" i="41"/>
  <c r="F19" i="41"/>
  <c r="K18" i="41"/>
  <c r="F18" i="41"/>
  <c r="L18" i="41" s="1"/>
  <c r="K17" i="41"/>
  <c r="F17" i="41"/>
  <c r="K16" i="41"/>
  <c r="F16" i="41"/>
  <c r="L16" i="41" s="1"/>
  <c r="K15" i="41"/>
  <c r="F15" i="41"/>
  <c r="K14" i="41"/>
  <c r="F14" i="41"/>
  <c r="L14" i="41" s="1"/>
  <c r="K13" i="41"/>
  <c r="F13" i="41"/>
  <c r="K12" i="41"/>
  <c r="F12" i="41"/>
  <c r="K11" i="41"/>
  <c r="F11" i="41"/>
  <c r="L11" i="41" s="1"/>
  <c r="K10" i="41"/>
  <c r="F10" i="41"/>
  <c r="L10" i="41" s="1"/>
  <c r="K9" i="41"/>
  <c r="F9" i="41"/>
  <c r="L25" i="41" l="1"/>
  <c r="L31" i="41"/>
  <c r="L40" i="42"/>
  <c r="G46" i="42" s="1"/>
  <c r="G47" i="42" s="1"/>
  <c r="G49" i="42" s="1"/>
  <c r="L36" i="41"/>
  <c r="L26" i="41"/>
  <c r="L20" i="41"/>
  <c r="L12" i="41"/>
  <c r="K40" i="41"/>
  <c r="L37" i="41"/>
  <c r="L9" i="41"/>
  <c r="L13" i="41"/>
  <c r="L15" i="41"/>
  <c r="L17" i="41"/>
  <c r="L19" i="41"/>
  <c r="L30" i="41"/>
  <c r="L32" i="41"/>
  <c r="L34" i="41"/>
  <c r="F40" i="41"/>
  <c r="J40" i="40"/>
  <c r="I40" i="40"/>
  <c r="H40" i="40"/>
  <c r="G40" i="40"/>
  <c r="E40" i="40"/>
  <c r="D40" i="40"/>
  <c r="C40" i="40"/>
  <c r="B40" i="40"/>
  <c r="K39" i="40"/>
  <c r="F39" i="40"/>
  <c r="K38" i="40"/>
  <c r="F38" i="40"/>
  <c r="L38" i="40" s="1"/>
  <c r="K37" i="40"/>
  <c r="F37" i="40"/>
  <c r="K36" i="40"/>
  <c r="F36" i="40"/>
  <c r="K35" i="40"/>
  <c r="F35" i="40"/>
  <c r="K34" i="40"/>
  <c r="F34" i="40"/>
  <c r="L34" i="40" s="1"/>
  <c r="K33" i="40"/>
  <c r="F33" i="40"/>
  <c r="K32" i="40"/>
  <c r="F32" i="40"/>
  <c r="K31" i="40"/>
  <c r="F31" i="40"/>
  <c r="K30" i="40"/>
  <c r="F30" i="40"/>
  <c r="K29" i="40"/>
  <c r="F29" i="40"/>
  <c r="L29" i="40" s="1"/>
  <c r="K28" i="40"/>
  <c r="F28" i="40"/>
  <c r="L28" i="40" s="1"/>
  <c r="K27" i="40"/>
  <c r="F27" i="40"/>
  <c r="K26" i="40"/>
  <c r="F26" i="40"/>
  <c r="K25" i="40"/>
  <c r="F25" i="40"/>
  <c r="L25" i="40" s="1"/>
  <c r="K24" i="40"/>
  <c r="F24" i="40"/>
  <c r="K23" i="40"/>
  <c r="F23" i="40"/>
  <c r="K22" i="40"/>
  <c r="F22" i="40"/>
  <c r="K21" i="40"/>
  <c r="F21" i="40"/>
  <c r="L21" i="40" s="1"/>
  <c r="K20" i="40"/>
  <c r="F20" i="40"/>
  <c r="K19" i="40"/>
  <c r="F19" i="40"/>
  <c r="K18" i="40"/>
  <c r="F18" i="40"/>
  <c r="K17" i="40"/>
  <c r="F17" i="40"/>
  <c r="L17" i="40" s="1"/>
  <c r="K16" i="40"/>
  <c r="F16" i="40"/>
  <c r="L16" i="40" s="1"/>
  <c r="K15" i="40"/>
  <c r="F15" i="40"/>
  <c r="K14" i="40"/>
  <c r="F14" i="40"/>
  <c r="L14" i="40" s="1"/>
  <c r="K13" i="40"/>
  <c r="F13" i="40"/>
  <c r="K12" i="40"/>
  <c r="F12" i="40"/>
  <c r="K11" i="40"/>
  <c r="F11" i="40"/>
  <c r="K10" i="40"/>
  <c r="F10" i="40"/>
  <c r="L10" i="40" s="1"/>
  <c r="K9" i="40"/>
  <c r="F9" i="40"/>
  <c r="L23" i="40" l="1"/>
  <c r="L12" i="40"/>
  <c r="L32" i="40"/>
  <c r="L39" i="40"/>
  <c r="L40" i="41"/>
  <c r="G46" i="41" s="1"/>
  <c r="G47" i="41" s="1"/>
  <c r="G49" i="41" s="1"/>
  <c r="L36" i="40"/>
  <c r="L9" i="40"/>
  <c r="L18" i="40"/>
  <c r="L20" i="40"/>
  <c r="L22" i="40"/>
  <c r="L24" i="40"/>
  <c r="L26" i="40"/>
  <c r="L33" i="40"/>
  <c r="K40" i="40"/>
  <c r="L13" i="40"/>
  <c r="L30" i="40"/>
  <c r="L37" i="40"/>
  <c r="L11" i="40"/>
  <c r="L27" i="40"/>
  <c r="L15" i="40"/>
  <c r="L31" i="40"/>
  <c r="L19" i="40"/>
  <c r="L35" i="40"/>
  <c r="F40" i="40"/>
  <c r="J40" i="39"/>
  <c r="I40" i="39"/>
  <c r="H40" i="39"/>
  <c r="G40" i="39"/>
  <c r="E40" i="39"/>
  <c r="D40" i="39"/>
  <c r="C40" i="39"/>
  <c r="B40" i="39"/>
  <c r="K39" i="39"/>
  <c r="F39" i="39"/>
  <c r="L39" i="39" s="1"/>
  <c r="K38" i="39"/>
  <c r="F38" i="39"/>
  <c r="L38" i="39" s="1"/>
  <c r="K37" i="39"/>
  <c r="F37" i="39"/>
  <c r="L37" i="39" s="1"/>
  <c r="K36" i="39"/>
  <c r="F36" i="39"/>
  <c r="K35" i="39"/>
  <c r="F35" i="39"/>
  <c r="L35" i="39" s="1"/>
  <c r="K34" i="39"/>
  <c r="F34" i="39"/>
  <c r="L34" i="39" s="1"/>
  <c r="K33" i="39"/>
  <c r="F33" i="39"/>
  <c r="L33" i="39" s="1"/>
  <c r="K32" i="39"/>
  <c r="F32" i="39"/>
  <c r="K31" i="39"/>
  <c r="F31" i="39"/>
  <c r="L31" i="39" s="1"/>
  <c r="K30" i="39"/>
  <c r="F30" i="39"/>
  <c r="K29" i="39"/>
  <c r="F29" i="39"/>
  <c r="L29" i="39" s="1"/>
  <c r="K28" i="39"/>
  <c r="F28" i="39"/>
  <c r="K27" i="39"/>
  <c r="F27" i="39"/>
  <c r="K26" i="39"/>
  <c r="F26" i="39"/>
  <c r="K25" i="39"/>
  <c r="F25" i="39"/>
  <c r="K24" i="39"/>
  <c r="F24" i="39"/>
  <c r="K23" i="39"/>
  <c r="F23" i="39"/>
  <c r="K22" i="39"/>
  <c r="F22" i="39"/>
  <c r="K21" i="39"/>
  <c r="F21" i="39"/>
  <c r="K20" i="39"/>
  <c r="F20" i="39"/>
  <c r="K19" i="39"/>
  <c r="F19" i="39"/>
  <c r="L19" i="39" s="1"/>
  <c r="K18" i="39"/>
  <c r="F18" i="39"/>
  <c r="L18" i="39" s="1"/>
  <c r="K17" i="39"/>
  <c r="F17" i="39"/>
  <c r="L17" i="39" s="1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K11" i="39"/>
  <c r="F11" i="39"/>
  <c r="L11" i="39" s="1"/>
  <c r="K10" i="39"/>
  <c r="F10" i="39"/>
  <c r="K9" i="39"/>
  <c r="F9" i="39"/>
  <c r="L21" i="39" l="1"/>
  <c r="L16" i="39"/>
  <c r="L30" i="39"/>
  <c r="L26" i="39"/>
  <c r="L40" i="40"/>
  <c r="G46" i="40" s="1"/>
  <c r="G47" i="40" s="1"/>
  <c r="G49" i="40" s="1"/>
  <c r="L32" i="39"/>
  <c r="L27" i="39"/>
  <c r="L25" i="39"/>
  <c r="L23" i="39"/>
  <c r="L9" i="39"/>
  <c r="K40" i="39"/>
  <c r="L10" i="39"/>
  <c r="L14" i="39"/>
  <c r="L22" i="39"/>
  <c r="L36" i="39"/>
  <c r="L24" i="39"/>
  <c r="L20" i="39"/>
  <c r="F40" i="39"/>
  <c r="L12" i="39"/>
  <c r="L28" i="39"/>
  <c r="J40" i="38"/>
  <c r="I40" i="38"/>
  <c r="H40" i="38"/>
  <c r="G40" i="38"/>
  <c r="E40" i="38"/>
  <c r="D40" i="38"/>
  <c r="C40" i="38"/>
  <c r="B40" i="38"/>
  <c r="K39" i="38"/>
  <c r="F39" i="38"/>
  <c r="L39" i="38" s="1"/>
  <c r="K38" i="38"/>
  <c r="F38" i="38"/>
  <c r="K37" i="38"/>
  <c r="F37" i="38"/>
  <c r="L37" i="38" s="1"/>
  <c r="K36" i="38"/>
  <c r="F36" i="38"/>
  <c r="K35" i="38"/>
  <c r="F35" i="38"/>
  <c r="L35" i="38" s="1"/>
  <c r="K34" i="38"/>
  <c r="F34" i="38"/>
  <c r="L34" i="38" s="1"/>
  <c r="K33" i="38"/>
  <c r="F33" i="38"/>
  <c r="K32" i="38"/>
  <c r="F32" i="38"/>
  <c r="K31" i="38"/>
  <c r="F31" i="38"/>
  <c r="L31" i="38" s="1"/>
  <c r="K30" i="38"/>
  <c r="F30" i="38"/>
  <c r="K29" i="38"/>
  <c r="F29" i="38"/>
  <c r="K28" i="38"/>
  <c r="F28" i="38"/>
  <c r="K27" i="38"/>
  <c r="F27" i="38"/>
  <c r="L27" i="38" s="1"/>
  <c r="K26" i="38"/>
  <c r="F26" i="38"/>
  <c r="K25" i="38"/>
  <c r="F25" i="38"/>
  <c r="K24" i="38"/>
  <c r="F24" i="38"/>
  <c r="K23" i="38"/>
  <c r="F23" i="38"/>
  <c r="L23" i="38" s="1"/>
  <c r="K22" i="38"/>
  <c r="F22" i="38"/>
  <c r="K21" i="38"/>
  <c r="F21" i="38"/>
  <c r="K20" i="38"/>
  <c r="F20" i="38"/>
  <c r="K19" i="38"/>
  <c r="F19" i="38"/>
  <c r="L19" i="38" s="1"/>
  <c r="K18" i="38"/>
  <c r="F18" i="38"/>
  <c r="K17" i="38"/>
  <c r="F17" i="38"/>
  <c r="L17" i="38" s="1"/>
  <c r="K16" i="38"/>
  <c r="F16" i="38"/>
  <c r="K15" i="38"/>
  <c r="F15" i="38"/>
  <c r="K14" i="38"/>
  <c r="F14" i="38"/>
  <c r="K13" i="38"/>
  <c r="F13" i="38"/>
  <c r="K12" i="38"/>
  <c r="F12" i="38"/>
  <c r="K11" i="38"/>
  <c r="F11" i="38"/>
  <c r="K10" i="38"/>
  <c r="F10" i="38"/>
  <c r="K9" i="38"/>
  <c r="F9" i="38"/>
  <c r="L32" i="38" l="1"/>
  <c r="L16" i="38"/>
  <c r="L36" i="38"/>
  <c r="L12" i="38"/>
  <c r="L38" i="38"/>
  <c r="L40" i="39"/>
  <c r="G46" i="39" s="1"/>
  <c r="G47" i="39" s="1"/>
  <c r="G49" i="39" s="1"/>
  <c r="L33" i="38"/>
  <c r="L28" i="38"/>
  <c r="L21" i="38"/>
  <c r="L14" i="38"/>
  <c r="L9" i="38"/>
  <c r="L11" i="38"/>
  <c r="L18" i="38"/>
  <c r="L20" i="38"/>
  <c r="L22" i="38"/>
  <c r="L24" i="38"/>
  <c r="L26" i="38"/>
  <c r="K40" i="38"/>
  <c r="L13" i="38"/>
  <c r="L15" i="38"/>
  <c r="L30" i="38"/>
  <c r="F40" i="38"/>
  <c r="L29" i="38"/>
  <c r="L25" i="38"/>
  <c r="L10" i="38"/>
  <c r="J40" i="37"/>
  <c r="I40" i="37"/>
  <c r="H40" i="37"/>
  <c r="G40" i="37"/>
  <c r="E40" i="37"/>
  <c r="D40" i="37"/>
  <c r="C40" i="37"/>
  <c r="B40" i="37"/>
  <c r="K39" i="37"/>
  <c r="F39" i="37"/>
  <c r="K38" i="37"/>
  <c r="F38" i="37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K32" i="37"/>
  <c r="L32" i="37" s="1"/>
  <c r="F32" i="37"/>
  <c r="K31" i="37"/>
  <c r="F31" i="37"/>
  <c r="K30" i="37"/>
  <c r="F30" i="37"/>
  <c r="K29" i="37"/>
  <c r="F29" i="37"/>
  <c r="L29" i="37" s="1"/>
  <c r="K28" i="37"/>
  <c r="F28" i="37"/>
  <c r="K27" i="37"/>
  <c r="F27" i="37"/>
  <c r="K26" i="37"/>
  <c r="F26" i="37"/>
  <c r="K25" i="37"/>
  <c r="F25" i="37"/>
  <c r="K24" i="37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K16" i="37"/>
  <c r="F16" i="37"/>
  <c r="L16" i="37" s="1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L28" i="37" l="1"/>
  <c r="L39" i="37"/>
  <c r="L24" i="37"/>
  <c r="L26" i="37"/>
  <c r="L38" i="37"/>
  <c r="L40" i="38"/>
  <c r="G46" i="38" s="1"/>
  <c r="G47" i="38" s="1"/>
  <c r="G49" i="38" s="1"/>
  <c r="K40" i="37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L37" i="36" s="1"/>
  <c r="F37" i="36"/>
  <c r="K36" i="36"/>
  <c r="F36" i="36"/>
  <c r="K35" i="36"/>
  <c r="F35" i="36"/>
  <c r="L35" i="36" s="1"/>
  <c r="K34" i="36"/>
  <c r="F34" i="36"/>
  <c r="L34" i="36" s="1"/>
  <c r="K33" i="36"/>
  <c r="F33" i="36"/>
  <c r="L33" i="36" s="1"/>
  <c r="K32" i="36"/>
  <c r="F32" i="36"/>
  <c r="K31" i="36"/>
  <c r="F31" i="36"/>
  <c r="K30" i="36"/>
  <c r="F30" i="36"/>
  <c r="L30" i="36" s="1"/>
  <c r="K29" i="36"/>
  <c r="F29" i="36"/>
  <c r="L29" i="36" s="1"/>
  <c r="K28" i="36"/>
  <c r="F28" i="36"/>
  <c r="K27" i="36"/>
  <c r="F27" i="36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K21" i="36"/>
  <c r="F21" i="36"/>
  <c r="L21" i="36" s="1"/>
  <c r="K20" i="36"/>
  <c r="L20" i="36" s="1"/>
  <c r="F20" i="36"/>
  <c r="K19" i="36"/>
  <c r="F19" i="36"/>
  <c r="L19" i="36" s="1"/>
  <c r="K18" i="36"/>
  <c r="F18" i="36"/>
  <c r="L18" i="36" s="1"/>
  <c r="K17" i="36"/>
  <c r="F17" i="36"/>
  <c r="L17" i="36" s="1"/>
  <c r="K16" i="36"/>
  <c r="F16" i="36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K10" i="36"/>
  <c r="F10" i="36"/>
  <c r="K9" i="36"/>
  <c r="L9" i="36" s="1"/>
  <c r="F9" i="36"/>
  <c r="L27" i="36" l="1"/>
  <c r="L32" i="36"/>
  <c r="L16" i="36"/>
  <c r="L36" i="36"/>
  <c r="L12" i="36"/>
  <c r="L31" i="36"/>
  <c r="L40" i="37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K36" i="35"/>
  <c r="F36" i="35"/>
  <c r="L36" i="35" s="1"/>
  <c r="K35" i="35"/>
  <c r="F35" i="35"/>
  <c r="K34" i="35"/>
  <c r="F34" i="35"/>
  <c r="L34" i="35" s="1"/>
  <c r="K33" i="35"/>
  <c r="F33" i="35"/>
  <c r="L33" i="35" s="1"/>
  <c r="K32" i="35"/>
  <c r="F32" i="35"/>
  <c r="L32" i="35" s="1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F23" i="35"/>
  <c r="K22" i="35"/>
  <c r="F22" i="35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F15" i="35"/>
  <c r="K14" i="35"/>
  <c r="F14" i="35"/>
  <c r="L14" i="35" s="1"/>
  <c r="K13" i="35"/>
  <c r="F13" i="35"/>
  <c r="L13" i="35" s="1"/>
  <c r="K12" i="35"/>
  <c r="F12" i="35"/>
  <c r="L12" i="35" s="1"/>
  <c r="K11" i="35"/>
  <c r="L11" i="35" s="1"/>
  <c r="F11" i="35"/>
  <c r="K10" i="35"/>
  <c r="F10" i="35"/>
  <c r="L10" i="35" s="1"/>
  <c r="K9" i="35"/>
  <c r="F9" i="35"/>
  <c r="L9" i="35" s="1"/>
  <c r="L23" i="35" l="1"/>
  <c r="L15" i="35"/>
  <c r="L22" i="35"/>
  <c r="L40" i="36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40" i="35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<sst xmlns="http://schemas.openxmlformats.org/spreadsheetml/2006/main" count="449" uniqueCount="79">
  <si>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</si>
  <si>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</si>
  <si>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</si>
  <si>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</si>
  <si>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</si>
  <si>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</si>
  <si>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</si>
  <si>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</si>
  <si>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</si>
  <si>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</si>
  <si>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</si>
  <si>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</si>
  <si>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</si>
  <si>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</si>
  <si>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</si>
  <si>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</si>
  <si>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</si>
  <si>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</si>
  <si>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</si>
  <si>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</si>
  <si>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</si>
  <si>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</si>
  <si>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</si>
  <si>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</si>
  <si>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</si>
  <si>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</si>
  <si>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</si>
  <si>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</si>
  <si>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</si>
  <si>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</si>
  <si>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</si>
  <si>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</si>
  <si>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</si>
  <si>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</si>
  <si>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</si>
  <si>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</si>
  <si>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</si>
  <si>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</si>
  <si>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</si>
  <si>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</si>
  <si>
    <t>Mois de MAI 2025</t>
  </si>
  <si>
    <t>01 Compteurs DN 20/27 Destination Antenne Tlathet douairs</t>
  </si>
  <si>
    <t>01 Compteurs DN 20/27 Destination Antenne Ouled Dheid</t>
  </si>
  <si>
    <t>37 Compteurs DN 15/21 Destination Antenne Ouled Dhied</t>
  </si>
  <si>
    <t>32 Compteurs DN 15/21 Destination Antenne Zoubiria</t>
  </si>
  <si>
    <t>06 Compteurs DN 15/21 Destination Antenne Tlathet douairs</t>
  </si>
  <si>
    <t>Mois de JUIN 2025</t>
  </si>
  <si>
    <t>15 Compteurs DN 15/21 Destination Antenne Ouled dhied</t>
  </si>
  <si>
    <t>46 Compteurs DN 15/21 Destination Antenne Zoubiria</t>
  </si>
  <si>
    <t>6 Compteurs DN 15/21 Destination Antenne Tlathet douairs</t>
  </si>
  <si>
    <t>1 Compteurs DN 15/21 Destination Antenne Robea</t>
  </si>
  <si>
    <t>Mois de JUILLET 2025</t>
  </si>
  <si>
    <t>01 Compteurs DN 15/21 Destination Antenne Tlathet douairs</t>
  </si>
  <si>
    <t>08 Compteurs DN 15/21 Destination Antenne Ouled dhied</t>
  </si>
  <si>
    <t>09 Compteurs DN 15/21 Destination Antenne Zoubiria</t>
  </si>
  <si>
    <t>05 Compteurs DN 15/21 Destination Antenne Seghouane</t>
  </si>
  <si>
    <t>Mois de AOUT 2025</t>
  </si>
  <si>
    <t>28 Compteurs DN 15/21 Destination Antenne Tlathet Douairs</t>
  </si>
  <si>
    <t>03 Compteurs DN 15/21 Destination Antenne Robea</t>
  </si>
  <si>
    <t>05 Compteurs DN 15/21 Destination Antenne Ouled dhied</t>
  </si>
  <si>
    <t>01 Compteurs DN 40 Destination Antenne Ouled dhied</t>
  </si>
  <si>
    <t>Mois de SEPTEMBE 2025</t>
  </si>
  <si>
    <t>12 Compteurs DN 15/21 Destination Antenne Ouled dhied</t>
  </si>
  <si>
    <t>02 Compteurs DN 40 Destination Antenne Tlathet douairs</t>
  </si>
  <si>
    <t>02 Compteurs DN 15/21 Destination Antenne Robea</t>
  </si>
  <si>
    <t>01 Compteurs DN 20/27 Destination Antenne Seghouane</t>
  </si>
  <si>
    <t>03 Compteurs DN 15/21 Destination Antenne Zoubiria</t>
  </si>
  <si>
    <t>75 Compteurs DN 15/21 Destination Antenne Tlathet douairs</t>
  </si>
  <si>
    <t>03 Compteurs DN 15/21 Destination Antenne Seghouane</t>
  </si>
  <si>
    <t>Mois de OCTOBRE 2025</t>
  </si>
  <si>
    <t>02 Compteurs DN 15/21 Destination Antenne Ouled dhied</t>
  </si>
  <si>
    <t>173 Compteurs DN 15/21 Destination Antenne Tlathet douairs</t>
  </si>
  <si>
    <t>Mois de NOVEMBRE 2025</t>
  </si>
  <si>
    <t>02 Compteurs DN 15/21 Destination Antenne Seghouane</t>
  </si>
  <si>
    <t>18 Compteurs DN 15/21 Destination Antenne Tlathet douairs</t>
  </si>
  <si>
    <t>03 Compteurs DN 15/21 Destination Antenne Ouled dhied</t>
  </si>
  <si>
    <t>05 Compteurs DN 15/21 Destination Antenne Zoubiria</t>
  </si>
  <si>
    <t>01 Compteurs DN 30 Destination Unité Médéa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</si>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</sst>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E64989-4734-4B67-98E4-2CDACD952AB7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5D74616-FCA8-4B22-A258-B544DEFE68D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28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8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100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13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87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87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0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30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87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22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65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64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1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L57"/>
  <sheetViews>
    <sheetView topLeftCell="A43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36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3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</v>
      </c>
      <c r="C40" s="46">
        <f t="shared" ref="C40:E40" si="3">SUM(C9:C39)</f>
        <v>0</v>
      </c>
      <c r="D40" s="46">
        <f t="shared" si="3"/>
        <v>1</v>
      </c>
      <c r="E40" s="46">
        <f t="shared" si="3"/>
        <v>1</v>
      </c>
      <c r="F40" s="45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64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5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54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15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6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9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L56"/>
  <sheetViews>
    <sheetView topLeftCell="A36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37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25</v>
      </c>
      <c r="H32" s="25"/>
      <c r="I32" s="30">
        <v>1</v>
      </c>
      <c r="J32" s="30"/>
      <c r="K32" s="15">
        <f t="shared" si="1"/>
        <v>26</v>
      </c>
      <c r="L32" s="7">
        <f t="shared" si="2"/>
        <v>26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>
        <v>8</v>
      </c>
      <c r="H36" s="25"/>
      <c r="I36" s="25"/>
      <c r="J36" s="22"/>
      <c r="K36" s="15">
        <f t="shared" si="1"/>
        <v>8</v>
      </c>
      <c r="L36" s="7">
        <f t="shared" si="2"/>
        <v>8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5</v>
      </c>
      <c r="C40" s="46">
        <f t="shared" ref="C40:E40" si="3">SUM(C9:C39)</f>
        <v>1</v>
      </c>
      <c r="D40" s="46">
        <f t="shared" si="3"/>
        <v>0</v>
      </c>
      <c r="E40" s="46">
        <f t="shared" si="3"/>
        <v>0</v>
      </c>
      <c r="F40" s="45">
        <f>SUM(F9:F39)</f>
        <v>6</v>
      </c>
      <c r="G40" s="16">
        <f>SUM(G9:G39)</f>
        <v>35</v>
      </c>
      <c r="H40" s="16">
        <f t="shared" ref="H40:L40" si="4">SUM(H9:H39)</f>
        <v>0</v>
      </c>
      <c r="I40" s="16">
        <f t="shared" si="4"/>
        <v>2</v>
      </c>
      <c r="J40" s="16">
        <f t="shared" si="4"/>
        <v>1</v>
      </c>
      <c r="K40" s="16">
        <f t="shared" si="4"/>
        <v>38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6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110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44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72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67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5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L58"/>
  <sheetViews>
    <sheetView topLeftCell="A37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40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2</v>
      </c>
      <c r="C12" s="25"/>
      <c r="D12" s="25"/>
      <c r="E12" s="23"/>
      <c r="F12" s="17">
        <f t="shared" si="0"/>
        <v>2</v>
      </c>
      <c r="G12" s="30">
        <v>5</v>
      </c>
      <c r="H12" s="25"/>
      <c r="I12" s="25"/>
      <c r="J12" s="22"/>
      <c r="K12" s="15">
        <f t="shared" si="1"/>
        <v>5</v>
      </c>
      <c r="L12" s="7">
        <f t="shared" si="2"/>
        <v>7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7</v>
      </c>
      <c r="H13" s="25"/>
      <c r="I13" s="25"/>
      <c r="J13" s="22"/>
      <c r="K13" s="15">
        <f t="shared" si="1"/>
        <v>7</v>
      </c>
      <c r="L13" s="7">
        <f t="shared" si="2"/>
        <v>7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>
        <v>1</v>
      </c>
      <c r="H14" s="25"/>
      <c r="I14" s="25">
        <v>1</v>
      </c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>
        <v>1</v>
      </c>
      <c r="J16" s="30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>
        <v>10</v>
      </c>
      <c r="H21" s="25"/>
      <c r="I21" s="25"/>
      <c r="J21" s="30"/>
      <c r="K21" s="15">
        <f t="shared" si="1"/>
        <v>10</v>
      </c>
      <c r="L21" s="7">
        <f t="shared" si="2"/>
        <v>12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19</v>
      </c>
      <c r="H22" s="25"/>
      <c r="I22" s="25"/>
      <c r="J22" s="30"/>
      <c r="K22" s="15">
        <f t="shared" si="1"/>
        <v>19</v>
      </c>
      <c r="L22" s="7">
        <f t="shared" si="2"/>
        <v>20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9</v>
      </c>
      <c r="H23" s="25"/>
      <c r="I23" s="25"/>
      <c r="J23" s="30"/>
      <c r="K23" s="15">
        <f t="shared" si="1"/>
        <v>9</v>
      </c>
      <c r="L23" s="7">
        <f t="shared" si="2"/>
        <v>9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5"/>
      <c r="D26" s="25"/>
      <c r="E26" s="24"/>
      <c r="F26" s="17">
        <f t="shared" si="0"/>
        <v>1</v>
      </c>
      <c r="G26" s="30"/>
      <c r="H26" s="25"/>
      <c r="I26" s="25"/>
      <c r="J26" s="30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>
        <v>2</v>
      </c>
      <c r="H28" s="25"/>
      <c r="I28" s="25"/>
      <c r="J28" s="30"/>
      <c r="K28" s="15">
        <f t="shared" si="1"/>
        <v>2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>
        <v>7</v>
      </c>
      <c r="H30" s="25"/>
      <c r="I30" s="25"/>
      <c r="J30" s="30"/>
      <c r="K30" s="15">
        <f t="shared" si="1"/>
        <v>7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4</v>
      </c>
      <c r="C33" s="22"/>
      <c r="D33" s="25"/>
      <c r="E33" s="23"/>
      <c r="F33" s="17">
        <f t="shared" si="0"/>
        <v>4</v>
      </c>
      <c r="G33" s="30"/>
      <c r="H33" s="22"/>
      <c r="I33" s="30"/>
      <c r="J33" s="30"/>
      <c r="K33" s="15">
        <f t="shared" si="1"/>
        <v>0</v>
      </c>
      <c r="L33" s="7">
        <f t="shared" si="2"/>
        <v>4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/>
      <c r="H34" s="25">
        <v>1</v>
      </c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2</v>
      </c>
      <c r="C37" s="25"/>
      <c r="D37" s="22"/>
      <c r="E37" s="23"/>
      <c r="F37" s="17">
        <f t="shared" si="0"/>
        <v>2</v>
      </c>
      <c r="G37" s="30"/>
      <c r="H37" s="25"/>
      <c r="I37" s="22"/>
      <c r="J37" s="22"/>
      <c r="K37" s="15">
        <f t="shared" si="1"/>
        <v>0</v>
      </c>
      <c r="L37" s="7">
        <f t="shared" si="2"/>
        <v>2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17</v>
      </c>
      <c r="G40" s="16">
        <f>SUM(G9:G39)</f>
        <v>61</v>
      </c>
      <c r="H40" s="16">
        <f t="shared" ref="H40:L40" si="4">SUM(H9:H39)</f>
        <v>1</v>
      </c>
      <c r="I40" s="16">
        <f t="shared" si="4"/>
        <v>2</v>
      </c>
      <c r="J40" s="16">
        <f t="shared" si="4"/>
        <v>0</v>
      </c>
      <c r="K40" s="16">
        <f t="shared" si="4"/>
        <v>64</v>
      </c>
      <c r="L40" s="16">
        <f t="shared" si="4"/>
        <v>81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67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120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81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106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28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78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44</v>
      </c>
    </row>
    <row r="54" spans="1:12" x14ac:dyDescent="0.25">
      <c r="A54" t="s">
        <v>45</v>
      </c>
    </row>
    <row r="55" spans="1:12" x14ac:dyDescent="0.25">
      <c r="A55" t="s">
        <v>41</v>
      </c>
    </row>
    <row r="56" spans="1:12" x14ac:dyDescent="0.25">
      <c r="A56" t="s">
        <v>43</v>
      </c>
    </row>
    <row r="57" spans="1:12" x14ac:dyDescent="0.25">
      <c r="A57" t="s">
        <v>42</v>
      </c>
    </row>
    <row r="58" spans="1:12" x14ac:dyDescent="0.25">
      <c r="A58" t="s">
        <v>31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L56"/>
  <sheetViews>
    <sheetView topLeftCell="A35" workbookViewId="0">
      <selection activeCell="G33" sqref="G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46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>
        <v>3</v>
      </c>
      <c r="C9" s="19"/>
      <c r="D9" s="47">
        <v>1</v>
      </c>
      <c r="E9" s="20"/>
      <c r="F9" s="17">
        <f>SUM(B9:E9)</f>
        <v>4</v>
      </c>
      <c r="G9" s="41"/>
      <c r="H9" s="29"/>
      <c r="I9" s="29"/>
      <c r="J9" s="29"/>
      <c r="K9" s="15">
        <f>SUM(G9:J9)</f>
        <v>0</v>
      </c>
      <c r="L9" s="7">
        <f>SUM(F9+K9)</f>
        <v>4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2</v>
      </c>
      <c r="C11" s="22"/>
      <c r="D11" s="22"/>
      <c r="E11" s="24"/>
      <c r="F11" s="17">
        <f t="shared" si="0"/>
        <v>2</v>
      </c>
      <c r="G11" s="30"/>
      <c r="H11" s="25"/>
      <c r="I11" s="22"/>
      <c r="J11" s="22"/>
      <c r="K11" s="15">
        <f t="shared" si="1"/>
        <v>0</v>
      </c>
      <c r="L11" s="7">
        <f t="shared" si="2"/>
        <v>2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>
        <v>1</v>
      </c>
      <c r="K12" s="15">
        <f t="shared" si="1"/>
        <v>1</v>
      </c>
      <c r="L12" s="7">
        <f t="shared" si="2"/>
        <v>2</v>
      </c>
    </row>
    <row r="13" spans="1:12" ht="15.75" thickBot="1" x14ac:dyDescent="0.3">
      <c r="A13" s="8">
        <v>5</v>
      </c>
      <c r="B13" s="48" t="s">
        <v>6</v>
      </c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>
        <v>1</v>
      </c>
      <c r="E25" s="23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1</v>
      </c>
      <c r="H27" s="25"/>
      <c r="I27" s="25"/>
      <c r="J27" s="30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>
        <v>2</v>
      </c>
      <c r="C31" s="22"/>
      <c r="D31" s="25"/>
      <c r="E31" s="23"/>
      <c r="F31" s="17">
        <f t="shared" si="0"/>
        <v>2</v>
      </c>
      <c r="G31" s="30">
        <v>2</v>
      </c>
      <c r="H31" s="22"/>
      <c r="I31" s="30"/>
      <c r="J31" s="30"/>
      <c r="K31" s="15">
        <f t="shared" si="1"/>
        <v>2</v>
      </c>
      <c r="L31" s="7">
        <f t="shared" si="2"/>
        <v>4</v>
      </c>
    </row>
    <row r="32" spans="1:12" ht="15.75" thickBot="1" x14ac:dyDescent="0.3">
      <c r="A32" s="8">
        <v>24</v>
      </c>
      <c r="B32" s="21">
        <v>5</v>
      </c>
      <c r="C32" s="22"/>
      <c r="D32" s="25"/>
      <c r="E32" s="23"/>
      <c r="F32" s="17">
        <f t="shared" si="0"/>
        <v>5</v>
      </c>
      <c r="G32" s="30">
        <v>1</v>
      </c>
      <c r="H32" s="25"/>
      <c r="I32" s="30"/>
      <c r="J32" s="30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>
        <v>1</v>
      </c>
      <c r="H38" s="22"/>
      <c r="I38" s="22"/>
      <c r="J38" s="25"/>
      <c r="K38" s="15">
        <f t="shared" si="1"/>
        <v>1</v>
      </c>
      <c r="L38" s="7">
        <f t="shared" si="2"/>
        <v>3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21</v>
      </c>
      <c r="G40" s="16">
        <f>SUM(G9:G39)</f>
        <v>6</v>
      </c>
      <c r="H40" s="16">
        <f t="shared" ref="H40:L40" si="4">SUM(H9:H39)</f>
        <v>0</v>
      </c>
      <c r="I40" s="16">
        <f t="shared" si="4"/>
        <v>0</v>
      </c>
      <c r="J40" s="16">
        <f t="shared" si="4"/>
        <v>1</v>
      </c>
      <c r="K40" s="16">
        <f t="shared" si="4"/>
        <v>7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28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100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28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100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32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68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47</v>
      </c>
    </row>
    <row r="55" spans="1:12" x14ac:dyDescent="0.25">
      <c r="A55" t="s">
        <v>49</v>
      </c>
    </row>
    <row r="56" spans="1:12" x14ac:dyDescent="0.25">
      <c r="A56" t="s">
        <v>50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L57"/>
  <sheetViews>
    <sheetView topLeftCell="A38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51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1</v>
      </c>
      <c r="H9" s="29"/>
      <c r="I9" s="29"/>
      <c r="J9" s="29"/>
      <c r="K9" s="15">
        <f>SUM(G9:J9)</f>
        <v>1</v>
      </c>
      <c r="L9" s="7">
        <f>SUM(F9+K9)</f>
        <v>1</v>
      </c>
    </row>
    <row r="10" spans="1:12" ht="15.75" thickBot="1" x14ac:dyDescent="0.3">
      <c r="A10" s="8">
        <v>2</v>
      </c>
      <c r="B10" s="21">
        <v>1</v>
      </c>
      <c r="C10" s="25"/>
      <c r="D10" s="22"/>
      <c r="E10" s="23"/>
      <c r="F10" s="17">
        <f t="shared" ref="F10:F39" si="0">SUM(B10:E10)</f>
        <v>1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>
        <v>3</v>
      </c>
      <c r="C11" s="22"/>
      <c r="D11" s="22"/>
      <c r="E11" s="24"/>
      <c r="F11" s="17">
        <f t="shared" si="0"/>
        <v>3</v>
      </c>
      <c r="G11" s="30">
        <v>1</v>
      </c>
      <c r="H11" s="25"/>
      <c r="I11" s="22"/>
      <c r="J11" s="22"/>
      <c r="K11" s="15">
        <f t="shared" si="1"/>
        <v>1</v>
      </c>
      <c r="L11" s="7">
        <f t="shared" si="2"/>
        <v>4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2</v>
      </c>
      <c r="C17" s="25"/>
      <c r="D17" s="25"/>
      <c r="E17" s="24"/>
      <c r="F17" s="17">
        <f t="shared" si="0"/>
        <v>2</v>
      </c>
      <c r="G17" s="30"/>
      <c r="H17" s="25"/>
      <c r="I17" s="25"/>
      <c r="J17" s="30"/>
      <c r="K17" s="15">
        <f t="shared" si="1"/>
        <v>0</v>
      </c>
      <c r="L17" s="7">
        <f t="shared" si="2"/>
        <v>2</v>
      </c>
    </row>
    <row r="18" spans="1:12" ht="15.75" thickBot="1" x14ac:dyDescent="0.3">
      <c r="A18" s="8">
        <v>10</v>
      </c>
      <c r="B18" s="21">
        <v>3</v>
      </c>
      <c r="C18" s="25"/>
      <c r="D18" s="25"/>
      <c r="E18" s="23"/>
      <c r="F18" s="17">
        <f t="shared" si="0"/>
        <v>3</v>
      </c>
      <c r="G18" s="30"/>
      <c r="H18" s="25"/>
      <c r="I18" s="25"/>
      <c r="J18" s="30"/>
      <c r="K18" s="15">
        <f t="shared" si="1"/>
        <v>0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/>
      <c r="H25" s="25"/>
      <c r="I25" s="25"/>
      <c r="J25" s="30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2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3"/>
      <c r="F35" s="17">
        <f t="shared" si="0"/>
        <v>1</v>
      </c>
      <c r="G35" s="40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</v>
      </c>
      <c r="H36" s="25"/>
      <c r="I36" s="25"/>
      <c r="J36" s="22"/>
      <c r="K36" s="15">
        <f t="shared" si="1"/>
        <v>1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5</v>
      </c>
      <c r="H37" s="25"/>
      <c r="I37" s="22"/>
      <c r="J37" s="22"/>
      <c r="K37" s="15">
        <f t="shared" si="1"/>
        <v>5</v>
      </c>
      <c r="L37" s="7">
        <f t="shared" si="2"/>
        <v>5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/>
      <c r="H38" s="22"/>
      <c r="I38" s="22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25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25</v>
      </c>
      <c r="G40" s="16">
        <f>SUM(G9:G39)</f>
        <v>11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11</v>
      </c>
      <c r="L40" s="16">
        <f t="shared" si="4"/>
        <v>36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32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100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36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96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72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24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53</v>
      </c>
    </row>
    <row r="54" spans="1:12" x14ac:dyDescent="0.25">
      <c r="A54" t="s">
        <v>29</v>
      </c>
    </row>
    <row r="55" spans="1:12" x14ac:dyDescent="0.25">
      <c r="A55" t="s">
        <v>52</v>
      </c>
    </row>
    <row r="56" spans="1:12" x14ac:dyDescent="0.25">
      <c r="A56" t="s">
        <v>54</v>
      </c>
    </row>
    <row r="57" spans="1:12" x14ac:dyDescent="0.25">
      <c r="A57" t="s">
        <v>55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L58"/>
  <sheetViews>
    <sheetView topLeftCell="A37" zoomScaleNormal="100" workbookViewId="0">
      <selection activeCell="I56" sqref="I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56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5</v>
      </c>
      <c r="C11" s="22"/>
      <c r="D11" s="22"/>
      <c r="E11" s="24"/>
      <c r="F11" s="17">
        <f t="shared" si="0"/>
        <v>5</v>
      </c>
      <c r="G11" s="30"/>
      <c r="H11" s="25"/>
      <c r="I11" s="22"/>
      <c r="J11" s="22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5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/>
      <c r="H14" s="25"/>
      <c r="I14" s="25"/>
      <c r="J14" s="30"/>
      <c r="K14" s="15">
        <f t="shared" si="1"/>
        <v>0</v>
      </c>
      <c r="L14" s="7">
        <f t="shared" si="2"/>
        <v>1</v>
      </c>
    </row>
    <row r="15" spans="1:12" ht="15.75" thickBot="1" x14ac:dyDescent="0.3">
      <c r="A15" s="8">
        <v>7</v>
      </c>
      <c r="B15" s="21">
        <v>1</v>
      </c>
      <c r="C15" s="25"/>
      <c r="D15" s="25"/>
      <c r="E15" s="24"/>
      <c r="F15" s="17">
        <f t="shared" si="0"/>
        <v>1</v>
      </c>
      <c r="G15" s="30"/>
      <c r="H15" s="25"/>
      <c r="I15" s="25"/>
      <c r="J15" s="30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>
        <v>1</v>
      </c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>
        <v>1</v>
      </c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>
        <v>24</v>
      </c>
      <c r="H25" s="25"/>
      <c r="I25" s="25"/>
      <c r="J25" s="30"/>
      <c r="K25" s="15">
        <f t="shared" si="1"/>
        <v>24</v>
      </c>
      <c r="L25" s="7">
        <f t="shared" si="2"/>
        <v>24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>
        <v>1</v>
      </c>
      <c r="I26" s="25"/>
      <c r="J26" s="30">
        <v>1</v>
      </c>
      <c r="K26" s="15">
        <f t="shared" si="1"/>
        <v>2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>
        <v>3</v>
      </c>
      <c r="D27" s="25"/>
      <c r="E27" s="23"/>
      <c r="F27" s="17">
        <f t="shared" si="0"/>
        <v>3</v>
      </c>
      <c r="G27" s="30"/>
      <c r="H27" s="25"/>
      <c r="I27" s="25"/>
      <c r="J27" s="30"/>
      <c r="K27" s="15">
        <f t="shared" si="1"/>
        <v>0</v>
      </c>
      <c r="L27" s="7">
        <f t="shared" si="2"/>
        <v>3</v>
      </c>
    </row>
    <row r="28" spans="1:12" ht="15.75" thickBot="1" x14ac:dyDescent="0.3">
      <c r="A28" s="8">
        <v>20</v>
      </c>
      <c r="B28" s="21"/>
      <c r="C28" s="22"/>
      <c r="D28" s="25"/>
      <c r="E28" s="24">
        <v>1</v>
      </c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</v>
      </c>
      <c r="H32" s="25"/>
      <c r="I32" s="30"/>
      <c r="J32" s="30"/>
      <c r="K32" s="15">
        <f t="shared" si="1"/>
        <v>2</v>
      </c>
      <c r="L32" s="7">
        <f t="shared" si="2"/>
        <v>2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>
        <v>2</v>
      </c>
      <c r="H33" s="22"/>
      <c r="I33" s="30"/>
      <c r="J33" s="30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5">
        <v>1</v>
      </c>
      <c r="E36" s="23">
        <v>3</v>
      </c>
      <c r="F36" s="17">
        <f t="shared" si="0"/>
        <v>6</v>
      </c>
      <c r="G36" s="30"/>
      <c r="H36" s="25"/>
      <c r="I36" s="25"/>
      <c r="J36" s="22"/>
      <c r="K36" s="15">
        <f t="shared" si="1"/>
        <v>0</v>
      </c>
      <c r="L36" s="7">
        <f t="shared" si="2"/>
        <v>6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1</v>
      </c>
      <c r="C39" s="44"/>
      <c r="D39" s="27"/>
      <c r="E39" s="28"/>
      <c r="F39" s="17">
        <f t="shared" si="0"/>
        <v>1</v>
      </c>
      <c r="G39" s="30"/>
      <c r="H39" s="22"/>
      <c r="I39" s="22"/>
      <c r="J39" s="22"/>
      <c r="K39" s="15">
        <f t="shared" si="1"/>
        <v>0</v>
      </c>
      <c r="L39" s="7">
        <f t="shared" si="2"/>
        <v>1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3</v>
      </c>
      <c r="D40" s="46">
        <f t="shared" si="3"/>
        <v>2</v>
      </c>
      <c r="E40" s="46">
        <f t="shared" si="3"/>
        <v>5</v>
      </c>
      <c r="F40" s="45">
        <f>SUM(F9:F39)</f>
        <v>32</v>
      </c>
      <c r="G40" s="16">
        <f>SUM(G9:G39)</f>
        <v>30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1</v>
      </c>
      <c r="K40" s="16">
        <f t="shared" si="4"/>
        <v>32</v>
      </c>
      <c r="L40" s="16">
        <f t="shared" si="4"/>
        <v>64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72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354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64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362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319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43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59</v>
      </c>
    </row>
    <row r="53" spans="1:12" x14ac:dyDescent="0.25">
      <c r="A53" t="s">
        <v>60</v>
      </c>
    </row>
    <row r="54" spans="1:12" x14ac:dyDescent="0.25">
      <c r="A54" t="s">
        <v>33</v>
      </c>
    </row>
    <row r="55" spans="1:12" x14ac:dyDescent="0.25">
      <c r="A55" t="s">
        <v>35</v>
      </c>
    </row>
    <row r="56" spans="1:12" x14ac:dyDescent="0.25">
      <c r="A56" t="s">
        <v>57</v>
      </c>
    </row>
    <row r="57" spans="1:12" x14ac:dyDescent="0.25">
      <c r="A57" t="s">
        <v>58</v>
      </c>
    </row>
    <row r="58" spans="1:12" x14ac:dyDescent="0.25">
      <c r="A58" t="s">
        <v>31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L58"/>
  <sheetViews>
    <sheetView topLeftCell="A37" zoomScaleNormal="100" workbookViewId="0">
      <selection activeCell="M54" sqref="M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61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20</v>
      </c>
      <c r="H9" s="29"/>
      <c r="I9" s="29"/>
      <c r="J9" s="29"/>
      <c r="K9" s="15">
        <f>SUM(G9:J9)</f>
        <v>20</v>
      </c>
      <c r="L9" s="7">
        <f>SUM(F9+K9)</f>
        <v>20</v>
      </c>
    </row>
    <row r="10" spans="1:12" ht="15.75" thickBot="1" x14ac:dyDescent="0.3">
      <c r="A10" s="8">
        <v>2</v>
      </c>
      <c r="B10" s="21">
        <v>2</v>
      </c>
      <c r="C10" s="25"/>
      <c r="D10" s="22"/>
      <c r="E10" s="23"/>
      <c r="F10" s="17">
        <f t="shared" ref="F10:F39" si="0">SUM(B10:E10)</f>
        <v>2</v>
      </c>
      <c r="G10" s="30">
        <v>5</v>
      </c>
      <c r="H10" s="25">
        <v>3</v>
      </c>
      <c r="I10" s="22"/>
      <c r="J10" s="25"/>
      <c r="K10" s="15">
        <f t="shared" ref="K10:K39" si="1">SUM(G10:J10)</f>
        <v>8</v>
      </c>
      <c r="L10" s="7">
        <f t="shared" ref="L10:L39" si="2">SUM(F10+K10)</f>
        <v>10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1</v>
      </c>
      <c r="H12" s="25"/>
      <c r="I12" s="25"/>
      <c r="J12" s="25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4</v>
      </c>
      <c r="C15" s="25"/>
      <c r="D15" s="25"/>
      <c r="E15" s="24"/>
      <c r="F15" s="17">
        <f t="shared" si="0"/>
        <v>4</v>
      </c>
      <c r="G15" s="30"/>
      <c r="H15" s="25"/>
      <c r="I15" s="25"/>
      <c r="J15" s="30"/>
      <c r="K15" s="15">
        <f t="shared" si="1"/>
        <v>0</v>
      </c>
      <c r="L15" s="7">
        <f t="shared" si="2"/>
        <v>4</v>
      </c>
    </row>
    <row r="16" spans="1:12" ht="15.75" thickBot="1" x14ac:dyDescent="0.3">
      <c r="A16" s="8">
        <v>8</v>
      </c>
      <c r="B16" s="21">
        <v>3</v>
      </c>
      <c r="C16" s="25"/>
      <c r="D16" s="25"/>
      <c r="E16" s="23"/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>
        <v>2</v>
      </c>
      <c r="C17" s="25">
        <v>1</v>
      </c>
      <c r="D17" s="25"/>
      <c r="E17" s="24"/>
      <c r="F17" s="17">
        <f t="shared" si="0"/>
        <v>3</v>
      </c>
      <c r="G17" s="30"/>
      <c r="H17" s="25"/>
      <c r="I17" s="25"/>
      <c r="J17" s="30"/>
      <c r="K17" s="15">
        <f t="shared" si="1"/>
        <v>0</v>
      </c>
      <c r="L17" s="7">
        <f t="shared" si="2"/>
        <v>3</v>
      </c>
    </row>
    <row r="18" spans="1:12" ht="15.75" thickBot="1" x14ac:dyDescent="0.3">
      <c r="A18" s="8">
        <v>10</v>
      </c>
      <c r="B18" s="21"/>
      <c r="C18" s="25"/>
      <c r="D18" s="25">
        <v>2</v>
      </c>
      <c r="E18" s="24"/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3</v>
      </c>
      <c r="C22" s="25"/>
      <c r="D22" s="25"/>
      <c r="E22" s="23"/>
      <c r="F22" s="17">
        <f t="shared" si="0"/>
        <v>3</v>
      </c>
      <c r="G22" s="30">
        <v>12</v>
      </c>
      <c r="H22" s="25"/>
      <c r="I22" s="25"/>
      <c r="J22" s="30"/>
      <c r="K22" s="15">
        <f t="shared" si="1"/>
        <v>12</v>
      </c>
      <c r="L22" s="7">
        <f t="shared" si="2"/>
        <v>15</v>
      </c>
    </row>
    <row r="23" spans="1:12" ht="15.75" thickBot="1" x14ac:dyDescent="0.3">
      <c r="A23" s="8">
        <v>15</v>
      </c>
      <c r="B23" s="21">
        <v>2</v>
      </c>
      <c r="C23" s="25"/>
      <c r="D23" s="25">
        <v>1</v>
      </c>
      <c r="E23" s="23"/>
      <c r="F23" s="17">
        <f t="shared" si="0"/>
        <v>3</v>
      </c>
      <c r="G23" s="30">
        <v>7</v>
      </c>
      <c r="H23" s="25"/>
      <c r="I23" s="25"/>
      <c r="J23" s="30"/>
      <c r="K23" s="15">
        <f t="shared" si="1"/>
        <v>7</v>
      </c>
      <c r="L23" s="7">
        <f t="shared" si="2"/>
        <v>10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5</v>
      </c>
      <c r="H24" s="25"/>
      <c r="I24" s="25"/>
      <c r="J24" s="30"/>
      <c r="K24" s="15">
        <f t="shared" si="1"/>
        <v>5</v>
      </c>
      <c r="L24" s="7">
        <f t="shared" si="2"/>
        <v>5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>
        <v>6</v>
      </c>
      <c r="H25" s="25"/>
      <c r="I25" s="25"/>
      <c r="J25" s="30"/>
      <c r="K25" s="15">
        <f t="shared" si="1"/>
        <v>6</v>
      </c>
      <c r="L25" s="7">
        <f t="shared" si="2"/>
        <v>8</v>
      </c>
    </row>
    <row r="26" spans="1:12" ht="15.75" thickBot="1" x14ac:dyDescent="0.3">
      <c r="A26" s="8">
        <v>18</v>
      </c>
      <c r="B26" s="21"/>
      <c r="C26" s="25"/>
      <c r="D26" s="25">
        <v>1</v>
      </c>
      <c r="E26" s="24"/>
      <c r="F26" s="17">
        <f t="shared" si="0"/>
        <v>1</v>
      </c>
      <c r="G26" s="30">
        <v>1</v>
      </c>
      <c r="H26" s="25">
        <v>1</v>
      </c>
      <c r="I26" s="25"/>
      <c r="J26" s="30"/>
      <c r="K26" s="15">
        <f t="shared" si="1"/>
        <v>2</v>
      </c>
      <c r="L26" s="7">
        <f t="shared" si="2"/>
        <v>3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1</v>
      </c>
      <c r="C32" s="22"/>
      <c r="D32" s="25"/>
      <c r="E32" s="23"/>
      <c r="F32" s="17">
        <f t="shared" si="0"/>
        <v>1</v>
      </c>
      <c r="G32" s="30"/>
      <c r="H32" s="25"/>
      <c r="I32" s="30"/>
      <c r="J32" s="30"/>
      <c r="K32" s="15">
        <f t="shared" si="1"/>
        <v>0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>
        <v>1</v>
      </c>
      <c r="E34" s="23"/>
      <c r="F34" s="17">
        <f t="shared" si="0"/>
        <v>1</v>
      </c>
      <c r="G34" s="30"/>
      <c r="H34" s="25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/>
      <c r="H36" s="25"/>
      <c r="I36" s="25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1</v>
      </c>
      <c r="D40" s="46">
        <f t="shared" si="3"/>
        <v>5</v>
      </c>
      <c r="E40" s="46">
        <f t="shared" si="3"/>
        <v>0</v>
      </c>
      <c r="F40" s="45">
        <f>SUM(F9:F39)</f>
        <v>28</v>
      </c>
      <c r="G40" s="16">
        <f>SUM(G9:G39)</f>
        <v>57</v>
      </c>
      <c r="H40" s="16">
        <f t="shared" ref="H40:L40" si="4">SUM(H9:H39)</f>
        <v>5</v>
      </c>
      <c r="I40" s="16">
        <f t="shared" si="4"/>
        <v>0</v>
      </c>
      <c r="J40" s="16">
        <f t="shared" si="4"/>
        <v>0</v>
      </c>
      <c r="K40" s="16">
        <f t="shared" si="4"/>
        <v>62</v>
      </c>
      <c r="L40" s="16">
        <f t="shared" si="4"/>
        <v>90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319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90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229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131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98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62</v>
      </c>
    </row>
    <row r="53" spans="1:12" x14ac:dyDescent="0.25">
      <c r="A53" t="s">
        <v>64</v>
      </c>
    </row>
    <row r="54" spans="1:12" x14ac:dyDescent="0.25">
      <c r="A54" t="s">
        <v>67</v>
      </c>
    </row>
    <row r="55" spans="1:12" x14ac:dyDescent="0.25">
      <c r="A55" t="s">
        <v>63</v>
      </c>
    </row>
    <row r="56" spans="1:12" x14ac:dyDescent="0.25">
      <c r="A56" t="s">
        <v>66</v>
      </c>
    </row>
    <row r="57" spans="1:12" x14ac:dyDescent="0.25">
      <c r="A57" t="s">
        <v>65</v>
      </c>
    </row>
    <row r="58" spans="1:12" x14ac:dyDescent="0.25">
      <c r="A58" t="s">
        <v>68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L56"/>
  <sheetViews>
    <sheetView topLeftCell="A37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69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>
        <v>2</v>
      </c>
      <c r="C13" s="25"/>
      <c r="D13" s="25"/>
      <c r="E13" s="23"/>
      <c r="F13" s="17">
        <f t="shared" si="0"/>
        <v>2</v>
      </c>
      <c r="G13" s="30"/>
      <c r="H13" s="25"/>
      <c r="I13" s="25"/>
      <c r="J13" s="22"/>
      <c r="K13" s="15">
        <f t="shared" si="1"/>
        <v>0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/>
      <c r="H15" s="25"/>
      <c r="I15" s="25"/>
      <c r="J15" s="30"/>
      <c r="K15" s="15">
        <f t="shared" si="1"/>
        <v>0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>
        <v>1</v>
      </c>
      <c r="C23" s="25"/>
      <c r="D23" s="25">
        <v>1</v>
      </c>
      <c r="E23" s="23"/>
      <c r="F23" s="17">
        <f t="shared" si="0"/>
        <v>2</v>
      </c>
      <c r="G23" s="30"/>
      <c r="H23" s="25"/>
      <c r="I23" s="25"/>
      <c r="J23" s="30"/>
      <c r="K23" s="15">
        <f t="shared" si="1"/>
        <v>0</v>
      </c>
      <c r="L23" s="7">
        <f t="shared" si="2"/>
        <v>2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>
        <v>1</v>
      </c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/>
      <c r="H31" s="22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3</v>
      </c>
      <c r="C34" s="25"/>
      <c r="D34" s="25"/>
      <c r="E34" s="23"/>
      <c r="F34" s="17">
        <f t="shared" si="0"/>
        <v>3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>
        <v>3</v>
      </c>
      <c r="H38" s="22"/>
      <c r="I38" s="22"/>
      <c r="J38" s="25"/>
      <c r="K38" s="15">
        <f t="shared" si="1"/>
        <v>3</v>
      </c>
      <c r="L38" s="7">
        <f t="shared" si="2"/>
        <v>4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29</v>
      </c>
      <c r="G40" s="16">
        <f>SUM(G9:G39)</f>
        <v>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131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300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35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396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210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186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70</v>
      </c>
    </row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54</v>
      </c>
    </row>
    <row r="56" spans="1:12" x14ac:dyDescent="0.25">
      <c r="A56" t="s">
        <v>71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CD44-0655-44F2-976D-D97965A02313}">
  <dimension ref="A1:L55"/>
  <sheetViews>
    <sheetView topLeftCell="A31" zoomScaleNormal="100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72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>
        <v>2</v>
      </c>
      <c r="H11" s="25"/>
      <c r="I11" s="22"/>
      <c r="J11" s="22"/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/>
      <c r="K12" s="15">
        <f t="shared" si="1"/>
        <v>0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5"/>
      <c r="D18" s="25"/>
      <c r="E18" s="24"/>
      <c r="F18" s="17">
        <f t="shared" si="0"/>
        <v>2</v>
      </c>
      <c r="G18" s="30">
        <v>1</v>
      </c>
      <c r="H18" s="25"/>
      <c r="I18" s="25">
        <v>1</v>
      </c>
      <c r="J18" s="30">
        <v>1</v>
      </c>
      <c r="K18" s="15">
        <f t="shared" si="1"/>
        <v>3</v>
      </c>
      <c r="L18" s="7">
        <f t="shared" si="2"/>
        <v>5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>
        <v>1</v>
      </c>
      <c r="H19" s="25"/>
      <c r="I19" s="25"/>
      <c r="J19" s="30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>
        <v>1</v>
      </c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3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40</v>
      </c>
      <c r="C28" s="22"/>
      <c r="D28" s="25"/>
      <c r="E28" s="24"/>
      <c r="F28" s="17">
        <f t="shared" si="0"/>
        <v>40</v>
      </c>
      <c r="G28" s="30"/>
      <c r="H28" s="25"/>
      <c r="I28" s="25"/>
      <c r="J28" s="30"/>
      <c r="K28" s="15">
        <f t="shared" si="1"/>
        <v>0</v>
      </c>
      <c r="L28" s="7">
        <f t="shared" si="2"/>
        <v>40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34</v>
      </c>
      <c r="C31" s="22"/>
      <c r="D31" s="25"/>
      <c r="E31" s="23"/>
      <c r="F31" s="17">
        <f t="shared" si="0"/>
        <v>34</v>
      </c>
      <c r="G31" s="30"/>
      <c r="H31" s="22"/>
      <c r="I31" s="30"/>
      <c r="J31" s="30"/>
      <c r="K31" s="15">
        <f t="shared" si="1"/>
        <v>0</v>
      </c>
      <c r="L31" s="7">
        <f t="shared" si="2"/>
        <v>34</v>
      </c>
    </row>
    <row r="32" spans="1:12" ht="15.75" thickBot="1" x14ac:dyDescent="0.3">
      <c r="A32" s="8">
        <v>24</v>
      </c>
      <c r="B32" s="21">
        <v>11</v>
      </c>
      <c r="C32" s="22"/>
      <c r="D32" s="25"/>
      <c r="E32" s="23"/>
      <c r="F32" s="17">
        <f t="shared" si="0"/>
        <v>11</v>
      </c>
      <c r="G32" s="30"/>
      <c r="H32" s="25"/>
      <c r="I32" s="30"/>
      <c r="J32" s="30"/>
      <c r="K32" s="15">
        <f t="shared" si="1"/>
        <v>0</v>
      </c>
      <c r="L32" s="7">
        <f t="shared" si="2"/>
        <v>11</v>
      </c>
    </row>
    <row r="33" spans="1:12" ht="15.75" thickBot="1" x14ac:dyDescent="0.3">
      <c r="A33" s="8">
        <v>25</v>
      </c>
      <c r="B33" s="21">
        <v>9</v>
      </c>
      <c r="C33" s="22"/>
      <c r="D33" s="25"/>
      <c r="E33" s="23"/>
      <c r="F33" s="17">
        <f t="shared" si="0"/>
        <v>9</v>
      </c>
      <c r="G33" s="30"/>
      <c r="H33" s="22"/>
      <c r="I33" s="30"/>
      <c r="J33" s="30"/>
      <c r="K33" s="15">
        <f t="shared" si="1"/>
        <v>0</v>
      </c>
      <c r="L33" s="7">
        <f t="shared" si="2"/>
        <v>9</v>
      </c>
    </row>
    <row r="34" spans="1:12" ht="15.75" thickBot="1" x14ac:dyDescent="0.3">
      <c r="A34" s="8">
        <v>26</v>
      </c>
      <c r="B34" s="21">
        <v>8</v>
      </c>
      <c r="C34" s="25"/>
      <c r="D34" s="25"/>
      <c r="E34" s="23"/>
      <c r="F34" s="17">
        <f t="shared" si="0"/>
        <v>8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9</v>
      </c>
    </row>
    <row r="35" spans="1:12" ht="15.75" thickBot="1" x14ac:dyDescent="0.3">
      <c r="A35" s="8">
        <v>27</v>
      </c>
      <c r="B35" s="21">
        <v>11</v>
      </c>
      <c r="C35" s="25"/>
      <c r="D35" s="25"/>
      <c r="E35" s="23"/>
      <c r="F35" s="17">
        <f t="shared" si="0"/>
        <v>11</v>
      </c>
      <c r="G35" s="40"/>
      <c r="H35" s="22"/>
      <c r="I35" s="22"/>
      <c r="J35" s="22"/>
      <c r="K35" s="15">
        <f t="shared" si="1"/>
        <v>0</v>
      </c>
      <c r="L35" s="7">
        <f t="shared" si="2"/>
        <v>11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12</v>
      </c>
      <c r="C38" s="22"/>
      <c r="D38" s="22"/>
      <c r="E38" s="23"/>
      <c r="F38" s="17">
        <f t="shared" si="0"/>
        <v>12</v>
      </c>
      <c r="G38" s="30"/>
      <c r="H38" s="22"/>
      <c r="I38" s="22"/>
      <c r="J38" s="25"/>
      <c r="K38" s="15">
        <f t="shared" si="1"/>
        <v>0</v>
      </c>
      <c r="L38" s="7">
        <f t="shared" si="2"/>
        <v>12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131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131</v>
      </c>
      <c r="G40" s="16">
        <f>SUM(G9:G39)</f>
        <v>6</v>
      </c>
      <c r="H40" s="16">
        <f t="shared" ref="H40:L40" si="4">SUM(H9:H39)</f>
        <v>1</v>
      </c>
      <c r="I40" s="16">
        <f t="shared" si="4"/>
        <v>1</v>
      </c>
      <c r="J40" s="16">
        <f t="shared" si="4"/>
        <v>1</v>
      </c>
      <c r="K40" s="16">
        <f t="shared" si="4"/>
        <v>9</v>
      </c>
      <c r="L40" s="16">
        <f t="shared" si="4"/>
        <v>140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210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500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140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570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542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28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75</v>
      </c>
    </row>
    <row r="53" spans="1:12" x14ac:dyDescent="0.25">
      <c r="A53" t="s">
        <v>73</v>
      </c>
    </row>
    <row r="54" spans="1:12" x14ac:dyDescent="0.25">
      <c r="A54" t="s">
        <v>76</v>
      </c>
    </row>
    <row r="55" spans="1:12" x14ac:dyDescent="0.25">
      <c r="A55" t="s">
        <v>74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DBF41-BC58-4A9B-BA54-0242F4426329}">
  <dimension ref="A1:L56"/>
  <sheetViews>
    <sheetView tabSelected="1" topLeftCell="A24" zoomScaleNormal="100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1"/>
      <c r="F1" s="32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1"/>
      <c r="F2" s="32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x14ac:dyDescent="0.25">
      <c r="A5" s="52" t="s">
        <v>78</v>
      </c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4"/>
      <c r="I6" s="54"/>
      <c r="J6" s="12"/>
      <c r="K6" s="33"/>
      <c r="L6" s="3"/>
    </row>
    <row r="7" spans="1:12" x14ac:dyDescent="0.25">
      <c r="A7" s="55" t="s">
        <v>7</v>
      </c>
      <c r="B7" s="57" t="s">
        <v>8</v>
      </c>
      <c r="C7" s="58"/>
      <c r="D7" s="58"/>
      <c r="E7" s="58"/>
      <c r="F7" s="59"/>
      <c r="G7" s="60" t="s">
        <v>9</v>
      </c>
      <c r="H7" s="58"/>
      <c r="I7" s="58"/>
      <c r="J7" s="58"/>
      <c r="K7" s="59"/>
      <c r="L7" s="61" t="s">
        <v>10</v>
      </c>
    </row>
    <row r="8" spans="1:12" ht="15.75" thickBot="1" x14ac:dyDescent="0.3">
      <c r="A8" s="56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62"/>
    </row>
    <row r="9" spans="1:12" ht="15.75" thickBot="1" x14ac:dyDescent="0.3">
      <c r="A9" s="6">
        <v>1</v>
      </c>
      <c r="B9" s="18">
        <v>1</v>
      </c>
      <c r="C9" s="19"/>
      <c r="D9" s="47"/>
      <c r="E9" s="20"/>
      <c r="F9" s="17">
        <f>SUM(B9:E9)</f>
        <v>1</v>
      </c>
      <c r="G9" s="41"/>
      <c r="H9" s="29"/>
      <c r="I9" s="29"/>
      <c r="J9" s="29"/>
      <c r="K9" s="15">
        <f>SUM(G9:J9)</f>
        <v>0</v>
      </c>
      <c r="L9" s="7">
        <f>SUM(F9+K9)</f>
        <v>1</v>
      </c>
    </row>
    <row r="10" spans="1:12" ht="15.75" thickBot="1" x14ac:dyDescent="0.3">
      <c r="A10" s="8">
        <v>2</v>
      </c>
      <c r="B10" s="21">
        <v>8</v>
      </c>
      <c r="C10" s="25"/>
      <c r="D10" s="22"/>
      <c r="E10" s="23"/>
      <c r="F10" s="17">
        <f t="shared" ref="F10:F39" si="0">SUM(B10:E10)</f>
        <v>8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>
        <v>4</v>
      </c>
      <c r="C11" s="22"/>
      <c r="D11" s="22"/>
      <c r="E11" s="24"/>
      <c r="F11" s="17">
        <f t="shared" si="0"/>
        <v>4</v>
      </c>
      <c r="G11" s="30">
        <v>1</v>
      </c>
      <c r="H11" s="25"/>
      <c r="I11" s="22"/>
      <c r="J11" s="22"/>
      <c r="K11" s="15">
        <f t="shared" si="1"/>
        <v>1</v>
      </c>
      <c r="L11" s="7">
        <f t="shared" si="2"/>
        <v>5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9</v>
      </c>
      <c r="C15" s="25"/>
      <c r="D15" s="25"/>
      <c r="E15" s="24"/>
      <c r="F15" s="17">
        <f t="shared" si="0"/>
        <v>9</v>
      </c>
      <c r="G15" s="30"/>
      <c r="H15" s="25"/>
      <c r="I15" s="25"/>
      <c r="J15" s="30"/>
      <c r="K15" s="15">
        <f t="shared" si="1"/>
        <v>0</v>
      </c>
      <c r="L15" s="7">
        <f t="shared" si="2"/>
        <v>9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>
        <v>3</v>
      </c>
      <c r="C17" s="25"/>
      <c r="D17" s="25"/>
      <c r="E17" s="24"/>
      <c r="F17" s="17">
        <f t="shared" si="0"/>
        <v>3</v>
      </c>
      <c r="G17" s="30"/>
      <c r="H17" s="25"/>
      <c r="I17" s="25"/>
      <c r="J17" s="30"/>
      <c r="K17" s="15">
        <f t="shared" si="1"/>
        <v>0</v>
      </c>
      <c r="L17" s="7">
        <f t="shared" si="2"/>
        <v>3</v>
      </c>
    </row>
    <row r="18" spans="1:12" ht="15.75" thickBot="1" x14ac:dyDescent="0.3">
      <c r="A18" s="8">
        <v>10</v>
      </c>
      <c r="B18" s="21">
        <v>3</v>
      </c>
      <c r="C18" s="25"/>
      <c r="D18" s="25"/>
      <c r="E18" s="24"/>
      <c r="F18" s="17">
        <f t="shared" si="0"/>
        <v>3</v>
      </c>
      <c r="G18" s="30"/>
      <c r="H18" s="25"/>
      <c r="I18" s="25"/>
      <c r="J18" s="30"/>
      <c r="K18" s="15">
        <f t="shared" si="1"/>
        <v>0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5</v>
      </c>
      <c r="C22" s="25"/>
      <c r="D22" s="25">
        <v>1</v>
      </c>
      <c r="E22" s="23"/>
      <c r="F22" s="17">
        <f t="shared" si="0"/>
        <v>6</v>
      </c>
      <c r="G22" s="30"/>
      <c r="H22" s="25"/>
      <c r="I22" s="25"/>
      <c r="J22" s="30"/>
      <c r="K22" s="15">
        <f t="shared" si="1"/>
        <v>0</v>
      </c>
      <c r="L22" s="7">
        <f t="shared" si="2"/>
        <v>6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>
        <v>5</v>
      </c>
      <c r="C25" s="43"/>
      <c r="D25" s="25"/>
      <c r="E25" s="23"/>
      <c r="F25" s="17">
        <f t="shared" si="0"/>
        <v>5</v>
      </c>
      <c r="G25" s="30">
        <v>1</v>
      </c>
      <c r="H25" s="25"/>
      <c r="I25" s="25"/>
      <c r="J25" s="30"/>
      <c r="K25" s="15">
        <f t="shared" si="1"/>
        <v>1</v>
      </c>
      <c r="L25" s="7">
        <f t="shared" si="2"/>
        <v>6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7</v>
      </c>
      <c r="C29" s="22"/>
      <c r="D29" s="25"/>
      <c r="E29" s="24"/>
      <c r="F29" s="17">
        <f t="shared" si="0"/>
        <v>7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8</v>
      </c>
    </row>
    <row r="30" spans="1:12" ht="15.75" thickBot="1" x14ac:dyDescent="0.3">
      <c r="A30" s="8">
        <v>22</v>
      </c>
      <c r="B30" s="21">
        <v>9</v>
      </c>
      <c r="C30" s="22"/>
      <c r="D30" s="25"/>
      <c r="E30" s="23"/>
      <c r="F30" s="17">
        <f t="shared" si="0"/>
        <v>9</v>
      </c>
      <c r="G30" s="30"/>
      <c r="H30" s="25"/>
      <c r="I30" s="25"/>
      <c r="J30" s="30"/>
      <c r="K30" s="15">
        <f t="shared" si="1"/>
        <v>0</v>
      </c>
      <c r="L30" s="7">
        <f t="shared" si="2"/>
        <v>9</v>
      </c>
    </row>
    <row r="31" spans="1:12" ht="15.75" thickBot="1" x14ac:dyDescent="0.3">
      <c r="A31" s="8">
        <v>23</v>
      </c>
      <c r="B31" s="21">
        <v>5</v>
      </c>
      <c r="C31" s="22"/>
      <c r="D31" s="25"/>
      <c r="E31" s="23"/>
      <c r="F31" s="17">
        <f t="shared" si="0"/>
        <v>5</v>
      </c>
      <c r="G31" s="30"/>
      <c r="H31" s="22"/>
      <c r="I31" s="30"/>
      <c r="J31" s="30"/>
      <c r="K31" s="15">
        <f t="shared" si="1"/>
        <v>0</v>
      </c>
      <c r="L31" s="7">
        <f t="shared" si="2"/>
        <v>5</v>
      </c>
    </row>
    <row r="32" spans="1:12" ht="15.75" thickBot="1" x14ac:dyDescent="0.3">
      <c r="A32" s="8">
        <v>24</v>
      </c>
      <c r="B32" s="21">
        <v>8</v>
      </c>
      <c r="C32" s="22"/>
      <c r="D32" s="25"/>
      <c r="E32" s="23"/>
      <c r="F32" s="17">
        <f t="shared" si="0"/>
        <v>8</v>
      </c>
      <c r="G32" s="30">
        <v>1</v>
      </c>
      <c r="H32" s="25"/>
      <c r="I32" s="30"/>
      <c r="J32" s="30"/>
      <c r="K32" s="15">
        <f t="shared" si="1"/>
        <v>1</v>
      </c>
      <c r="L32" s="7">
        <f t="shared" si="2"/>
        <v>9</v>
      </c>
    </row>
    <row r="33" spans="1:12" ht="15.75" thickBot="1" x14ac:dyDescent="0.3">
      <c r="A33" s="8">
        <v>25</v>
      </c>
      <c r="B33" s="21">
        <v>1</v>
      </c>
      <c r="C33" s="22"/>
      <c r="D33" s="25">
        <v>1</v>
      </c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5</v>
      </c>
      <c r="C36" s="22"/>
      <c r="D36" s="25"/>
      <c r="E36" s="23"/>
      <c r="F36" s="17">
        <f t="shared" si="0"/>
        <v>5</v>
      </c>
      <c r="G36" s="30"/>
      <c r="H36" s="25"/>
      <c r="I36" s="25"/>
      <c r="J36" s="22"/>
      <c r="K36" s="15">
        <f t="shared" si="1"/>
        <v>0</v>
      </c>
      <c r="L36" s="7">
        <f t="shared" si="2"/>
        <v>5</v>
      </c>
    </row>
    <row r="37" spans="1:12" ht="15.75" thickBot="1" x14ac:dyDescent="0.3">
      <c r="A37" s="8">
        <v>29</v>
      </c>
      <c r="B37" s="21">
        <v>5</v>
      </c>
      <c r="C37" s="25"/>
      <c r="D37" s="22"/>
      <c r="E37" s="23"/>
      <c r="F37" s="17">
        <f t="shared" si="0"/>
        <v>5</v>
      </c>
      <c r="G37" s="30"/>
      <c r="H37" s="25"/>
      <c r="I37" s="22"/>
      <c r="J37" s="22"/>
      <c r="K37" s="15">
        <f t="shared" si="1"/>
        <v>0</v>
      </c>
      <c r="L37" s="7">
        <f t="shared" si="2"/>
        <v>5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82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84</v>
      </c>
      <c r="G40" s="16">
        <f>SUM(G9:G39)</f>
        <v>4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4</v>
      </c>
      <c r="L40" s="16">
        <f t="shared" si="4"/>
        <v>88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67" t="s">
        <v>19</v>
      </c>
      <c r="C43" s="68"/>
      <c r="D43" s="68"/>
      <c r="E43" s="68"/>
      <c r="F43" s="68"/>
      <c r="G43" s="69">
        <v>542</v>
      </c>
      <c r="H43" s="70"/>
      <c r="I43" s="71"/>
      <c r="J43" s="72"/>
      <c r="K43" s="11"/>
      <c r="L43" s="13"/>
    </row>
    <row r="44" spans="1:12" ht="15.75" thickBot="1" x14ac:dyDescent="0.3">
      <c r="A44" s="14"/>
      <c r="B44" s="67" t="s">
        <v>20</v>
      </c>
      <c r="C44" s="68"/>
      <c r="D44" s="68"/>
      <c r="E44" s="68"/>
      <c r="F44" s="68"/>
      <c r="G44" s="73">
        <v>0</v>
      </c>
      <c r="H44" s="74"/>
      <c r="I44" s="73"/>
      <c r="J44" s="74"/>
      <c r="K44" s="11"/>
      <c r="L44" s="13"/>
    </row>
    <row r="45" spans="1:12" ht="15.75" thickBot="1" x14ac:dyDescent="0.3">
      <c r="A45" s="14"/>
      <c r="B45" s="75" t="s">
        <v>21</v>
      </c>
      <c r="C45" s="75"/>
      <c r="D45" s="75"/>
      <c r="E45" s="75"/>
      <c r="F45" s="67"/>
      <c r="G45" s="76">
        <v>0</v>
      </c>
      <c r="H45" s="77"/>
      <c r="I45" s="69"/>
      <c r="J45" s="78"/>
      <c r="K45" s="11"/>
      <c r="L45" s="13"/>
    </row>
    <row r="46" spans="1:12" ht="15.75" thickBot="1" x14ac:dyDescent="0.3">
      <c r="A46" s="14"/>
      <c r="B46" s="67" t="s">
        <v>22</v>
      </c>
      <c r="C46" s="68"/>
      <c r="D46" s="68"/>
      <c r="E46" s="68"/>
      <c r="F46" s="68"/>
      <c r="G46" s="79">
        <f>L40+G45</f>
        <v>88</v>
      </c>
      <c r="H46" s="74"/>
      <c r="I46" s="73"/>
      <c r="J46" s="74"/>
      <c r="K46" s="11"/>
      <c r="L46" s="13"/>
    </row>
    <row r="47" spans="1:12" ht="15.75" thickBot="1" x14ac:dyDescent="0.3">
      <c r="A47" s="4"/>
      <c r="B47" s="67" t="s">
        <v>23</v>
      </c>
      <c r="C47" s="68"/>
      <c r="D47" s="68"/>
      <c r="E47" s="68"/>
      <c r="F47" s="68"/>
      <c r="G47" s="79">
        <f>G43+G44-G46</f>
        <v>454</v>
      </c>
      <c r="H47" s="74"/>
      <c r="I47" s="73"/>
      <c r="J47" s="74"/>
      <c r="K47" s="11"/>
      <c r="L47" s="3"/>
    </row>
    <row r="48" spans="1:12" ht="15.75" thickBot="1" x14ac:dyDescent="0.3">
      <c r="A48" s="4"/>
      <c r="B48" s="67" t="s">
        <v>24</v>
      </c>
      <c r="C48" s="68"/>
      <c r="D48" s="68"/>
      <c r="E48" s="68"/>
      <c r="F48" s="68"/>
      <c r="G48" s="73">
        <v>447</v>
      </c>
      <c r="H48" s="74"/>
      <c r="I48" s="73"/>
      <c r="J48" s="74"/>
      <c r="K48" s="11"/>
      <c r="L48" s="3"/>
    </row>
    <row r="49" spans="1:12" ht="15.75" thickBot="1" x14ac:dyDescent="0.3">
      <c r="A49" s="4"/>
      <c r="B49" s="67" t="s">
        <v>25</v>
      </c>
      <c r="C49" s="68"/>
      <c r="D49" s="68"/>
      <c r="E49" s="68"/>
      <c r="F49" s="68"/>
      <c r="G49" s="80">
        <f>G47-G48</f>
        <v>7</v>
      </c>
      <c r="H49" s="81"/>
      <c r="I49" s="82"/>
      <c r="J49" s="81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77</v>
      </c>
    </row>
    <row r="54" spans="1:12" x14ac:dyDescent="0.25">
      <c r="A54" t="s">
        <v>75</v>
      </c>
    </row>
    <row r="55" spans="1:12" x14ac:dyDescent="0.25">
      <c r="A55" t="s">
        <v>52</v>
      </c>
    </row>
    <row r="56" spans="1:12" x14ac:dyDescent="0.25">
      <c r="A56" t="s">
        <v>38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2026-01-07T08:17:22Z</dcterms:modified>
</cp:coreProperties>
</file>