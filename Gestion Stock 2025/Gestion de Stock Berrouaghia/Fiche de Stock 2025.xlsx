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Berrouaghia\"/>
    </mc:Choice>
  </mc:AlternateContent>
  <xr:revisionPtr revIDLastSave="0" documentId="13_ncr:1_{47D8F17F-4EC6-4B2A-973E-F0D0F589AB4B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JANVIER 2025" sheetId="34" r:id="rId1"/>
    <sheet name="FEVRIER 2025" sheetId="35" r:id="rId2"/>
    <sheet name="MARS 2025" sheetId="36" r:id="rId3"/>
    <sheet name="AVRIL 2025" sheetId="37" r:id="rId4"/>
    <sheet name="MAI 2025" sheetId="38" r:id="rId5"/>
    <sheet name="JUIN 2025" sheetId="39" r:id="rId6"/>
    <sheet name="JUILLET 2025" sheetId="40" r:id="rId7"/>
    <sheet name="AOUT 2025" sheetId="41" r:id="rId8"/>
    <sheet name="SEPTEMBRE 2025" sheetId="42" r:id="rId9"/>
    <sheet name="OCTOBRE 2025" sheetId="43" r:id="rId10"/>
    <sheet name="NOVEMBRE 2025" sheetId="4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44" l="1"/>
  <c r="I40" i="44"/>
  <c r="H40" i="44"/>
  <c r="G40" i="44"/>
  <c r="E40" i="44"/>
  <c r="D40" i="44"/>
  <c r="C40" i="44"/>
  <c r="B40" i="44"/>
  <c r="K39" i="44"/>
  <c r="F39" i="44"/>
  <c r="L39" i="44" s="1"/>
  <c r="K38" i="44"/>
  <c r="F38" i="44"/>
  <c r="L38" i="44" s="1"/>
  <c r="K37" i="44"/>
  <c r="F37" i="44"/>
  <c r="L37" i="44" s="1"/>
  <c r="K36" i="44"/>
  <c r="F36" i="44"/>
  <c r="L36" i="44" s="1"/>
  <c r="K35" i="44"/>
  <c r="F35" i="44"/>
  <c r="L35" i="44" s="1"/>
  <c r="K34" i="44"/>
  <c r="F34" i="44"/>
  <c r="K33" i="44"/>
  <c r="F33" i="44"/>
  <c r="L33" i="44" s="1"/>
  <c r="K32" i="44"/>
  <c r="F32" i="44"/>
  <c r="K31" i="44"/>
  <c r="F31" i="44"/>
  <c r="L31" i="44" s="1"/>
  <c r="K30" i="44"/>
  <c r="F30" i="44"/>
  <c r="L30" i="44" s="1"/>
  <c r="K29" i="44"/>
  <c r="F29" i="44"/>
  <c r="L29" i="44" s="1"/>
  <c r="K28" i="44"/>
  <c r="F28" i="44"/>
  <c r="L28" i="44" s="1"/>
  <c r="K27" i="44"/>
  <c r="F27" i="44"/>
  <c r="L27" i="44" s="1"/>
  <c r="K26" i="44"/>
  <c r="F26" i="44"/>
  <c r="K25" i="44"/>
  <c r="F25" i="44"/>
  <c r="L25" i="44" s="1"/>
  <c r="K24" i="44"/>
  <c r="F24" i="44"/>
  <c r="L24" i="44" s="1"/>
  <c r="K23" i="44"/>
  <c r="F23" i="44"/>
  <c r="L23" i="44" s="1"/>
  <c r="K22" i="44"/>
  <c r="F22" i="44"/>
  <c r="L22" i="44" s="1"/>
  <c r="K21" i="44"/>
  <c r="F21" i="44"/>
  <c r="K20" i="44"/>
  <c r="F20" i="44"/>
  <c r="K19" i="44"/>
  <c r="F19" i="44"/>
  <c r="L19" i="44" s="1"/>
  <c r="K18" i="44"/>
  <c r="F18" i="44"/>
  <c r="K17" i="44"/>
  <c r="F17" i="44"/>
  <c r="L17" i="44" s="1"/>
  <c r="K16" i="44"/>
  <c r="F16" i="44"/>
  <c r="K15" i="44"/>
  <c r="F15" i="44"/>
  <c r="L15" i="44" s="1"/>
  <c r="K14" i="44"/>
  <c r="F14" i="44"/>
  <c r="L14" i="44" s="1"/>
  <c r="K13" i="44"/>
  <c r="F13" i="44"/>
  <c r="L13" i="44" s="1"/>
  <c r="K12" i="44"/>
  <c r="F12" i="44"/>
  <c r="L12" i="44" s="1"/>
  <c r="K11" i="44"/>
  <c r="F11" i="44"/>
  <c r="L11" i="44" s="1"/>
  <c r="K10" i="44"/>
  <c r="F10" i="44"/>
  <c r="L10" i="44" s="1"/>
  <c r="K9" i="44"/>
  <c r="F9" i="44"/>
  <c r="L34" i="44" l="1"/>
  <c r="L32" i="44"/>
  <c r="L16" i="44"/>
  <c r="L21" i="44"/>
  <c r="L18" i="44"/>
  <c r="K40" i="44"/>
  <c r="L20" i="44"/>
  <c r="L26" i="44"/>
  <c r="F40" i="44"/>
  <c r="L9" i="44"/>
  <c r="J40" i="43"/>
  <c r="I40" i="43"/>
  <c r="H40" i="43"/>
  <c r="G40" i="43"/>
  <c r="E40" i="43"/>
  <c r="D40" i="43"/>
  <c r="C40" i="43"/>
  <c r="B40" i="43"/>
  <c r="K39" i="43"/>
  <c r="F39" i="43"/>
  <c r="L39" i="43" s="1"/>
  <c r="K38" i="43"/>
  <c r="F38" i="43"/>
  <c r="L38" i="43" s="1"/>
  <c r="K37" i="43"/>
  <c r="F37" i="43"/>
  <c r="L37" i="43" s="1"/>
  <c r="K36" i="43"/>
  <c r="F36" i="43"/>
  <c r="L36" i="43" s="1"/>
  <c r="K35" i="43"/>
  <c r="F35" i="43"/>
  <c r="K34" i="43"/>
  <c r="F34" i="43"/>
  <c r="K33" i="43"/>
  <c r="F33" i="43"/>
  <c r="L33" i="43" s="1"/>
  <c r="K32" i="43"/>
  <c r="F32" i="43"/>
  <c r="L32" i="43" s="1"/>
  <c r="K31" i="43"/>
  <c r="F31" i="43"/>
  <c r="L31" i="43" s="1"/>
  <c r="K30" i="43"/>
  <c r="F30" i="43"/>
  <c r="L30" i="43" s="1"/>
  <c r="K29" i="43"/>
  <c r="F29" i="43"/>
  <c r="K28" i="43"/>
  <c r="F28" i="43"/>
  <c r="L28" i="43" s="1"/>
  <c r="K27" i="43"/>
  <c r="F27" i="43"/>
  <c r="K26" i="43"/>
  <c r="F26" i="43"/>
  <c r="L26" i="43" s="1"/>
  <c r="K25" i="43"/>
  <c r="F25" i="43"/>
  <c r="K24" i="43"/>
  <c r="L24" i="43" s="1"/>
  <c r="F24" i="43"/>
  <c r="K23" i="43"/>
  <c r="F23" i="43"/>
  <c r="L23" i="43" s="1"/>
  <c r="K22" i="43"/>
  <c r="F22" i="43"/>
  <c r="L22" i="43" s="1"/>
  <c r="K21" i="43"/>
  <c r="F21" i="43"/>
  <c r="K20" i="43"/>
  <c r="F20" i="43"/>
  <c r="K19" i="43"/>
  <c r="F19" i="43"/>
  <c r="L19" i="43" s="1"/>
  <c r="K18" i="43"/>
  <c r="F18" i="43"/>
  <c r="K17" i="43"/>
  <c r="F17" i="43"/>
  <c r="L17" i="43" s="1"/>
  <c r="K16" i="43"/>
  <c r="F16" i="43"/>
  <c r="L16" i="43" s="1"/>
  <c r="K15" i="43"/>
  <c r="F15" i="43"/>
  <c r="L15" i="43" s="1"/>
  <c r="K14" i="43"/>
  <c r="F14" i="43"/>
  <c r="L14" i="43" s="1"/>
  <c r="K13" i="43"/>
  <c r="F13" i="43"/>
  <c r="K12" i="43"/>
  <c r="F12" i="43"/>
  <c r="L12" i="43" s="1"/>
  <c r="K11" i="43"/>
  <c r="F11" i="43"/>
  <c r="L11" i="43" s="1"/>
  <c r="K10" i="43"/>
  <c r="F10" i="43"/>
  <c r="K9" i="43"/>
  <c r="F9" i="43"/>
  <c r="L40" i="44" l="1"/>
  <c r="G46" i="44" s="1"/>
  <c r="G47" i="44" s="1"/>
  <c r="G49" i="44" s="1"/>
  <c r="L18" i="43"/>
  <c r="L35" i="43"/>
  <c r="L13" i="43"/>
  <c r="L21" i="43"/>
  <c r="L27" i="43"/>
  <c r="K40" i="43"/>
  <c r="L34" i="43"/>
  <c r="L29" i="43"/>
  <c r="L20" i="43"/>
  <c r="L25" i="43"/>
  <c r="L9" i="43"/>
  <c r="L10" i="43"/>
  <c r="L40" i="43" s="1"/>
  <c r="G46" i="43" s="1"/>
  <c r="G47" i="43" s="1"/>
  <c r="G49" i="43" s="1"/>
  <c r="F40" i="43"/>
  <c r="J40" i="42"/>
  <c r="I40" i="42"/>
  <c r="H40" i="42"/>
  <c r="G40" i="42"/>
  <c r="E40" i="42"/>
  <c r="D40" i="42"/>
  <c r="C40" i="42"/>
  <c r="B40" i="42"/>
  <c r="K39" i="42"/>
  <c r="F39" i="42"/>
  <c r="K38" i="42"/>
  <c r="F38" i="42"/>
  <c r="K37" i="42"/>
  <c r="F37" i="42"/>
  <c r="L37" i="42" s="1"/>
  <c r="K36" i="42"/>
  <c r="F36" i="42"/>
  <c r="L36" i="42" s="1"/>
  <c r="K35" i="42"/>
  <c r="F35" i="42"/>
  <c r="K34" i="42"/>
  <c r="F34" i="42"/>
  <c r="L34" i="42" s="1"/>
  <c r="K33" i="42"/>
  <c r="F33" i="42"/>
  <c r="L33" i="42" s="1"/>
  <c r="K32" i="42"/>
  <c r="F32" i="42"/>
  <c r="K31" i="42"/>
  <c r="F31" i="42"/>
  <c r="K30" i="42"/>
  <c r="F30" i="42"/>
  <c r="K29" i="42"/>
  <c r="F29" i="42"/>
  <c r="L29" i="42" s="1"/>
  <c r="K28" i="42"/>
  <c r="F28" i="42"/>
  <c r="L28" i="42" s="1"/>
  <c r="K27" i="42"/>
  <c r="F27" i="42"/>
  <c r="K26" i="42"/>
  <c r="F26" i="42"/>
  <c r="K25" i="42"/>
  <c r="F25" i="42"/>
  <c r="L25" i="42" s="1"/>
  <c r="K24" i="42"/>
  <c r="F24" i="42"/>
  <c r="K23" i="42"/>
  <c r="F23" i="42"/>
  <c r="K22" i="42"/>
  <c r="F22" i="42"/>
  <c r="K21" i="42"/>
  <c r="F21" i="42"/>
  <c r="L21" i="42" s="1"/>
  <c r="K20" i="42"/>
  <c r="F20" i="42"/>
  <c r="K19" i="42"/>
  <c r="F19" i="42"/>
  <c r="K18" i="42"/>
  <c r="F18" i="42"/>
  <c r="L18" i="42" s="1"/>
  <c r="K17" i="42"/>
  <c r="F17" i="42"/>
  <c r="L17" i="42" s="1"/>
  <c r="K16" i="42"/>
  <c r="F16" i="42"/>
  <c r="K15" i="42"/>
  <c r="F15" i="42"/>
  <c r="K14" i="42"/>
  <c r="F14" i="42"/>
  <c r="K13" i="42"/>
  <c r="F13" i="42"/>
  <c r="K12" i="42"/>
  <c r="F12" i="42"/>
  <c r="K11" i="42"/>
  <c r="F11" i="42"/>
  <c r="K10" i="42"/>
  <c r="F10" i="42"/>
  <c r="K9" i="42"/>
  <c r="F9" i="42"/>
  <c r="L39" i="42" l="1"/>
  <c r="L12" i="42"/>
  <c r="L14" i="42"/>
  <c r="L20" i="42"/>
  <c r="L38" i="42"/>
  <c r="L32" i="42"/>
  <c r="L26" i="42"/>
  <c r="L24" i="42"/>
  <c r="L23" i="42"/>
  <c r="L22" i="42"/>
  <c r="L16" i="42"/>
  <c r="L10" i="42"/>
  <c r="L9" i="42"/>
  <c r="K40" i="42"/>
  <c r="L13" i="42"/>
  <c r="L30" i="42"/>
  <c r="L27" i="42"/>
  <c r="L15" i="42"/>
  <c r="L31" i="42"/>
  <c r="L11" i="42"/>
  <c r="L19" i="42"/>
  <c r="L35" i="42"/>
  <c r="F40" i="42"/>
  <c r="J40" i="41"/>
  <c r="I40" i="41"/>
  <c r="H40" i="41"/>
  <c r="G40" i="41"/>
  <c r="E40" i="41"/>
  <c r="D40" i="41"/>
  <c r="C40" i="41"/>
  <c r="B40" i="41"/>
  <c r="K39" i="41"/>
  <c r="F39" i="41"/>
  <c r="L39" i="41" s="1"/>
  <c r="K38" i="41"/>
  <c r="F38" i="41"/>
  <c r="L38" i="41" s="1"/>
  <c r="K37" i="41"/>
  <c r="F37" i="41"/>
  <c r="K36" i="41"/>
  <c r="F36" i="41"/>
  <c r="K35" i="41"/>
  <c r="F35" i="41"/>
  <c r="L35" i="41" s="1"/>
  <c r="K34" i="41"/>
  <c r="F34" i="41"/>
  <c r="K33" i="41"/>
  <c r="F33" i="41"/>
  <c r="L33" i="41" s="1"/>
  <c r="K32" i="41"/>
  <c r="F32" i="41"/>
  <c r="K31" i="41"/>
  <c r="F31" i="41"/>
  <c r="K30" i="41"/>
  <c r="F30" i="41"/>
  <c r="K29" i="41"/>
  <c r="F29" i="41"/>
  <c r="L29" i="41" s="1"/>
  <c r="K28" i="41"/>
  <c r="F28" i="41"/>
  <c r="L28" i="41" s="1"/>
  <c r="K27" i="41"/>
  <c r="F27" i="41"/>
  <c r="L27" i="41" s="1"/>
  <c r="K26" i="41"/>
  <c r="F26" i="41"/>
  <c r="K25" i="41"/>
  <c r="F25" i="41"/>
  <c r="K24" i="41"/>
  <c r="F24" i="41"/>
  <c r="L24" i="41" s="1"/>
  <c r="K23" i="41"/>
  <c r="F23" i="41"/>
  <c r="L23" i="41" s="1"/>
  <c r="K22" i="41"/>
  <c r="F22" i="41"/>
  <c r="L22" i="41" s="1"/>
  <c r="K21" i="41"/>
  <c r="F21" i="41"/>
  <c r="L21" i="41" s="1"/>
  <c r="K20" i="41"/>
  <c r="F20" i="41"/>
  <c r="K19" i="41"/>
  <c r="F19" i="41"/>
  <c r="K18" i="41"/>
  <c r="F18" i="41"/>
  <c r="L18" i="41" s="1"/>
  <c r="K17" i="41"/>
  <c r="F17" i="41"/>
  <c r="K16" i="41"/>
  <c r="F16" i="41"/>
  <c r="L16" i="41" s="1"/>
  <c r="K15" i="41"/>
  <c r="F15" i="41"/>
  <c r="K14" i="41"/>
  <c r="F14" i="41"/>
  <c r="L14" i="41" s="1"/>
  <c r="K13" i="41"/>
  <c r="F13" i="41"/>
  <c r="K12" i="41"/>
  <c r="F12" i="41"/>
  <c r="K11" i="41"/>
  <c r="F11" i="41"/>
  <c r="L11" i="41" s="1"/>
  <c r="K10" i="41"/>
  <c r="F10" i="41"/>
  <c r="L10" i="41" s="1"/>
  <c r="K9" i="41"/>
  <c r="F9" i="41"/>
  <c r="L25" i="41" l="1"/>
  <c r="L31" i="41"/>
  <c r="L40" i="42"/>
  <c r="G46" i="42" s="1"/>
  <c r="G47" i="42" s="1"/>
  <c r="G49" i="42" s="1"/>
  <c r="L36" i="41"/>
  <c r="L26" i="41"/>
  <c r="L20" i="41"/>
  <c r="L12" i="41"/>
  <c r="K40" i="41"/>
  <c r="L37" i="41"/>
  <c r="L9" i="41"/>
  <c r="L13" i="41"/>
  <c r="L15" i="41"/>
  <c r="L17" i="41"/>
  <c r="L19" i="41"/>
  <c r="L30" i="41"/>
  <c r="L32" i="41"/>
  <c r="L34" i="41"/>
  <c r="F40" i="41"/>
  <c r="J40" i="40"/>
  <c r="I40" i="40"/>
  <c r="H40" i="40"/>
  <c r="G40" i="40"/>
  <c r="E40" i="40"/>
  <c r="D40" i="40"/>
  <c r="C40" i="40"/>
  <c r="B40" i="40"/>
  <c r="K39" i="40"/>
  <c r="F39" i="40"/>
  <c r="K38" i="40"/>
  <c r="F38" i="40"/>
  <c r="L38" i="40" s="1"/>
  <c r="K37" i="40"/>
  <c r="F37" i="40"/>
  <c r="K36" i="40"/>
  <c r="F36" i="40"/>
  <c r="K35" i="40"/>
  <c r="F35" i="40"/>
  <c r="K34" i="40"/>
  <c r="F34" i="40"/>
  <c r="L34" i="40" s="1"/>
  <c r="K33" i="40"/>
  <c r="F33" i="40"/>
  <c r="K32" i="40"/>
  <c r="F32" i="40"/>
  <c r="K31" i="40"/>
  <c r="F31" i="40"/>
  <c r="K30" i="40"/>
  <c r="F30" i="40"/>
  <c r="K29" i="40"/>
  <c r="F29" i="40"/>
  <c r="L29" i="40" s="1"/>
  <c r="K28" i="40"/>
  <c r="F28" i="40"/>
  <c r="L28" i="40" s="1"/>
  <c r="K27" i="40"/>
  <c r="F27" i="40"/>
  <c r="K26" i="40"/>
  <c r="F26" i="40"/>
  <c r="K25" i="40"/>
  <c r="F25" i="40"/>
  <c r="L25" i="40" s="1"/>
  <c r="K24" i="40"/>
  <c r="F24" i="40"/>
  <c r="K23" i="40"/>
  <c r="F23" i="40"/>
  <c r="K22" i="40"/>
  <c r="F22" i="40"/>
  <c r="K21" i="40"/>
  <c r="F21" i="40"/>
  <c r="L21" i="40" s="1"/>
  <c r="K20" i="40"/>
  <c r="F20" i="40"/>
  <c r="K19" i="40"/>
  <c r="F19" i="40"/>
  <c r="K18" i="40"/>
  <c r="F18" i="40"/>
  <c r="K17" i="40"/>
  <c r="F17" i="40"/>
  <c r="L17" i="40" s="1"/>
  <c r="K16" i="40"/>
  <c r="F16" i="40"/>
  <c r="L16" i="40" s="1"/>
  <c r="K15" i="40"/>
  <c r="F15" i="40"/>
  <c r="K14" i="40"/>
  <c r="F14" i="40"/>
  <c r="L14" i="40" s="1"/>
  <c r="K13" i="40"/>
  <c r="F13" i="40"/>
  <c r="K12" i="40"/>
  <c r="F12" i="40"/>
  <c r="K11" i="40"/>
  <c r="F11" i="40"/>
  <c r="K10" i="40"/>
  <c r="F10" i="40"/>
  <c r="L10" i="40" s="1"/>
  <c r="K9" i="40"/>
  <c r="F9" i="40"/>
  <c r="L23" i="40" l="1"/>
  <c r="L12" i="40"/>
  <c r="L32" i="40"/>
  <c r="L39" i="40"/>
  <c r="L40" i="41"/>
  <c r="G46" i="41" s="1"/>
  <c r="G47" i="41" s="1"/>
  <c r="G49" i="41" s="1"/>
  <c r="L36" i="40"/>
  <c r="L9" i="40"/>
  <c r="L18" i="40"/>
  <c r="L20" i="40"/>
  <c r="L22" i="40"/>
  <c r="L24" i="40"/>
  <c r="L26" i="40"/>
  <c r="L33" i="40"/>
  <c r="K40" i="40"/>
  <c r="L13" i="40"/>
  <c r="L30" i="40"/>
  <c r="L37" i="40"/>
  <c r="L11" i="40"/>
  <c r="L27" i="40"/>
  <c r="L15" i="40"/>
  <c r="L31" i="40"/>
  <c r="L19" i="40"/>
  <c r="L35" i="40"/>
  <c r="F40" i="40"/>
  <c r="J40" i="39"/>
  <c r="I40" i="39"/>
  <c r="H40" i="39"/>
  <c r="G40" i="39"/>
  <c r="E40" i="39"/>
  <c r="D40" i="39"/>
  <c r="C40" i="39"/>
  <c r="B40" i="39"/>
  <c r="K39" i="39"/>
  <c r="F39" i="39"/>
  <c r="L39" i="39" s="1"/>
  <c r="K38" i="39"/>
  <c r="F38" i="39"/>
  <c r="L38" i="39" s="1"/>
  <c r="K37" i="39"/>
  <c r="F37" i="39"/>
  <c r="L37" i="39" s="1"/>
  <c r="K36" i="39"/>
  <c r="F36" i="39"/>
  <c r="K35" i="39"/>
  <c r="F35" i="39"/>
  <c r="L35" i="39" s="1"/>
  <c r="K34" i="39"/>
  <c r="F34" i="39"/>
  <c r="L34" i="39" s="1"/>
  <c r="K33" i="39"/>
  <c r="F33" i="39"/>
  <c r="L33" i="39" s="1"/>
  <c r="K32" i="39"/>
  <c r="F32" i="39"/>
  <c r="K31" i="39"/>
  <c r="F31" i="39"/>
  <c r="L31" i="39" s="1"/>
  <c r="K30" i="39"/>
  <c r="F30" i="39"/>
  <c r="K29" i="39"/>
  <c r="F29" i="39"/>
  <c r="L29" i="39" s="1"/>
  <c r="K28" i="39"/>
  <c r="F28" i="39"/>
  <c r="K27" i="39"/>
  <c r="F27" i="39"/>
  <c r="K26" i="39"/>
  <c r="F26" i="39"/>
  <c r="K25" i="39"/>
  <c r="F25" i="39"/>
  <c r="K24" i="39"/>
  <c r="F24" i="39"/>
  <c r="K23" i="39"/>
  <c r="F23" i="39"/>
  <c r="K22" i="39"/>
  <c r="F22" i="39"/>
  <c r="K21" i="39"/>
  <c r="F21" i="39"/>
  <c r="K20" i="39"/>
  <c r="F20" i="39"/>
  <c r="K19" i="39"/>
  <c r="F19" i="39"/>
  <c r="L19" i="39" s="1"/>
  <c r="K18" i="39"/>
  <c r="F18" i="39"/>
  <c r="L18" i="39" s="1"/>
  <c r="K17" i="39"/>
  <c r="F17" i="39"/>
  <c r="L17" i="39" s="1"/>
  <c r="K16" i="39"/>
  <c r="F16" i="39"/>
  <c r="K15" i="39"/>
  <c r="F15" i="39"/>
  <c r="L15" i="39" s="1"/>
  <c r="K14" i="39"/>
  <c r="F14" i="39"/>
  <c r="K13" i="39"/>
  <c r="F13" i="39"/>
  <c r="L13" i="39" s="1"/>
  <c r="K12" i="39"/>
  <c r="F12" i="39"/>
  <c r="K11" i="39"/>
  <c r="F11" i="39"/>
  <c r="L11" i="39" s="1"/>
  <c r="K10" i="39"/>
  <c r="F10" i="39"/>
  <c r="K9" i="39"/>
  <c r="F9" i="39"/>
  <c r="L21" i="39" l="1"/>
  <c r="L16" i="39"/>
  <c r="L30" i="39"/>
  <c r="L26" i="39"/>
  <c r="L40" i="40"/>
  <c r="G46" i="40" s="1"/>
  <c r="G47" i="40" s="1"/>
  <c r="G49" i="40" s="1"/>
  <c r="L32" i="39"/>
  <c r="L27" i="39"/>
  <c r="L25" i="39"/>
  <c r="L23" i="39"/>
  <c r="L9" i="39"/>
  <c r="K40" i="39"/>
  <c r="L10" i="39"/>
  <c r="L14" i="39"/>
  <c r="L22" i="39"/>
  <c r="L36" i="39"/>
  <c r="L24" i="39"/>
  <c r="L20" i="39"/>
  <c r="F40" i="39"/>
  <c r="L12" i="39"/>
  <c r="L28" i="39"/>
  <c r="J40" i="38"/>
  <c r="I40" i="38"/>
  <c r="H40" i="38"/>
  <c r="G40" i="38"/>
  <c r="E40" i="38"/>
  <c r="D40" i="38"/>
  <c r="C40" i="38"/>
  <c r="B40" i="38"/>
  <c r="K39" i="38"/>
  <c r="F39" i="38"/>
  <c r="L39" i="38" s="1"/>
  <c r="K38" i="38"/>
  <c r="F38" i="38"/>
  <c r="K37" i="38"/>
  <c r="F37" i="38"/>
  <c r="L37" i="38" s="1"/>
  <c r="K36" i="38"/>
  <c r="F36" i="38"/>
  <c r="K35" i="38"/>
  <c r="F35" i="38"/>
  <c r="L35" i="38" s="1"/>
  <c r="K34" i="38"/>
  <c r="F34" i="38"/>
  <c r="L34" i="38" s="1"/>
  <c r="K33" i="38"/>
  <c r="F33" i="38"/>
  <c r="K32" i="38"/>
  <c r="F32" i="38"/>
  <c r="K31" i="38"/>
  <c r="F31" i="38"/>
  <c r="L31" i="38" s="1"/>
  <c r="K30" i="38"/>
  <c r="F30" i="38"/>
  <c r="K29" i="38"/>
  <c r="F29" i="38"/>
  <c r="K28" i="38"/>
  <c r="F28" i="38"/>
  <c r="K27" i="38"/>
  <c r="F27" i="38"/>
  <c r="L27" i="38" s="1"/>
  <c r="K26" i="38"/>
  <c r="F26" i="38"/>
  <c r="K25" i="38"/>
  <c r="F25" i="38"/>
  <c r="K24" i="38"/>
  <c r="F24" i="38"/>
  <c r="K23" i="38"/>
  <c r="F23" i="38"/>
  <c r="L23" i="38" s="1"/>
  <c r="K22" i="38"/>
  <c r="F22" i="38"/>
  <c r="K21" i="38"/>
  <c r="F21" i="38"/>
  <c r="K20" i="38"/>
  <c r="F20" i="38"/>
  <c r="K19" i="38"/>
  <c r="F19" i="38"/>
  <c r="L19" i="38" s="1"/>
  <c r="K18" i="38"/>
  <c r="F18" i="38"/>
  <c r="K17" i="38"/>
  <c r="F17" i="38"/>
  <c r="L17" i="38" s="1"/>
  <c r="K16" i="38"/>
  <c r="F16" i="38"/>
  <c r="K15" i="38"/>
  <c r="F15" i="38"/>
  <c r="K14" i="38"/>
  <c r="F14" i="38"/>
  <c r="K13" i="38"/>
  <c r="F13" i="38"/>
  <c r="K12" i="38"/>
  <c r="F12" i="38"/>
  <c r="K11" i="38"/>
  <c r="F11" i="38"/>
  <c r="K10" i="38"/>
  <c r="F10" i="38"/>
  <c r="K9" i="38"/>
  <c r="F9" i="38"/>
  <c r="L32" i="38" l="1"/>
  <c r="L16" i="38"/>
  <c r="L36" i="38"/>
  <c r="L12" i="38"/>
  <c r="L38" i="38"/>
  <c r="L40" i="39"/>
  <c r="G46" i="39" s="1"/>
  <c r="G47" i="39" s="1"/>
  <c r="G49" i="39" s="1"/>
  <c r="L33" i="38"/>
  <c r="L28" i="38"/>
  <c r="L21" i="38"/>
  <c r="L14" i="38"/>
  <c r="L9" i="38"/>
  <c r="L11" i="38"/>
  <c r="L18" i="38"/>
  <c r="L20" i="38"/>
  <c r="L22" i="38"/>
  <c r="L24" i="38"/>
  <c r="L26" i="38"/>
  <c r="K40" i="38"/>
  <c r="L13" i="38"/>
  <c r="L15" i="38"/>
  <c r="L30" i="38"/>
  <c r="F40" i="38"/>
  <c r="L29" i="38"/>
  <c r="L25" i="38"/>
  <c r="L10" i="38"/>
  <c r="J40" i="37"/>
  <c r="I40" i="37"/>
  <c r="H40" i="37"/>
  <c r="G40" i="37"/>
  <c r="E40" i="37"/>
  <c r="D40" i="37"/>
  <c r="C40" i="37"/>
  <c r="B40" i="37"/>
  <c r="K39" i="37"/>
  <c r="F39" i="37"/>
  <c r="K38" i="37"/>
  <c r="F38" i="37"/>
  <c r="K37" i="37"/>
  <c r="F37" i="37"/>
  <c r="L37" i="37" s="1"/>
  <c r="K36" i="37"/>
  <c r="F36" i="37"/>
  <c r="L36" i="37" s="1"/>
  <c r="K35" i="37"/>
  <c r="F35" i="37"/>
  <c r="K34" i="37"/>
  <c r="F34" i="37"/>
  <c r="L34" i="37" s="1"/>
  <c r="K33" i="37"/>
  <c r="F33" i="37"/>
  <c r="L33" i="37" s="1"/>
  <c r="K32" i="37"/>
  <c r="L32" i="37" s="1"/>
  <c r="F32" i="37"/>
  <c r="K31" i="37"/>
  <c r="F31" i="37"/>
  <c r="K30" i="37"/>
  <c r="F30" i="37"/>
  <c r="K29" i="37"/>
  <c r="F29" i="37"/>
  <c r="L29" i="37" s="1"/>
  <c r="K28" i="37"/>
  <c r="F28" i="37"/>
  <c r="K27" i="37"/>
  <c r="F27" i="37"/>
  <c r="K26" i="37"/>
  <c r="F26" i="37"/>
  <c r="K25" i="37"/>
  <c r="F25" i="37"/>
  <c r="K24" i="37"/>
  <c r="F24" i="37"/>
  <c r="K23" i="37"/>
  <c r="F23" i="37"/>
  <c r="K22" i="37"/>
  <c r="F22" i="37"/>
  <c r="L22" i="37" s="1"/>
  <c r="K21" i="37"/>
  <c r="F21" i="37"/>
  <c r="K20" i="37"/>
  <c r="L20" i="37" s="1"/>
  <c r="F20" i="37"/>
  <c r="K19" i="37"/>
  <c r="F19" i="37"/>
  <c r="K18" i="37"/>
  <c r="F18" i="37"/>
  <c r="K17" i="37"/>
  <c r="F17" i="37"/>
  <c r="K16" i="37"/>
  <c r="F16" i="37"/>
  <c r="L16" i="37" s="1"/>
  <c r="K15" i="37"/>
  <c r="F15" i="37"/>
  <c r="K14" i="37"/>
  <c r="F14" i="37"/>
  <c r="K13" i="37"/>
  <c r="F13" i="37"/>
  <c r="L13" i="37" s="1"/>
  <c r="K12" i="37"/>
  <c r="F12" i="37"/>
  <c r="K11" i="37"/>
  <c r="F11" i="37"/>
  <c r="K10" i="37"/>
  <c r="F10" i="37"/>
  <c r="L10" i="37" s="1"/>
  <c r="K9" i="37"/>
  <c r="F9" i="37"/>
  <c r="L9" i="37" s="1"/>
  <c r="L28" i="37" l="1"/>
  <c r="L39" i="37"/>
  <c r="L24" i="37"/>
  <c r="L26" i="37"/>
  <c r="L38" i="37"/>
  <c r="L40" i="38"/>
  <c r="G46" i="38" s="1"/>
  <c r="G47" i="38" s="1"/>
  <c r="G49" i="38" s="1"/>
  <c r="K40" i="37"/>
  <c r="L17" i="37"/>
  <c r="L11" i="37"/>
  <c r="L19" i="37"/>
  <c r="L23" i="37"/>
  <c r="L27" i="37"/>
  <c r="L31" i="37"/>
  <c r="L15" i="37"/>
  <c r="L12" i="37"/>
  <c r="L35" i="37"/>
  <c r="L14" i="37"/>
  <c r="L21" i="37"/>
  <c r="L30" i="37"/>
  <c r="L18" i="37"/>
  <c r="L25" i="37"/>
  <c r="F40" i="37"/>
  <c r="J40" i="36"/>
  <c r="I40" i="36"/>
  <c r="H40" i="36"/>
  <c r="G40" i="36"/>
  <c r="E40" i="36"/>
  <c r="D40" i="36"/>
  <c r="C40" i="36"/>
  <c r="B40" i="36"/>
  <c r="K39" i="36"/>
  <c r="F39" i="36"/>
  <c r="L39" i="36" s="1"/>
  <c r="K38" i="36"/>
  <c r="F38" i="36"/>
  <c r="L38" i="36" s="1"/>
  <c r="K37" i="36"/>
  <c r="L37" i="36" s="1"/>
  <c r="F37" i="36"/>
  <c r="K36" i="36"/>
  <c r="F36" i="36"/>
  <c r="K35" i="36"/>
  <c r="F35" i="36"/>
  <c r="L35" i="36" s="1"/>
  <c r="K34" i="36"/>
  <c r="F34" i="36"/>
  <c r="L34" i="36" s="1"/>
  <c r="K33" i="36"/>
  <c r="F33" i="36"/>
  <c r="L33" i="36" s="1"/>
  <c r="K32" i="36"/>
  <c r="F32" i="36"/>
  <c r="K31" i="36"/>
  <c r="F31" i="36"/>
  <c r="K30" i="36"/>
  <c r="F30" i="36"/>
  <c r="L30" i="36" s="1"/>
  <c r="K29" i="36"/>
  <c r="F29" i="36"/>
  <c r="L29" i="36" s="1"/>
  <c r="K28" i="36"/>
  <c r="F28" i="36"/>
  <c r="K27" i="36"/>
  <c r="F27" i="36"/>
  <c r="K26" i="36"/>
  <c r="F26" i="36"/>
  <c r="L26" i="36" s="1"/>
  <c r="K25" i="36"/>
  <c r="F25" i="36"/>
  <c r="K24" i="36"/>
  <c r="F24" i="36"/>
  <c r="K23" i="36"/>
  <c r="F23" i="36"/>
  <c r="L23" i="36" s="1"/>
  <c r="K22" i="36"/>
  <c r="F22" i="36"/>
  <c r="L22" i="36" s="1"/>
  <c r="K21" i="36"/>
  <c r="F21" i="36"/>
  <c r="L21" i="36" s="1"/>
  <c r="K20" i="36"/>
  <c r="L20" i="36" s="1"/>
  <c r="F20" i="36"/>
  <c r="K19" i="36"/>
  <c r="F19" i="36"/>
  <c r="L19" i="36" s="1"/>
  <c r="K18" i="36"/>
  <c r="F18" i="36"/>
  <c r="L18" i="36" s="1"/>
  <c r="K17" i="36"/>
  <c r="F17" i="36"/>
  <c r="L17" i="36" s="1"/>
  <c r="K16" i="36"/>
  <c r="F16" i="36"/>
  <c r="K15" i="36"/>
  <c r="F15" i="36"/>
  <c r="L15" i="36" s="1"/>
  <c r="K14" i="36"/>
  <c r="F14" i="36"/>
  <c r="L14" i="36" s="1"/>
  <c r="K13" i="36"/>
  <c r="F13" i="36"/>
  <c r="K12" i="36"/>
  <c r="F12" i="36"/>
  <c r="K11" i="36"/>
  <c r="F11" i="36"/>
  <c r="K10" i="36"/>
  <c r="F10" i="36"/>
  <c r="K9" i="36"/>
  <c r="L9" i="36" s="1"/>
  <c r="F9" i="36"/>
  <c r="L27" i="36" l="1"/>
  <c r="L32" i="36"/>
  <c r="L16" i="36"/>
  <c r="L36" i="36"/>
  <c r="L12" i="36"/>
  <c r="L31" i="36"/>
  <c r="L40" i="37"/>
  <c r="G46" i="37" s="1"/>
  <c r="G47" i="37" s="1"/>
  <c r="G49" i="37" s="1"/>
  <c r="L25" i="36"/>
  <c r="L13" i="36"/>
  <c r="L11" i="36"/>
  <c r="K40" i="36"/>
  <c r="L10" i="36"/>
  <c r="L24" i="36"/>
  <c r="F40" i="36"/>
  <c r="L28" i="36"/>
  <c r="J40" i="35"/>
  <c r="I40" i="35"/>
  <c r="H40" i="35"/>
  <c r="G40" i="35"/>
  <c r="E40" i="35"/>
  <c r="D40" i="35"/>
  <c r="C40" i="35"/>
  <c r="B40" i="35"/>
  <c r="K39" i="35"/>
  <c r="L39" i="35" s="1"/>
  <c r="F39" i="35"/>
  <c r="K38" i="35"/>
  <c r="F38" i="35"/>
  <c r="L38" i="35" s="1"/>
  <c r="K37" i="35"/>
  <c r="F37" i="35"/>
  <c r="L37" i="35" s="1"/>
  <c r="K36" i="35"/>
  <c r="F36" i="35"/>
  <c r="L36" i="35" s="1"/>
  <c r="K35" i="35"/>
  <c r="F35" i="35"/>
  <c r="K34" i="35"/>
  <c r="F34" i="35"/>
  <c r="L34" i="35" s="1"/>
  <c r="K33" i="35"/>
  <c r="F33" i="35"/>
  <c r="L33" i="35" s="1"/>
  <c r="K32" i="35"/>
  <c r="F32" i="35"/>
  <c r="L32" i="35" s="1"/>
  <c r="K31" i="35"/>
  <c r="F31" i="35"/>
  <c r="K30" i="35"/>
  <c r="F30" i="35"/>
  <c r="L30" i="35" s="1"/>
  <c r="K29" i="35"/>
  <c r="F29" i="35"/>
  <c r="L29" i="35" s="1"/>
  <c r="K28" i="35"/>
  <c r="L28" i="35" s="1"/>
  <c r="F28" i="35"/>
  <c r="K27" i="35"/>
  <c r="F27" i="35"/>
  <c r="K26" i="35"/>
  <c r="F26" i="35"/>
  <c r="L26" i="35" s="1"/>
  <c r="K25" i="35"/>
  <c r="F25" i="35"/>
  <c r="K24" i="35"/>
  <c r="F24" i="35"/>
  <c r="L24" i="35" s="1"/>
  <c r="K23" i="35"/>
  <c r="F23" i="35"/>
  <c r="K22" i="35"/>
  <c r="F22" i="35"/>
  <c r="K21" i="35"/>
  <c r="F21" i="35"/>
  <c r="K20" i="35"/>
  <c r="F20" i="35"/>
  <c r="K19" i="35"/>
  <c r="F19" i="35"/>
  <c r="K18" i="35"/>
  <c r="F18" i="35"/>
  <c r="L18" i="35" s="1"/>
  <c r="K17" i="35"/>
  <c r="F17" i="35"/>
  <c r="L17" i="35" s="1"/>
  <c r="L16" i="35"/>
  <c r="K16" i="35"/>
  <c r="F16" i="35"/>
  <c r="K15" i="35"/>
  <c r="F15" i="35"/>
  <c r="K14" i="35"/>
  <c r="F14" i="35"/>
  <c r="L14" i="35" s="1"/>
  <c r="K13" i="35"/>
  <c r="F13" i="35"/>
  <c r="L13" i="35" s="1"/>
  <c r="K12" i="35"/>
  <c r="F12" i="35"/>
  <c r="L12" i="35" s="1"/>
  <c r="K11" i="35"/>
  <c r="L11" i="35" s="1"/>
  <c r="F11" i="35"/>
  <c r="K10" i="35"/>
  <c r="F10" i="35"/>
  <c r="L10" i="35" s="1"/>
  <c r="K9" i="35"/>
  <c r="F9" i="35"/>
  <c r="L9" i="35" s="1"/>
  <c r="L23" i="35" l="1"/>
  <c r="L15" i="35"/>
  <c r="L22" i="35"/>
  <c r="L40" i="36"/>
  <c r="G46" i="36" s="1"/>
  <c r="G47" i="36" s="1"/>
  <c r="G49" i="36" s="1"/>
  <c r="L20" i="35"/>
  <c r="K40" i="35"/>
  <c r="L21" i="35"/>
  <c r="L25" i="35"/>
  <c r="L27" i="35"/>
  <c r="L31" i="35"/>
  <c r="L19" i="35"/>
  <c r="L35" i="35"/>
  <c r="F40" i="35"/>
  <c r="J40" i="34"/>
  <c r="I40" i="34"/>
  <c r="H40" i="34"/>
  <c r="G40" i="34"/>
  <c r="E40" i="34"/>
  <c r="D40" i="34"/>
  <c r="C40" i="34"/>
  <c r="B40" i="34"/>
  <c r="K39" i="34"/>
  <c r="F39" i="34"/>
  <c r="L39" i="34" s="1"/>
  <c r="K38" i="34"/>
  <c r="F38" i="34"/>
  <c r="K37" i="34"/>
  <c r="F37" i="34"/>
  <c r="L37" i="34" s="1"/>
  <c r="K36" i="34"/>
  <c r="F36" i="34"/>
  <c r="L36" i="34" s="1"/>
  <c r="K35" i="34"/>
  <c r="F35" i="34"/>
  <c r="K34" i="34"/>
  <c r="F34" i="34"/>
  <c r="K33" i="34"/>
  <c r="F33" i="34"/>
  <c r="K32" i="34"/>
  <c r="F32" i="34"/>
  <c r="K31" i="34"/>
  <c r="F31" i="34"/>
  <c r="K30" i="34"/>
  <c r="F30" i="34"/>
  <c r="L30" i="34" s="1"/>
  <c r="K29" i="34"/>
  <c r="F29" i="34"/>
  <c r="K28" i="34"/>
  <c r="F28" i="34"/>
  <c r="K27" i="34"/>
  <c r="F27" i="34"/>
  <c r="K26" i="34"/>
  <c r="F26" i="34"/>
  <c r="K25" i="34"/>
  <c r="F25" i="34"/>
  <c r="K24" i="34"/>
  <c r="F24" i="34"/>
  <c r="L24" i="34" s="1"/>
  <c r="K23" i="34"/>
  <c r="F23" i="34"/>
  <c r="K22" i="34"/>
  <c r="F22" i="34"/>
  <c r="K21" i="34"/>
  <c r="F21" i="34"/>
  <c r="L21" i="34" s="1"/>
  <c r="K20" i="34"/>
  <c r="F20" i="34"/>
  <c r="K19" i="34"/>
  <c r="F19" i="34"/>
  <c r="K18" i="34"/>
  <c r="F18" i="34"/>
  <c r="K17" i="34"/>
  <c r="F17" i="34"/>
  <c r="L17" i="34" s="1"/>
  <c r="K16" i="34"/>
  <c r="F16" i="34"/>
  <c r="L16" i="34" s="1"/>
  <c r="K15" i="34"/>
  <c r="F15" i="34"/>
  <c r="K14" i="34"/>
  <c r="F14" i="34"/>
  <c r="K13" i="34"/>
  <c r="F13" i="34"/>
  <c r="K12" i="34"/>
  <c r="F12" i="34"/>
  <c r="K11" i="34"/>
  <c r="F11" i="34"/>
  <c r="K10" i="34"/>
  <c r="F10" i="34"/>
  <c r="K9" i="34"/>
  <c r="F9" i="34"/>
  <c r="L9" i="34" s="1"/>
  <c r="L28" i="34" l="1"/>
  <c r="L14" i="34"/>
  <c r="L20" i="34"/>
  <c r="L32" i="34"/>
  <c r="L38" i="34"/>
  <c r="L40" i="35"/>
  <c r="G46" i="35" s="1"/>
  <c r="G47" i="35" s="1"/>
  <c r="G49" i="35" s="1"/>
  <c r="L29" i="34"/>
  <c r="L33" i="34"/>
  <c r="L22" i="34"/>
  <c r="L18" i="34"/>
  <c r="L10" i="34"/>
  <c r="L11" i="34"/>
  <c r="L26" i="34"/>
  <c r="L25" i="34"/>
  <c r="L13" i="34"/>
  <c r="L12" i="34"/>
  <c r="K40" i="34"/>
  <c r="L34" i="34"/>
  <c r="L27" i="34"/>
  <c r="L31" i="34"/>
  <c r="L19" i="34"/>
  <c r="L35" i="34"/>
  <c r="L15" i="34"/>
  <c r="L23" i="34"/>
  <c r="F40" i="34"/>
  <c r="L40" i="34" l="1"/>
  <c r="G46" i="34" s="1"/>
  <c r="G47" i="34" s="1"/>
  <c r="G49" i="34" s="1"/>
</calcChain>
</file>

<file path=xl/sharedStrings.xml><?xml version="1.0" encoding="utf-8"?>
<sst xmlns="http://schemas.openxmlformats.org/spreadsheetml/2006/main" count="413" uniqueCount="78">
  <si>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</si>
  <si>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</si>
  <si>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</si>
  <si>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</si>
  <si>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</si>
  <si>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</si>
  <si>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</si>
  <si>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</si>
  <si>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</si>
  <si>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</si>
  <si>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</si>
  <si>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</si>
  <si>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</si>
  <si>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</si>
  <si>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</si>
  <si>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</si>
  <si>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</si>
  <si>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</si>
  <si>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</si>
  <si>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</si>
  <si>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</si>
  <si>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</si>
  <si>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</si>
  <si>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</si>
  <si>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</si>
  <si>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</si>
  <si>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</si>
  <si>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</si>
  <si>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2025</t>
  </si>
  <si>
    <t>01 Compteurs DN 15/21 Destination Antenne Robea</t>
  </si>
  <si>
    <t>Mois de FEVRIER 2025</t>
  </si>
  <si>
    <t>01 Compteurs DN 15/21 Destination Antenne Seghouane</t>
  </si>
  <si>
    <t>02 Compteurs DN 15/21 Destination Antenne Tlathet douairs</t>
  </si>
  <si>
    <t>04 Compteurs DN 15/21 Destination Antenne Zoubiria</t>
  </si>
  <si>
    <t>01 Compteurs DN 30 Destination Antenne Seghouane</t>
  </si>
  <si>
    <t>01 Compteurs DN 30 Destination Antenne Zoubiria</t>
  </si>
  <si>
    <t>Mois de MARS 2025</t>
  </si>
  <si>
    <t>Mois de AVRIL 2025</t>
  </si>
  <si>
    <t>02 Compteurs DN 15/21 Destination Antenne Zoubiria</t>
  </si>
  <si>
    <t>01 Compteurs DN 80 Destination Antenne Seghouane</t>
  </si>
  <si>
    <t>Mois de MAI 2025</t>
  </si>
  <si>
    <t>01 Compteurs DN 20/27 Destination Antenne Tlathet douairs</t>
  </si>
  <si>
    <t>01 Compteurs DN 20/27 Destination Antenne Ouled Dheid</t>
  </si>
  <si>
    <t>37 Compteurs DN 15/21 Destination Antenne Ouled Dhied</t>
  </si>
  <si>
    <t>32 Compteurs DN 15/21 Destination Antenne Zoubiria</t>
  </si>
  <si>
    <t>06 Compteurs DN 15/21 Destination Antenne Tlathet douairs</t>
  </si>
  <si>
    <t>Mois de JUIN 2025</t>
  </si>
  <si>
    <t>15 Compteurs DN 15/21 Destination Antenne Ouled dhied</t>
  </si>
  <si>
    <t>46 Compteurs DN 15/21 Destination Antenne Zoubiria</t>
  </si>
  <si>
    <t>6 Compteurs DN 15/21 Destination Antenne Tlathet douairs</t>
  </si>
  <si>
    <t>1 Compteurs DN 15/21 Destination Antenne Robea</t>
  </si>
  <si>
    <t>Mois de JUILLET 2025</t>
  </si>
  <si>
    <t>01 Compteurs DN 15/21 Destination Antenne Tlathet douairs</t>
  </si>
  <si>
    <t>08 Compteurs DN 15/21 Destination Antenne Ouled dhied</t>
  </si>
  <si>
    <t>09 Compteurs DN 15/21 Destination Antenne Zoubiria</t>
  </si>
  <si>
    <t>05 Compteurs DN 15/21 Destination Antenne Seghouane</t>
  </si>
  <si>
    <t>Mois de AOUT 2025</t>
  </si>
  <si>
    <t>28 Compteurs DN 15/21 Destination Antenne Tlathet Douairs</t>
  </si>
  <si>
    <t>03 Compteurs DN 15/21 Destination Antenne Robea</t>
  </si>
  <si>
    <t>05 Compteurs DN 15/21 Destination Antenne Ouled dhied</t>
  </si>
  <si>
    <t>01 Compteurs DN 40 Destination Antenne Ouled dhied</t>
  </si>
  <si>
    <t>Mois de SEPTEMBE 2025</t>
  </si>
  <si>
    <t>12 Compteurs DN 15/21 Destination Antenne Ouled dhied</t>
  </si>
  <si>
    <t>02 Compteurs DN 40 Destination Antenne Tlathet douairs</t>
  </si>
  <si>
    <t>02 Compteurs DN 15/21 Destination Antenne Robea</t>
  </si>
  <si>
    <t>01 Compteurs DN 20/27 Destination Antenne Seghouane</t>
  </si>
  <si>
    <t>03 Compteurs DN 15/21 Destination Antenne Zoubiria</t>
  </si>
  <si>
    <t>75 Compteurs DN 15/21 Destination Antenne Tlathet douairs</t>
  </si>
  <si>
    <t>03 Compteurs DN 15/21 Destination Antenne Seghouane</t>
  </si>
  <si>
    <t>Mois de OCTOBRE 2025</t>
  </si>
  <si>
    <t>02 Compteurs DN 15/21 Destination Antenne Ouled dhied</t>
  </si>
  <si>
    <t>173 Compteurs DN 15/21 Destination Antenne Tlathet douairs</t>
  </si>
  <si>
    <t>Mois de NOVEMBRE 2025</t>
  </si>
  <si>
    <t>02 Compteurs DN 15/21 Destination Antenne Seghouane</t>
  </si>
  <si>
    <t>18 Compteurs DN 15/21 Destination Antenne Tlathet douairs</t>
  </si>
  <si>
    <t>03 Compteurs DN 15/21 Destination Antenne Ouled dhied</t>
  </si>
  <si>
    <t>05 Compteurs DN 15/21 Destination Antenne Zoubiria</t>
  </si>
  <si>
    <t>01 Compteurs DN 30 Destination Unité Médéa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</si>
</sst>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3">
    <xf numFmtId="0" fontId="0" fillId="0" borderId="0" xfId="0"/>
    <xf numFmtId="0" fontId="9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9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0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0" xfId="3" applyFill="1" applyBorder="1" applyAlignment="1" applyProtection="1">
      <alignment horizontal="center" vertical="center" wrapText="1"/>
      <protection locked="0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1" fillId="0" borderId="33" xfId="3" applyFont="1" applyBorder="1" applyAlignment="1">
      <alignment horizontal="center" vertical="center" wrapText="1"/>
    </xf>
    <xf numFmtId="0" fontId="11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E64989-4734-4B67-98E4-2CDACD952AB7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51"/>
  <sheetViews>
    <sheetView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28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2</v>
      </c>
      <c r="C22" s="25"/>
      <c r="D22" s="25"/>
      <c r="E22" s="23"/>
      <c r="F22" s="17">
        <f t="shared" si="0"/>
        <v>2</v>
      </c>
      <c r="G22" s="30"/>
      <c r="H22" s="25"/>
      <c r="I22" s="25"/>
      <c r="J22" s="30"/>
      <c r="K22" s="15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>
        <v>3</v>
      </c>
      <c r="H23" s="25"/>
      <c r="I23" s="25"/>
      <c r="J23" s="30"/>
      <c r="K23" s="15">
        <f t="shared" si="1"/>
        <v>3</v>
      </c>
      <c r="L23" s="7">
        <f t="shared" si="2"/>
        <v>3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2</v>
      </c>
      <c r="C28" s="22"/>
      <c r="D28" s="25"/>
      <c r="E28" s="23"/>
      <c r="F28" s="17">
        <f t="shared" si="0"/>
        <v>2</v>
      </c>
      <c r="G28" s="30"/>
      <c r="H28" s="25"/>
      <c r="I28" s="25"/>
      <c r="J28" s="30"/>
      <c r="K28" s="15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>
        <v>1</v>
      </c>
      <c r="H29" s="25"/>
      <c r="I29" s="25"/>
      <c r="J29" s="30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4</v>
      </c>
      <c r="C34" s="25"/>
      <c r="D34" s="25"/>
      <c r="E34" s="23"/>
      <c r="F34" s="17">
        <f t="shared" si="0"/>
        <v>4</v>
      </c>
      <c r="G34" s="30"/>
      <c r="H34" s="25"/>
      <c r="I34" s="22"/>
      <c r="J34" s="22"/>
      <c r="K34" s="15">
        <f t="shared" si="1"/>
        <v>0</v>
      </c>
      <c r="L34" s="7">
        <f t="shared" si="2"/>
        <v>4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8</v>
      </c>
      <c r="C40" s="46">
        <f t="shared" ref="C40:E40" si="3">SUM(C9:C39)</f>
        <v>0</v>
      </c>
      <c r="D40" s="46">
        <f t="shared" si="3"/>
        <v>0</v>
      </c>
      <c r="E40" s="46">
        <f t="shared" si="3"/>
        <v>0</v>
      </c>
      <c r="F40" s="45">
        <f>SUM(F9:F39)</f>
        <v>8</v>
      </c>
      <c r="G40" s="16">
        <f>SUM(G9:G39)</f>
        <v>5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5</v>
      </c>
      <c r="L40" s="16">
        <f t="shared" si="4"/>
        <v>13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100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13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87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87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L53"/>
  <sheetViews>
    <sheetView topLeftCell="A37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30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>
        <v>1</v>
      </c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10</v>
      </c>
      <c r="C18" s="25"/>
      <c r="D18" s="25"/>
      <c r="E18" s="23"/>
      <c r="F18" s="17">
        <f t="shared" si="0"/>
        <v>10</v>
      </c>
      <c r="G18" s="30"/>
      <c r="H18" s="25"/>
      <c r="I18" s="25"/>
      <c r="J18" s="30"/>
      <c r="K18" s="15">
        <f t="shared" si="1"/>
        <v>0</v>
      </c>
      <c r="L18" s="7">
        <f t="shared" si="2"/>
        <v>10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>
        <v>1</v>
      </c>
      <c r="H20" s="25"/>
      <c r="I20" s="25"/>
      <c r="J20" s="30"/>
      <c r="K20" s="15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>
        <v>1</v>
      </c>
      <c r="H21" s="25"/>
      <c r="I21" s="25"/>
      <c r="J21" s="30"/>
      <c r="K21" s="15">
        <f t="shared" si="1"/>
        <v>1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2</v>
      </c>
      <c r="C24" s="22"/>
      <c r="D24" s="25"/>
      <c r="E24" s="23"/>
      <c r="F24" s="17">
        <f t="shared" si="0"/>
        <v>2</v>
      </c>
      <c r="G24" s="30"/>
      <c r="H24" s="25"/>
      <c r="I24" s="25"/>
      <c r="J24" s="30"/>
      <c r="K24" s="15">
        <f t="shared" si="1"/>
        <v>0</v>
      </c>
      <c r="L24" s="7">
        <f t="shared" si="2"/>
        <v>2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5"/>
      <c r="D27" s="25"/>
      <c r="E27" s="23"/>
      <c r="F27" s="17">
        <f t="shared" si="0"/>
        <v>2</v>
      </c>
      <c r="G27" s="30"/>
      <c r="H27" s="25"/>
      <c r="I27" s="25"/>
      <c r="J27" s="30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4</v>
      </c>
      <c r="C32" s="22"/>
      <c r="D32" s="25"/>
      <c r="E32" s="23"/>
      <c r="F32" s="17">
        <f t="shared" si="0"/>
        <v>4</v>
      </c>
      <c r="G32" s="30"/>
      <c r="H32" s="25"/>
      <c r="I32" s="30"/>
      <c r="J32" s="30"/>
      <c r="K32" s="15">
        <f t="shared" si="1"/>
        <v>0</v>
      </c>
      <c r="L32" s="7">
        <f t="shared" si="2"/>
        <v>4</v>
      </c>
    </row>
    <row r="33" spans="1:12" ht="15.75" thickBot="1" x14ac:dyDescent="0.3">
      <c r="A33" s="8">
        <v>25</v>
      </c>
      <c r="B33" s="21"/>
      <c r="C33" s="22"/>
      <c r="D33" s="25">
        <v>1</v>
      </c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18</v>
      </c>
      <c r="C40" s="46">
        <f t="shared" ref="C40:E40" si="3">SUM(C9:C39)</f>
        <v>0</v>
      </c>
      <c r="D40" s="46">
        <f t="shared" si="3"/>
        <v>1</v>
      </c>
      <c r="E40" s="46">
        <f t="shared" si="3"/>
        <v>0</v>
      </c>
      <c r="F40" s="45">
        <f>SUM(F9:F39)</f>
        <v>19</v>
      </c>
      <c r="G40" s="16">
        <f>SUM(G9:G39)</f>
        <v>2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22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87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22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65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64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1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29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L57"/>
  <sheetViews>
    <sheetView topLeftCell="A43" workbookViewId="0">
      <selection activeCell="A55" sqref="A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36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>
        <v>8</v>
      </c>
      <c r="H10" s="25"/>
      <c r="I10" s="22"/>
      <c r="J10" s="25"/>
      <c r="K10" s="15">
        <f t="shared" ref="K10:K39" si="1">SUM(G10:J10)</f>
        <v>8</v>
      </c>
      <c r="L10" s="7">
        <f t="shared" ref="L10:L39" si="2">SUM(F10+K10)</f>
        <v>8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8</v>
      </c>
      <c r="H11" s="25"/>
      <c r="I11" s="22"/>
      <c r="J11" s="22"/>
      <c r="K11" s="15">
        <f t="shared" si="1"/>
        <v>8</v>
      </c>
      <c r="L11" s="7">
        <f t="shared" si="2"/>
        <v>8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>
        <v>8</v>
      </c>
      <c r="H12" s="25"/>
      <c r="I12" s="25"/>
      <c r="J12" s="22"/>
      <c r="K12" s="15">
        <f t="shared" si="1"/>
        <v>8</v>
      </c>
      <c r="L12" s="7">
        <f t="shared" si="2"/>
        <v>8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1</v>
      </c>
      <c r="C14" s="25"/>
      <c r="D14" s="25"/>
      <c r="E14" s="23"/>
      <c r="F14" s="17">
        <f t="shared" si="0"/>
        <v>1</v>
      </c>
      <c r="G14" s="30">
        <v>7</v>
      </c>
      <c r="H14" s="25"/>
      <c r="I14" s="25"/>
      <c r="J14" s="30"/>
      <c r="K14" s="15">
        <f t="shared" si="1"/>
        <v>7</v>
      </c>
      <c r="L14" s="7">
        <f t="shared" si="2"/>
        <v>8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>
        <v>6</v>
      </c>
      <c r="H17" s="25"/>
      <c r="I17" s="25"/>
      <c r="J17" s="30"/>
      <c r="K17" s="15">
        <f t="shared" si="1"/>
        <v>6</v>
      </c>
      <c r="L17" s="7">
        <f t="shared" si="2"/>
        <v>6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>
        <v>3</v>
      </c>
      <c r="H18" s="25"/>
      <c r="I18" s="25"/>
      <c r="J18" s="30"/>
      <c r="K18" s="15">
        <f t="shared" si="1"/>
        <v>3</v>
      </c>
      <c r="L18" s="7">
        <f t="shared" si="2"/>
        <v>3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25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>
        <v>1</v>
      </c>
      <c r="C25" s="43"/>
      <c r="D25" s="25">
        <v>1</v>
      </c>
      <c r="E25" s="23"/>
      <c r="F25" s="17">
        <f t="shared" si="0"/>
        <v>2</v>
      </c>
      <c r="G25" s="30">
        <v>3</v>
      </c>
      <c r="H25" s="25"/>
      <c r="I25" s="25"/>
      <c r="J25" s="30"/>
      <c r="K25" s="15">
        <f t="shared" si="1"/>
        <v>3</v>
      </c>
      <c r="L25" s="7">
        <f t="shared" si="2"/>
        <v>5</v>
      </c>
    </row>
    <row r="26" spans="1:12" ht="15.75" thickBot="1" x14ac:dyDescent="0.3">
      <c r="A26" s="8">
        <v>18</v>
      </c>
      <c r="B26" s="21"/>
      <c r="C26" s="25"/>
      <c r="D26" s="25"/>
      <c r="E26" s="24">
        <v>1</v>
      </c>
      <c r="F26" s="17">
        <f t="shared" si="0"/>
        <v>1</v>
      </c>
      <c r="G26" s="30">
        <v>1</v>
      </c>
      <c r="H26" s="25"/>
      <c r="I26" s="25"/>
      <c r="J26" s="30"/>
      <c r="K26" s="15">
        <f t="shared" si="1"/>
        <v>1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>
        <v>1</v>
      </c>
      <c r="I28" s="25"/>
      <c r="J28" s="30"/>
      <c r="K28" s="15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3</v>
      </c>
      <c r="C31" s="22"/>
      <c r="D31" s="25"/>
      <c r="E31" s="23"/>
      <c r="F31" s="17">
        <f t="shared" si="0"/>
        <v>3</v>
      </c>
      <c r="G31" s="30"/>
      <c r="H31" s="22"/>
      <c r="I31" s="30"/>
      <c r="J31" s="30"/>
      <c r="K31" s="15">
        <f t="shared" si="1"/>
        <v>0</v>
      </c>
      <c r="L31" s="7">
        <f t="shared" si="2"/>
        <v>3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5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6</v>
      </c>
      <c r="C40" s="46">
        <f t="shared" ref="C40:E40" si="3">SUM(C9:C39)</f>
        <v>0</v>
      </c>
      <c r="D40" s="46">
        <f t="shared" si="3"/>
        <v>1</v>
      </c>
      <c r="E40" s="46">
        <f t="shared" si="3"/>
        <v>1</v>
      </c>
      <c r="F40" s="45">
        <f>SUM(F9:F39)</f>
        <v>8</v>
      </c>
      <c r="G40" s="16">
        <f>SUM(G9:G39)</f>
        <v>45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46</v>
      </c>
      <c r="L40" s="16">
        <f t="shared" si="4"/>
        <v>54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64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5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54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15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6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9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31</v>
      </c>
    </row>
    <row r="54" spans="1:12" x14ac:dyDescent="0.25">
      <c r="A54" t="s">
        <v>34</v>
      </c>
    </row>
    <row r="55" spans="1:12" x14ac:dyDescent="0.25">
      <c r="A55" t="s">
        <v>32</v>
      </c>
    </row>
    <row r="56" spans="1:12" x14ac:dyDescent="0.25">
      <c r="A56" t="s">
        <v>33</v>
      </c>
    </row>
    <row r="57" spans="1:12" x14ac:dyDescent="0.25">
      <c r="A57" t="s">
        <v>35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L56"/>
  <sheetViews>
    <sheetView topLeftCell="A36" workbookViewId="0">
      <selection activeCell="A55" sqref="A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37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>
        <v>1</v>
      </c>
      <c r="H17" s="25"/>
      <c r="I17" s="25"/>
      <c r="J17" s="30"/>
      <c r="K17" s="15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0"/>
      <c r="H21" s="25"/>
      <c r="I21" s="25"/>
      <c r="J21" s="30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>
        <v>1</v>
      </c>
      <c r="D23" s="25"/>
      <c r="E23" s="23"/>
      <c r="F23" s="17">
        <f t="shared" si="0"/>
        <v>1</v>
      </c>
      <c r="G23" s="30"/>
      <c r="H23" s="25"/>
      <c r="I23" s="25"/>
      <c r="J23" s="30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>
        <v>1</v>
      </c>
      <c r="C24" s="22"/>
      <c r="D24" s="25"/>
      <c r="E24" s="23"/>
      <c r="F24" s="17">
        <f t="shared" si="0"/>
        <v>1</v>
      </c>
      <c r="G24" s="30">
        <v>1</v>
      </c>
      <c r="H24" s="25"/>
      <c r="I24" s="25"/>
      <c r="J24" s="30"/>
      <c r="K24" s="15">
        <f t="shared" si="1"/>
        <v>1</v>
      </c>
      <c r="L24" s="7">
        <f t="shared" si="2"/>
        <v>2</v>
      </c>
    </row>
    <row r="25" spans="1:12" ht="15.75" thickBot="1" x14ac:dyDescent="0.3">
      <c r="A25" s="8">
        <v>17</v>
      </c>
      <c r="B25" s="21">
        <v>1</v>
      </c>
      <c r="C25" s="43"/>
      <c r="D25" s="25"/>
      <c r="E25" s="23"/>
      <c r="F25" s="17">
        <f t="shared" si="0"/>
        <v>1</v>
      </c>
      <c r="G25" s="30"/>
      <c r="H25" s="25"/>
      <c r="I25" s="25">
        <v>1</v>
      </c>
      <c r="J25" s="30">
        <v>1</v>
      </c>
      <c r="K25" s="15">
        <f t="shared" si="1"/>
        <v>2</v>
      </c>
      <c r="L25" s="7">
        <f t="shared" si="2"/>
        <v>3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5"/>
      <c r="E30" s="23"/>
      <c r="F30" s="17">
        <f t="shared" si="0"/>
        <v>1</v>
      </c>
      <c r="G30" s="30"/>
      <c r="H30" s="25"/>
      <c r="I30" s="25"/>
      <c r="J30" s="30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>
        <v>25</v>
      </c>
      <c r="H32" s="25"/>
      <c r="I32" s="30">
        <v>1</v>
      </c>
      <c r="J32" s="30"/>
      <c r="K32" s="15">
        <f t="shared" si="1"/>
        <v>26</v>
      </c>
      <c r="L32" s="7">
        <f t="shared" si="2"/>
        <v>26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>
        <v>8</v>
      </c>
      <c r="H36" s="25"/>
      <c r="I36" s="25"/>
      <c r="J36" s="22"/>
      <c r="K36" s="15">
        <f t="shared" si="1"/>
        <v>8</v>
      </c>
      <c r="L36" s="7">
        <f t="shared" si="2"/>
        <v>8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5</v>
      </c>
      <c r="C40" s="46">
        <f t="shared" ref="C40:E40" si="3">SUM(C9:C39)</f>
        <v>1</v>
      </c>
      <c r="D40" s="46">
        <f t="shared" si="3"/>
        <v>0</v>
      </c>
      <c r="E40" s="46">
        <f t="shared" si="3"/>
        <v>0</v>
      </c>
      <c r="F40" s="45">
        <f>SUM(F9:F39)</f>
        <v>6</v>
      </c>
      <c r="G40" s="16">
        <f>SUM(G9:G39)</f>
        <v>35</v>
      </c>
      <c r="H40" s="16">
        <f t="shared" ref="H40:L40" si="4">SUM(H9:H39)</f>
        <v>0</v>
      </c>
      <c r="I40" s="16">
        <f t="shared" si="4"/>
        <v>2</v>
      </c>
      <c r="J40" s="16">
        <f t="shared" si="4"/>
        <v>1</v>
      </c>
      <c r="K40" s="16">
        <f t="shared" si="4"/>
        <v>38</v>
      </c>
      <c r="L40" s="16">
        <f t="shared" si="4"/>
        <v>44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6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110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44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72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67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5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29</v>
      </c>
    </row>
    <row r="54" spans="1:12" x14ac:dyDescent="0.25">
      <c r="A54" t="s">
        <v>31</v>
      </c>
    </row>
    <row r="55" spans="1:12" x14ac:dyDescent="0.25">
      <c r="A55" t="s">
        <v>38</v>
      </c>
    </row>
    <row r="56" spans="1:12" x14ac:dyDescent="0.25">
      <c r="A56" t="s">
        <v>39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L58"/>
  <sheetViews>
    <sheetView topLeftCell="A37" workbookViewId="0">
      <selection activeCell="A55" sqref="A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40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2</v>
      </c>
      <c r="C12" s="25"/>
      <c r="D12" s="25"/>
      <c r="E12" s="23"/>
      <c r="F12" s="17">
        <f t="shared" si="0"/>
        <v>2</v>
      </c>
      <c r="G12" s="30">
        <v>5</v>
      </c>
      <c r="H12" s="25"/>
      <c r="I12" s="25"/>
      <c r="J12" s="22"/>
      <c r="K12" s="15">
        <f t="shared" si="1"/>
        <v>5</v>
      </c>
      <c r="L12" s="7">
        <f t="shared" si="2"/>
        <v>7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>
        <v>7</v>
      </c>
      <c r="H13" s="25"/>
      <c r="I13" s="25"/>
      <c r="J13" s="22"/>
      <c r="K13" s="15">
        <f t="shared" si="1"/>
        <v>7</v>
      </c>
      <c r="L13" s="7">
        <f t="shared" si="2"/>
        <v>7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>
        <v>1</v>
      </c>
      <c r="H14" s="25"/>
      <c r="I14" s="25">
        <v>1</v>
      </c>
      <c r="J14" s="30"/>
      <c r="K14" s="15">
        <f t="shared" si="1"/>
        <v>2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>
        <v>1</v>
      </c>
      <c r="H15" s="25"/>
      <c r="I15" s="25"/>
      <c r="J15" s="30"/>
      <c r="K15" s="15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>
        <v>1</v>
      </c>
      <c r="J16" s="30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0">
        <v>10</v>
      </c>
      <c r="H21" s="25"/>
      <c r="I21" s="25"/>
      <c r="J21" s="30"/>
      <c r="K21" s="15">
        <f t="shared" si="1"/>
        <v>10</v>
      </c>
      <c r="L21" s="7">
        <f t="shared" si="2"/>
        <v>12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0">
        <v>19</v>
      </c>
      <c r="H22" s="25"/>
      <c r="I22" s="25"/>
      <c r="J22" s="30"/>
      <c r="K22" s="15">
        <f t="shared" si="1"/>
        <v>19</v>
      </c>
      <c r="L22" s="7">
        <f t="shared" si="2"/>
        <v>20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>
        <v>9</v>
      </c>
      <c r="H23" s="25"/>
      <c r="I23" s="25"/>
      <c r="J23" s="30"/>
      <c r="K23" s="15">
        <f t="shared" si="1"/>
        <v>9</v>
      </c>
      <c r="L23" s="7">
        <f t="shared" si="2"/>
        <v>9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4"/>
      <c r="F26" s="17">
        <f t="shared" si="0"/>
        <v>1</v>
      </c>
      <c r="G26" s="30"/>
      <c r="H26" s="25"/>
      <c r="I26" s="25"/>
      <c r="J26" s="30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5"/>
      <c r="E28" s="23"/>
      <c r="F28" s="17">
        <f t="shared" si="0"/>
        <v>1</v>
      </c>
      <c r="G28" s="30">
        <v>2</v>
      </c>
      <c r="H28" s="25"/>
      <c r="I28" s="25"/>
      <c r="J28" s="30"/>
      <c r="K28" s="15">
        <f t="shared" si="1"/>
        <v>2</v>
      </c>
      <c r="L28" s="7">
        <f t="shared" si="2"/>
        <v>3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5"/>
      <c r="E30" s="23"/>
      <c r="F30" s="17">
        <f t="shared" si="0"/>
        <v>1</v>
      </c>
      <c r="G30" s="30">
        <v>7</v>
      </c>
      <c r="H30" s="25"/>
      <c r="I30" s="25"/>
      <c r="J30" s="30"/>
      <c r="K30" s="15">
        <f t="shared" si="1"/>
        <v>7</v>
      </c>
      <c r="L30" s="7">
        <f t="shared" si="2"/>
        <v>8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4</v>
      </c>
      <c r="C33" s="22"/>
      <c r="D33" s="25"/>
      <c r="E33" s="23"/>
      <c r="F33" s="17">
        <f t="shared" si="0"/>
        <v>4</v>
      </c>
      <c r="G33" s="30"/>
      <c r="H33" s="22"/>
      <c r="I33" s="30"/>
      <c r="J33" s="30"/>
      <c r="K33" s="15">
        <f t="shared" si="1"/>
        <v>0</v>
      </c>
      <c r="L33" s="7">
        <f t="shared" si="2"/>
        <v>4</v>
      </c>
    </row>
    <row r="34" spans="1:12" ht="15.75" thickBot="1" x14ac:dyDescent="0.3">
      <c r="A34" s="8">
        <v>26</v>
      </c>
      <c r="B34" s="21">
        <v>1</v>
      </c>
      <c r="C34" s="25"/>
      <c r="D34" s="25"/>
      <c r="E34" s="23"/>
      <c r="F34" s="17">
        <f t="shared" si="0"/>
        <v>1</v>
      </c>
      <c r="G34" s="30"/>
      <c r="H34" s="25">
        <v>1</v>
      </c>
      <c r="I34" s="22"/>
      <c r="J34" s="22"/>
      <c r="K34" s="15">
        <f t="shared" si="1"/>
        <v>1</v>
      </c>
      <c r="L34" s="7">
        <f t="shared" si="2"/>
        <v>2</v>
      </c>
    </row>
    <row r="35" spans="1:12" ht="15.75" thickBot="1" x14ac:dyDescent="0.3">
      <c r="A35" s="8">
        <v>27</v>
      </c>
      <c r="B35" s="21">
        <v>2</v>
      </c>
      <c r="C35" s="25"/>
      <c r="D35" s="25"/>
      <c r="E35" s="23"/>
      <c r="F35" s="17">
        <f t="shared" si="0"/>
        <v>2</v>
      </c>
      <c r="G35" s="40"/>
      <c r="H35" s="22"/>
      <c r="I35" s="22"/>
      <c r="J35" s="22"/>
      <c r="K35" s="15">
        <f t="shared" si="1"/>
        <v>0</v>
      </c>
      <c r="L35" s="7">
        <f t="shared" si="2"/>
        <v>2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2</v>
      </c>
      <c r="C37" s="25"/>
      <c r="D37" s="22"/>
      <c r="E37" s="23"/>
      <c r="F37" s="17">
        <f t="shared" si="0"/>
        <v>2</v>
      </c>
      <c r="G37" s="30"/>
      <c r="H37" s="25"/>
      <c r="I37" s="22"/>
      <c r="J37" s="22"/>
      <c r="K37" s="15">
        <f t="shared" si="1"/>
        <v>0</v>
      </c>
      <c r="L37" s="7">
        <f t="shared" si="2"/>
        <v>2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17</v>
      </c>
      <c r="C40" s="46">
        <f t="shared" ref="C40:E40" si="3">SUM(C9:C39)</f>
        <v>0</v>
      </c>
      <c r="D40" s="46">
        <f t="shared" si="3"/>
        <v>0</v>
      </c>
      <c r="E40" s="46">
        <f t="shared" si="3"/>
        <v>0</v>
      </c>
      <c r="F40" s="45">
        <f>SUM(F9:F39)</f>
        <v>17</v>
      </c>
      <c r="G40" s="16">
        <f>SUM(G9:G39)</f>
        <v>61</v>
      </c>
      <c r="H40" s="16">
        <f t="shared" ref="H40:L40" si="4">SUM(H9:H39)</f>
        <v>1</v>
      </c>
      <c r="I40" s="16">
        <f t="shared" si="4"/>
        <v>2</v>
      </c>
      <c r="J40" s="16">
        <f t="shared" si="4"/>
        <v>0</v>
      </c>
      <c r="K40" s="16">
        <f t="shared" si="4"/>
        <v>64</v>
      </c>
      <c r="L40" s="16">
        <f t="shared" si="4"/>
        <v>81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67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120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81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106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28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78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44</v>
      </c>
    </row>
    <row r="54" spans="1:12" x14ac:dyDescent="0.25">
      <c r="A54" t="s">
        <v>45</v>
      </c>
    </row>
    <row r="55" spans="1:12" x14ac:dyDescent="0.25">
      <c r="A55" t="s">
        <v>41</v>
      </c>
    </row>
    <row r="56" spans="1:12" x14ac:dyDescent="0.25">
      <c r="A56" t="s">
        <v>43</v>
      </c>
    </row>
    <row r="57" spans="1:12" x14ac:dyDescent="0.25">
      <c r="A57" t="s">
        <v>42</v>
      </c>
    </row>
    <row r="58" spans="1:12" x14ac:dyDescent="0.25">
      <c r="A58" t="s">
        <v>31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L56"/>
  <sheetViews>
    <sheetView topLeftCell="A35" workbookViewId="0">
      <selection activeCell="G33" sqref="G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>
        <v>3</v>
      </c>
      <c r="C9" s="19"/>
      <c r="D9" s="47">
        <v>1</v>
      </c>
      <c r="E9" s="20"/>
      <c r="F9" s="17">
        <f>SUM(B9:E9)</f>
        <v>4</v>
      </c>
      <c r="G9" s="41"/>
      <c r="H9" s="29"/>
      <c r="I9" s="29"/>
      <c r="J9" s="29"/>
      <c r="K9" s="15">
        <f>SUM(G9:J9)</f>
        <v>0</v>
      </c>
      <c r="L9" s="7">
        <f>SUM(F9+K9)</f>
        <v>4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2</v>
      </c>
      <c r="C11" s="22"/>
      <c r="D11" s="22"/>
      <c r="E11" s="24"/>
      <c r="F11" s="17">
        <f t="shared" si="0"/>
        <v>2</v>
      </c>
      <c r="G11" s="30"/>
      <c r="H11" s="25"/>
      <c r="I11" s="22"/>
      <c r="J11" s="22"/>
      <c r="K11" s="15">
        <f t="shared" si="1"/>
        <v>0</v>
      </c>
      <c r="L11" s="7">
        <f t="shared" si="2"/>
        <v>2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3"/>
      <c r="F12" s="17">
        <f t="shared" si="0"/>
        <v>1</v>
      </c>
      <c r="G12" s="30"/>
      <c r="H12" s="25"/>
      <c r="I12" s="25"/>
      <c r="J12" s="25">
        <v>1</v>
      </c>
      <c r="K12" s="15">
        <f t="shared" si="1"/>
        <v>1</v>
      </c>
      <c r="L12" s="7">
        <f t="shared" si="2"/>
        <v>2</v>
      </c>
    </row>
    <row r="13" spans="1:12" ht="15.75" thickBot="1" x14ac:dyDescent="0.3">
      <c r="A13" s="8">
        <v>5</v>
      </c>
      <c r="B13" s="48" t="s">
        <v>6</v>
      </c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5"/>
      <c r="D17" s="25"/>
      <c r="E17" s="24"/>
      <c r="F17" s="17">
        <f t="shared" si="0"/>
        <v>1</v>
      </c>
      <c r="G17" s="30"/>
      <c r="H17" s="25"/>
      <c r="I17" s="25"/>
      <c r="J17" s="30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4"/>
      <c r="F20" s="17">
        <f t="shared" si="0"/>
        <v>1</v>
      </c>
      <c r="G20" s="30"/>
      <c r="H20" s="25"/>
      <c r="I20" s="25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>
        <v>1</v>
      </c>
      <c r="H23" s="25"/>
      <c r="I23" s="25"/>
      <c r="J23" s="30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3"/>
      <c r="D25" s="25">
        <v>1</v>
      </c>
      <c r="E25" s="23"/>
      <c r="F25" s="17">
        <f t="shared" si="0"/>
        <v>1</v>
      </c>
      <c r="G25" s="30"/>
      <c r="H25" s="25"/>
      <c r="I25" s="25"/>
      <c r="J25" s="30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1</v>
      </c>
      <c r="H27" s="25"/>
      <c r="I27" s="25"/>
      <c r="J27" s="30"/>
      <c r="K27" s="15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5"/>
      <c r="E30" s="23"/>
      <c r="F30" s="17">
        <f t="shared" si="0"/>
        <v>1</v>
      </c>
      <c r="G30" s="30"/>
      <c r="H30" s="25"/>
      <c r="I30" s="25"/>
      <c r="J30" s="30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>
        <v>2</v>
      </c>
      <c r="C31" s="22"/>
      <c r="D31" s="25"/>
      <c r="E31" s="23"/>
      <c r="F31" s="17">
        <f t="shared" si="0"/>
        <v>2</v>
      </c>
      <c r="G31" s="30">
        <v>2</v>
      </c>
      <c r="H31" s="22"/>
      <c r="I31" s="30"/>
      <c r="J31" s="30"/>
      <c r="K31" s="15">
        <f t="shared" si="1"/>
        <v>2</v>
      </c>
      <c r="L31" s="7">
        <f t="shared" si="2"/>
        <v>4</v>
      </c>
    </row>
    <row r="32" spans="1:12" ht="15.75" thickBot="1" x14ac:dyDescent="0.3">
      <c r="A32" s="8">
        <v>24</v>
      </c>
      <c r="B32" s="21">
        <v>5</v>
      </c>
      <c r="C32" s="22"/>
      <c r="D32" s="25"/>
      <c r="E32" s="23"/>
      <c r="F32" s="17">
        <f t="shared" si="0"/>
        <v>5</v>
      </c>
      <c r="G32" s="30">
        <v>1</v>
      </c>
      <c r="H32" s="25"/>
      <c r="I32" s="30"/>
      <c r="J32" s="30"/>
      <c r="K32" s="15">
        <f t="shared" si="1"/>
        <v>1</v>
      </c>
      <c r="L32" s="7">
        <f t="shared" si="2"/>
        <v>6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2</v>
      </c>
      <c r="C38" s="22"/>
      <c r="D38" s="22"/>
      <c r="E38" s="23"/>
      <c r="F38" s="17">
        <f t="shared" si="0"/>
        <v>2</v>
      </c>
      <c r="G38" s="30">
        <v>1</v>
      </c>
      <c r="H38" s="22"/>
      <c r="I38" s="22"/>
      <c r="J38" s="25"/>
      <c r="K38" s="15">
        <f t="shared" si="1"/>
        <v>1</v>
      </c>
      <c r="L38" s="7">
        <f t="shared" si="2"/>
        <v>3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19</v>
      </c>
      <c r="C40" s="46">
        <f t="shared" ref="C40:E40" si="3">SUM(C9:C39)</f>
        <v>0</v>
      </c>
      <c r="D40" s="46">
        <f t="shared" si="3"/>
        <v>2</v>
      </c>
      <c r="E40" s="46">
        <f t="shared" si="3"/>
        <v>0</v>
      </c>
      <c r="F40" s="45">
        <f>SUM(F9:F39)</f>
        <v>21</v>
      </c>
      <c r="G40" s="16">
        <f>SUM(G9:G39)</f>
        <v>6</v>
      </c>
      <c r="H40" s="16">
        <f t="shared" ref="H40:L40" si="4">SUM(H9:H39)</f>
        <v>0</v>
      </c>
      <c r="I40" s="16">
        <f t="shared" si="4"/>
        <v>0</v>
      </c>
      <c r="J40" s="16">
        <f t="shared" si="4"/>
        <v>1</v>
      </c>
      <c r="K40" s="16">
        <f t="shared" si="4"/>
        <v>7</v>
      </c>
      <c r="L40" s="16">
        <f t="shared" si="4"/>
        <v>28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28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100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28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100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32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68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48</v>
      </c>
    </row>
    <row r="54" spans="1:12" x14ac:dyDescent="0.25">
      <c r="A54" t="s">
        <v>47</v>
      </c>
    </row>
    <row r="55" spans="1:12" x14ac:dyDescent="0.25">
      <c r="A55" t="s">
        <v>49</v>
      </c>
    </row>
    <row r="56" spans="1:12" x14ac:dyDescent="0.25">
      <c r="A56" t="s">
        <v>50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L57"/>
  <sheetViews>
    <sheetView topLeftCell="A38" zoomScaleNormal="100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51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47"/>
      <c r="E9" s="20"/>
      <c r="F9" s="17">
        <f>SUM(B9:E9)</f>
        <v>0</v>
      </c>
      <c r="G9" s="41">
        <v>1</v>
      </c>
      <c r="H9" s="29"/>
      <c r="I9" s="29"/>
      <c r="J9" s="29"/>
      <c r="K9" s="15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1">
        <v>1</v>
      </c>
      <c r="C10" s="25"/>
      <c r="D10" s="22"/>
      <c r="E10" s="23"/>
      <c r="F10" s="17">
        <f t="shared" ref="F10:F39" si="0">SUM(B10:E10)</f>
        <v>1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>
        <v>3</v>
      </c>
      <c r="C11" s="22"/>
      <c r="D11" s="22"/>
      <c r="E11" s="24"/>
      <c r="F11" s="17">
        <f t="shared" si="0"/>
        <v>3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4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48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2</v>
      </c>
      <c r="C15" s="25"/>
      <c r="D15" s="25"/>
      <c r="E15" s="24"/>
      <c r="F15" s="17">
        <f t="shared" si="0"/>
        <v>2</v>
      </c>
      <c r="G15" s="30">
        <v>1</v>
      </c>
      <c r="H15" s="25"/>
      <c r="I15" s="25"/>
      <c r="J15" s="30"/>
      <c r="K15" s="15">
        <f t="shared" si="1"/>
        <v>1</v>
      </c>
      <c r="L15" s="7">
        <f t="shared" si="2"/>
        <v>3</v>
      </c>
    </row>
    <row r="16" spans="1:12" ht="15.75" thickBot="1" x14ac:dyDescent="0.3">
      <c r="A16" s="8">
        <v>8</v>
      </c>
      <c r="B16" s="21">
        <v>1</v>
      </c>
      <c r="C16" s="25"/>
      <c r="D16" s="25"/>
      <c r="E16" s="23"/>
      <c r="F16" s="17">
        <f t="shared" si="0"/>
        <v>1</v>
      </c>
      <c r="G16" s="30"/>
      <c r="H16" s="25"/>
      <c r="I16" s="25"/>
      <c r="J16" s="30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>
        <v>2</v>
      </c>
      <c r="C17" s="25"/>
      <c r="D17" s="25"/>
      <c r="E17" s="24"/>
      <c r="F17" s="17">
        <f t="shared" si="0"/>
        <v>2</v>
      </c>
      <c r="G17" s="30"/>
      <c r="H17" s="25"/>
      <c r="I17" s="25"/>
      <c r="J17" s="30"/>
      <c r="K17" s="15">
        <f t="shared" si="1"/>
        <v>0</v>
      </c>
      <c r="L17" s="7">
        <f t="shared" si="2"/>
        <v>2</v>
      </c>
    </row>
    <row r="18" spans="1:12" ht="15.75" thickBot="1" x14ac:dyDescent="0.3">
      <c r="A18" s="8">
        <v>10</v>
      </c>
      <c r="B18" s="21">
        <v>3</v>
      </c>
      <c r="C18" s="25"/>
      <c r="D18" s="25"/>
      <c r="E18" s="23"/>
      <c r="F18" s="17">
        <f t="shared" si="0"/>
        <v>3</v>
      </c>
      <c r="G18" s="30"/>
      <c r="H18" s="25"/>
      <c r="I18" s="25"/>
      <c r="J18" s="30"/>
      <c r="K18" s="15">
        <f t="shared" si="1"/>
        <v>0</v>
      </c>
      <c r="L18" s="7">
        <f t="shared" si="2"/>
        <v>3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0">
        <v>1</v>
      </c>
      <c r="H22" s="25"/>
      <c r="I22" s="25"/>
      <c r="J22" s="30"/>
      <c r="K22" s="15">
        <f t="shared" si="1"/>
        <v>1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1</v>
      </c>
      <c r="C24" s="22"/>
      <c r="D24" s="25"/>
      <c r="E24" s="23"/>
      <c r="F24" s="17">
        <f t="shared" si="0"/>
        <v>1</v>
      </c>
      <c r="G24" s="30"/>
      <c r="H24" s="25"/>
      <c r="I24" s="25"/>
      <c r="J24" s="30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>
        <v>2</v>
      </c>
      <c r="C25" s="43"/>
      <c r="D25" s="25"/>
      <c r="E25" s="23"/>
      <c r="F25" s="17">
        <f t="shared" si="0"/>
        <v>2</v>
      </c>
      <c r="G25" s="30"/>
      <c r="H25" s="25"/>
      <c r="I25" s="25"/>
      <c r="J25" s="30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2</v>
      </c>
      <c r="C28" s="22"/>
      <c r="D28" s="25"/>
      <c r="E28" s="23"/>
      <c r="F28" s="17">
        <f t="shared" si="0"/>
        <v>2</v>
      </c>
      <c r="G28" s="30"/>
      <c r="H28" s="25"/>
      <c r="I28" s="25"/>
      <c r="J28" s="30"/>
      <c r="K28" s="15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1">
        <v>2</v>
      </c>
      <c r="C29" s="22"/>
      <c r="D29" s="25"/>
      <c r="E29" s="24"/>
      <c r="F29" s="17">
        <f t="shared" si="0"/>
        <v>2</v>
      </c>
      <c r="G29" s="30"/>
      <c r="H29" s="25"/>
      <c r="I29" s="25"/>
      <c r="J29" s="30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5"/>
      <c r="E31" s="23"/>
      <c r="F31" s="17">
        <f t="shared" si="0"/>
        <v>1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1</v>
      </c>
      <c r="C35" s="25"/>
      <c r="D35" s="25"/>
      <c r="E35" s="23"/>
      <c r="F35" s="17">
        <f t="shared" si="0"/>
        <v>1</v>
      </c>
      <c r="G35" s="40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>
        <v>1</v>
      </c>
      <c r="C36" s="22"/>
      <c r="D36" s="25"/>
      <c r="E36" s="23"/>
      <c r="F36" s="17">
        <f t="shared" si="0"/>
        <v>1</v>
      </c>
      <c r="G36" s="30">
        <v>1</v>
      </c>
      <c r="H36" s="25"/>
      <c r="I36" s="25"/>
      <c r="J36" s="22"/>
      <c r="K36" s="15">
        <f t="shared" si="1"/>
        <v>1</v>
      </c>
      <c r="L36" s="7">
        <f t="shared" si="2"/>
        <v>2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>
        <v>5</v>
      </c>
      <c r="H37" s="25"/>
      <c r="I37" s="22"/>
      <c r="J37" s="22"/>
      <c r="K37" s="15">
        <f t="shared" si="1"/>
        <v>5</v>
      </c>
      <c r="L37" s="7">
        <f t="shared" si="2"/>
        <v>5</v>
      </c>
    </row>
    <row r="38" spans="1:12" ht="15.75" thickBot="1" x14ac:dyDescent="0.3">
      <c r="A38" s="8">
        <v>30</v>
      </c>
      <c r="B38" s="21">
        <v>2</v>
      </c>
      <c r="C38" s="22"/>
      <c r="D38" s="22"/>
      <c r="E38" s="23"/>
      <c r="F38" s="17">
        <f t="shared" si="0"/>
        <v>2</v>
      </c>
      <c r="G38" s="30"/>
      <c r="H38" s="22"/>
      <c r="I38" s="22"/>
      <c r="J38" s="25"/>
      <c r="K38" s="15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25</v>
      </c>
      <c r="C40" s="46">
        <f t="shared" ref="C40:E40" si="3">SUM(C9:C39)</f>
        <v>0</v>
      </c>
      <c r="D40" s="46">
        <f t="shared" si="3"/>
        <v>0</v>
      </c>
      <c r="E40" s="46">
        <f t="shared" si="3"/>
        <v>0</v>
      </c>
      <c r="F40" s="45">
        <f>SUM(F9:F39)</f>
        <v>25</v>
      </c>
      <c r="G40" s="16">
        <f>SUM(G9:G39)</f>
        <v>11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11</v>
      </c>
      <c r="L40" s="16">
        <f t="shared" si="4"/>
        <v>36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32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100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36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96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72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24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53</v>
      </c>
    </row>
    <row r="54" spans="1:12" x14ac:dyDescent="0.25">
      <c r="A54" t="s">
        <v>29</v>
      </c>
    </row>
    <row r="55" spans="1:12" x14ac:dyDescent="0.25">
      <c r="A55" t="s">
        <v>52</v>
      </c>
    </row>
    <row r="56" spans="1:12" x14ac:dyDescent="0.25">
      <c r="A56" t="s">
        <v>54</v>
      </c>
    </row>
    <row r="57" spans="1:12" x14ac:dyDescent="0.25">
      <c r="A57" t="s">
        <v>55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L58"/>
  <sheetViews>
    <sheetView topLeftCell="A37" zoomScaleNormal="100" workbookViewId="0">
      <selection activeCell="I56" sqref="I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56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47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5</v>
      </c>
      <c r="C11" s="22"/>
      <c r="D11" s="22"/>
      <c r="E11" s="24"/>
      <c r="F11" s="17">
        <f t="shared" si="0"/>
        <v>5</v>
      </c>
      <c r="G11" s="30"/>
      <c r="H11" s="25"/>
      <c r="I11" s="22"/>
      <c r="J11" s="22"/>
      <c r="K11" s="15">
        <f t="shared" si="1"/>
        <v>0</v>
      </c>
      <c r="L11" s="7">
        <f t="shared" si="2"/>
        <v>5</v>
      </c>
    </row>
    <row r="12" spans="1:12" ht="15.75" thickBot="1" x14ac:dyDescent="0.3">
      <c r="A12" s="8">
        <v>4</v>
      </c>
      <c r="B12" s="21">
        <v>3</v>
      </c>
      <c r="C12" s="25"/>
      <c r="D12" s="25"/>
      <c r="E12" s="23"/>
      <c r="F12" s="17">
        <f t="shared" si="0"/>
        <v>3</v>
      </c>
      <c r="G12" s="30"/>
      <c r="H12" s="25"/>
      <c r="I12" s="25"/>
      <c r="J12" s="25"/>
      <c r="K12" s="15">
        <f t="shared" si="1"/>
        <v>0</v>
      </c>
      <c r="L12" s="7">
        <f t="shared" si="2"/>
        <v>3</v>
      </c>
    </row>
    <row r="13" spans="1:12" ht="15.75" thickBot="1" x14ac:dyDescent="0.3">
      <c r="A13" s="8">
        <v>5</v>
      </c>
      <c r="B13" s="48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1</v>
      </c>
      <c r="C14" s="25"/>
      <c r="D14" s="25"/>
      <c r="E14" s="23"/>
      <c r="F14" s="17">
        <f t="shared" si="0"/>
        <v>1</v>
      </c>
      <c r="G14" s="30"/>
      <c r="H14" s="25"/>
      <c r="I14" s="25"/>
      <c r="J14" s="30"/>
      <c r="K14" s="15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1">
        <v>1</v>
      </c>
      <c r="C15" s="25"/>
      <c r="D15" s="25"/>
      <c r="E15" s="24"/>
      <c r="F15" s="17">
        <f t="shared" si="0"/>
        <v>1</v>
      </c>
      <c r="G15" s="30"/>
      <c r="H15" s="25"/>
      <c r="I15" s="25"/>
      <c r="J15" s="30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5"/>
      <c r="D18" s="25"/>
      <c r="E18" s="24">
        <v>1</v>
      </c>
      <c r="F18" s="17">
        <f t="shared" si="0"/>
        <v>2</v>
      </c>
      <c r="G18" s="30"/>
      <c r="H18" s="25"/>
      <c r="I18" s="25"/>
      <c r="J18" s="30"/>
      <c r="K18" s="15">
        <f t="shared" si="1"/>
        <v>0</v>
      </c>
      <c r="L18" s="7">
        <f t="shared" si="2"/>
        <v>2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4"/>
      <c r="F20" s="17">
        <f t="shared" si="0"/>
        <v>1</v>
      </c>
      <c r="G20" s="30"/>
      <c r="H20" s="25"/>
      <c r="I20" s="25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>
        <v>1</v>
      </c>
      <c r="C21" s="25"/>
      <c r="D21" s="25"/>
      <c r="E21" s="23"/>
      <c r="F21" s="17">
        <f t="shared" si="0"/>
        <v>1</v>
      </c>
      <c r="G21" s="30"/>
      <c r="H21" s="25"/>
      <c r="I21" s="25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>
        <v>1</v>
      </c>
      <c r="C22" s="25"/>
      <c r="D22" s="25">
        <v>1</v>
      </c>
      <c r="E22" s="23"/>
      <c r="F22" s="17">
        <f t="shared" si="0"/>
        <v>2</v>
      </c>
      <c r="G22" s="30"/>
      <c r="H22" s="25"/>
      <c r="I22" s="25"/>
      <c r="J22" s="30"/>
      <c r="K22" s="15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>
        <v>24</v>
      </c>
      <c r="H25" s="25"/>
      <c r="I25" s="25"/>
      <c r="J25" s="30"/>
      <c r="K25" s="15">
        <f t="shared" si="1"/>
        <v>24</v>
      </c>
      <c r="L25" s="7">
        <f t="shared" si="2"/>
        <v>24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>
        <v>1</v>
      </c>
      <c r="I26" s="25"/>
      <c r="J26" s="30">
        <v>1</v>
      </c>
      <c r="K26" s="15">
        <f t="shared" si="1"/>
        <v>2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5">
        <v>3</v>
      </c>
      <c r="D27" s="25"/>
      <c r="E27" s="23"/>
      <c r="F27" s="17">
        <f t="shared" si="0"/>
        <v>3</v>
      </c>
      <c r="G27" s="30"/>
      <c r="H27" s="25"/>
      <c r="I27" s="25"/>
      <c r="J27" s="30"/>
      <c r="K27" s="15">
        <f t="shared" si="1"/>
        <v>0</v>
      </c>
      <c r="L27" s="7">
        <f t="shared" si="2"/>
        <v>3</v>
      </c>
    </row>
    <row r="28" spans="1:12" ht="15.75" thickBot="1" x14ac:dyDescent="0.3">
      <c r="A28" s="8">
        <v>20</v>
      </c>
      <c r="B28" s="21"/>
      <c r="C28" s="22"/>
      <c r="D28" s="25"/>
      <c r="E28" s="24">
        <v>1</v>
      </c>
      <c r="F28" s="17">
        <f t="shared" si="0"/>
        <v>1</v>
      </c>
      <c r="G28" s="30"/>
      <c r="H28" s="25"/>
      <c r="I28" s="25"/>
      <c r="J28" s="30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>
        <v>3</v>
      </c>
      <c r="C29" s="22"/>
      <c r="D29" s="25"/>
      <c r="E29" s="24"/>
      <c r="F29" s="17">
        <f t="shared" si="0"/>
        <v>3</v>
      </c>
      <c r="G29" s="30">
        <v>1</v>
      </c>
      <c r="H29" s="25"/>
      <c r="I29" s="25"/>
      <c r="J29" s="30"/>
      <c r="K29" s="15">
        <f t="shared" si="1"/>
        <v>1</v>
      </c>
      <c r="L29" s="7">
        <f t="shared" si="2"/>
        <v>4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>
        <v>2</v>
      </c>
      <c r="H32" s="25"/>
      <c r="I32" s="30"/>
      <c r="J32" s="30"/>
      <c r="K32" s="15">
        <f t="shared" si="1"/>
        <v>2</v>
      </c>
      <c r="L32" s="7">
        <f t="shared" si="2"/>
        <v>2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>
        <v>2</v>
      </c>
      <c r="H33" s="22"/>
      <c r="I33" s="30"/>
      <c r="J33" s="30"/>
      <c r="K33" s="15">
        <f t="shared" si="1"/>
        <v>2</v>
      </c>
      <c r="L33" s="7">
        <f t="shared" si="2"/>
        <v>2</v>
      </c>
    </row>
    <row r="34" spans="1:12" ht="15.75" thickBot="1" x14ac:dyDescent="0.3">
      <c r="A34" s="8">
        <v>26</v>
      </c>
      <c r="B34" s="21">
        <v>1</v>
      </c>
      <c r="C34" s="25"/>
      <c r="D34" s="25"/>
      <c r="E34" s="23"/>
      <c r="F34" s="17">
        <f t="shared" si="0"/>
        <v>1</v>
      </c>
      <c r="G34" s="30">
        <v>1</v>
      </c>
      <c r="H34" s="25"/>
      <c r="I34" s="22"/>
      <c r="J34" s="22"/>
      <c r="K34" s="15">
        <f t="shared" si="1"/>
        <v>1</v>
      </c>
      <c r="L34" s="7">
        <f t="shared" si="2"/>
        <v>2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2</v>
      </c>
      <c r="C36" s="22"/>
      <c r="D36" s="25">
        <v>1</v>
      </c>
      <c r="E36" s="23">
        <v>3</v>
      </c>
      <c r="F36" s="17">
        <f t="shared" si="0"/>
        <v>6</v>
      </c>
      <c r="G36" s="30"/>
      <c r="H36" s="25"/>
      <c r="I36" s="25"/>
      <c r="J36" s="22"/>
      <c r="K36" s="15">
        <f t="shared" si="1"/>
        <v>0</v>
      </c>
      <c r="L36" s="7">
        <f t="shared" si="2"/>
        <v>6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1</v>
      </c>
      <c r="C39" s="44"/>
      <c r="D39" s="27"/>
      <c r="E39" s="28"/>
      <c r="F39" s="17">
        <f t="shared" si="0"/>
        <v>1</v>
      </c>
      <c r="G39" s="30"/>
      <c r="H39" s="22"/>
      <c r="I39" s="22"/>
      <c r="J39" s="22"/>
      <c r="K39" s="15">
        <f t="shared" si="1"/>
        <v>0</v>
      </c>
      <c r="L39" s="7">
        <f t="shared" si="2"/>
        <v>1</v>
      </c>
    </row>
    <row r="40" spans="1:12" ht="15.75" thickBot="1" x14ac:dyDescent="0.3">
      <c r="A40" s="10"/>
      <c r="B40" s="46">
        <f>SUM(B9:B39)</f>
        <v>22</v>
      </c>
      <c r="C40" s="46">
        <f t="shared" ref="C40:E40" si="3">SUM(C9:C39)</f>
        <v>3</v>
      </c>
      <c r="D40" s="46">
        <f t="shared" si="3"/>
        <v>2</v>
      </c>
      <c r="E40" s="46">
        <f t="shared" si="3"/>
        <v>5</v>
      </c>
      <c r="F40" s="45">
        <f>SUM(F9:F39)</f>
        <v>32</v>
      </c>
      <c r="G40" s="16">
        <f>SUM(G9:G39)</f>
        <v>30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1</v>
      </c>
      <c r="K40" s="16">
        <f t="shared" si="4"/>
        <v>32</v>
      </c>
      <c r="L40" s="16">
        <f t="shared" si="4"/>
        <v>64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72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354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64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362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319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43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2" spans="1:12" x14ac:dyDescent="0.25">
      <c r="A52" t="s">
        <v>59</v>
      </c>
    </row>
    <row r="53" spans="1:12" x14ac:dyDescent="0.25">
      <c r="A53" t="s">
        <v>60</v>
      </c>
    </row>
    <row r="54" spans="1:12" x14ac:dyDescent="0.25">
      <c r="A54" t="s">
        <v>33</v>
      </c>
    </row>
    <row r="55" spans="1:12" x14ac:dyDescent="0.25">
      <c r="A55" t="s">
        <v>35</v>
      </c>
    </row>
    <row r="56" spans="1:12" x14ac:dyDescent="0.25">
      <c r="A56" t="s">
        <v>57</v>
      </c>
    </row>
    <row r="57" spans="1:12" x14ac:dyDescent="0.25">
      <c r="A57" t="s">
        <v>58</v>
      </c>
    </row>
    <row r="58" spans="1:12" x14ac:dyDescent="0.25">
      <c r="A58" t="s">
        <v>31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L58"/>
  <sheetViews>
    <sheetView topLeftCell="A37" zoomScaleNormal="100" workbookViewId="0">
      <selection activeCell="M54" sqref="M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61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47"/>
      <c r="E9" s="20"/>
      <c r="F9" s="17">
        <f>SUM(B9:E9)</f>
        <v>0</v>
      </c>
      <c r="G9" s="41">
        <v>20</v>
      </c>
      <c r="H9" s="29"/>
      <c r="I9" s="29"/>
      <c r="J9" s="29"/>
      <c r="K9" s="15">
        <f>SUM(G9:J9)</f>
        <v>20</v>
      </c>
      <c r="L9" s="7">
        <f>SUM(F9+K9)</f>
        <v>20</v>
      </c>
    </row>
    <row r="10" spans="1:12" ht="15.75" thickBot="1" x14ac:dyDescent="0.3">
      <c r="A10" s="8">
        <v>2</v>
      </c>
      <c r="B10" s="21">
        <v>2</v>
      </c>
      <c r="C10" s="25"/>
      <c r="D10" s="22"/>
      <c r="E10" s="23"/>
      <c r="F10" s="17">
        <f t="shared" ref="F10:F39" si="0">SUM(B10:E10)</f>
        <v>2</v>
      </c>
      <c r="G10" s="30">
        <v>5</v>
      </c>
      <c r="H10" s="25">
        <v>3</v>
      </c>
      <c r="I10" s="22"/>
      <c r="J10" s="25"/>
      <c r="K10" s="15">
        <f t="shared" ref="K10:K39" si="1">SUM(G10:J10)</f>
        <v>8</v>
      </c>
      <c r="L10" s="7">
        <f t="shared" ref="L10:L39" si="2">SUM(F10+K10)</f>
        <v>10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>
        <v>1</v>
      </c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>
        <v>1</v>
      </c>
      <c r="H12" s="25"/>
      <c r="I12" s="25"/>
      <c r="J12" s="25"/>
      <c r="K12" s="15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48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4</v>
      </c>
      <c r="C15" s="25"/>
      <c r="D15" s="25"/>
      <c r="E15" s="24"/>
      <c r="F15" s="17">
        <f t="shared" si="0"/>
        <v>4</v>
      </c>
      <c r="G15" s="30"/>
      <c r="H15" s="25"/>
      <c r="I15" s="25"/>
      <c r="J15" s="30"/>
      <c r="K15" s="15">
        <f t="shared" si="1"/>
        <v>0</v>
      </c>
      <c r="L15" s="7">
        <f t="shared" si="2"/>
        <v>4</v>
      </c>
    </row>
    <row r="16" spans="1:12" ht="15.75" thickBot="1" x14ac:dyDescent="0.3">
      <c r="A16" s="8">
        <v>8</v>
      </c>
      <c r="B16" s="21">
        <v>3</v>
      </c>
      <c r="C16" s="25"/>
      <c r="D16" s="25"/>
      <c r="E16" s="23"/>
      <c r="F16" s="17">
        <f t="shared" si="0"/>
        <v>3</v>
      </c>
      <c r="G16" s="30"/>
      <c r="H16" s="25"/>
      <c r="I16" s="25"/>
      <c r="J16" s="30"/>
      <c r="K16" s="15">
        <f t="shared" si="1"/>
        <v>0</v>
      </c>
      <c r="L16" s="7">
        <f t="shared" si="2"/>
        <v>3</v>
      </c>
    </row>
    <row r="17" spans="1:12" ht="15.75" thickBot="1" x14ac:dyDescent="0.3">
      <c r="A17" s="8">
        <v>9</v>
      </c>
      <c r="B17" s="21">
        <v>2</v>
      </c>
      <c r="C17" s="25">
        <v>1</v>
      </c>
      <c r="D17" s="25"/>
      <c r="E17" s="24"/>
      <c r="F17" s="17">
        <f t="shared" si="0"/>
        <v>3</v>
      </c>
      <c r="G17" s="30"/>
      <c r="H17" s="25"/>
      <c r="I17" s="25"/>
      <c r="J17" s="30"/>
      <c r="K17" s="15">
        <f t="shared" si="1"/>
        <v>0</v>
      </c>
      <c r="L17" s="7">
        <f t="shared" si="2"/>
        <v>3</v>
      </c>
    </row>
    <row r="18" spans="1:12" ht="15.75" thickBot="1" x14ac:dyDescent="0.3">
      <c r="A18" s="8">
        <v>10</v>
      </c>
      <c r="B18" s="21"/>
      <c r="C18" s="25"/>
      <c r="D18" s="25">
        <v>2</v>
      </c>
      <c r="E18" s="24"/>
      <c r="F18" s="17">
        <f t="shared" si="0"/>
        <v>2</v>
      </c>
      <c r="G18" s="30"/>
      <c r="H18" s="25"/>
      <c r="I18" s="25"/>
      <c r="J18" s="30"/>
      <c r="K18" s="15">
        <f t="shared" si="1"/>
        <v>0</v>
      </c>
      <c r="L18" s="7">
        <f t="shared" si="2"/>
        <v>2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3</v>
      </c>
      <c r="C22" s="25"/>
      <c r="D22" s="25"/>
      <c r="E22" s="23"/>
      <c r="F22" s="17">
        <f t="shared" si="0"/>
        <v>3</v>
      </c>
      <c r="G22" s="30">
        <v>12</v>
      </c>
      <c r="H22" s="25"/>
      <c r="I22" s="25"/>
      <c r="J22" s="30"/>
      <c r="K22" s="15">
        <f t="shared" si="1"/>
        <v>12</v>
      </c>
      <c r="L22" s="7">
        <f t="shared" si="2"/>
        <v>15</v>
      </c>
    </row>
    <row r="23" spans="1:12" ht="15.75" thickBot="1" x14ac:dyDescent="0.3">
      <c r="A23" s="8">
        <v>15</v>
      </c>
      <c r="B23" s="21">
        <v>2</v>
      </c>
      <c r="C23" s="25"/>
      <c r="D23" s="25">
        <v>1</v>
      </c>
      <c r="E23" s="23"/>
      <c r="F23" s="17">
        <f t="shared" si="0"/>
        <v>3</v>
      </c>
      <c r="G23" s="30">
        <v>7</v>
      </c>
      <c r="H23" s="25"/>
      <c r="I23" s="25"/>
      <c r="J23" s="30"/>
      <c r="K23" s="15">
        <f t="shared" si="1"/>
        <v>7</v>
      </c>
      <c r="L23" s="7">
        <f t="shared" si="2"/>
        <v>10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5</v>
      </c>
      <c r="H24" s="25"/>
      <c r="I24" s="25"/>
      <c r="J24" s="30"/>
      <c r="K24" s="15">
        <f t="shared" si="1"/>
        <v>5</v>
      </c>
      <c r="L24" s="7">
        <f t="shared" si="2"/>
        <v>5</v>
      </c>
    </row>
    <row r="25" spans="1:12" ht="15.75" thickBot="1" x14ac:dyDescent="0.3">
      <c r="A25" s="8">
        <v>17</v>
      </c>
      <c r="B25" s="21">
        <v>2</v>
      </c>
      <c r="C25" s="43"/>
      <c r="D25" s="25"/>
      <c r="E25" s="23"/>
      <c r="F25" s="17">
        <f t="shared" si="0"/>
        <v>2</v>
      </c>
      <c r="G25" s="30">
        <v>6</v>
      </c>
      <c r="H25" s="25"/>
      <c r="I25" s="25"/>
      <c r="J25" s="30"/>
      <c r="K25" s="15">
        <f t="shared" si="1"/>
        <v>6</v>
      </c>
      <c r="L25" s="7">
        <f t="shared" si="2"/>
        <v>8</v>
      </c>
    </row>
    <row r="26" spans="1:12" ht="15.75" thickBot="1" x14ac:dyDescent="0.3">
      <c r="A26" s="8">
        <v>18</v>
      </c>
      <c r="B26" s="21"/>
      <c r="C26" s="25"/>
      <c r="D26" s="25">
        <v>1</v>
      </c>
      <c r="E26" s="24"/>
      <c r="F26" s="17">
        <f t="shared" si="0"/>
        <v>1</v>
      </c>
      <c r="G26" s="30">
        <v>1</v>
      </c>
      <c r="H26" s="25">
        <v>1</v>
      </c>
      <c r="I26" s="25"/>
      <c r="J26" s="30"/>
      <c r="K26" s="15">
        <f t="shared" si="1"/>
        <v>2</v>
      </c>
      <c r="L26" s="7">
        <f t="shared" si="2"/>
        <v>3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5"/>
      <c r="E32" s="23"/>
      <c r="F32" s="17">
        <f t="shared" si="0"/>
        <v>1</v>
      </c>
      <c r="G32" s="30"/>
      <c r="H32" s="25"/>
      <c r="I32" s="30"/>
      <c r="J32" s="30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>
        <v>1</v>
      </c>
      <c r="E34" s="23"/>
      <c r="F34" s="17">
        <f t="shared" si="0"/>
        <v>1</v>
      </c>
      <c r="G34" s="30"/>
      <c r="H34" s="25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</v>
      </c>
      <c r="C36" s="22"/>
      <c r="D36" s="25"/>
      <c r="E36" s="23"/>
      <c r="F36" s="17">
        <f t="shared" si="0"/>
        <v>1</v>
      </c>
      <c r="G36" s="30"/>
      <c r="H36" s="25"/>
      <c r="I36" s="25"/>
      <c r="J36" s="22"/>
      <c r="K36" s="15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5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22</v>
      </c>
      <c r="C40" s="46">
        <f t="shared" ref="C40:E40" si="3">SUM(C9:C39)</f>
        <v>1</v>
      </c>
      <c r="D40" s="46">
        <f t="shared" si="3"/>
        <v>5</v>
      </c>
      <c r="E40" s="46">
        <f t="shared" si="3"/>
        <v>0</v>
      </c>
      <c r="F40" s="45">
        <f>SUM(F9:F39)</f>
        <v>28</v>
      </c>
      <c r="G40" s="16">
        <f>SUM(G9:G39)</f>
        <v>57</v>
      </c>
      <c r="H40" s="16">
        <f t="shared" ref="H40:L40" si="4">SUM(H9:H39)</f>
        <v>5</v>
      </c>
      <c r="I40" s="16">
        <f t="shared" si="4"/>
        <v>0</v>
      </c>
      <c r="J40" s="16">
        <f t="shared" si="4"/>
        <v>0</v>
      </c>
      <c r="K40" s="16">
        <f t="shared" si="4"/>
        <v>62</v>
      </c>
      <c r="L40" s="16">
        <f t="shared" si="4"/>
        <v>90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319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90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229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131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98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2" spans="1:12" x14ac:dyDescent="0.25">
      <c r="A52" t="s">
        <v>62</v>
      </c>
    </row>
    <row r="53" spans="1:12" x14ac:dyDescent="0.25">
      <c r="A53" t="s">
        <v>64</v>
      </c>
    </row>
    <row r="54" spans="1:12" x14ac:dyDescent="0.25">
      <c r="A54" t="s">
        <v>67</v>
      </c>
    </row>
    <row r="55" spans="1:12" x14ac:dyDescent="0.25">
      <c r="A55" t="s">
        <v>63</v>
      </c>
    </row>
    <row r="56" spans="1:12" x14ac:dyDescent="0.25">
      <c r="A56" t="s">
        <v>66</v>
      </c>
    </row>
    <row r="57" spans="1:12" x14ac:dyDescent="0.25">
      <c r="A57" t="s">
        <v>65</v>
      </c>
    </row>
    <row r="58" spans="1:12" x14ac:dyDescent="0.25">
      <c r="A58" t="s">
        <v>68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L56"/>
  <sheetViews>
    <sheetView topLeftCell="A37" zoomScaleNormal="100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69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47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5</v>
      </c>
      <c r="C10" s="25"/>
      <c r="D10" s="22"/>
      <c r="E10" s="23"/>
      <c r="F10" s="17">
        <f t="shared" ref="F10:F39" si="0">SUM(B10:E10)</f>
        <v>5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5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0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48">
        <v>2</v>
      </c>
      <c r="C13" s="25"/>
      <c r="D13" s="25"/>
      <c r="E13" s="23"/>
      <c r="F13" s="17">
        <f t="shared" si="0"/>
        <v>2</v>
      </c>
      <c r="G13" s="30"/>
      <c r="H13" s="25"/>
      <c r="I13" s="25"/>
      <c r="J13" s="22"/>
      <c r="K13" s="15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3</v>
      </c>
      <c r="C15" s="25"/>
      <c r="D15" s="25"/>
      <c r="E15" s="24"/>
      <c r="F15" s="17">
        <f t="shared" si="0"/>
        <v>3</v>
      </c>
      <c r="G15" s="30"/>
      <c r="H15" s="25"/>
      <c r="I15" s="25"/>
      <c r="J15" s="30"/>
      <c r="K15" s="15">
        <f t="shared" si="1"/>
        <v>0</v>
      </c>
      <c r="L15" s="7">
        <f t="shared" si="2"/>
        <v>3</v>
      </c>
    </row>
    <row r="16" spans="1:12" ht="15.75" thickBot="1" x14ac:dyDescent="0.3">
      <c r="A16" s="8">
        <v>8</v>
      </c>
      <c r="B16" s="21">
        <v>1</v>
      </c>
      <c r="C16" s="25"/>
      <c r="D16" s="25"/>
      <c r="E16" s="23"/>
      <c r="F16" s="17">
        <f t="shared" si="0"/>
        <v>1</v>
      </c>
      <c r="G16" s="30"/>
      <c r="H16" s="25"/>
      <c r="I16" s="25"/>
      <c r="J16" s="30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>
        <v>1</v>
      </c>
      <c r="C17" s="25"/>
      <c r="D17" s="25"/>
      <c r="E17" s="24"/>
      <c r="F17" s="17">
        <f t="shared" si="0"/>
        <v>1</v>
      </c>
      <c r="G17" s="30"/>
      <c r="H17" s="25"/>
      <c r="I17" s="25"/>
      <c r="J17" s="30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5"/>
      <c r="D18" s="25"/>
      <c r="E18" s="24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4"/>
      <c r="F20" s="17">
        <f t="shared" si="0"/>
        <v>2</v>
      </c>
      <c r="G20" s="30"/>
      <c r="H20" s="25"/>
      <c r="I20" s="25"/>
      <c r="J20" s="30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>
        <v>1</v>
      </c>
      <c r="C21" s="25"/>
      <c r="D21" s="25"/>
      <c r="E21" s="23"/>
      <c r="F21" s="17">
        <f t="shared" si="0"/>
        <v>1</v>
      </c>
      <c r="G21" s="30"/>
      <c r="H21" s="25"/>
      <c r="I21" s="25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0">
        <v>1</v>
      </c>
      <c r="H22" s="25"/>
      <c r="I22" s="25"/>
      <c r="J22" s="30"/>
      <c r="K22" s="15">
        <f t="shared" si="1"/>
        <v>1</v>
      </c>
      <c r="L22" s="7">
        <f t="shared" si="2"/>
        <v>2</v>
      </c>
    </row>
    <row r="23" spans="1:12" ht="15.75" thickBot="1" x14ac:dyDescent="0.3">
      <c r="A23" s="8">
        <v>15</v>
      </c>
      <c r="B23" s="21">
        <v>1</v>
      </c>
      <c r="C23" s="25"/>
      <c r="D23" s="25">
        <v>1</v>
      </c>
      <c r="E23" s="23"/>
      <c r="F23" s="17">
        <f t="shared" si="0"/>
        <v>2</v>
      </c>
      <c r="G23" s="30"/>
      <c r="H23" s="25"/>
      <c r="I23" s="25"/>
      <c r="J23" s="30"/>
      <c r="K23" s="15">
        <f t="shared" si="1"/>
        <v>0</v>
      </c>
      <c r="L23" s="7">
        <f t="shared" si="2"/>
        <v>2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>
        <v>1</v>
      </c>
      <c r="I24" s="25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5"/>
      <c r="D27" s="25"/>
      <c r="E27" s="23"/>
      <c r="F27" s="17">
        <f t="shared" si="0"/>
        <v>2</v>
      </c>
      <c r="G27" s="30"/>
      <c r="H27" s="25"/>
      <c r="I27" s="25"/>
      <c r="J27" s="30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2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2</v>
      </c>
      <c r="C29" s="22"/>
      <c r="D29" s="25"/>
      <c r="E29" s="24"/>
      <c r="F29" s="17">
        <f t="shared" si="0"/>
        <v>2</v>
      </c>
      <c r="G29" s="30"/>
      <c r="H29" s="25"/>
      <c r="I29" s="25"/>
      <c r="J29" s="30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5"/>
      <c r="E31" s="23"/>
      <c r="F31" s="17">
        <f t="shared" si="0"/>
        <v>1</v>
      </c>
      <c r="G31" s="30"/>
      <c r="H31" s="22"/>
      <c r="I31" s="30"/>
      <c r="J31" s="30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3</v>
      </c>
      <c r="C34" s="25"/>
      <c r="D34" s="25"/>
      <c r="E34" s="23"/>
      <c r="F34" s="17">
        <f t="shared" si="0"/>
        <v>3</v>
      </c>
      <c r="G34" s="30">
        <v>1</v>
      </c>
      <c r="H34" s="25"/>
      <c r="I34" s="22"/>
      <c r="J34" s="22"/>
      <c r="K34" s="15">
        <f t="shared" si="1"/>
        <v>1</v>
      </c>
      <c r="L34" s="7">
        <f t="shared" si="2"/>
        <v>4</v>
      </c>
    </row>
    <row r="35" spans="1:12" ht="15.75" thickBot="1" x14ac:dyDescent="0.3">
      <c r="A35" s="8">
        <v>27</v>
      </c>
      <c r="B35" s="21">
        <v>2</v>
      </c>
      <c r="C35" s="25"/>
      <c r="D35" s="25"/>
      <c r="E35" s="23"/>
      <c r="F35" s="17">
        <f t="shared" si="0"/>
        <v>2</v>
      </c>
      <c r="G35" s="40"/>
      <c r="H35" s="22"/>
      <c r="I35" s="22"/>
      <c r="J35" s="22"/>
      <c r="K35" s="15">
        <f t="shared" si="1"/>
        <v>0</v>
      </c>
      <c r="L35" s="7">
        <f t="shared" si="2"/>
        <v>2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>
        <v>3</v>
      </c>
      <c r="H38" s="22"/>
      <c r="I38" s="22"/>
      <c r="J38" s="25"/>
      <c r="K38" s="15">
        <f t="shared" si="1"/>
        <v>3</v>
      </c>
      <c r="L38" s="7">
        <f t="shared" si="2"/>
        <v>4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28</v>
      </c>
      <c r="C40" s="46">
        <f t="shared" ref="C40:E40" si="3">SUM(C9:C39)</f>
        <v>0</v>
      </c>
      <c r="D40" s="46">
        <f t="shared" si="3"/>
        <v>1</v>
      </c>
      <c r="E40" s="46">
        <f t="shared" si="3"/>
        <v>0</v>
      </c>
      <c r="F40" s="45">
        <f>SUM(F9:F39)</f>
        <v>29</v>
      </c>
      <c r="G40" s="16">
        <f>SUM(G9:G39)</f>
        <v>5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6</v>
      </c>
      <c r="L40" s="16">
        <f t="shared" si="4"/>
        <v>35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131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300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35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396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210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186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2" spans="1:12" x14ac:dyDescent="0.25">
      <c r="A52" t="s">
        <v>70</v>
      </c>
    </row>
    <row r="53" spans="1:12" x14ac:dyDescent="0.25">
      <c r="A53" t="s">
        <v>29</v>
      </c>
    </row>
    <row r="54" spans="1:12" x14ac:dyDescent="0.25">
      <c r="A54" t="s">
        <v>31</v>
      </c>
    </row>
    <row r="55" spans="1:12" x14ac:dyDescent="0.25">
      <c r="A55" t="s">
        <v>54</v>
      </c>
    </row>
    <row r="56" spans="1:12" x14ac:dyDescent="0.25">
      <c r="A56" t="s">
        <v>71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CD44-0655-44F2-976D-D97965A02313}">
  <dimension ref="A1:L56"/>
  <sheetViews>
    <sheetView tabSelected="1" topLeftCell="A29" zoomScaleNormal="100" workbookViewId="0">
      <selection activeCell="A57" sqref="A5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49" t="s">
        <v>0</v>
      </c>
      <c r="B1" s="49"/>
      <c r="C1" s="49"/>
      <c r="D1" s="49"/>
      <c r="E1" s="31"/>
      <c r="F1" s="32"/>
      <c r="G1" s="50" t="s">
        <v>1</v>
      </c>
      <c r="H1" s="50"/>
      <c r="I1" s="50"/>
      <c r="J1" s="50"/>
      <c r="K1" s="50"/>
      <c r="L1" s="50"/>
    </row>
    <row r="2" spans="1:12" ht="15.75" x14ac:dyDescent="0.25">
      <c r="A2" s="50" t="s">
        <v>2</v>
      </c>
      <c r="B2" s="50"/>
      <c r="C2" s="50"/>
      <c r="D2" s="50"/>
      <c r="E2" s="31"/>
      <c r="F2" s="32"/>
      <c r="G2" s="51" t="s">
        <v>3</v>
      </c>
      <c r="H2" s="51"/>
      <c r="I2" s="51"/>
      <c r="J2" s="51"/>
      <c r="K2" s="51"/>
      <c r="L2" s="51"/>
    </row>
    <row r="3" spans="1:12" x14ac:dyDescent="0.25">
      <c r="A3" s="51" t="s">
        <v>4</v>
      </c>
      <c r="B3" s="51"/>
      <c r="C3" s="51"/>
      <c r="D3" s="51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x14ac:dyDescent="0.25">
      <c r="A5" s="52" t="s">
        <v>72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3"/>
      <c r="L6" s="3"/>
    </row>
    <row r="7" spans="1:12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2" ht="15.75" thickBot="1" x14ac:dyDescent="0.3">
      <c r="A8" s="56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62"/>
    </row>
    <row r="9" spans="1:12" ht="15.75" thickBot="1" x14ac:dyDescent="0.3">
      <c r="A9" s="6">
        <v>1</v>
      </c>
      <c r="B9" s="18"/>
      <c r="C9" s="19"/>
      <c r="D9" s="47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>
        <v>2</v>
      </c>
      <c r="H11" s="25"/>
      <c r="I11" s="22"/>
      <c r="J11" s="22"/>
      <c r="K11" s="15">
        <f t="shared" si="1"/>
        <v>2</v>
      </c>
      <c r="L11" s="7">
        <f t="shared" si="2"/>
        <v>3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3"/>
      <c r="F12" s="17">
        <f t="shared" si="0"/>
        <v>1</v>
      </c>
      <c r="G12" s="30"/>
      <c r="H12" s="25"/>
      <c r="I12" s="25"/>
      <c r="J12" s="25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48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2</v>
      </c>
      <c r="C18" s="25"/>
      <c r="D18" s="25"/>
      <c r="E18" s="24"/>
      <c r="F18" s="17">
        <f t="shared" si="0"/>
        <v>2</v>
      </c>
      <c r="G18" s="30">
        <v>1</v>
      </c>
      <c r="H18" s="25"/>
      <c r="I18" s="25">
        <v>1</v>
      </c>
      <c r="J18" s="30">
        <v>1</v>
      </c>
      <c r="K18" s="15">
        <f t="shared" si="1"/>
        <v>3</v>
      </c>
      <c r="L18" s="7">
        <f t="shared" si="2"/>
        <v>5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>
        <v>1</v>
      </c>
      <c r="H19" s="25"/>
      <c r="I19" s="25"/>
      <c r="J19" s="30"/>
      <c r="K19" s="15">
        <f t="shared" si="1"/>
        <v>1</v>
      </c>
      <c r="L19" s="7">
        <f t="shared" si="2"/>
        <v>1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4"/>
      <c r="F20" s="17">
        <f t="shared" si="0"/>
        <v>1</v>
      </c>
      <c r="G20" s="30"/>
      <c r="H20" s="25"/>
      <c r="I20" s="25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>
        <v>1</v>
      </c>
      <c r="I21" s="25"/>
      <c r="J21" s="30"/>
      <c r="K21" s="15">
        <f t="shared" si="1"/>
        <v>1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25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3"/>
      <c r="F27" s="17">
        <f t="shared" si="0"/>
        <v>1</v>
      </c>
      <c r="G27" s="30"/>
      <c r="H27" s="25"/>
      <c r="I27" s="25"/>
      <c r="J27" s="30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>
        <v>40</v>
      </c>
      <c r="C28" s="22"/>
      <c r="D28" s="25"/>
      <c r="E28" s="24"/>
      <c r="F28" s="17">
        <f t="shared" si="0"/>
        <v>40</v>
      </c>
      <c r="G28" s="30"/>
      <c r="H28" s="25"/>
      <c r="I28" s="25"/>
      <c r="J28" s="30"/>
      <c r="K28" s="15">
        <f t="shared" si="1"/>
        <v>0</v>
      </c>
      <c r="L28" s="7">
        <f t="shared" si="2"/>
        <v>40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34</v>
      </c>
      <c r="C31" s="22"/>
      <c r="D31" s="25"/>
      <c r="E31" s="23"/>
      <c r="F31" s="17">
        <f t="shared" si="0"/>
        <v>34</v>
      </c>
      <c r="G31" s="30"/>
      <c r="H31" s="22"/>
      <c r="I31" s="30"/>
      <c r="J31" s="30"/>
      <c r="K31" s="15">
        <f t="shared" si="1"/>
        <v>0</v>
      </c>
      <c r="L31" s="7">
        <f t="shared" si="2"/>
        <v>34</v>
      </c>
    </row>
    <row r="32" spans="1:12" ht="15.75" thickBot="1" x14ac:dyDescent="0.3">
      <c r="A32" s="8">
        <v>24</v>
      </c>
      <c r="B32" s="21">
        <v>11</v>
      </c>
      <c r="C32" s="22"/>
      <c r="D32" s="25"/>
      <c r="E32" s="23"/>
      <c r="F32" s="17">
        <f t="shared" si="0"/>
        <v>11</v>
      </c>
      <c r="G32" s="30"/>
      <c r="H32" s="25"/>
      <c r="I32" s="30"/>
      <c r="J32" s="30"/>
      <c r="K32" s="15">
        <f t="shared" si="1"/>
        <v>0</v>
      </c>
      <c r="L32" s="7">
        <f t="shared" si="2"/>
        <v>11</v>
      </c>
    </row>
    <row r="33" spans="1:12" ht="15.75" thickBot="1" x14ac:dyDescent="0.3">
      <c r="A33" s="8">
        <v>25</v>
      </c>
      <c r="B33" s="21">
        <v>9</v>
      </c>
      <c r="C33" s="22"/>
      <c r="D33" s="25"/>
      <c r="E33" s="23"/>
      <c r="F33" s="17">
        <f t="shared" si="0"/>
        <v>9</v>
      </c>
      <c r="G33" s="30"/>
      <c r="H33" s="22"/>
      <c r="I33" s="30"/>
      <c r="J33" s="30"/>
      <c r="K33" s="15">
        <f t="shared" si="1"/>
        <v>0</v>
      </c>
      <c r="L33" s="7">
        <f t="shared" si="2"/>
        <v>9</v>
      </c>
    </row>
    <row r="34" spans="1:12" ht="15.75" thickBot="1" x14ac:dyDescent="0.3">
      <c r="A34" s="8">
        <v>26</v>
      </c>
      <c r="B34" s="21">
        <v>8</v>
      </c>
      <c r="C34" s="25"/>
      <c r="D34" s="25"/>
      <c r="E34" s="23"/>
      <c r="F34" s="17">
        <f t="shared" si="0"/>
        <v>8</v>
      </c>
      <c r="G34" s="30">
        <v>1</v>
      </c>
      <c r="H34" s="25"/>
      <c r="I34" s="22"/>
      <c r="J34" s="22"/>
      <c r="K34" s="15">
        <f t="shared" si="1"/>
        <v>1</v>
      </c>
      <c r="L34" s="7">
        <f t="shared" si="2"/>
        <v>9</v>
      </c>
    </row>
    <row r="35" spans="1:12" ht="15.75" thickBot="1" x14ac:dyDescent="0.3">
      <c r="A35" s="8">
        <v>27</v>
      </c>
      <c r="B35" s="21">
        <v>11</v>
      </c>
      <c r="C35" s="25"/>
      <c r="D35" s="25"/>
      <c r="E35" s="23"/>
      <c r="F35" s="17">
        <f t="shared" si="0"/>
        <v>11</v>
      </c>
      <c r="G35" s="40"/>
      <c r="H35" s="22"/>
      <c r="I35" s="22"/>
      <c r="J35" s="22"/>
      <c r="K35" s="15">
        <f t="shared" si="1"/>
        <v>0</v>
      </c>
      <c r="L35" s="7">
        <f t="shared" si="2"/>
        <v>11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12</v>
      </c>
      <c r="C38" s="22"/>
      <c r="D38" s="22"/>
      <c r="E38" s="23"/>
      <c r="F38" s="17">
        <f t="shared" si="0"/>
        <v>12</v>
      </c>
      <c r="G38" s="30"/>
      <c r="H38" s="22"/>
      <c r="I38" s="22"/>
      <c r="J38" s="25"/>
      <c r="K38" s="15">
        <f t="shared" si="1"/>
        <v>0</v>
      </c>
      <c r="L38" s="7">
        <f t="shared" si="2"/>
        <v>12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131</v>
      </c>
      <c r="C40" s="46">
        <f t="shared" ref="C40:E40" si="3">SUM(C9:C39)</f>
        <v>0</v>
      </c>
      <c r="D40" s="46">
        <f t="shared" si="3"/>
        <v>0</v>
      </c>
      <c r="E40" s="46">
        <f t="shared" si="3"/>
        <v>0</v>
      </c>
      <c r="F40" s="45">
        <f>SUM(F9:F39)</f>
        <v>131</v>
      </c>
      <c r="G40" s="16">
        <f>SUM(G9:G39)</f>
        <v>6</v>
      </c>
      <c r="H40" s="16">
        <f t="shared" ref="H40:L40" si="4">SUM(H9:H39)</f>
        <v>1</v>
      </c>
      <c r="I40" s="16">
        <f t="shared" si="4"/>
        <v>1</v>
      </c>
      <c r="J40" s="16">
        <f t="shared" si="4"/>
        <v>1</v>
      </c>
      <c r="K40" s="16">
        <f t="shared" si="4"/>
        <v>9</v>
      </c>
      <c r="L40" s="16">
        <f t="shared" si="4"/>
        <v>140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210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500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140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570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508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62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2" spans="1:12" x14ac:dyDescent="0.25">
      <c r="A52" t="s">
        <v>75</v>
      </c>
    </row>
    <row r="53" spans="1:12" x14ac:dyDescent="0.25">
      <c r="A53" t="s">
        <v>73</v>
      </c>
    </row>
    <row r="54" spans="1:12" x14ac:dyDescent="0.25">
      <c r="A54" t="s">
        <v>76</v>
      </c>
    </row>
    <row r="55" spans="1:12" x14ac:dyDescent="0.25">
      <c r="A55" t="s">
        <v>74</v>
      </c>
    </row>
    <row r="56" spans="1:12" x14ac:dyDescent="0.25">
      <c r="A56" t="s">
        <v>77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2025-11-09T12:57:28Z</cp:lastPrinted>
  <dcterms:created xsi:type="dcterms:W3CDTF">2014-12-31T15:22:06Z</dcterms:created>
  <dcterms:modified xsi:type="dcterms:W3CDTF">2025-12-04T09:17:52Z</dcterms:modified>
</cp:coreProperties>
</file>