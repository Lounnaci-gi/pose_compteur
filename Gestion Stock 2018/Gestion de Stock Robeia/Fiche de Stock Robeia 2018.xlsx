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8\Gestion de Stock Robeia\"/>
    </mc:Choice>
  </mc:AlternateContent>
  <bookViews>
    <workbookView xWindow="555" yWindow="75" windowWidth="11700" windowHeight="6825" firstSheet="7" activeTab="11"/>
  </bookViews>
  <sheets>
    <sheet name="JANVIER 2018" sheetId="1" r:id="rId1"/>
    <sheet name="FE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ECEMBRE 2018" sheetId="12" r:id="rId12"/>
  </sheets>
  <calcPr calcId="152511"/>
</workbook>
</file>

<file path=xl/calcChain.xml><?xml version="1.0" encoding="utf-8"?>
<calcChain xmlns="http://schemas.openxmlformats.org/spreadsheetml/2006/main">
  <c r="J40" i="12" l="1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L38" i="11" s="1"/>
  <c r="K37" i="11"/>
  <c r="F37" i="11"/>
  <c r="L37" i="11" s="1"/>
  <c r="K36" i="11"/>
  <c r="F36" i="11"/>
  <c r="L36" i="11" s="1"/>
  <c r="K35" i="11"/>
  <c r="F35" i="11"/>
  <c r="L35" i="11" s="1"/>
  <c r="K34" i="11"/>
  <c r="F34" i="11"/>
  <c r="L34" i="11" s="1"/>
  <c r="K33" i="11"/>
  <c r="F33" i="11"/>
  <c r="L33" i="11" s="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L25" i="11" s="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L16" i="11" s="1"/>
  <c r="K15" i="11"/>
  <c r="F15" i="11"/>
  <c r="L15" i="11" s="1"/>
  <c r="K14" i="11"/>
  <c r="F14" i="11"/>
  <c r="L14" i="11" s="1"/>
  <c r="K13" i="11"/>
  <c r="F13" i="11"/>
  <c r="L13" i="11" s="1"/>
  <c r="K12" i="11"/>
  <c r="F12" i="11"/>
  <c r="L12" i="11" s="1"/>
  <c r="K11" i="11"/>
  <c r="F11" i="11"/>
  <c r="L11" i="11" s="1"/>
  <c r="K10" i="11"/>
  <c r="F10" i="11"/>
  <c r="F40" i="11" s="1"/>
  <c r="K9" i="11"/>
  <c r="K40" i="11" s="1"/>
  <c r="F9" i="11"/>
  <c r="L9" i="11" s="1"/>
  <c r="L10" i="11" l="1"/>
  <c r="L40" i="11" s="1"/>
  <c r="G46" i="11" s="1"/>
  <c r="G47" i="11" s="1"/>
  <c r="G49" i="11" s="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L37" i="10" s="1"/>
  <c r="K36" i="10"/>
  <c r="F36" i="10"/>
  <c r="L36" i="10" s="1"/>
  <c r="K35" i="10"/>
  <c r="F35" i="10"/>
  <c r="L35" i="10" s="1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L27" i="10" s="1"/>
  <c r="K26" i="10"/>
  <c r="F26" i="10"/>
  <c r="L26" i="10" s="1"/>
  <c r="K25" i="10"/>
  <c r="F25" i="10"/>
  <c r="L25" i="10" s="1"/>
  <c r="K24" i="10"/>
  <c r="F24" i="10"/>
  <c r="L24" i="10" s="1"/>
  <c r="K23" i="10"/>
  <c r="F23" i="10"/>
  <c r="L23" i="10" s="1"/>
  <c r="K22" i="10"/>
  <c r="F22" i="10"/>
  <c r="L22" i="10" s="1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L14" i="10" s="1"/>
  <c r="K13" i="10"/>
  <c r="F13" i="10"/>
  <c r="L13" i="10" s="1"/>
  <c r="K12" i="10"/>
  <c r="F12" i="10"/>
  <c r="L12" i="10" s="1"/>
  <c r="K11" i="10"/>
  <c r="F11" i="10"/>
  <c r="L11" i="10" s="1"/>
  <c r="K10" i="10"/>
  <c r="F10" i="10"/>
  <c r="F40" i="10" s="1"/>
  <c r="K9" i="10"/>
  <c r="K40" i="10" s="1"/>
  <c r="F9" i="10"/>
  <c r="L9" i="10" s="1"/>
  <c r="L10" i="10" l="1"/>
  <c r="L40" i="10" s="1"/>
  <c r="G46" i="10" s="1"/>
  <c r="G47" i="10" s="1"/>
  <c r="G49" i="10" s="1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L35" i="9" s="1"/>
  <c r="K34" i="9"/>
  <c r="F34" i="9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F40" i="9" s="1"/>
  <c r="K9" i="9"/>
  <c r="K40" i="9" s="1"/>
  <c r="F9" i="9"/>
  <c r="L9" i="9" s="1"/>
  <c r="L34" i="9" l="1"/>
  <c r="L10" i="9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L35" i="8" s="1"/>
  <c r="K34" i="8"/>
  <c r="F34" i="8"/>
  <c r="K33" i="8"/>
  <c r="F33" i="8"/>
  <c r="L33" i="8" s="1"/>
  <c r="K32" i="8"/>
  <c r="F32" i="8"/>
  <c r="L32" i="8" s="1"/>
  <c r="K31" i="8"/>
  <c r="F31" i="8"/>
  <c r="L31" i="8" s="1"/>
  <c r="K30" i="8"/>
  <c r="F30" i="8"/>
  <c r="L30" i="8" s="1"/>
  <c r="K29" i="8"/>
  <c r="F29" i="8"/>
  <c r="L29" i="8" s="1"/>
  <c r="K28" i="8"/>
  <c r="F28" i="8"/>
  <c r="L28" i="8" s="1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L21" i="8" s="1"/>
  <c r="K20" i="8"/>
  <c r="F20" i="8"/>
  <c r="L20" i="8" s="1"/>
  <c r="K19" i="8"/>
  <c r="F19" i="8"/>
  <c r="L19" i="8" s="1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L14" i="8" s="1"/>
  <c r="K13" i="8"/>
  <c r="F13" i="8"/>
  <c r="L13" i="8" s="1"/>
  <c r="K12" i="8"/>
  <c r="F12" i="8"/>
  <c r="L12" i="8" s="1"/>
  <c r="K11" i="8"/>
  <c r="F11" i="8"/>
  <c r="L11" i="8" s="1"/>
  <c r="K10" i="8"/>
  <c r="F10" i="8"/>
  <c r="L10" i="8" s="1"/>
  <c r="K9" i="8"/>
  <c r="K40" i="8" s="1"/>
  <c r="F9" i="8"/>
  <c r="L9" i="8" s="1"/>
  <c r="L40" i="9" l="1"/>
  <c r="G46" i="9" s="1"/>
  <c r="G47" i="9" s="1"/>
  <c r="G49" i="9" s="1"/>
  <c r="L40" i="8"/>
  <c r="G46" i="8" s="1"/>
  <c r="G47" i="8" s="1"/>
  <c r="G49" i="8" s="1"/>
  <c r="L34" i="8"/>
  <c r="F40" i="8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L15" i="7" s="1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K40" i="7" s="1"/>
  <c r="F10" i="7"/>
  <c r="L10" i="7" s="1"/>
  <c r="K9" i="7"/>
  <c r="F9" i="7"/>
  <c r="F40" i="7" s="1"/>
  <c r="L9" i="7" l="1"/>
  <c r="L40" i="7" s="1"/>
  <c r="G46" i="7" s="1"/>
  <c r="G47" i="7" s="1"/>
  <c r="G49" i="7" s="1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L34" i="6" s="1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L15" i="6" s="1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F40" i="6" s="1"/>
  <c r="K9" i="6"/>
  <c r="K40" i="6" s="1"/>
  <c r="F9" i="6"/>
  <c r="L9" i="6" s="1"/>
  <c r="L10" i="6" l="1"/>
  <c r="L40" i="6" s="1"/>
  <c r="G46" i="6" s="1"/>
  <c r="G47" i="6" s="1"/>
  <c r="G49" i="6" s="1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L33" i="5" s="1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L18" i="5" s="1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F40" i="5" s="1"/>
  <c r="K9" i="5"/>
  <c r="K40" i="5" s="1"/>
  <c r="F9" i="5"/>
  <c r="L9" i="5" s="1"/>
  <c r="L10" i="5" l="1"/>
  <c r="L40" i="5" s="1"/>
  <c r="G46" i="5" s="1"/>
  <c r="G47" i="5" s="1"/>
  <c r="G49" i="5" s="1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L21" i="4" s="1"/>
  <c r="K20" i="4"/>
  <c r="F20" i="4"/>
  <c r="L20" i="4" s="1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L15" i="4" s="1"/>
  <c r="K14" i="4"/>
  <c r="F14" i="4"/>
  <c r="L14" i="4" s="1"/>
  <c r="K13" i="4"/>
  <c r="F13" i="4"/>
  <c r="L13" i="4" s="1"/>
  <c r="K12" i="4"/>
  <c r="F12" i="4"/>
  <c r="L12" i="4" s="1"/>
  <c r="K11" i="4"/>
  <c r="F11" i="4"/>
  <c r="L11" i="4" s="1"/>
  <c r="K10" i="4"/>
  <c r="F10" i="4"/>
  <c r="L10" i="4" s="1"/>
  <c r="K9" i="4"/>
  <c r="K40" i="4" s="1"/>
  <c r="F9" i="4"/>
  <c r="L9" i="4" s="1"/>
  <c r="L40" i="4" s="1"/>
  <c r="G46" i="4" s="1"/>
  <c r="G47" i="4" s="1"/>
  <c r="G49" i="4" s="1"/>
  <c r="F40" i="4" l="1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L34" i="3" s="1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L28" i="3" s="1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L16" i="3" s="1"/>
  <c r="K15" i="3"/>
  <c r="F15" i="3"/>
  <c r="L15" i="3" s="1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F10" i="3"/>
  <c r="F40" i="3" s="1"/>
  <c r="K9" i="3"/>
  <c r="K40" i="3" s="1"/>
  <c r="F9" i="3"/>
  <c r="L9" i="3" s="1"/>
  <c r="L10" i="3" l="1"/>
  <c r="L40" i="3" s="1"/>
  <c r="G46" i="3" s="1"/>
  <c r="G47" i="3" s="1"/>
  <c r="G49" i="3" s="1"/>
  <c r="J40" i="2"/>
  <c r="I40" i="2"/>
  <c r="H40" i="2"/>
  <c r="G40" i="2"/>
  <c r="E40" i="2"/>
  <c r="D40" i="2"/>
  <c r="C40" i="2"/>
  <c r="B40" i="2"/>
  <c r="K39" i="2"/>
  <c r="F39" i="2"/>
  <c r="L39" i="2" s="1"/>
  <c r="K38" i="2"/>
  <c r="F38" i="2"/>
  <c r="L38" i="2" s="1"/>
  <c r="K37" i="2"/>
  <c r="F37" i="2"/>
  <c r="L37" i="2" s="1"/>
  <c r="K36" i="2"/>
  <c r="F36" i="2"/>
  <c r="L36" i="2" s="1"/>
  <c r="K35" i="2"/>
  <c r="F35" i="2"/>
  <c r="L35" i="2" s="1"/>
  <c r="K34" i="2"/>
  <c r="F34" i="2"/>
  <c r="L34" i="2" s="1"/>
  <c r="K33" i="2"/>
  <c r="F33" i="2"/>
  <c r="L33" i="2" s="1"/>
  <c r="K32" i="2"/>
  <c r="F32" i="2"/>
  <c r="L32" i="2" s="1"/>
  <c r="K31" i="2"/>
  <c r="F31" i="2"/>
  <c r="L31" i="2" s="1"/>
  <c r="K30" i="2"/>
  <c r="F30" i="2"/>
  <c r="L30" i="2" s="1"/>
  <c r="K29" i="2"/>
  <c r="F29" i="2"/>
  <c r="L29" i="2" s="1"/>
  <c r="K28" i="2"/>
  <c r="F28" i="2"/>
  <c r="L28" i="2" s="1"/>
  <c r="K27" i="2"/>
  <c r="F27" i="2"/>
  <c r="L27" i="2" s="1"/>
  <c r="K26" i="2"/>
  <c r="F26" i="2"/>
  <c r="L26" i="2" s="1"/>
  <c r="K25" i="2"/>
  <c r="F25" i="2"/>
  <c r="L25" i="2" s="1"/>
  <c r="K24" i="2"/>
  <c r="F24" i="2"/>
  <c r="L24" i="2" s="1"/>
  <c r="K23" i="2"/>
  <c r="F23" i="2"/>
  <c r="L23" i="2" s="1"/>
  <c r="K22" i="2"/>
  <c r="F22" i="2"/>
  <c r="L22" i="2" s="1"/>
  <c r="K21" i="2"/>
  <c r="F21" i="2"/>
  <c r="L21" i="2" s="1"/>
  <c r="K20" i="2"/>
  <c r="F20" i="2"/>
  <c r="L20" i="2" s="1"/>
  <c r="K19" i="2"/>
  <c r="F19" i="2"/>
  <c r="L19" i="2" s="1"/>
  <c r="K18" i="2"/>
  <c r="F18" i="2"/>
  <c r="L18" i="2" s="1"/>
  <c r="K17" i="2"/>
  <c r="F17" i="2"/>
  <c r="L17" i="2" s="1"/>
  <c r="K16" i="2"/>
  <c r="F16" i="2"/>
  <c r="L16" i="2" s="1"/>
  <c r="K15" i="2"/>
  <c r="F15" i="2"/>
  <c r="L15" i="2" s="1"/>
  <c r="K14" i="2"/>
  <c r="F14" i="2"/>
  <c r="L14" i="2" s="1"/>
  <c r="K13" i="2"/>
  <c r="F13" i="2"/>
  <c r="L13" i="2" s="1"/>
  <c r="K12" i="2"/>
  <c r="F12" i="2"/>
  <c r="L12" i="2" s="1"/>
  <c r="K11" i="2"/>
  <c r="F11" i="2"/>
  <c r="L11" i="2" s="1"/>
  <c r="K10" i="2"/>
  <c r="F10" i="2"/>
  <c r="F40" i="2" s="1"/>
  <c r="K9" i="2"/>
  <c r="K40" i="2" s="1"/>
  <c r="F9" i="2"/>
  <c r="L9" i="2" s="1"/>
  <c r="L10" i="2" l="1"/>
  <c r="L40" i="2" s="1"/>
  <c r="G46" i="2" s="1"/>
  <c r="G47" i="2" s="1"/>
  <c r="G49" i="2" s="1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L39" i="1" s="1"/>
  <c r="F9" i="1"/>
  <c r="L37" i="1" l="1"/>
  <c r="L35" i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<sst xmlns="http://schemas.openxmlformats.org/spreadsheetml/2006/main" count="409" uniqueCount="42">
  <si>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</si>
  <si>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</si>
  <si>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</si>
  <si>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</si>
  <si>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</si>
  <si>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</si>
  <si>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</si>
  <si>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</si>
  <si>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</si>
  <si>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</si>
  <si>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</si>
  <si>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</si>
  <si>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</si>
  <si>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</si>
  <si>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</si>
  <si>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</si>
  <si>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</si>
  <si>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</si>
  <si>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</si>
  <si>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</si>
  <si>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</si>
  <si>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</si>
  <si>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</si>
  <si>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</si>
  <si>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</si>
  <si>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</si>
  <si>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</si>
  <si>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</si>
  <si>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</si>
  <si>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t>Antenne Robeia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</si>
  <si>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</si>
  <si>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</si>
  <si>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</si>
  <si>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</si>
  <si>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</si>
  <si>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</si>
  <si>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</si>
  <si>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</si>
  <si>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</si>
  <si>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2018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</si>
  <si>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2018</t>
    </r>
  </si>
  <si>
    <t>07 Compteur DN 15/21 Réintégré Agence Berrouaghia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</si>
</sst>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4" sqref="A4:L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28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0</v>
      </c>
      <c r="C40" s="11">
        <f t="shared" ref="C40:E40" si="3">SUM(C9:C39)</f>
        <v>0</v>
      </c>
      <c r="D40" s="11">
        <f t="shared" si="3"/>
        <v>0</v>
      </c>
      <c r="E40" s="11">
        <f t="shared" si="3"/>
        <v>0</v>
      </c>
      <c r="F40" s="16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G43" sqref="G43:H4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30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9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4</v>
      </c>
      <c r="C22" s="24"/>
      <c r="D22" s="24"/>
      <c r="E22" s="25"/>
      <c r="F22" s="19">
        <f t="shared" si="0"/>
        <v>4</v>
      </c>
      <c r="G22" s="36"/>
      <c r="H22" s="24"/>
      <c r="I22" s="24"/>
      <c r="J22" s="24"/>
      <c r="K22" s="17">
        <f t="shared" si="1"/>
        <v>0</v>
      </c>
      <c r="L22" s="7">
        <f t="shared" si="2"/>
        <v>4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>
        <v>2</v>
      </c>
      <c r="C28" s="24"/>
      <c r="D28" s="24"/>
      <c r="E28" s="25"/>
      <c r="F28" s="19">
        <f t="shared" si="0"/>
        <v>2</v>
      </c>
      <c r="G28" s="32"/>
      <c r="H28" s="24"/>
      <c r="I28" s="24"/>
      <c r="J28" s="24"/>
      <c r="K28" s="17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6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6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6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4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4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32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>
        <v>1</v>
      </c>
      <c r="C31" s="24"/>
      <c r="D31" s="24"/>
      <c r="E31" s="25"/>
      <c r="F31" s="19">
        <f t="shared" si="0"/>
        <v>1</v>
      </c>
      <c r="G31" s="32"/>
      <c r="H31" s="24"/>
      <c r="I31" s="24"/>
      <c r="J31" s="24"/>
      <c r="K31" s="17">
        <f t="shared" si="1"/>
        <v>0</v>
      </c>
      <c r="L31" s="7">
        <f t="shared" si="2"/>
        <v>1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1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1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4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1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3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3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2" workbookViewId="0">
      <selection activeCell="C35" sqref="C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33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3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3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3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34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>
        <v>3</v>
      </c>
      <c r="C34" s="24"/>
      <c r="D34" s="24"/>
      <c r="E34" s="25"/>
      <c r="F34" s="19">
        <f t="shared" si="0"/>
        <v>3</v>
      </c>
      <c r="G34" s="32"/>
      <c r="H34" s="24"/>
      <c r="I34" s="24"/>
      <c r="J34" s="24"/>
      <c r="K34" s="17">
        <f t="shared" si="1"/>
        <v>0</v>
      </c>
      <c r="L34" s="7">
        <f t="shared" si="2"/>
        <v>3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3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3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3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3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3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0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>
        <v>3</v>
      </c>
      <c r="H17" s="24"/>
      <c r="I17" s="24"/>
      <c r="J17" s="24"/>
      <c r="K17" s="17">
        <f t="shared" si="1"/>
        <v>3</v>
      </c>
      <c r="L17" s="7">
        <f t="shared" si="2"/>
        <v>3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8">
        <f>SUM(G9:G39)</f>
        <v>3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3</v>
      </c>
      <c r="L40" s="18">
        <f t="shared" si="4"/>
        <v>3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0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3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7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7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23" sqref="K2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36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7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7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7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37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2</v>
      </c>
      <c r="C25" s="49"/>
      <c r="D25" s="27"/>
      <c r="E25" s="25"/>
      <c r="F25" s="19">
        <f t="shared" si="0"/>
        <v>2</v>
      </c>
      <c r="G25" s="32"/>
      <c r="H25" s="24"/>
      <c r="I25" s="24"/>
      <c r="J25" s="24"/>
      <c r="K25" s="17">
        <f t="shared" si="1"/>
        <v>0</v>
      </c>
      <c r="L25" s="7">
        <f t="shared" si="2"/>
        <v>2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4</v>
      </c>
      <c r="H34" s="24"/>
      <c r="I34" s="24"/>
      <c r="J34" s="24"/>
      <c r="K34" s="17">
        <f t="shared" si="1"/>
        <v>4</v>
      </c>
      <c r="L34" s="7">
        <f t="shared" si="2"/>
        <v>4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2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2</v>
      </c>
      <c r="G40" s="18">
        <f>SUM(G9:G39)</f>
        <v>4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4</v>
      </c>
      <c r="L40" s="18">
        <f t="shared" si="4"/>
        <v>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7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6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1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1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38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2</v>
      </c>
      <c r="H37" s="24"/>
      <c r="I37" s="24"/>
      <c r="J37" s="24"/>
      <c r="K37" s="17">
        <f t="shared" si="1"/>
        <v>2</v>
      </c>
      <c r="L37" s="7">
        <f t="shared" si="2"/>
        <v>2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8">
        <f>SUM(G9:G39)</f>
        <v>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2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1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10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2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9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9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39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2</v>
      </c>
      <c r="H35" s="24"/>
      <c r="I35" s="24"/>
      <c r="J35" s="24"/>
      <c r="K35" s="17">
        <f t="shared" si="1"/>
        <v>2</v>
      </c>
      <c r="L35" s="7">
        <f t="shared" si="2"/>
        <v>2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8">
        <f>SUM(G9:G39)</f>
        <v>2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2</v>
      </c>
      <c r="L40" s="18">
        <f t="shared" si="4"/>
        <v>2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9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2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7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7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0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workbookViewId="0">
      <selection activeCell="L53" sqref="A1: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2" t="s">
        <v>0</v>
      </c>
      <c r="B1" s="92"/>
      <c r="C1" s="92"/>
      <c r="D1" s="92"/>
      <c r="E1" s="37"/>
      <c r="F1" s="38"/>
      <c r="G1" s="93" t="s">
        <v>1</v>
      </c>
      <c r="H1" s="93"/>
      <c r="I1" s="93"/>
      <c r="J1" s="93"/>
      <c r="K1" s="93"/>
      <c r="L1" s="93"/>
    </row>
    <row r="2" spans="1:12" ht="15.75" x14ac:dyDescent="0.25">
      <c r="A2" s="93" t="s">
        <v>2</v>
      </c>
      <c r="B2" s="93"/>
      <c r="C2" s="93"/>
      <c r="D2" s="93"/>
      <c r="E2" s="37"/>
      <c r="F2" s="38"/>
      <c r="G2" s="104" t="s">
        <v>3</v>
      </c>
      <c r="H2" s="104"/>
      <c r="I2" s="104"/>
      <c r="J2" s="104"/>
      <c r="K2" s="104"/>
      <c r="L2" s="104"/>
    </row>
    <row r="3" spans="1:12" x14ac:dyDescent="0.25">
      <c r="A3" s="104" t="s">
        <v>4</v>
      </c>
      <c r="B3" s="104"/>
      <c r="C3" s="104"/>
      <c r="D3" s="104"/>
      <c r="E3" s="37"/>
      <c r="F3" s="38"/>
      <c r="G3" s="104" t="s">
        <v>29</v>
      </c>
      <c r="H3" s="104"/>
      <c r="I3" s="104"/>
      <c r="J3" s="104"/>
      <c r="K3" s="104"/>
      <c r="L3" s="104"/>
    </row>
    <row r="4" spans="1:12" ht="18" x14ac:dyDescent="0.25">
      <c r="A4" s="92" t="s">
        <v>5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</row>
    <row r="5" spans="1:12" ht="15.75" x14ac:dyDescent="0.25">
      <c r="A5" s="93" t="s">
        <v>40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95"/>
      <c r="I6" s="95"/>
      <c r="J6" s="13"/>
      <c r="K6" s="39"/>
      <c r="L6" s="3"/>
    </row>
    <row r="7" spans="1:12" x14ac:dyDescent="0.25">
      <c r="A7" s="96" t="s">
        <v>7</v>
      </c>
      <c r="B7" s="98" t="s">
        <v>8</v>
      </c>
      <c r="C7" s="99"/>
      <c r="D7" s="99"/>
      <c r="E7" s="99"/>
      <c r="F7" s="100"/>
      <c r="G7" s="101" t="s">
        <v>9</v>
      </c>
      <c r="H7" s="99"/>
      <c r="I7" s="99"/>
      <c r="J7" s="99"/>
      <c r="K7" s="100"/>
      <c r="L7" s="102" t="s">
        <v>10</v>
      </c>
    </row>
    <row r="8" spans="1:12" ht="15.75" thickBot="1" x14ac:dyDescent="0.3">
      <c r="A8" s="97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103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8">
        <f>SUM(G9:G39)</f>
        <v>0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0</v>
      </c>
      <c r="L40" s="18">
        <f t="shared" si="4"/>
        <v>0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72" t="s">
        <v>19</v>
      </c>
      <c r="C43" s="73"/>
      <c r="D43" s="73"/>
      <c r="E43" s="73"/>
      <c r="F43" s="73"/>
      <c r="G43" s="83">
        <v>7</v>
      </c>
      <c r="H43" s="89"/>
      <c r="I43" s="90"/>
      <c r="J43" s="91"/>
      <c r="K43" s="12"/>
      <c r="L43" s="14"/>
    </row>
    <row r="44" spans="1:12" ht="15.75" thickBot="1" x14ac:dyDescent="0.3">
      <c r="A44" s="15"/>
      <c r="B44" s="72" t="s">
        <v>20</v>
      </c>
      <c r="C44" s="73"/>
      <c r="D44" s="73"/>
      <c r="E44" s="73"/>
      <c r="F44" s="73"/>
      <c r="G44" s="74">
        <v>0</v>
      </c>
      <c r="H44" s="75"/>
      <c r="I44" s="74"/>
      <c r="J44" s="75"/>
      <c r="K44" s="12"/>
      <c r="L44" s="14"/>
    </row>
    <row r="45" spans="1:12" ht="15.75" thickBot="1" x14ac:dyDescent="0.3">
      <c r="A45" s="15"/>
      <c r="B45" s="80" t="s">
        <v>21</v>
      </c>
      <c r="C45" s="80"/>
      <c r="D45" s="80"/>
      <c r="E45" s="80"/>
      <c r="F45" s="72"/>
      <c r="G45" s="81">
        <v>0</v>
      </c>
      <c r="H45" s="82"/>
      <c r="I45" s="83"/>
      <c r="J45" s="84"/>
      <c r="K45" s="12"/>
      <c r="L45" s="14"/>
    </row>
    <row r="46" spans="1:12" ht="15.75" thickBot="1" x14ac:dyDescent="0.3">
      <c r="A46" s="15"/>
      <c r="B46" s="72" t="s">
        <v>22</v>
      </c>
      <c r="C46" s="73"/>
      <c r="D46" s="73"/>
      <c r="E46" s="73"/>
      <c r="F46" s="73"/>
      <c r="G46" s="79">
        <f>L40+G45</f>
        <v>0</v>
      </c>
      <c r="H46" s="75"/>
      <c r="I46" s="74"/>
      <c r="J46" s="75"/>
      <c r="K46" s="12"/>
      <c r="L46" s="14"/>
    </row>
    <row r="47" spans="1:12" ht="15.75" thickBot="1" x14ac:dyDescent="0.3">
      <c r="A47" s="4"/>
      <c r="B47" s="72" t="s">
        <v>23</v>
      </c>
      <c r="C47" s="73"/>
      <c r="D47" s="73"/>
      <c r="E47" s="73"/>
      <c r="F47" s="73"/>
      <c r="G47" s="79">
        <f>G43+G44-G46</f>
        <v>7</v>
      </c>
      <c r="H47" s="75"/>
      <c r="I47" s="74"/>
      <c r="J47" s="75"/>
      <c r="K47" s="12"/>
      <c r="L47" s="3"/>
    </row>
    <row r="48" spans="1:12" ht="15.75" thickBot="1" x14ac:dyDescent="0.3">
      <c r="A48" s="4"/>
      <c r="B48" s="72" t="s">
        <v>24</v>
      </c>
      <c r="C48" s="73"/>
      <c r="D48" s="73"/>
      <c r="E48" s="73"/>
      <c r="F48" s="73"/>
      <c r="G48" s="74">
        <v>0</v>
      </c>
      <c r="H48" s="75"/>
      <c r="I48" s="74"/>
      <c r="J48" s="75"/>
      <c r="K48" s="12"/>
      <c r="L48" s="3"/>
    </row>
    <row r="49" spans="1:12" ht="15.75" thickBot="1" x14ac:dyDescent="0.3">
      <c r="A49" s="4"/>
      <c r="B49" s="72" t="s">
        <v>25</v>
      </c>
      <c r="C49" s="73"/>
      <c r="D49" s="73"/>
      <c r="E49" s="73"/>
      <c r="F49" s="73"/>
      <c r="G49" s="76">
        <f>G47-G48</f>
        <v>7</v>
      </c>
      <c r="H49" s="77"/>
      <c r="I49" s="78"/>
      <c r="J49" s="77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41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2018</vt:lpstr>
      <vt:lpstr>FEVRIER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DECEMBRE 2018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2019-01-02T08:02:43Z</cp:lastPrinted>
  <dcterms:created xsi:type="dcterms:W3CDTF">2014-12-31T15:22:06Z</dcterms:created>
  <dcterms:modified xsi:type="dcterms:W3CDTF">2019-01-02T08:03:00Z</dcterms:modified>
</cp:coreProperties>
</file>