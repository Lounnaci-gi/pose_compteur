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Zoubiria\"/>
    </mc:Choice>
  </mc:AlternateContent>
  <xr:revisionPtr revIDLastSave="0" documentId="13_ncr:1_{73F2ACDF-347E-46CF-9A8B-88717ED1F7D9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18" sheetId="1" r:id="rId1"/>
    <sheet name="Fé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écembre 2018" sheetId="12" r:id="rId12"/>
  </sheets>
  <definedNames>
    <definedName name="_xlnm.Print_Titles" localSheetId="7">'Aout 2018'!$1:$6</definedName>
    <definedName name="_xlnm.Print_Titles" localSheetId="3">'Avril 2018'!$1:$6</definedName>
    <definedName name="_xlnm.Print_Titles" localSheetId="11">'Décembre 2018'!$1:$6</definedName>
    <definedName name="_xlnm.Print_Titles" localSheetId="1">'Février 2018'!$1:$6</definedName>
    <definedName name="_xlnm.Print_Titles" localSheetId="0">'Janvier 2018'!$1:$6</definedName>
    <definedName name="_xlnm.Print_Titles" localSheetId="6">'Juillet 2018'!$1:$6</definedName>
    <definedName name="_xlnm.Print_Titles" localSheetId="5">'Juin 2018'!$1:$6</definedName>
    <definedName name="_xlnm.Print_Titles" localSheetId="4">'Mai 2018'!$1:$6</definedName>
    <definedName name="_xlnm.Print_Titles" localSheetId="2">'Mars 2018'!$1:$6</definedName>
    <definedName name="_xlnm.Print_Titles" localSheetId="10">'Novembre 2018'!$1:$6</definedName>
    <definedName name="_xlnm.Print_Titles" localSheetId="9">'Octobre 2018'!$1:$6</definedName>
    <definedName name="_xlnm.Print_Titles" localSheetId="8">'Septembre 2018'!$1:$6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2" l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8" i="12"/>
  <c r="K4" i="12"/>
  <c r="K3" i="12"/>
  <c r="K2" i="12"/>
  <c r="K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K4" i="11"/>
  <c r="K3" i="11"/>
  <c r="K2" i="11"/>
  <c r="K5" i="11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K4" i="10"/>
  <c r="K3" i="10"/>
  <c r="K2" i="10"/>
  <c r="K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K4" i="9"/>
  <c r="K3" i="9"/>
  <c r="K2" i="9"/>
  <c r="K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K4" i="8"/>
  <c r="K3" i="8"/>
  <c r="K2" i="8"/>
  <c r="K5" i="8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K4" i="6"/>
  <c r="K3" i="6"/>
  <c r="K2" i="6"/>
  <c r="K5" i="6" s="1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K4" i="5"/>
  <c r="K3" i="5"/>
  <c r="K2" i="5"/>
  <c r="K5" i="5" s="1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K4" i="4"/>
  <c r="K3" i="4"/>
  <c r="K2" i="4"/>
  <c r="K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K4" i="2"/>
  <c r="K3" i="2"/>
  <c r="K2" i="2"/>
  <c r="K5" i="2" l="1"/>
  <c r="A8" i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2" i="1"/>
  <c r="K5" i="1" s="1"/>
</calcChain>
</file>

<file path=xl/sharedStrings.xml><?xml version="1.0" encoding="utf-8"?>
<sst xmlns="http://schemas.openxmlformats.org/spreadsheetml/2006/main" count="514" uniqueCount="181">
  <si>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</si>
  <si>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</si>
  <si>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</si>
  <si>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</si>
  <si>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</si>
  <si>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</si>
  <si>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</si>
  <si>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</si>
  <si>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</si>
  <si>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</si>
  <si>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</si>
  <si>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</si>
  <si>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</si>
  <si>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</si>
  <si>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</si>
  <si>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</si>
  <si>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</si>
  <si>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Antenne Zoubiria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</si>
  <si>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</si>
  <si>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13 1541</t>
  </si>
  <si>
    <t>15/21</t>
  </si>
  <si>
    <t>2017015246</t>
  </si>
  <si>
    <t>13 0414</t>
  </si>
  <si>
    <t>2017015249</t>
  </si>
  <si>
    <t>Elimination Forfait</t>
  </si>
  <si>
    <t>13 0411</t>
  </si>
  <si>
    <t>2017015247</t>
  </si>
  <si>
    <t>13 0417</t>
  </si>
  <si>
    <t>2017015250</t>
  </si>
  <si>
    <t>13 0415</t>
  </si>
  <si>
    <t>2017015248</t>
  </si>
  <si>
    <t>13 0189</t>
  </si>
  <si>
    <t>2017015243</t>
  </si>
  <si>
    <t>13 0159</t>
  </si>
  <si>
    <t>2017015244</t>
  </si>
  <si>
    <t>13 0256</t>
  </si>
  <si>
    <t>2017015245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</si>
  <si>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</si>
  <si>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13 0285</t>
  </si>
  <si>
    <t>2017014166</t>
  </si>
  <si>
    <t>13 0249</t>
  </si>
  <si>
    <t>2017014169</t>
  </si>
  <si>
    <t>13 0283</t>
  </si>
  <si>
    <t>2017014167</t>
  </si>
  <si>
    <t>13 0253</t>
  </si>
  <si>
    <t>2017014168</t>
  </si>
  <si>
    <t>13 0773</t>
  </si>
  <si>
    <t>2017014170</t>
  </si>
  <si>
    <t>13 0336</t>
  </si>
  <si>
    <t>2017015242</t>
  </si>
  <si>
    <t>13 0061</t>
  </si>
  <si>
    <t>2017015241</t>
  </si>
  <si>
    <t>13 0737</t>
  </si>
  <si>
    <t>2017014162</t>
  </si>
  <si>
    <t>13 0136</t>
  </si>
  <si>
    <t>2017014164</t>
  </si>
  <si>
    <t>13 0740</t>
  </si>
  <si>
    <t>2017014165</t>
  </si>
  <si>
    <t>13 0062</t>
  </si>
  <si>
    <t>2017014163</t>
  </si>
  <si>
    <t>13 0941</t>
  </si>
  <si>
    <t>2017014125</t>
  </si>
  <si>
    <t>13 1020</t>
  </si>
  <si>
    <t>2017014161</t>
  </si>
  <si>
    <t>13 0140</t>
  </si>
  <si>
    <t>2017014123</t>
  </si>
  <si>
    <t>13 0139</t>
  </si>
  <si>
    <t>2017014124</t>
  </si>
  <si>
    <t>13 0143</t>
  </si>
  <si>
    <t>2017014130</t>
  </si>
  <si>
    <t>13 0142</t>
  </si>
  <si>
    <t>2017014129</t>
  </si>
  <si>
    <t>13 0141</t>
  </si>
  <si>
    <t>2017014122</t>
  </si>
  <si>
    <t>13 0384</t>
  </si>
  <si>
    <t>2017014121</t>
  </si>
  <si>
    <t>13 0747</t>
  </si>
  <si>
    <t>2017014128</t>
  </si>
  <si>
    <t>13 0448</t>
  </si>
  <si>
    <t>2017014126</t>
  </si>
  <si>
    <t>13 0231</t>
  </si>
  <si>
    <t>2017014019</t>
  </si>
  <si>
    <t>13 1580</t>
  </si>
  <si>
    <t>2017014017</t>
  </si>
  <si>
    <t>13 1582</t>
  </si>
  <si>
    <t>2017014018</t>
  </si>
  <si>
    <t>13 1576</t>
  </si>
  <si>
    <t>2017014016</t>
  </si>
  <si>
    <t>13 1030</t>
  </si>
  <si>
    <t>2017014127</t>
  </si>
  <si>
    <t>13 1031</t>
  </si>
  <si>
    <t>2017014013</t>
  </si>
  <si>
    <t>13 1007</t>
  </si>
  <si>
    <t>2017014012</t>
  </si>
  <si>
    <t>13 0396</t>
  </si>
  <si>
    <t>2017014011</t>
  </si>
  <si>
    <t>13 0389</t>
  </si>
  <si>
    <t>2017014014</t>
  </si>
  <si>
    <t>13 0388</t>
  </si>
  <si>
    <t>2017014020</t>
  </si>
  <si>
    <t>13 0542</t>
  </si>
  <si>
    <t>2017014015</t>
  </si>
  <si>
    <t>13 0543</t>
  </si>
  <si>
    <t>2017128854</t>
  </si>
  <si>
    <t>13 1027</t>
  </si>
  <si>
    <t>2017128851</t>
  </si>
  <si>
    <t>13 1029</t>
  </si>
  <si>
    <t>2017128857</t>
  </si>
  <si>
    <t>13 0294</t>
  </si>
  <si>
    <t>2017128852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</si>
  <si>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</si>
  <si>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13 1024</t>
  </si>
  <si>
    <t>2017128855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</si>
  <si>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</si>
  <si>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</si>
  <si>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40/49</t>
  </si>
  <si>
    <t>13 0693</t>
  </si>
  <si>
    <t>13</t>
  </si>
  <si>
    <t>NB(Benaicha aissa)</t>
  </si>
  <si>
    <t>13 0899</t>
  </si>
  <si>
    <t>NB(Logts Fonction)</t>
  </si>
  <si>
    <t>Ferah</t>
  </si>
  <si>
    <t>2017128860</t>
  </si>
  <si>
    <t>Khan</t>
  </si>
  <si>
    <t>Dehache toufik</t>
  </si>
  <si>
    <t>2017128858</t>
  </si>
  <si>
    <t>NB(N°0066/2018)</t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</si>
  <si>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</si>
  <si>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</si>
  <si>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</si>
  <si>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Sahi rabah</t>
  </si>
  <si>
    <t>13 0098</t>
  </si>
  <si>
    <t>2018142839</t>
  </si>
  <si>
    <t>2018142840</t>
  </si>
  <si>
    <t>Hamza abdelkader</t>
  </si>
  <si>
    <t>Salmkour boudjemaa</t>
  </si>
  <si>
    <t>NB (N°203/2018)</t>
  </si>
  <si>
    <t>NB (N°130/2018)</t>
  </si>
  <si>
    <t>NB (N°317/2018)7</t>
  </si>
  <si>
    <t>cc</t>
  </si>
  <si>
    <t>boukarta miloud</t>
  </si>
  <si>
    <t>2018142838</t>
  </si>
  <si>
    <t>gacem med</t>
  </si>
  <si>
    <t>2018142831</t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</si>
  <si>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</si>
  <si>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2018142832</t>
  </si>
  <si>
    <t>2018142833</t>
  </si>
  <si>
    <t>2018142834</t>
  </si>
  <si>
    <t>2018142835</t>
  </si>
  <si>
    <t>13 1547</t>
  </si>
  <si>
    <t>13 0840</t>
  </si>
  <si>
    <t>13 0547</t>
  </si>
  <si>
    <t>13 0689</t>
  </si>
  <si>
    <t>2018143441</t>
  </si>
  <si>
    <t>2018143443</t>
  </si>
  <si>
    <t>2018143446</t>
  </si>
  <si>
    <t>2018143447</t>
  </si>
  <si>
    <t>2018143448</t>
  </si>
  <si>
    <t>2018143449</t>
  </si>
  <si>
    <t>2018143450</t>
  </si>
  <si>
    <t>13 1097</t>
  </si>
  <si>
    <t>benrached rabah</t>
  </si>
  <si>
    <t>13 0814</t>
  </si>
  <si>
    <t>13 0412</t>
  </si>
  <si>
    <t>13 1539</t>
  </si>
  <si>
    <t>13 1540</t>
  </si>
  <si>
    <t>NB(N°0214/2018)</t>
  </si>
  <si>
    <t>NB(N°0289/2017)</t>
  </si>
  <si>
    <t>NB(N°0168/2018)</t>
  </si>
  <si>
    <t>13 0222</t>
  </si>
  <si>
    <t>2018142861</t>
  </si>
  <si>
    <t>13 0225</t>
  </si>
  <si>
    <t>2018142862</t>
  </si>
  <si>
    <t>13 0090</t>
  </si>
  <si>
    <t>2018143442</t>
  </si>
  <si>
    <t>13 0035</t>
  </si>
  <si>
    <t>2018143444</t>
  </si>
  <si>
    <t>13 0169</t>
  </si>
  <si>
    <t>2018143445</t>
  </si>
  <si>
    <r>
      <t>Mois de Décembre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</si>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</sst>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0</xdr:rowOff>
    </xdr:from>
    <xdr:to>
      <xdr:col>7</xdr:col>
      <xdr:colOff>9525</xdr:colOff>
      <xdr:row>37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09600" y="1314450"/>
          <a:ext cx="4552950" cy="6076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180975</xdr:rowOff>
    </xdr:from>
    <xdr:to>
      <xdr:col>7</xdr:col>
      <xdr:colOff>19050</xdr:colOff>
      <xdr:row>38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>
          <a:off x="628650" y="2828925"/>
          <a:ext cx="4181475" cy="4581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</xdr:row>
      <xdr:rowOff>9525</xdr:rowOff>
    </xdr:from>
    <xdr:to>
      <xdr:col>5</xdr:col>
      <xdr:colOff>1285876</xdr:colOff>
      <xdr:row>37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H="1">
          <a:off x="609600" y="2466975"/>
          <a:ext cx="4152901" cy="4762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6</xdr:row>
      <xdr:rowOff>19050</xdr:rowOff>
    </xdr:from>
    <xdr:to>
      <xdr:col>7</xdr:col>
      <xdr:colOff>9525</xdr:colOff>
      <xdr:row>37</xdr:row>
      <xdr:rowOff>9525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609601" y="1333500"/>
          <a:ext cx="4190999" cy="5895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19053</xdr:colOff>
      <xdr:row>8</xdr:row>
      <xdr:rowOff>19050</xdr:rowOff>
    </xdr:from>
    <xdr:to>
      <xdr:col>5</xdr:col>
      <xdr:colOff>1304925</xdr:colOff>
      <xdr:row>37</xdr:row>
      <xdr:rowOff>9525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609603" y="1714500"/>
          <a:ext cx="4200522" cy="5514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19053</xdr:colOff>
      <xdr:row>11</xdr:row>
      <xdr:rowOff>142875</xdr:rowOff>
    </xdr:from>
    <xdr:to>
      <xdr:col>6</xdr:col>
      <xdr:colOff>0</xdr:colOff>
      <xdr:row>37</xdr:row>
      <xdr:rowOff>9525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609603" y="2409825"/>
          <a:ext cx="4210047" cy="4819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19054</xdr:colOff>
      <xdr:row>6</xdr:row>
      <xdr:rowOff>19050</xdr:rowOff>
    </xdr:from>
    <xdr:to>
      <xdr:col>5</xdr:col>
      <xdr:colOff>1266825</xdr:colOff>
      <xdr:row>37</xdr:row>
      <xdr:rowOff>9525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>
          <a:off x="609604" y="1333500"/>
          <a:ext cx="4162421" cy="5895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19054</xdr:colOff>
      <xdr:row>6</xdr:row>
      <xdr:rowOff>19050</xdr:rowOff>
    </xdr:from>
    <xdr:to>
      <xdr:col>5</xdr:col>
      <xdr:colOff>1266825</xdr:colOff>
      <xdr:row>37</xdr:row>
      <xdr:rowOff>9525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 flipH="1">
          <a:off x="609604" y="1333500"/>
          <a:ext cx="4162421" cy="5895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19055</xdr:colOff>
      <xdr:row>10</xdr:row>
      <xdr:rowOff>28575</xdr:rowOff>
    </xdr:from>
    <xdr:to>
      <xdr:col>5</xdr:col>
      <xdr:colOff>1295400</xdr:colOff>
      <xdr:row>37</xdr:row>
      <xdr:rowOff>9525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H="1">
          <a:off x="609605" y="2105025"/>
          <a:ext cx="4190995" cy="5124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19057</xdr:colOff>
      <xdr:row>19</xdr:row>
      <xdr:rowOff>28575</xdr:rowOff>
    </xdr:from>
    <xdr:to>
      <xdr:col>5</xdr:col>
      <xdr:colOff>1304925</xdr:colOff>
      <xdr:row>36</xdr:row>
      <xdr:rowOff>9525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 flipH="1">
          <a:off x="609607" y="4010025"/>
          <a:ext cx="4200518" cy="3219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19058</xdr:colOff>
      <xdr:row>11</xdr:row>
      <xdr:rowOff>9525</xdr:rowOff>
    </xdr:from>
    <xdr:to>
      <xdr:col>5</xdr:col>
      <xdr:colOff>1152525</xdr:colOff>
      <xdr:row>36</xdr:row>
      <xdr:rowOff>9525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 flipH="1">
          <a:off x="609608" y="2276475"/>
          <a:ext cx="4048117" cy="4762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16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/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/>
      <c r="H8" s="2"/>
      <c r="I8" s="2"/>
      <c r="J8" s="2"/>
      <c r="K8" s="1"/>
    </row>
    <row r="9" spans="1:11" ht="15" customHeight="1" x14ac:dyDescent="0.25">
      <c r="A9" s="14">
        <f t="shared" ref="A9:A38" si="0">+A8+1</f>
        <v>3</v>
      </c>
      <c r="B9" s="10"/>
      <c r="C9" s="10"/>
      <c r="D9" s="9"/>
      <c r="E9" s="12"/>
      <c r="F9" s="20"/>
      <c r="G9" s="16"/>
      <c r="H9" s="2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/>
      <c r="H10" s="2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/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/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/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/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/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/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/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/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/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/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/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/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/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/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/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/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/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/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/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/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/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</sheetData>
  <sortState xmlns:xlrd2="http://schemas.microsoft.com/office/spreadsheetml/2017/richdata2"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opLeftCell="A4" workbookViewId="0">
      <selection activeCell="E30" sqref="E3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5" max="5" width="10.85546875" customWidth="1"/>
    <col min="6" max="6" width="19.7109375" customWidth="1"/>
    <col min="7" max="7" width="2.710937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8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18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8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9" t="s">
        <v>19</v>
      </c>
      <c r="C7" s="10" t="s">
        <v>20</v>
      </c>
      <c r="D7" s="9" t="s">
        <v>21</v>
      </c>
      <c r="E7" s="12">
        <v>43145</v>
      </c>
      <c r="F7" s="20" t="s">
        <v>24</v>
      </c>
      <c r="G7" s="16">
        <v>1</v>
      </c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9" t="s">
        <v>25</v>
      </c>
      <c r="C8" s="10" t="s">
        <v>20</v>
      </c>
      <c r="D8" s="9" t="s">
        <v>26</v>
      </c>
      <c r="E8" s="12">
        <v>43145</v>
      </c>
      <c r="F8" s="20" t="s">
        <v>24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38" si="0">+A8+1</f>
        <v>3</v>
      </c>
      <c r="B9" s="9" t="s">
        <v>29</v>
      </c>
      <c r="C9" s="10" t="s">
        <v>20</v>
      </c>
      <c r="D9" s="9" t="s">
        <v>30</v>
      </c>
      <c r="E9" s="12">
        <v>43145</v>
      </c>
      <c r="F9" s="20" t="s">
        <v>24</v>
      </c>
      <c r="G9" s="16">
        <v>1</v>
      </c>
      <c r="H9" s="22"/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22</v>
      </c>
      <c r="C10" s="10" t="s">
        <v>20</v>
      </c>
      <c r="D10" s="9" t="s">
        <v>23</v>
      </c>
      <c r="E10" s="12">
        <v>43145</v>
      </c>
      <c r="F10" s="20" t="s">
        <v>24</v>
      </c>
      <c r="G10" s="16">
        <v>1</v>
      </c>
      <c r="H10" s="22"/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27</v>
      </c>
      <c r="C11" s="10" t="s">
        <v>20</v>
      </c>
      <c r="D11" s="9" t="s">
        <v>28</v>
      </c>
      <c r="E11" s="12">
        <v>43145</v>
      </c>
      <c r="F11" s="20" t="s">
        <v>24</v>
      </c>
      <c r="G11" s="16">
        <v>1</v>
      </c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31</v>
      </c>
      <c r="C12" s="10" t="s">
        <v>20</v>
      </c>
      <c r="D12" s="9" t="s">
        <v>32</v>
      </c>
      <c r="E12" s="12">
        <v>43152</v>
      </c>
      <c r="F12" s="20" t="s">
        <v>24</v>
      </c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33</v>
      </c>
      <c r="C13" s="10" t="s">
        <v>20</v>
      </c>
      <c r="D13" s="9" t="s">
        <v>34</v>
      </c>
      <c r="E13" s="12">
        <v>43158</v>
      </c>
      <c r="F13" s="20" t="s">
        <v>24</v>
      </c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35</v>
      </c>
      <c r="C14" s="10" t="s">
        <v>20</v>
      </c>
      <c r="D14" s="9" t="s">
        <v>36</v>
      </c>
      <c r="E14" s="12">
        <v>43158</v>
      </c>
      <c r="F14" s="20" t="s">
        <v>24</v>
      </c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>
        <v>1</v>
      </c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>
        <v>1</v>
      </c>
      <c r="H38" s="1"/>
      <c r="I38" s="1"/>
      <c r="J38" s="1"/>
    </row>
  </sheetData>
  <sortState xmlns:xlrd2="http://schemas.microsoft.com/office/spreadsheetml/2017/richdata2"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topLeftCell="A21" workbookViewId="0">
      <selection activeCell="D32" sqref="D3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5" max="5" width="10.85546875" customWidth="1"/>
    <col min="6" max="6" width="19.7109375" customWidth="1"/>
    <col min="7" max="7" width="1.8554687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SUMIF(F7:F37,"Elimination*",G7:G37)</f>
        <v>31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SUMIF(F7:F37,"NB*",G7:G37)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SUMIF(F7:F37,"Ve*",G7:G37)</f>
        <v>0</v>
      </c>
    </row>
    <row r="5" spans="1:11" ht="15.75" x14ac:dyDescent="0.25">
      <c r="A5" s="27" t="s">
        <v>37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31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9" t="s">
        <v>38</v>
      </c>
      <c r="C7" s="10" t="s">
        <v>20</v>
      </c>
      <c r="D7" s="9" t="s">
        <v>39</v>
      </c>
      <c r="E7" s="12">
        <v>43165</v>
      </c>
      <c r="F7" s="20" t="s">
        <v>24</v>
      </c>
      <c r="G7" s="16">
        <v>1</v>
      </c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9" t="s">
        <v>42</v>
      </c>
      <c r="C8" s="10" t="s">
        <v>20</v>
      </c>
      <c r="D8" s="9" t="s">
        <v>43</v>
      </c>
      <c r="E8" s="12">
        <v>43165</v>
      </c>
      <c r="F8" s="20" t="s">
        <v>24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37" si="0">+A8+1</f>
        <v>3</v>
      </c>
      <c r="B9" s="9" t="s">
        <v>44</v>
      </c>
      <c r="C9" s="10" t="s">
        <v>20</v>
      </c>
      <c r="D9" s="9" t="s">
        <v>45</v>
      </c>
      <c r="E9" s="12">
        <v>43165</v>
      </c>
      <c r="F9" s="20" t="s">
        <v>24</v>
      </c>
      <c r="G9" s="16">
        <v>1</v>
      </c>
      <c r="H9" s="22"/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40</v>
      </c>
      <c r="C10" s="10" t="s">
        <v>20</v>
      </c>
      <c r="D10" s="9" t="s">
        <v>41</v>
      </c>
      <c r="E10" s="12">
        <v>43165</v>
      </c>
      <c r="F10" s="20" t="s">
        <v>24</v>
      </c>
      <c r="G10" s="16">
        <v>1</v>
      </c>
      <c r="H10" s="22"/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50</v>
      </c>
      <c r="C11" s="10" t="s">
        <v>20</v>
      </c>
      <c r="D11" s="9" t="s">
        <v>51</v>
      </c>
      <c r="E11" s="12">
        <v>43165</v>
      </c>
      <c r="F11" s="20" t="s">
        <v>24</v>
      </c>
      <c r="G11" s="16">
        <v>1</v>
      </c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48</v>
      </c>
      <c r="C12" s="10" t="s">
        <v>20</v>
      </c>
      <c r="D12" s="9" t="s">
        <v>49</v>
      </c>
      <c r="E12" s="12">
        <v>43165</v>
      </c>
      <c r="F12" s="20" t="s">
        <v>24</v>
      </c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46</v>
      </c>
      <c r="C13" s="10" t="s">
        <v>20</v>
      </c>
      <c r="D13" s="9" t="s">
        <v>47</v>
      </c>
      <c r="E13" s="12">
        <v>43166</v>
      </c>
      <c r="F13" s="20" t="s">
        <v>24</v>
      </c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52</v>
      </c>
      <c r="C14" s="10" t="s">
        <v>20</v>
      </c>
      <c r="D14" s="9" t="s">
        <v>53</v>
      </c>
      <c r="E14" s="12">
        <v>43167</v>
      </c>
      <c r="F14" s="20" t="s">
        <v>24</v>
      </c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 t="s">
        <v>58</v>
      </c>
      <c r="C15" s="10" t="s">
        <v>20</v>
      </c>
      <c r="D15" s="9" t="s">
        <v>59</v>
      </c>
      <c r="E15" s="12">
        <v>43167</v>
      </c>
      <c r="F15" s="20" t="s">
        <v>24</v>
      </c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 t="s">
        <v>54</v>
      </c>
      <c r="C16" s="10" t="s">
        <v>20</v>
      </c>
      <c r="D16" s="9" t="s">
        <v>55</v>
      </c>
      <c r="E16" s="12">
        <v>43167</v>
      </c>
      <c r="F16" s="20" t="s">
        <v>24</v>
      </c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 t="s">
        <v>56</v>
      </c>
      <c r="C17" s="10" t="s">
        <v>20</v>
      </c>
      <c r="D17" s="9" t="s">
        <v>57</v>
      </c>
      <c r="E17" s="12">
        <v>43167</v>
      </c>
      <c r="F17" s="20" t="s">
        <v>24</v>
      </c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 t="s">
        <v>60</v>
      </c>
      <c r="C18" s="10" t="s">
        <v>20</v>
      </c>
      <c r="D18" s="9" t="s">
        <v>61</v>
      </c>
      <c r="E18" s="12">
        <v>43171</v>
      </c>
      <c r="F18" s="20" t="s">
        <v>24</v>
      </c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 t="s">
        <v>62</v>
      </c>
      <c r="C19" s="10" t="s">
        <v>20</v>
      </c>
      <c r="D19" s="9" t="s">
        <v>63</v>
      </c>
      <c r="E19" s="12">
        <v>43171</v>
      </c>
      <c r="F19" s="20" t="s">
        <v>24</v>
      </c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 t="s">
        <v>72</v>
      </c>
      <c r="C20" s="10" t="s">
        <v>20</v>
      </c>
      <c r="D20" s="9" t="s">
        <v>73</v>
      </c>
      <c r="E20" s="12">
        <v>43173</v>
      </c>
      <c r="F20" s="20" t="s">
        <v>24</v>
      </c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 t="s">
        <v>64</v>
      </c>
      <c r="C21" s="10" t="s">
        <v>20</v>
      </c>
      <c r="D21" s="9" t="s">
        <v>65</v>
      </c>
      <c r="E21" s="12">
        <v>43173</v>
      </c>
      <c r="F21" s="20" t="s">
        <v>24</v>
      </c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 t="s">
        <v>66</v>
      </c>
      <c r="C22" s="10" t="s">
        <v>20</v>
      </c>
      <c r="D22" s="9" t="s">
        <v>67</v>
      </c>
      <c r="E22" s="12">
        <v>43173</v>
      </c>
      <c r="F22" s="20" t="s">
        <v>24</v>
      </c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 t="s">
        <v>70</v>
      </c>
      <c r="C23" s="10" t="s">
        <v>20</v>
      </c>
      <c r="D23" s="9" t="s">
        <v>71</v>
      </c>
      <c r="E23" s="12">
        <v>43174</v>
      </c>
      <c r="F23" s="20" t="s">
        <v>24</v>
      </c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 t="s">
        <v>68</v>
      </c>
      <c r="C24" s="10" t="s">
        <v>20</v>
      </c>
      <c r="D24" s="9" t="s">
        <v>69</v>
      </c>
      <c r="E24" s="12">
        <v>43174</v>
      </c>
      <c r="F24" s="20" t="s">
        <v>24</v>
      </c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 t="s">
        <v>74</v>
      </c>
      <c r="C25" s="10" t="s">
        <v>20</v>
      </c>
      <c r="D25" s="9" t="s">
        <v>75</v>
      </c>
      <c r="E25" s="12">
        <v>43178</v>
      </c>
      <c r="F25" s="20" t="s">
        <v>24</v>
      </c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 t="s">
        <v>76</v>
      </c>
      <c r="C26" s="10" t="s">
        <v>20</v>
      </c>
      <c r="D26" s="9" t="s">
        <v>77</v>
      </c>
      <c r="E26" s="12">
        <v>43178</v>
      </c>
      <c r="F26" s="20" t="s">
        <v>24</v>
      </c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 t="s">
        <v>78</v>
      </c>
      <c r="C27" s="10" t="s">
        <v>20</v>
      </c>
      <c r="D27" s="9" t="s">
        <v>79</v>
      </c>
      <c r="E27" s="12">
        <v>43184</v>
      </c>
      <c r="F27" s="20" t="s">
        <v>24</v>
      </c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 t="s">
        <v>86</v>
      </c>
      <c r="C28" s="10" t="s">
        <v>20</v>
      </c>
      <c r="D28" s="9" t="s">
        <v>87</v>
      </c>
      <c r="E28" s="12">
        <v>43186</v>
      </c>
      <c r="F28" s="20" t="s">
        <v>24</v>
      </c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 t="s">
        <v>82</v>
      </c>
      <c r="C29" s="10" t="s">
        <v>20</v>
      </c>
      <c r="D29" s="9" t="s">
        <v>83</v>
      </c>
      <c r="E29" s="12">
        <v>43186</v>
      </c>
      <c r="F29" s="20" t="s">
        <v>24</v>
      </c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 t="s">
        <v>84</v>
      </c>
      <c r="C30" s="10" t="s">
        <v>20</v>
      </c>
      <c r="D30" s="9" t="s">
        <v>85</v>
      </c>
      <c r="E30" s="12">
        <v>43186</v>
      </c>
      <c r="F30" s="20" t="s">
        <v>24</v>
      </c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 t="s">
        <v>80</v>
      </c>
      <c r="C31" s="10" t="s">
        <v>20</v>
      </c>
      <c r="D31" s="9" t="s">
        <v>81</v>
      </c>
      <c r="E31" s="12">
        <v>43186</v>
      </c>
      <c r="F31" s="20" t="s">
        <v>24</v>
      </c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 t="s">
        <v>88</v>
      </c>
      <c r="C32" s="10" t="s">
        <v>20</v>
      </c>
      <c r="D32" s="9" t="s">
        <v>89</v>
      </c>
      <c r="E32" s="12">
        <v>43186</v>
      </c>
      <c r="F32" s="20" t="s">
        <v>24</v>
      </c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 t="s">
        <v>92</v>
      </c>
      <c r="C33" s="10" t="s">
        <v>20</v>
      </c>
      <c r="D33" s="9" t="s">
        <v>93</v>
      </c>
      <c r="E33" s="12">
        <v>43187</v>
      </c>
      <c r="F33" s="20" t="s">
        <v>24</v>
      </c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 t="s">
        <v>90</v>
      </c>
      <c r="C34" s="10" t="s">
        <v>20</v>
      </c>
      <c r="D34" s="9" t="s">
        <v>91</v>
      </c>
      <c r="E34" s="12">
        <v>43187</v>
      </c>
      <c r="F34" s="20" t="s">
        <v>24</v>
      </c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 t="s">
        <v>94</v>
      </c>
      <c r="C35" s="10" t="s">
        <v>20</v>
      </c>
      <c r="D35" s="9" t="s">
        <v>95</v>
      </c>
      <c r="E35" s="12">
        <v>43188</v>
      </c>
      <c r="F35" s="20" t="s">
        <v>24</v>
      </c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 t="s">
        <v>96</v>
      </c>
      <c r="C36" s="10" t="s">
        <v>20</v>
      </c>
      <c r="D36" s="9" t="s">
        <v>97</v>
      </c>
      <c r="E36" s="12">
        <v>43188</v>
      </c>
      <c r="F36" s="20" t="s">
        <v>24</v>
      </c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9" t="s">
        <v>98</v>
      </c>
      <c r="C37" s="10" t="s">
        <v>20</v>
      </c>
      <c r="D37" s="9" t="s">
        <v>99</v>
      </c>
      <c r="E37" s="12">
        <v>43188</v>
      </c>
      <c r="F37" s="20" t="s">
        <v>24</v>
      </c>
      <c r="G37" s="16">
        <v>1</v>
      </c>
      <c r="H37" s="1"/>
      <c r="I37" s="1"/>
      <c r="J37" s="1"/>
    </row>
  </sheetData>
  <sortState xmlns:xlrd2="http://schemas.microsoft.com/office/spreadsheetml/2017/richdata2" ref="B7:F37">
    <sortCondition ref="E7:E37"/>
    <sortCondition ref="D7:D3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"/>
  <sheetViews>
    <sheetView workbookViewId="0">
      <selection activeCell="D11" sqref="D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5" max="5" width="10.85546875" customWidth="1"/>
    <col min="6" max="6" width="19.7109375" customWidth="1"/>
    <col min="7" max="7" width="1.8554687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SUMIF(F7:F37,"Elimination*",G7:G37)</f>
        <v>6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SUMIF(F7:F37,"NB*",G7:G37)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SUMIF(F7:F37,"Ve*",G7:G37)</f>
        <v>0</v>
      </c>
    </row>
    <row r="5" spans="1:11" ht="15.75" x14ac:dyDescent="0.25">
      <c r="A5" s="27" t="s">
        <v>110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6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9" t="s">
        <v>100</v>
      </c>
      <c r="C7" s="10" t="s">
        <v>20</v>
      </c>
      <c r="D7" s="9" t="s">
        <v>101</v>
      </c>
      <c r="E7" s="12">
        <v>43191</v>
      </c>
      <c r="F7" s="20" t="s">
        <v>24</v>
      </c>
      <c r="G7" s="16">
        <v>1</v>
      </c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9" t="s">
        <v>102</v>
      </c>
      <c r="C8" s="10" t="s">
        <v>20</v>
      </c>
      <c r="D8" s="9" t="s">
        <v>103</v>
      </c>
      <c r="E8" s="12">
        <v>43194</v>
      </c>
      <c r="F8" s="20" t="s">
        <v>24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37" si="0">+A8+1</f>
        <v>3</v>
      </c>
      <c r="B9" s="9" t="s">
        <v>104</v>
      </c>
      <c r="C9" s="10" t="s">
        <v>20</v>
      </c>
      <c r="D9" s="9" t="s">
        <v>105</v>
      </c>
      <c r="E9" s="12">
        <v>43206</v>
      </c>
      <c r="F9" s="20" t="s">
        <v>24</v>
      </c>
      <c r="G9" s="16">
        <v>1</v>
      </c>
      <c r="H9" s="22"/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108</v>
      </c>
      <c r="C10" s="10" t="s">
        <v>20</v>
      </c>
      <c r="D10" s="9" t="s">
        <v>109</v>
      </c>
      <c r="E10" s="12">
        <v>43206</v>
      </c>
      <c r="F10" s="20" t="s">
        <v>24</v>
      </c>
      <c r="G10" s="16">
        <v>1</v>
      </c>
      <c r="H10" s="22"/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106</v>
      </c>
      <c r="C11" s="10" t="s">
        <v>20</v>
      </c>
      <c r="D11" s="9" t="s">
        <v>107</v>
      </c>
      <c r="E11" s="12">
        <v>43206</v>
      </c>
      <c r="F11" s="20" t="s">
        <v>24</v>
      </c>
      <c r="G11" s="16">
        <v>1</v>
      </c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111</v>
      </c>
      <c r="C12" s="10" t="s">
        <v>20</v>
      </c>
      <c r="D12" s="9" t="s">
        <v>112</v>
      </c>
      <c r="E12" s="12">
        <v>43207</v>
      </c>
      <c r="F12" s="20" t="s">
        <v>24</v>
      </c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9"/>
      <c r="C37" s="10"/>
      <c r="D37" s="9"/>
      <c r="E37" s="12"/>
      <c r="F37" s="20"/>
      <c r="G37" s="16">
        <v>1</v>
      </c>
      <c r="H37" s="1"/>
      <c r="I37" s="1"/>
      <c r="J37" s="1"/>
    </row>
  </sheetData>
  <sortState xmlns:xlrd2="http://schemas.microsoft.com/office/spreadsheetml/2017/richdata2"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workbookViewId="0">
      <selection activeCell="F22" sqref="F2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5" max="5" width="10.85546875" customWidth="1"/>
    <col min="6" max="6" width="19.7109375" customWidth="1"/>
    <col min="7" max="7" width="1.8554687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SUMIF(F7:F37,"Elimination*",G7:G37)</f>
        <v>0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SUMIF(F7:F37,"NB*",G7:G37)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SUMIF(F7:F37,"Ve*",G7:G37)</f>
        <v>0</v>
      </c>
    </row>
    <row r="5" spans="1:11" ht="15.75" x14ac:dyDescent="0.25">
      <c r="A5" s="27" t="s">
        <v>113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20"/>
      <c r="G7" s="16">
        <v>1</v>
      </c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9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37" si="0">+A8+1</f>
        <v>3</v>
      </c>
      <c r="B9" s="9"/>
      <c r="C9" s="10"/>
      <c r="D9" s="9"/>
      <c r="E9" s="12"/>
      <c r="F9" s="20"/>
      <c r="G9" s="16">
        <v>1</v>
      </c>
      <c r="H9" s="2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20"/>
      <c r="G10" s="16">
        <v>1</v>
      </c>
      <c r="H10" s="2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20"/>
      <c r="G11" s="16">
        <v>1</v>
      </c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9"/>
      <c r="C37" s="10"/>
      <c r="D37" s="9"/>
      <c r="E37" s="12"/>
      <c r="F37" s="20"/>
      <c r="G37" s="16">
        <v>1</v>
      </c>
      <c r="H37" s="1"/>
      <c r="I37" s="1"/>
      <c r="J37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7"/>
  <sheetViews>
    <sheetView topLeftCell="A4"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9.7109375" customWidth="1"/>
    <col min="7" max="7" width="1.8554687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SUMIF(F7:F37,"Elimination*",G7:G37)</f>
        <v>1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SUMIF(F7:F37,"NB*",G7:G37)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SUMIF(F7:F37,"Ve*",G7:G37)</f>
        <v>0</v>
      </c>
    </row>
    <row r="5" spans="1:11" ht="15.75" x14ac:dyDescent="0.25">
      <c r="A5" s="27" t="s">
        <v>114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9" t="s">
        <v>116</v>
      </c>
      <c r="C7" s="10" t="s">
        <v>115</v>
      </c>
      <c r="D7" s="10">
        <v>2017001084</v>
      </c>
      <c r="E7" s="12">
        <v>43269</v>
      </c>
      <c r="F7" s="20" t="s">
        <v>24</v>
      </c>
      <c r="G7" s="16">
        <v>1</v>
      </c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9" t="s">
        <v>117</v>
      </c>
      <c r="C8" s="10" t="s">
        <v>20</v>
      </c>
      <c r="D8" s="10">
        <v>2017128853</v>
      </c>
      <c r="E8" s="12">
        <v>43262</v>
      </c>
      <c r="F8" s="20" t="s">
        <v>118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37" si="0">+A8+1</f>
        <v>3</v>
      </c>
      <c r="B9" s="9"/>
      <c r="C9" s="10"/>
      <c r="D9" s="9"/>
      <c r="E9" s="12"/>
      <c r="F9" s="20"/>
      <c r="G9" s="16">
        <v>1</v>
      </c>
      <c r="H9" s="2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20"/>
      <c r="G10" s="16">
        <v>1</v>
      </c>
      <c r="H10" s="2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20"/>
      <c r="G11" s="16">
        <v>1</v>
      </c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9"/>
      <c r="C37" s="10"/>
      <c r="D37" s="9"/>
      <c r="E37" s="12"/>
      <c r="F37" s="20"/>
      <c r="G37" s="16">
        <v>1</v>
      </c>
      <c r="H37" s="1"/>
      <c r="I37" s="1"/>
      <c r="J37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9.7109375" customWidth="1"/>
    <col min="7" max="7" width="1.8554687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SUMIF(F7:F37,"Elimination*",G7:G37)</f>
        <v>1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SUMIF(F7:F37,"NB*",G7:G37)</f>
        <v>3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SUMIF(F7:F37,"Ve*",G7:G37)</f>
        <v>0</v>
      </c>
    </row>
    <row r="5" spans="1:11" ht="15.75" x14ac:dyDescent="0.25">
      <c r="A5" s="27" t="s">
        <v>127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4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9" t="s">
        <v>119</v>
      </c>
      <c r="C7" s="10" t="s">
        <v>20</v>
      </c>
      <c r="D7" s="10">
        <v>2017128859</v>
      </c>
      <c r="E7" s="12">
        <v>43292</v>
      </c>
      <c r="F7" s="20" t="s">
        <v>24</v>
      </c>
      <c r="G7" s="16">
        <v>1</v>
      </c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9" t="s">
        <v>117</v>
      </c>
      <c r="C8" s="10" t="s">
        <v>20</v>
      </c>
      <c r="D8" s="10">
        <v>2017128856</v>
      </c>
      <c r="E8" s="12">
        <v>43292</v>
      </c>
      <c r="F8" s="20" t="s">
        <v>120</v>
      </c>
      <c r="G8" s="16">
        <v>1</v>
      </c>
      <c r="H8" s="2" t="s">
        <v>121</v>
      </c>
      <c r="I8" s="2"/>
      <c r="J8" s="2"/>
      <c r="K8" s="1"/>
    </row>
    <row r="9" spans="1:11" ht="15" customHeight="1" x14ac:dyDescent="0.25">
      <c r="A9" s="14">
        <f t="shared" ref="A9:A37" si="0">+A8+1</f>
        <v>3</v>
      </c>
      <c r="B9" s="9" t="s">
        <v>117</v>
      </c>
      <c r="C9" s="10" t="s">
        <v>20</v>
      </c>
      <c r="D9" s="9" t="s">
        <v>122</v>
      </c>
      <c r="E9" s="12">
        <v>43292</v>
      </c>
      <c r="F9" s="20" t="s">
        <v>120</v>
      </c>
      <c r="G9" s="16">
        <v>1</v>
      </c>
      <c r="H9" s="2" t="s">
        <v>123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117</v>
      </c>
      <c r="C10" s="10" t="s">
        <v>20</v>
      </c>
      <c r="D10" s="9" t="s">
        <v>125</v>
      </c>
      <c r="E10" s="12">
        <v>43296</v>
      </c>
      <c r="F10" s="20" t="s">
        <v>126</v>
      </c>
      <c r="G10" s="16">
        <v>1</v>
      </c>
      <c r="H10" s="2" t="s">
        <v>124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20"/>
      <c r="G11" s="16">
        <v>1</v>
      </c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9"/>
      <c r="C37" s="10"/>
      <c r="D37" s="9"/>
      <c r="E37" s="12"/>
      <c r="F37" s="20"/>
      <c r="G37" s="16">
        <v>1</v>
      </c>
      <c r="H37" s="1"/>
      <c r="I37" s="1"/>
      <c r="J37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topLeftCell="A19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9.7109375" customWidth="1"/>
    <col min="7" max="7" width="1.8554687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SUMIF(F7:F37,"Elimination*",G7:G37)</f>
        <v>0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SUMIF(F7:F37,"NB*",G7:G37)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SUMIF(F7:F37,"Ve*",G7:G37)</f>
        <v>0</v>
      </c>
    </row>
    <row r="5" spans="1:11" ht="15.75" x14ac:dyDescent="0.25">
      <c r="A5" s="27" t="s">
        <v>128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10"/>
      <c r="E7" s="12"/>
      <c r="F7" s="20"/>
      <c r="G7" s="16"/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9"/>
      <c r="C8" s="10"/>
      <c r="D8" s="10"/>
      <c r="E8" s="12"/>
      <c r="F8" s="20"/>
      <c r="G8" s="16"/>
      <c r="H8" s="2"/>
      <c r="I8" s="2"/>
      <c r="J8" s="2"/>
      <c r="K8" s="1"/>
    </row>
    <row r="9" spans="1:11" ht="15" customHeight="1" x14ac:dyDescent="0.25">
      <c r="A9" s="14">
        <f t="shared" ref="A9:A37" si="0">+A8+1</f>
        <v>3</v>
      </c>
      <c r="B9" s="9"/>
      <c r="C9" s="10"/>
      <c r="D9" s="9"/>
      <c r="E9" s="12"/>
      <c r="F9" s="20"/>
      <c r="G9" s="16"/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20"/>
      <c r="G10" s="16"/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20"/>
      <c r="G11" s="16"/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9"/>
      <c r="C37" s="10"/>
      <c r="D37" s="9"/>
      <c r="E37" s="12"/>
      <c r="F37" s="20"/>
      <c r="G37" s="16">
        <v>1</v>
      </c>
      <c r="H37" s="1"/>
      <c r="I37" s="1"/>
      <c r="J37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7"/>
  <sheetViews>
    <sheetView tabSelected="1"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9.7109375" customWidth="1"/>
    <col min="7" max="7" width="1.8554687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SUMIF(F7:F37,"Elimination*",G7:G37)</f>
        <v>0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SUMIF(F7:F37,"NB*",G7:G37)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SUMIF(F7:F37,"Ve*",G7:G37)</f>
        <v>0</v>
      </c>
    </row>
    <row r="5" spans="1:11" ht="15.75" x14ac:dyDescent="0.25">
      <c r="A5" s="27" t="s">
        <v>180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/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10"/>
      <c r="E7" s="12"/>
      <c r="F7" s="20"/>
      <c r="G7" s="16"/>
      <c r="H7" s="15"/>
      <c r="I7" s="15"/>
      <c r="J7" s="15"/>
      <c r="K7" s="1"/>
    </row>
    <row r="8" spans="1:11" ht="15" customHeight="1" x14ac:dyDescent="0.25">
      <c r="A8" s="14">
        <f>+A7+1</f>
        <v>2</v>
      </c>
      <c r="B8" s="9"/>
      <c r="C8" s="10"/>
      <c r="D8" s="10"/>
      <c r="E8" s="12"/>
      <c r="F8" s="20"/>
      <c r="G8" s="16"/>
      <c r="H8" s="2"/>
      <c r="I8" s="2"/>
      <c r="J8" s="2"/>
      <c r="K8" s="1"/>
    </row>
    <row r="9" spans="1:11" ht="15" customHeight="1" x14ac:dyDescent="0.25">
      <c r="A9" s="14">
        <f t="shared" ref="A9:A37" si="0">+A8+1</f>
        <v>3</v>
      </c>
      <c r="B9" s="9"/>
      <c r="C9" s="10"/>
      <c r="D9" s="9"/>
      <c r="E9" s="12"/>
      <c r="F9" s="20"/>
      <c r="G9" s="16"/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20"/>
      <c r="G10" s="16"/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20"/>
      <c r="G11" s="16"/>
      <c r="H11" s="2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9"/>
      <c r="C37" s="10"/>
      <c r="D37" s="9"/>
      <c r="E37" s="12"/>
      <c r="F37" s="20"/>
      <c r="G37" s="16">
        <v>1</v>
      </c>
      <c r="H37" s="1"/>
      <c r="I37" s="1"/>
      <c r="J37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7"/>
  <sheetViews>
    <sheetView workbookViewId="0">
      <selection activeCell="D10" sqref="D1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9.7109375" customWidth="1"/>
    <col min="7" max="7" width="4.140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SUMIF(F7:F37,"Elimination*",G7:G37)</f>
        <v>1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SUMIF(F7:F37,"NB*",G7:G37)</f>
        <v>3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SUMIF(F7:F37,"Ve*",G7:G37)</f>
        <v>0</v>
      </c>
    </row>
    <row r="5" spans="1:11" ht="15.75" x14ac:dyDescent="0.25">
      <c r="A5" s="27" t="s">
        <v>129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4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139</v>
      </c>
      <c r="I6" s="3"/>
      <c r="J6" s="3"/>
      <c r="K6" s="1"/>
    </row>
    <row r="7" spans="1:11" ht="15" customHeight="1" x14ac:dyDescent="0.25">
      <c r="A7" s="14">
        <v>1</v>
      </c>
      <c r="B7" s="9" t="s">
        <v>117</v>
      </c>
      <c r="C7" s="10" t="s">
        <v>20</v>
      </c>
      <c r="D7" s="10">
        <v>2018142836</v>
      </c>
      <c r="E7" s="12">
        <v>43401</v>
      </c>
      <c r="F7" s="20" t="s">
        <v>136</v>
      </c>
      <c r="G7" s="16">
        <v>1</v>
      </c>
      <c r="H7" s="23" t="s">
        <v>130</v>
      </c>
      <c r="I7" s="15"/>
      <c r="J7" s="15"/>
      <c r="K7" s="1"/>
    </row>
    <row r="8" spans="1:11" ht="15" customHeight="1" x14ac:dyDescent="0.25">
      <c r="A8" s="14">
        <f>+A7+1</f>
        <v>2</v>
      </c>
      <c r="B8" s="9" t="s">
        <v>131</v>
      </c>
      <c r="C8" s="10" t="s">
        <v>20</v>
      </c>
      <c r="D8" s="10">
        <v>2018142837</v>
      </c>
      <c r="E8" s="12">
        <v>43401</v>
      </c>
      <c r="F8" s="20" t="s">
        <v>24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37" si="0">+A8+1</f>
        <v>3</v>
      </c>
      <c r="B9" s="9" t="s">
        <v>117</v>
      </c>
      <c r="C9" s="10" t="s">
        <v>20</v>
      </c>
      <c r="D9" s="9" t="s">
        <v>132</v>
      </c>
      <c r="E9" s="12">
        <v>43403</v>
      </c>
      <c r="F9" s="20" t="s">
        <v>137</v>
      </c>
      <c r="G9" s="16">
        <v>1</v>
      </c>
      <c r="H9" s="2" t="s">
        <v>135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117</v>
      </c>
      <c r="C10" s="10" t="s">
        <v>20</v>
      </c>
      <c r="D10" s="9" t="s">
        <v>133</v>
      </c>
      <c r="E10" s="12">
        <v>43403</v>
      </c>
      <c r="F10" s="20" t="s">
        <v>138</v>
      </c>
      <c r="G10" s="16">
        <v>1</v>
      </c>
      <c r="H10" s="2" t="s">
        <v>134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  <row r="37" spans="1:10" ht="15" customHeight="1" x14ac:dyDescent="0.25">
      <c r="A37" s="14">
        <f t="shared" si="0"/>
        <v>31</v>
      </c>
      <c r="B37" s="9"/>
      <c r="C37" s="10"/>
      <c r="D37" s="9"/>
      <c r="E37" s="12"/>
      <c r="F37" s="20"/>
      <c r="G37" s="16">
        <v>1</v>
      </c>
      <c r="H37" s="1"/>
      <c r="I37" s="1"/>
      <c r="J37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6"/>
  <sheetViews>
    <sheetView topLeftCell="A4"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SUMIF(F7:F36,"Elimination*",G7:G36)</f>
        <v>10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SUMIF(F7:F36,"NB*",G7:G36)</f>
        <v>3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SUMIF(F7:F36,"Ve*",G7:G36)</f>
        <v>0</v>
      </c>
    </row>
    <row r="5" spans="1:11" ht="15.75" x14ac:dyDescent="0.25">
      <c r="A5" s="27" t="s">
        <v>144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13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139</v>
      </c>
      <c r="I6" s="3"/>
      <c r="J6" s="3"/>
      <c r="K6" s="1"/>
    </row>
    <row r="7" spans="1:11" ht="15" customHeight="1" x14ac:dyDescent="0.25">
      <c r="A7" s="14">
        <v>1</v>
      </c>
      <c r="B7" s="9" t="s">
        <v>117</v>
      </c>
      <c r="C7" s="10" t="s">
        <v>20</v>
      </c>
      <c r="D7" s="9" t="s">
        <v>141</v>
      </c>
      <c r="E7" s="12">
        <v>43408</v>
      </c>
      <c r="F7" s="20" t="s">
        <v>166</v>
      </c>
      <c r="G7" s="16">
        <v>1</v>
      </c>
      <c r="H7" s="2" t="s">
        <v>140</v>
      </c>
      <c r="I7" s="2"/>
      <c r="J7" s="2"/>
      <c r="K7" s="1"/>
    </row>
    <row r="8" spans="1:11" ht="15" customHeight="1" x14ac:dyDescent="0.25">
      <c r="A8" s="14">
        <f t="shared" ref="A8:A36" si="0">+A7+1</f>
        <v>2</v>
      </c>
      <c r="B8" s="9" t="s">
        <v>117</v>
      </c>
      <c r="C8" s="10" t="s">
        <v>20</v>
      </c>
      <c r="D8" s="9" t="s">
        <v>143</v>
      </c>
      <c r="E8" s="12">
        <v>43409</v>
      </c>
      <c r="F8" s="20" t="s">
        <v>168</v>
      </c>
      <c r="G8" s="16">
        <v>1</v>
      </c>
      <c r="H8" s="2" t="s">
        <v>142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149</v>
      </c>
      <c r="C9" s="10" t="s">
        <v>20</v>
      </c>
      <c r="D9" s="9" t="s">
        <v>145</v>
      </c>
      <c r="E9" s="12">
        <v>43432</v>
      </c>
      <c r="F9" s="20" t="s">
        <v>24</v>
      </c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150</v>
      </c>
      <c r="C10" s="10" t="s">
        <v>20</v>
      </c>
      <c r="D10" s="9" t="s">
        <v>146</v>
      </c>
      <c r="E10" s="12">
        <v>43432</v>
      </c>
      <c r="F10" s="20" t="s">
        <v>24</v>
      </c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151</v>
      </c>
      <c r="C11" s="10" t="s">
        <v>20</v>
      </c>
      <c r="D11" s="9" t="s">
        <v>147</v>
      </c>
      <c r="E11" s="12">
        <v>43432</v>
      </c>
      <c r="F11" s="20" t="s">
        <v>24</v>
      </c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152</v>
      </c>
      <c r="C12" s="10" t="s">
        <v>20</v>
      </c>
      <c r="D12" s="9" t="s">
        <v>148</v>
      </c>
      <c r="E12" s="12">
        <v>43432</v>
      </c>
      <c r="F12" s="20" t="s">
        <v>24</v>
      </c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163</v>
      </c>
      <c r="C13" s="10" t="s">
        <v>20</v>
      </c>
      <c r="D13" s="9" t="s">
        <v>156</v>
      </c>
      <c r="E13" s="12">
        <v>43432</v>
      </c>
      <c r="F13" s="20" t="s">
        <v>24</v>
      </c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19</v>
      </c>
      <c r="C14" s="10" t="s">
        <v>20</v>
      </c>
      <c r="D14" s="9" t="s">
        <v>158</v>
      </c>
      <c r="E14" s="12">
        <v>43432</v>
      </c>
      <c r="F14" s="20" t="s">
        <v>24</v>
      </c>
      <c r="G14" s="16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 t="s">
        <v>165</v>
      </c>
      <c r="C15" s="10" t="s">
        <v>20</v>
      </c>
      <c r="D15" s="9" t="s">
        <v>159</v>
      </c>
      <c r="E15" s="12">
        <v>43432</v>
      </c>
      <c r="F15" s="20" t="s">
        <v>24</v>
      </c>
      <c r="G15" s="16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 t="s">
        <v>160</v>
      </c>
      <c r="C16" s="10" t="s">
        <v>20</v>
      </c>
      <c r="D16" s="9" t="s">
        <v>153</v>
      </c>
      <c r="E16" s="12">
        <v>43433</v>
      </c>
      <c r="F16" s="20" t="s">
        <v>24</v>
      </c>
      <c r="G16" s="16">
        <v>1</v>
      </c>
      <c r="H16" s="21"/>
      <c r="I16" s="2"/>
      <c r="J16" s="2"/>
    </row>
    <row r="17" spans="1:10" ht="15" customHeight="1" x14ac:dyDescent="0.25">
      <c r="A17" s="14">
        <f t="shared" si="0"/>
        <v>11</v>
      </c>
      <c r="B17" s="9" t="s">
        <v>162</v>
      </c>
      <c r="C17" s="10" t="s">
        <v>20</v>
      </c>
      <c r="D17" s="9" t="s">
        <v>155</v>
      </c>
      <c r="E17" s="12">
        <v>43433</v>
      </c>
      <c r="F17" s="20" t="s">
        <v>24</v>
      </c>
      <c r="G17" s="16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 t="s">
        <v>164</v>
      </c>
      <c r="C18" s="10" t="s">
        <v>20</v>
      </c>
      <c r="D18" s="9" t="s">
        <v>157</v>
      </c>
      <c r="E18" s="12">
        <v>43433</v>
      </c>
      <c r="F18" s="20" t="s">
        <v>24</v>
      </c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 t="s">
        <v>117</v>
      </c>
      <c r="C19" s="10" t="s">
        <v>20</v>
      </c>
      <c r="D19" s="9" t="s">
        <v>154</v>
      </c>
      <c r="E19" s="12">
        <v>54391</v>
      </c>
      <c r="F19" s="20" t="s">
        <v>167</v>
      </c>
      <c r="G19" s="16">
        <v>1</v>
      </c>
      <c r="H19" s="2" t="s">
        <v>161</v>
      </c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2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</sheetData>
  <sortState xmlns:xlrd2="http://schemas.microsoft.com/office/spreadsheetml/2017/richdata2" ref="B7:H19">
    <sortCondition ref="E7:E19"/>
    <sortCondition ref="D7:D1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6"/>
  <sheetViews>
    <sheetView workbookViewId="0">
      <selection activeCell="J15" sqref="J1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SUMIF(F7:F36,"Elimination*",G7:G36)</f>
        <v>5</v>
      </c>
    </row>
    <row r="3" spans="1:11" x14ac:dyDescent="0.25">
      <c r="A3" s="29" t="s">
        <v>5</v>
      </c>
      <c r="B3" s="29"/>
      <c r="C3" s="29"/>
      <c r="D3" s="5"/>
      <c r="E3" s="29" t="s">
        <v>17</v>
      </c>
      <c r="F3" s="29"/>
      <c r="G3" s="4"/>
      <c r="H3" s="4"/>
      <c r="I3" s="25" t="s">
        <v>6</v>
      </c>
      <c r="J3" s="26"/>
      <c r="K3" s="17">
        <f>SUMIF(F7:F36,"NB*",G7:G36)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SUMIF(F7:F36,"Ve*",G7:G36)</f>
        <v>0</v>
      </c>
    </row>
    <row r="5" spans="1:11" ht="15.75" x14ac:dyDescent="0.25">
      <c r="A5" s="27" t="s">
        <v>179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5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139</v>
      </c>
      <c r="I6" s="3"/>
      <c r="J6" s="3"/>
      <c r="K6" s="1"/>
    </row>
    <row r="7" spans="1:11" ht="15" customHeight="1" x14ac:dyDescent="0.25">
      <c r="A7" s="14">
        <v>1</v>
      </c>
      <c r="B7" s="9" t="s">
        <v>173</v>
      </c>
      <c r="C7" s="10" t="s">
        <v>20</v>
      </c>
      <c r="D7" s="9" t="s">
        <v>174</v>
      </c>
      <c r="E7" s="12">
        <v>43437</v>
      </c>
      <c r="F7" s="20" t="s">
        <v>24</v>
      </c>
      <c r="G7" s="16">
        <v>1</v>
      </c>
      <c r="H7" s="2"/>
      <c r="I7" s="2"/>
      <c r="J7" s="2"/>
      <c r="K7" s="1"/>
    </row>
    <row r="8" spans="1:11" ht="15" customHeight="1" x14ac:dyDescent="0.25">
      <c r="A8" s="14">
        <f t="shared" ref="A8:A36" si="0">+A7+1</f>
        <v>2</v>
      </c>
      <c r="B8" s="9" t="s">
        <v>177</v>
      </c>
      <c r="C8" s="10" t="s">
        <v>20</v>
      </c>
      <c r="D8" s="9" t="s">
        <v>178</v>
      </c>
      <c r="E8" s="12">
        <v>43437</v>
      </c>
      <c r="F8" s="20" t="s">
        <v>24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169</v>
      </c>
      <c r="C9" s="10" t="s">
        <v>20</v>
      </c>
      <c r="D9" s="9" t="s">
        <v>170</v>
      </c>
      <c r="E9" s="12">
        <v>43438</v>
      </c>
      <c r="F9" s="20" t="s">
        <v>24</v>
      </c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171</v>
      </c>
      <c r="C10" s="10" t="s">
        <v>20</v>
      </c>
      <c r="D10" s="9" t="s">
        <v>172</v>
      </c>
      <c r="E10" s="12">
        <v>43438</v>
      </c>
      <c r="F10" s="20" t="s">
        <v>24</v>
      </c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175</v>
      </c>
      <c r="C11" s="10" t="s">
        <v>20</v>
      </c>
      <c r="D11" s="9" t="s">
        <v>176</v>
      </c>
      <c r="E11" s="12">
        <v>43438</v>
      </c>
      <c r="F11" s="20" t="s">
        <v>24</v>
      </c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20"/>
      <c r="G14" s="16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20"/>
      <c r="G15" s="16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20"/>
      <c r="G16" s="16">
        <v>1</v>
      </c>
      <c r="H16" s="21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20"/>
      <c r="G17" s="16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20"/>
      <c r="G21" s="16">
        <v>1</v>
      </c>
      <c r="H21" s="21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20"/>
      <c r="G23" s="16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20"/>
      <c r="G36" s="16">
        <v>1</v>
      </c>
      <c r="H36" s="1"/>
      <c r="I36" s="1"/>
      <c r="J36" s="1"/>
    </row>
  </sheetData>
  <sortState xmlns:xlrd2="http://schemas.microsoft.com/office/spreadsheetml/2017/richdata2"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2018</vt:lpstr>
      <vt:lpstr>Février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Décembre 2018</vt:lpstr>
      <vt:lpstr>'Aout 2018'!Impression_des_titres</vt:lpstr>
      <vt:lpstr>'Avril 2018'!Impression_des_titres</vt:lpstr>
      <vt:lpstr>'Décembre 2018'!Impression_des_titres</vt:lpstr>
      <vt:lpstr>'Février 2018'!Impression_des_titres</vt:lpstr>
      <vt:lpstr>'Janvier 2018'!Impression_des_titres</vt:lpstr>
      <vt:lpstr>'Juillet 2018'!Impression_des_titres</vt:lpstr>
      <vt:lpstr>'Juin 2018'!Impression_des_titres</vt:lpstr>
      <vt:lpstr>'Mai 2018'!Impression_des_titres</vt:lpstr>
      <vt:lpstr>'Mars 2018'!Impression_des_titres</vt:lpstr>
      <vt:lpstr>'Novembre 2018'!Impression_des_titres</vt:lpstr>
      <vt:lpstr>'Octobre 2018'!Impression_des_titres</vt:lpstr>
      <vt:lpstr>'Septembre 2018'!Impression_des_titres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2019-01-09T10:05:18Z</cp:lastPrinted>
  <dcterms:created xsi:type="dcterms:W3CDTF">2014-12-31T15:00:30Z</dcterms:created>
  <dcterms:modified xsi:type="dcterms:W3CDTF">2026-05-06T12:54:24Z</dcterms:modified>
</cp:coreProperties>
</file>