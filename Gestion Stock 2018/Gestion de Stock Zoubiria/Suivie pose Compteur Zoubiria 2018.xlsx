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18\Gestion de Stock Zoubiria\"/>
    </mc:Choice>
  </mc:AlternateContent>
  <bookViews>
    <workbookView xWindow="315" yWindow="195" windowWidth="6900" windowHeight="2025" firstSheet="7" activeTab="11"/>
  </bookViews>
  <sheets>
    <sheet name="Janvier 2018" sheetId="1" r:id="rId1"/>
    <sheet name="Février 2018" sheetId="2" r:id="rId2"/>
    <sheet name="Mars 2018" sheetId="3" r:id="rId3"/>
    <sheet name="Avril 2018" sheetId="4" r:id="rId4"/>
    <sheet name="Mai 2018" sheetId="5" r:id="rId5"/>
    <sheet name="Juin 2018" sheetId="6" r:id="rId6"/>
    <sheet name="Juillet 2018" sheetId="7" r:id="rId7"/>
    <sheet name="Aout 2018" sheetId="8" r:id="rId8"/>
    <sheet name="Septembre 2018" sheetId="9" r:id="rId9"/>
    <sheet name="Octobre 2018" sheetId="10" r:id="rId10"/>
    <sheet name="Novembre 2018" sheetId="11" r:id="rId11"/>
    <sheet name="Décembre 2018" sheetId="12" r:id="rId12"/>
  </sheets>
  <definedNames>
    <definedName name="_xlnm.Print_Titles" localSheetId="7">'Aout 2018'!$1:$6</definedName>
    <definedName name="_xlnm.Print_Titles" localSheetId="3">'Avril 2018'!$1:$6</definedName>
    <definedName name="_xlnm.Print_Titles" localSheetId="11">'Décembre 2018'!$1:$6</definedName>
    <definedName name="_xlnm.Print_Titles" localSheetId="1">'Février 2018'!$1:$6</definedName>
    <definedName name="_xlnm.Print_Titles" localSheetId="0">'Janvier 2018'!$1:$6</definedName>
    <definedName name="_xlnm.Print_Titles" localSheetId="6">'Juillet 2018'!$1:$6</definedName>
    <definedName name="_xlnm.Print_Titles" localSheetId="5">'Juin 2018'!$1:$6</definedName>
    <definedName name="_xlnm.Print_Titles" localSheetId="4">'Mai 2018'!$1:$6</definedName>
    <definedName name="_xlnm.Print_Titles" localSheetId="2">'Mars 2018'!$1:$6</definedName>
    <definedName name="_xlnm.Print_Titles" localSheetId="10">'Novembre 2018'!$1:$6</definedName>
    <definedName name="_xlnm.Print_Titles" localSheetId="9">'Octobre 2018'!$1:$6</definedName>
    <definedName name="_xlnm.Print_Titles" localSheetId="8">'Septembre 2018'!$1:$6</definedName>
  </definedNames>
  <calcPr calcId="152511"/>
</workbook>
</file>

<file path=xl/calcChain.xml><?xml version="1.0" encoding="utf-8"?>
<calcChain xmlns="http://schemas.openxmlformats.org/spreadsheetml/2006/main">
  <c r="A9" i="12" l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8" i="12"/>
  <c r="K4" i="12"/>
  <c r="K3" i="12"/>
  <c r="K2" i="12"/>
  <c r="K5" i="12" l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K4" i="11"/>
  <c r="K3" i="11"/>
  <c r="K2" i="11"/>
  <c r="K5" i="11" l="1"/>
  <c r="A8" i="10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K4" i="10"/>
  <c r="K3" i="10"/>
  <c r="K2" i="10"/>
  <c r="K5" i="10" s="1"/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K4" i="9"/>
  <c r="K3" i="9"/>
  <c r="K2" i="9"/>
  <c r="K5" i="9" s="1"/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K4" i="8"/>
  <c r="K3" i="8"/>
  <c r="K2" i="8"/>
  <c r="K5" i="8" s="1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K4" i="6"/>
  <c r="K3" i="6"/>
  <c r="K2" i="6"/>
  <c r="K5" i="6" s="1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K4" i="5"/>
  <c r="K3" i="5"/>
  <c r="K2" i="5"/>
  <c r="K5" i="5" s="1"/>
  <c r="A8" i="4" l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K4" i="4"/>
  <c r="K3" i="4"/>
  <c r="K2" i="4"/>
  <c r="K5" i="4" s="1"/>
  <c r="A8" i="3" l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K4" i="2"/>
  <c r="K3" i="2"/>
  <c r="K2" i="2"/>
  <c r="K5" i="2" l="1"/>
  <c r="A8" i="1"/>
  <c r="A9" i="1" s="1"/>
  <c r="A10" i="1" s="1"/>
  <c r="A11" i="1" s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2" i="1"/>
  <c r="K5" i="1" s="1"/>
</calcChain>
</file>

<file path=xl/sharedStrings.xml><?xml version="1.0" encoding="utf-8"?>
<sst xmlns="http://schemas.openxmlformats.org/spreadsheetml/2006/main" count="514" uniqueCount="181">
  <si>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</si>
  <si>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</si>
  <si>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</si>
  <si>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</si>
  <si>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</si>
  <si>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</si>
  <si>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</si>
  <si>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</si>
  <si>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</si>
  <si>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</si>
  <si>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</si>
  <si>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</si>
  <si>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</si>
  <si>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</si>
  <si>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</si>
  <si>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</si>
  <si>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r>
      <t>Mois de Janvier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</si>
  <si>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t>Antenne Zoubiria</t>
  </si>
  <si>
    <r>
      <t>Mois de Février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</si>
  <si>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t>13 1541</t>
  </si>
  <si>
    <t>15/21</t>
  </si>
  <si>
    <t>2017015246</t>
  </si>
  <si>
    <t>13 0414</t>
  </si>
  <si>
    <t>2017015249</t>
  </si>
  <si>
    <t>Elimination Forfait</t>
  </si>
  <si>
    <t>13 0411</t>
  </si>
  <si>
    <t>2017015247</t>
  </si>
  <si>
    <t>13 0417</t>
  </si>
  <si>
    <t>2017015250</t>
  </si>
  <si>
    <t>13 0415</t>
  </si>
  <si>
    <t>2017015248</t>
  </si>
  <si>
    <t>13 0189</t>
  </si>
  <si>
    <t>2017015243</t>
  </si>
  <si>
    <t>13 0159</t>
  </si>
  <si>
    <t>2017015244</t>
  </si>
  <si>
    <t>13 0256</t>
  </si>
  <si>
    <t>2017015245</t>
  </si>
  <si>
    <r>
      <t>Mois de Mars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</si>
  <si>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t>13 0285</t>
  </si>
  <si>
    <t>2017014166</t>
  </si>
  <si>
    <t>13 0249</t>
  </si>
  <si>
    <t>2017014169</t>
  </si>
  <si>
    <t>13 0283</t>
  </si>
  <si>
    <t>2017014167</t>
  </si>
  <si>
    <t>13 0253</t>
  </si>
  <si>
    <t>2017014168</t>
  </si>
  <si>
    <t>13 0773</t>
  </si>
  <si>
    <t>2017014170</t>
  </si>
  <si>
    <t>13 0336</t>
  </si>
  <si>
    <t>2017015242</t>
  </si>
  <si>
    <t>13 0061</t>
  </si>
  <si>
    <t>2017015241</t>
  </si>
  <si>
    <t>13 0737</t>
  </si>
  <si>
    <t>2017014162</t>
  </si>
  <si>
    <t>13 0136</t>
  </si>
  <si>
    <t>2017014164</t>
  </si>
  <si>
    <t>13 0740</t>
  </si>
  <si>
    <t>2017014165</t>
  </si>
  <si>
    <t>13 0062</t>
  </si>
  <si>
    <t>2017014163</t>
  </si>
  <si>
    <t>13 0941</t>
  </si>
  <si>
    <t>2017014125</t>
  </si>
  <si>
    <t>13 1020</t>
  </si>
  <si>
    <t>2017014161</t>
  </si>
  <si>
    <t>13 0140</t>
  </si>
  <si>
    <t>2017014123</t>
  </si>
  <si>
    <t>13 0139</t>
  </si>
  <si>
    <t>2017014124</t>
  </si>
  <si>
    <t>13 0143</t>
  </si>
  <si>
    <t>2017014130</t>
  </si>
  <si>
    <t>13 0142</t>
  </si>
  <si>
    <t>2017014129</t>
  </si>
  <si>
    <t>13 0141</t>
  </si>
  <si>
    <t>2017014122</t>
  </si>
  <si>
    <t>13 0384</t>
  </si>
  <si>
    <t>2017014121</t>
  </si>
  <si>
    <t>13 0747</t>
  </si>
  <si>
    <t>2017014128</t>
  </si>
  <si>
    <t>13 0448</t>
  </si>
  <si>
    <t>2017014126</t>
  </si>
  <si>
    <t>13 0231</t>
  </si>
  <si>
    <t>2017014019</t>
  </si>
  <si>
    <t>13 1580</t>
  </si>
  <si>
    <t>2017014017</t>
  </si>
  <si>
    <t>13 1582</t>
  </si>
  <si>
    <t>2017014018</t>
  </si>
  <si>
    <t>13 1576</t>
  </si>
  <si>
    <t>2017014016</t>
  </si>
  <si>
    <t>13 1030</t>
  </si>
  <si>
    <t>2017014127</t>
  </si>
  <si>
    <t>13 1031</t>
  </si>
  <si>
    <t>2017014013</t>
  </si>
  <si>
    <t>13 1007</t>
  </si>
  <si>
    <t>2017014012</t>
  </si>
  <si>
    <t>13 0396</t>
  </si>
  <si>
    <t>2017014011</t>
  </si>
  <si>
    <t>13 0389</t>
  </si>
  <si>
    <t>2017014014</t>
  </si>
  <si>
    <t>13 0388</t>
  </si>
  <si>
    <t>2017014020</t>
  </si>
  <si>
    <t>13 0542</t>
  </si>
  <si>
    <t>2017014015</t>
  </si>
  <si>
    <t>13 0543</t>
  </si>
  <si>
    <t>2017128854</t>
  </si>
  <si>
    <t>13 1027</t>
  </si>
  <si>
    <t>2017128851</t>
  </si>
  <si>
    <t>13 1029</t>
  </si>
  <si>
    <t>2017128857</t>
  </si>
  <si>
    <t>13 0294</t>
  </si>
  <si>
    <t>2017128852</t>
  </si>
  <si>
    <r>
      <t>Mois de Avril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</si>
  <si>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t>13 1024</t>
  </si>
  <si>
    <t>2017128855</t>
  </si>
  <si>
    <r>
      <t>Mois de Mai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</si>
  <si>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r>
      <t>Mois de Juin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</si>
  <si>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t>40/49</t>
  </si>
  <si>
    <t>13 0693</t>
  </si>
  <si>
    <t>13</t>
  </si>
  <si>
    <t>NB(Benaicha aissa)</t>
  </si>
  <si>
    <t>13 0899</t>
  </si>
  <si>
    <t>NB(Logts Fonction)</t>
  </si>
  <si>
    <t>Ferah</t>
  </si>
  <si>
    <t>2017128860</t>
  </si>
  <si>
    <t>Khan</t>
  </si>
  <si>
    <t>Dehache toufik</t>
  </si>
  <si>
    <t>2017128858</t>
  </si>
  <si>
    <t>NB(N°0066/2018)</t>
  </si>
  <si>
    <r>
      <t>Mois de Juillet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</si>
  <si>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r>
      <t>Mois de Aout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</si>
  <si>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r>
      <t>Mois de Septembre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</si>
  <si>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r>
      <t>Mois de Octobre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</si>
  <si>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t>Sahi rabah</t>
  </si>
  <si>
    <t>13 0098</t>
  </si>
  <si>
    <t>2018142839</t>
  </si>
  <si>
    <t>2018142840</t>
  </si>
  <si>
    <t>Hamza abdelkader</t>
  </si>
  <si>
    <t>Salmkour boudjemaa</t>
  </si>
  <si>
    <t>NB (N°203/2018)</t>
  </si>
  <si>
    <t>NB (N°130/2018)</t>
  </si>
  <si>
    <t>NB (N°317/2018)7</t>
  </si>
  <si>
    <t>cc</t>
  </si>
  <si>
    <t>boukarta miloud</t>
  </si>
  <si>
    <t>2018142838</t>
  </si>
  <si>
    <t>gacem med</t>
  </si>
  <si>
    <t>2018142831</t>
  </si>
  <si>
    <r>
      <t>Mois de Novembre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</si>
  <si>
    <t>2018142832</t>
  </si>
  <si>
    <t>2018142833</t>
  </si>
  <si>
    <t>2018142834</t>
  </si>
  <si>
    <t>2018142835</t>
  </si>
  <si>
    <t>13 1547</t>
  </si>
  <si>
    <t>13 0840</t>
  </si>
  <si>
    <t>13 0547</t>
  </si>
  <si>
    <t>13 0689</t>
  </si>
  <si>
    <t>2018143441</t>
  </si>
  <si>
    <t>2018143443</t>
  </si>
  <si>
    <t>2018143446</t>
  </si>
  <si>
    <t>2018143447</t>
  </si>
  <si>
    <t>2018143448</t>
  </si>
  <si>
    <t>2018143449</t>
  </si>
  <si>
    <t>2018143450</t>
  </si>
  <si>
    <t>13 1097</t>
  </si>
  <si>
    <t>benrached rabah</t>
  </si>
  <si>
    <t>13 0814</t>
  </si>
  <si>
    <t>13 0412</t>
  </si>
  <si>
    <t>13 1539</t>
  </si>
  <si>
    <t>13 1540</t>
  </si>
  <si>
    <t>NB(N°0214/2018)</t>
  </si>
  <si>
    <t>NB(N°0289/2017)</t>
  </si>
  <si>
    <t>NB(N°0168/2018)</t>
  </si>
  <si>
    <t>13 0222</t>
  </si>
  <si>
    <t>2018142861</t>
  </si>
  <si>
    <t>13 0225</t>
  </si>
  <si>
    <t>2018142862</t>
  </si>
  <si>
    <t>13 0090</t>
  </si>
  <si>
    <t>2018143442</t>
  </si>
  <si>
    <t>13 0035</t>
  </si>
  <si>
    <t>2018143444</t>
  </si>
  <si>
    <t>13 0169</t>
  </si>
  <si>
    <t>2018143445</t>
  </si>
  <si>
    <r>
      <t>Mois de Décembre</t>
    </r>
    <r>
      <rPr>
        <i/>
        <sz val="11"/>
        <rFont val="Arial"/>
        <family val="2"/>
      </rPr>
      <t xml:space="preserve"> </t>
    </r>
    <r>
      <rPr>
        <sz val="11"/>
        <rFont val="Arial"/>
        <family val="2"/>
      </rPr>
      <t>2018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</si>
</sst>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i/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</cellStyleXfs>
  <cellXfs count="3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1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9" fillId="0" borderId="1" xfId="1" applyFont="1" applyFill="1" applyBorder="1" applyAlignment="1">
      <alignment horizontal="right" vertical="center" wrapText="1"/>
    </xf>
    <xf numFmtId="0" fontId="1" fillId="0" borderId="0" xfId="1" applyFont="1" applyFill="1" applyAlignment="1">
      <alignment vertical="center" wrapText="1"/>
    </xf>
    <xf numFmtId="0" fontId="8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9" fillId="0" borderId="0" xfId="1" applyFont="1" applyAlignment="1">
      <alignment horizontal="left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4">
    <cellStyle name="Euro" xfId="2"/>
    <cellStyle name="Normal" xfId="0" builtinId="0"/>
    <cellStyle name="Normal 2" xfId="3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0</xdr:rowOff>
    </xdr:from>
    <xdr:to>
      <xdr:col>7</xdr:col>
      <xdr:colOff>9525</xdr:colOff>
      <xdr:row>37</xdr:row>
      <xdr:rowOff>171450</xdr:rowOff>
    </xdr:to>
    <xdr:cxnSp macro="">
      <xdr:nvCxnSpPr>
        <xdr:cNvPr id="3" name="Straight Connector 2"/>
        <xdr:cNvCxnSpPr/>
      </xdr:nvCxnSpPr>
      <xdr:spPr>
        <a:xfrm flipH="1">
          <a:off x="609600" y="1314450"/>
          <a:ext cx="4552950" cy="6076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13</xdr:row>
      <xdr:rowOff>180975</xdr:rowOff>
    </xdr:from>
    <xdr:to>
      <xdr:col>7</xdr:col>
      <xdr:colOff>19050</xdr:colOff>
      <xdr:row>38</xdr:row>
      <xdr:rowOff>0</xdr:rowOff>
    </xdr:to>
    <xdr:cxnSp macro="">
      <xdr:nvCxnSpPr>
        <xdr:cNvPr id="3" name="Straight Connector 2"/>
        <xdr:cNvCxnSpPr/>
      </xdr:nvCxnSpPr>
      <xdr:spPr>
        <a:xfrm flipH="1">
          <a:off x="628650" y="2828925"/>
          <a:ext cx="4181475" cy="4581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12</xdr:row>
      <xdr:rowOff>9525</xdr:rowOff>
    </xdr:from>
    <xdr:to>
      <xdr:col>5</xdr:col>
      <xdr:colOff>1285876</xdr:colOff>
      <xdr:row>37</xdr:row>
      <xdr:rowOff>9525</xdr:rowOff>
    </xdr:to>
    <xdr:cxnSp macro="">
      <xdr:nvCxnSpPr>
        <xdr:cNvPr id="3" name="Straight Connector 2"/>
        <xdr:cNvCxnSpPr/>
      </xdr:nvCxnSpPr>
      <xdr:spPr>
        <a:xfrm flipH="1">
          <a:off x="609600" y="2466975"/>
          <a:ext cx="4152901" cy="4762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6</xdr:row>
      <xdr:rowOff>19050</xdr:rowOff>
    </xdr:from>
    <xdr:to>
      <xdr:col>7</xdr:col>
      <xdr:colOff>9525</xdr:colOff>
      <xdr:row>37</xdr:row>
      <xdr:rowOff>9525</xdr:rowOff>
    </xdr:to>
    <xdr:cxnSp macro="">
      <xdr:nvCxnSpPr>
        <xdr:cNvPr id="2" name="Straight Connector 2"/>
        <xdr:cNvCxnSpPr/>
      </xdr:nvCxnSpPr>
      <xdr:spPr>
        <a:xfrm flipH="1">
          <a:off x="609601" y="1333500"/>
          <a:ext cx="4190999" cy="5895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19053</xdr:colOff>
      <xdr:row>8</xdr:row>
      <xdr:rowOff>19050</xdr:rowOff>
    </xdr:from>
    <xdr:to>
      <xdr:col>5</xdr:col>
      <xdr:colOff>1304925</xdr:colOff>
      <xdr:row>37</xdr:row>
      <xdr:rowOff>9525</xdr:rowOff>
    </xdr:to>
    <xdr:cxnSp macro="">
      <xdr:nvCxnSpPr>
        <xdr:cNvPr id="2" name="Straight Connector 2"/>
        <xdr:cNvCxnSpPr/>
      </xdr:nvCxnSpPr>
      <xdr:spPr>
        <a:xfrm flipH="1">
          <a:off x="609603" y="1714500"/>
          <a:ext cx="4200522" cy="5514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19053</xdr:colOff>
      <xdr:row>11</xdr:row>
      <xdr:rowOff>142875</xdr:rowOff>
    </xdr:from>
    <xdr:to>
      <xdr:col>6</xdr:col>
      <xdr:colOff>0</xdr:colOff>
      <xdr:row>37</xdr:row>
      <xdr:rowOff>9525</xdr:rowOff>
    </xdr:to>
    <xdr:cxnSp macro="">
      <xdr:nvCxnSpPr>
        <xdr:cNvPr id="2" name="Straight Connector 2"/>
        <xdr:cNvCxnSpPr/>
      </xdr:nvCxnSpPr>
      <xdr:spPr>
        <a:xfrm flipH="1">
          <a:off x="609603" y="2409825"/>
          <a:ext cx="4210047" cy="48196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6</xdr:row>
      <xdr:rowOff>19050</xdr:rowOff>
    </xdr:from>
    <xdr:to>
      <xdr:col>5</xdr:col>
      <xdr:colOff>1266825</xdr:colOff>
      <xdr:row>37</xdr:row>
      <xdr:rowOff>9525</xdr:rowOff>
    </xdr:to>
    <xdr:cxnSp macro="">
      <xdr:nvCxnSpPr>
        <xdr:cNvPr id="2" name="Straight Connector 2"/>
        <xdr:cNvCxnSpPr/>
      </xdr:nvCxnSpPr>
      <xdr:spPr>
        <a:xfrm flipH="1">
          <a:off x="609604" y="1333500"/>
          <a:ext cx="4162421" cy="5895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6</xdr:row>
      <xdr:rowOff>19050</xdr:rowOff>
    </xdr:from>
    <xdr:to>
      <xdr:col>5</xdr:col>
      <xdr:colOff>1266825</xdr:colOff>
      <xdr:row>37</xdr:row>
      <xdr:rowOff>9525</xdr:rowOff>
    </xdr:to>
    <xdr:cxnSp macro="">
      <xdr:nvCxnSpPr>
        <xdr:cNvPr id="2" name="Straight Connector 2"/>
        <xdr:cNvCxnSpPr/>
      </xdr:nvCxnSpPr>
      <xdr:spPr>
        <a:xfrm flipH="1">
          <a:off x="609604" y="1333500"/>
          <a:ext cx="4162421" cy="5895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19055</xdr:colOff>
      <xdr:row>10</xdr:row>
      <xdr:rowOff>28575</xdr:rowOff>
    </xdr:from>
    <xdr:to>
      <xdr:col>5</xdr:col>
      <xdr:colOff>1295400</xdr:colOff>
      <xdr:row>37</xdr:row>
      <xdr:rowOff>9525</xdr:rowOff>
    </xdr:to>
    <xdr:cxnSp macro="">
      <xdr:nvCxnSpPr>
        <xdr:cNvPr id="2" name="Straight Connector 2"/>
        <xdr:cNvCxnSpPr/>
      </xdr:nvCxnSpPr>
      <xdr:spPr>
        <a:xfrm flipH="1">
          <a:off x="609605" y="2105025"/>
          <a:ext cx="4190995" cy="5124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19057</xdr:colOff>
      <xdr:row>19</xdr:row>
      <xdr:rowOff>28575</xdr:rowOff>
    </xdr:from>
    <xdr:to>
      <xdr:col>5</xdr:col>
      <xdr:colOff>1304925</xdr:colOff>
      <xdr:row>36</xdr:row>
      <xdr:rowOff>9525</xdr:rowOff>
    </xdr:to>
    <xdr:cxnSp macro="">
      <xdr:nvCxnSpPr>
        <xdr:cNvPr id="2" name="Straight Connector 2"/>
        <xdr:cNvCxnSpPr/>
      </xdr:nvCxnSpPr>
      <xdr:spPr>
        <a:xfrm flipH="1">
          <a:off x="609607" y="4010025"/>
          <a:ext cx="4200518" cy="3219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19058</xdr:colOff>
      <xdr:row>11</xdr:row>
      <xdr:rowOff>9525</xdr:rowOff>
    </xdr:from>
    <xdr:to>
      <xdr:col>5</xdr:col>
      <xdr:colOff>1152525</xdr:colOff>
      <xdr:row>36</xdr:row>
      <xdr:rowOff>9525</xdr:rowOff>
    </xdr:to>
    <xdr:cxnSp macro="">
      <xdr:nvCxnSpPr>
        <xdr:cNvPr id="2" name="Straight Connector 2"/>
        <xdr:cNvCxnSpPr/>
      </xdr:nvCxnSpPr>
      <xdr:spPr>
        <a:xfrm flipH="1">
          <a:off x="609608" y="2276475"/>
          <a:ext cx="4048117" cy="4762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workbookViewId="0">
      <selection activeCell="F38" sqref="A1:F3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2851562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SUMIF(F7:F38,"Elimination*",G7:G38)</f>
        <v>0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SUMIF(F7:F38,"NB*",G7:G38)</f>
        <v>0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SUMIF(F7:F38,"Ve*",G7:G38)</f>
        <v>0</v>
      </c>
    </row>
    <row r="5" spans="1:11" ht="15.75" x14ac:dyDescent="0.25">
      <c r="A5" s="35" t="s">
        <v>16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9"/>
      <c r="E7" s="12"/>
      <c r="F7" s="21"/>
      <c r="G7" s="17"/>
      <c r="H7" s="16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3"/>
      <c r="D8" s="23"/>
      <c r="E8" s="12"/>
      <c r="F8" s="24"/>
      <c r="G8" s="25"/>
      <c r="H8" s="26"/>
      <c r="I8" s="2"/>
      <c r="J8" s="2"/>
      <c r="K8" s="1"/>
    </row>
    <row r="9" spans="1:11" ht="15" customHeight="1" x14ac:dyDescent="0.25">
      <c r="A9" s="15">
        <f t="shared" ref="A9:A38" si="0">+A8+1</f>
        <v>3</v>
      </c>
      <c r="B9" s="13"/>
      <c r="C9" s="13"/>
      <c r="D9" s="23"/>
      <c r="E9" s="12"/>
      <c r="F9" s="24"/>
      <c r="G9" s="25"/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3"/>
      <c r="D10" s="23"/>
      <c r="E10" s="12"/>
      <c r="F10" s="24"/>
      <c r="G10" s="25"/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3"/>
      <c r="D11" s="23"/>
      <c r="E11" s="12"/>
      <c r="F11" s="24"/>
      <c r="G11" s="25"/>
      <c r="H11" s="27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3"/>
      <c r="D12" s="23"/>
      <c r="E12" s="12"/>
      <c r="F12" s="24"/>
      <c r="G12" s="25"/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3"/>
      <c r="D13" s="23"/>
      <c r="E13" s="12"/>
      <c r="F13" s="24"/>
      <c r="G13" s="25"/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25"/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25"/>
      <c r="H15" s="30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25"/>
      <c r="H16" s="30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25"/>
      <c r="H17" s="29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25"/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25"/>
      <c r="H19" s="28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25"/>
      <c r="H20" s="28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25"/>
      <c r="H21" s="28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25"/>
      <c r="H22" s="29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25"/>
      <c r="H23" s="29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/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/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/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/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/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/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/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/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/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</sheetData>
  <sortState ref="B27:F31">
    <sortCondition ref="C27:C31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4" workbookViewId="0">
      <selection activeCell="E30" sqref="E3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5" max="5" width="10.85546875" customWidth="1"/>
    <col min="6" max="6" width="19.7109375" customWidth="1"/>
    <col min="7" max="7" width="2.710937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SUMIF(F7:F38,"Elimination*",G7:G38)</f>
        <v>8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SUMIF(F7:F38,"NB*",G7:G38)</f>
        <v>0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SUMIF(F7:F38,"Ve*",G7:G38)</f>
        <v>0</v>
      </c>
    </row>
    <row r="5" spans="1:11" ht="15.75" x14ac:dyDescent="0.25">
      <c r="A5" s="35" t="s">
        <v>18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8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23" t="s">
        <v>19</v>
      </c>
      <c r="C7" s="10" t="s">
        <v>20</v>
      </c>
      <c r="D7" s="9" t="s">
        <v>21</v>
      </c>
      <c r="E7" s="12">
        <v>43145</v>
      </c>
      <c r="F7" s="21" t="s">
        <v>24</v>
      </c>
      <c r="G7" s="17">
        <v>1</v>
      </c>
      <c r="H7" s="16"/>
      <c r="I7" s="16"/>
      <c r="J7" s="16"/>
      <c r="K7" s="1"/>
    </row>
    <row r="8" spans="1:11" ht="15" customHeight="1" x14ac:dyDescent="0.25">
      <c r="A8" s="15">
        <f>+A7+1</f>
        <v>2</v>
      </c>
      <c r="B8" s="23" t="s">
        <v>25</v>
      </c>
      <c r="C8" s="10" t="s">
        <v>20</v>
      </c>
      <c r="D8" s="9" t="s">
        <v>26</v>
      </c>
      <c r="E8" s="12">
        <v>43145</v>
      </c>
      <c r="F8" s="21" t="s">
        <v>24</v>
      </c>
      <c r="G8" s="17">
        <v>1</v>
      </c>
      <c r="H8" s="26"/>
      <c r="I8" s="2"/>
      <c r="J8" s="2"/>
      <c r="K8" s="1"/>
    </row>
    <row r="9" spans="1:11" ht="15" customHeight="1" x14ac:dyDescent="0.25">
      <c r="A9" s="15">
        <f t="shared" ref="A9:A38" si="0">+A8+1</f>
        <v>3</v>
      </c>
      <c r="B9" s="23" t="s">
        <v>29</v>
      </c>
      <c r="C9" s="10" t="s">
        <v>20</v>
      </c>
      <c r="D9" s="9" t="s">
        <v>30</v>
      </c>
      <c r="E9" s="12">
        <v>43145</v>
      </c>
      <c r="F9" s="21" t="s">
        <v>24</v>
      </c>
      <c r="G9" s="17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3" t="s">
        <v>22</v>
      </c>
      <c r="C10" s="10" t="s">
        <v>20</v>
      </c>
      <c r="D10" s="9" t="s">
        <v>23</v>
      </c>
      <c r="E10" s="12">
        <v>43145</v>
      </c>
      <c r="F10" s="21" t="s">
        <v>24</v>
      </c>
      <c r="G10" s="17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3" t="s">
        <v>27</v>
      </c>
      <c r="C11" s="10" t="s">
        <v>20</v>
      </c>
      <c r="D11" s="9" t="s">
        <v>28</v>
      </c>
      <c r="E11" s="12">
        <v>43145</v>
      </c>
      <c r="F11" s="21" t="s">
        <v>24</v>
      </c>
      <c r="G11" s="17">
        <v>1</v>
      </c>
      <c r="H11" s="27"/>
      <c r="I11" s="2"/>
      <c r="J11" s="2"/>
      <c r="K11" s="1"/>
    </row>
    <row r="12" spans="1:11" ht="15" customHeight="1" x14ac:dyDescent="0.25">
      <c r="A12" s="15">
        <f t="shared" si="0"/>
        <v>6</v>
      </c>
      <c r="B12" s="23" t="s">
        <v>31</v>
      </c>
      <c r="C12" s="10" t="s">
        <v>20</v>
      </c>
      <c r="D12" s="23" t="s">
        <v>32</v>
      </c>
      <c r="E12" s="12">
        <v>43152</v>
      </c>
      <c r="F12" s="24" t="s">
        <v>24</v>
      </c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 t="s">
        <v>33</v>
      </c>
      <c r="C13" s="10" t="s">
        <v>20</v>
      </c>
      <c r="D13" s="23" t="s">
        <v>34</v>
      </c>
      <c r="E13" s="12">
        <v>43158</v>
      </c>
      <c r="F13" s="24" t="s">
        <v>24</v>
      </c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 t="s">
        <v>35</v>
      </c>
      <c r="C14" s="10" t="s">
        <v>20</v>
      </c>
      <c r="D14" s="23" t="s">
        <v>36</v>
      </c>
      <c r="E14" s="12">
        <v>43158</v>
      </c>
      <c r="F14" s="24" t="s">
        <v>24</v>
      </c>
      <c r="G14" s="17">
        <v>1</v>
      </c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23"/>
      <c r="C15" s="13"/>
      <c r="D15" s="23"/>
      <c r="E15" s="12"/>
      <c r="F15" s="24"/>
      <c r="G15" s="17">
        <v>1</v>
      </c>
      <c r="H15" s="30"/>
      <c r="I15" s="2"/>
      <c r="J15" s="2"/>
    </row>
    <row r="16" spans="1:11" ht="15" customHeight="1" x14ac:dyDescent="0.25">
      <c r="A16" s="15">
        <f t="shared" si="0"/>
        <v>10</v>
      </c>
      <c r="B16" s="23"/>
      <c r="C16" s="13"/>
      <c r="D16" s="23"/>
      <c r="E16" s="12"/>
      <c r="F16" s="24"/>
      <c r="G16" s="17">
        <v>1</v>
      </c>
      <c r="H16" s="30"/>
      <c r="I16" s="2"/>
      <c r="J16" s="2"/>
    </row>
    <row r="17" spans="1:10" ht="15" customHeight="1" x14ac:dyDescent="0.25">
      <c r="A17" s="15">
        <f t="shared" si="0"/>
        <v>11</v>
      </c>
      <c r="B17" s="23"/>
      <c r="C17" s="13"/>
      <c r="D17" s="23"/>
      <c r="E17" s="12"/>
      <c r="F17" s="24"/>
      <c r="G17" s="17">
        <v>1</v>
      </c>
      <c r="H17" s="29"/>
      <c r="I17" s="2"/>
      <c r="J17" s="2"/>
    </row>
    <row r="18" spans="1:10" ht="15" customHeight="1" x14ac:dyDescent="0.25">
      <c r="A18" s="15">
        <f t="shared" si="0"/>
        <v>12</v>
      </c>
      <c r="B18" s="23"/>
      <c r="C18" s="13"/>
      <c r="D18" s="23"/>
      <c r="E18" s="12"/>
      <c r="F18" s="24"/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8"/>
      <c r="I19" s="2"/>
      <c r="J19" s="2"/>
    </row>
    <row r="20" spans="1:10" ht="15" customHeight="1" x14ac:dyDescent="0.25">
      <c r="A20" s="15">
        <f t="shared" si="0"/>
        <v>14</v>
      </c>
      <c r="B20" s="23"/>
      <c r="C20" s="13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3"/>
      <c r="D21" s="23"/>
      <c r="E21" s="12"/>
      <c r="F21" s="24"/>
      <c r="G21" s="17">
        <v>1</v>
      </c>
      <c r="H21" s="28"/>
      <c r="I21" s="2"/>
      <c r="J21" s="2"/>
    </row>
    <row r="22" spans="1:10" ht="15" customHeight="1" x14ac:dyDescent="0.25">
      <c r="A22" s="15">
        <f t="shared" si="0"/>
        <v>16</v>
      </c>
      <c r="B22" s="23"/>
      <c r="C22" s="13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3"/>
      <c r="D23" s="23"/>
      <c r="E23" s="12"/>
      <c r="F23" s="24"/>
      <c r="G23" s="17">
        <v>1</v>
      </c>
      <c r="H23" s="29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>
        <v>1</v>
      </c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>
        <v>1</v>
      </c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>
        <v>1</v>
      </c>
      <c r="H38" s="1"/>
      <c r="I38" s="1"/>
      <c r="J38" s="1"/>
    </row>
  </sheetData>
  <sortState ref="B7:F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A21" workbookViewId="0">
      <selection activeCell="D32" sqref="D3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5" max="5" width="10.85546875" customWidth="1"/>
    <col min="6" max="6" width="19.7109375" customWidth="1"/>
    <col min="7" max="7" width="1.8554687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SUMIF(F7:F37,"Elimination*",G7:G37)</f>
        <v>31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SUMIF(F7:F37,"NB*",G7:G37)</f>
        <v>0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SUMIF(F7:F37,"Ve*",G7:G37)</f>
        <v>0</v>
      </c>
    </row>
    <row r="5" spans="1:11" ht="15.75" x14ac:dyDescent="0.25">
      <c r="A5" s="35" t="s">
        <v>37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31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23" t="s">
        <v>38</v>
      </c>
      <c r="C7" s="10" t="s">
        <v>20</v>
      </c>
      <c r="D7" s="9" t="s">
        <v>39</v>
      </c>
      <c r="E7" s="12">
        <v>43165</v>
      </c>
      <c r="F7" s="21" t="s">
        <v>24</v>
      </c>
      <c r="G7" s="17">
        <v>1</v>
      </c>
      <c r="H7" s="16"/>
      <c r="I7" s="16"/>
      <c r="J7" s="16"/>
      <c r="K7" s="1"/>
    </row>
    <row r="8" spans="1:11" ht="15" customHeight="1" x14ac:dyDescent="0.25">
      <c r="A8" s="15">
        <f>+A7+1</f>
        <v>2</v>
      </c>
      <c r="B8" s="23" t="s">
        <v>42</v>
      </c>
      <c r="C8" s="10" t="s">
        <v>20</v>
      </c>
      <c r="D8" s="9" t="s">
        <v>43</v>
      </c>
      <c r="E8" s="12">
        <v>43165</v>
      </c>
      <c r="F8" s="21" t="s">
        <v>24</v>
      </c>
      <c r="G8" s="17">
        <v>1</v>
      </c>
      <c r="H8" s="26"/>
      <c r="I8" s="2"/>
      <c r="J8" s="2"/>
      <c r="K8" s="1"/>
    </row>
    <row r="9" spans="1:11" ht="15" customHeight="1" x14ac:dyDescent="0.25">
      <c r="A9" s="15">
        <f t="shared" ref="A9:A37" si="0">+A8+1</f>
        <v>3</v>
      </c>
      <c r="B9" s="23" t="s">
        <v>44</v>
      </c>
      <c r="C9" s="10" t="s">
        <v>20</v>
      </c>
      <c r="D9" s="9" t="s">
        <v>45</v>
      </c>
      <c r="E9" s="12">
        <v>43165</v>
      </c>
      <c r="F9" s="21" t="s">
        <v>24</v>
      </c>
      <c r="G9" s="17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3" t="s">
        <v>40</v>
      </c>
      <c r="C10" s="10" t="s">
        <v>20</v>
      </c>
      <c r="D10" s="9" t="s">
        <v>41</v>
      </c>
      <c r="E10" s="12">
        <v>43165</v>
      </c>
      <c r="F10" s="21" t="s">
        <v>24</v>
      </c>
      <c r="G10" s="17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3" t="s">
        <v>50</v>
      </c>
      <c r="C11" s="10" t="s">
        <v>20</v>
      </c>
      <c r="D11" s="23" t="s">
        <v>51</v>
      </c>
      <c r="E11" s="12">
        <v>43165</v>
      </c>
      <c r="F11" s="24" t="s">
        <v>24</v>
      </c>
      <c r="G11" s="17">
        <v>1</v>
      </c>
      <c r="H11" s="27"/>
      <c r="I11" s="2"/>
      <c r="J11" s="2"/>
      <c r="K11" s="1"/>
    </row>
    <row r="12" spans="1:11" ht="15" customHeight="1" x14ac:dyDescent="0.25">
      <c r="A12" s="15">
        <f t="shared" si="0"/>
        <v>6</v>
      </c>
      <c r="B12" s="23" t="s">
        <v>48</v>
      </c>
      <c r="C12" s="10" t="s">
        <v>20</v>
      </c>
      <c r="D12" s="23" t="s">
        <v>49</v>
      </c>
      <c r="E12" s="12">
        <v>43165</v>
      </c>
      <c r="F12" s="24" t="s">
        <v>24</v>
      </c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 t="s">
        <v>46</v>
      </c>
      <c r="C13" s="10" t="s">
        <v>20</v>
      </c>
      <c r="D13" s="9" t="s">
        <v>47</v>
      </c>
      <c r="E13" s="12">
        <v>43166</v>
      </c>
      <c r="F13" s="21" t="s">
        <v>24</v>
      </c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 t="s">
        <v>52</v>
      </c>
      <c r="C14" s="10" t="s">
        <v>20</v>
      </c>
      <c r="D14" s="23" t="s">
        <v>53</v>
      </c>
      <c r="E14" s="12">
        <v>43167</v>
      </c>
      <c r="F14" s="24" t="s">
        <v>24</v>
      </c>
      <c r="G14" s="17">
        <v>1</v>
      </c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23" t="s">
        <v>58</v>
      </c>
      <c r="C15" s="10" t="s">
        <v>20</v>
      </c>
      <c r="D15" s="23" t="s">
        <v>59</v>
      </c>
      <c r="E15" s="12">
        <v>43167</v>
      </c>
      <c r="F15" s="24" t="s">
        <v>24</v>
      </c>
      <c r="G15" s="17">
        <v>1</v>
      </c>
      <c r="H15" s="30"/>
      <c r="I15" s="2"/>
      <c r="J15" s="2"/>
    </row>
    <row r="16" spans="1:11" ht="15" customHeight="1" x14ac:dyDescent="0.25">
      <c r="A16" s="15">
        <f t="shared" si="0"/>
        <v>10</v>
      </c>
      <c r="B16" s="23" t="s">
        <v>54</v>
      </c>
      <c r="C16" s="10" t="s">
        <v>20</v>
      </c>
      <c r="D16" s="23" t="s">
        <v>55</v>
      </c>
      <c r="E16" s="12">
        <v>43167</v>
      </c>
      <c r="F16" s="24" t="s">
        <v>24</v>
      </c>
      <c r="G16" s="17">
        <v>1</v>
      </c>
      <c r="H16" s="30"/>
      <c r="I16" s="2"/>
      <c r="J16" s="2"/>
    </row>
    <row r="17" spans="1:10" ht="15" customHeight="1" x14ac:dyDescent="0.25">
      <c r="A17" s="15">
        <f t="shared" si="0"/>
        <v>11</v>
      </c>
      <c r="B17" s="23" t="s">
        <v>56</v>
      </c>
      <c r="C17" s="10" t="s">
        <v>20</v>
      </c>
      <c r="D17" s="23" t="s">
        <v>57</v>
      </c>
      <c r="E17" s="12">
        <v>43167</v>
      </c>
      <c r="F17" s="24" t="s">
        <v>24</v>
      </c>
      <c r="G17" s="17">
        <v>1</v>
      </c>
      <c r="H17" s="29"/>
      <c r="I17" s="2"/>
      <c r="J17" s="2"/>
    </row>
    <row r="18" spans="1:10" ht="15" customHeight="1" x14ac:dyDescent="0.25">
      <c r="A18" s="15">
        <f t="shared" si="0"/>
        <v>12</v>
      </c>
      <c r="B18" s="23" t="s">
        <v>60</v>
      </c>
      <c r="C18" s="10" t="s">
        <v>20</v>
      </c>
      <c r="D18" s="23" t="s">
        <v>61</v>
      </c>
      <c r="E18" s="12">
        <v>43171</v>
      </c>
      <c r="F18" s="24" t="s">
        <v>24</v>
      </c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 t="s">
        <v>62</v>
      </c>
      <c r="C19" s="10" t="s">
        <v>20</v>
      </c>
      <c r="D19" s="23" t="s">
        <v>63</v>
      </c>
      <c r="E19" s="12">
        <v>43171</v>
      </c>
      <c r="F19" s="24" t="s">
        <v>24</v>
      </c>
      <c r="G19" s="17">
        <v>1</v>
      </c>
      <c r="H19" s="28"/>
      <c r="I19" s="2"/>
      <c r="J19" s="2"/>
    </row>
    <row r="20" spans="1:10" ht="15" customHeight="1" x14ac:dyDescent="0.25">
      <c r="A20" s="15">
        <f t="shared" si="0"/>
        <v>14</v>
      </c>
      <c r="B20" s="23" t="s">
        <v>72</v>
      </c>
      <c r="C20" s="10" t="s">
        <v>20</v>
      </c>
      <c r="D20" s="23" t="s">
        <v>73</v>
      </c>
      <c r="E20" s="12">
        <v>43173</v>
      </c>
      <c r="F20" s="24" t="s">
        <v>24</v>
      </c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 t="s">
        <v>64</v>
      </c>
      <c r="C21" s="10" t="s">
        <v>20</v>
      </c>
      <c r="D21" s="23" t="s">
        <v>65</v>
      </c>
      <c r="E21" s="12">
        <v>43173</v>
      </c>
      <c r="F21" s="24" t="s">
        <v>24</v>
      </c>
      <c r="G21" s="17">
        <v>1</v>
      </c>
      <c r="H21" s="28"/>
      <c r="I21" s="2"/>
      <c r="J21" s="2"/>
    </row>
    <row r="22" spans="1:10" ht="15" customHeight="1" x14ac:dyDescent="0.25">
      <c r="A22" s="15">
        <f t="shared" si="0"/>
        <v>16</v>
      </c>
      <c r="B22" s="23" t="s">
        <v>66</v>
      </c>
      <c r="C22" s="10" t="s">
        <v>20</v>
      </c>
      <c r="D22" s="23" t="s">
        <v>67</v>
      </c>
      <c r="E22" s="12">
        <v>43173</v>
      </c>
      <c r="F22" s="24" t="s">
        <v>24</v>
      </c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 t="s">
        <v>70</v>
      </c>
      <c r="C23" s="10" t="s">
        <v>20</v>
      </c>
      <c r="D23" s="23" t="s">
        <v>71</v>
      </c>
      <c r="E23" s="12">
        <v>43174</v>
      </c>
      <c r="F23" s="24" t="s">
        <v>24</v>
      </c>
      <c r="G23" s="17">
        <v>1</v>
      </c>
      <c r="H23" s="29"/>
      <c r="I23" s="2"/>
      <c r="J23" s="2"/>
    </row>
    <row r="24" spans="1:10" ht="15" customHeight="1" x14ac:dyDescent="0.25">
      <c r="A24" s="15">
        <f t="shared" si="0"/>
        <v>18</v>
      </c>
      <c r="B24" s="23" t="s">
        <v>68</v>
      </c>
      <c r="C24" s="10" t="s">
        <v>20</v>
      </c>
      <c r="D24" s="23" t="s">
        <v>69</v>
      </c>
      <c r="E24" s="12">
        <v>43174</v>
      </c>
      <c r="F24" s="24" t="s">
        <v>24</v>
      </c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 t="s">
        <v>74</v>
      </c>
      <c r="C25" s="10" t="s">
        <v>20</v>
      </c>
      <c r="D25" s="9" t="s">
        <v>75</v>
      </c>
      <c r="E25" s="12">
        <v>43178</v>
      </c>
      <c r="F25" s="21" t="s">
        <v>24</v>
      </c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 t="s">
        <v>76</v>
      </c>
      <c r="C26" s="10" t="s">
        <v>20</v>
      </c>
      <c r="D26" s="9" t="s">
        <v>77</v>
      </c>
      <c r="E26" s="12">
        <v>43178</v>
      </c>
      <c r="F26" s="21" t="s">
        <v>24</v>
      </c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 t="s">
        <v>78</v>
      </c>
      <c r="C27" s="10" t="s">
        <v>20</v>
      </c>
      <c r="D27" s="9" t="s">
        <v>79</v>
      </c>
      <c r="E27" s="12">
        <v>43184</v>
      </c>
      <c r="F27" s="21" t="s">
        <v>24</v>
      </c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 t="s">
        <v>86</v>
      </c>
      <c r="C28" s="10" t="s">
        <v>20</v>
      </c>
      <c r="D28" s="9" t="s">
        <v>87</v>
      </c>
      <c r="E28" s="12">
        <v>43186</v>
      </c>
      <c r="F28" s="21" t="s">
        <v>24</v>
      </c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3" t="s">
        <v>82</v>
      </c>
      <c r="C29" s="10" t="s">
        <v>20</v>
      </c>
      <c r="D29" s="9" t="s">
        <v>83</v>
      </c>
      <c r="E29" s="12">
        <v>43186</v>
      </c>
      <c r="F29" s="21" t="s">
        <v>24</v>
      </c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23" t="s">
        <v>84</v>
      </c>
      <c r="C30" s="10" t="s">
        <v>20</v>
      </c>
      <c r="D30" s="9" t="s">
        <v>85</v>
      </c>
      <c r="E30" s="12">
        <v>43186</v>
      </c>
      <c r="F30" s="21" t="s">
        <v>24</v>
      </c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 t="s">
        <v>80</v>
      </c>
      <c r="C31" s="10" t="s">
        <v>20</v>
      </c>
      <c r="D31" s="9" t="s">
        <v>81</v>
      </c>
      <c r="E31" s="12">
        <v>43186</v>
      </c>
      <c r="F31" s="21" t="s">
        <v>24</v>
      </c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 t="s">
        <v>88</v>
      </c>
      <c r="C32" s="10" t="s">
        <v>20</v>
      </c>
      <c r="D32" s="9" t="s">
        <v>89</v>
      </c>
      <c r="E32" s="12">
        <v>43186</v>
      </c>
      <c r="F32" s="21" t="s">
        <v>24</v>
      </c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 t="s">
        <v>92</v>
      </c>
      <c r="C33" s="10" t="s">
        <v>20</v>
      </c>
      <c r="D33" s="9" t="s">
        <v>93</v>
      </c>
      <c r="E33" s="12">
        <v>43187</v>
      </c>
      <c r="F33" s="21" t="s">
        <v>24</v>
      </c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 t="s">
        <v>90</v>
      </c>
      <c r="C34" s="10" t="s">
        <v>20</v>
      </c>
      <c r="D34" s="9" t="s">
        <v>91</v>
      </c>
      <c r="E34" s="12">
        <v>43187</v>
      </c>
      <c r="F34" s="21" t="s">
        <v>24</v>
      </c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 t="s">
        <v>94</v>
      </c>
      <c r="C35" s="10" t="s">
        <v>20</v>
      </c>
      <c r="D35" s="9" t="s">
        <v>95</v>
      </c>
      <c r="E35" s="12">
        <v>43188</v>
      </c>
      <c r="F35" s="21" t="s">
        <v>24</v>
      </c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 t="s">
        <v>96</v>
      </c>
      <c r="C36" s="10" t="s">
        <v>20</v>
      </c>
      <c r="D36" s="9" t="s">
        <v>97</v>
      </c>
      <c r="E36" s="12">
        <v>43188</v>
      </c>
      <c r="F36" s="21" t="s">
        <v>24</v>
      </c>
      <c r="G36" s="17">
        <v>1</v>
      </c>
      <c r="H36" s="1"/>
      <c r="I36" s="1"/>
      <c r="J36" s="1"/>
    </row>
    <row r="37" spans="1:10" ht="15" customHeight="1" x14ac:dyDescent="0.25">
      <c r="A37" s="15">
        <f t="shared" si="0"/>
        <v>31</v>
      </c>
      <c r="B37" s="23" t="s">
        <v>98</v>
      </c>
      <c r="C37" s="10" t="s">
        <v>20</v>
      </c>
      <c r="D37" s="9" t="s">
        <v>99</v>
      </c>
      <c r="E37" s="12">
        <v>43188</v>
      </c>
      <c r="F37" s="21" t="s">
        <v>24</v>
      </c>
      <c r="G37" s="17">
        <v>1</v>
      </c>
      <c r="H37" s="1"/>
      <c r="I37" s="1"/>
      <c r="J37" s="1"/>
    </row>
  </sheetData>
  <sortState ref="B7:F37">
    <sortCondition ref="E7:E37"/>
    <sortCondition ref="D7:D3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selection activeCell="D11" sqref="D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5" max="5" width="10.85546875" customWidth="1"/>
    <col min="6" max="6" width="19.7109375" customWidth="1"/>
    <col min="7" max="7" width="1.8554687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SUMIF(F7:F37,"Elimination*",G7:G37)</f>
        <v>6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SUMIF(F7:F37,"NB*",G7:G37)</f>
        <v>0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SUMIF(F7:F37,"Ve*",G7:G37)</f>
        <v>0</v>
      </c>
    </row>
    <row r="5" spans="1:11" ht="15.75" x14ac:dyDescent="0.25">
      <c r="A5" s="35" t="s">
        <v>110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6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23" t="s">
        <v>100</v>
      </c>
      <c r="C7" s="10" t="s">
        <v>20</v>
      </c>
      <c r="D7" s="9" t="s">
        <v>101</v>
      </c>
      <c r="E7" s="12">
        <v>43191</v>
      </c>
      <c r="F7" s="21" t="s">
        <v>24</v>
      </c>
      <c r="G7" s="17">
        <v>1</v>
      </c>
      <c r="H7" s="16"/>
      <c r="I7" s="16"/>
      <c r="J7" s="16"/>
      <c r="K7" s="1"/>
    </row>
    <row r="8" spans="1:11" ht="15" customHeight="1" x14ac:dyDescent="0.25">
      <c r="A8" s="15">
        <f>+A7+1</f>
        <v>2</v>
      </c>
      <c r="B8" s="23" t="s">
        <v>102</v>
      </c>
      <c r="C8" s="10" t="s">
        <v>20</v>
      </c>
      <c r="D8" s="9" t="s">
        <v>103</v>
      </c>
      <c r="E8" s="12">
        <v>43194</v>
      </c>
      <c r="F8" s="21" t="s">
        <v>24</v>
      </c>
      <c r="G8" s="17">
        <v>1</v>
      </c>
      <c r="H8" s="26"/>
      <c r="I8" s="2"/>
      <c r="J8" s="2"/>
      <c r="K8" s="1"/>
    </row>
    <row r="9" spans="1:11" ht="15" customHeight="1" x14ac:dyDescent="0.25">
      <c r="A9" s="15">
        <f t="shared" ref="A9:A37" si="0">+A8+1</f>
        <v>3</v>
      </c>
      <c r="B9" s="23" t="s">
        <v>104</v>
      </c>
      <c r="C9" s="10" t="s">
        <v>20</v>
      </c>
      <c r="D9" s="9" t="s">
        <v>105</v>
      </c>
      <c r="E9" s="12">
        <v>43206</v>
      </c>
      <c r="F9" s="21" t="s">
        <v>24</v>
      </c>
      <c r="G9" s="17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3" t="s">
        <v>108</v>
      </c>
      <c r="C10" s="10" t="s">
        <v>20</v>
      </c>
      <c r="D10" s="23" t="s">
        <v>109</v>
      </c>
      <c r="E10" s="12">
        <v>43206</v>
      </c>
      <c r="F10" s="24" t="s">
        <v>24</v>
      </c>
      <c r="G10" s="17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3" t="s">
        <v>106</v>
      </c>
      <c r="C11" s="10" t="s">
        <v>20</v>
      </c>
      <c r="D11" s="9" t="s">
        <v>107</v>
      </c>
      <c r="E11" s="12">
        <v>43206</v>
      </c>
      <c r="F11" s="21" t="s">
        <v>24</v>
      </c>
      <c r="G11" s="17">
        <v>1</v>
      </c>
      <c r="H11" s="27"/>
      <c r="I11" s="2"/>
      <c r="J11" s="2"/>
      <c r="K11" s="1"/>
    </row>
    <row r="12" spans="1:11" ht="15" customHeight="1" x14ac:dyDescent="0.25">
      <c r="A12" s="15">
        <f t="shared" si="0"/>
        <v>6</v>
      </c>
      <c r="B12" s="23" t="s">
        <v>111</v>
      </c>
      <c r="C12" s="10" t="s">
        <v>20</v>
      </c>
      <c r="D12" s="23" t="s">
        <v>112</v>
      </c>
      <c r="E12" s="12">
        <v>43207</v>
      </c>
      <c r="F12" s="24" t="s">
        <v>24</v>
      </c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/>
      <c r="C13" s="10"/>
      <c r="D13" s="9"/>
      <c r="E13" s="12"/>
      <c r="F13" s="21"/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/>
      <c r="C14" s="10"/>
      <c r="D14" s="23"/>
      <c r="E14" s="12"/>
      <c r="F14" s="24"/>
      <c r="G14" s="17">
        <v>1</v>
      </c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23"/>
      <c r="C15" s="10"/>
      <c r="D15" s="23"/>
      <c r="E15" s="12"/>
      <c r="F15" s="24"/>
      <c r="G15" s="17">
        <v>1</v>
      </c>
      <c r="H15" s="30"/>
      <c r="I15" s="2"/>
      <c r="J15" s="2"/>
    </row>
    <row r="16" spans="1:11" ht="15" customHeight="1" x14ac:dyDescent="0.25">
      <c r="A16" s="15">
        <f t="shared" si="0"/>
        <v>10</v>
      </c>
      <c r="B16" s="23"/>
      <c r="C16" s="10"/>
      <c r="D16" s="23"/>
      <c r="E16" s="12"/>
      <c r="F16" s="24"/>
      <c r="G16" s="17">
        <v>1</v>
      </c>
      <c r="H16" s="30"/>
      <c r="I16" s="2"/>
      <c r="J16" s="2"/>
    </row>
    <row r="17" spans="1:10" ht="15" customHeight="1" x14ac:dyDescent="0.25">
      <c r="A17" s="15">
        <f t="shared" si="0"/>
        <v>11</v>
      </c>
      <c r="B17" s="23"/>
      <c r="C17" s="10"/>
      <c r="D17" s="23"/>
      <c r="E17" s="12"/>
      <c r="F17" s="24"/>
      <c r="G17" s="17">
        <v>1</v>
      </c>
      <c r="H17" s="29"/>
      <c r="I17" s="2"/>
      <c r="J17" s="2"/>
    </row>
    <row r="18" spans="1:10" ht="15" customHeight="1" x14ac:dyDescent="0.25">
      <c r="A18" s="15">
        <f t="shared" si="0"/>
        <v>12</v>
      </c>
      <c r="B18" s="23"/>
      <c r="C18" s="10"/>
      <c r="D18" s="23"/>
      <c r="E18" s="12"/>
      <c r="F18" s="24"/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23"/>
      <c r="E19" s="12"/>
      <c r="F19" s="24"/>
      <c r="G19" s="17">
        <v>1</v>
      </c>
      <c r="H19" s="28"/>
      <c r="I19" s="2"/>
      <c r="J19" s="2"/>
    </row>
    <row r="20" spans="1:10" ht="15" customHeight="1" x14ac:dyDescent="0.25">
      <c r="A20" s="15">
        <f t="shared" si="0"/>
        <v>14</v>
      </c>
      <c r="B20" s="23"/>
      <c r="C20" s="10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0"/>
      <c r="D21" s="23"/>
      <c r="E21" s="12"/>
      <c r="F21" s="24"/>
      <c r="G21" s="17">
        <v>1</v>
      </c>
      <c r="H21" s="28"/>
      <c r="I21" s="2"/>
      <c r="J21" s="2"/>
    </row>
    <row r="22" spans="1:10" ht="15" customHeight="1" x14ac:dyDescent="0.25">
      <c r="A22" s="15">
        <f t="shared" si="0"/>
        <v>16</v>
      </c>
      <c r="B22" s="23"/>
      <c r="C22" s="10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0"/>
      <c r="D23" s="23"/>
      <c r="E23" s="12"/>
      <c r="F23" s="24"/>
      <c r="G23" s="17">
        <v>1</v>
      </c>
      <c r="H23" s="29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23"/>
      <c r="E24" s="12"/>
      <c r="F24" s="24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/>
      <c r="C36" s="10"/>
      <c r="D36" s="9"/>
      <c r="E36" s="12"/>
      <c r="F36" s="21"/>
      <c r="G36" s="17">
        <v>1</v>
      </c>
      <c r="H36" s="1"/>
      <c r="I36" s="1"/>
      <c r="J36" s="1"/>
    </row>
    <row r="37" spans="1:10" ht="15" customHeight="1" x14ac:dyDescent="0.25">
      <c r="A37" s="15">
        <f t="shared" si="0"/>
        <v>31</v>
      </c>
      <c r="B37" s="23"/>
      <c r="C37" s="10"/>
      <c r="D37" s="9"/>
      <c r="E37" s="12"/>
      <c r="F37" s="21"/>
      <c r="G37" s="17">
        <v>1</v>
      </c>
      <c r="H37" s="1"/>
      <c r="I37" s="1"/>
      <c r="J37" s="1"/>
    </row>
  </sheetData>
  <sortState ref="B7:F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5" max="5" width="10.85546875" customWidth="1"/>
    <col min="6" max="6" width="19.7109375" customWidth="1"/>
    <col min="7" max="7" width="1.8554687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SUMIF(F7:F37,"Elimination*",G7:G37)</f>
        <v>0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SUMIF(F7:F37,"NB*",G7:G37)</f>
        <v>0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SUMIF(F7:F37,"Ve*",G7:G37)</f>
        <v>0</v>
      </c>
    </row>
    <row r="5" spans="1:11" ht="15.75" x14ac:dyDescent="0.25">
      <c r="A5" s="35" t="s">
        <v>113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23"/>
      <c r="C7" s="10"/>
      <c r="D7" s="9"/>
      <c r="E7" s="12"/>
      <c r="F7" s="21"/>
      <c r="G7" s="17">
        <v>1</v>
      </c>
      <c r="H7" s="16"/>
      <c r="I7" s="16"/>
      <c r="J7" s="16"/>
      <c r="K7" s="1"/>
    </row>
    <row r="8" spans="1:11" ht="15" customHeight="1" x14ac:dyDescent="0.25">
      <c r="A8" s="15">
        <f>+A7+1</f>
        <v>2</v>
      </c>
      <c r="B8" s="23"/>
      <c r="C8" s="10"/>
      <c r="D8" s="9"/>
      <c r="E8" s="12"/>
      <c r="F8" s="21"/>
      <c r="G8" s="17">
        <v>1</v>
      </c>
      <c r="H8" s="26"/>
      <c r="I8" s="2"/>
      <c r="J8" s="2"/>
      <c r="K8" s="1"/>
    </row>
    <row r="9" spans="1:11" ht="15" customHeight="1" x14ac:dyDescent="0.25">
      <c r="A9" s="15">
        <f t="shared" ref="A9:A37" si="0">+A8+1</f>
        <v>3</v>
      </c>
      <c r="B9" s="23"/>
      <c r="C9" s="10"/>
      <c r="D9" s="9"/>
      <c r="E9" s="12"/>
      <c r="F9" s="21"/>
      <c r="G9" s="17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3"/>
      <c r="C10" s="10"/>
      <c r="D10" s="23"/>
      <c r="E10" s="12"/>
      <c r="F10" s="24"/>
      <c r="G10" s="17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3"/>
      <c r="C11" s="10"/>
      <c r="D11" s="9"/>
      <c r="E11" s="12"/>
      <c r="F11" s="21"/>
      <c r="G11" s="17">
        <v>1</v>
      </c>
      <c r="H11" s="27"/>
      <c r="I11" s="2"/>
      <c r="J11" s="2"/>
      <c r="K11" s="1"/>
    </row>
    <row r="12" spans="1:11" ht="15" customHeight="1" x14ac:dyDescent="0.25">
      <c r="A12" s="15">
        <f t="shared" si="0"/>
        <v>6</v>
      </c>
      <c r="B12" s="23"/>
      <c r="C12" s="10"/>
      <c r="D12" s="23"/>
      <c r="E12" s="12"/>
      <c r="F12" s="24"/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/>
      <c r="C13" s="10"/>
      <c r="D13" s="9"/>
      <c r="E13" s="12"/>
      <c r="F13" s="21"/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/>
      <c r="C14" s="10"/>
      <c r="D14" s="23"/>
      <c r="E14" s="12"/>
      <c r="F14" s="24"/>
      <c r="G14" s="17">
        <v>1</v>
      </c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23"/>
      <c r="C15" s="10"/>
      <c r="D15" s="23"/>
      <c r="E15" s="12"/>
      <c r="F15" s="24"/>
      <c r="G15" s="17">
        <v>1</v>
      </c>
      <c r="H15" s="30"/>
      <c r="I15" s="2"/>
      <c r="J15" s="2"/>
    </row>
    <row r="16" spans="1:11" ht="15" customHeight="1" x14ac:dyDescent="0.25">
      <c r="A16" s="15">
        <f t="shared" si="0"/>
        <v>10</v>
      </c>
      <c r="B16" s="23"/>
      <c r="C16" s="10"/>
      <c r="D16" s="23"/>
      <c r="E16" s="12"/>
      <c r="F16" s="24"/>
      <c r="G16" s="17">
        <v>1</v>
      </c>
      <c r="H16" s="30"/>
      <c r="I16" s="2"/>
      <c r="J16" s="2"/>
    </row>
    <row r="17" spans="1:10" ht="15" customHeight="1" x14ac:dyDescent="0.25">
      <c r="A17" s="15">
        <f t="shared" si="0"/>
        <v>11</v>
      </c>
      <c r="B17" s="23"/>
      <c r="C17" s="10"/>
      <c r="D17" s="23"/>
      <c r="E17" s="12"/>
      <c r="F17" s="24"/>
      <c r="G17" s="17">
        <v>1</v>
      </c>
      <c r="H17" s="29"/>
      <c r="I17" s="2"/>
      <c r="J17" s="2"/>
    </row>
    <row r="18" spans="1:10" ht="15" customHeight="1" x14ac:dyDescent="0.25">
      <c r="A18" s="15">
        <f t="shared" si="0"/>
        <v>12</v>
      </c>
      <c r="B18" s="23"/>
      <c r="C18" s="10"/>
      <c r="D18" s="23"/>
      <c r="E18" s="12"/>
      <c r="F18" s="24"/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23"/>
      <c r="E19" s="12"/>
      <c r="F19" s="24"/>
      <c r="G19" s="17">
        <v>1</v>
      </c>
      <c r="H19" s="28"/>
      <c r="I19" s="2"/>
      <c r="J19" s="2"/>
    </row>
    <row r="20" spans="1:10" ht="15" customHeight="1" x14ac:dyDescent="0.25">
      <c r="A20" s="15">
        <f t="shared" si="0"/>
        <v>14</v>
      </c>
      <c r="B20" s="23"/>
      <c r="C20" s="10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0"/>
      <c r="D21" s="23"/>
      <c r="E21" s="12"/>
      <c r="F21" s="24"/>
      <c r="G21" s="17">
        <v>1</v>
      </c>
      <c r="H21" s="28"/>
      <c r="I21" s="2"/>
      <c r="J21" s="2"/>
    </row>
    <row r="22" spans="1:10" ht="15" customHeight="1" x14ac:dyDescent="0.25">
      <c r="A22" s="15">
        <f t="shared" si="0"/>
        <v>16</v>
      </c>
      <c r="B22" s="23"/>
      <c r="C22" s="10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0"/>
      <c r="D23" s="23"/>
      <c r="E23" s="12"/>
      <c r="F23" s="24"/>
      <c r="G23" s="17">
        <v>1</v>
      </c>
      <c r="H23" s="29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23"/>
      <c r="E24" s="12"/>
      <c r="F24" s="24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/>
      <c r="C36" s="10"/>
      <c r="D36" s="9"/>
      <c r="E36" s="12"/>
      <c r="F36" s="21"/>
      <c r="G36" s="17">
        <v>1</v>
      </c>
      <c r="H36" s="1"/>
      <c r="I36" s="1"/>
      <c r="J36" s="1"/>
    </row>
    <row r="37" spans="1:10" ht="15" customHeight="1" x14ac:dyDescent="0.25">
      <c r="A37" s="15">
        <f t="shared" si="0"/>
        <v>31</v>
      </c>
      <c r="B37" s="23"/>
      <c r="C37" s="10"/>
      <c r="D37" s="9"/>
      <c r="E37" s="12"/>
      <c r="F37" s="21"/>
      <c r="G37" s="17">
        <v>1</v>
      </c>
      <c r="H37" s="1"/>
      <c r="I37" s="1"/>
      <c r="J37" s="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A4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9.7109375" customWidth="1"/>
    <col min="7" max="7" width="1.8554687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SUMIF(F7:F37,"Elimination*",G7:G37)</f>
        <v>1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SUMIF(F7:F37,"NB*",G7:G37)</f>
        <v>1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SUMIF(F7:F37,"Ve*",G7:G37)</f>
        <v>0</v>
      </c>
    </row>
    <row r="5" spans="1:11" ht="15.75" x14ac:dyDescent="0.25">
      <c r="A5" s="35" t="s">
        <v>114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23" t="s">
        <v>116</v>
      </c>
      <c r="C7" s="10" t="s">
        <v>115</v>
      </c>
      <c r="D7" s="10">
        <v>2017001084</v>
      </c>
      <c r="E7" s="12">
        <v>43269</v>
      </c>
      <c r="F7" s="21" t="s">
        <v>24</v>
      </c>
      <c r="G7" s="17">
        <v>1</v>
      </c>
      <c r="H7" s="16"/>
      <c r="I7" s="16"/>
      <c r="J7" s="16"/>
      <c r="K7" s="1"/>
    </row>
    <row r="8" spans="1:11" ht="15" customHeight="1" x14ac:dyDescent="0.25">
      <c r="A8" s="15">
        <f>+A7+1</f>
        <v>2</v>
      </c>
      <c r="B8" s="23" t="s">
        <v>117</v>
      </c>
      <c r="C8" s="10" t="s">
        <v>20</v>
      </c>
      <c r="D8" s="10">
        <v>2017128853</v>
      </c>
      <c r="E8" s="12">
        <v>43262</v>
      </c>
      <c r="F8" s="21" t="s">
        <v>118</v>
      </c>
      <c r="G8" s="17">
        <v>1</v>
      </c>
      <c r="H8" s="26"/>
      <c r="I8" s="2"/>
      <c r="J8" s="2"/>
      <c r="K8" s="1"/>
    </row>
    <row r="9" spans="1:11" ht="15" customHeight="1" x14ac:dyDescent="0.25">
      <c r="A9" s="15">
        <f t="shared" ref="A9:A37" si="0">+A8+1</f>
        <v>3</v>
      </c>
      <c r="B9" s="23"/>
      <c r="C9" s="10"/>
      <c r="D9" s="9"/>
      <c r="E9" s="12"/>
      <c r="F9" s="21"/>
      <c r="G9" s="17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3"/>
      <c r="C10" s="10"/>
      <c r="D10" s="23"/>
      <c r="E10" s="12"/>
      <c r="F10" s="24"/>
      <c r="G10" s="17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3"/>
      <c r="C11" s="10"/>
      <c r="D11" s="9"/>
      <c r="E11" s="12"/>
      <c r="F11" s="21"/>
      <c r="G11" s="17">
        <v>1</v>
      </c>
      <c r="H11" s="27"/>
      <c r="I11" s="2"/>
      <c r="J11" s="2"/>
      <c r="K11" s="1"/>
    </row>
    <row r="12" spans="1:11" ht="15" customHeight="1" x14ac:dyDescent="0.25">
      <c r="A12" s="15">
        <f t="shared" si="0"/>
        <v>6</v>
      </c>
      <c r="B12" s="23"/>
      <c r="C12" s="10"/>
      <c r="D12" s="23"/>
      <c r="E12" s="12"/>
      <c r="F12" s="24"/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/>
      <c r="C13" s="10"/>
      <c r="D13" s="9"/>
      <c r="E13" s="12"/>
      <c r="F13" s="21"/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/>
      <c r="C14" s="10"/>
      <c r="D14" s="23"/>
      <c r="E14" s="12"/>
      <c r="F14" s="24"/>
      <c r="G14" s="17">
        <v>1</v>
      </c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23"/>
      <c r="C15" s="10"/>
      <c r="D15" s="23"/>
      <c r="E15" s="12"/>
      <c r="F15" s="24"/>
      <c r="G15" s="17">
        <v>1</v>
      </c>
      <c r="H15" s="30"/>
      <c r="I15" s="2"/>
      <c r="J15" s="2"/>
    </row>
    <row r="16" spans="1:11" ht="15" customHeight="1" x14ac:dyDescent="0.25">
      <c r="A16" s="15">
        <f t="shared" si="0"/>
        <v>10</v>
      </c>
      <c r="B16" s="23"/>
      <c r="C16" s="10"/>
      <c r="D16" s="23"/>
      <c r="E16" s="12"/>
      <c r="F16" s="24"/>
      <c r="G16" s="17">
        <v>1</v>
      </c>
      <c r="H16" s="30"/>
      <c r="I16" s="2"/>
      <c r="J16" s="2"/>
    </row>
    <row r="17" spans="1:10" ht="15" customHeight="1" x14ac:dyDescent="0.25">
      <c r="A17" s="15">
        <f t="shared" si="0"/>
        <v>11</v>
      </c>
      <c r="B17" s="23"/>
      <c r="C17" s="10"/>
      <c r="D17" s="23"/>
      <c r="E17" s="12"/>
      <c r="F17" s="24"/>
      <c r="G17" s="17">
        <v>1</v>
      </c>
      <c r="H17" s="29"/>
      <c r="I17" s="2"/>
      <c r="J17" s="2"/>
    </row>
    <row r="18" spans="1:10" ht="15" customHeight="1" x14ac:dyDescent="0.25">
      <c r="A18" s="15">
        <f t="shared" si="0"/>
        <v>12</v>
      </c>
      <c r="B18" s="23"/>
      <c r="C18" s="10"/>
      <c r="D18" s="23"/>
      <c r="E18" s="12"/>
      <c r="F18" s="24"/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23"/>
      <c r="E19" s="12"/>
      <c r="F19" s="24"/>
      <c r="G19" s="17">
        <v>1</v>
      </c>
      <c r="H19" s="28"/>
      <c r="I19" s="2"/>
      <c r="J19" s="2"/>
    </row>
    <row r="20" spans="1:10" ht="15" customHeight="1" x14ac:dyDescent="0.25">
      <c r="A20" s="15">
        <f t="shared" si="0"/>
        <v>14</v>
      </c>
      <c r="B20" s="23"/>
      <c r="C20" s="10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0"/>
      <c r="D21" s="23"/>
      <c r="E21" s="12"/>
      <c r="F21" s="24"/>
      <c r="G21" s="17">
        <v>1</v>
      </c>
      <c r="H21" s="28"/>
      <c r="I21" s="2"/>
      <c r="J21" s="2"/>
    </row>
    <row r="22" spans="1:10" ht="15" customHeight="1" x14ac:dyDescent="0.25">
      <c r="A22" s="15">
        <f t="shared" si="0"/>
        <v>16</v>
      </c>
      <c r="B22" s="23"/>
      <c r="C22" s="10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0"/>
      <c r="D23" s="23"/>
      <c r="E23" s="12"/>
      <c r="F23" s="24"/>
      <c r="G23" s="17">
        <v>1</v>
      </c>
      <c r="H23" s="29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23"/>
      <c r="E24" s="12"/>
      <c r="F24" s="24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/>
      <c r="C36" s="10"/>
      <c r="D36" s="9"/>
      <c r="E36" s="12"/>
      <c r="F36" s="21"/>
      <c r="G36" s="17">
        <v>1</v>
      </c>
      <c r="H36" s="1"/>
      <c r="I36" s="1"/>
      <c r="J36" s="1"/>
    </row>
    <row r="37" spans="1:10" ht="15" customHeight="1" x14ac:dyDescent="0.25">
      <c r="A37" s="15">
        <f t="shared" si="0"/>
        <v>31</v>
      </c>
      <c r="B37" s="23"/>
      <c r="C37" s="10"/>
      <c r="D37" s="9"/>
      <c r="E37" s="12"/>
      <c r="F37" s="21"/>
      <c r="G37" s="17">
        <v>1</v>
      </c>
      <c r="H37" s="1"/>
      <c r="I37" s="1"/>
      <c r="J37" s="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9.7109375" customWidth="1"/>
    <col min="7" max="7" width="1.8554687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SUMIF(F7:F37,"Elimination*",G7:G37)</f>
        <v>1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SUMIF(F7:F37,"NB*",G7:G37)</f>
        <v>3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SUMIF(F7:F37,"Ve*",G7:G37)</f>
        <v>0</v>
      </c>
    </row>
    <row r="5" spans="1:11" ht="15.75" x14ac:dyDescent="0.25">
      <c r="A5" s="35" t="s">
        <v>127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4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23" t="s">
        <v>119</v>
      </c>
      <c r="C7" s="10" t="s">
        <v>20</v>
      </c>
      <c r="D7" s="10">
        <v>2017128859</v>
      </c>
      <c r="E7" s="12">
        <v>43292</v>
      </c>
      <c r="F7" s="21" t="s">
        <v>24</v>
      </c>
      <c r="G7" s="17">
        <v>1</v>
      </c>
      <c r="H7" s="16"/>
      <c r="I7" s="16"/>
      <c r="J7" s="16"/>
      <c r="K7" s="1"/>
    </row>
    <row r="8" spans="1:11" ht="15" customHeight="1" x14ac:dyDescent="0.25">
      <c r="A8" s="15">
        <f>+A7+1</f>
        <v>2</v>
      </c>
      <c r="B8" s="23" t="s">
        <v>117</v>
      </c>
      <c r="C8" s="10" t="s">
        <v>20</v>
      </c>
      <c r="D8" s="10">
        <v>2017128856</v>
      </c>
      <c r="E8" s="12">
        <v>43292</v>
      </c>
      <c r="F8" s="21" t="s">
        <v>120</v>
      </c>
      <c r="G8" s="17">
        <v>1</v>
      </c>
      <c r="H8" s="26" t="s">
        <v>121</v>
      </c>
      <c r="I8" s="2"/>
      <c r="J8" s="2"/>
      <c r="K8" s="1"/>
    </row>
    <row r="9" spans="1:11" ht="15" customHeight="1" x14ac:dyDescent="0.25">
      <c r="A9" s="15">
        <f t="shared" ref="A9:A37" si="0">+A8+1</f>
        <v>3</v>
      </c>
      <c r="B9" s="23" t="s">
        <v>117</v>
      </c>
      <c r="C9" s="10" t="s">
        <v>20</v>
      </c>
      <c r="D9" s="9" t="s">
        <v>122</v>
      </c>
      <c r="E9" s="12">
        <v>43292</v>
      </c>
      <c r="F9" s="21" t="s">
        <v>120</v>
      </c>
      <c r="G9" s="17">
        <v>1</v>
      </c>
      <c r="H9" s="26" t="s">
        <v>123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3" t="s">
        <v>117</v>
      </c>
      <c r="C10" s="10" t="s">
        <v>20</v>
      </c>
      <c r="D10" s="23" t="s">
        <v>125</v>
      </c>
      <c r="E10" s="12">
        <v>43296</v>
      </c>
      <c r="F10" s="24" t="s">
        <v>126</v>
      </c>
      <c r="G10" s="17">
        <v>1</v>
      </c>
      <c r="H10" s="26" t="s">
        <v>124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3"/>
      <c r="C11" s="10"/>
      <c r="D11" s="9"/>
      <c r="E11" s="12"/>
      <c r="F11" s="21"/>
      <c r="G11" s="17">
        <v>1</v>
      </c>
      <c r="H11" s="27"/>
      <c r="I11" s="2"/>
      <c r="J11" s="2"/>
      <c r="K11" s="1"/>
    </row>
    <row r="12" spans="1:11" ht="15" customHeight="1" x14ac:dyDescent="0.25">
      <c r="A12" s="15">
        <f t="shared" si="0"/>
        <v>6</v>
      </c>
      <c r="B12" s="23"/>
      <c r="C12" s="10"/>
      <c r="D12" s="23"/>
      <c r="E12" s="12"/>
      <c r="F12" s="24"/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/>
      <c r="C13" s="10"/>
      <c r="D13" s="9"/>
      <c r="E13" s="12"/>
      <c r="F13" s="21"/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/>
      <c r="C14" s="10"/>
      <c r="D14" s="23"/>
      <c r="E14" s="12"/>
      <c r="F14" s="24"/>
      <c r="G14" s="17">
        <v>1</v>
      </c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23"/>
      <c r="C15" s="10"/>
      <c r="D15" s="23"/>
      <c r="E15" s="12"/>
      <c r="F15" s="24"/>
      <c r="G15" s="17">
        <v>1</v>
      </c>
      <c r="H15" s="30"/>
      <c r="I15" s="2"/>
      <c r="J15" s="2"/>
    </row>
    <row r="16" spans="1:11" ht="15" customHeight="1" x14ac:dyDescent="0.25">
      <c r="A16" s="15">
        <f t="shared" si="0"/>
        <v>10</v>
      </c>
      <c r="B16" s="23"/>
      <c r="C16" s="10"/>
      <c r="D16" s="23"/>
      <c r="E16" s="12"/>
      <c r="F16" s="24"/>
      <c r="G16" s="17">
        <v>1</v>
      </c>
      <c r="H16" s="30"/>
      <c r="I16" s="2"/>
      <c r="J16" s="2"/>
    </row>
    <row r="17" spans="1:10" ht="15" customHeight="1" x14ac:dyDescent="0.25">
      <c r="A17" s="15">
        <f t="shared" si="0"/>
        <v>11</v>
      </c>
      <c r="B17" s="23"/>
      <c r="C17" s="10"/>
      <c r="D17" s="23"/>
      <c r="E17" s="12"/>
      <c r="F17" s="24"/>
      <c r="G17" s="17">
        <v>1</v>
      </c>
      <c r="H17" s="29"/>
      <c r="I17" s="2"/>
      <c r="J17" s="2"/>
    </row>
    <row r="18" spans="1:10" ht="15" customHeight="1" x14ac:dyDescent="0.25">
      <c r="A18" s="15">
        <f t="shared" si="0"/>
        <v>12</v>
      </c>
      <c r="B18" s="23"/>
      <c r="C18" s="10"/>
      <c r="D18" s="23"/>
      <c r="E18" s="12"/>
      <c r="F18" s="24"/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23"/>
      <c r="E19" s="12"/>
      <c r="F19" s="24"/>
      <c r="G19" s="17">
        <v>1</v>
      </c>
      <c r="H19" s="28"/>
      <c r="I19" s="2"/>
      <c r="J19" s="2"/>
    </row>
    <row r="20" spans="1:10" ht="15" customHeight="1" x14ac:dyDescent="0.25">
      <c r="A20" s="15">
        <f t="shared" si="0"/>
        <v>14</v>
      </c>
      <c r="B20" s="23"/>
      <c r="C20" s="10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0"/>
      <c r="D21" s="23"/>
      <c r="E21" s="12"/>
      <c r="F21" s="24"/>
      <c r="G21" s="17">
        <v>1</v>
      </c>
      <c r="H21" s="28"/>
      <c r="I21" s="2"/>
      <c r="J21" s="2"/>
    </row>
    <row r="22" spans="1:10" ht="15" customHeight="1" x14ac:dyDescent="0.25">
      <c r="A22" s="15">
        <f t="shared" si="0"/>
        <v>16</v>
      </c>
      <c r="B22" s="23"/>
      <c r="C22" s="10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0"/>
      <c r="D23" s="23"/>
      <c r="E23" s="12"/>
      <c r="F23" s="24"/>
      <c r="G23" s="17">
        <v>1</v>
      </c>
      <c r="H23" s="29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23"/>
      <c r="E24" s="12"/>
      <c r="F24" s="24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/>
      <c r="C36" s="10"/>
      <c r="D36" s="9"/>
      <c r="E36" s="12"/>
      <c r="F36" s="21"/>
      <c r="G36" s="17">
        <v>1</v>
      </c>
      <c r="H36" s="1"/>
      <c r="I36" s="1"/>
      <c r="J36" s="1"/>
    </row>
    <row r="37" spans="1:10" ht="15" customHeight="1" x14ac:dyDescent="0.25">
      <c r="A37" s="15">
        <f t="shared" si="0"/>
        <v>31</v>
      </c>
      <c r="B37" s="23"/>
      <c r="C37" s="10"/>
      <c r="D37" s="9"/>
      <c r="E37" s="12"/>
      <c r="F37" s="21"/>
      <c r="G37" s="17">
        <v>1</v>
      </c>
      <c r="H37" s="1"/>
      <c r="I37" s="1"/>
      <c r="J37" s="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A19"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9.7109375" customWidth="1"/>
    <col min="7" max="7" width="1.8554687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SUMIF(F7:F37,"Elimination*",G7:G37)</f>
        <v>0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SUMIF(F7:F37,"NB*",G7:G37)</f>
        <v>0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SUMIF(F7:F37,"Ve*",G7:G37)</f>
        <v>0</v>
      </c>
    </row>
    <row r="5" spans="1:11" ht="15.75" x14ac:dyDescent="0.25">
      <c r="A5" s="35" t="s">
        <v>128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23"/>
      <c r="C7" s="10"/>
      <c r="D7" s="10"/>
      <c r="E7" s="12"/>
      <c r="F7" s="21"/>
      <c r="G7" s="17"/>
      <c r="H7" s="16"/>
      <c r="I7" s="16"/>
      <c r="J7" s="16"/>
      <c r="K7" s="1"/>
    </row>
    <row r="8" spans="1:11" ht="15" customHeight="1" x14ac:dyDescent="0.25">
      <c r="A8" s="15">
        <f>+A7+1</f>
        <v>2</v>
      </c>
      <c r="B8" s="23"/>
      <c r="C8" s="10"/>
      <c r="D8" s="10"/>
      <c r="E8" s="12"/>
      <c r="F8" s="21"/>
      <c r="G8" s="17"/>
      <c r="H8" s="26"/>
      <c r="I8" s="2"/>
      <c r="J8" s="2"/>
      <c r="K8" s="1"/>
    </row>
    <row r="9" spans="1:11" ht="15" customHeight="1" x14ac:dyDescent="0.25">
      <c r="A9" s="15">
        <f t="shared" ref="A9:A37" si="0">+A8+1</f>
        <v>3</v>
      </c>
      <c r="B9" s="23"/>
      <c r="C9" s="10"/>
      <c r="D9" s="9"/>
      <c r="E9" s="12"/>
      <c r="F9" s="21"/>
      <c r="G9" s="17"/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23"/>
      <c r="C10" s="10"/>
      <c r="D10" s="23"/>
      <c r="E10" s="12"/>
      <c r="F10" s="24"/>
      <c r="G10" s="17"/>
      <c r="H10" s="26"/>
      <c r="I10" s="2"/>
      <c r="J10" s="2"/>
      <c r="K10" s="1"/>
    </row>
    <row r="11" spans="1:11" ht="15" customHeight="1" x14ac:dyDescent="0.25">
      <c r="A11" s="15">
        <f t="shared" si="0"/>
        <v>5</v>
      </c>
      <c r="B11" s="23"/>
      <c r="C11" s="10"/>
      <c r="D11" s="9"/>
      <c r="E11" s="12"/>
      <c r="F11" s="21"/>
      <c r="G11" s="17"/>
      <c r="H11" s="27"/>
      <c r="I11" s="2"/>
      <c r="J11" s="2"/>
      <c r="K11" s="1"/>
    </row>
    <row r="12" spans="1:11" ht="15" customHeight="1" x14ac:dyDescent="0.25">
      <c r="A12" s="15">
        <f t="shared" si="0"/>
        <v>6</v>
      </c>
      <c r="B12" s="23"/>
      <c r="C12" s="10"/>
      <c r="D12" s="23"/>
      <c r="E12" s="12"/>
      <c r="F12" s="24"/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/>
      <c r="C13" s="10"/>
      <c r="D13" s="9"/>
      <c r="E13" s="12"/>
      <c r="F13" s="21"/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/>
      <c r="C14" s="10"/>
      <c r="D14" s="23"/>
      <c r="E14" s="12"/>
      <c r="F14" s="24"/>
      <c r="G14" s="17">
        <v>1</v>
      </c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23"/>
      <c r="C15" s="10"/>
      <c r="D15" s="23"/>
      <c r="E15" s="12"/>
      <c r="F15" s="24"/>
      <c r="G15" s="17">
        <v>1</v>
      </c>
      <c r="H15" s="30"/>
      <c r="I15" s="2"/>
      <c r="J15" s="2"/>
    </row>
    <row r="16" spans="1:11" ht="15" customHeight="1" x14ac:dyDescent="0.25">
      <c r="A16" s="15">
        <f t="shared" si="0"/>
        <v>10</v>
      </c>
      <c r="B16" s="23"/>
      <c r="C16" s="10"/>
      <c r="D16" s="23"/>
      <c r="E16" s="12"/>
      <c r="F16" s="24"/>
      <c r="G16" s="17">
        <v>1</v>
      </c>
      <c r="H16" s="30"/>
      <c r="I16" s="2"/>
      <c r="J16" s="2"/>
    </row>
    <row r="17" spans="1:10" ht="15" customHeight="1" x14ac:dyDescent="0.25">
      <c r="A17" s="15">
        <f t="shared" si="0"/>
        <v>11</v>
      </c>
      <c r="B17" s="23"/>
      <c r="C17" s="10"/>
      <c r="D17" s="23"/>
      <c r="E17" s="12"/>
      <c r="F17" s="24"/>
      <c r="G17" s="17">
        <v>1</v>
      </c>
      <c r="H17" s="29"/>
      <c r="I17" s="2"/>
      <c r="J17" s="2"/>
    </row>
    <row r="18" spans="1:10" ht="15" customHeight="1" x14ac:dyDescent="0.25">
      <c r="A18" s="15">
        <f t="shared" si="0"/>
        <v>12</v>
      </c>
      <c r="B18" s="23"/>
      <c r="C18" s="10"/>
      <c r="D18" s="23"/>
      <c r="E18" s="12"/>
      <c r="F18" s="24"/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23"/>
      <c r="E19" s="12"/>
      <c r="F19" s="24"/>
      <c r="G19" s="17">
        <v>1</v>
      </c>
      <c r="H19" s="28"/>
      <c r="I19" s="2"/>
      <c r="J19" s="2"/>
    </row>
    <row r="20" spans="1:10" ht="15" customHeight="1" x14ac:dyDescent="0.25">
      <c r="A20" s="15">
        <f t="shared" si="0"/>
        <v>14</v>
      </c>
      <c r="B20" s="23"/>
      <c r="C20" s="10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0"/>
      <c r="D21" s="23"/>
      <c r="E21" s="12"/>
      <c r="F21" s="24"/>
      <c r="G21" s="17">
        <v>1</v>
      </c>
      <c r="H21" s="28"/>
      <c r="I21" s="2"/>
      <c r="J21" s="2"/>
    </row>
    <row r="22" spans="1:10" ht="15" customHeight="1" x14ac:dyDescent="0.25">
      <c r="A22" s="15">
        <f t="shared" si="0"/>
        <v>16</v>
      </c>
      <c r="B22" s="23"/>
      <c r="C22" s="10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0"/>
      <c r="D23" s="23"/>
      <c r="E23" s="12"/>
      <c r="F23" s="24"/>
      <c r="G23" s="17">
        <v>1</v>
      </c>
      <c r="H23" s="29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23"/>
      <c r="E24" s="12"/>
      <c r="F24" s="24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/>
      <c r="C36" s="10"/>
      <c r="D36" s="9"/>
      <c r="E36" s="12"/>
      <c r="F36" s="21"/>
      <c r="G36" s="17">
        <v>1</v>
      </c>
      <c r="H36" s="1"/>
      <c r="I36" s="1"/>
      <c r="J36" s="1"/>
    </row>
    <row r="37" spans="1:10" ht="15" customHeight="1" x14ac:dyDescent="0.25">
      <c r="A37" s="15">
        <f t="shared" si="0"/>
        <v>31</v>
      </c>
      <c r="B37" s="23"/>
      <c r="C37" s="10"/>
      <c r="D37" s="9"/>
      <c r="E37" s="12"/>
      <c r="F37" s="21"/>
      <c r="G37" s="17">
        <v>1</v>
      </c>
      <c r="H37" s="1"/>
      <c r="I37" s="1"/>
      <c r="J37" s="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selection activeCell="F18" sqref="F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9.7109375" customWidth="1"/>
    <col min="7" max="7" width="1.8554687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SUMIF(F7:F37,"Elimination*",G7:G37)</f>
        <v>0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SUMIF(F7:F37,"NB*",G7:G37)</f>
        <v>0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SUMIF(F7:F37,"Ve*",G7:G37)</f>
        <v>0</v>
      </c>
    </row>
    <row r="5" spans="1:11" ht="15.75" x14ac:dyDescent="0.25">
      <c r="A5" s="35" t="s">
        <v>129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/>
      <c r="I6" s="3"/>
      <c r="J6" s="3"/>
      <c r="K6" s="1"/>
    </row>
    <row r="7" spans="1:11" ht="15" customHeight="1" x14ac:dyDescent="0.25">
      <c r="A7" s="15">
        <v>1</v>
      </c>
      <c r="B7" s="23"/>
      <c r="C7" s="10"/>
      <c r="D7" s="10"/>
      <c r="E7" s="12"/>
      <c r="F7" s="21"/>
      <c r="G7" s="17"/>
      <c r="H7" s="16"/>
      <c r="I7" s="16"/>
      <c r="J7" s="16"/>
      <c r="K7" s="1"/>
    </row>
    <row r="8" spans="1:11" ht="15" customHeight="1" x14ac:dyDescent="0.25">
      <c r="A8" s="15">
        <f>+A7+1</f>
        <v>2</v>
      </c>
      <c r="B8" s="23"/>
      <c r="C8" s="10"/>
      <c r="D8" s="10"/>
      <c r="E8" s="12"/>
      <c r="F8" s="21"/>
      <c r="G8" s="17"/>
      <c r="H8" s="26"/>
      <c r="I8" s="2"/>
      <c r="J8" s="2"/>
      <c r="K8" s="1"/>
    </row>
    <row r="9" spans="1:11" ht="15" customHeight="1" x14ac:dyDescent="0.25">
      <c r="A9" s="15">
        <f t="shared" ref="A9:A37" si="0">+A8+1</f>
        <v>3</v>
      </c>
      <c r="B9" s="23"/>
      <c r="C9" s="10"/>
      <c r="D9" s="9"/>
      <c r="E9" s="12"/>
      <c r="F9" s="21"/>
      <c r="G9" s="17"/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23"/>
      <c r="C10" s="10"/>
      <c r="D10" s="23"/>
      <c r="E10" s="12"/>
      <c r="F10" s="24"/>
      <c r="G10" s="17"/>
      <c r="H10" s="26"/>
      <c r="I10" s="2"/>
      <c r="J10" s="2"/>
      <c r="K10" s="1"/>
    </row>
    <row r="11" spans="1:11" ht="15" customHeight="1" x14ac:dyDescent="0.25">
      <c r="A11" s="15">
        <f t="shared" si="0"/>
        <v>5</v>
      </c>
      <c r="B11" s="23"/>
      <c r="C11" s="10"/>
      <c r="D11" s="9"/>
      <c r="E11" s="12"/>
      <c r="F11" s="21"/>
      <c r="G11" s="17"/>
      <c r="H11" s="27"/>
      <c r="I11" s="2"/>
      <c r="J11" s="2"/>
      <c r="K11" s="1"/>
    </row>
    <row r="12" spans="1:11" ht="15" customHeight="1" x14ac:dyDescent="0.25">
      <c r="A12" s="15">
        <f t="shared" si="0"/>
        <v>6</v>
      </c>
      <c r="B12" s="23"/>
      <c r="C12" s="10"/>
      <c r="D12" s="23"/>
      <c r="E12" s="12"/>
      <c r="F12" s="24"/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/>
      <c r="C13" s="10"/>
      <c r="D13" s="9"/>
      <c r="E13" s="12"/>
      <c r="F13" s="21"/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/>
      <c r="C14" s="10"/>
      <c r="D14" s="23"/>
      <c r="E14" s="12"/>
      <c r="F14" s="24"/>
      <c r="G14" s="17">
        <v>1</v>
      </c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23"/>
      <c r="C15" s="10"/>
      <c r="D15" s="23"/>
      <c r="E15" s="12"/>
      <c r="F15" s="24"/>
      <c r="G15" s="17">
        <v>1</v>
      </c>
      <c r="H15" s="30"/>
      <c r="I15" s="2"/>
      <c r="J15" s="2"/>
    </row>
    <row r="16" spans="1:11" ht="15" customHeight="1" x14ac:dyDescent="0.25">
      <c r="A16" s="15">
        <f t="shared" si="0"/>
        <v>10</v>
      </c>
      <c r="B16" s="23"/>
      <c r="C16" s="10"/>
      <c r="D16" s="23"/>
      <c r="E16" s="12"/>
      <c r="F16" s="24"/>
      <c r="G16" s="17">
        <v>1</v>
      </c>
      <c r="H16" s="30"/>
      <c r="I16" s="2"/>
      <c r="J16" s="2"/>
    </row>
    <row r="17" spans="1:10" ht="15" customHeight="1" x14ac:dyDescent="0.25">
      <c r="A17" s="15">
        <f t="shared" si="0"/>
        <v>11</v>
      </c>
      <c r="B17" s="23"/>
      <c r="C17" s="10"/>
      <c r="D17" s="23"/>
      <c r="E17" s="12"/>
      <c r="F17" s="24"/>
      <c r="G17" s="17">
        <v>1</v>
      </c>
      <c r="H17" s="29"/>
      <c r="I17" s="2"/>
      <c r="J17" s="2"/>
    </row>
    <row r="18" spans="1:10" ht="15" customHeight="1" x14ac:dyDescent="0.25">
      <c r="A18" s="15">
        <f t="shared" si="0"/>
        <v>12</v>
      </c>
      <c r="B18" s="23"/>
      <c r="C18" s="10"/>
      <c r="D18" s="23"/>
      <c r="E18" s="12"/>
      <c r="F18" s="24"/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23"/>
      <c r="E19" s="12"/>
      <c r="F19" s="24"/>
      <c r="G19" s="17">
        <v>1</v>
      </c>
      <c r="H19" s="28"/>
      <c r="I19" s="2"/>
      <c r="J19" s="2"/>
    </row>
    <row r="20" spans="1:10" ht="15" customHeight="1" x14ac:dyDescent="0.25">
      <c r="A20" s="15">
        <f t="shared" si="0"/>
        <v>14</v>
      </c>
      <c r="B20" s="23"/>
      <c r="C20" s="10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0"/>
      <c r="D21" s="23"/>
      <c r="E21" s="12"/>
      <c r="F21" s="24"/>
      <c r="G21" s="17">
        <v>1</v>
      </c>
      <c r="H21" s="28"/>
      <c r="I21" s="2"/>
      <c r="J21" s="2"/>
    </row>
    <row r="22" spans="1:10" ht="15" customHeight="1" x14ac:dyDescent="0.25">
      <c r="A22" s="15">
        <f t="shared" si="0"/>
        <v>16</v>
      </c>
      <c r="B22" s="23"/>
      <c r="C22" s="10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0"/>
      <c r="D23" s="23"/>
      <c r="E23" s="12"/>
      <c r="F23" s="24"/>
      <c r="G23" s="17">
        <v>1</v>
      </c>
      <c r="H23" s="29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23"/>
      <c r="E24" s="12"/>
      <c r="F24" s="24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/>
      <c r="C36" s="10"/>
      <c r="D36" s="9"/>
      <c r="E36" s="12"/>
      <c r="F36" s="21"/>
      <c r="G36" s="17">
        <v>1</v>
      </c>
      <c r="H36" s="1"/>
      <c r="I36" s="1"/>
      <c r="J36" s="1"/>
    </row>
    <row r="37" spans="1:10" ht="15" customHeight="1" x14ac:dyDescent="0.25">
      <c r="A37" s="15">
        <f t="shared" si="0"/>
        <v>31</v>
      </c>
      <c r="B37" s="23"/>
      <c r="C37" s="10"/>
      <c r="D37" s="9"/>
      <c r="E37" s="12"/>
      <c r="F37" s="21"/>
      <c r="G37" s="17">
        <v>1</v>
      </c>
      <c r="H37" s="1"/>
      <c r="I37" s="1"/>
      <c r="J37" s="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selection activeCell="D10" sqref="D1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9.7109375" customWidth="1"/>
    <col min="7" max="7" width="4.14062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SUMIF(F7:F37,"Elimination*",G7:G37)</f>
        <v>1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SUMIF(F7:F37,"NB*",G7:G37)</f>
        <v>3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SUMIF(F7:F37,"Ve*",G7:G37)</f>
        <v>0</v>
      </c>
    </row>
    <row r="5" spans="1:11" ht="15.75" x14ac:dyDescent="0.25">
      <c r="A5" s="35" t="s">
        <v>130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4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140</v>
      </c>
      <c r="I6" s="3"/>
      <c r="J6" s="3"/>
      <c r="K6" s="1"/>
    </row>
    <row r="7" spans="1:11" ht="15" customHeight="1" x14ac:dyDescent="0.25">
      <c r="A7" s="15">
        <v>1</v>
      </c>
      <c r="B7" s="23" t="s">
        <v>117</v>
      </c>
      <c r="C7" s="10" t="s">
        <v>20</v>
      </c>
      <c r="D7" s="10">
        <v>2018142836</v>
      </c>
      <c r="E7" s="12">
        <v>43401</v>
      </c>
      <c r="F7" s="21" t="s">
        <v>137</v>
      </c>
      <c r="G7" s="17">
        <v>1</v>
      </c>
      <c r="H7" s="31" t="s">
        <v>131</v>
      </c>
      <c r="I7" s="16"/>
      <c r="J7" s="16"/>
      <c r="K7" s="1"/>
    </row>
    <row r="8" spans="1:11" ht="15" customHeight="1" x14ac:dyDescent="0.25">
      <c r="A8" s="15">
        <f>+A7+1</f>
        <v>2</v>
      </c>
      <c r="B8" s="23" t="s">
        <v>132</v>
      </c>
      <c r="C8" s="10" t="s">
        <v>20</v>
      </c>
      <c r="D8" s="10">
        <v>2018142837</v>
      </c>
      <c r="E8" s="12">
        <v>43401</v>
      </c>
      <c r="F8" s="21" t="s">
        <v>24</v>
      </c>
      <c r="G8" s="17">
        <v>1</v>
      </c>
      <c r="H8" s="26"/>
      <c r="I8" s="2"/>
      <c r="J8" s="2"/>
      <c r="K8" s="1"/>
    </row>
    <row r="9" spans="1:11" ht="15" customHeight="1" x14ac:dyDescent="0.25">
      <c r="A9" s="15">
        <f t="shared" ref="A9:A37" si="0">+A8+1</f>
        <v>3</v>
      </c>
      <c r="B9" s="23" t="s">
        <v>117</v>
      </c>
      <c r="C9" s="10" t="s">
        <v>20</v>
      </c>
      <c r="D9" s="9" t="s">
        <v>133</v>
      </c>
      <c r="E9" s="12">
        <v>43403</v>
      </c>
      <c r="F9" s="21" t="s">
        <v>138</v>
      </c>
      <c r="G9" s="17">
        <v>1</v>
      </c>
      <c r="H9" s="26" t="s">
        <v>136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3" t="s">
        <v>117</v>
      </c>
      <c r="C10" s="10" t="s">
        <v>20</v>
      </c>
      <c r="D10" s="9" t="s">
        <v>134</v>
      </c>
      <c r="E10" s="12">
        <v>43403</v>
      </c>
      <c r="F10" s="21" t="s">
        <v>139</v>
      </c>
      <c r="G10" s="17">
        <v>1</v>
      </c>
      <c r="H10" s="26" t="s">
        <v>135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3"/>
      <c r="C11" s="10"/>
      <c r="D11" s="9"/>
      <c r="E11" s="12"/>
      <c r="F11" s="21"/>
      <c r="G11" s="17">
        <v>1</v>
      </c>
      <c r="H11" s="26"/>
      <c r="I11" s="2"/>
      <c r="J11" s="2"/>
      <c r="K11" s="1"/>
    </row>
    <row r="12" spans="1:11" ht="15" customHeight="1" x14ac:dyDescent="0.25">
      <c r="A12" s="15">
        <f t="shared" si="0"/>
        <v>6</v>
      </c>
      <c r="B12" s="23"/>
      <c r="C12" s="10"/>
      <c r="D12" s="23"/>
      <c r="E12" s="12"/>
      <c r="F12" s="24"/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/>
      <c r="C13" s="10"/>
      <c r="D13" s="9"/>
      <c r="E13" s="12"/>
      <c r="F13" s="21"/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/>
      <c r="C14" s="10"/>
      <c r="D14" s="23"/>
      <c r="E14" s="12"/>
      <c r="F14" s="24"/>
      <c r="G14" s="17">
        <v>1</v>
      </c>
      <c r="H14" s="29"/>
      <c r="I14" s="2"/>
      <c r="J14" s="2"/>
      <c r="K14" s="1"/>
    </row>
    <row r="15" spans="1:11" ht="15" customHeight="1" x14ac:dyDescent="0.25">
      <c r="A15" s="15">
        <f t="shared" si="0"/>
        <v>9</v>
      </c>
      <c r="B15" s="23"/>
      <c r="C15" s="10"/>
      <c r="D15" s="23"/>
      <c r="E15" s="12"/>
      <c r="F15" s="24"/>
      <c r="G15" s="17">
        <v>1</v>
      </c>
      <c r="H15" s="30"/>
      <c r="I15" s="2"/>
      <c r="J15" s="2"/>
    </row>
    <row r="16" spans="1:11" ht="15" customHeight="1" x14ac:dyDescent="0.25">
      <c r="A16" s="15">
        <f t="shared" si="0"/>
        <v>10</v>
      </c>
      <c r="B16" s="23"/>
      <c r="C16" s="10"/>
      <c r="D16" s="23"/>
      <c r="E16" s="12"/>
      <c r="F16" s="24"/>
      <c r="G16" s="17">
        <v>1</v>
      </c>
      <c r="H16" s="30"/>
      <c r="I16" s="2"/>
      <c r="J16" s="2"/>
    </row>
    <row r="17" spans="1:10" ht="15" customHeight="1" x14ac:dyDescent="0.25">
      <c r="A17" s="15">
        <f t="shared" si="0"/>
        <v>11</v>
      </c>
      <c r="B17" s="23"/>
      <c r="C17" s="10"/>
      <c r="D17" s="23"/>
      <c r="E17" s="12"/>
      <c r="F17" s="24"/>
      <c r="G17" s="17">
        <v>1</v>
      </c>
      <c r="H17" s="29"/>
      <c r="I17" s="2"/>
      <c r="J17" s="2"/>
    </row>
    <row r="18" spans="1:10" ht="15" customHeight="1" x14ac:dyDescent="0.25">
      <c r="A18" s="15">
        <f t="shared" si="0"/>
        <v>12</v>
      </c>
      <c r="B18" s="23"/>
      <c r="C18" s="10"/>
      <c r="D18" s="23"/>
      <c r="E18" s="12"/>
      <c r="F18" s="24"/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23"/>
      <c r="E19" s="12"/>
      <c r="F19" s="24"/>
      <c r="G19" s="17">
        <v>1</v>
      </c>
      <c r="H19" s="28"/>
      <c r="I19" s="2"/>
      <c r="J19" s="2"/>
    </row>
    <row r="20" spans="1:10" ht="15" customHeight="1" x14ac:dyDescent="0.25">
      <c r="A20" s="15">
        <f t="shared" si="0"/>
        <v>14</v>
      </c>
      <c r="B20" s="23"/>
      <c r="C20" s="10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0"/>
      <c r="D21" s="23"/>
      <c r="E21" s="12"/>
      <c r="F21" s="24"/>
      <c r="G21" s="17">
        <v>1</v>
      </c>
      <c r="H21" s="28"/>
      <c r="I21" s="2"/>
      <c r="J21" s="2"/>
    </row>
    <row r="22" spans="1:10" ht="15" customHeight="1" x14ac:dyDescent="0.25">
      <c r="A22" s="15">
        <f t="shared" si="0"/>
        <v>16</v>
      </c>
      <c r="B22" s="23"/>
      <c r="C22" s="10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0"/>
      <c r="D23" s="23"/>
      <c r="E23" s="12"/>
      <c r="F23" s="24"/>
      <c r="G23" s="17">
        <v>1</v>
      </c>
      <c r="H23" s="29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23"/>
      <c r="E24" s="12"/>
      <c r="F24" s="24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/>
      <c r="C36" s="10"/>
      <c r="D36" s="9"/>
      <c r="E36" s="12"/>
      <c r="F36" s="21"/>
      <c r="G36" s="17">
        <v>1</v>
      </c>
      <c r="H36" s="1"/>
      <c r="I36" s="1"/>
      <c r="J36" s="1"/>
    </row>
    <row r="37" spans="1:10" ht="15" customHeight="1" x14ac:dyDescent="0.25">
      <c r="A37" s="15">
        <f t="shared" si="0"/>
        <v>31</v>
      </c>
      <c r="B37" s="23"/>
      <c r="C37" s="10"/>
      <c r="D37" s="9"/>
      <c r="E37" s="12"/>
      <c r="F37" s="21"/>
      <c r="G37" s="17">
        <v>1</v>
      </c>
      <c r="H37" s="1"/>
      <c r="I37" s="1"/>
      <c r="J37" s="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opLeftCell="A4"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SUMIF(F7:F36,"Elimination*",G7:G36)</f>
        <v>10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SUMIF(F7:F36,"NB*",G7:G36)</f>
        <v>3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SUMIF(F7:F36,"Ve*",G7:G36)</f>
        <v>0</v>
      </c>
    </row>
    <row r="5" spans="1:11" ht="15.75" x14ac:dyDescent="0.25">
      <c r="A5" s="35" t="s">
        <v>145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13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140</v>
      </c>
      <c r="I6" s="3"/>
      <c r="J6" s="3"/>
      <c r="K6" s="1"/>
    </row>
    <row r="7" spans="1:11" ht="15" customHeight="1" x14ac:dyDescent="0.25">
      <c r="A7" s="15">
        <v>1</v>
      </c>
      <c r="B7" s="23" t="s">
        <v>117</v>
      </c>
      <c r="C7" s="13" t="s">
        <v>20</v>
      </c>
      <c r="D7" s="23" t="s">
        <v>142</v>
      </c>
      <c r="E7" s="12">
        <v>43408</v>
      </c>
      <c r="F7" s="24" t="s">
        <v>167</v>
      </c>
      <c r="G7" s="17">
        <v>1</v>
      </c>
      <c r="H7" s="30" t="s">
        <v>141</v>
      </c>
      <c r="I7" s="2"/>
      <c r="J7" s="2"/>
      <c r="K7" s="1"/>
    </row>
    <row r="8" spans="1:11" ht="15" customHeight="1" x14ac:dyDescent="0.25">
      <c r="A8" s="15">
        <f t="shared" ref="A8:A36" si="0">+A7+1</f>
        <v>2</v>
      </c>
      <c r="B8" s="23" t="s">
        <v>117</v>
      </c>
      <c r="C8" s="13" t="s">
        <v>20</v>
      </c>
      <c r="D8" s="23" t="s">
        <v>144</v>
      </c>
      <c r="E8" s="12">
        <v>43409</v>
      </c>
      <c r="F8" s="24" t="s">
        <v>169</v>
      </c>
      <c r="G8" s="17">
        <v>1</v>
      </c>
      <c r="H8" s="30" t="s">
        <v>143</v>
      </c>
      <c r="I8" s="2"/>
      <c r="J8" s="2"/>
      <c r="K8" s="1"/>
    </row>
    <row r="9" spans="1:11" ht="15" customHeight="1" x14ac:dyDescent="0.25">
      <c r="A9" s="15">
        <f t="shared" si="0"/>
        <v>3</v>
      </c>
      <c r="B9" s="23" t="s">
        <v>150</v>
      </c>
      <c r="C9" s="13" t="s">
        <v>20</v>
      </c>
      <c r="D9" s="23" t="s">
        <v>146</v>
      </c>
      <c r="E9" s="12">
        <v>43432</v>
      </c>
      <c r="F9" s="24" t="s">
        <v>24</v>
      </c>
      <c r="G9" s="17">
        <v>1</v>
      </c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23" t="s">
        <v>151</v>
      </c>
      <c r="C10" s="13" t="s">
        <v>20</v>
      </c>
      <c r="D10" s="23" t="s">
        <v>147</v>
      </c>
      <c r="E10" s="12">
        <v>43432</v>
      </c>
      <c r="F10" s="24" t="s">
        <v>24</v>
      </c>
      <c r="G10" s="17">
        <v>1</v>
      </c>
      <c r="H10" s="26"/>
      <c r="I10" s="2"/>
      <c r="J10" s="2"/>
      <c r="K10" s="1"/>
    </row>
    <row r="11" spans="1:11" ht="15" customHeight="1" x14ac:dyDescent="0.25">
      <c r="A11" s="15">
        <f t="shared" si="0"/>
        <v>5</v>
      </c>
      <c r="B11" s="23" t="s">
        <v>152</v>
      </c>
      <c r="C11" s="13" t="s">
        <v>20</v>
      </c>
      <c r="D11" s="23" t="s">
        <v>148</v>
      </c>
      <c r="E11" s="12">
        <v>43432</v>
      </c>
      <c r="F11" s="24" t="s">
        <v>24</v>
      </c>
      <c r="G11" s="17">
        <v>1</v>
      </c>
      <c r="H11" s="26"/>
      <c r="I11" s="2"/>
      <c r="J11" s="2"/>
      <c r="K11" s="1"/>
    </row>
    <row r="12" spans="1:11" ht="15" customHeight="1" x14ac:dyDescent="0.25">
      <c r="A12" s="15">
        <f t="shared" si="0"/>
        <v>6</v>
      </c>
      <c r="B12" s="23" t="s">
        <v>153</v>
      </c>
      <c r="C12" s="13" t="s">
        <v>20</v>
      </c>
      <c r="D12" s="23" t="s">
        <v>149</v>
      </c>
      <c r="E12" s="12">
        <v>43432</v>
      </c>
      <c r="F12" s="24" t="s">
        <v>24</v>
      </c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 t="s">
        <v>164</v>
      </c>
      <c r="C13" s="13" t="s">
        <v>20</v>
      </c>
      <c r="D13" s="23" t="s">
        <v>157</v>
      </c>
      <c r="E13" s="12">
        <v>43432</v>
      </c>
      <c r="F13" s="24" t="s">
        <v>24</v>
      </c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 t="s">
        <v>19</v>
      </c>
      <c r="C14" s="13" t="s">
        <v>20</v>
      </c>
      <c r="D14" s="23" t="s">
        <v>159</v>
      </c>
      <c r="E14" s="12">
        <v>43432</v>
      </c>
      <c r="F14" s="24" t="s">
        <v>24</v>
      </c>
      <c r="G14" s="17">
        <v>1</v>
      </c>
      <c r="H14" s="28"/>
      <c r="I14" s="2"/>
      <c r="J14" s="2"/>
    </row>
    <row r="15" spans="1:11" ht="15" customHeight="1" x14ac:dyDescent="0.25">
      <c r="A15" s="15">
        <f t="shared" si="0"/>
        <v>9</v>
      </c>
      <c r="B15" s="23" t="s">
        <v>166</v>
      </c>
      <c r="C15" s="13" t="s">
        <v>20</v>
      </c>
      <c r="D15" s="23" t="s">
        <v>160</v>
      </c>
      <c r="E15" s="12">
        <v>43432</v>
      </c>
      <c r="F15" s="24" t="s">
        <v>24</v>
      </c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23" t="s">
        <v>161</v>
      </c>
      <c r="C16" s="13" t="s">
        <v>20</v>
      </c>
      <c r="D16" s="23" t="s">
        <v>154</v>
      </c>
      <c r="E16" s="12">
        <v>43433</v>
      </c>
      <c r="F16" s="24" t="s">
        <v>24</v>
      </c>
      <c r="G16" s="17">
        <v>1</v>
      </c>
      <c r="H16" s="29"/>
      <c r="I16" s="2"/>
      <c r="J16" s="2"/>
    </row>
    <row r="17" spans="1:10" ht="15" customHeight="1" x14ac:dyDescent="0.25">
      <c r="A17" s="15">
        <f t="shared" si="0"/>
        <v>11</v>
      </c>
      <c r="B17" s="23" t="s">
        <v>163</v>
      </c>
      <c r="C17" s="13" t="s">
        <v>20</v>
      </c>
      <c r="D17" s="23" t="s">
        <v>156</v>
      </c>
      <c r="E17" s="12">
        <v>43433</v>
      </c>
      <c r="F17" s="24" t="s">
        <v>24</v>
      </c>
      <c r="G17" s="17">
        <v>1</v>
      </c>
      <c r="H17" s="30"/>
      <c r="I17" s="2"/>
      <c r="J17" s="2"/>
    </row>
    <row r="18" spans="1:10" ht="15" customHeight="1" x14ac:dyDescent="0.25">
      <c r="A18" s="15">
        <f t="shared" si="0"/>
        <v>12</v>
      </c>
      <c r="B18" s="23" t="s">
        <v>165</v>
      </c>
      <c r="C18" s="13" t="s">
        <v>20</v>
      </c>
      <c r="D18" s="23" t="s">
        <v>158</v>
      </c>
      <c r="E18" s="12">
        <v>43433</v>
      </c>
      <c r="F18" s="24" t="s">
        <v>24</v>
      </c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 t="s">
        <v>117</v>
      </c>
      <c r="C19" s="13" t="s">
        <v>20</v>
      </c>
      <c r="D19" s="23" t="s">
        <v>155</v>
      </c>
      <c r="E19" s="12">
        <v>54391</v>
      </c>
      <c r="F19" s="24" t="s">
        <v>168</v>
      </c>
      <c r="G19" s="17">
        <v>1</v>
      </c>
      <c r="H19" s="30" t="s">
        <v>162</v>
      </c>
      <c r="I19" s="2"/>
      <c r="J19" s="2"/>
    </row>
    <row r="20" spans="1:10" ht="15" customHeight="1" x14ac:dyDescent="0.25">
      <c r="A20" s="15">
        <f t="shared" si="0"/>
        <v>14</v>
      </c>
      <c r="B20" s="23"/>
      <c r="C20" s="13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0"/>
      <c r="D21" s="9"/>
      <c r="E21" s="12"/>
      <c r="F21" s="24"/>
      <c r="G21" s="17">
        <v>1</v>
      </c>
      <c r="H21" s="29"/>
      <c r="I21" s="2"/>
      <c r="J21" s="2"/>
    </row>
    <row r="22" spans="1:10" ht="15" customHeight="1" x14ac:dyDescent="0.25">
      <c r="A22" s="15">
        <f t="shared" si="0"/>
        <v>16</v>
      </c>
      <c r="B22" s="23"/>
      <c r="C22" s="10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0"/>
      <c r="D23" s="23"/>
      <c r="E23" s="12"/>
      <c r="F23" s="24"/>
      <c r="G23" s="17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22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/>
      <c r="C36" s="10"/>
      <c r="D36" s="9"/>
      <c r="E36" s="12"/>
      <c r="F36" s="21"/>
      <c r="G36" s="17">
        <v>1</v>
      </c>
      <c r="H36" s="1"/>
      <c r="I36" s="1"/>
      <c r="J36" s="1"/>
    </row>
  </sheetData>
  <sortState ref="B7:H19">
    <sortCondition ref="E7:E19"/>
    <sortCondition ref="D7:D1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abSelected="1" workbookViewId="0">
      <selection activeCell="F36" sqref="A1:F3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32" t="s">
        <v>0</v>
      </c>
      <c r="B1" s="32"/>
      <c r="C1" s="3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6" t="s">
        <v>2</v>
      </c>
      <c r="B2" s="36"/>
      <c r="C2" s="36"/>
      <c r="D2" s="6"/>
      <c r="E2" s="37" t="s">
        <v>3</v>
      </c>
      <c r="F2" s="37"/>
      <c r="G2" s="4"/>
      <c r="H2" s="4"/>
      <c r="I2" s="33" t="s">
        <v>4</v>
      </c>
      <c r="J2" s="34"/>
      <c r="K2" s="18">
        <f>SUMIF(F7:F36,"Elimination*",G7:G36)</f>
        <v>5</v>
      </c>
    </row>
    <row r="3" spans="1:11" x14ac:dyDescent="0.25">
      <c r="A3" s="37" t="s">
        <v>5</v>
      </c>
      <c r="B3" s="37"/>
      <c r="C3" s="37"/>
      <c r="D3" s="5"/>
      <c r="E3" s="37" t="s">
        <v>17</v>
      </c>
      <c r="F3" s="37"/>
      <c r="G3" s="4"/>
      <c r="H3" s="4"/>
      <c r="I3" s="33" t="s">
        <v>6</v>
      </c>
      <c r="J3" s="34"/>
      <c r="K3" s="18">
        <f>SUMIF(F7:F36,"NB*",G7:G36)</f>
        <v>0</v>
      </c>
    </row>
    <row r="4" spans="1:11" ht="18" x14ac:dyDescent="0.25">
      <c r="A4" s="32" t="s">
        <v>7</v>
      </c>
      <c r="B4" s="32"/>
      <c r="C4" s="32"/>
      <c r="D4" s="32"/>
      <c r="E4" s="32"/>
      <c r="F4" s="32"/>
      <c r="G4" s="4"/>
      <c r="H4" s="4"/>
      <c r="I4" s="33" t="s">
        <v>8</v>
      </c>
      <c r="J4" s="34"/>
      <c r="K4" s="18">
        <f>SUMIF(F7:F36,"Ve*",G7:G36)</f>
        <v>0</v>
      </c>
    </row>
    <row r="5" spans="1:11" ht="15.75" x14ac:dyDescent="0.25">
      <c r="A5" s="35" t="s">
        <v>180</v>
      </c>
      <c r="B5" s="35"/>
      <c r="C5" s="35"/>
      <c r="D5" s="35"/>
      <c r="E5" s="35"/>
      <c r="F5" s="35"/>
      <c r="G5" s="19"/>
      <c r="H5" s="19"/>
      <c r="I5" s="33" t="s">
        <v>9</v>
      </c>
      <c r="J5" s="34"/>
      <c r="K5" s="20">
        <f>SUM(K2:K4)</f>
        <v>5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140</v>
      </c>
      <c r="I6" s="3"/>
      <c r="J6" s="3"/>
      <c r="K6" s="1"/>
    </row>
    <row r="7" spans="1:11" ht="15" customHeight="1" x14ac:dyDescent="0.25">
      <c r="A7" s="15">
        <v>1</v>
      </c>
      <c r="B7" s="23" t="s">
        <v>174</v>
      </c>
      <c r="C7" s="13" t="s">
        <v>20</v>
      </c>
      <c r="D7" s="23" t="s">
        <v>175</v>
      </c>
      <c r="E7" s="12">
        <v>43437</v>
      </c>
      <c r="F7" s="24" t="s">
        <v>24</v>
      </c>
      <c r="G7" s="17">
        <v>1</v>
      </c>
      <c r="H7" s="30"/>
      <c r="I7" s="2"/>
      <c r="J7" s="2"/>
      <c r="K7" s="1"/>
    </row>
    <row r="8" spans="1:11" ht="15" customHeight="1" x14ac:dyDescent="0.25">
      <c r="A8" s="15">
        <f t="shared" ref="A8:A36" si="0">+A7+1</f>
        <v>2</v>
      </c>
      <c r="B8" s="23" t="s">
        <v>178</v>
      </c>
      <c r="C8" s="13" t="s">
        <v>20</v>
      </c>
      <c r="D8" s="23" t="s">
        <v>179</v>
      </c>
      <c r="E8" s="12">
        <v>43437</v>
      </c>
      <c r="F8" s="24" t="s">
        <v>24</v>
      </c>
      <c r="G8" s="17">
        <v>1</v>
      </c>
      <c r="H8" s="30"/>
      <c r="I8" s="2"/>
      <c r="J8" s="2"/>
      <c r="K8" s="1"/>
    </row>
    <row r="9" spans="1:11" ht="15" customHeight="1" x14ac:dyDescent="0.25">
      <c r="A9" s="15">
        <f t="shared" si="0"/>
        <v>3</v>
      </c>
      <c r="B9" s="23" t="s">
        <v>170</v>
      </c>
      <c r="C9" s="13" t="s">
        <v>20</v>
      </c>
      <c r="D9" s="23" t="s">
        <v>171</v>
      </c>
      <c r="E9" s="12">
        <v>43438</v>
      </c>
      <c r="F9" s="24" t="s">
        <v>24</v>
      </c>
      <c r="G9" s="17">
        <v>1</v>
      </c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23" t="s">
        <v>172</v>
      </c>
      <c r="C10" s="13" t="s">
        <v>20</v>
      </c>
      <c r="D10" s="23" t="s">
        <v>173</v>
      </c>
      <c r="E10" s="12">
        <v>43438</v>
      </c>
      <c r="F10" s="24" t="s">
        <v>24</v>
      </c>
      <c r="G10" s="17">
        <v>1</v>
      </c>
      <c r="H10" s="26"/>
      <c r="I10" s="2"/>
      <c r="J10" s="2"/>
      <c r="K10" s="1"/>
    </row>
    <row r="11" spans="1:11" ht="15" customHeight="1" x14ac:dyDescent="0.25">
      <c r="A11" s="15">
        <f t="shared" si="0"/>
        <v>5</v>
      </c>
      <c r="B11" s="23" t="s">
        <v>176</v>
      </c>
      <c r="C11" s="13" t="s">
        <v>20</v>
      </c>
      <c r="D11" s="23" t="s">
        <v>177</v>
      </c>
      <c r="E11" s="12">
        <v>43438</v>
      </c>
      <c r="F11" s="24" t="s">
        <v>24</v>
      </c>
      <c r="G11" s="17">
        <v>1</v>
      </c>
      <c r="H11" s="26"/>
      <c r="I11" s="2"/>
      <c r="J11" s="2"/>
      <c r="K11" s="1"/>
    </row>
    <row r="12" spans="1:11" ht="15" customHeight="1" x14ac:dyDescent="0.25">
      <c r="A12" s="15">
        <f t="shared" si="0"/>
        <v>6</v>
      </c>
      <c r="B12" s="23"/>
      <c r="C12" s="13"/>
      <c r="D12" s="23"/>
      <c r="E12" s="12"/>
      <c r="F12" s="24"/>
      <c r="G12" s="17">
        <v>1</v>
      </c>
      <c r="H12" s="28"/>
      <c r="I12" s="2"/>
      <c r="J12" s="2"/>
      <c r="K12" s="1"/>
    </row>
    <row r="13" spans="1:11" ht="15" customHeight="1" x14ac:dyDescent="0.25">
      <c r="A13" s="15">
        <f t="shared" si="0"/>
        <v>7</v>
      </c>
      <c r="B13" s="23"/>
      <c r="C13" s="13"/>
      <c r="D13" s="23"/>
      <c r="E13" s="12"/>
      <c r="F13" s="24"/>
      <c r="G13" s="17">
        <v>1</v>
      </c>
      <c r="H13" s="29"/>
      <c r="I13" s="2"/>
      <c r="J13" s="2"/>
      <c r="K13" s="1"/>
    </row>
    <row r="14" spans="1:11" ht="15" customHeight="1" x14ac:dyDescent="0.25">
      <c r="A14" s="15">
        <f t="shared" si="0"/>
        <v>8</v>
      </c>
      <c r="B14" s="23"/>
      <c r="C14" s="13"/>
      <c r="D14" s="23"/>
      <c r="E14" s="12"/>
      <c r="F14" s="24"/>
      <c r="G14" s="17">
        <v>1</v>
      </c>
      <c r="H14" s="28"/>
      <c r="I14" s="2"/>
      <c r="J14" s="2"/>
    </row>
    <row r="15" spans="1:11" ht="15" customHeight="1" x14ac:dyDescent="0.25">
      <c r="A15" s="15">
        <f t="shared" si="0"/>
        <v>9</v>
      </c>
      <c r="B15" s="23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23"/>
      <c r="C16" s="13"/>
      <c r="D16" s="23"/>
      <c r="E16" s="12"/>
      <c r="F16" s="24"/>
      <c r="G16" s="17">
        <v>1</v>
      </c>
      <c r="H16" s="29"/>
      <c r="I16" s="2"/>
      <c r="J16" s="2"/>
    </row>
    <row r="17" spans="1:10" ht="15" customHeight="1" x14ac:dyDescent="0.25">
      <c r="A17" s="15">
        <f t="shared" si="0"/>
        <v>11</v>
      </c>
      <c r="B17" s="23"/>
      <c r="C17" s="13"/>
      <c r="D17" s="23"/>
      <c r="E17" s="12"/>
      <c r="F17" s="24"/>
      <c r="G17" s="17">
        <v>1</v>
      </c>
      <c r="H17" s="30"/>
      <c r="I17" s="2"/>
      <c r="J17" s="2"/>
    </row>
    <row r="18" spans="1:10" ht="15" customHeight="1" x14ac:dyDescent="0.25">
      <c r="A18" s="15">
        <f t="shared" si="0"/>
        <v>12</v>
      </c>
      <c r="B18" s="23"/>
      <c r="C18" s="13"/>
      <c r="D18" s="23"/>
      <c r="E18" s="12"/>
      <c r="F18" s="24"/>
      <c r="G18" s="17">
        <v>1</v>
      </c>
      <c r="H18" s="29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30"/>
      <c r="I19" s="2"/>
      <c r="J19" s="2"/>
    </row>
    <row r="20" spans="1:10" ht="15" customHeight="1" x14ac:dyDescent="0.25">
      <c r="A20" s="15">
        <f t="shared" si="0"/>
        <v>14</v>
      </c>
      <c r="B20" s="23"/>
      <c r="C20" s="13"/>
      <c r="D20" s="23"/>
      <c r="E20" s="12"/>
      <c r="F20" s="24"/>
      <c r="G20" s="17">
        <v>1</v>
      </c>
      <c r="H20" s="28"/>
      <c r="I20" s="2"/>
      <c r="J20" s="2"/>
    </row>
    <row r="21" spans="1:10" ht="15" customHeight="1" x14ac:dyDescent="0.25">
      <c r="A21" s="15">
        <f t="shared" si="0"/>
        <v>15</v>
      </c>
      <c r="B21" s="23"/>
      <c r="C21" s="10"/>
      <c r="D21" s="9"/>
      <c r="E21" s="12"/>
      <c r="F21" s="24"/>
      <c r="G21" s="17">
        <v>1</v>
      </c>
      <c r="H21" s="29"/>
      <c r="I21" s="2"/>
      <c r="J21" s="2"/>
    </row>
    <row r="22" spans="1:10" ht="15" customHeight="1" x14ac:dyDescent="0.25">
      <c r="A22" s="15">
        <f t="shared" si="0"/>
        <v>16</v>
      </c>
      <c r="B22" s="23"/>
      <c r="C22" s="10"/>
      <c r="D22" s="23"/>
      <c r="E22" s="12"/>
      <c r="F22" s="24"/>
      <c r="G22" s="17">
        <v>1</v>
      </c>
      <c r="H22" s="29"/>
      <c r="I22" s="2"/>
      <c r="J22" s="2"/>
    </row>
    <row r="23" spans="1:10" ht="15" customHeight="1" x14ac:dyDescent="0.25">
      <c r="A23" s="15">
        <f t="shared" si="0"/>
        <v>17</v>
      </c>
      <c r="B23" s="23"/>
      <c r="C23" s="10"/>
      <c r="D23" s="23"/>
      <c r="E23" s="12"/>
      <c r="F23" s="24"/>
      <c r="G23" s="17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3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3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3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3"/>
      <c r="C28" s="10"/>
      <c r="D28" s="9"/>
      <c r="E28" s="12"/>
      <c r="F28" s="21"/>
      <c r="G28" s="17">
        <v>1</v>
      </c>
      <c r="H28" s="22"/>
      <c r="I28" s="2"/>
      <c r="J28" s="2"/>
    </row>
    <row r="29" spans="1:10" ht="15" customHeight="1" x14ac:dyDescent="0.25">
      <c r="A29" s="15">
        <f t="shared" si="0"/>
        <v>23</v>
      </c>
      <c r="B29" s="23"/>
      <c r="C29" s="10"/>
      <c r="D29" s="9"/>
      <c r="E29" s="12"/>
      <c r="F29" s="21"/>
      <c r="G29" s="17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3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3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3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3"/>
      <c r="C33" s="10"/>
      <c r="D33" s="9"/>
      <c r="E33" s="12"/>
      <c r="F33" s="21"/>
      <c r="G33" s="17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3"/>
      <c r="C34" s="10"/>
      <c r="D34" s="9"/>
      <c r="E34" s="12"/>
      <c r="F34" s="21"/>
      <c r="G34" s="17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3"/>
      <c r="C35" s="10"/>
      <c r="D35" s="9"/>
      <c r="E35" s="12"/>
      <c r="F35" s="21"/>
      <c r="G35" s="17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3"/>
      <c r="C36" s="10"/>
      <c r="D36" s="9"/>
      <c r="E36" s="12"/>
      <c r="F36" s="21"/>
      <c r="G36" s="17">
        <v>1</v>
      </c>
      <c r="H36" s="1"/>
      <c r="I36" s="1"/>
      <c r="J36" s="1"/>
    </row>
  </sheetData>
  <sortState ref="B7:F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2018</vt:lpstr>
      <vt:lpstr>Février 2018</vt:lpstr>
      <vt:lpstr>Mars 2018</vt:lpstr>
      <vt:lpstr>Avril 2018</vt:lpstr>
      <vt:lpstr>Mai 2018</vt:lpstr>
      <vt:lpstr>Juin 2018</vt:lpstr>
      <vt:lpstr>Juillet 2018</vt:lpstr>
      <vt:lpstr>Aout 2018</vt:lpstr>
      <vt:lpstr>Septembre 2018</vt:lpstr>
      <vt:lpstr>Octobre 2018</vt:lpstr>
      <vt:lpstr>Novembre 2018</vt:lpstr>
      <vt:lpstr>Décembre 2018</vt:lpstr>
      <vt:lpstr>'Aout 2018'!Impression_des_titres</vt:lpstr>
      <vt:lpstr>'Avril 2018'!Impression_des_titres</vt:lpstr>
      <vt:lpstr>'Décembre 2018'!Impression_des_titres</vt:lpstr>
      <vt:lpstr>'Février 2018'!Impression_des_titres</vt:lpstr>
      <vt:lpstr>'Janvier 2018'!Impression_des_titres</vt:lpstr>
      <vt:lpstr>'Juillet 2018'!Impression_des_titres</vt:lpstr>
      <vt:lpstr>'Juin 2018'!Impression_des_titres</vt:lpstr>
      <vt:lpstr>'Mai 2018'!Impression_des_titres</vt:lpstr>
      <vt:lpstr>'Mars 2018'!Impression_des_titres</vt:lpstr>
      <vt:lpstr>'Novembre 2018'!Impression_des_titres</vt:lpstr>
      <vt:lpstr>'Octobre 2018'!Impression_des_titres</vt:lpstr>
      <vt:lpstr>'Septembre 2018'!Impression_des_titres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ADE</cp:lastModifiedBy>
  <cp:lastPrinted>2019-01-09T10:05:18Z</cp:lastPrinted>
  <dcterms:created xsi:type="dcterms:W3CDTF">2014-12-31T15:00:30Z</dcterms:created>
  <dcterms:modified xsi:type="dcterms:W3CDTF">2019-01-09T10:05:22Z</dcterms:modified>
</cp:coreProperties>
</file>