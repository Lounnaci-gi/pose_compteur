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Berrouaghia\"/>
    </mc:Choice>
  </mc:AlternateContent>
  <bookViews>
    <workbookView xWindow="555" yWindow="75" windowWidth="11700" windowHeight="6825" firstSheet="7" activeTab="11"/>
  </bookViews>
  <sheets>
    <sheet name="JANVIER 2018" sheetId="1" r:id="rId1"/>
    <sheet name="FE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ECEMBRE 2018" sheetId="12" r:id="rId12"/>
  </sheets>
  <calcPr calcId="152511"/>
</workbook>
</file>

<file path=xl/calcChain.xml><?xml version="1.0" encoding="utf-8"?>
<calcChain xmlns="http://schemas.openxmlformats.org/spreadsheetml/2006/main"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8" i="12"/>
  <c r="L10" i="12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K37" i="11"/>
  <c r="F37" i="11"/>
  <c r="K36" i="11"/>
  <c r="F36" i="11"/>
  <c r="L36" i="11" s="1"/>
  <c r="K35" i="11"/>
  <c r="F35" i="11"/>
  <c r="L35" i="11" s="1"/>
  <c r="K34" i="11"/>
  <c r="F34" i="1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K9" i="11"/>
  <c r="K40" i="11" s="1"/>
  <c r="F9" i="11"/>
  <c r="L9" i="11" s="1"/>
  <c r="L29" i="11" l="1"/>
  <c r="L38" i="11"/>
  <c r="L37" i="11"/>
  <c r="L40" i="12"/>
  <c r="G46" i="12" s="1"/>
  <c r="G47" i="12" s="1"/>
  <c r="G49" i="12" s="1"/>
  <c r="L34" i="11"/>
  <c r="F40" i="11"/>
  <c r="L10" i="1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K9" i="10"/>
  <c r="K40" i="10" s="1"/>
  <c r="F9" i="10"/>
  <c r="L9" i="10" s="1"/>
  <c r="L40" i="11" l="1"/>
  <c r="G46" i="11" s="1"/>
  <c r="G47" i="11" s="1"/>
  <c r="G49" i="11" s="1"/>
  <c r="L33" i="10"/>
  <c r="F40" i="10"/>
  <c r="L10" i="10"/>
  <c r="L40" i="10" s="1"/>
  <c r="G46" i="10" s="1"/>
  <c r="G47" i="10" s="1"/>
  <c r="G49" i="10" s="1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F40" i="9" s="1"/>
  <c r="K9" i="9"/>
  <c r="K40" i="9" s="1"/>
  <c r="F9" i="9"/>
  <c r="L9" i="9" s="1"/>
  <c r="L10" i="9" l="1"/>
  <c r="L40" i="9" s="1"/>
  <c r="G46" i="9" s="1"/>
  <c r="G47" i="9" s="1"/>
  <c r="G49" i="9" s="1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F40" i="8" s="1"/>
  <c r="K9" i="8"/>
  <c r="K40" i="8" s="1"/>
  <c r="F9" i="8"/>
  <c r="L9" i="8" s="1"/>
  <c r="L34" i="8" l="1"/>
  <c r="L10" i="8"/>
  <c r="L40" i="8" s="1"/>
  <c r="G46" i="8" s="1"/>
  <c r="G47" i="8" s="1"/>
  <c r="G49" i="8" s="1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K9" i="7"/>
  <c r="K40" i="7" s="1"/>
  <c r="F9" i="7"/>
  <c r="L9" i="7" s="1"/>
  <c r="F40" i="7" l="1"/>
  <c r="L10" i="7"/>
  <c r="L40" i="7" s="1"/>
  <c r="G46" i="7" s="1"/>
  <c r="G47" i="7" s="1"/>
  <c r="G49" i="7" s="1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F40" i="6" s="1"/>
  <c r="K9" i="6"/>
  <c r="K40" i="6" s="1"/>
  <c r="F9" i="6"/>
  <c r="L9" i="6" s="1"/>
  <c r="L38" i="6" l="1"/>
  <c r="L15" i="6"/>
  <c r="L10" i="6"/>
  <c r="L40" i="6" s="1"/>
  <c r="G46" i="6" s="1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K9" i="5"/>
  <c r="K40" i="5" s="1"/>
  <c r="F9" i="5"/>
  <c r="L9" i="5" s="1"/>
  <c r="G47" i="6" l="1"/>
  <c r="G49" i="6" s="1"/>
  <c r="F40" i="5"/>
  <c r="L10" i="5"/>
  <c r="L40" i="5" s="1"/>
  <c r="G46" i="5" s="1"/>
  <c r="G47" i="5" s="1"/>
  <c r="G49" i="5" s="1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K9" i="4"/>
  <c r="F9" i="4"/>
  <c r="L9" i="4" s="1"/>
  <c r="K40" i="4" l="1"/>
  <c r="L10" i="4"/>
  <c r="L40" i="4" s="1"/>
  <c r="G46" i="4" s="1"/>
  <c r="G47" i="4" s="1"/>
  <c r="G49" i="4" s="1"/>
  <c r="F40" i="4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L28" i="3" s="1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K12" i="3"/>
  <c r="F12" i="3"/>
  <c r="L12" i="3" s="1"/>
  <c r="K11" i="3"/>
  <c r="F11" i="3"/>
  <c r="L11" i="3" s="1"/>
  <c r="K10" i="3"/>
  <c r="F10" i="3"/>
  <c r="L10" i="3" s="1"/>
  <c r="K9" i="3"/>
  <c r="K40" i="3" s="1"/>
  <c r="F9" i="3"/>
  <c r="L34" i="3" l="1"/>
  <c r="L19" i="3"/>
  <c r="F40" i="3"/>
  <c r="L13" i="3"/>
  <c r="L9" i="3"/>
  <c r="J40" i="2"/>
  <c r="I40" i="2"/>
  <c r="H40" i="2"/>
  <c r="G40" i="2"/>
  <c r="E40" i="2"/>
  <c r="D40" i="2"/>
  <c r="C40" i="2"/>
  <c r="B40" i="2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F10" i="2"/>
  <c r="L10" i="2" s="1"/>
  <c r="K9" i="2"/>
  <c r="K40" i="2" s="1"/>
  <c r="F9" i="2"/>
  <c r="L9" i="2" s="1"/>
  <c r="L40" i="3" l="1"/>
  <c r="G46" i="3" s="1"/>
  <c r="G47" i="3" s="1"/>
  <c r="G49" i="3" s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F40" i="2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L39" i="1" s="1"/>
  <c r="F9" i="1"/>
  <c r="L40" i="2" l="1"/>
  <c r="G46" i="2" s="1"/>
  <c r="L37" i="1"/>
  <c r="L35" i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G47" i="2" l="1"/>
  <c r="G49" i="2" s="1"/>
  <c r="L40" i="1"/>
  <c r="G46" i="1" s="1"/>
  <c r="G47" i="1" s="1"/>
  <c r="G49" i="1" s="1"/>
</calcChain>
</file>

<file path=xl/sharedStrings.xml><?xml version="1.0" encoding="utf-8"?>
<sst xmlns="http://schemas.openxmlformats.org/spreadsheetml/2006/main" count="423" uniqueCount="62">
  <si>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</si>
  <si>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</si>
  <si>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</si>
  <si>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</si>
  <si>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</si>
  <si>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</si>
  <si>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</si>
  <si>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</si>
  <si>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</si>
  <si>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</si>
  <si>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</si>
  <si>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</si>
  <si>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</si>
  <si>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</si>
  <si>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</si>
  <si>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</si>
  <si>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</si>
  <si>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</si>
  <si>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</si>
  <si>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</si>
  <si>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</si>
  <si>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</si>
  <si>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</si>
  <si>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</si>
  <si>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</si>
  <si>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</si>
  <si>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</si>
  <si>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</si>
  <si>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</si>
  <si>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DN15/21 Réintégré Ouled Dhied</t>
  </si>
  <si>
    <t>10 Compteurs DN15/21 Réintégré Seghouane</t>
  </si>
  <si>
    <t>10 Compteurs DN15/21 Réintégré Zoubiria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</si>
  <si>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</si>
  <si>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 Compteurs DN15/21 Réintégré Ouled Dheid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</si>
  <si>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</si>
  <si>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30 Compteurs DN15/21 Réintégré Zoubiria</t>
  </si>
  <si>
    <t>10 Compteurs DN15/21 Réintégré Robeîa</t>
  </si>
  <si>
    <t>30 Compteurs DN15/21 Réintégré Seghouane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</si>
  <si>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</si>
  <si>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DN15/21 Réintégré Ouled dhied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</si>
  <si>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</si>
  <si>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</si>
  <si>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01 Compteurs DN 40/49 Réintégré Zoubiria</t>
  </si>
  <si>
    <t>02 Compteurs DN 15/21 Réintégré Seghouane</t>
  </si>
  <si>
    <t>11 Compteurs DN 15/21 Réintégré Ouled dhied</t>
  </si>
  <si>
    <t>10 Compteurs DN 15/21 Réintégré Robeia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</si>
  <si>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</si>
  <si>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</si>
  <si>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 15/21 Réintégré Agence Msalah</t>
  </si>
  <si>
    <t>20 Compteurs DN 15/21 Réintégré Antenne Seghouane</t>
  </si>
  <si>
    <t>10 Compteurs DN 15/21 Réintégré Antenne Zoubiria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</si>
  <si>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</si>
  <si>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 15/21 Réintégré Antenne Seghouane</t>
  </si>
  <si>
    <t>10 Compteurs DN 15/21 Réintégré Antenne Robeîa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</si>
  <si>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</si>
  <si>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 15/21 Réintégré Antenne Oueld Dheid</t>
  </si>
  <si>
    <t>20 Compteurs DN 15/21 Réintégré Antenne Zoubiria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</si>
  <si>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</si>
  <si>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</si>
  <si>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01 Compteurs DN 30 Réintégré Antenne Benchikao</t>
  </si>
  <si>
    <t>01 Compteurs DN 30 Réintégré Agence 24 Féverier</t>
  </si>
  <si>
    <t>06 Compteurs DN 15/21 Réintégré Centre Médéa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</si>
</sst>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7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0" xfId="3" applyFont="1" applyFill="1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1" fontId="1" fillId="2" borderId="15" xfId="3" applyNumberFormat="1" applyFont="1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28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>
        <v>1</v>
      </c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7</v>
      </c>
      <c r="H15" s="24"/>
      <c r="I15" s="24"/>
      <c r="J15" s="24"/>
      <c r="K15" s="17">
        <f t="shared" si="1"/>
        <v>7</v>
      </c>
      <c r="L15" s="7">
        <f t="shared" si="2"/>
        <v>7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>
        <v>4</v>
      </c>
      <c r="H16" s="24"/>
      <c r="I16" s="24"/>
      <c r="J16" s="24"/>
      <c r="K16" s="17">
        <f t="shared" si="1"/>
        <v>4</v>
      </c>
      <c r="L16" s="7">
        <f t="shared" si="2"/>
        <v>4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>
        <v>1</v>
      </c>
      <c r="C18" s="24"/>
      <c r="D18" s="24"/>
      <c r="E18" s="25"/>
      <c r="F18" s="19">
        <f t="shared" si="0"/>
        <v>1</v>
      </c>
      <c r="G18" s="34"/>
      <c r="H18" s="24"/>
      <c r="I18" s="24"/>
      <c r="J18" s="24"/>
      <c r="K18" s="17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>
        <v>1</v>
      </c>
      <c r="H19" s="24"/>
      <c r="I19" s="24"/>
      <c r="J19" s="24"/>
      <c r="K19" s="17">
        <f t="shared" si="1"/>
        <v>1</v>
      </c>
      <c r="L19" s="7">
        <f t="shared" si="2"/>
        <v>1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1</v>
      </c>
      <c r="C22" s="24"/>
      <c r="D22" s="24"/>
      <c r="E22" s="25"/>
      <c r="F22" s="19">
        <f t="shared" si="0"/>
        <v>1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4</v>
      </c>
    </row>
    <row r="23" spans="1:12" ht="15.75" thickBot="1" x14ac:dyDescent="0.3">
      <c r="A23" s="8">
        <v>15</v>
      </c>
      <c r="B23" s="23">
        <v>2</v>
      </c>
      <c r="C23" s="24"/>
      <c r="D23" s="24"/>
      <c r="E23" s="25"/>
      <c r="F23" s="19">
        <f t="shared" si="0"/>
        <v>2</v>
      </c>
      <c r="G23" s="32">
        <v>4</v>
      </c>
      <c r="H23" s="24"/>
      <c r="I23" s="24"/>
      <c r="J23" s="24"/>
      <c r="K23" s="17">
        <f t="shared" si="1"/>
        <v>4</v>
      </c>
      <c r="L23" s="7">
        <f t="shared" si="2"/>
        <v>6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>
        <v>4</v>
      </c>
      <c r="H24" s="24"/>
      <c r="I24" s="24"/>
      <c r="J24" s="24"/>
      <c r="K24" s="17">
        <f t="shared" si="1"/>
        <v>4</v>
      </c>
      <c r="L24" s="7">
        <f t="shared" si="2"/>
        <v>4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>
        <v>4</v>
      </c>
      <c r="H25" s="24"/>
      <c r="I25" s="24"/>
      <c r="J25" s="24"/>
      <c r="K25" s="17">
        <f t="shared" si="1"/>
        <v>4</v>
      </c>
      <c r="L25" s="7">
        <f t="shared" si="2"/>
        <v>4</v>
      </c>
    </row>
    <row r="26" spans="1:12" ht="15.75" thickBot="1" x14ac:dyDescent="0.3">
      <c r="A26" s="8">
        <v>18</v>
      </c>
      <c r="B26" s="23">
        <v>3</v>
      </c>
      <c r="C26" s="24"/>
      <c r="D26" s="24"/>
      <c r="E26" s="25"/>
      <c r="F26" s="19">
        <f t="shared" si="0"/>
        <v>3</v>
      </c>
      <c r="G26" s="32">
        <v>2</v>
      </c>
      <c r="H26" s="24"/>
      <c r="I26" s="24"/>
      <c r="J26" s="24"/>
      <c r="K26" s="17">
        <f t="shared" si="1"/>
        <v>2</v>
      </c>
      <c r="L26" s="7">
        <f t="shared" si="2"/>
        <v>5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1</v>
      </c>
      <c r="H28" s="24"/>
      <c r="I28" s="24"/>
      <c r="J28" s="24"/>
      <c r="K28" s="17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3"/>
      <c r="C29" s="24"/>
      <c r="D29" s="24">
        <v>1</v>
      </c>
      <c r="E29" s="25"/>
      <c r="F29" s="19">
        <f t="shared" si="0"/>
        <v>1</v>
      </c>
      <c r="G29" s="32"/>
      <c r="H29" s="24"/>
      <c r="I29" s="24"/>
      <c r="J29" s="24"/>
      <c r="K29" s="17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1</v>
      </c>
      <c r="H31" s="24"/>
      <c r="I31" s="24">
        <v>2</v>
      </c>
      <c r="J31" s="24"/>
      <c r="K31" s="17">
        <f t="shared" si="1"/>
        <v>3</v>
      </c>
      <c r="L31" s="7">
        <f t="shared" si="2"/>
        <v>3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>
        <v>1</v>
      </c>
      <c r="E36" s="25"/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3">
        <v>1</v>
      </c>
      <c r="C37" s="24"/>
      <c r="D37" s="24">
        <v>1</v>
      </c>
      <c r="E37" s="25"/>
      <c r="F37" s="19">
        <f t="shared" si="0"/>
        <v>2</v>
      </c>
      <c r="G37" s="32">
        <v>1</v>
      </c>
      <c r="H37" s="24"/>
      <c r="I37" s="24"/>
      <c r="J37" s="24"/>
      <c r="K37" s="17">
        <f t="shared" si="1"/>
        <v>1</v>
      </c>
      <c r="L37" s="7">
        <f t="shared" si="2"/>
        <v>3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>
        <v>1</v>
      </c>
      <c r="F39" s="19">
        <f t="shared" si="0"/>
        <v>1</v>
      </c>
      <c r="G39" s="32"/>
      <c r="H39" s="24"/>
      <c r="I39" s="24"/>
      <c r="J39" s="24"/>
      <c r="K39" s="17">
        <f t="shared" si="1"/>
        <v>0</v>
      </c>
      <c r="L39" s="7">
        <f t="shared" si="2"/>
        <v>1</v>
      </c>
    </row>
    <row r="40" spans="1:12" ht="15.75" thickBot="1" x14ac:dyDescent="0.3">
      <c r="A40" s="10"/>
      <c r="B40" s="11">
        <f>SUM(B9:B39)</f>
        <v>8</v>
      </c>
      <c r="C40" s="11">
        <f t="shared" ref="C40:E40" si="3">SUM(C9:C39)</f>
        <v>0</v>
      </c>
      <c r="D40" s="11">
        <f t="shared" si="3"/>
        <v>4</v>
      </c>
      <c r="E40" s="11">
        <f t="shared" si="3"/>
        <v>1</v>
      </c>
      <c r="F40" s="16">
        <f>SUM(F9:F39)</f>
        <v>13</v>
      </c>
      <c r="G40" s="18">
        <f>SUM(G9:G39)</f>
        <v>32</v>
      </c>
      <c r="H40" s="18">
        <f t="shared" ref="H40:L40" si="4">SUM(H9:H39)</f>
        <v>0</v>
      </c>
      <c r="I40" s="18">
        <f t="shared" si="4"/>
        <v>2</v>
      </c>
      <c r="J40" s="18">
        <f t="shared" si="4"/>
        <v>0</v>
      </c>
      <c r="K40" s="18">
        <f t="shared" si="4"/>
        <v>34</v>
      </c>
      <c r="L40" s="18">
        <f t="shared" si="4"/>
        <v>47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105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3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50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55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45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29</v>
      </c>
    </row>
  </sheetData>
  <mergeCells count="36">
    <mergeCell ref="A1:D1"/>
    <mergeCell ref="G1:L1"/>
    <mergeCell ref="A2:D2"/>
    <mergeCell ref="G2:L2"/>
    <mergeCell ref="A3:D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9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>
        <v>1</v>
      </c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>
        <v>2</v>
      </c>
      <c r="C13" s="24"/>
      <c r="D13" s="24"/>
      <c r="E13" s="25"/>
      <c r="F13" s="19">
        <f t="shared" si="0"/>
        <v>2</v>
      </c>
      <c r="G13" s="32"/>
      <c r="H13" s="24"/>
      <c r="I13" s="24"/>
      <c r="J13" s="24"/>
      <c r="K13" s="17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>
        <v>1</v>
      </c>
      <c r="F22" s="19">
        <f t="shared" si="0"/>
        <v>1</v>
      </c>
      <c r="G22" s="36"/>
      <c r="H22" s="24"/>
      <c r="I22" s="24"/>
      <c r="J22" s="24"/>
      <c r="K22" s="17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1</v>
      </c>
      <c r="H27" s="24"/>
      <c r="I27" s="24"/>
      <c r="J27" s="24"/>
      <c r="K27" s="17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3">
        <v>3</v>
      </c>
      <c r="C28" s="24"/>
      <c r="D28" s="24">
        <v>1</v>
      </c>
      <c r="E28" s="25"/>
      <c r="F28" s="19">
        <f t="shared" si="0"/>
        <v>4</v>
      </c>
      <c r="G28" s="32"/>
      <c r="H28" s="24"/>
      <c r="I28" s="24"/>
      <c r="J28" s="24"/>
      <c r="K28" s="17">
        <f t="shared" si="1"/>
        <v>0</v>
      </c>
      <c r="L28" s="7">
        <f t="shared" si="2"/>
        <v>4</v>
      </c>
    </row>
    <row r="29" spans="1:12" ht="15.75" thickBot="1" x14ac:dyDescent="0.3">
      <c r="A29" s="8">
        <v>21</v>
      </c>
      <c r="B29" s="23">
        <v>1</v>
      </c>
      <c r="C29" s="24"/>
      <c r="D29" s="24"/>
      <c r="E29" s="25"/>
      <c r="F29" s="19">
        <f t="shared" si="0"/>
        <v>1</v>
      </c>
      <c r="G29" s="32"/>
      <c r="H29" s="24"/>
      <c r="I29" s="24"/>
      <c r="J29" s="24"/>
      <c r="K29" s="17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3">
        <v>3</v>
      </c>
      <c r="C30" s="24"/>
      <c r="D30" s="24">
        <v>1</v>
      </c>
      <c r="E30" s="25"/>
      <c r="F30" s="19">
        <f t="shared" si="0"/>
        <v>4</v>
      </c>
      <c r="G30" s="32"/>
      <c r="H30" s="24"/>
      <c r="I30" s="24"/>
      <c r="J30" s="24"/>
      <c r="K30" s="17">
        <f t="shared" si="1"/>
        <v>0</v>
      </c>
      <c r="L30" s="7">
        <f t="shared" si="2"/>
        <v>4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10</v>
      </c>
      <c r="C40" s="51">
        <f t="shared" ref="C40:E40" si="3">SUM(C9:C39)</f>
        <v>0</v>
      </c>
      <c r="D40" s="51">
        <f t="shared" si="3"/>
        <v>3</v>
      </c>
      <c r="E40" s="51">
        <f t="shared" si="3"/>
        <v>1</v>
      </c>
      <c r="F40" s="50">
        <f>SUM(F9:F39)</f>
        <v>14</v>
      </c>
      <c r="G40" s="18">
        <f>SUM(G9:G39)</f>
        <v>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15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45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100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5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20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125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105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20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2" spans="1:12" x14ac:dyDescent="0.25">
      <c r="B52" t="s">
        <v>30</v>
      </c>
    </row>
    <row r="53" spans="1:12" x14ac:dyDescent="0.25">
      <c r="B53" t="s">
        <v>31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2</v>
      </c>
      <c r="C12" s="24"/>
      <c r="D12" s="24"/>
      <c r="E12" s="25"/>
      <c r="F12" s="19">
        <f t="shared" si="0"/>
        <v>2</v>
      </c>
      <c r="G12" s="33"/>
      <c r="H12" s="24"/>
      <c r="I12" s="24"/>
      <c r="J12" s="24"/>
      <c r="K12" s="17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>
        <v>2</v>
      </c>
      <c r="H13" s="24"/>
      <c r="I13" s="24"/>
      <c r="J13" s="24"/>
      <c r="K13" s="17">
        <f t="shared" si="1"/>
        <v>2</v>
      </c>
      <c r="L13" s="7">
        <f t="shared" si="2"/>
        <v>2</v>
      </c>
    </row>
    <row r="14" spans="1:12" ht="15.75" thickBot="1" x14ac:dyDescent="0.3">
      <c r="A14" s="8">
        <v>6</v>
      </c>
      <c r="B14" s="23">
        <v>2</v>
      </c>
      <c r="C14" s="24"/>
      <c r="D14" s="24"/>
      <c r="E14" s="25"/>
      <c r="F14" s="19">
        <f t="shared" si="0"/>
        <v>2</v>
      </c>
      <c r="G14" s="32">
        <v>2</v>
      </c>
      <c r="H14" s="24"/>
      <c r="I14" s="24"/>
      <c r="J14" s="24"/>
      <c r="K14" s="17">
        <f t="shared" si="1"/>
        <v>2</v>
      </c>
      <c r="L14" s="7">
        <f t="shared" si="2"/>
        <v>4</v>
      </c>
    </row>
    <row r="15" spans="1:12" ht="15.75" thickBot="1" x14ac:dyDescent="0.3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>
        <v>2</v>
      </c>
      <c r="H15" s="24"/>
      <c r="I15" s="24"/>
      <c r="J15" s="24"/>
      <c r="K15" s="17">
        <f t="shared" si="1"/>
        <v>2</v>
      </c>
      <c r="L15" s="7">
        <f t="shared" si="2"/>
        <v>3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>
        <v>7</v>
      </c>
      <c r="H16" s="24"/>
      <c r="I16" s="24"/>
      <c r="J16" s="24"/>
      <c r="K16" s="17">
        <f t="shared" si="1"/>
        <v>7</v>
      </c>
      <c r="L16" s="7">
        <f t="shared" si="2"/>
        <v>7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9</v>
      </c>
      <c r="C19" s="24"/>
      <c r="D19" s="24"/>
      <c r="E19" s="25"/>
      <c r="F19" s="19">
        <f t="shared" si="0"/>
        <v>9</v>
      </c>
      <c r="G19" s="32">
        <v>2</v>
      </c>
      <c r="H19" s="24"/>
      <c r="I19" s="24"/>
      <c r="J19" s="24"/>
      <c r="K19" s="17">
        <f t="shared" si="1"/>
        <v>2</v>
      </c>
      <c r="L19" s="7">
        <f t="shared" si="2"/>
        <v>11</v>
      </c>
    </row>
    <row r="20" spans="1:12" ht="15.75" thickBot="1" x14ac:dyDescent="0.3">
      <c r="A20" s="8">
        <v>12</v>
      </c>
      <c r="B20" s="23"/>
      <c r="C20" s="24"/>
      <c r="D20" s="24">
        <v>1</v>
      </c>
      <c r="E20" s="25"/>
      <c r="F20" s="19">
        <f t="shared" si="0"/>
        <v>1</v>
      </c>
      <c r="G20" s="32">
        <v>3</v>
      </c>
      <c r="H20" s="35"/>
      <c r="I20" s="35"/>
      <c r="J20" s="35"/>
      <c r="K20" s="17">
        <f t="shared" si="1"/>
        <v>3</v>
      </c>
      <c r="L20" s="7">
        <f t="shared" si="2"/>
        <v>4</v>
      </c>
    </row>
    <row r="21" spans="1:12" ht="15.75" thickBot="1" x14ac:dyDescent="0.3">
      <c r="A21" s="8">
        <v>13</v>
      </c>
      <c r="B21" s="23">
        <v>1</v>
      </c>
      <c r="C21" s="24"/>
      <c r="D21" s="24"/>
      <c r="E21" s="25"/>
      <c r="F21" s="19">
        <f t="shared" si="0"/>
        <v>1</v>
      </c>
      <c r="G21" s="36">
        <v>3</v>
      </c>
      <c r="H21" s="24"/>
      <c r="I21" s="24"/>
      <c r="J21" s="24"/>
      <c r="K21" s="17">
        <f t="shared" si="1"/>
        <v>3</v>
      </c>
      <c r="L21" s="7">
        <f t="shared" si="2"/>
        <v>4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2</v>
      </c>
      <c r="H22" s="24"/>
      <c r="I22" s="24"/>
      <c r="J22" s="24"/>
      <c r="K22" s="17">
        <f t="shared" si="1"/>
        <v>2</v>
      </c>
      <c r="L22" s="7">
        <f t="shared" si="2"/>
        <v>2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/>
      <c r="H26" s="24"/>
      <c r="I26" s="24"/>
      <c r="J26" s="24"/>
      <c r="K26" s="17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1</v>
      </c>
      <c r="H28" s="24"/>
      <c r="I28" s="24"/>
      <c r="J28" s="24"/>
      <c r="K28" s="17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2</v>
      </c>
      <c r="H30" s="24"/>
      <c r="I30" s="24"/>
      <c r="J30" s="24"/>
      <c r="K30" s="17">
        <f t="shared" si="1"/>
        <v>2</v>
      </c>
      <c r="L30" s="7">
        <f t="shared" si="2"/>
        <v>2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>
        <v>4</v>
      </c>
      <c r="I34" s="24"/>
      <c r="J34" s="24"/>
      <c r="K34" s="17">
        <f t="shared" si="1"/>
        <v>4</v>
      </c>
      <c r="L34" s="7">
        <f t="shared" si="2"/>
        <v>4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4</v>
      </c>
      <c r="H35" s="24"/>
      <c r="I35" s="24"/>
      <c r="J35" s="24"/>
      <c r="K35" s="17">
        <f t="shared" si="1"/>
        <v>4</v>
      </c>
      <c r="L35" s="7">
        <f t="shared" si="2"/>
        <v>4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11</v>
      </c>
      <c r="H36" s="24"/>
      <c r="I36" s="24"/>
      <c r="J36" s="24"/>
      <c r="K36" s="17">
        <f t="shared" si="1"/>
        <v>11</v>
      </c>
      <c r="L36" s="7">
        <f t="shared" si="2"/>
        <v>11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7</v>
      </c>
      <c r="H37" s="24"/>
      <c r="I37" s="24"/>
      <c r="J37" s="24"/>
      <c r="K37" s="17">
        <f t="shared" si="1"/>
        <v>7</v>
      </c>
      <c r="L37" s="7">
        <f t="shared" si="2"/>
        <v>7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16</v>
      </c>
      <c r="C40" s="54">
        <f t="shared" ref="C40:E40" si="3">SUM(C9:C39)</f>
        <v>0</v>
      </c>
      <c r="D40" s="54">
        <f t="shared" si="3"/>
        <v>1</v>
      </c>
      <c r="E40" s="54">
        <f t="shared" si="3"/>
        <v>0</v>
      </c>
      <c r="F40" s="53">
        <f>SUM(F9:F39)</f>
        <v>17</v>
      </c>
      <c r="G40" s="18">
        <f>SUM(G9:G39)</f>
        <v>49</v>
      </c>
      <c r="H40" s="18">
        <f t="shared" ref="H40:L40" si="4">SUM(H9:H39)</f>
        <v>4</v>
      </c>
      <c r="I40" s="18">
        <f t="shared" si="4"/>
        <v>0</v>
      </c>
      <c r="J40" s="18">
        <f t="shared" si="4"/>
        <v>0</v>
      </c>
      <c r="K40" s="18">
        <f t="shared" si="4"/>
        <v>53</v>
      </c>
      <c r="L40" s="18">
        <f t="shared" si="4"/>
        <v>70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105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181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72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142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144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54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90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2" spans="1:12" x14ac:dyDescent="0.25">
      <c r="B52" t="s">
        <v>33</v>
      </c>
    </row>
    <row r="53" spans="1:12" x14ac:dyDescent="0.25">
      <c r="B53" t="s">
        <v>35</v>
      </c>
    </row>
    <row r="54" spans="1:12" x14ac:dyDescent="0.25">
      <c r="B54" t="s">
        <v>36</v>
      </c>
    </row>
    <row r="55" spans="1:12" x14ac:dyDescent="0.25">
      <c r="B55" t="s">
        <v>37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>
        <v>3</v>
      </c>
      <c r="C9" s="21"/>
      <c r="D9" s="21"/>
      <c r="E9" s="22"/>
      <c r="F9" s="19">
        <f>SUM(B9:E9)</f>
        <v>3</v>
      </c>
      <c r="G9" s="48"/>
      <c r="H9" s="31"/>
      <c r="I9" s="31"/>
      <c r="J9" s="31"/>
      <c r="K9" s="17">
        <f>SUM(G9:J9)</f>
        <v>0</v>
      </c>
      <c r="L9" s="7">
        <f>SUM(F9+K9)</f>
        <v>3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>
        <v>1</v>
      </c>
      <c r="I10" s="24"/>
      <c r="J10" s="24"/>
      <c r="K10" s="17">
        <f t="shared" ref="K10:K39" si="1">SUM(G10:J10)</f>
        <v>1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3"/>
      <c r="C11" s="24"/>
      <c r="D11" s="24">
        <v>1</v>
      </c>
      <c r="E11" s="26"/>
      <c r="F11" s="19">
        <f t="shared" si="0"/>
        <v>1</v>
      </c>
      <c r="G11" s="32"/>
      <c r="H11" s="24"/>
      <c r="I11" s="24"/>
      <c r="J11" s="24"/>
      <c r="K11" s="17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3">
        <v>3</v>
      </c>
      <c r="C12" s="24"/>
      <c r="D12" s="24"/>
      <c r="E12" s="25"/>
      <c r="F12" s="19">
        <f t="shared" si="0"/>
        <v>3</v>
      </c>
      <c r="G12" s="33"/>
      <c r="H12" s="24"/>
      <c r="I12" s="24">
        <v>3</v>
      </c>
      <c r="J12" s="24"/>
      <c r="K12" s="17">
        <f t="shared" si="1"/>
        <v>3</v>
      </c>
      <c r="L12" s="7">
        <f t="shared" si="2"/>
        <v>6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>
        <v>3</v>
      </c>
      <c r="H16" s="24"/>
      <c r="I16" s="24"/>
      <c r="J16" s="24"/>
      <c r="K16" s="17">
        <f t="shared" si="1"/>
        <v>3</v>
      </c>
      <c r="L16" s="7">
        <f t="shared" si="2"/>
        <v>3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>
        <v>3</v>
      </c>
      <c r="H17" s="24"/>
      <c r="I17" s="24"/>
      <c r="J17" s="24"/>
      <c r="K17" s="17">
        <f t="shared" si="1"/>
        <v>3</v>
      </c>
      <c r="L17" s="7">
        <f t="shared" si="2"/>
        <v>3</v>
      </c>
    </row>
    <row r="18" spans="1:12" ht="15.75" thickBot="1" x14ac:dyDescent="0.3">
      <c r="A18" s="8">
        <v>10</v>
      </c>
      <c r="B18" s="23">
        <v>1</v>
      </c>
      <c r="C18" s="24"/>
      <c r="D18" s="24"/>
      <c r="E18" s="25"/>
      <c r="F18" s="19">
        <f t="shared" si="0"/>
        <v>1</v>
      </c>
      <c r="G18" s="34"/>
      <c r="H18" s="24"/>
      <c r="I18" s="24"/>
      <c r="J18" s="24"/>
      <c r="K18" s="17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>
        <v>1</v>
      </c>
      <c r="H19" s="24"/>
      <c r="I19" s="24">
        <v>1</v>
      </c>
      <c r="J19" s="24"/>
      <c r="K19" s="17">
        <f t="shared" si="1"/>
        <v>2</v>
      </c>
      <c r="L19" s="7">
        <f t="shared" si="2"/>
        <v>3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>
        <v>2</v>
      </c>
      <c r="J20" s="35"/>
      <c r="K20" s="17">
        <f t="shared" si="1"/>
        <v>2</v>
      </c>
      <c r="L20" s="7">
        <f t="shared" si="2"/>
        <v>2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>
        <v>1</v>
      </c>
      <c r="H23" s="24"/>
      <c r="I23" s="24">
        <v>3</v>
      </c>
      <c r="J23" s="24"/>
      <c r="K23" s="17">
        <f t="shared" si="1"/>
        <v>4</v>
      </c>
      <c r="L23" s="7">
        <f t="shared" si="2"/>
        <v>4</v>
      </c>
    </row>
    <row r="24" spans="1:12" ht="15.75" thickBot="1" x14ac:dyDescent="0.3">
      <c r="A24" s="8">
        <v>16</v>
      </c>
      <c r="B24" s="23">
        <v>1</v>
      </c>
      <c r="C24" s="24"/>
      <c r="D24" s="24"/>
      <c r="E24" s="25"/>
      <c r="F24" s="19">
        <f t="shared" si="0"/>
        <v>1</v>
      </c>
      <c r="G24" s="32"/>
      <c r="H24" s="24"/>
      <c r="I24" s="24">
        <v>3</v>
      </c>
      <c r="J24" s="24"/>
      <c r="K24" s="17">
        <f t="shared" si="1"/>
        <v>3</v>
      </c>
      <c r="L24" s="7">
        <f t="shared" si="2"/>
        <v>4</v>
      </c>
    </row>
    <row r="25" spans="1:12" ht="15.75" thickBot="1" x14ac:dyDescent="0.3">
      <c r="A25" s="8">
        <v>17</v>
      </c>
      <c r="B25" s="23">
        <v>1</v>
      </c>
      <c r="C25" s="49"/>
      <c r="D25" s="27"/>
      <c r="E25" s="25"/>
      <c r="F25" s="19">
        <f t="shared" si="0"/>
        <v>1</v>
      </c>
      <c r="G25" s="32">
        <v>3</v>
      </c>
      <c r="H25" s="24"/>
      <c r="I25" s="24"/>
      <c r="J25" s="24"/>
      <c r="K25" s="17">
        <f t="shared" si="1"/>
        <v>3</v>
      </c>
      <c r="L25" s="7">
        <f t="shared" si="2"/>
        <v>4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>
        <v>8</v>
      </c>
      <c r="H26" s="24"/>
      <c r="I26" s="24"/>
      <c r="J26" s="24"/>
      <c r="K26" s="17">
        <f t="shared" si="1"/>
        <v>8</v>
      </c>
      <c r="L26" s="7">
        <f t="shared" si="2"/>
        <v>9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4</v>
      </c>
      <c r="H27" s="24"/>
      <c r="I27" s="24"/>
      <c r="J27" s="24"/>
      <c r="K27" s="17">
        <f t="shared" si="1"/>
        <v>4</v>
      </c>
      <c r="L27" s="7">
        <f t="shared" si="2"/>
        <v>4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4</v>
      </c>
      <c r="H30" s="24"/>
      <c r="I30" s="24"/>
      <c r="J30" s="24"/>
      <c r="K30" s="17">
        <f t="shared" si="1"/>
        <v>4</v>
      </c>
      <c r="L30" s="7">
        <f t="shared" si="2"/>
        <v>4</v>
      </c>
    </row>
    <row r="31" spans="1:12" ht="15.75" thickBot="1" x14ac:dyDescent="0.3">
      <c r="A31" s="8">
        <v>23</v>
      </c>
      <c r="B31" s="23">
        <v>2</v>
      </c>
      <c r="C31" s="24"/>
      <c r="D31" s="24"/>
      <c r="E31" s="25"/>
      <c r="F31" s="19">
        <f t="shared" si="0"/>
        <v>2</v>
      </c>
      <c r="G31" s="32">
        <v>4</v>
      </c>
      <c r="H31" s="24"/>
      <c r="I31" s="24"/>
      <c r="J31" s="24"/>
      <c r="K31" s="17">
        <f t="shared" si="1"/>
        <v>4</v>
      </c>
      <c r="L31" s="7">
        <f t="shared" si="2"/>
        <v>6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>
        <v>4</v>
      </c>
      <c r="H32" s="24"/>
      <c r="I32" s="24"/>
      <c r="J32" s="24"/>
      <c r="K32" s="17">
        <f t="shared" si="1"/>
        <v>4</v>
      </c>
      <c r="L32" s="7">
        <f t="shared" si="2"/>
        <v>4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3</v>
      </c>
      <c r="H34" s="24"/>
      <c r="I34" s="24"/>
      <c r="J34" s="24"/>
      <c r="K34" s="17">
        <f t="shared" si="1"/>
        <v>3</v>
      </c>
      <c r="L34" s="7">
        <f t="shared" si="2"/>
        <v>3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2</v>
      </c>
      <c r="H37" s="24"/>
      <c r="I37" s="24"/>
      <c r="J37" s="24"/>
      <c r="K37" s="17">
        <f t="shared" si="1"/>
        <v>2</v>
      </c>
      <c r="L37" s="7">
        <f t="shared" si="2"/>
        <v>2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3</v>
      </c>
      <c r="H38" s="24"/>
      <c r="I38" s="24"/>
      <c r="J38" s="24"/>
      <c r="K38" s="17">
        <f t="shared" si="1"/>
        <v>3</v>
      </c>
      <c r="L38" s="7">
        <f t="shared" si="2"/>
        <v>3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14</v>
      </c>
      <c r="C40" s="56">
        <f t="shared" ref="C40:E40" si="3">SUM(C9:C39)</f>
        <v>0</v>
      </c>
      <c r="D40" s="56">
        <f t="shared" si="3"/>
        <v>1</v>
      </c>
      <c r="E40" s="56">
        <f t="shared" si="3"/>
        <v>0</v>
      </c>
      <c r="F40" s="55">
        <f>SUM(F9:F39)</f>
        <v>15</v>
      </c>
      <c r="G40" s="18">
        <f>SUM(G9:G39)</f>
        <v>43</v>
      </c>
      <c r="H40" s="18">
        <f t="shared" ref="H40:L40" si="4">SUM(H9:H39)</f>
        <v>1</v>
      </c>
      <c r="I40" s="18">
        <f t="shared" si="4"/>
        <v>12</v>
      </c>
      <c r="J40" s="18">
        <f t="shared" si="4"/>
        <v>0</v>
      </c>
      <c r="K40" s="18">
        <f t="shared" si="4"/>
        <v>56</v>
      </c>
      <c r="L40" s="18">
        <f t="shared" si="4"/>
        <v>71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54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108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1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72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90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70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20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31</v>
      </c>
    </row>
    <row r="54" spans="1:12" x14ac:dyDescent="0.25">
      <c r="B54" t="s">
        <v>39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7" workbookViewId="0">
      <selection activeCell="I58" sqref="I5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>
        <v>2</v>
      </c>
      <c r="C10" s="24"/>
      <c r="D10" s="24"/>
      <c r="E10" s="25"/>
      <c r="F10" s="19">
        <f t="shared" ref="F10:F39" si="0">SUM(B10:E10)</f>
        <v>2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>
        <v>2</v>
      </c>
      <c r="C14" s="24"/>
      <c r="D14" s="24"/>
      <c r="E14" s="25"/>
      <c r="F14" s="19">
        <f t="shared" si="0"/>
        <v>2</v>
      </c>
      <c r="G14" s="32"/>
      <c r="H14" s="24"/>
      <c r="I14" s="24"/>
      <c r="J14" s="24"/>
      <c r="K14" s="17">
        <f t="shared" si="1"/>
        <v>0</v>
      </c>
      <c r="L14" s="7">
        <f t="shared" si="2"/>
        <v>2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>
        <v>1</v>
      </c>
      <c r="C18" s="24"/>
      <c r="D18" s="24"/>
      <c r="E18" s="25"/>
      <c r="F18" s="19">
        <f t="shared" si="0"/>
        <v>1</v>
      </c>
      <c r="G18" s="34"/>
      <c r="H18" s="24"/>
      <c r="I18" s="24"/>
      <c r="J18" s="24"/>
      <c r="K18" s="17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1</v>
      </c>
      <c r="C22" s="24"/>
      <c r="D22" s="24">
        <v>1</v>
      </c>
      <c r="E22" s="25"/>
      <c r="F22" s="19">
        <f t="shared" si="0"/>
        <v>2</v>
      </c>
      <c r="G22" s="36"/>
      <c r="H22" s="24"/>
      <c r="I22" s="24"/>
      <c r="J22" s="24"/>
      <c r="K22" s="17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>
        <v>2</v>
      </c>
      <c r="C24" s="24"/>
      <c r="D24" s="24"/>
      <c r="E24" s="25"/>
      <c r="F24" s="19">
        <f t="shared" si="0"/>
        <v>2</v>
      </c>
      <c r="G24" s="32">
        <v>2</v>
      </c>
      <c r="H24" s="24"/>
      <c r="I24" s="24"/>
      <c r="J24" s="24"/>
      <c r="K24" s="17">
        <f t="shared" si="1"/>
        <v>2</v>
      </c>
      <c r="L24" s="7">
        <f t="shared" si="2"/>
        <v>4</v>
      </c>
    </row>
    <row r="25" spans="1:12" ht="15.75" thickBot="1" x14ac:dyDescent="0.3">
      <c r="A25" s="8">
        <v>17</v>
      </c>
      <c r="B25" s="23">
        <v>1</v>
      </c>
      <c r="C25" s="49"/>
      <c r="D25" s="27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2</v>
      </c>
      <c r="H30" s="24"/>
      <c r="I30" s="24"/>
      <c r="J30" s="24"/>
      <c r="K30" s="17">
        <f t="shared" si="1"/>
        <v>2</v>
      </c>
      <c r="L30" s="7">
        <f t="shared" si="2"/>
        <v>2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4</v>
      </c>
      <c r="H31" s="24"/>
      <c r="I31" s="24"/>
      <c r="J31" s="24"/>
      <c r="K31" s="17">
        <f t="shared" si="1"/>
        <v>4</v>
      </c>
      <c r="L31" s="7">
        <f t="shared" si="2"/>
        <v>4</v>
      </c>
    </row>
    <row r="32" spans="1:12" ht="15.75" thickBot="1" x14ac:dyDescent="0.3">
      <c r="A32" s="8">
        <v>24</v>
      </c>
      <c r="B32" s="23">
        <v>1</v>
      </c>
      <c r="C32" s="24"/>
      <c r="D32" s="24"/>
      <c r="E32" s="25"/>
      <c r="F32" s="19">
        <f t="shared" si="0"/>
        <v>1</v>
      </c>
      <c r="G32" s="32">
        <v>3</v>
      </c>
      <c r="H32" s="24"/>
      <c r="I32" s="24"/>
      <c r="J32" s="24"/>
      <c r="K32" s="17">
        <f t="shared" si="1"/>
        <v>3</v>
      </c>
      <c r="L32" s="7">
        <f t="shared" si="2"/>
        <v>4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10</v>
      </c>
      <c r="C40" s="58">
        <f t="shared" ref="C40:E40" si="3">SUM(C9:C39)</f>
        <v>0</v>
      </c>
      <c r="D40" s="58">
        <f t="shared" si="3"/>
        <v>1</v>
      </c>
      <c r="E40" s="58">
        <f t="shared" si="3"/>
        <v>0</v>
      </c>
      <c r="F40" s="57">
        <f>SUM(F9:F39)</f>
        <v>11</v>
      </c>
      <c r="G40" s="18">
        <f>SUM(G9:G39)</f>
        <v>11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11</v>
      </c>
      <c r="L40" s="18">
        <f t="shared" si="4"/>
        <v>22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70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14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36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34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24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31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3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41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>
        <v>2</v>
      </c>
      <c r="C15" s="24"/>
      <c r="D15" s="24"/>
      <c r="E15" s="25"/>
      <c r="F15" s="19">
        <f t="shared" si="0"/>
        <v>2</v>
      </c>
      <c r="G15" s="32"/>
      <c r="H15" s="24">
        <v>2</v>
      </c>
      <c r="I15" s="24"/>
      <c r="J15" s="24"/>
      <c r="K15" s="17">
        <f t="shared" si="1"/>
        <v>2</v>
      </c>
      <c r="L15" s="7">
        <f t="shared" si="2"/>
        <v>4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>
        <v>1</v>
      </c>
      <c r="J28" s="24"/>
      <c r="K28" s="17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1</v>
      </c>
      <c r="H29" s="24"/>
      <c r="I29" s="24"/>
      <c r="J29" s="24"/>
      <c r="K29" s="17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>
        <v>1</v>
      </c>
      <c r="C34" s="24"/>
      <c r="D34" s="24"/>
      <c r="E34" s="25"/>
      <c r="F34" s="19">
        <f t="shared" si="0"/>
        <v>1</v>
      </c>
      <c r="G34" s="32"/>
      <c r="H34" s="24"/>
      <c r="I34" s="24"/>
      <c r="J34" s="24"/>
      <c r="K34" s="17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6</v>
      </c>
      <c r="H35" s="24"/>
      <c r="I35" s="24"/>
      <c r="J35" s="24"/>
      <c r="K35" s="17">
        <f t="shared" si="1"/>
        <v>6</v>
      </c>
      <c r="L35" s="7">
        <f t="shared" si="2"/>
        <v>6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5</v>
      </c>
      <c r="H36" s="24"/>
      <c r="I36" s="24"/>
      <c r="J36" s="24"/>
      <c r="K36" s="17">
        <f t="shared" si="1"/>
        <v>5</v>
      </c>
      <c r="L36" s="7">
        <f t="shared" si="2"/>
        <v>5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15</v>
      </c>
      <c r="H38" s="24"/>
      <c r="I38" s="24"/>
      <c r="J38" s="24"/>
      <c r="K38" s="17">
        <f t="shared" si="1"/>
        <v>15</v>
      </c>
      <c r="L38" s="7">
        <f t="shared" si="2"/>
        <v>15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3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3</v>
      </c>
      <c r="G40" s="18">
        <f>SUM(G9:G39)</f>
        <v>27</v>
      </c>
      <c r="H40" s="18">
        <f t="shared" ref="H40:L40" si="4">SUM(H9:H39)</f>
        <v>2</v>
      </c>
      <c r="I40" s="18">
        <f t="shared" si="4"/>
        <v>1</v>
      </c>
      <c r="J40" s="18">
        <f t="shared" si="4"/>
        <v>0</v>
      </c>
      <c r="K40" s="18">
        <f t="shared" si="4"/>
        <v>30</v>
      </c>
      <c r="L40" s="18">
        <f t="shared" si="4"/>
        <v>33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24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215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3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36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203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189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14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44</v>
      </c>
    </row>
    <row r="54" spans="1:12" x14ac:dyDescent="0.25">
      <c r="B54" t="s">
        <v>42</v>
      </c>
    </row>
    <row r="55" spans="1:12" x14ac:dyDescent="0.25">
      <c r="B55" t="s">
        <v>43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7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46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>
        <v>2</v>
      </c>
      <c r="H9" s="31"/>
      <c r="I9" s="31"/>
      <c r="J9" s="31"/>
      <c r="K9" s="17">
        <f>SUM(G9:J9)</f>
        <v>2</v>
      </c>
      <c r="L9" s="7">
        <f>SUM(F9+K9)</f>
        <v>2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>
        <v>3</v>
      </c>
      <c r="H10" s="24"/>
      <c r="I10" s="24"/>
      <c r="J10" s="24"/>
      <c r="K10" s="17">
        <f t="shared" ref="K10:K39" si="1">SUM(G10:J10)</f>
        <v>3</v>
      </c>
      <c r="L10" s="7">
        <f t="shared" ref="L10:L39" si="2">SUM(F10+K10)</f>
        <v>3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>
        <v>5</v>
      </c>
      <c r="H11" s="24"/>
      <c r="I11" s="24"/>
      <c r="J11" s="24"/>
      <c r="K11" s="17">
        <f t="shared" si="1"/>
        <v>5</v>
      </c>
      <c r="L11" s="7">
        <f t="shared" si="2"/>
        <v>5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1</v>
      </c>
      <c r="H12" s="24"/>
      <c r="I12" s="24"/>
      <c r="J12" s="24"/>
      <c r="K12" s="17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>
        <v>1</v>
      </c>
      <c r="H16" s="24"/>
      <c r="I16" s="24"/>
      <c r="J16" s="24"/>
      <c r="K16" s="17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6">
        <v>1</v>
      </c>
      <c r="F17" s="19">
        <f t="shared" si="0"/>
        <v>1</v>
      </c>
      <c r="G17" s="32"/>
      <c r="H17" s="24"/>
      <c r="I17" s="34">
        <v>1</v>
      </c>
      <c r="J17" s="24"/>
      <c r="K17" s="17">
        <f t="shared" si="1"/>
        <v>1</v>
      </c>
      <c r="L17" s="7">
        <f t="shared" si="2"/>
        <v>2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>
        <v>1</v>
      </c>
      <c r="H18" s="24"/>
      <c r="I18" s="24"/>
      <c r="J18" s="24"/>
      <c r="K18" s="17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3">
        <v>1</v>
      </c>
      <c r="C20" s="24"/>
      <c r="D20" s="24"/>
      <c r="E20" s="25"/>
      <c r="F20" s="19">
        <f t="shared" si="0"/>
        <v>1</v>
      </c>
      <c r="G20" s="32"/>
      <c r="H20" s="35"/>
      <c r="I20" s="35"/>
      <c r="J20" s="35"/>
      <c r="K20" s="17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>
        <v>2</v>
      </c>
      <c r="C23" s="24"/>
      <c r="D23" s="24"/>
      <c r="E23" s="25"/>
      <c r="F23" s="19">
        <f t="shared" si="0"/>
        <v>2</v>
      </c>
      <c r="G23" s="32"/>
      <c r="H23" s="24"/>
      <c r="I23" s="24"/>
      <c r="J23" s="24"/>
      <c r="K23" s="17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>
        <v>8</v>
      </c>
      <c r="H24" s="24"/>
      <c r="I24" s="24"/>
      <c r="J24" s="24"/>
      <c r="K24" s="17">
        <f t="shared" si="1"/>
        <v>8</v>
      </c>
      <c r="L24" s="7">
        <f t="shared" si="2"/>
        <v>8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>
        <v>9</v>
      </c>
      <c r="H25" s="24"/>
      <c r="I25" s="24"/>
      <c r="J25" s="24"/>
      <c r="K25" s="17">
        <f t="shared" si="1"/>
        <v>9</v>
      </c>
      <c r="L25" s="7">
        <f t="shared" si="2"/>
        <v>9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>
        <v>5</v>
      </c>
      <c r="H26" s="24"/>
      <c r="I26" s="24"/>
      <c r="J26" s="24"/>
      <c r="K26" s="17">
        <f t="shared" si="1"/>
        <v>5</v>
      </c>
      <c r="L26" s="7">
        <f t="shared" si="2"/>
        <v>5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4</v>
      </c>
      <c r="H27" s="24"/>
      <c r="I27" s="24"/>
      <c r="J27" s="24"/>
      <c r="K27" s="17">
        <f t="shared" si="1"/>
        <v>4</v>
      </c>
      <c r="L27" s="7">
        <f t="shared" si="2"/>
        <v>4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6</v>
      </c>
      <c r="H30" s="24"/>
      <c r="I30" s="24"/>
      <c r="J30" s="24"/>
      <c r="K30" s="17">
        <f t="shared" si="1"/>
        <v>6</v>
      </c>
      <c r="L30" s="7">
        <f t="shared" si="2"/>
        <v>6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7</v>
      </c>
      <c r="H31" s="24"/>
      <c r="I31" s="24"/>
      <c r="J31" s="24"/>
      <c r="K31" s="17">
        <f t="shared" si="1"/>
        <v>7</v>
      </c>
      <c r="L31" s="7">
        <f t="shared" si="2"/>
        <v>7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4</v>
      </c>
      <c r="H37" s="24"/>
      <c r="I37" s="24"/>
      <c r="J37" s="24"/>
      <c r="K37" s="17">
        <f t="shared" si="1"/>
        <v>4</v>
      </c>
      <c r="L37" s="7">
        <f t="shared" si="2"/>
        <v>4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5</v>
      </c>
      <c r="H38" s="24"/>
      <c r="I38" s="24"/>
      <c r="J38" s="24"/>
      <c r="K38" s="17">
        <f t="shared" si="1"/>
        <v>5</v>
      </c>
      <c r="L38" s="7">
        <f t="shared" si="2"/>
        <v>5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4</v>
      </c>
      <c r="C40" s="62">
        <f t="shared" ref="C40:E40" si="3">SUM(C9:C39)</f>
        <v>0</v>
      </c>
      <c r="D40" s="62">
        <f t="shared" si="3"/>
        <v>0</v>
      </c>
      <c r="E40" s="62">
        <f t="shared" si="3"/>
        <v>1</v>
      </c>
      <c r="F40" s="61">
        <f>SUM(F9:F39)</f>
        <v>5</v>
      </c>
      <c r="G40" s="18">
        <f>SUM(G9:G39)</f>
        <v>62</v>
      </c>
      <c r="H40" s="18">
        <f t="shared" ref="H40:L40" si="4">SUM(H9:H39)</f>
        <v>0</v>
      </c>
      <c r="I40" s="18">
        <f t="shared" si="4"/>
        <v>1</v>
      </c>
      <c r="J40" s="18">
        <f t="shared" si="4"/>
        <v>0</v>
      </c>
      <c r="K40" s="18">
        <f t="shared" si="4"/>
        <v>63</v>
      </c>
      <c r="L40" s="18">
        <f t="shared" si="4"/>
        <v>68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189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1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69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121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111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45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3" workbookViewId="0">
      <selection activeCell="B55" sqref="B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47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>
        <v>2</v>
      </c>
      <c r="H9" s="31"/>
      <c r="I9" s="31"/>
      <c r="J9" s="31"/>
      <c r="K9" s="17">
        <f>SUM(G9:J9)</f>
        <v>2</v>
      </c>
      <c r="L9" s="7">
        <f>SUM(F9+K9)</f>
        <v>2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>
        <v>3</v>
      </c>
      <c r="H13" s="24"/>
      <c r="I13" s="24"/>
      <c r="J13" s="24"/>
      <c r="K13" s="17">
        <f t="shared" si="1"/>
        <v>3</v>
      </c>
      <c r="L13" s="7">
        <f t="shared" si="2"/>
        <v>3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6"/>
      <c r="F17" s="19">
        <f t="shared" si="0"/>
        <v>0</v>
      </c>
      <c r="G17" s="32"/>
      <c r="H17" s="24"/>
      <c r="I17" s="34">
        <v>1</v>
      </c>
      <c r="J17" s="24"/>
      <c r="K17" s="17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>
        <v>4</v>
      </c>
      <c r="C23" s="24"/>
      <c r="D23" s="24"/>
      <c r="E23" s="25"/>
      <c r="F23" s="19">
        <f t="shared" si="0"/>
        <v>4</v>
      </c>
      <c r="G23" s="32"/>
      <c r="H23" s="24"/>
      <c r="I23" s="24"/>
      <c r="J23" s="24"/>
      <c r="K23" s="17">
        <f t="shared" si="1"/>
        <v>0</v>
      </c>
      <c r="L23" s="7">
        <f t="shared" si="2"/>
        <v>4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>
        <v>2</v>
      </c>
      <c r="C26" s="24"/>
      <c r="D26" s="24"/>
      <c r="E26" s="25"/>
      <c r="F26" s="19">
        <f t="shared" si="0"/>
        <v>2</v>
      </c>
      <c r="G26" s="32"/>
      <c r="H26" s="24"/>
      <c r="I26" s="24"/>
      <c r="J26" s="24"/>
      <c r="K26" s="17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>
        <v>1</v>
      </c>
      <c r="C34" s="24"/>
      <c r="D34" s="24"/>
      <c r="E34" s="25"/>
      <c r="F34" s="19">
        <f t="shared" si="0"/>
        <v>1</v>
      </c>
      <c r="G34" s="32"/>
      <c r="H34" s="24"/>
      <c r="I34" s="24">
        <v>1</v>
      </c>
      <c r="J34" s="24"/>
      <c r="K34" s="17">
        <f t="shared" si="1"/>
        <v>1</v>
      </c>
      <c r="L34" s="7">
        <f t="shared" si="2"/>
        <v>2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2</v>
      </c>
      <c r="C36" s="24"/>
      <c r="D36" s="24"/>
      <c r="E36" s="25"/>
      <c r="F36" s="19">
        <f t="shared" si="0"/>
        <v>2</v>
      </c>
      <c r="G36" s="32"/>
      <c r="H36" s="24"/>
      <c r="I36" s="24"/>
      <c r="J36" s="24"/>
      <c r="K36" s="17">
        <f t="shared" si="1"/>
        <v>0</v>
      </c>
      <c r="L36" s="7">
        <f t="shared" si="2"/>
        <v>2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>
        <v>2</v>
      </c>
      <c r="C38" s="24"/>
      <c r="D38" s="24"/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14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14</v>
      </c>
      <c r="G40" s="18">
        <f>SUM(G9:G39)</f>
        <v>5</v>
      </c>
      <c r="H40" s="18">
        <f t="shared" ref="H40:L40" si="4">SUM(H9:H39)</f>
        <v>0</v>
      </c>
      <c r="I40" s="18">
        <f t="shared" si="4"/>
        <v>2</v>
      </c>
      <c r="J40" s="18">
        <f t="shared" si="4"/>
        <v>0</v>
      </c>
      <c r="K40" s="18">
        <f t="shared" si="4"/>
        <v>7</v>
      </c>
      <c r="L40" s="18">
        <f t="shared" si="4"/>
        <v>21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111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21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90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50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40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48</v>
      </c>
    </row>
    <row r="54" spans="1:12" x14ac:dyDescent="0.25">
      <c r="B54" t="s">
        <v>49</v>
      </c>
    </row>
    <row r="55" spans="1:12" x14ac:dyDescent="0.25">
      <c r="B55" t="s">
        <v>50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I11" sqref="I1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51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>
        <v>1</v>
      </c>
      <c r="C11" s="24"/>
      <c r="D11" s="24"/>
      <c r="E11" s="26"/>
      <c r="F11" s="19">
        <f t="shared" si="0"/>
        <v>1</v>
      </c>
      <c r="G11" s="32">
        <v>13</v>
      </c>
      <c r="H11" s="24"/>
      <c r="I11" s="24"/>
      <c r="J11" s="24"/>
      <c r="K11" s="17">
        <f t="shared" si="1"/>
        <v>13</v>
      </c>
      <c r="L11" s="7">
        <f t="shared" si="2"/>
        <v>14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8</v>
      </c>
      <c r="H12" s="24"/>
      <c r="I12" s="24"/>
      <c r="J12" s="24"/>
      <c r="K12" s="17">
        <f t="shared" si="1"/>
        <v>8</v>
      </c>
      <c r="L12" s="7">
        <f t="shared" si="2"/>
        <v>8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>
        <v>5</v>
      </c>
      <c r="H13" s="24"/>
      <c r="I13" s="24"/>
      <c r="J13" s="24"/>
      <c r="K13" s="17">
        <f t="shared" si="1"/>
        <v>5</v>
      </c>
      <c r="L13" s="7">
        <f t="shared" si="2"/>
        <v>6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>
        <v>4</v>
      </c>
      <c r="H14" s="24"/>
      <c r="I14" s="24"/>
      <c r="J14" s="24"/>
      <c r="K14" s="17">
        <f t="shared" si="1"/>
        <v>4</v>
      </c>
      <c r="L14" s="7">
        <f t="shared" si="2"/>
        <v>4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6"/>
      <c r="F17" s="19">
        <f t="shared" si="0"/>
        <v>0</v>
      </c>
      <c r="G17" s="32"/>
      <c r="H17" s="24"/>
      <c r="I17" s="3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1</v>
      </c>
      <c r="C20" s="24"/>
      <c r="D20" s="24"/>
      <c r="E20" s="25"/>
      <c r="F20" s="19">
        <f t="shared" si="0"/>
        <v>1</v>
      </c>
      <c r="G20" s="32">
        <v>2</v>
      </c>
      <c r="H20" s="35"/>
      <c r="I20" s="35"/>
      <c r="J20" s="35"/>
      <c r="K20" s="17">
        <f t="shared" si="1"/>
        <v>2</v>
      </c>
      <c r="L20" s="7">
        <f t="shared" si="2"/>
        <v>3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2</v>
      </c>
      <c r="C25" s="49"/>
      <c r="D25" s="27">
        <v>1</v>
      </c>
      <c r="E25" s="25"/>
      <c r="F25" s="19">
        <f t="shared" si="0"/>
        <v>3</v>
      </c>
      <c r="G25" s="32"/>
      <c r="H25" s="24"/>
      <c r="I25" s="24"/>
      <c r="J25" s="24"/>
      <c r="K25" s="17">
        <f t="shared" si="1"/>
        <v>0</v>
      </c>
      <c r="L25" s="7">
        <f t="shared" si="2"/>
        <v>3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/>
      <c r="H26" s="24"/>
      <c r="I26" s="24"/>
      <c r="J26" s="24"/>
      <c r="K26" s="17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>
        <v>1</v>
      </c>
      <c r="C31" s="24"/>
      <c r="D31" s="24"/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3">
        <v>1</v>
      </c>
      <c r="C32" s="24"/>
      <c r="D32" s="24"/>
      <c r="E32" s="25"/>
      <c r="F32" s="19">
        <f t="shared" si="0"/>
        <v>1</v>
      </c>
      <c r="G32" s="32"/>
      <c r="H32" s="24"/>
      <c r="I32" s="24"/>
      <c r="J32" s="24"/>
      <c r="K32" s="17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3">
        <v>1</v>
      </c>
      <c r="C33" s="24"/>
      <c r="D33" s="24"/>
      <c r="E33" s="25"/>
      <c r="F33" s="19">
        <f t="shared" si="0"/>
        <v>1</v>
      </c>
      <c r="G33" s="32"/>
      <c r="H33" s="24"/>
      <c r="I33" s="24"/>
      <c r="J33" s="24"/>
      <c r="K33" s="17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10</v>
      </c>
      <c r="C40" s="66">
        <f t="shared" ref="C40:E40" si="3">SUM(C9:C39)</f>
        <v>0</v>
      </c>
      <c r="D40" s="66">
        <f t="shared" si="3"/>
        <v>1</v>
      </c>
      <c r="E40" s="66">
        <f t="shared" si="3"/>
        <v>0</v>
      </c>
      <c r="F40" s="65">
        <f>SUM(F9:F39)</f>
        <v>11</v>
      </c>
      <c r="G40" s="18">
        <f>SUM(G9:G39)</f>
        <v>32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32</v>
      </c>
      <c r="L40" s="18">
        <f t="shared" si="4"/>
        <v>43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50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30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30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73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7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7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1" workbookViewId="0">
      <selection activeCell="K53" sqref="K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54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1</v>
      </c>
      <c r="H15" s="24"/>
      <c r="I15" s="24"/>
      <c r="J15" s="24"/>
      <c r="K15" s="17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6"/>
      <c r="F17" s="19">
        <f t="shared" si="0"/>
        <v>0</v>
      </c>
      <c r="G17" s="32"/>
      <c r="H17" s="24"/>
      <c r="I17" s="3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>
        <v>3</v>
      </c>
      <c r="H32" s="24"/>
      <c r="I32" s="24"/>
      <c r="J32" s="24"/>
      <c r="K32" s="17">
        <f t="shared" si="1"/>
        <v>3</v>
      </c>
      <c r="L32" s="7">
        <f t="shared" si="2"/>
        <v>3</v>
      </c>
    </row>
    <row r="33" spans="1:12" ht="15.75" thickBot="1" x14ac:dyDescent="0.3">
      <c r="A33" s="8">
        <v>25</v>
      </c>
      <c r="B33" s="23">
        <v>1</v>
      </c>
      <c r="C33" s="24">
        <v>1</v>
      </c>
      <c r="D33" s="24"/>
      <c r="E33" s="25"/>
      <c r="F33" s="19">
        <f t="shared" si="0"/>
        <v>2</v>
      </c>
      <c r="G33" s="32">
        <v>1</v>
      </c>
      <c r="H33" s="24"/>
      <c r="I33" s="24">
        <v>1</v>
      </c>
      <c r="J33" s="24"/>
      <c r="K33" s="17">
        <f t="shared" si="1"/>
        <v>2</v>
      </c>
      <c r="L33" s="7">
        <f t="shared" si="2"/>
        <v>4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4</v>
      </c>
      <c r="C36" s="24"/>
      <c r="D36" s="24">
        <v>2</v>
      </c>
      <c r="E36" s="25"/>
      <c r="F36" s="19">
        <f t="shared" si="0"/>
        <v>6</v>
      </c>
      <c r="G36" s="32">
        <v>4</v>
      </c>
      <c r="H36" s="24"/>
      <c r="I36" s="24"/>
      <c r="J36" s="24"/>
      <c r="K36" s="17">
        <f t="shared" si="1"/>
        <v>4</v>
      </c>
      <c r="L36" s="7">
        <f t="shared" si="2"/>
        <v>10</v>
      </c>
    </row>
    <row r="37" spans="1:12" ht="15.75" thickBot="1" x14ac:dyDescent="0.3">
      <c r="A37" s="8">
        <v>29</v>
      </c>
      <c r="B37" s="23">
        <v>6</v>
      </c>
      <c r="C37" s="24"/>
      <c r="D37" s="24"/>
      <c r="E37" s="25"/>
      <c r="F37" s="19">
        <f t="shared" si="0"/>
        <v>6</v>
      </c>
      <c r="G37" s="32">
        <v>2</v>
      </c>
      <c r="H37" s="24"/>
      <c r="I37" s="24"/>
      <c r="J37" s="24"/>
      <c r="K37" s="17">
        <f t="shared" si="1"/>
        <v>2</v>
      </c>
      <c r="L37" s="7">
        <f t="shared" si="2"/>
        <v>8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11</v>
      </c>
      <c r="H38" s="24"/>
      <c r="I38" s="24"/>
      <c r="J38" s="24"/>
      <c r="K38" s="17">
        <f t="shared" si="1"/>
        <v>11</v>
      </c>
      <c r="L38" s="7">
        <f t="shared" si="2"/>
        <v>11</v>
      </c>
    </row>
    <row r="39" spans="1:12" ht="15.75" thickBot="1" x14ac:dyDescent="0.3">
      <c r="A39" s="9">
        <v>31</v>
      </c>
      <c r="B39" s="28">
        <v>8</v>
      </c>
      <c r="C39" s="29"/>
      <c r="D39" s="29"/>
      <c r="E39" s="30"/>
      <c r="F39" s="19">
        <f t="shared" si="0"/>
        <v>8</v>
      </c>
      <c r="G39" s="32">
        <v>4</v>
      </c>
      <c r="H39" s="24"/>
      <c r="I39" s="24"/>
      <c r="J39" s="24"/>
      <c r="K39" s="17">
        <f t="shared" si="1"/>
        <v>4</v>
      </c>
      <c r="L39" s="7">
        <f t="shared" si="2"/>
        <v>12</v>
      </c>
    </row>
    <row r="40" spans="1:12" ht="15.75" thickBot="1" x14ac:dyDescent="0.3">
      <c r="A40" s="10"/>
      <c r="B40" s="68">
        <f>SUM(B9:B39)</f>
        <v>20</v>
      </c>
      <c r="C40" s="68">
        <f t="shared" ref="C40:E40" si="3">SUM(C9:C39)</f>
        <v>1</v>
      </c>
      <c r="D40" s="68">
        <f t="shared" si="3"/>
        <v>2</v>
      </c>
      <c r="E40" s="68">
        <f t="shared" si="3"/>
        <v>0</v>
      </c>
      <c r="F40" s="67">
        <f>SUM(F9:F39)</f>
        <v>23</v>
      </c>
      <c r="G40" s="18">
        <f>SUM(G9:G39)</f>
        <v>26</v>
      </c>
      <c r="H40" s="18">
        <f t="shared" ref="H40:L40" si="4">SUM(H9:H39)</f>
        <v>0</v>
      </c>
      <c r="I40" s="18">
        <f t="shared" si="4"/>
        <v>1</v>
      </c>
      <c r="J40" s="18">
        <f t="shared" si="4"/>
        <v>0</v>
      </c>
      <c r="K40" s="18">
        <f t="shared" si="4"/>
        <v>27</v>
      </c>
      <c r="L40" s="18">
        <f t="shared" si="4"/>
        <v>50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7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201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15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65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143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113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30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50</v>
      </c>
    </row>
    <row r="54" spans="1:12" x14ac:dyDescent="0.25">
      <c r="B54" t="s">
        <v>52</v>
      </c>
    </row>
    <row r="55" spans="1:12" x14ac:dyDescent="0.25">
      <c r="B55" t="s">
        <v>53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7" workbookViewId="0">
      <selection activeCell="B56" sqref="B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57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3</v>
      </c>
      <c r="C12" s="24"/>
      <c r="D12" s="24"/>
      <c r="E12" s="25"/>
      <c r="F12" s="19">
        <f t="shared" si="0"/>
        <v>3</v>
      </c>
      <c r="G12" s="33"/>
      <c r="H12" s="24"/>
      <c r="I12" s="24"/>
      <c r="J12" s="24"/>
      <c r="K12" s="17">
        <f t="shared" si="1"/>
        <v>0</v>
      </c>
      <c r="L12" s="7">
        <f t="shared" si="2"/>
        <v>3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>
        <v>3</v>
      </c>
      <c r="H13" s="24"/>
      <c r="I13" s="24"/>
      <c r="J13" s="24"/>
      <c r="K13" s="17">
        <f t="shared" si="1"/>
        <v>3</v>
      </c>
      <c r="L13" s="7">
        <f t="shared" si="2"/>
        <v>4</v>
      </c>
    </row>
    <row r="14" spans="1:12" ht="15.75" thickBot="1" x14ac:dyDescent="0.3">
      <c r="A14" s="8">
        <v>6</v>
      </c>
      <c r="B14" s="23">
        <v>1</v>
      </c>
      <c r="C14" s="24"/>
      <c r="D14" s="24">
        <v>1</v>
      </c>
      <c r="E14" s="25"/>
      <c r="F14" s="19">
        <f t="shared" si="0"/>
        <v>2</v>
      </c>
      <c r="G14" s="32">
        <v>4</v>
      </c>
      <c r="H14" s="24"/>
      <c r="I14" s="24"/>
      <c r="J14" s="24"/>
      <c r="K14" s="17">
        <f t="shared" si="1"/>
        <v>4</v>
      </c>
      <c r="L14" s="7">
        <f t="shared" si="2"/>
        <v>6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2</v>
      </c>
      <c r="H15" s="24"/>
      <c r="I15" s="24"/>
      <c r="J15" s="24"/>
      <c r="K15" s="17">
        <f t="shared" si="1"/>
        <v>2</v>
      </c>
      <c r="L15" s="7">
        <f t="shared" si="2"/>
        <v>2</v>
      </c>
    </row>
    <row r="16" spans="1:12" ht="15.75" thickBot="1" x14ac:dyDescent="0.3">
      <c r="A16" s="8">
        <v>8</v>
      </c>
      <c r="B16" s="23">
        <v>6</v>
      </c>
      <c r="C16" s="24"/>
      <c r="D16" s="24"/>
      <c r="E16" s="25"/>
      <c r="F16" s="19">
        <f t="shared" si="0"/>
        <v>6</v>
      </c>
      <c r="G16" s="32"/>
      <c r="H16" s="24"/>
      <c r="I16" s="24"/>
      <c r="J16" s="24"/>
      <c r="K16" s="17">
        <f t="shared" si="1"/>
        <v>0</v>
      </c>
      <c r="L16" s="7">
        <f t="shared" si="2"/>
        <v>6</v>
      </c>
    </row>
    <row r="17" spans="1:12" ht="15.75" thickBot="1" x14ac:dyDescent="0.3">
      <c r="A17" s="8">
        <v>9</v>
      </c>
      <c r="B17" s="23"/>
      <c r="C17" s="24"/>
      <c r="D17" s="24"/>
      <c r="E17" s="26"/>
      <c r="F17" s="19">
        <f t="shared" si="0"/>
        <v>0</v>
      </c>
      <c r="G17" s="32"/>
      <c r="H17" s="24"/>
      <c r="I17" s="3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1</v>
      </c>
      <c r="C19" s="24"/>
      <c r="D19" s="24">
        <v>1</v>
      </c>
      <c r="E19" s="25"/>
      <c r="F19" s="19">
        <f t="shared" si="0"/>
        <v>2</v>
      </c>
      <c r="G19" s="32"/>
      <c r="H19" s="24"/>
      <c r="I19" s="24"/>
      <c r="J19" s="24"/>
      <c r="K19" s="17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3"/>
      <c r="C20" s="24"/>
      <c r="D20" s="24"/>
      <c r="E20" s="25">
        <v>2</v>
      </c>
      <c r="F20" s="19">
        <f t="shared" si="0"/>
        <v>2</v>
      </c>
      <c r="G20" s="32"/>
      <c r="H20" s="35"/>
      <c r="I20" s="35"/>
      <c r="J20" s="35"/>
      <c r="K20" s="17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2</v>
      </c>
      <c r="C22" s="24"/>
      <c r="D22" s="24">
        <v>2</v>
      </c>
      <c r="E22" s="25"/>
      <c r="F22" s="19">
        <f t="shared" si="0"/>
        <v>4</v>
      </c>
      <c r="G22" s="36"/>
      <c r="H22" s="24"/>
      <c r="I22" s="24"/>
      <c r="J22" s="24"/>
      <c r="K22" s="17">
        <f t="shared" si="1"/>
        <v>0</v>
      </c>
      <c r="L22" s="7">
        <f t="shared" si="2"/>
        <v>4</v>
      </c>
    </row>
    <row r="23" spans="1:12" ht="15.75" thickBot="1" x14ac:dyDescent="0.3">
      <c r="A23" s="8">
        <v>15</v>
      </c>
      <c r="B23" s="23">
        <v>1</v>
      </c>
      <c r="C23" s="24"/>
      <c r="D23" s="24"/>
      <c r="E23" s="25"/>
      <c r="F23" s="19">
        <f t="shared" si="0"/>
        <v>1</v>
      </c>
      <c r="G23" s="32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/>
      <c r="H26" s="24"/>
      <c r="I26" s="24"/>
      <c r="J26" s="24"/>
      <c r="K26" s="17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1</v>
      </c>
      <c r="H29" s="24"/>
      <c r="I29" s="24"/>
      <c r="J29" s="24"/>
      <c r="K29" s="17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>
        <v>2</v>
      </c>
      <c r="C34" s="24"/>
      <c r="D34" s="24"/>
      <c r="E34" s="25"/>
      <c r="F34" s="19">
        <f t="shared" si="0"/>
        <v>2</v>
      </c>
      <c r="G34" s="32">
        <v>10</v>
      </c>
      <c r="H34" s="24"/>
      <c r="I34" s="24"/>
      <c r="J34" s="24"/>
      <c r="K34" s="17">
        <f t="shared" si="1"/>
        <v>10</v>
      </c>
      <c r="L34" s="7">
        <f t="shared" si="2"/>
        <v>12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4</v>
      </c>
      <c r="H35" s="24">
        <v>1</v>
      </c>
      <c r="I35" s="24">
        <v>3</v>
      </c>
      <c r="J35" s="24"/>
      <c r="K35" s="17">
        <f t="shared" si="1"/>
        <v>8</v>
      </c>
      <c r="L35" s="7">
        <f t="shared" si="2"/>
        <v>8</v>
      </c>
    </row>
    <row r="36" spans="1:12" ht="15.75" thickBot="1" x14ac:dyDescent="0.3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>
        <v>3</v>
      </c>
      <c r="H36" s="24"/>
      <c r="I36" s="24">
        <v>1</v>
      </c>
      <c r="J36" s="24"/>
      <c r="K36" s="17">
        <f t="shared" si="1"/>
        <v>4</v>
      </c>
      <c r="L36" s="7">
        <f t="shared" si="2"/>
        <v>5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3</v>
      </c>
      <c r="H37" s="24"/>
      <c r="I37" s="24">
        <v>1</v>
      </c>
      <c r="J37" s="24"/>
      <c r="K37" s="17">
        <f t="shared" si="1"/>
        <v>4</v>
      </c>
      <c r="L37" s="7">
        <f t="shared" si="2"/>
        <v>4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20</v>
      </c>
      <c r="C40" s="70">
        <f t="shared" ref="C40:E40" si="3">SUM(C9:C39)</f>
        <v>0</v>
      </c>
      <c r="D40" s="70">
        <f t="shared" si="3"/>
        <v>4</v>
      </c>
      <c r="E40" s="70">
        <f t="shared" si="3"/>
        <v>2</v>
      </c>
      <c r="F40" s="69">
        <f>SUM(F9:F39)</f>
        <v>26</v>
      </c>
      <c r="G40" s="18">
        <f>SUM(G9:G39)</f>
        <v>30</v>
      </c>
      <c r="H40" s="18">
        <f t="shared" ref="H40:L40" si="4">SUM(H9:H39)</f>
        <v>1</v>
      </c>
      <c r="I40" s="18">
        <f t="shared" si="4"/>
        <v>5</v>
      </c>
      <c r="J40" s="18">
        <f t="shared" si="4"/>
        <v>0</v>
      </c>
      <c r="K40" s="18">
        <f t="shared" si="4"/>
        <v>36</v>
      </c>
      <c r="L40" s="18">
        <f t="shared" si="4"/>
        <v>62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113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20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3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65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68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28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106">
        <f>G47-G48</f>
        <v>40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55</v>
      </c>
    </row>
    <row r="54" spans="1:12" x14ac:dyDescent="0.25">
      <c r="B54" t="s">
        <v>52</v>
      </c>
    </row>
    <row r="55" spans="1:12" x14ac:dyDescent="0.25">
      <c r="B55" t="s">
        <v>56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37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3" t="s">
        <v>0</v>
      </c>
      <c r="B1" s="93"/>
      <c r="C1" s="93"/>
      <c r="D1" s="93"/>
      <c r="E1" s="37"/>
      <c r="F1" s="38"/>
      <c r="G1" s="94" t="s">
        <v>1</v>
      </c>
      <c r="H1" s="94"/>
      <c r="I1" s="94"/>
      <c r="J1" s="94"/>
      <c r="K1" s="94"/>
      <c r="L1" s="94"/>
    </row>
    <row r="2" spans="1:12" ht="15.75" x14ac:dyDescent="0.25">
      <c r="A2" s="94" t="s">
        <v>2</v>
      </c>
      <c r="B2" s="94"/>
      <c r="C2" s="94"/>
      <c r="D2" s="94"/>
      <c r="E2" s="37"/>
      <c r="F2" s="38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x14ac:dyDescent="0.25">
      <c r="A5" s="94" t="s">
        <v>58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6"/>
      <c r="I6" s="96"/>
      <c r="J6" s="13"/>
      <c r="K6" s="39"/>
      <c r="L6" s="3"/>
    </row>
    <row r="7" spans="1:12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2" ht="15.75" thickBot="1" x14ac:dyDescent="0.3">
      <c r="A8" s="9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>
        <v>2</v>
      </c>
      <c r="C10" s="24"/>
      <c r="D10" s="24"/>
      <c r="E10" s="25"/>
      <c r="F10" s="19">
        <f t="shared" ref="F10:F39" si="0">SUM(B10:E10)</f>
        <v>2</v>
      </c>
      <c r="G10" s="32">
        <v>2</v>
      </c>
      <c r="H10" s="24"/>
      <c r="I10" s="24"/>
      <c r="J10" s="24"/>
      <c r="K10" s="17">
        <f t="shared" ref="K10:K39" si="1">SUM(G10:J10)</f>
        <v>2</v>
      </c>
      <c r="L10" s="7">
        <f t="shared" ref="L10:L39" si="2">SUM(F10+K10)</f>
        <v>4</v>
      </c>
    </row>
    <row r="11" spans="1:12" ht="15.75" thickBot="1" x14ac:dyDescent="0.3">
      <c r="A11" s="8">
        <v>3</v>
      </c>
      <c r="B11" s="23"/>
      <c r="C11" s="24"/>
      <c r="D11" s="24">
        <v>1</v>
      </c>
      <c r="E11" s="26"/>
      <c r="F11" s="19">
        <f t="shared" si="0"/>
        <v>1</v>
      </c>
      <c r="G11" s="32">
        <v>1</v>
      </c>
      <c r="H11" s="24"/>
      <c r="I11" s="24"/>
      <c r="J11" s="24"/>
      <c r="K11" s="17">
        <f t="shared" si="1"/>
        <v>1</v>
      </c>
      <c r="L11" s="7">
        <f t="shared" si="2"/>
        <v>2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6"/>
      <c r="F17" s="19">
        <f t="shared" si="0"/>
        <v>0</v>
      </c>
      <c r="G17" s="32"/>
      <c r="H17" s="24"/>
      <c r="I17" s="3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1</v>
      </c>
      <c r="C25" s="49"/>
      <c r="D25" s="27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/>
      <c r="H26" s="24"/>
      <c r="I26" s="24"/>
      <c r="J26" s="24"/>
      <c r="K26" s="17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>
        <v>2</v>
      </c>
      <c r="C31" s="24"/>
      <c r="D31" s="24">
        <v>1</v>
      </c>
      <c r="E31" s="25"/>
      <c r="F31" s="19">
        <f t="shared" si="0"/>
        <v>3</v>
      </c>
      <c r="G31" s="32"/>
      <c r="H31" s="24"/>
      <c r="I31" s="24"/>
      <c r="J31" s="24"/>
      <c r="K31" s="17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3">
        <v>1</v>
      </c>
      <c r="C32" s="24"/>
      <c r="D32" s="24"/>
      <c r="E32" s="25"/>
      <c r="F32" s="19">
        <f t="shared" si="0"/>
        <v>1</v>
      </c>
      <c r="G32" s="32"/>
      <c r="H32" s="24"/>
      <c r="I32" s="24"/>
      <c r="J32" s="24"/>
      <c r="K32" s="17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3">
        <v>1</v>
      </c>
      <c r="C33" s="24"/>
      <c r="D33" s="24"/>
      <c r="E33" s="25"/>
      <c r="F33" s="19">
        <f t="shared" si="0"/>
        <v>1</v>
      </c>
      <c r="G33" s="32"/>
      <c r="H33" s="24"/>
      <c r="I33" s="24"/>
      <c r="J33" s="24"/>
      <c r="K33" s="17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>
        <v>2</v>
      </c>
      <c r="C39" s="29"/>
      <c r="D39" s="29"/>
      <c r="E39" s="30"/>
      <c r="F39" s="19">
        <f t="shared" si="0"/>
        <v>2</v>
      </c>
      <c r="G39" s="32">
        <v>4</v>
      </c>
      <c r="H39" s="24"/>
      <c r="I39" s="24"/>
      <c r="J39" s="24"/>
      <c r="K39" s="17">
        <f t="shared" si="1"/>
        <v>4</v>
      </c>
      <c r="L39" s="7">
        <f t="shared" si="2"/>
        <v>6</v>
      </c>
    </row>
    <row r="40" spans="1:12" ht="15.75" thickBot="1" x14ac:dyDescent="0.3">
      <c r="A40" s="10"/>
      <c r="B40" s="72">
        <f>SUM(B9:B39)</f>
        <v>10</v>
      </c>
      <c r="C40" s="72">
        <f t="shared" ref="C40:E40" si="3">SUM(C9:C39)</f>
        <v>0</v>
      </c>
      <c r="D40" s="72">
        <f t="shared" si="3"/>
        <v>2</v>
      </c>
      <c r="E40" s="72">
        <f t="shared" si="3"/>
        <v>0</v>
      </c>
      <c r="F40" s="71">
        <f>SUM(F9:F39)</f>
        <v>12</v>
      </c>
      <c r="G40" s="18">
        <f>SUM(G9:G39)</f>
        <v>7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7</v>
      </c>
      <c r="L40" s="18">
        <f t="shared" si="4"/>
        <v>19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73" t="s">
        <v>19</v>
      </c>
      <c r="C43" s="74"/>
      <c r="D43" s="74"/>
      <c r="E43" s="74"/>
      <c r="F43" s="74"/>
      <c r="G43" s="84">
        <v>28</v>
      </c>
      <c r="H43" s="90"/>
      <c r="I43" s="91"/>
      <c r="J43" s="92"/>
      <c r="K43" s="12"/>
      <c r="L43" s="14"/>
    </row>
    <row r="44" spans="1:12" ht="15.75" thickBot="1" x14ac:dyDescent="0.3">
      <c r="A44" s="15"/>
      <c r="B44" s="73" t="s">
        <v>20</v>
      </c>
      <c r="C44" s="74"/>
      <c r="D44" s="74"/>
      <c r="E44" s="74"/>
      <c r="F44" s="74"/>
      <c r="G44" s="75">
        <v>19</v>
      </c>
      <c r="H44" s="76"/>
      <c r="I44" s="75"/>
      <c r="J44" s="76"/>
      <c r="K44" s="12"/>
      <c r="L44" s="14"/>
    </row>
    <row r="45" spans="1:12" ht="15.75" thickBot="1" x14ac:dyDescent="0.3">
      <c r="A45" s="15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2"/>
      <c r="L45" s="14"/>
    </row>
    <row r="46" spans="1:12" ht="15.75" thickBot="1" x14ac:dyDescent="0.3">
      <c r="A46" s="15"/>
      <c r="B46" s="73" t="s">
        <v>22</v>
      </c>
      <c r="C46" s="74"/>
      <c r="D46" s="74"/>
      <c r="E46" s="74"/>
      <c r="F46" s="74"/>
      <c r="G46" s="80">
        <f>L40+G45</f>
        <v>19</v>
      </c>
      <c r="H46" s="76"/>
      <c r="I46" s="75"/>
      <c r="J46" s="76"/>
      <c r="K46" s="12"/>
      <c r="L46" s="14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28</v>
      </c>
      <c r="H47" s="76"/>
      <c r="I47" s="75"/>
      <c r="J47" s="76"/>
      <c r="K47" s="12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10</v>
      </c>
      <c r="H48" s="76"/>
      <c r="I48" s="75"/>
      <c r="J48" s="76"/>
      <c r="K48" s="12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106">
        <f>G47-G48</f>
        <v>18</v>
      </c>
      <c r="H49" s="78"/>
      <c r="I49" s="79"/>
      <c r="J49" s="78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52"/>
      <c r="H50" s="44"/>
      <c r="I50" s="45" t="s">
        <v>27</v>
      </c>
      <c r="J50" s="44"/>
      <c r="K50" s="38"/>
      <c r="L50" s="1"/>
    </row>
    <row r="51" spans="1:12" ht="3" customHeight="1" x14ac:dyDescent="0.25"/>
    <row r="53" spans="1:12" x14ac:dyDescent="0.25">
      <c r="B53" t="s">
        <v>52</v>
      </c>
    </row>
    <row r="54" spans="1:12" x14ac:dyDescent="0.25">
      <c r="B54" t="s">
        <v>59</v>
      </c>
    </row>
    <row r="55" spans="1:12" x14ac:dyDescent="0.25">
      <c r="B55" t="s">
        <v>60</v>
      </c>
    </row>
    <row r="56" spans="1:12" x14ac:dyDescent="0.25">
      <c r="B56" t="s">
        <v>61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2018-12-04T09:27:52Z</cp:lastPrinted>
  <dcterms:created xsi:type="dcterms:W3CDTF">2014-12-31T15:22:06Z</dcterms:created>
  <dcterms:modified xsi:type="dcterms:W3CDTF">2019-01-09T10:02:13Z</dcterms:modified>
</cp:coreProperties>
</file>