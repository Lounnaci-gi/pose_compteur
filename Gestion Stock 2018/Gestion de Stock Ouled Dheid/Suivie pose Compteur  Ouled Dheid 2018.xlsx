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8\Gestion de Stock Ouled Dheid\"/>
    </mc:Choice>
  </mc:AlternateContent>
  <bookViews>
    <workbookView xWindow="315" yWindow="195" windowWidth="6900" windowHeight="2025" firstSheet="7" activeTab="11"/>
  </bookViews>
  <sheets>
    <sheet name="Janvier 2018" sheetId="1" r:id="rId1"/>
    <sheet name="Février 2018" sheetId="2" r:id="rId2"/>
    <sheet name="Mars 2018" sheetId="3" r:id="rId3"/>
    <sheet name="Avril 2018" sheetId="4" r:id="rId4"/>
    <sheet name="Mai 2018" sheetId="5" r:id="rId5"/>
    <sheet name="Juin 2018" sheetId="6" r:id="rId6"/>
    <sheet name="Juillet 2018" sheetId="7" r:id="rId7"/>
    <sheet name="Aout 2018" sheetId="8" r:id="rId8"/>
    <sheet name="Septembre 2018" sheetId="9" r:id="rId9"/>
    <sheet name="Octobre 2018" sheetId="10" r:id="rId10"/>
    <sheet name="Novembre 2018" sheetId="11" r:id="rId11"/>
    <sheet name="Décembre 2018" sheetId="12" r:id="rId12"/>
  </sheets>
  <definedNames>
    <definedName name="_xlnm.Print_Titles" localSheetId="7">'Aout 2018'!$1:$6</definedName>
    <definedName name="_xlnm.Print_Titles" localSheetId="3">'Avril 2018'!$1:$6</definedName>
    <definedName name="_xlnm.Print_Titles" localSheetId="11">'Décembre 2018'!$1:$6</definedName>
    <definedName name="_xlnm.Print_Titles" localSheetId="1">'Février 2018'!$1:$6</definedName>
    <definedName name="_xlnm.Print_Titles" localSheetId="0">'Janvier 2018'!$1:$6</definedName>
    <definedName name="_xlnm.Print_Titles" localSheetId="6">'Juillet 2018'!$1:$6</definedName>
    <definedName name="_xlnm.Print_Titles" localSheetId="5">'Juin 2018'!$1:$6</definedName>
    <definedName name="_xlnm.Print_Titles" localSheetId="4">'Mai 2018'!$1:$6</definedName>
    <definedName name="_xlnm.Print_Titles" localSheetId="2">'Mars 2018'!$1:$6</definedName>
    <definedName name="_xlnm.Print_Titles" localSheetId="10">'Novembre 2018'!$1:$6</definedName>
    <definedName name="_xlnm.Print_Titles" localSheetId="9">'Octobre 2018'!$1:$6</definedName>
    <definedName name="_xlnm.Print_Titles" localSheetId="8">'Septembre 2018'!$1:$6</definedName>
  </definedNames>
  <calcPr calcId="152511"/>
</workbook>
</file>

<file path=xl/calcChain.xml><?xml version="1.0" encoding="utf-8"?>
<calcChain xmlns="http://schemas.openxmlformats.org/spreadsheetml/2006/main">
  <c r="A9" i="12" l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8" i="12"/>
  <c r="K4" i="12"/>
  <c r="K3" i="12"/>
  <c r="K5" i="12" s="1"/>
  <c r="K2" i="12"/>
  <c r="A8" i="11" l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K4" i="11"/>
  <c r="K3" i="11"/>
  <c r="K2" i="11"/>
  <c r="K5" i="11" l="1"/>
  <c r="A9" i="10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8" i="10"/>
  <c r="K4" i="10"/>
  <c r="K3" i="10"/>
  <c r="K2" i="10"/>
  <c r="K5" i="10" l="1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K4" i="9"/>
  <c r="K3" i="9"/>
  <c r="K2" i="9"/>
  <c r="K5" i="9" s="1"/>
  <c r="A8" i="8" l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K4" i="8"/>
  <c r="K3" i="8"/>
  <c r="K2" i="8"/>
  <c r="K5" i="8" s="1"/>
  <c r="A8" i="7" l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K4" i="7"/>
  <c r="K3" i="7"/>
  <c r="K2" i="7"/>
  <c r="K5" i="7" s="1"/>
  <c r="A8" i="6" l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K4" i="6"/>
  <c r="K3" i="6"/>
  <c r="K2" i="6"/>
  <c r="K5" i="6" s="1"/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K4" i="5"/>
  <c r="K3" i="5"/>
  <c r="K2" i="5"/>
  <c r="K5" i="5" l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K4" i="4"/>
  <c r="K3" i="4"/>
  <c r="K2" i="4"/>
  <c r="K5" i="4" l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K4" i="3"/>
  <c r="K3" i="3"/>
  <c r="K2" i="3"/>
  <c r="K5" i="3" l="1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K4" i="2"/>
  <c r="K3" i="2"/>
  <c r="K2" i="2"/>
  <c r="K5" i="2" l="1"/>
  <c r="A26" i="1"/>
  <c r="A27" i="1" s="1"/>
  <c r="A28" i="1" s="1"/>
  <c r="A29" i="1" s="1"/>
  <c r="A30" i="1" s="1"/>
  <c r="A31" i="1" s="1"/>
  <c r="A32" i="1" s="1"/>
  <c r="A33" i="1" s="1"/>
  <c r="A34" i="1" s="1"/>
  <c r="A35" i="1" s="1"/>
  <c r="A8" i="1" l="1"/>
  <c r="A9" i="1" s="1"/>
  <c r="A10" i="1" s="1"/>
  <c r="A11" i="1" s="1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K4" i="1"/>
  <c r="K3" i="1"/>
  <c r="A22" i="1" l="1"/>
  <c r="A23" i="1" s="1"/>
  <c r="A24" i="1" s="1"/>
  <c r="A25" i="1" s="1"/>
  <c r="K2" i="1"/>
  <c r="K5" i="1" s="1"/>
</calcChain>
</file>

<file path=xl/sharedStrings.xml><?xml version="1.0" encoding="utf-8"?>
<sst xmlns="http://schemas.openxmlformats.org/spreadsheetml/2006/main" count="486" uniqueCount="184">
  <si>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</si>
  <si>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</si>
  <si>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</si>
  <si>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</si>
  <si>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</si>
  <si>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</si>
  <si>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</si>
  <si>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</si>
  <si>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</si>
  <si>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</si>
  <si>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</si>
  <si>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</si>
  <si>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</si>
  <si>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</si>
  <si>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</si>
  <si>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</si>
  <si>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</si>
  <si>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Antenne Ouled Dheid</t>
  </si>
  <si>
    <t>15/21</t>
  </si>
  <si>
    <t>2017015451</t>
  </si>
  <si>
    <t>BR</t>
  </si>
  <si>
    <t>NB(N°304/2017)</t>
  </si>
  <si>
    <t>Benzid khadidja</t>
  </si>
  <si>
    <r>
      <t>Mois de Février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</si>
  <si>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BO</t>
  </si>
  <si>
    <t>NB(N°374/2017)</t>
  </si>
  <si>
    <t>Benmeziane youcef</t>
  </si>
  <si>
    <t>2017015459</t>
  </si>
  <si>
    <t>2017015457</t>
  </si>
  <si>
    <t>NB(N°373/2017)</t>
  </si>
  <si>
    <t>Rezig oumessad</t>
  </si>
  <si>
    <t>2017015458</t>
  </si>
  <si>
    <t>NB(N°358/2017)</t>
  </si>
  <si>
    <t>Yalichani rabeh</t>
  </si>
  <si>
    <t>2017015456</t>
  </si>
  <si>
    <t>Laziri med</t>
  </si>
  <si>
    <t>NB(N°208/2017)</t>
  </si>
  <si>
    <t>2017015455</t>
  </si>
  <si>
    <t>Aouissi aek</t>
  </si>
  <si>
    <t>NB(N°377/2017)</t>
  </si>
  <si>
    <t>2017015454</t>
  </si>
  <si>
    <t>Ait bachir ben tahar</t>
  </si>
  <si>
    <t>NB(N°351/2017)</t>
  </si>
  <si>
    <t>2017015452</t>
  </si>
  <si>
    <t>Abba cherif ben med</t>
  </si>
  <si>
    <t>NB(N°356/2017)</t>
  </si>
  <si>
    <t>2017015453</t>
  </si>
  <si>
    <t>Riah kamel ben hadj</t>
  </si>
  <si>
    <t>NB(N°384/2017)</t>
  </si>
  <si>
    <t>2017015460</t>
  </si>
  <si>
    <t>NB(N°379/2017)</t>
  </si>
  <si>
    <t>Maiche azeddine</t>
  </si>
  <si>
    <t>cc</t>
  </si>
  <si>
    <t>2017014191</t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</si>
  <si>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</si>
  <si>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NB(N°355/2017)</t>
  </si>
  <si>
    <t>Bennad a/cherif</t>
  </si>
  <si>
    <t>2017014192</t>
  </si>
  <si>
    <t>NB(N°357/2017)</t>
  </si>
  <si>
    <t>Kahoul omar ben med</t>
  </si>
  <si>
    <t>2017014197</t>
  </si>
  <si>
    <t>NB(N°0017/2018)</t>
  </si>
  <si>
    <t>Laidoudi said</t>
  </si>
  <si>
    <t>2017014196</t>
  </si>
  <si>
    <t>Boukhit rachid benali</t>
  </si>
  <si>
    <t>2017014195</t>
  </si>
  <si>
    <t>NB(N°0368/2017)</t>
  </si>
  <si>
    <t>NB(N°0370/2017)</t>
  </si>
  <si>
    <t>Boukhit brahim benali</t>
  </si>
  <si>
    <t>2017014194</t>
  </si>
  <si>
    <t>NB(N°0363/2017)</t>
  </si>
  <si>
    <t>Boukhit berrhouma benali</t>
  </si>
  <si>
    <t>2017014193</t>
  </si>
  <si>
    <t>NB(N°0364/2017)</t>
  </si>
  <si>
    <t>Ait med bena/azziz</t>
  </si>
  <si>
    <t>2017014198</t>
  </si>
  <si>
    <t>NB(N°0052/2018)</t>
  </si>
  <si>
    <t>Kars messaoud ben ahmed</t>
  </si>
  <si>
    <t>2017014152</t>
  </si>
  <si>
    <t>NB(N°0055/2018)</t>
  </si>
  <si>
    <t>Kares khemici</t>
  </si>
  <si>
    <t>2017014199</t>
  </si>
  <si>
    <t>NB(N°0354/2017)</t>
  </si>
  <si>
    <t>Bennad mahmoud</t>
  </si>
  <si>
    <t>2017014200</t>
  </si>
  <si>
    <t>NB(N°0371/2017)</t>
  </si>
  <si>
    <t>Boukhit yahia ben med</t>
  </si>
  <si>
    <t>2017014153</t>
  </si>
  <si>
    <t>NB(N°0378/2017)</t>
  </si>
  <si>
    <t>Berraf miloud</t>
  </si>
  <si>
    <t>2017014154</t>
  </si>
  <si>
    <t>NB(N°0352/2017)</t>
  </si>
  <si>
    <t>Menheb aek</t>
  </si>
  <si>
    <t>BR 0405</t>
  </si>
  <si>
    <t>2017014151</t>
  </si>
  <si>
    <t>Elimination Forfait</t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</si>
  <si>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</si>
  <si>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201714156</t>
  </si>
  <si>
    <t>NB(N°0345/2017)</t>
  </si>
  <si>
    <t>benmeziane bachir</t>
  </si>
  <si>
    <t>201714155</t>
  </si>
  <si>
    <t>benmeziane zakaria</t>
  </si>
  <si>
    <t>NB(N°0021/2018)</t>
  </si>
  <si>
    <t>201714157</t>
  </si>
  <si>
    <t>NB(N°0386/2017)</t>
  </si>
  <si>
    <t>Laboukh noura ep/kaab</t>
  </si>
  <si>
    <t>BR 0017</t>
  </si>
  <si>
    <t>BR 0314</t>
  </si>
  <si>
    <t>201714159</t>
  </si>
  <si>
    <t>201714160</t>
  </si>
  <si>
    <t>Zaoui rafaa ben/med</t>
  </si>
  <si>
    <t>201714158</t>
  </si>
  <si>
    <t>NB(N°0387/2017)</t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</si>
  <si>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</si>
  <si>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2017129117</t>
  </si>
  <si>
    <t>NB(N°362/2017)</t>
  </si>
  <si>
    <t>Benaissa bakhta</t>
  </si>
  <si>
    <t>2017129118</t>
  </si>
  <si>
    <t>NB(N°361/2017)</t>
  </si>
  <si>
    <t>Benadad tahar</t>
  </si>
  <si>
    <t>2017129115</t>
  </si>
  <si>
    <t>NB(N°067/2018)</t>
  </si>
  <si>
    <t>Laziri el hadj ben kouider</t>
  </si>
  <si>
    <t>2017129116</t>
  </si>
  <si>
    <t>NB(N°381/2017)</t>
  </si>
  <si>
    <t>Zaoui belkacem</t>
  </si>
  <si>
    <t>2017129111</t>
  </si>
  <si>
    <t>BR 0361</t>
  </si>
  <si>
    <t>BR 0324</t>
  </si>
  <si>
    <t>2017129112</t>
  </si>
  <si>
    <t>BR 0454</t>
  </si>
  <si>
    <t>2017129113</t>
  </si>
  <si>
    <t>BR 0227</t>
  </si>
  <si>
    <t>2017129114</t>
  </si>
  <si>
    <t>BR 0001</t>
  </si>
  <si>
    <t>BR 0071</t>
  </si>
  <si>
    <t>2047129119</t>
  </si>
  <si>
    <t>2047129120</t>
  </si>
  <si>
    <t>2017129222</t>
  </si>
  <si>
    <t>NB (N°0080/2018)</t>
  </si>
  <si>
    <t>Bahmed mourad</t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</si>
  <si>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</si>
  <si>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</si>
  <si>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</si>
  <si>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BR 0182</t>
  </si>
  <si>
    <t>2018085571</t>
  </si>
  <si>
    <t>2018085572</t>
  </si>
  <si>
    <t>2018085573</t>
  </si>
  <si>
    <t>2018085574</t>
  </si>
  <si>
    <t>2018085575</t>
  </si>
  <si>
    <t>2018085576</t>
  </si>
  <si>
    <t>BR 0070</t>
  </si>
  <si>
    <t>BR 0294</t>
  </si>
  <si>
    <t>BR 0636</t>
  </si>
  <si>
    <t>BR 0333</t>
  </si>
  <si>
    <t>BR 0620</t>
  </si>
  <si>
    <r>
      <t>Mois de Septembre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</si>
  <si>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Octobre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</si>
  <si>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BR 0208</t>
  </si>
  <si>
    <t>2018085577</t>
  </si>
  <si>
    <t>2018085578</t>
  </si>
  <si>
    <t>2018085579</t>
  </si>
  <si>
    <t>Attari ahmed</t>
  </si>
  <si>
    <t>Benaddad ali</t>
  </si>
  <si>
    <t>NB (N°0001/2018)</t>
  </si>
  <si>
    <t>NB (N°0382/2017)</t>
  </si>
  <si>
    <t>2018142542</t>
  </si>
  <si>
    <t>Bahmed ahmed</t>
  </si>
  <si>
    <t>2018142543</t>
  </si>
  <si>
    <t>bensaidane ali benhadj</t>
  </si>
  <si>
    <t>2018142541</t>
  </si>
  <si>
    <t>2018142544</t>
  </si>
  <si>
    <t>BR 0316</t>
  </si>
  <si>
    <t>NB(N°0013/2018)</t>
  </si>
  <si>
    <t>NB(N°0140/2018)</t>
  </si>
  <si>
    <t>fergani hocine</t>
  </si>
  <si>
    <t>2018142545</t>
  </si>
  <si>
    <t>BR 0551</t>
  </si>
  <si>
    <t>2018142546</t>
  </si>
  <si>
    <t>bouarif nadji</t>
  </si>
  <si>
    <t>NB(N°0238/2018)</t>
  </si>
  <si>
    <t>NB(N°0027/2018)</t>
  </si>
  <si>
    <r>
      <t>Mois de NOVEMBRE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</si>
  <si>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DECEMBRE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</si>
</sst>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</cellStyleXfs>
  <cellXfs count="39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1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9" fillId="0" borderId="1" xfId="1" applyFont="1" applyFill="1" applyBorder="1" applyAlignment="1">
      <alignment horizontal="right" vertical="center" wrapText="1"/>
    </xf>
    <xf numFmtId="0" fontId="1" fillId="0" borderId="0" xfId="1" applyFont="1" applyFill="1" applyAlignment="1">
      <alignment vertical="center" wrapText="1"/>
    </xf>
    <xf numFmtId="0" fontId="8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9" fillId="0" borderId="0" xfId="1" applyFont="1" applyAlignment="1">
      <alignment horizontal="left" vertical="center" wrapText="1"/>
    </xf>
    <xf numFmtId="20" fontId="6" fillId="0" borderId="1" xfId="1" applyNumberFormat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7</xdr:row>
      <xdr:rowOff>0</xdr:rowOff>
    </xdr:from>
    <xdr:to>
      <xdr:col>5</xdr:col>
      <xdr:colOff>1304926</xdr:colOff>
      <xdr:row>34</xdr:row>
      <xdr:rowOff>152400</xdr:rowOff>
    </xdr:to>
    <xdr:cxnSp macro="">
      <xdr:nvCxnSpPr>
        <xdr:cNvPr id="3" name="Straight Connector 2"/>
        <xdr:cNvCxnSpPr/>
      </xdr:nvCxnSpPr>
      <xdr:spPr>
        <a:xfrm flipH="1">
          <a:off x="619125" y="1504950"/>
          <a:ext cx="4524376" cy="5295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9525</xdr:rowOff>
    </xdr:from>
    <xdr:to>
      <xdr:col>5</xdr:col>
      <xdr:colOff>1304926</xdr:colOff>
      <xdr:row>35</xdr:row>
      <xdr:rowOff>9525</xdr:rowOff>
    </xdr:to>
    <xdr:cxnSp macro="">
      <xdr:nvCxnSpPr>
        <xdr:cNvPr id="4" name="Straight Connector 3"/>
        <xdr:cNvCxnSpPr/>
      </xdr:nvCxnSpPr>
      <xdr:spPr>
        <a:xfrm flipH="1">
          <a:off x="590550" y="3038475"/>
          <a:ext cx="4552951" cy="3810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</xdr:colOff>
      <xdr:row>20</xdr:row>
      <xdr:rowOff>19050</xdr:rowOff>
    </xdr:from>
    <xdr:to>
      <xdr:col>5</xdr:col>
      <xdr:colOff>1304925</xdr:colOff>
      <xdr:row>35</xdr:row>
      <xdr:rowOff>9525</xdr:rowOff>
    </xdr:to>
    <xdr:cxnSp macro="">
      <xdr:nvCxnSpPr>
        <xdr:cNvPr id="2" name="Straight Connector 1"/>
        <xdr:cNvCxnSpPr/>
      </xdr:nvCxnSpPr>
      <xdr:spPr>
        <a:xfrm flipH="1">
          <a:off x="590557" y="4000500"/>
          <a:ext cx="4552943" cy="2847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11</xdr:row>
      <xdr:rowOff>180975</xdr:rowOff>
    </xdr:from>
    <xdr:to>
      <xdr:col>6</xdr:col>
      <xdr:colOff>0</xdr:colOff>
      <xdr:row>34</xdr:row>
      <xdr:rowOff>161925</xdr:rowOff>
    </xdr:to>
    <xdr:cxnSp macro="">
      <xdr:nvCxnSpPr>
        <xdr:cNvPr id="3" name="Straight Connector 2"/>
        <xdr:cNvCxnSpPr/>
      </xdr:nvCxnSpPr>
      <xdr:spPr>
        <a:xfrm flipH="1">
          <a:off x="571500" y="2447925"/>
          <a:ext cx="4581525" cy="4362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571501</xdr:colOff>
      <xdr:row>15</xdr:row>
      <xdr:rowOff>171450</xdr:rowOff>
    </xdr:from>
    <xdr:to>
      <xdr:col>6</xdr:col>
      <xdr:colOff>0</xdr:colOff>
      <xdr:row>34</xdr:row>
      <xdr:rowOff>161925</xdr:rowOff>
    </xdr:to>
    <xdr:cxnSp macro="">
      <xdr:nvCxnSpPr>
        <xdr:cNvPr id="2" name="Straight Connector 2"/>
        <xdr:cNvCxnSpPr/>
      </xdr:nvCxnSpPr>
      <xdr:spPr>
        <a:xfrm flipH="1">
          <a:off x="571501" y="3200400"/>
          <a:ext cx="4581524" cy="3609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571501</xdr:colOff>
      <xdr:row>7</xdr:row>
      <xdr:rowOff>28575</xdr:rowOff>
    </xdr:from>
    <xdr:to>
      <xdr:col>5</xdr:col>
      <xdr:colOff>1295400</xdr:colOff>
      <xdr:row>34</xdr:row>
      <xdr:rowOff>161925</xdr:rowOff>
    </xdr:to>
    <xdr:cxnSp macro="">
      <xdr:nvCxnSpPr>
        <xdr:cNvPr id="2" name="Straight Connector 2"/>
        <xdr:cNvCxnSpPr/>
      </xdr:nvCxnSpPr>
      <xdr:spPr>
        <a:xfrm flipH="1">
          <a:off x="571501" y="1533525"/>
          <a:ext cx="4562474" cy="5276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571501</xdr:colOff>
      <xdr:row>6</xdr:row>
      <xdr:rowOff>38100</xdr:rowOff>
    </xdr:from>
    <xdr:to>
      <xdr:col>7</xdr:col>
      <xdr:colOff>9525</xdr:colOff>
      <xdr:row>34</xdr:row>
      <xdr:rowOff>161925</xdr:rowOff>
    </xdr:to>
    <xdr:cxnSp macro="">
      <xdr:nvCxnSpPr>
        <xdr:cNvPr id="2" name="Straight Connector 2"/>
        <xdr:cNvCxnSpPr/>
      </xdr:nvCxnSpPr>
      <xdr:spPr>
        <a:xfrm flipH="1">
          <a:off x="571501" y="1352550"/>
          <a:ext cx="4591049" cy="5457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571502</xdr:colOff>
      <xdr:row>12</xdr:row>
      <xdr:rowOff>19050</xdr:rowOff>
    </xdr:from>
    <xdr:to>
      <xdr:col>6</xdr:col>
      <xdr:colOff>0</xdr:colOff>
      <xdr:row>34</xdr:row>
      <xdr:rowOff>161925</xdr:rowOff>
    </xdr:to>
    <xdr:cxnSp macro="">
      <xdr:nvCxnSpPr>
        <xdr:cNvPr id="2" name="Straight Connector 2"/>
        <xdr:cNvCxnSpPr/>
      </xdr:nvCxnSpPr>
      <xdr:spPr>
        <a:xfrm flipH="1">
          <a:off x="571502" y="2476500"/>
          <a:ext cx="4581523" cy="433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571503</xdr:colOff>
      <xdr:row>6</xdr:row>
      <xdr:rowOff>19050</xdr:rowOff>
    </xdr:from>
    <xdr:to>
      <xdr:col>5</xdr:col>
      <xdr:colOff>1295400</xdr:colOff>
      <xdr:row>34</xdr:row>
      <xdr:rowOff>161925</xdr:rowOff>
    </xdr:to>
    <xdr:cxnSp macro="">
      <xdr:nvCxnSpPr>
        <xdr:cNvPr id="2" name="Straight Connector 2"/>
        <xdr:cNvCxnSpPr/>
      </xdr:nvCxnSpPr>
      <xdr:spPr>
        <a:xfrm flipH="1">
          <a:off x="571503" y="1333500"/>
          <a:ext cx="4562472" cy="5476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571503</xdr:colOff>
      <xdr:row>9</xdr:row>
      <xdr:rowOff>28575</xdr:rowOff>
    </xdr:from>
    <xdr:to>
      <xdr:col>5</xdr:col>
      <xdr:colOff>1285875</xdr:colOff>
      <xdr:row>34</xdr:row>
      <xdr:rowOff>161925</xdr:rowOff>
    </xdr:to>
    <xdr:cxnSp macro="">
      <xdr:nvCxnSpPr>
        <xdr:cNvPr id="2" name="Straight Connector 2"/>
        <xdr:cNvCxnSpPr/>
      </xdr:nvCxnSpPr>
      <xdr:spPr>
        <a:xfrm flipH="1">
          <a:off x="571503" y="1914525"/>
          <a:ext cx="4552947" cy="4895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571505</xdr:colOff>
      <xdr:row>12</xdr:row>
      <xdr:rowOff>19050</xdr:rowOff>
    </xdr:from>
    <xdr:to>
      <xdr:col>5</xdr:col>
      <xdr:colOff>1304925</xdr:colOff>
      <xdr:row>31</xdr:row>
      <xdr:rowOff>161925</xdr:rowOff>
    </xdr:to>
    <xdr:cxnSp macro="">
      <xdr:nvCxnSpPr>
        <xdr:cNvPr id="2" name="Straight Connector 2"/>
        <xdr:cNvCxnSpPr/>
      </xdr:nvCxnSpPr>
      <xdr:spPr>
        <a:xfrm flipH="1">
          <a:off x="571505" y="2476500"/>
          <a:ext cx="4571995" cy="3762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571507</xdr:colOff>
      <xdr:row>6</xdr:row>
      <xdr:rowOff>28575</xdr:rowOff>
    </xdr:from>
    <xdr:to>
      <xdr:col>6</xdr:col>
      <xdr:colOff>0</xdr:colOff>
      <xdr:row>31</xdr:row>
      <xdr:rowOff>161925</xdr:rowOff>
    </xdr:to>
    <xdr:cxnSp macro="">
      <xdr:nvCxnSpPr>
        <xdr:cNvPr id="2" name="Straight Connector 2"/>
        <xdr:cNvCxnSpPr/>
      </xdr:nvCxnSpPr>
      <xdr:spPr>
        <a:xfrm flipH="1">
          <a:off x="571507" y="1343025"/>
          <a:ext cx="4581518" cy="4895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A4" sqref="A4:F4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285156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SUMIF(F7:F35,"Elimination*",G7:G35)</f>
        <v>0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SUMIF(F7:F35,"NB*",G7:G35)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SUMIF(F7:F35,"Ve*",G7:G35)</f>
        <v>0</v>
      </c>
    </row>
    <row r="5" spans="1:11" ht="15.75" x14ac:dyDescent="0.25">
      <c r="A5" s="36" t="s">
        <v>16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20</v>
      </c>
      <c r="C7" s="10" t="s">
        <v>18</v>
      </c>
      <c r="D7" s="9" t="s">
        <v>19</v>
      </c>
      <c r="E7" s="12">
        <v>43108</v>
      </c>
      <c r="F7" s="21" t="s">
        <v>21</v>
      </c>
      <c r="G7" s="17"/>
      <c r="H7" s="31" t="s">
        <v>22</v>
      </c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3"/>
      <c r="D8" s="23"/>
      <c r="E8" s="12"/>
      <c r="F8" s="24"/>
      <c r="G8" s="25"/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/>
      <c r="C9" s="13"/>
      <c r="D9" s="23"/>
      <c r="E9" s="12"/>
      <c r="F9" s="24"/>
      <c r="G9" s="25"/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3"/>
      <c r="E10" s="12"/>
      <c r="F10" s="24"/>
      <c r="G10" s="25"/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4"/>
      <c r="G11" s="25"/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4"/>
      <c r="G12" s="25"/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25"/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25"/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25"/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25"/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/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/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/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/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/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/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/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/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/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/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/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/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/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</sheetData>
  <sortState ref="B27:F31">
    <sortCondition ref="C27:C31"/>
  </sortState>
  <mergeCells count="11">
    <mergeCell ref="A4:F4"/>
    <mergeCell ref="I4:J4"/>
    <mergeCell ref="A5:F5"/>
    <mergeCell ref="I5:J5"/>
    <mergeCell ref="A1:C1"/>
    <mergeCell ref="A2:C2"/>
    <mergeCell ref="I2:J2"/>
    <mergeCell ref="A3:C3"/>
    <mergeCell ref="I3:J3"/>
    <mergeCell ref="E2:F2"/>
    <mergeCell ref="E3:F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A5" workbookViewId="0">
      <selection activeCell="D18" sqref="D1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6.5703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SUMIF(F7:F35,"Elimination*",G7:G35)</f>
        <v>0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SUMIF(F7:F35,"NB*",G7:G35)</f>
        <v>9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SUMIF(F7:F35,"Ve*",G7:G35)</f>
        <v>0</v>
      </c>
    </row>
    <row r="5" spans="1:11" ht="15.75" x14ac:dyDescent="0.25">
      <c r="A5" s="36" t="s">
        <v>23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9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52</v>
      </c>
      <c r="I6" s="3"/>
      <c r="J6" s="3"/>
      <c r="K6" s="1"/>
    </row>
    <row r="7" spans="1:11" ht="15" customHeight="1" x14ac:dyDescent="0.25">
      <c r="A7" s="15">
        <v>1</v>
      </c>
      <c r="B7" s="13" t="s">
        <v>24</v>
      </c>
      <c r="C7" s="10" t="s">
        <v>18</v>
      </c>
      <c r="D7" s="9" t="s">
        <v>43</v>
      </c>
      <c r="E7" s="12">
        <v>43137</v>
      </c>
      <c r="F7" s="21" t="s">
        <v>45</v>
      </c>
      <c r="G7" s="17">
        <v>1</v>
      </c>
      <c r="H7" s="29" t="s">
        <v>44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24</v>
      </c>
      <c r="C8" s="10" t="s">
        <v>18</v>
      </c>
      <c r="D8" s="9" t="s">
        <v>46</v>
      </c>
      <c r="E8" s="12">
        <v>43149</v>
      </c>
      <c r="F8" s="21" t="s">
        <v>48</v>
      </c>
      <c r="G8" s="17">
        <v>1</v>
      </c>
      <c r="H8" s="29" t="s">
        <v>47</v>
      </c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 t="s">
        <v>24</v>
      </c>
      <c r="C9" s="10" t="s">
        <v>18</v>
      </c>
      <c r="D9" s="9" t="s">
        <v>49</v>
      </c>
      <c r="E9" s="12">
        <v>43149</v>
      </c>
      <c r="F9" s="21" t="s">
        <v>50</v>
      </c>
      <c r="G9" s="17">
        <v>1</v>
      </c>
      <c r="H9" s="30" t="s">
        <v>51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24</v>
      </c>
      <c r="C10" s="10" t="s">
        <v>18</v>
      </c>
      <c r="D10" s="9" t="s">
        <v>40</v>
      </c>
      <c r="E10" s="12">
        <v>43152</v>
      </c>
      <c r="F10" s="21" t="s">
        <v>42</v>
      </c>
      <c r="G10" s="17">
        <v>1</v>
      </c>
      <c r="H10" s="29" t="s">
        <v>41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24</v>
      </c>
      <c r="C11" s="10" t="s">
        <v>18</v>
      </c>
      <c r="D11" s="9" t="s">
        <v>37</v>
      </c>
      <c r="E11" s="12">
        <v>43152</v>
      </c>
      <c r="F11" s="21" t="s">
        <v>39</v>
      </c>
      <c r="G11" s="17">
        <v>1</v>
      </c>
      <c r="H11" s="26" t="s">
        <v>38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24</v>
      </c>
      <c r="C12" s="10" t="s">
        <v>18</v>
      </c>
      <c r="D12" s="9" t="s">
        <v>34</v>
      </c>
      <c r="E12" s="12">
        <v>43152</v>
      </c>
      <c r="F12" s="21" t="s">
        <v>36</v>
      </c>
      <c r="G12" s="17">
        <v>1</v>
      </c>
      <c r="H12" s="26" t="s">
        <v>35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24</v>
      </c>
      <c r="C13" s="10" t="s">
        <v>18</v>
      </c>
      <c r="D13" s="9" t="s">
        <v>28</v>
      </c>
      <c r="E13" s="12">
        <v>43156</v>
      </c>
      <c r="F13" s="21" t="s">
        <v>29</v>
      </c>
      <c r="G13" s="17">
        <v>1</v>
      </c>
      <c r="H13" s="26" t="s">
        <v>30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24</v>
      </c>
      <c r="C14" s="10" t="s">
        <v>18</v>
      </c>
      <c r="D14" s="9" t="s">
        <v>31</v>
      </c>
      <c r="E14" s="12">
        <v>43156</v>
      </c>
      <c r="F14" s="21" t="s">
        <v>32</v>
      </c>
      <c r="G14" s="17">
        <v>1</v>
      </c>
      <c r="H14" s="26" t="s">
        <v>33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24</v>
      </c>
      <c r="C15" s="10" t="s">
        <v>18</v>
      </c>
      <c r="D15" s="9" t="s">
        <v>27</v>
      </c>
      <c r="E15" s="12">
        <v>43156</v>
      </c>
      <c r="F15" s="21" t="s">
        <v>25</v>
      </c>
      <c r="G15" s="17">
        <v>1</v>
      </c>
      <c r="H15" s="31" t="s">
        <v>26</v>
      </c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>
        <v>1</v>
      </c>
      <c r="H35" s="1"/>
      <c r="I35" s="1"/>
      <c r="J35" s="1"/>
    </row>
  </sheetData>
  <sortState ref="B7:H15">
    <sortCondition ref="E7:E15"/>
    <sortCondition ref="D7:D15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F13" sqref="F13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6.5703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SUMIF(F7:F35,"Elimination*",G7:G35)</f>
        <v>1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SUMIF(F7:F35,"NB*",G7:G35)</f>
        <v>13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SUMIF(F7:F35,"Ve*",G7:G35)</f>
        <v>0</v>
      </c>
    </row>
    <row r="5" spans="1:11" ht="15.75" x14ac:dyDescent="0.25">
      <c r="A5" s="36" t="s">
        <v>54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14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52</v>
      </c>
      <c r="I6" s="3"/>
      <c r="J6" s="3"/>
      <c r="K6" s="1"/>
    </row>
    <row r="7" spans="1:11" ht="15" customHeight="1" x14ac:dyDescent="0.25">
      <c r="A7" s="15">
        <v>1</v>
      </c>
      <c r="B7" s="13" t="s">
        <v>20</v>
      </c>
      <c r="C7" s="10" t="s">
        <v>18</v>
      </c>
      <c r="D7" s="9" t="s">
        <v>53</v>
      </c>
      <c r="E7" s="12">
        <v>43163</v>
      </c>
      <c r="F7" s="21" t="s">
        <v>55</v>
      </c>
      <c r="G7" s="17">
        <v>1</v>
      </c>
      <c r="H7" s="29" t="s">
        <v>56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20</v>
      </c>
      <c r="C8" s="10" t="s">
        <v>18</v>
      </c>
      <c r="D8" s="9" t="s">
        <v>57</v>
      </c>
      <c r="E8" s="12">
        <v>43163</v>
      </c>
      <c r="F8" s="21" t="s">
        <v>58</v>
      </c>
      <c r="G8" s="17">
        <v>1</v>
      </c>
      <c r="H8" s="29" t="s">
        <v>59</v>
      </c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 t="s">
        <v>20</v>
      </c>
      <c r="C9" s="10" t="s">
        <v>18</v>
      </c>
      <c r="D9" s="9" t="s">
        <v>72</v>
      </c>
      <c r="E9" s="12">
        <v>43163</v>
      </c>
      <c r="F9" s="21" t="s">
        <v>73</v>
      </c>
      <c r="G9" s="17">
        <v>1</v>
      </c>
      <c r="H9" s="26" t="s">
        <v>74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20</v>
      </c>
      <c r="C10" s="10" t="s">
        <v>18</v>
      </c>
      <c r="D10" s="9" t="s">
        <v>69</v>
      </c>
      <c r="E10" s="12">
        <v>43164</v>
      </c>
      <c r="F10" s="21" t="s">
        <v>70</v>
      </c>
      <c r="G10" s="17">
        <v>1</v>
      </c>
      <c r="H10" s="29" t="s">
        <v>71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20</v>
      </c>
      <c r="C11" s="10" t="s">
        <v>18</v>
      </c>
      <c r="D11" s="9" t="s">
        <v>65</v>
      </c>
      <c r="E11" s="12">
        <v>43164</v>
      </c>
      <c r="F11" s="21" t="s">
        <v>66</v>
      </c>
      <c r="G11" s="17">
        <v>1</v>
      </c>
      <c r="H11" s="29" t="s">
        <v>68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20</v>
      </c>
      <c r="C12" s="10" t="s">
        <v>18</v>
      </c>
      <c r="D12" s="9" t="s">
        <v>63</v>
      </c>
      <c r="E12" s="12">
        <v>43164</v>
      </c>
      <c r="F12" s="21" t="s">
        <v>67</v>
      </c>
      <c r="G12" s="17">
        <v>1</v>
      </c>
      <c r="H12" s="29" t="s">
        <v>64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20</v>
      </c>
      <c r="C13" s="10" t="s">
        <v>18</v>
      </c>
      <c r="D13" s="9" t="s">
        <v>60</v>
      </c>
      <c r="E13" s="12">
        <v>43164</v>
      </c>
      <c r="F13" s="21" t="s">
        <v>61</v>
      </c>
      <c r="G13" s="17">
        <v>1</v>
      </c>
      <c r="H13" s="30" t="s">
        <v>62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20</v>
      </c>
      <c r="C14" s="10" t="s">
        <v>18</v>
      </c>
      <c r="D14" s="9" t="s">
        <v>75</v>
      </c>
      <c r="E14" s="12">
        <v>43166</v>
      </c>
      <c r="F14" s="21" t="s">
        <v>76</v>
      </c>
      <c r="G14" s="17">
        <v>1</v>
      </c>
      <c r="H14" s="26" t="s">
        <v>77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20</v>
      </c>
      <c r="C15" s="10" t="s">
        <v>18</v>
      </c>
      <c r="D15" s="9" t="s">
        <v>81</v>
      </c>
      <c r="E15" s="12">
        <v>43171</v>
      </c>
      <c r="F15" s="21" t="s">
        <v>82</v>
      </c>
      <c r="G15" s="17">
        <v>1</v>
      </c>
      <c r="H15" s="30" t="s">
        <v>83</v>
      </c>
      <c r="I15" s="2"/>
      <c r="J15" s="2"/>
    </row>
    <row r="16" spans="1:11" ht="15" customHeight="1" x14ac:dyDescent="0.25">
      <c r="A16" s="15">
        <f t="shared" si="0"/>
        <v>10</v>
      </c>
      <c r="B16" s="12" t="s">
        <v>20</v>
      </c>
      <c r="C16" s="10" t="s">
        <v>18</v>
      </c>
      <c r="D16" s="23" t="s">
        <v>84</v>
      </c>
      <c r="E16" s="12">
        <v>43171</v>
      </c>
      <c r="F16" s="21" t="s">
        <v>85</v>
      </c>
      <c r="G16" s="17">
        <v>1</v>
      </c>
      <c r="H16" s="29" t="s">
        <v>86</v>
      </c>
      <c r="I16" s="2"/>
      <c r="J16" s="2"/>
    </row>
    <row r="17" spans="1:10" ht="15" customHeight="1" x14ac:dyDescent="0.25">
      <c r="A17" s="15">
        <f t="shared" si="0"/>
        <v>11</v>
      </c>
      <c r="B17" s="12" t="s">
        <v>93</v>
      </c>
      <c r="C17" s="10" t="s">
        <v>18</v>
      </c>
      <c r="D17" s="23" t="s">
        <v>94</v>
      </c>
      <c r="E17" s="12">
        <v>43173</v>
      </c>
      <c r="F17" s="24" t="s">
        <v>95</v>
      </c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3" t="s">
        <v>20</v>
      </c>
      <c r="C18" s="10" t="s">
        <v>18</v>
      </c>
      <c r="D18" s="9" t="s">
        <v>78</v>
      </c>
      <c r="E18" s="12">
        <v>43178</v>
      </c>
      <c r="F18" s="21" t="s">
        <v>79</v>
      </c>
      <c r="G18" s="17">
        <v>1</v>
      </c>
      <c r="H18" s="26" t="s">
        <v>80</v>
      </c>
      <c r="I18" s="2"/>
      <c r="J18" s="2"/>
    </row>
    <row r="19" spans="1:10" ht="15" customHeight="1" x14ac:dyDescent="0.25">
      <c r="A19" s="15">
        <f t="shared" si="0"/>
        <v>13</v>
      </c>
      <c r="B19" s="12" t="s">
        <v>20</v>
      </c>
      <c r="C19" s="10" t="s">
        <v>18</v>
      </c>
      <c r="D19" s="23" t="s">
        <v>87</v>
      </c>
      <c r="E19" s="12">
        <v>43178</v>
      </c>
      <c r="F19" s="21" t="s">
        <v>88</v>
      </c>
      <c r="G19" s="17">
        <v>1</v>
      </c>
      <c r="H19" s="29" t="s">
        <v>89</v>
      </c>
      <c r="I19" s="2"/>
      <c r="J19" s="2"/>
    </row>
    <row r="20" spans="1:10" ht="15" customHeight="1" x14ac:dyDescent="0.25">
      <c r="A20" s="15">
        <f t="shared" si="0"/>
        <v>14</v>
      </c>
      <c r="B20" s="23" t="s">
        <v>20</v>
      </c>
      <c r="C20" s="10" t="s">
        <v>18</v>
      </c>
      <c r="D20" s="23" t="s">
        <v>90</v>
      </c>
      <c r="E20" s="12">
        <v>43188</v>
      </c>
      <c r="F20" s="21" t="s">
        <v>91</v>
      </c>
      <c r="G20" s="17">
        <v>1</v>
      </c>
      <c r="H20" s="29" t="s">
        <v>92</v>
      </c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>
        <v>1</v>
      </c>
      <c r="H35" s="1"/>
      <c r="I35" s="1"/>
      <c r="J35" s="1"/>
    </row>
  </sheetData>
  <sortState ref="B7:H20">
    <sortCondition ref="E7:E20"/>
    <sortCondition ref="D7:D20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F11" sqref="F11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6.5703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SUMIF(F7:F35,"Elimination*",G7:G35)</f>
        <v>2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SUMIF(F7:F35,"NB*",G7:G35)</f>
        <v>4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SUMIF(F7:F35,"Ve*",G7:G35)</f>
        <v>0</v>
      </c>
    </row>
    <row r="5" spans="1:11" ht="15.75" x14ac:dyDescent="0.25">
      <c r="A5" s="36" t="s">
        <v>96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6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52</v>
      </c>
      <c r="I6" s="3"/>
      <c r="J6" s="3"/>
      <c r="K6" s="1"/>
    </row>
    <row r="7" spans="1:11" ht="15" customHeight="1" x14ac:dyDescent="0.25">
      <c r="A7" s="15">
        <v>1</v>
      </c>
      <c r="B7" s="13" t="s">
        <v>20</v>
      </c>
      <c r="C7" s="10" t="s">
        <v>18</v>
      </c>
      <c r="D7" s="9" t="s">
        <v>100</v>
      </c>
      <c r="E7" s="12">
        <v>43192</v>
      </c>
      <c r="F7" s="21" t="s">
        <v>102</v>
      </c>
      <c r="G7" s="17">
        <v>1</v>
      </c>
      <c r="H7" s="29" t="s">
        <v>101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20</v>
      </c>
      <c r="C8" s="10" t="s">
        <v>18</v>
      </c>
      <c r="D8" s="9" t="s">
        <v>97</v>
      </c>
      <c r="E8" s="12">
        <v>43192</v>
      </c>
      <c r="F8" s="21" t="s">
        <v>98</v>
      </c>
      <c r="G8" s="17">
        <v>1</v>
      </c>
      <c r="H8" s="29" t="s">
        <v>99</v>
      </c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 t="s">
        <v>20</v>
      </c>
      <c r="C9" s="10" t="s">
        <v>18</v>
      </c>
      <c r="D9" s="9" t="s">
        <v>103</v>
      </c>
      <c r="E9" s="12">
        <v>43206</v>
      </c>
      <c r="F9" s="21" t="s">
        <v>104</v>
      </c>
      <c r="G9" s="17">
        <v>1</v>
      </c>
      <c r="H9" s="26" t="s">
        <v>105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20</v>
      </c>
      <c r="C10" s="10" t="s">
        <v>18</v>
      </c>
      <c r="D10" s="9" t="s">
        <v>111</v>
      </c>
      <c r="E10" s="12">
        <v>43215</v>
      </c>
      <c r="F10" s="21" t="s">
        <v>112</v>
      </c>
      <c r="G10" s="17">
        <v>1</v>
      </c>
      <c r="H10" s="29" t="s">
        <v>110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106</v>
      </c>
      <c r="C11" s="10" t="s">
        <v>18</v>
      </c>
      <c r="D11" s="9" t="s">
        <v>108</v>
      </c>
      <c r="E11" s="12">
        <v>43216</v>
      </c>
      <c r="F11" s="21" t="s">
        <v>95</v>
      </c>
      <c r="G11" s="17">
        <v>1</v>
      </c>
      <c r="H11" s="29"/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107</v>
      </c>
      <c r="C12" s="10" t="s">
        <v>18</v>
      </c>
      <c r="D12" s="9" t="s">
        <v>109</v>
      </c>
      <c r="E12" s="12">
        <v>43216</v>
      </c>
      <c r="F12" s="21" t="s">
        <v>95</v>
      </c>
      <c r="G12" s="17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30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1"/>
      <c r="G14" s="17">
        <v>1</v>
      </c>
      <c r="H14" s="26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17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2"/>
      <c r="C16" s="10"/>
      <c r="D16" s="23"/>
      <c r="E16" s="12"/>
      <c r="F16" s="21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4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3"/>
      <c r="C18" s="10"/>
      <c r="D18" s="9"/>
      <c r="E18" s="12"/>
      <c r="F18" s="21"/>
      <c r="G18" s="17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12"/>
      <c r="C19" s="10"/>
      <c r="D19" s="23"/>
      <c r="E19" s="12"/>
      <c r="F19" s="21"/>
      <c r="G19" s="17">
        <v>1</v>
      </c>
      <c r="H19" s="29"/>
      <c r="I19" s="2"/>
      <c r="J19" s="2"/>
    </row>
    <row r="20" spans="1:10" ht="15" customHeight="1" x14ac:dyDescent="0.25">
      <c r="A20" s="15">
        <f t="shared" si="0"/>
        <v>14</v>
      </c>
      <c r="B20" s="23"/>
      <c r="C20" s="10"/>
      <c r="D20" s="23"/>
      <c r="E20" s="12"/>
      <c r="F20" s="21"/>
      <c r="G20" s="17">
        <v>1</v>
      </c>
      <c r="H20" s="29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>
        <v>1</v>
      </c>
      <c r="H35" s="1"/>
      <c r="I35" s="1"/>
      <c r="J35" s="1"/>
    </row>
  </sheetData>
  <sortState ref="B7:H12">
    <sortCondition ref="E7:E12"/>
    <sortCondition ref="D7:D12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F8" sqref="F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6.5703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SUMIF(F7:F35,"Elimination*",G7:G35)</f>
        <v>6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SUMIF(F7:F35,"NB*",G7:G35)</f>
        <v>4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SUMIF(F7:F35,"Ve*",G7:G35)</f>
        <v>0</v>
      </c>
    </row>
    <row r="5" spans="1:11" ht="15.75" x14ac:dyDescent="0.25">
      <c r="A5" s="36" t="s">
        <v>113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10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52</v>
      </c>
      <c r="I6" s="3"/>
      <c r="J6" s="3"/>
      <c r="K6" s="1"/>
    </row>
    <row r="7" spans="1:11" ht="15" customHeight="1" x14ac:dyDescent="0.25">
      <c r="A7" s="15">
        <v>1</v>
      </c>
      <c r="B7" s="13" t="s">
        <v>127</v>
      </c>
      <c r="C7" s="10" t="s">
        <v>18</v>
      </c>
      <c r="D7" s="9" t="s">
        <v>126</v>
      </c>
      <c r="E7" s="12">
        <v>43229</v>
      </c>
      <c r="F7" s="21" t="s">
        <v>95</v>
      </c>
      <c r="G7" s="17">
        <v>1</v>
      </c>
      <c r="H7" s="29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128</v>
      </c>
      <c r="C8" s="10" t="s">
        <v>18</v>
      </c>
      <c r="D8" s="9" t="s">
        <v>129</v>
      </c>
      <c r="E8" s="12">
        <v>43229</v>
      </c>
      <c r="F8" s="21" t="s">
        <v>95</v>
      </c>
      <c r="G8" s="17">
        <v>1</v>
      </c>
      <c r="H8" s="29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 t="s">
        <v>130</v>
      </c>
      <c r="C9" s="10" t="s">
        <v>18</v>
      </c>
      <c r="D9" s="9" t="s">
        <v>131</v>
      </c>
      <c r="E9" s="12">
        <v>43229</v>
      </c>
      <c r="F9" s="21" t="s">
        <v>95</v>
      </c>
      <c r="G9" s="17">
        <v>1</v>
      </c>
      <c r="H9" s="30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132</v>
      </c>
      <c r="C10" s="10" t="s">
        <v>18</v>
      </c>
      <c r="D10" s="9" t="s">
        <v>133</v>
      </c>
      <c r="E10" s="12">
        <v>43229</v>
      </c>
      <c r="F10" s="21" t="s">
        <v>95</v>
      </c>
      <c r="G10" s="17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20</v>
      </c>
      <c r="C11" s="10" t="s">
        <v>18</v>
      </c>
      <c r="D11" s="9" t="s">
        <v>120</v>
      </c>
      <c r="E11" s="12">
        <v>43232</v>
      </c>
      <c r="F11" s="21" t="s">
        <v>121</v>
      </c>
      <c r="G11" s="17">
        <v>1</v>
      </c>
      <c r="H11" s="29" t="s">
        <v>122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20</v>
      </c>
      <c r="C12" s="10" t="s">
        <v>18</v>
      </c>
      <c r="D12" s="9" t="s">
        <v>123</v>
      </c>
      <c r="E12" s="12">
        <v>43232</v>
      </c>
      <c r="F12" s="21" t="s">
        <v>124</v>
      </c>
      <c r="G12" s="17">
        <v>1</v>
      </c>
      <c r="H12" s="29" t="s">
        <v>125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20</v>
      </c>
      <c r="C13" s="10" t="s">
        <v>18</v>
      </c>
      <c r="D13" s="9" t="s">
        <v>114</v>
      </c>
      <c r="E13" s="12">
        <v>43232</v>
      </c>
      <c r="F13" s="21" t="s">
        <v>115</v>
      </c>
      <c r="G13" s="17">
        <v>1</v>
      </c>
      <c r="H13" s="29" t="s">
        <v>116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20</v>
      </c>
      <c r="C14" s="10" t="s">
        <v>18</v>
      </c>
      <c r="D14" s="9" t="s">
        <v>117</v>
      </c>
      <c r="E14" s="12">
        <v>43232</v>
      </c>
      <c r="F14" s="21" t="s">
        <v>118</v>
      </c>
      <c r="G14" s="17">
        <v>1</v>
      </c>
      <c r="H14" s="29" t="s">
        <v>119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134</v>
      </c>
      <c r="C15" s="10" t="s">
        <v>18</v>
      </c>
      <c r="D15" s="9" t="s">
        <v>136</v>
      </c>
      <c r="E15" s="12">
        <v>43243</v>
      </c>
      <c r="F15" s="21" t="s">
        <v>95</v>
      </c>
      <c r="G15" s="17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2" t="s">
        <v>135</v>
      </c>
      <c r="C16" s="10" t="s">
        <v>18</v>
      </c>
      <c r="D16" s="9" t="s">
        <v>137</v>
      </c>
      <c r="E16" s="12">
        <v>43243</v>
      </c>
      <c r="F16" s="21" t="s">
        <v>95</v>
      </c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4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3"/>
      <c r="C18" s="10"/>
      <c r="D18" s="9"/>
      <c r="E18" s="32"/>
      <c r="F18" s="21"/>
      <c r="G18" s="17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12"/>
      <c r="C19" s="10"/>
      <c r="D19" s="23"/>
      <c r="E19" s="12"/>
      <c r="F19" s="21"/>
      <c r="G19" s="17">
        <v>1</v>
      </c>
      <c r="H19" s="29"/>
      <c r="I19" s="2"/>
      <c r="J19" s="2"/>
    </row>
    <row r="20" spans="1:10" ht="15" customHeight="1" x14ac:dyDescent="0.25">
      <c r="A20" s="15">
        <f t="shared" si="0"/>
        <v>14</v>
      </c>
      <c r="B20" s="23"/>
      <c r="C20" s="10"/>
      <c r="D20" s="23"/>
      <c r="E20" s="12"/>
      <c r="F20" s="21"/>
      <c r="G20" s="17">
        <v>1</v>
      </c>
      <c r="H20" s="29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>
        <v>1</v>
      </c>
      <c r="H35" s="1"/>
      <c r="I35" s="1"/>
      <c r="J35" s="1"/>
    </row>
  </sheetData>
  <sortState ref="B7:H16">
    <sortCondition ref="E7:E16"/>
    <sortCondition ref="D7:D16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6.5703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SUMIF(F7:F35,"Elimination*",G7:G35)</f>
        <v>0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SUMIF(F7:F35,"NB*",G7:G35)</f>
        <v>1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SUMIF(F7:F35,"Ve*",G7:G35)</f>
        <v>0</v>
      </c>
    </row>
    <row r="5" spans="1:11" ht="15.75" x14ac:dyDescent="0.25">
      <c r="A5" s="36" t="s">
        <v>141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52</v>
      </c>
      <c r="I6" s="3"/>
      <c r="J6" s="3"/>
      <c r="K6" s="1"/>
    </row>
    <row r="7" spans="1:11" ht="15" customHeight="1" x14ac:dyDescent="0.25">
      <c r="A7" s="15">
        <v>1</v>
      </c>
      <c r="B7" s="13" t="s">
        <v>20</v>
      </c>
      <c r="C7" s="10" t="s">
        <v>18</v>
      </c>
      <c r="D7" s="9" t="s">
        <v>138</v>
      </c>
      <c r="E7" s="12">
        <v>43270</v>
      </c>
      <c r="F7" s="21" t="s">
        <v>139</v>
      </c>
      <c r="G7" s="17">
        <v>1</v>
      </c>
      <c r="H7" s="29" t="s">
        <v>140</v>
      </c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9"/>
      <c r="E8" s="12"/>
      <c r="F8" s="21"/>
      <c r="G8" s="17">
        <v>1</v>
      </c>
      <c r="H8" s="29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/>
      <c r="C9" s="10"/>
      <c r="D9" s="9"/>
      <c r="E9" s="12"/>
      <c r="F9" s="21"/>
      <c r="G9" s="17">
        <v>1</v>
      </c>
      <c r="H9" s="30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9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1"/>
      <c r="G14" s="17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17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2"/>
      <c r="C16" s="10"/>
      <c r="D16" s="9"/>
      <c r="E16" s="12"/>
      <c r="F16" s="21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4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3"/>
      <c r="C18" s="10"/>
      <c r="D18" s="9"/>
      <c r="E18" s="32"/>
      <c r="F18" s="21"/>
      <c r="G18" s="17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12"/>
      <c r="C19" s="10"/>
      <c r="D19" s="23"/>
      <c r="E19" s="12"/>
      <c r="F19" s="21"/>
      <c r="G19" s="17">
        <v>1</v>
      </c>
      <c r="H19" s="29"/>
      <c r="I19" s="2"/>
      <c r="J19" s="2"/>
    </row>
    <row r="20" spans="1:10" ht="15" customHeight="1" x14ac:dyDescent="0.25">
      <c r="A20" s="15">
        <f t="shared" si="0"/>
        <v>14</v>
      </c>
      <c r="B20" s="23"/>
      <c r="C20" s="10"/>
      <c r="D20" s="23"/>
      <c r="E20" s="12"/>
      <c r="F20" s="21"/>
      <c r="G20" s="17">
        <v>1</v>
      </c>
      <c r="H20" s="29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>
        <v>1</v>
      </c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F35" sqref="A1:F3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6.5703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SUMIF(F7:F35,"Elimination*",G7:G35)</f>
        <v>0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SUMIF(F7:F35,"NB*",G7:G35)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SUMIF(F7:F35,"Ve*",G7:G35)</f>
        <v>0</v>
      </c>
    </row>
    <row r="5" spans="1:11" ht="15.75" x14ac:dyDescent="0.25">
      <c r="A5" s="36" t="s">
        <v>142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9"/>
      <c r="E7" s="12"/>
      <c r="F7" s="21"/>
      <c r="G7" s="17"/>
      <c r="H7" s="29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9"/>
      <c r="E8" s="12"/>
      <c r="F8" s="21"/>
      <c r="G8" s="17">
        <v>1</v>
      </c>
      <c r="H8" s="29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/>
      <c r="C9" s="10"/>
      <c r="D9" s="9"/>
      <c r="E9" s="12"/>
      <c r="F9" s="21"/>
      <c r="G9" s="17">
        <v>1</v>
      </c>
      <c r="H9" s="30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9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1"/>
      <c r="G14" s="17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17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2"/>
      <c r="C16" s="10"/>
      <c r="D16" s="9"/>
      <c r="E16" s="12"/>
      <c r="F16" s="21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4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3"/>
      <c r="C18" s="10"/>
      <c r="D18" s="9"/>
      <c r="E18" s="32"/>
      <c r="F18" s="21"/>
      <c r="G18" s="17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12"/>
      <c r="C19" s="10"/>
      <c r="D19" s="23"/>
      <c r="E19" s="12"/>
      <c r="F19" s="21"/>
      <c r="G19" s="17">
        <v>1</v>
      </c>
      <c r="H19" s="29"/>
      <c r="I19" s="2"/>
      <c r="J19" s="2"/>
    </row>
    <row r="20" spans="1:10" ht="15" customHeight="1" x14ac:dyDescent="0.25">
      <c r="A20" s="15">
        <f t="shared" si="0"/>
        <v>14</v>
      </c>
      <c r="B20" s="23"/>
      <c r="C20" s="10"/>
      <c r="D20" s="23"/>
      <c r="E20" s="12"/>
      <c r="F20" s="21"/>
      <c r="G20" s="17">
        <v>1</v>
      </c>
      <c r="H20" s="29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>
        <v>1</v>
      </c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A4" workbookViewId="0">
      <selection activeCell="F12" sqref="F12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710937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SUMIF(F7:F35,"Elimination*",G7:G35)</f>
        <v>6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SUMIF(F7:F35,"NB*",G7:G35)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SUMIF(F7:F35,"Ve*",G7:G35)</f>
        <v>0</v>
      </c>
    </row>
    <row r="5" spans="1:11" ht="15.75" x14ac:dyDescent="0.25">
      <c r="A5" s="36" t="s">
        <v>143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6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144</v>
      </c>
      <c r="C7" s="10" t="s">
        <v>18</v>
      </c>
      <c r="D7" s="9" t="s">
        <v>145</v>
      </c>
      <c r="E7" s="12">
        <v>43321</v>
      </c>
      <c r="F7" s="21" t="s">
        <v>95</v>
      </c>
      <c r="G7" s="17">
        <v>1</v>
      </c>
      <c r="H7" s="29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151</v>
      </c>
      <c r="C8" s="10" t="s">
        <v>18</v>
      </c>
      <c r="D8" s="9" t="s">
        <v>146</v>
      </c>
      <c r="E8" s="12">
        <v>43321</v>
      </c>
      <c r="F8" s="21" t="s">
        <v>95</v>
      </c>
      <c r="G8" s="17">
        <v>1</v>
      </c>
      <c r="H8" s="29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 t="s">
        <v>152</v>
      </c>
      <c r="C9" s="10" t="s">
        <v>18</v>
      </c>
      <c r="D9" s="9" t="s">
        <v>147</v>
      </c>
      <c r="E9" s="12">
        <v>43321</v>
      </c>
      <c r="F9" s="21" t="s">
        <v>95</v>
      </c>
      <c r="G9" s="17">
        <v>1</v>
      </c>
      <c r="H9" s="30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153</v>
      </c>
      <c r="C10" s="10" t="s">
        <v>18</v>
      </c>
      <c r="D10" s="9" t="s">
        <v>148</v>
      </c>
      <c r="E10" s="12">
        <v>43321</v>
      </c>
      <c r="F10" s="21" t="s">
        <v>95</v>
      </c>
      <c r="G10" s="17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154</v>
      </c>
      <c r="C11" s="10" t="s">
        <v>18</v>
      </c>
      <c r="D11" s="9" t="s">
        <v>149</v>
      </c>
      <c r="E11" s="12">
        <v>43321</v>
      </c>
      <c r="F11" s="21" t="s">
        <v>95</v>
      </c>
      <c r="G11" s="17">
        <v>1</v>
      </c>
      <c r="H11" s="29"/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155</v>
      </c>
      <c r="C12" s="10" t="s">
        <v>18</v>
      </c>
      <c r="D12" s="9" t="s">
        <v>150</v>
      </c>
      <c r="E12" s="12">
        <v>43321</v>
      </c>
      <c r="F12" s="21" t="s">
        <v>95</v>
      </c>
      <c r="G12" s="17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1"/>
      <c r="G14" s="17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17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2"/>
      <c r="C16" s="10"/>
      <c r="D16" s="9"/>
      <c r="E16" s="12"/>
      <c r="F16" s="21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4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3"/>
      <c r="C18" s="10"/>
      <c r="D18" s="9"/>
      <c r="E18" s="32"/>
      <c r="F18" s="21"/>
      <c r="G18" s="17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12"/>
      <c r="C19" s="10"/>
      <c r="D19" s="23"/>
      <c r="E19" s="12"/>
      <c r="F19" s="21"/>
      <c r="G19" s="17">
        <v>1</v>
      </c>
      <c r="H19" s="29"/>
      <c r="I19" s="2"/>
      <c r="J19" s="2"/>
    </row>
    <row r="20" spans="1:10" ht="15" customHeight="1" x14ac:dyDescent="0.25">
      <c r="A20" s="15">
        <f t="shared" si="0"/>
        <v>14</v>
      </c>
      <c r="B20" s="23"/>
      <c r="C20" s="10"/>
      <c r="D20" s="23"/>
      <c r="E20" s="12"/>
      <c r="F20" s="21"/>
      <c r="G20" s="17">
        <v>1</v>
      </c>
      <c r="H20" s="29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>
        <v>1</v>
      </c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F35" sqref="A1:F3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710937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SUMIF(F7:F35,"Elimination*",G7:G35)</f>
        <v>0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SUMIF(F7:F35,"NB*",G7:G35)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SUMIF(F7:F35,"Ve*",G7:G35)</f>
        <v>0</v>
      </c>
    </row>
    <row r="5" spans="1:11" ht="15.75" x14ac:dyDescent="0.25">
      <c r="A5" s="36" t="s">
        <v>156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9"/>
      <c r="E7" s="12"/>
      <c r="F7" s="21"/>
      <c r="G7" s="17">
        <v>1</v>
      </c>
      <c r="H7" s="29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9"/>
      <c r="E8" s="12"/>
      <c r="F8" s="21"/>
      <c r="G8" s="17">
        <v>1</v>
      </c>
      <c r="H8" s="29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/>
      <c r="C9" s="10"/>
      <c r="D9" s="9"/>
      <c r="E9" s="12"/>
      <c r="F9" s="21"/>
      <c r="G9" s="17">
        <v>1</v>
      </c>
      <c r="H9" s="30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9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1"/>
      <c r="G14" s="17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17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2"/>
      <c r="C16" s="10"/>
      <c r="D16" s="9"/>
      <c r="E16" s="12"/>
      <c r="F16" s="21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4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3"/>
      <c r="C18" s="10"/>
      <c r="D18" s="9"/>
      <c r="E18" s="32"/>
      <c r="F18" s="21"/>
      <c r="G18" s="17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12"/>
      <c r="C19" s="10"/>
      <c r="D19" s="23"/>
      <c r="E19" s="12"/>
      <c r="F19" s="21"/>
      <c r="G19" s="17">
        <v>1</v>
      </c>
      <c r="H19" s="29"/>
      <c r="I19" s="2"/>
      <c r="J19" s="2"/>
    </row>
    <row r="20" spans="1:10" ht="15" customHeight="1" x14ac:dyDescent="0.25">
      <c r="A20" s="15">
        <f t="shared" si="0"/>
        <v>14</v>
      </c>
      <c r="B20" s="23"/>
      <c r="C20" s="10"/>
      <c r="D20" s="23"/>
      <c r="E20" s="12"/>
      <c r="F20" s="21"/>
      <c r="G20" s="17">
        <v>1</v>
      </c>
      <c r="H20" s="29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>
        <v>1</v>
      </c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710937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SUMIF(F7:F35,"Elimination*",G7:G35)</f>
        <v>1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SUMIF(F7:F35,"NB*",G7:G35)</f>
        <v>2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SUMIF(F7:F35,"Ve*",G7:G35)</f>
        <v>0</v>
      </c>
    </row>
    <row r="5" spans="1:11" ht="15.75" x14ac:dyDescent="0.25">
      <c r="A5" s="36" t="s">
        <v>157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3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158</v>
      </c>
      <c r="C7" s="10" t="s">
        <v>18</v>
      </c>
      <c r="D7" s="9" t="s">
        <v>159</v>
      </c>
      <c r="E7" s="12">
        <v>43374</v>
      </c>
      <c r="F7" s="21" t="s">
        <v>95</v>
      </c>
      <c r="G7" s="17">
        <v>1</v>
      </c>
      <c r="H7" s="29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20</v>
      </c>
      <c r="C8" s="10" t="s">
        <v>18</v>
      </c>
      <c r="D8" s="9" t="s">
        <v>160</v>
      </c>
      <c r="E8" s="12">
        <v>43374</v>
      </c>
      <c r="F8" s="21" t="s">
        <v>164</v>
      </c>
      <c r="G8" s="17">
        <v>1</v>
      </c>
      <c r="H8" s="29" t="s">
        <v>162</v>
      </c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 t="s">
        <v>20</v>
      </c>
      <c r="C9" s="10" t="s">
        <v>18</v>
      </c>
      <c r="D9" s="9" t="s">
        <v>161</v>
      </c>
      <c r="E9" s="12">
        <v>43376</v>
      </c>
      <c r="F9" s="21" t="s">
        <v>165</v>
      </c>
      <c r="G9" s="17">
        <v>1</v>
      </c>
      <c r="H9" s="30" t="s">
        <v>163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20</v>
      </c>
      <c r="C10" s="10" t="s">
        <v>18</v>
      </c>
      <c r="D10" s="9" t="s">
        <v>166</v>
      </c>
      <c r="E10" s="12">
        <v>43415</v>
      </c>
      <c r="F10" s="21"/>
      <c r="G10" s="17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9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1"/>
      <c r="G14" s="17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17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2"/>
      <c r="C16" s="10"/>
      <c r="D16" s="9"/>
      <c r="E16" s="12"/>
      <c r="F16" s="21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23"/>
      <c r="E17" s="12"/>
      <c r="F17" s="24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3"/>
      <c r="C18" s="10"/>
      <c r="D18" s="9"/>
      <c r="E18" s="32"/>
      <c r="F18" s="21"/>
      <c r="G18" s="17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12"/>
      <c r="C19" s="10"/>
      <c r="D19" s="23"/>
      <c r="E19" s="12"/>
      <c r="F19" s="21"/>
      <c r="G19" s="17">
        <v>1</v>
      </c>
      <c r="H19" s="29"/>
      <c r="I19" s="2"/>
      <c r="J19" s="2"/>
    </row>
    <row r="20" spans="1:10" ht="15" customHeight="1" x14ac:dyDescent="0.25">
      <c r="A20" s="15">
        <f t="shared" si="0"/>
        <v>14</v>
      </c>
      <c r="B20" s="23"/>
      <c r="C20" s="10"/>
      <c r="D20" s="23"/>
      <c r="E20" s="12"/>
      <c r="F20" s="21"/>
      <c r="G20" s="17">
        <v>1</v>
      </c>
      <c r="H20" s="29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>
        <v>1</v>
      </c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710937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SUMIF(F7:F32,"Elimination*",G7:G32)</f>
        <v>2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SUMIF(F7:F32,"NB*",G7:G32)</f>
        <v>4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SUMIF(F7:F32,"Ve*",G7:G32)</f>
        <v>0</v>
      </c>
    </row>
    <row r="5" spans="1:11" ht="15.75" x14ac:dyDescent="0.25">
      <c r="A5" s="36" t="s">
        <v>182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6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20</v>
      </c>
      <c r="C7" s="10" t="s">
        <v>18</v>
      </c>
      <c r="D7" s="9" t="s">
        <v>170</v>
      </c>
      <c r="E7" s="12">
        <v>43415</v>
      </c>
      <c r="F7" s="21" t="s">
        <v>173</v>
      </c>
      <c r="G7" s="17">
        <v>1</v>
      </c>
      <c r="H7" s="26" t="s">
        <v>167</v>
      </c>
      <c r="I7" s="2"/>
      <c r="J7" s="2"/>
      <c r="K7" s="1"/>
    </row>
    <row r="8" spans="1:11" ht="15" customHeight="1" x14ac:dyDescent="0.25">
      <c r="A8" s="15">
        <f t="shared" ref="A8:A32" si="0">+A7+1</f>
        <v>2</v>
      </c>
      <c r="B8" s="13" t="s">
        <v>20</v>
      </c>
      <c r="C8" s="10" t="s">
        <v>18</v>
      </c>
      <c r="D8" s="9" t="s">
        <v>166</v>
      </c>
      <c r="E8" s="12">
        <v>43415</v>
      </c>
      <c r="F8" s="21" t="s">
        <v>174</v>
      </c>
      <c r="G8" s="17">
        <v>1</v>
      </c>
      <c r="H8" s="29" t="s">
        <v>169</v>
      </c>
      <c r="I8" s="2"/>
      <c r="J8" s="2"/>
      <c r="K8" s="1"/>
    </row>
    <row r="9" spans="1:11" ht="15" customHeight="1" x14ac:dyDescent="0.25">
      <c r="A9" s="15">
        <f t="shared" si="0"/>
        <v>3</v>
      </c>
      <c r="B9" s="13" t="s">
        <v>20</v>
      </c>
      <c r="C9" s="10" t="s">
        <v>18</v>
      </c>
      <c r="D9" s="9" t="s">
        <v>168</v>
      </c>
      <c r="E9" s="12">
        <v>43416</v>
      </c>
      <c r="F9" s="21" t="s">
        <v>180</v>
      </c>
      <c r="G9" s="17">
        <v>1</v>
      </c>
      <c r="H9" s="29" t="s">
        <v>179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172</v>
      </c>
      <c r="C10" s="10" t="s">
        <v>18</v>
      </c>
      <c r="D10" s="9" t="s">
        <v>171</v>
      </c>
      <c r="E10" s="12">
        <v>43416</v>
      </c>
      <c r="F10" s="21" t="s">
        <v>95</v>
      </c>
      <c r="G10" s="17">
        <v>1</v>
      </c>
      <c r="H10" s="29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20</v>
      </c>
      <c r="C11" s="10" t="s">
        <v>18</v>
      </c>
      <c r="D11" s="9" t="s">
        <v>176</v>
      </c>
      <c r="E11" s="12">
        <v>43417</v>
      </c>
      <c r="F11" s="21" t="s">
        <v>181</v>
      </c>
      <c r="G11" s="17">
        <v>1</v>
      </c>
      <c r="H11" s="29" t="s">
        <v>175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177</v>
      </c>
      <c r="C12" s="10" t="s">
        <v>18</v>
      </c>
      <c r="D12" s="9" t="s">
        <v>178</v>
      </c>
      <c r="E12" s="12">
        <v>43426</v>
      </c>
      <c r="F12" s="21" t="s">
        <v>95</v>
      </c>
      <c r="G12" s="17">
        <v>1</v>
      </c>
      <c r="H12" s="30"/>
      <c r="I12" s="2"/>
      <c r="J12" s="2"/>
    </row>
    <row r="13" spans="1:11" ht="15" customHeight="1" x14ac:dyDescent="0.25">
      <c r="A13" s="15">
        <f t="shared" si="0"/>
        <v>7</v>
      </c>
      <c r="B13" s="12"/>
      <c r="C13" s="10"/>
      <c r="D13" s="9"/>
      <c r="E13" s="12"/>
      <c r="F13" s="21"/>
      <c r="G13" s="17">
        <v>1</v>
      </c>
      <c r="H13" s="29"/>
      <c r="I13" s="2"/>
      <c r="J13" s="2"/>
    </row>
    <row r="14" spans="1:11" ht="15" customHeight="1" x14ac:dyDescent="0.25">
      <c r="A14" s="15">
        <f t="shared" si="0"/>
        <v>8</v>
      </c>
      <c r="B14" s="12"/>
      <c r="C14" s="10"/>
      <c r="D14" s="23"/>
      <c r="E14" s="12"/>
      <c r="F14" s="24"/>
      <c r="G14" s="17">
        <v>1</v>
      </c>
      <c r="H14" s="28"/>
      <c r="I14" s="2"/>
      <c r="J14" s="2"/>
    </row>
    <row r="15" spans="1:11" ht="15" customHeight="1" x14ac:dyDescent="0.25">
      <c r="A15" s="15">
        <f t="shared" si="0"/>
        <v>9</v>
      </c>
      <c r="B15" s="13"/>
      <c r="C15" s="10"/>
      <c r="D15" s="9"/>
      <c r="E15" s="32"/>
      <c r="F15" s="21"/>
      <c r="G15" s="17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12"/>
      <c r="C16" s="10"/>
      <c r="D16" s="23"/>
      <c r="E16" s="12"/>
      <c r="F16" s="21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23"/>
      <c r="C17" s="10"/>
      <c r="D17" s="23"/>
      <c r="E17" s="12"/>
      <c r="F17" s="21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13"/>
      <c r="C19" s="13"/>
      <c r="D19" s="23"/>
      <c r="E19" s="12"/>
      <c r="F19" s="24"/>
      <c r="G19" s="17">
        <v>1</v>
      </c>
      <c r="H19" s="29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9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9"/>
      <c r="E21" s="12"/>
      <c r="F21" s="21"/>
      <c r="G21" s="17">
        <v>1</v>
      </c>
      <c r="H21" s="11"/>
      <c r="I21" s="2"/>
      <c r="J21" s="2"/>
    </row>
    <row r="22" spans="1:10" ht="15" customHeight="1" x14ac:dyDescent="0.25">
      <c r="A22" s="15">
        <f t="shared" si="0"/>
        <v>16</v>
      </c>
      <c r="B22" s="13"/>
      <c r="C22" s="10"/>
      <c r="D22" s="9"/>
      <c r="E22" s="12"/>
      <c r="F22" s="21"/>
      <c r="G22" s="17">
        <v>1</v>
      </c>
      <c r="H22" s="11"/>
      <c r="I22" s="2"/>
      <c r="J22" s="2"/>
    </row>
    <row r="23" spans="1:10" ht="15" customHeight="1" x14ac:dyDescent="0.25">
      <c r="A23" s="15">
        <f t="shared" si="0"/>
        <v>17</v>
      </c>
      <c r="B23" s="12"/>
      <c r="C23" s="10"/>
      <c r="D23" s="9"/>
      <c r="E23" s="12"/>
      <c r="F23" s="21"/>
      <c r="G23" s="17">
        <v>1</v>
      </c>
      <c r="H23" s="22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"/>
      <c r="I24" s="1"/>
      <c r="J24" s="1"/>
    </row>
    <row r="25" spans="1:10" ht="15" customHeight="1" x14ac:dyDescent="0.25">
      <c r="A25" s="15">
        <f t="shared" si="0"/>
        <v>19</v>
      </c>
      <c r="B25" s="12"/>
      <c r="C25" s="10"/>
      <c r="D25" s="9"/>
      <c r="E25" s="12"/>
      <c r="F25" s="21"/>
      <c r="G25" s="17">
        <v>1</v>
      </c>
      <c r="H25" s="1"/>
      <c r="I25" s="1"/>
      <c r="J25" s="1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"/>
      <c r="I26" s="1"/>
      <c r="J26" s="1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</sheetData>
  <sortState ref="B7:H12">
    <sortCondition ref="E7:E12"/>
    <sortCondition ref="D7:D12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F32" sqref="A1:F32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710937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SUMIF(F7:F32,"Elimination*",G7:G32)</f>
        <v>0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SUMIF(F7:F32,"NB*",G7:G32)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SUMIF(F7:F32,"Ve*",G7:G32)</f>
        <v>0</v>
      </c>
    </row>
    <row r="5" spans="1:11" ht="15.75" x14ac:dyDescent="0.25">
      <c r="A5" s="36" t="s">
        <v>183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9"/>
      <c r="E7" s="12"/>
      <c r="F7" s="21"/>
      <c r="G7" s="17"/>
      <c r="H7" s="26"/>
      <c r="I7" s="2"/>
      <c r="J7" s="2"/>
      <c r="K7" s="1"/>
    </row>
    <row r="8" spans="1:11" ht="15" customHeight="1" x14ac:dyDescent="0.25">
      <c r="A8" s="15">
        <f t="shared" ref="A8:A32" si="0">+A7+1</f>
        <v>2</v>
      </c>
      <c r="B8" s="13"/>
      <c r="C8" s="10"/>
      <c r="D8" s="9"/>
      <c r="E8" s="12"/>
      <c r="F8" s="21"/>
      <c r="G8" s="17"/>
      <c r="H8" s="29"/>
      <c r="I8" s="2"/>
      <c r="J8" s="2"/>
      <c r="K8" s="1"/>
    </row>
    <row r="9" spans="1:11" ht="15" customHeight="1" x14ac:dyDescent="0.25">
      <c r="A9" s="15">
        <f t="shared" si="0"/>
        <v>3</v>
      </c>
      <c r="B9" s="13"/>
      <c r="C9" s="10"/>
      <c r="D9" s="9"/>
      <c r="E9" s="12"/>
      <c r="F9" s="21"/>
      <c r="G9" s="17"/>
      <c r="H9" s="29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/>
      <c r="H10" s="29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/>
      <c r="H11" s="29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/>
      <c r="H12" s="30"/>
      <c r="I12" s="2"/>
      <c r="J12" s="2"/>
    </row>
    <row r="13" spans="1:11" ht="15" customHeight="1" x14ac:dyDescent="0.25">
      <c r="A13" s="15">
        <f t="shared" si="0"/>
        <v>7</v>
      </c>
      <c r="B13" s="12"/>
      <c r="C13" s="10"/>
      <c r="D13" s="9"/>
      <c r="E13" s="12"/>
      <c r="F13" s="21"/>
      <c r="G13" s="17">
        <v>1</v>
      </c>
      <c r="H13" s="29"/>
      <c r="I13" s="2"/>
      <c r="J13" s="2"/>
    </row>
    <row r="14" spans="1:11" ht="15" customHeight="1" x14ac:dyDescent="0.25">
      <c r="A14" s="15">
        <f t="shared" si="0"/>
        <v>8</v>
      </c>
      <c r="B14" s="12"/>
      <c r="C14" s="10"/>
      <c r="D14" s="23"/>
      <c r="E14" s="12"/>
      <c r="F14" s="24"/>
      <c r="G14" s="17">
        <v>1</v>
      </c>
      <c r="H14" s="28"/>
      <c r="I14" s="2"/>
      <c r="J14" s="2"/>
    </row>
    <row r="15" spans="1:11" ht="15" customHeight="1" x14ac:dyDescent="0.25">
      <c r="A15" s="15">
        <f t="shared" si="0"/>
        <v>9</v>
      </c>
      <c r="B15" s="13"/>
      <c r="C15" s="10"/>
      <c r="D15" s="9"/>
      <c r="E15" s="32"/>
      <c r="F15" s="21"/>
      <c r="G15" s="17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12"/>
      <c r="C16" s="10"/>
      <c r="D16" s="23"/>
      <c r="E16" s="12"/>
      <c r="F16" s="21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23"/>
      <c r="C17" s="10"/>
      <c r="D17" s="23"/>
      <c r="E17" s="12"/>
      <c r="F17" s="21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13"/>
      <c r="C19" s="13"/>
      <c r="D19" s="23"/>
      <c r="E19" s="12"/>
      <c r="F19" s="24"/>
      <c r="G19" s="17">
        <v>1</v>
      </c>
      <c r="H19" s="29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9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9"/>
      <c r="E21" s="12"/>
      <c r="F21" s="21"/>
      <c r="G21" s="17">
        <v>1</v>
      </c>
      <c r="H21" s="11"/>
      <c r="I21" s="2"/>
      <c r="J21" s="2"/>
    </row>
    <row r="22" spans="1:10" ht="15" customHeight="1" x14ac:dyDescent="0.25">
      <c r="A22" s="15">
        <f t="shared" si="0"/>
        <v>16</v>
      </c>
      <c r="B22" s="13"/>
      <c r="C22" s="10"/>
      <c r="D22" s="9"/>
      <c r="E22" s="12"/>
      <c r="F22" s="21"/>
      <c r="G22" s="17">
        <v>1</v>
      </c>
      <c r="H22" s="11"/>
      <c r="I22" s="2"/>
      <c r="J22" s="2"/>
    </row>
    <row r="23" spans="1:10" ht="15" customHeight="1" x14ac:dyDescent="0.25">
      <c r="A23" s="15">
        <f t="shared" si="0"/>
        <v>17</v>
      </c>
      <c r="B23" s="12"/>
      <c r="C23" s="10"/>
      <c r="D23" s="9"/>
      <c r="E23" s="12"/>
      <c r="F23" s="21"/>
      <c r="G23" s="17">
        <v>1</v>
      </c>
      <c r="H23" s="22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"/>
      <c r="I24" s="1"/>
      <c r="J24" s="1"/>
    </row>
    <row r="25" spans="1:10" ht="15" customHeight="1" x14ac:dyDescent="0.25">
      <c r="A25" s="15">
        <f t="shared" si="0"/>
        <v>19</v>
      </c>
      <c r="B25" s="12"/>
      <c r="C25" s="10"/>
      <c r="D25" s="9"/>
      <c r="E25" s="12"/>
      <c r="F25" s="21"/>
      <c r="G25" s="17">
        <v>1</v>
      </c>
      <c r="H25" s="1"/>
      <c r="I25" s="1"/>
      <c r="J25" s="1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"/>
      <c r="I26" s="1"/>
      <c r="J26" s="1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2018</vt:lpstr>
      <vt:lpstr>Février 2018</vt:lpstr>
      <vt:lpstr>Mars 2018</vt:lpstr>
      <vt:lpstr>Avril 2018</vt:lpstr>
      <vt:lpstr>Mai 2018</vt:lpstr>
      <vt:lpstr>Juin 2018</vt:lpstr>
      <vt:lpstr>Juillet 2018</vt:lpstr>
      <vt:lpstr>Aout 2018</vt:lpstr>
      <vt:lpstr>Septembre 2018</vt:lpstr>
      <vt:lpstr>Octobre 2018</vt:lpstr>
      <vt:lpstr>Novembre 2018</vt:lpstr>
      <vt:lpstr>Décembre 2018</vt:lpstr>
      <vt:lpstr>'Aout 2018'!Impression_des_titres</vt:lpstr>
      <vt:lpstr>'Avril 2018'!Impression_des_titres</vt:lpstr>
      <vt:lpstr>'Décembre 2018'!Impression_des_titres</vt:lpstr>
      <vt:lpstr>'Février 2018'!Impression_des_titres</vt:lpstr>
      <vt:lpstr>'Janvier 2018'!Impression_des_titres</vt:lpstr>
      <vt:lpstr>'Juillet 2018'!Impression_des_titres</vt:lpstr>
      <vt:lpstr>'Juin 2018'!Impression_des_titres</vt:lpstr>
      <vt:lpstr>'Mai 2018'!Impression_des_titres</vt:lpstr>
      <vt:lpstr>'Mars 2018'!Impression_des_titres</vt:lpstr>
      <vt:lpstr>'Novembre 2018'!Impression_des_titres</vt:lpstr>
      <vt:lpstr>'Octobre 2018'!Impression_des_titres</vt:lpstr>
      <vt:lpstr>'Septembre 2018'!Impression_des_titres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2019-01-02T07:57:48Z</cp:lastPrinted>
  <dcterms:created xsi:type="dcterms:W3CDTF">2014-12-31T15:00:30Z</dcterms:created>
  <dcterms:modified xsi:type="dcterms:W3CDTF">2019-01-02T07:58:14Z</dcterms:modified>
</cp:coreProperties>
</file>