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Gestion de Stock Seghouane\"/>
    </mc:Choice>
  </mc:AlternateContent>
  <bookViews>
    <workbookView xWindow="315" yWindow="195" windowWidth="6900" windowHeight="2025" firstSheet="6" activeTab="9"/>
  </bookViews>
  <sheets>
    <sheet name="Janvier 2018" sheetId="1" r:id="rId1"/>
    <sheet name="Février 2018" sheetId="2" r:id="rId2"/>
    <sheet name="Mars 2018" sheetId="3" r:id="rId3"/>
    <sheet name="Avril 2018" sheetId="4" r:id="rId4"/>
    <sheet name="Mai 2018" sheetId="5" r:id="rId5"/>
    <sheet name="Juin 2018" sheetId="6" r:id="rId6"/>
    <sheet name="Juil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écembre 2018" sheetId="12" r:id="rId12"/>
  </sheets>
  <definedNames>
    <definedName name="_xlnm.Print_Titles" localSheetId="7">'Aout 2018'!$1:$6</definedName>
    <definedName name="_xlnm.Print_Titles" localSheetId="3">'Avril 2018'!$1:$6</definedName>
    <definedName name="_xlnm.Print_Titles" localSheetId="11">'Décembre 2018'!$1:$6</definedName>
    <definedName name="_xlnm.Print_Titles" localSheetId="1">'Février 2018'!$1:$6</definedName>
    <definedName name="_xlnm.Print_Titles" localSheetId="0">'Janvier 2018'!$1:$6</definedName>
    <definedName name="_xlnm.Print_Titles" localSheetId="6">'Juillet 2018'!$1:$6</definedName>
    <definedName name="_xlnm.Print_Titles" localSheetId="5">'Juin 2018'!$1:$6</definedName>
    <definedName name="_xlnm.Print_Titles" localSheetId="4">'Mai 2018'!$1:$6</definedName>
    <definedName name="_xlnm.Print_Titles" localSheetId="2">'Mars 2018'!$1:$6</definedName>
    <definedName name="_xlnm.Print_Titles" localSheetId="10">'Novembre 2018'!$1:$6</definedName>
    <definedName name="_xlnm.Print_Titles" localSheetId="9">'Octobre 2018'!$1:$6</definedName>
    <definedName name="_xlnm.Print_Titles" localSheetId="8">'Septembre 2018'!$1:$6</definedName>
  </definedNames>
  <calcPr calcId="152511"/>
</workbook>
</file>

<file path=xl/calcChain.xml><?xml version="1.0" encoding="utf-8"?>
<calcChain xmlns="http://schemas.openxmlformats.org/spreadsheetml/2006/main">
  <c r="A9" i="12" l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8" i="12"/>
  <c r="K4" i="12"/>
  <c r="K3" i="12"/>
  <c r="K2" i="12"/>
  <c r="K5" i="12" l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K4" i="11"/>
  <c r="K3" i="11"/>
  <c r="K2" i="11"/>
  <c r="K5" i="11" l="1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8" i="10"/>
  <c r="K4" i="10"/>
  <c r="K3" i="10"/>
  <c r="K2" i="10"/>
  <c r="K5" i="10" l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K4" i="9"/>
  <c r="K3" i="9"/>
  <c r="K2" i="9"/>
  <c r="K5" i="9" s="1"/>
  <c r="A9" i="8" l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8" i="8"/>
  <c r="K4" i="8"/>
  <c r="K3" i="8"/>
  <c r="K5" i="8" s="1"/>
  <c r="K2" i="8"/>
  <c r="A9" i="7" l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8" i="7"/>
  <c r="K4" i="7"/>
  <c r="K3" i="7"/>
  <c r="K5" i="7" s="1"/>
  <c r="K2" i="7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K4" i="6"/>
  <c r="K3" i="6"/>
  <c r="K2" i="6"/>
  <c r="K5" i="6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K4" i="5"/>
  <c r="K3" i="5"/>
  <c r="K2" i="5"/>
  <c r="K5" i="5" l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K4" i="4"/>
  <c r="K3" i="4"/>
  <c r="K2" i="4"/>
  <c r="K5" i="4" s="1"/>
  <c r="A8" i="3" l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K4" i="3"/>
  <c r="K3" i="3"/>
  <c r="K2" i="3"/>
  <c r="K5" i="3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8" i="2"/>
  <c r="K4" i="2"/>
  <c r="K3" i="2"/>
  <c r="K2" i="2"/>
  <c r="K5" i="2" l="1"/>
  <c r="A8" i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K2" i="1"/>
  <c r="K5" i="1" s="1"/>
</calcChain>
</file>

<file path=xl/sharedStrings.xml><?xml version="1.0" encoding="utf-8"?>
<sst xmlns="http://schemas.openxmlformats.org/spreadsheetml/2006/main" count="519" uniqueCount="188">
  <si>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</si>
  <si>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</si>
  <si>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</si>
  <si>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</si>
  <si>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</si>
  <si>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</si>
  <si>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</si>
  <si>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</si>
  <si>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</si>
  <si>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</si>
  <si>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</si>
  <si>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</si>
  <si>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</si>
  <si>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</si>
  <si>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</si>
  <si>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</si>
  <si>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</si>
  <si>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Anetnne Seghouane</t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</si>
  <si>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</si>
  <si>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H2 0039</t>
  </si>
  <si>
    <t>15/21</t>
  </si>
  <si>
    <t>Elimination Forfait</t>
  </si>
  <si>
    <t>H2 0044</t>
  </si>
  <si>
    <t>HA</t>
  </si>
  <si>
    <t>2017015225</t>
  </si>
  <si>
    <t>2017015222</t>
  </si>
  <si>
    <t>2017015221</t>
  </si>
  <si>
    <t>2017015223</t>
  </si>
  <si>
    <t>NB(demiche med)</t>
  </si>
  <si>
    <t>NB(yaagoub med)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</si>
  <si>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</si>
  <si>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HA 0152</t>
  </si>
  <si>
    <t>HA 0181</t>
  </si>
  <si>
    <t>HA 0480</t>
  </si>
  <si>
    <t>HA 0592</t>
  </si>
  <si>
    <t>HA 0054</t>
  </si>
  <si>
    <t>HA 0055</t>
  </si>
  <si>
    <t>2017015224</t>
  </si>
  <si>
    <t>2017015226</t>
  </si>
  <si>
    <t>2017015227</t>
  </si>
  <si>
    <t>2017015228</t>
  </si>
  <si>
    <t>2017015229</t>
  </si>
  <si>
    <t>2017015230</t>
  </si>
  <si>
    <t>2017128981</t>
  </si>
  <si>
    <t>HA 0003</t>
  </si>
  <si>
    <t>HA 0387</t>
  </si>
  <si>
    <t>2017128982</t>
  </si>
  <si>
    <t>2017128983</t>
  </si>
  <si>
    <t>HA 0634</t>
  </si>
  <si>
    <t>HA 0229</t>
  </si>
  <si>
    <t>2017128984</t>
  </si>
  <si>
    <t>HA 0018</t>
  </si>
  <si>
    <t>2017128985</t>
  </si>
  <si>
    <t>HA 0369</t>
  </si>
  <si>
    <t>2017128986</t>
  </si>
  <si>
    <t>HA 0708</t>
  </si>
  <si>
    <t>2017128987</t>
  </si>
  <si>
    <t>HA 0140</t>
  </si>
  <si>
    <t>2017128988</t>
  </si>
  <si>
    <t>HA 0405</t>
  </si>
  <si>
    <t>2017128989</t>
  </si>
  <si>
    <t>HA 0297</t>
  </si>
  <si>
    <t>2017129791</t>
  </si>
  <si>
    <t>HA 0701</t>
  </si>
  <si>
    <t>2017129792</t>
  </si>
  <si>
    <t>HA 0306</t>
  </si>
  <si>
    <t>2017129793</t>
  </si>
  <si>
    <t>HA 0300</t>
  </si>
  <si>
    <t>2017129794</t>
  </si>
  <si>
    <t>HA 0554</t>
  </si>
  <si>
    <t>2017129795</t>
  </si>
  <si>
    <t>HA 0556</t>
  </si>
  <si>
    <t>2017129796</t>
  </si>
  <si>
    <t>HA 0637</t>
  </si>
  <si>
    <t>2017129797</t>
  </si>
  <si>
    <t>HA 0071</t>
  </si>
  <si>
    <t>2017129798</t>
  </si>
  <si>
    <t>HA 0068</t>
  </si>
  <si>
    <t>2017129799</t>
  </si>
  <si>
    <t>HA 0073</t>
  </si>
  <si>
    <t>2017129800</t>
  </si>
  <si>
    <t>HA 0696</t>
  </si>
  <si>
    <t>2017128991</t>
  </si>
  <si>
    <t>NB</t>
  </si>
  <si>
    <t>Dilmi zohir</t>
  </si>
  <si>
    <t>HA 0397</t>
  </si>
  <si>
    <t>2017129890</t>
  </si>
  <si>
    <t>HA 0494</t>
  </si>
  <si>
    <t>2017128997</t>
  </si>
  <si>
    <t>H2 0043</t>
  </si>
  <si>
    <t>2017128998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</si>
  <si>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</si>
  <si>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HA 0271</t>
  </si>
  <si>
    <t>2017128992</t>
  </si>
  <si>
    <t>HA 0021</t>
  </si>
  <si>
    <t>2017128993</t>
  </si>
  <si>
    <t>HA 0504</t>
  </si>
  <si>
    <t>2017128994</t>
  </si>
  <si>
    <t>HA 0088</t>
  </si>
  <si>
    <t>2017128995</t>
  </si>
  <si>
    <t>HA 0083</t>
  </si>
  <si>
    <t>2017128996</t>
  </si>
  <si>
    <t>2017128999</t>
  </si>
  <si>
    <t>Sahi khaled</t>
  </si>
  <si>
    <t>cc</t>
  </si>
  <si>
    <t>NB(Sahi  khaled)</t>
  </si>
  <si>
    <t>2017129000</t>
  </si>
  <si>
    <t>NB(Chergui mustapha)</t>
  </si>
  <si>
    <t>Chergui mustapha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</si>
  <si>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</si>
  <si>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2017129782</t>
  </si>
  <si>
    <t>HA 0565</t>
  </si>
  <si>
    <t>H2 0017</t>
  </si>
  <si>
    <t>2017129781</t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</si>
  <si>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</si>
  <si>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</si>
  <si>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</si>
  <si>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</si>
  <si>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2018143191</t>
  </si>
  <si>
    <t>zoughir aek</t>
  </si>
  <si>
    <t>2018143192</t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</si>
  <si>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</si>
  <si>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NB(Tidjani boumedien)</t>
  </si>
  <si>
    <t>HA 0515</t>
  </si>
  <si>
    <t>HA 0156</t>
  </si>
  <si>
    <t>HA 0016</t>
  </si>
  <si>
    <t>Makhloufi med</t>
  </si>
  <si>
    <t>Daoussa yahia</t>
  </si>
  <si>
    <t>2018143193</t>
  </si>
  <si>
    <t>2018143194</t>
  </si>
  <si>
    <t>2018143195</t>
  </si>
  <si>
    <t>2018143196</t>
  </si>
  <si>
    <t>2018143197</t>
  </si>
  <si>
    <t>CC</t>
  </si>
  <si>
    <t>2018143198</t>
  </si>
  <si>
    <t>NB (ouzri mahfoud)</t>
  </si>
  <si>
    <t>HA 0321</t>
  </si>
  <si>
    <t>2018143199</t>
  </si>
  <si>
    <t>HA 0274</t>
  </si>
  <si>
    <t>2018143200</t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</si>
  <si>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</si>
  <si>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2018142851</t>
  </si>
  <si>
    <t>2018142852</t>
  </si>
  <si>
    <t>2018142853</t>
  </si>
  <si>
    <t>2018142854</t>
  </si>
  <si>
    <t>2018142855</t>
  </si>
  <si>
    <t>2018142856</t>
  </si>
  <si>
    <t>2018142857</t>
  </si>
  <si>
    <t>2018142858</t>
  </si>
  <si>
    <t>2018142859</t>
  </si>
  <si>
    <t>2018142860</t>
  </si>
  <si>
    <t>HA 0207</t>
  </si>
  <si>
    <t>HA 0230</t>
  </si>
  <si>
    <t>HA 0521</t>
  </si>
  <si>
    <t>HA 0516</t>
  </si>
  <si>
    <t>HA 0522</t>
  </si>
  <si>
    <t>HA 0069</t>
  </si>
  <si>
    <t>HA 0066</t>
  </si>
  <si>
    <t>HA 0063</t>
  </si>
  <si>
    <t>HA 0058</t>
  </si>
  <si>
    <t>HA 0681</t>
  </si>
  <si>
    <t>HA 0077</t>
  </si>
  <si>
    <t>2018143061</t>
  </si>
  <si>
    <t>2018143062</t>
  </si>
  <si>
    <t>2018143063</t>
  </si>
  <si>
    <t>2018143064</t>
  </si>
  <si>
    <t>2018143065</t>
  </si>
  <si>
    <t>2018143066</t>
  </si>
  <si>
    <t>2018143067</t>
  </si>
  <si>
    <t>HA 0851</t>
  </si>
  <si>
    <t>HA 0855</t>
  </si>
  <si>
    <t>HA 0858</t>
  </si>
  <si>
    <t>HA 0842</t>
  </si>
  <si>
    <t>HA 0847</t>
  </si>
  <si>
    <t>HA 0846</t>
  </si>
  <si>
    <r>
      <t>Mois de Décembre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</si>
  <si>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HA 0221</t>
  </si>
  <si>
    <t>2018143068</t>
  </si>
  <si>
    <t>HA 0591</t>
  </si>
  <si>
    <t>2018143069</t>
  </si>
  <si>
    <t>2018143070</t>
  </si>
  <si>
    <t>NB(N°186/2018)</t>
  </si>
  <si>
    <t>NB(N°225/2018)</t>
  </si>
  <si>
    <t>NB(N°0033/2018)</t>
  </si>
  <si>
    <t>Chergui walid</t>
  </si>
  <si>
    <t>NB (N°0034/2018)</t>
  </si>
  <si>
    <t>231/2018</t>
  </si>
  <si>
    <t>tidjani djelloul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</si>
</sst>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9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9" fillId="0" borderId="4" xfId="1" applyFont="1" applyBorder="1" applyAlignment="1">
      <alignment horizontal="right" vertical="center" wrapText="1"/>
    </xf>
    <xf numFmtId="0" fontId="0" fillId="0" borderId="1" xfId="0" applyBorder="1"/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9525</xdr:rowOff>
    </xdr:from>
    <xdr:to>
      <xdr:col>5</xdr:col>
      <xdr:colOff>1304925</xdr:colOff>
      <xdr:row>37</xdr:row>
      <xdr:rowOff>161925</xdr:rowOff>
    </xdr:to>
    <xdr:cxnSp macro="">
      <xdr:nvCxnSpPr>
        <xdr:cNvPr id="3" name="Straight Connector 2"/>
        <xdr:cNvCxnSpPr/>
      </xdr:nvCxnSpPr>
      <xdr:spPr>
        <a:xfrm flipH="1">
          <a:off x="609600" y="1323975"/>
          <a:ext cx="4533900" cy="6057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</xdr:row>
      <xdr:rowOff>38100</xdr:rowOff>
    </xdr:from>
    <xdr:to>
      <xdr:col>6</xdr:col>
      <xdr:colOff>0</xdr:colOff>
      <xdr:row>37</xdr:row>
      <xdr:rowOff>171450</xdr:rowOff>
    </xdr:to>
    <xdr:cxnSp macro="">
      <xdr:nvCxnSpPr>
        <xdr:cNvPr id="3" name="Straight Connector 2"/>
        <xdr:cNvCxnSpPr/>
      </xdr:nvCxnSpPr>
      <xdr:spPr>
        <a:xfrm flipH="1">
          <a:off x="600075" y="2114550"/>
          <a:ext cx="4552950" cy="5276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42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571500</xdr:colOff>
      <xdr:row>14</xdr:row>
      <xdr:rowOff>19050</xdr:rowOff>
    </xdr:from>
    <xdr:to>
      <xdr:col>5</xdr:col>
      <xdr:colOff>1304925</xdr:colOff>
      <xdr:row>33</xdr:row>
      <xdr:rowOff>9525</xdr:rowOff>
    </xdr:to>
    <xdr:cxnSp macro="">
      <xdr:nvCxnSpPr>
        <xdr:cNvPr id="4" name="Straight Connector 3"/>
        <xdr:cNvCxnSpPr/>
      </xdr:nvCxnSpPr>
      <xdr:spPr>
        <a:xfrm flipH="1">
          <a:off x="571500" y="2857500"/>
          <a:ext cx="4572000" cy="3609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571500</xdr:colOff>
      <xdr:row>7</xdr:row>
      <xdr:rowOff>28575</xdr:rowOff>
    </xdr:from>
    <xdr:to>
      <xdr:col>5</xdr:col>
      <xdr:colOff>1295400</xdr:colOff>
      <xdr:row>33</xdr:row>
      <xdr:rowOff>9525</xdr:rowOff>
    </xdr:to>
    <xdr:cxnSp macro="">
      <xdr:nvCxnSpPr>
        <xdr:cNvPr id="3" name="Straight Connector 3"/>
        <xdr:cNvCxnSpPr/>
      </xdr:nvCxnSpPr>
      <xdr:spPr>
        <a:xfrm flipH="1">
          <a:off x="571500" y="1533525"/>
          <a:ext cx="4562475" cy="4933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8</xdr:row>
      <xdr:rowOff>38100</xdr:rowOff>
    </xdr:from>
    <xdr:to>
      <xdr:col>6</xdr:col>
      <xdr:colOff>0</xdr:colOff>
      <xdr:row>38</xdr:row>
      <xdr:rowOff>9525</xdr:rowOff>
    </xdr:to>
    <xdr:cxnSp macro="">
      <xdr:nvCxnSpPr>
        <xdr:cNvPr id="3" name="Straight Connector 3"/>
        <xdr:cNvCxnSpPr/>
      </xdr:nvCxnSpPr>
      <xdr:spPr>
        <a:xfrm flipH="1">
          <a:off x="609600" y="1733550"/>
          <a:ext cx="4543425" cy="5686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19051</xdr:colOff>
      <xdr:row>6</xdr:row>
      <xdr:rowOff>47625</xdr:rowOff>
    </xdr:from>
    <xdr:to>
      <xdr:col>6</xdr:col>
      <xdr:colOff>0</xdr:colOff>
      <xdr:row>38</xdr:row>
      <xdr:rowOff>9525</xdr:rowOff>
    </xdr:to>
    <xdr:cxnSp macro="">
      <xdr:nvCxnSpPr>
        <xdr:cNvPr id="3" name="Straight Connector 3"/>
        <xdr:cNvCxnSpPr/>
      </xdr:nvCxnSpPr>
      <xdr:spPr>
        <a:xfrm flipH="1">
          <a:off x="609601" y="1362075"/>
          <a:ext cx="4543424" cy="6057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19051</xdr:colOff>
      <xdr:row>6</xdr:row>
      <xdr:rowOff>47625</xdr:rowOff>
    </xdr:from>
    <xdr:to>
      <xdr:col>6</xdr:col>
      <xdr:colOff>0</xdr:colOff>
      <xdr:row>38</xdr:row>
      <xdr:rowOff>9525</xdr:rowOff>
    </xdr:to>
    <xdr:cxnSp macro="">
      <xdr:nvCxnSpPr>
        <xdr:cNvPr id="3" name="Straight Connector 3"/>
        <xdr:cNvCxnSpPr/>
      </xdr:nvCxnSpPr>
      <xdr:spPr>
        <a:xfrm flipH="1">
          <a:off x="609601" y="1362075"/>
          <a:ext cx="4543424" cy="6057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19051</xdr:colOff>
      <xdr:row>6</xdr:row>
      <xdr:rowOff>47625</xdr:rowOff>
    </xdr:from>
    <xdr:to>
      <xdr:col>6</xdr:col>
      <xdr:colOff>0</xdr:colOff>
      <xdr:row>38</xdr:row>
      <xdr:rowOff>9525</xdr:rowOff>
    </xdr:to>
    <xdr:cxnSp macro="">
      <xdr:nvCxnSpPr>
        <xdr:cNvPr id="3" name="Straight Connector 3"/>
        <xdr:cNvCxnSpPr/>
      </xdr:nvCxnSpPr>
      <xdr:spPr>
        <a:xfrm flipH="1">
          <a:off x="609601" y="1362075"/>
          <a:ext cx="4543424" cy="6057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19053</xdr:colOff>
      <xdr:row>13</xdr:row>
      <xdr:rowOff>9525</xdr:rowOff>
    </xdr:from>
    <xdr:to>
      <xdr:col>7</xdr:col>
      <xdr:colOff>9525</xdr:colOff>
      <xdr:row>38</xdr:row>
      <xdr:rowOff>9525</xdr:rowOff>
    </xdr:to>
    <xdr:cxnSp macro="">
      <xdr:nvCxnSpPr>
        <xdr:cNvPr id="3" name="Straight Connector 3"/>
        <xdr:cNvCxnSpPr/>
      </xdr:nvCxnSpPr>
      <xdr:spPr>
        <a:xfrm flipH="1">
          <a:off x="609603" y="2657475"/>
          <a:ext cx="4552947" cy="4762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19055</xdr:colOff>
      <xdr:row>19</xdr:row>
      <xdr:rowOff>28575</xdr:rowOff>
    </xdr:from>
    <xdr:to>
      <xdr:col>6</xdr:col>
      <xdr:colOff>0</xdr:colOff>
      <xdr:row>38</xdr:row>
      <xdr:rowOff>9525</xdr:rowOff>
    </xdr:to>
    <xdr:cxnSp macro="">
      <xdr:nvCxnSpPr>
        <xdr:cNvPr id="3" name="Straight Connector 3"/>
        <xdr:cNvCxnSpPr/>
      </xdr:nvCxnSpPr>
      <xdr:spPr>
        <a:xfrm flipH="1">
          <a:off x="609605" y="3819525"/>
          <a:ext cx="4543420" cy="360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19055</xdr:colOff>
      <xdr:row>16</xdr:row>
      <xdr:rowOff>38100</xdr:rowOff>
    </xdr:from>
    <xdr:to>
      <xdr:col>5</xdr:col>
      <xdr:colOff>1285875</xdr:colOff>
      <xdr:row>38</xdr:row>
      <xdr:rowOff>9525</xdr:rowOff>
    </xdr:to>
    <xdr:cxnSp macro="">
      <xdr:nvCxnSpPr>
        <xdr:cNvPr id="3" name="Straight Connector 3"/>
        <xdr:cNvCxnSpPr/>
      </xdr:nvCxnSpPr>
      <xdr:spPr>
        <a:xfrm flipH="1">
          <a:off x="609605" y="3257550"/>
          <a:ext cx="4514845" cy="416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28515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16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/>
      <c r="H7" s="1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/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/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/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/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/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/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/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/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/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27:F31">
    <sortCondition ref="C27:C31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7" workbookViewId="0">
      <selection activeCell="F10" sqref="F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2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SUMIF(F7:F38,"NB*",G7:G38)</f>
        <v>2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18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4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22</v>
      </c>
      <c r="C7" s="10" t="s">
        <v>20</v>
      </c>
      <c r="D7" s="9" t="s">
        <v>26</v>
      </c>
      <c r="E7" s="12">
        <v>43143</v>
      </c>
      <c r="F7" s="21" t="s">
        <v>21</v>
      </c>
      <c r="G7" s="17">
        <v>1</v>
      </c>
      <c r="H7" s="1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19</v>
      </c>
      <c r="C8" s="10" t="s">
        <v>20</v>
      </c>
      <c r="D8" s="9" t="s">
        <v>25</v>
      </c>
      <c r="E8" s="12">
        <v>43143</v>
      </c>
      <c r="F8" s="21" t="s">
        <v>21</v>
      </c>
      <c r="G8" s="17">
        <v>1</v>
      </c>
      <c r="H8" s="26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23</v>
      </c>
      <c r="C9" s="10" t="s">
        <v>20</v>
      </c>
      <c r="D9" s="23" t="s">
        <v>24</v>
      </c>
      <c r="E9" s="12">
        <v>43144</v>
      </c>
      <c r="F9" s="24" t="s">
        <v>29</v>
      </c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23</v>
      </c>
      <c r="C10" s="13" t="s">
        <v>20</v>
      </c>
      <c r="D10" s="23" t="s">
        <v>27</v>
      </c>
      <c r="E10" s="12">
        <v>43146</v>
      </c>
      <c r="F10" s="24" t="s">
        <v>28</v>
      </c>
      <c r="G10" s="17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>
        <v>1</v>
      </c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>
        <v>1</v>
      </c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>
        <v>1</v>
      </c>
      <c r="H38" s="1"/>
      <c r="I38" s="1"/>
      <c r="J38" s="1"/>
    </row>
  </sheetData>
  <sortState ref="B7:F9">
    <sortCondition ref="E7:E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19" workbookViewId="0">
      <selection activeCell="F19" sqref="F1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26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SUMIF(F7:F33,"NB*",G7:G33)</f>
        <v>1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30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27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31</v>
      </c>
      <c r="C7" s="10" t="s">
        <v>20</v>
      </c>
      <c r="D7" s="9" t="s">
        <v>37</v>
      </c>
      <c r="E7" s="12">
        <v>43165</v>
      </c>
      <c r="F7" s="21" t="s">
        <v>21</v>
      </c>
      <c r="G7" s="17">
        <v>1</v>
      </c>
      <c r="H7" s="1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32</v>
      </c>
      <c r="C8" s="10" t="s">
        <v>20</v>
      </c>
      <c r="D8" s="9" t="s">
        <v>38</v>
      </c>
      <c r="E8" s="12">
        <v>43165</v>
      </c>
      <c r="F8" s="21" t="s">
        <v>21</v>
      </c>
      <c r="G8" s="17">
        <v>1</v>
      </c>
      <c r="H8" s="26"/>
      <c r="I8" s="2"/>
      <c r="J8" s="2"/>
      <c r="K8" s="1"/>
    </row>
    <row r="9" spans="1:11" ht="15" customHeight="1" x14ac:dyDescent="0.25">
      <c r="A9" s="15">
        <f t="shared" ref="A9:A33" si="0">+A8+1</f>
        <v>3</v>
      </c>
      <c r="B9" s="13" t="s">
        <v>33</v>
      </c>
      <c r="C9" s="10" t="s">
        <v>20</v>
      </c>
      <c r="D9" s="23" t="s">
        <v>39</v>
      </c>
      <c r="E9" s="12">
        <v>43171</v>
      </c>
      <c r="F9" s="21" t="s">
        <v>21</v>
      </c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34</v>
      </c>
      <c r="C10" s="13" t="s">
        <v>20</v>
      </c>
      <c r="D10" s="23" t="s">
        <v>40</v>
      </c>
      <c r="E10" s="12">
        <v>43172</v>
      </c>
      <c r="F10" s="21" t="s">
        <v>21</v>
      </c>
      <c r="G10" s="17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35</v>
      </c>
      <c r="C11" s="13" t="s">
        <v>20</v>
      </c>
      <c r="D11" s="23" t="s">
        <v>41</v>
      </c>
      <c r="E11" s="12">
        <v>43172</v>
      </c>
      <c r="F11" s="21" t="s">
        <v>21</v>
      </c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36</v>
      </c>
      <c r="C12" s="13" t="s">
        <v>20</v>
      </c>
      <c r="D12" s="23" t="s">
        <v>42</v>
      </c>
      <c r="E12" s="12">
        <v>43172</v>
      </c>
      <c r="F12" s="21" t="s">
        <v>21</v>
      </c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44</v>
      </c>
      <c r="C13" s="13" t="s">
        <v>20</v>
      </c>
      <c r="D13" s="23" t="s">
        <v>43</v>
      </c>
      <c r="E13" s="12">
        <v>43178</v>
      </c>
      <c r="F13" s="24" t="s">
        <v>21</v>
      </c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45</v>
      </c>
      <c r="C14" s="13" t="s">
        <v>20</v>
      </c>
      <c r="D14" s="23" t="s">
        <v>46</v>
      </c>
      <c r="E14" s="12">
        <v>43178</v>
      </c>
      <c r="F14" s="24" t="s">
        <v>21</v>
      </c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48</v>
      </c>
      <c r="C15" s="13" t="s">
        <v>20</v>
      </c>
      <c r="D15" s="23" t="s">
        <v>47</v>
      </c>
      <c r="E15" s="12">
        <v>43178</v>
      </c>
      <c r="F15" s="24" t="s">
        <v>21</v>
      </c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 t="s">
        <v>49</v>
      </c>
      <c r="C16" s="13" t="s">
        <v>20</v>
      </c>
      <c r="D16" s="23" t="s">
        <v>50</v>
      </c>
      <c r="E16" s="12">
        <v>43178</v>
      </c>
      <c r="F16" s="24" t="s">
        <v>21</v>
      </c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 t="s">
        <v>51</v>
      </c>
      <c r="C17" s="13" t="s">
        <v>20</v>
      </c>
      <c r="D17" s="23" t="s">
        <v>52</v>
      </c>
      <c r="E17" s="12">
        <v>43178</v>
      </c>
      <c r="F17" s="24" t="s">
        <v>21</v>
      </c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 t="s">
        <v>53</v>
      </c>
      <c r="C18" s="13" t="s">
        <v>20</v>
      </c>
      <c r="D18" s="23" t="s">
        <v>54</v>
      </c>
      <c r="E18" s="12">
        <v>43178</v>
      </c>
      <c r="F18" s="24" t="s">
        <v>21</v>
      </c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 t="s">
        <v>55</v>
      </c>
      <c r="C19" s="13" t="s">
        <v>20</v>
      </c>
      <c r="D19" s="23" t="s">
        <v>56</v>
      </c>
      <c r="E19" s="12">
        <v>43179</v>
      </c>
      <c r="F19" s="24" t="s">
        <v>21</v>
      </c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 t="s">
        <v>57</v>
      </c>
      <c r="C20" s="13" t="s">
        <v>20</v>
      </c>
      <c r="D20" s="23" t="s">
        <v>58</v>
      </c>
      <c r="E20" s="12">
        <v>43179</v>
      </c>
      <c r="F20" s="24" t="s">
        <v>21</v>
      </c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 t="s">
        <v>59</v>
      </c>
      <c r="C21" s="13" t="s">
        <v>20</v>
      </c>
      <c r="D21" s="23" t="s">
        <v>60</v>
      </c>
      <c r="E21" s="12">
        <v>43179</v>
      </c>
      <c r="F21" s="24" t="s">
        <v>21</v>
      </c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 t="s">
        <v>85</v>
      </c>
      <c r="C22" s="13" t="s">
        <v>20</v>
      </c>
      <c r="D22" s="9" t="s">
        <v>86</v>
      </c>
      <c r="E22" s="12">
        <v>43179</v>
      </c>
      <c r="F22" s="21" t="s">
        <v>21</v>
      </c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 t="s">
        <v>61</v>
      </c>
      <c r="C23" s="13" t="s">
        <v>20</v>
      </c>
      <c r="D23" s="23" t="s">
        <v>62</v>
      </c>
      <c r="E23" s="12">
        <v>43185</v>
      </c>
      <c r="F23" s="24" t="s">
        <v>21</v>
      </c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 t="s">
        <v>63</v>
      </c>
      <c r="C24" s="13" t="s">
        <v>20</v>
      </c>
      <c r="D24" s="23" t="s">
        <v>64</v>
      </c>
      <c r="E24" s="12">
        <v>43185</v>
      </c>
      <c r="F24" s="24" t="s">
        <v>21</v>
      </c>
      <c r="G24" s="17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 t="s">
        <v>65</v>
      </c>
      <c r="C25" s="13" t="s">
        <v>20</v>
      </c>
      <c r="D25" s="23" t="s">
        <v>66</v>
      </c>
      <c r="E25" s="12">
        <v>43185</v>
      </c>
      <c r="F25" s="24" t="s">
        <v>21</v>
      </c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 t="s">
        <v>67</v>
      </c>
      <c r="C26" s="13" t="s">
        <v>20</v>
      </c>
      <c r="D26" s="23" t="s">
        <v>68</v>
      </c>
      <c r="E26" s="12">
        <v>43185</v>
      </c>
      <c r="F26" s="24" t="s">
        <v>21</v>
      </c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 t="s">
        <v>69</v>
      </c>
      <c r="C27" s="13" t="s">
        <v>20</v>
      </c>
      <c r="D27" s="23" t="s">
        <v>70</v>
      </c>
      <c r="E27" s="12">
        <v>43187</v>
      </c>
      <c r="F27" s="24" t="s">
        <v>21</v>
      </c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 t="s">
        <v>71</v>
      </c>
      <c r="C28" s="13" t="s">
        <v>20</v>
      </c>
      <c r="D28" s="23" t="s">
        <v>72</v>
      </c>
      <c r="E28" s="12">
        <v>43187</v>
      </c>
      <c r="F28" s="24" t="s">
        <v>21</v>
      </c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 t="s">
        <v>73</v>
      </c>
      <c r="C29" s="13" t="s">
        <v>20</v>
      </c>
      <c r="D29" s="23" t="s">
        <v>74</v>
      </c>
      <c r="E29" s="12">
        <v>43187</v>
      </c>
      <c r="F29" s="24" t="s">
        <v>21</v>
      </c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 t="s">
        <v>75</v>
      </c>
      <c r="C30" s="13" t="s">
        <v>20</v>
      </c>
      <c r="D30" s="23" t="s">
        <v>76</v>
      </c>
      <c r="E30" s="12">
        <v>43187</v>
      </c>
      <c r="F30" s="24" t="s">
        <v>21</v>
      </c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 t="s">
        <v>77</v>
      </c>
      <c r="C31" s="13" t="s">
        <v>20</v>
      </c>
      <c r="D31" s="23" t="s">
        <v>78</v>
      </c>
      <c r="E31" s="12">
        <v>43187</v>
      </c>
      <c r="F31" s="24" t="s">
        <v>21</v>
      </c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 t="s">
        <v>79</v>
      </c>
      <c r="C32" s="13" t="s">
        <v>20</v>
      </c>
      <c r="D32" s="23" t="s">
        <v>80</v>
      </c>
      <c r="E32" s="12">
        <v>43187</v>
      </c>
      <c r="F32" s="24" t="s">
        <v>21</v>
      </c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 t="s">
        <v>81</v>
      </c>
      <c r="C33" s="13" t="s">
        <v>20</v>
      </c>
      <c r="D33" s="9" t="s">
        <v>82</v>
      </c>
      <c r="E33" s="12">
        <v>43188</v>
      </c>
      <c r="F33" s="21" t="s">
        <v>83</v>
      </c>
      <c r="G33" s="17">
        <v>1</v>
      </c>
      <c r="H33" s="1" t="s">
        <v>84</v>
      </c>
      <c r="I33" s="1"/>
      <c r="J33" s="1"/>
    </row>
  </sheetData>
  <sortState ref="B7:H33">
    <sortCondition ref="E7:E33"/>
    <sortCondition ref="D7:D3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7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SUMIF(F7:F33,"NB*",G7:G33)</f>
        <v>1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91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8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104</v>
      </c>
      <c r="I6" s="3"/>
      <c r="J6" s="3"/>
      <c r="K6" s="1"/>
    </row>
    <row r="7" spans="1:11" ht="15" customHeight="1" x14ac:dyDescent="0.25">
      <c r="A7" s="15">
        <v>1</v>
      </c>
      <c r="B7" s="13" t="s">
        <v>92</v>
      </c>
      <c r="C7" s="10" t="s">
        <v>20</v>
      </c>
      <c r="D7" s="23" t="s">
        <v>93</v>
      </c>
      <c r="E7" s="12">
        <v>43192</v>
      </c>
      <c r="F7" s="21" t="s">
        <v>21</v>
      </c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94</v>
      </c>
      <c r="C8" s="10" t="s">
        <v>20</v>
      </c>
      <c r="D8" s="23" t="s">
        <v>95</v>
      </c>
      <c r="E8" s="12">
        <v>43192</v>
      </c>
      <c r="F8" s="21" t="s">
        <v>21</v>
      </c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3" si="0">+A8+1</f>
        <v>3</v>
      </c>
      <c r="B9" s="13" t="s">
        <v>96</v>
      </c>
      <c r="C9" s="10" t="s">
        <v>20</v>
      </c>
      <c r="D9" s="23" t="s">
        <v>97</v>
      </c>
      <c r="E9" s="12">
        <v>43192</v>
      </c>
      <c r="F9" s="21" t="s">
        <v>21</v>
      </c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98</v>
      </c>
      <c r="C10" s="10" t="s">
        <v>20</v>
      </c>
      <c r="D10" s="23" t="s">
        <v>99</v>
      </c>
      <c r="E10" s="12">
        <v>43192</v>
      </c>
      <c r="F10" s="21" t="s">
        <v>21</v>
      </c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100</v>
      </c>
      <c r="C11" s="10" t="s">
        <v>20</v>
      </c>
      <c r="D11" s="23" t="s">
        <v>101</v>
      </c>
      <c r="E11" s="12">
        <v>43192</v>
      </c>
      <c r="F11" s="24" t="s">
        <v>21</v>
      </c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87</v>
      </c>
      <c r="C12" s="10" t="s">
        <v>20</v>
      </c>
      <c r="D12" s="9" t="s">
        <v>88</v>
      </c>
      <c r="E12" s="12">
        <v>43200</v>
      </c>
      <c r="F12" s="21" t="s">
        <v>21</v>
      </c>
      <c r="G12" s="17">
        <v>1</v>
      </c>
      <c r="H12" s="16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89</v>
      </c>
      <c r="C13" s="10" t="s">
        <v>20</v>
      </c>
      <c r="D13" s="9" t="s">
        <v>90</v>
      </c>
      <c r="E13" s="12">
        <v>43206</v>
      </c>
      <c r="F13" s="21" t="s">
        <v>21</v>
      </c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23</v>
      </c>
      <c r="C14" s="13" t="s">
        <v>20</v>
      </c>
      <c r="D14" s="23" t="s">
        <v>102</v>
      </c>
      <c r="E14" s="12">
        <v>43213</v>
      </c>
      <c r="F14" s="24" t="s">
        <v>105</v>
      </c>
      <c r="G14" s="17">
        <v>1</v>
      </c>
      <c r="H14" s="29" t="s">
        <v>103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</sheetData>
  <sortState ref="B7:H14">
    <sortCondition ref="E7:E14"/>
    <sortCondition ref="D7:D14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SUMIF(F7:F33,"NB*",G7:G33)</f>
        <v>1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109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104</v>
      </c>
      <c r="I6" s="3"/>
      <c r="J6" s="3"/>
      <c r="K6" s="1"/>
    </row>
    <row r="7" spans="1:11" ht="15" customHeight="1" x14ac:dyDescent="0.25">
      <c r="A7" s="15">
        <v>1</v>
      </c>
      <c r="B7" s="13" t="s">
        <v>23</v>
      </c>
      <c r="C7" s="10" t="s">
        <v>20</v>
      </c>
      <c r="D7" s="23" t="s">
        <v>106</v>
      </c>
      <c r="E7" s="12">
        <v>43230</v>
      </c>
      <c r="F7" s="24" t="s">
        <v>107</v>
      </c>
      <c r="G7" s="17">
        <v>1</v>
      </c>
      <c r="H7" s="26" t="s">
        <v>108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3" si="0">+A8+1</f>
        <v>3</v>
      </c>
      <c r="B9" s="13"/>
      <c r="C9" s="10"/>
      <c r="D9" s="23"/>
      <c r="E9" s="12"/>
      <c r="F9" s="21"/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1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2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SUMIF(F7:F33,"NB*",G7:G33)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114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111</v>
      </c>
      <c r="C7" s="10" t="s">
        <v>20</v>
      </c>
      <c r="D7" s="23" t="s">
        <v>110</v>
      </c>
      <c r="E7" s="12">
        <v>43271</v>
      </c>
      <c r="F7" s="21" t="s">
        <v>21</v>
      </c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112</v>
      </c>
      <c r="C8" s="10" t="s">
        <v>20</v>
      </c>
      <c r="D8" s="23" t="s">
        <v>113</v>
      </c>
      <c r="E8" s="12">
        <v>43272</v>
      </c>
      <c r="F8" s="21" t="s">
        <v>21</v>
      </c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1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31">
        <v>1</v>
      </c>
      <c r="H33" s="1"/>
      <c r="I33" s="1"/>
      <c r="J33" s="1"/>
    </row>
    <row r="34" spans="1:10" x14ac:dyDescent="0.25">
      <c r="A34" s="15">
        <f t="shared" si="0"/>
        <v>28</v>
      </c>
      <c r="B34" s="32"/>
      <c r="C34" s="32"/>
      <c r="D34" s="32"/>
      <c r="E34" s="32"/>
      <c r="F34" s="32"/>
    </row>
    <row r="35" spans="1:10" x14ac:dyDescent="0.25">
      <c r="A35" s="15">
        <f t="shared" si="0"/>
        <v>29</v>
      </c>
      <c r="B35" s="32"/>
      <c r="C35" s="32"/>
      <c r="D35" s="32"/>
      <c r="E35" s="32"/>
      <c r="F35" s="32"/>
    </row>
    <row r="36" spans="1:10" x14ac:dyDescent="0.25">
      <c r="A36" s="15">
        <f t="shared" si="0"/>
        <v>30</v>
      </c>
      <c r="B36" s="32"/>
      <c r="C36" s="32"/>
      <c r="D36" s="32"/>
      <c r="E36" s="32"/>
      <c r="F36" s="32"/>
    </row>
    <row r="37" spans="1:10" x14ac:dyDescent="0.25">
      <c r="A37" s="15">
        <f t="shared" si="0"/>
        <v>31</v>
      </c>
      <c r="B37" s="32"/>
      <c r="C37" s="32"/>
      <c r="D37" s="32"/>
      <c r="E37" s="32"/>
      <c r="F37" s="32"/>
    </row>
    <row r="38" spans="1:10" x14ac:dyDescent="0.25">
      <c r="A38" s="15">
        <f t="shared" si="0"/>
        <v>32</v>
      </c>
      <c r="B38" s="32"/>
      <c r="C38" s="32"/>
      <c r="D38" s="32"/>
      <c r="E38" s="32"/>
      <c r="F38" s="32"/>
    </row>
  </sheetData>
  <sortState ref="B7:F8">
    <sortCondition ref="E7:E8"/>
    <sortCondition ref="D7:D8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9" sqref="A1:F3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SUMIF(F7:F33,"NB*",G7:G33)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115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1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31">
        <v>1</v>
      </c>
      <c r="H33" s="1"/>
      <c r="I33" s="1"/>
      <c r="J33" s="1"/>
    </row>
    <row r="34" spans="1:10" x14ac:dyDescent="0.25">
      <c r="A34" s="15">
        <f t="shared" si="0"/>
        <v>28</v>
      </c>
      <c r="B34" s="32"/>
      <c r="C34" s="32"/>
      <c r="D34" s="32"/>
      <c r="E34" s="32"/>
      <c r="F34" s="32"/>
    </row>
    <row r="35" spans="1:10" x14ac:dyDescent="0.25">
      <c r="A35" s="15">
        <f t="shared" si="0"/>
        <v>29</v>
      </c>
      <c r="B35" s="32"/>
      <c r="C35" s="32"/>
      <c r="D35" s="32"/>
      <c r="E35" s="32"/>
      <c r="F35" s="32"/>
    </row>
    <row r="36" spans="1:10" x14ac:dyDescent="0.25">
      <c r="A36" s="15">
        <f t="shared" si="0"/>
        <v>30</v>
      </c>
      <c r="B36" s="32"/>
      <c r="C36" s="32"/>
      <c r="D36" s="32"/>
      <c r="E36" s="32"/>
      <c r="F36" s="32"/>
    </row>
    <row r="37" spans="1:10" x14ac:dyDescent="0.25">
      <c r="A37" s="15">
        <f t="shared" si="0"/>
        <v>31</v>
      </c>
      <c r="B37" s="32"/>
      <c r="C37" s="32"/>
      <c r="D37" s="32"/>
      <c r="E37" s="32"/>
      <c r="F37" s="32"/>
    </row>
    <row r="38" spans="1:10" x14ac:dyDescent="0.25">
      <c r="A38" s="15">
        <f t="shared" si="0"/>
        <v>32</v>
      </c>
      <c r="B38" s="32"/>
      <c r="C38" s="32"/>
      <c r="D38" s="32"/>
      <c r="E38" s="32"/>
      <c r="F38" s="3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10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SUMIF(F7:F33,"NB*",G7:G33)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116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1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31">
        <v>1</v>
      </c>
      <c r="H33" s="1"/>
      <c r="I33" s="1"/>
      <c r="J33" s="1"/>
    </row>
    <row r="34" spans="1:10" x14ac:dyDescent="0.25">
      <c r="A34" s="15">
        <f t="shared" si="0"/>
        <v>28</v>
      </c>
      <c r="B34" s="32"/>
      <c r="C34" s="32"/>
      <c r="D34" s="32"/>
      <c r="E34" s="32"/>
      <c r="F34" s="32"/>
    </row>
    <row r="35" spans="1:10" x14ac:dyDescent="0.25">
      <c r="A35" s="15">
        <f t="shared" si="0"/>
        <v>29</v>
      </c>
      <c r="B35" s="32"/>
      <c r="C35" s="32"/>
      <c r="D35" s="32"/>
      <c r="E35" s="32"/>
      <c r="F35" s="32"/>
    </row>
    <row r="36" spans="1:10" x14ac:dyDescent="0.25">
      <c r="A36" s="15">
        <f t="shared" si="0"/>
        <v>30</v>
      </c>
      <c r="B36" s="32"/>
      <c r="C36" s="32"/>
      <c r="D36" s="32"/>
      <c r="E36" s="32"/>
      <c r="F36" s="32"/>
    </row>
    <row r="37" spans="1:10" x14ac:dyDescent="0.25">
      <c r="A37" s="15">
        <f t="shared" si="0"/>
        <v>31</v>
      </c>
      <c r="B37" s="32"/>
      <c r="C37" s="32"/>
      <c r="D37" s="32"/>
      <c r="E37" s="32"/>
      <c r="F37" s="32"/>
    </row>
    <row r="38" spans="1:10" x14ac:dyDescent="0.25">
      <c r="A38" s="15">
        <f t="shared" si="0"/>
        <v>32</v>
      </c>
      <c r="B38" s="32"/>
      <c r="C38" s="32"/>
      <c r="D38" s="32"/>
      <c r="E38" s="32"/>
      <c r="F38" s="3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H11" sqref="H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0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SUMIF(F7:F33,"NB*",G7:G33)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117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8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4"/>
      <c r="G11" s="17">
        <v>1</v>
      </c>
      <c r="H11" s="29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16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31">
        <v>1</v>
      </c>
      <c r="H33" s="1"/>
      <c r="I33" s="1"/>
      <c r="J33" s="1"/>
    </row>
    <row r="34" spans="1:10" x14ac:dyDescent="0.25">
      <c r="A34" s="15">
        <f t="shared" si="0"/>
        <v>28</v>
      </c>
      <c r="B34" s="32"/>
      <c r="C34" s="32"/>
      <c r="D34" s="32"/>
      <c r="E34" s="32"/>
      <c r="F34" s="32"/>
    </row>
    <row r="35" spans="1:10" x14ac:dyDescent="0.25">
      <c r="A35" s="15">
        <f t="shared" si="0"/>
        <v>29</v>
      </c>
      <c r="B35" s="32"/>
      <c r="C35" s="32"/>
      <c r="D35" s="32"/>
      <c r="E35" s="32"/>
      <c r="F35" s="32"/>
    </row>
    <row r="36" spans="1:10" x14ac:dyDescent="0.25">
      <c r="A36" s="15">
        <f t="shared" si="0"/>
        <v>30</v>
      </c>
      <c r="B36" s="32"/>
      <c r="C36" s="32"/>
      <c r="D36" s="32"/>
      <c r="E36" s="32"/>
      <c r="F36" s="32"/>
    </row>
    <row r="37" spans="1:10" x14ac:dyDescent="0.25">
      <c r="A37" s="15">
        <f t="shared" si="0"/>
        <v>31</v>
      </c>
      <c r="B37" s="32"/>
      <c r="C37" s="32"/>
      <c r="D37" s="32"/>
      <c r="E37" s="32"/>
      <c r="F37" s="32"/>
    </row>
    <row r="38" spans="1:10" x14ac:dyDescent="0.25">
      <c r="A38" s="15">
        <f t="shared" si="0"/>
        <v>32</v>
      </c>
      <c r="B38" s="32"/>
      <c r="C38" s="32"/>
      <c r="D38" s="32"/>
      <c r="E38" s="32"/>
      <c r="F38" s="3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H9" sqref="H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3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SUMIF(F7:F33,"NB*",G7:G33)</f>
        <v>4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121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7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133</v>
      </c>
      <c r="I6" s="3"/>
      <c r="J6" s="3"/>
      <c r="K6" s="1"/>
    </row>
    <row r="7" spans="1:11" ht="15" customHeight="1" x14ac:dyDescent="0.25">
      <c r="A7" s="15">
        <v>1</v>
      </c>
      <c r="B7" s="13" t="s">
        <v>23</v>
      </c>
      <c r="C7" s="10" t="s">
        <v>20</v>
      </c>
      <c r="D7" s="23" t="s">
        <v>118</v>
      </c>
      <c r="E7" s="12">
        <v>43401</v>
      </c>
      <c r="F7" s="21" t="s">
        <v>182</v>
      </c>
      <c r="G7" s="17">
        <v>1</v>
      </c>
      <c r="H7" s="26" t="s">
        <v>119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23</v>
      </c>
      <c r="C8" s="10" t="s">
        <v>20</v>
      </c>
      <c r="D8" s="23" t="s">
        <v>120</v>
      </c>
      <c r="E8" s="12">
        <v>43401</v>
      </c>
      <c r="F8" s="21" t="s">
        <v>122</v>
      </c>
      <c r="G8" s="17">
        <v>1</v>
      </c>
      <c r="H8" s="26" t="s">
        <v>187</v>
      </c>
      <c r="I8" s="2" t="s">
        <v>186</v>
      </c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23</v>
      </c>
      <c r="C9" s="10" t="s">
        <v>20</v>
      </c>
      <c r="D9" s="9" t="s">
        <v>128</v>
      </c>
      <c r="E9" s="12">
        <v>43404</v>
      </c>
      <c r="F9" s="21" t="s">
        <v>183</v>
      </c>
      <c r="G9" s="17">
        <v>1</v>
      </c>
      <c r="H9" s="26" t="s">
        <v>126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23</v>
      </c>
      <c r="C10" s="10" t="s">
        <v>20</v>
      </c>
      <c r="D10" s="9" t="s">
        <v>129</v>
      </c>
      <c r="E10" s="12">
        <v>43404</v>
      </c>
      <c r="F10" s="21" t="s">
        <v>181</v>
      </c>
      <c r="G10" s="17">
        <v>1</v>
      </c>
      <c r="H10" s="26" t="s">
        <v>127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123</v>
      </c>
      <c r="C11" s="10" t="s">
        <v>20</v>
      </c>
      <c r="D11" s="23" t="s">
        <v>130</v>
      </c>
      <c r="E11" s="12">
        <v>43404</v>
      </c>
      <c r="F11" s="21" t="s">
        <v>21</v>
      </c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124</v>
      </c>
      <c r="C12" s="10" t="s">
        <v>20</v>
      </c>
      <c r="D12" s="23" t="s">
        <v>131</v>
      </c>
      <c r="E12" s="12">
        <v>43404</v>
      </c>
      <c r="F12" s="21" t="s">
        <v>21</v>
      </c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125</v>
      </c>
      <c r="C13" s="10" t="s">
        <v>20</v>
      </c>
      <c r="D13" s="23" t="s">
        <v>132</v>
      </c>
      <c r="E13" s="12">
        <v>43404</v>
      </c>
      <c r="F13" s="21" t="s">
        <v>21</v>
      </c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31">
        <v>1</v>
      </c>
      <c r="H33" s="1"/>
      <c r="I33" s="1"/>
      <c r="J33" s="1"/>
    </row>
    <row r="34" spans="1:10" x14ac:dyDescent="0.25">
      <c r="A34" s="15">
        <f t="shared" si="0"/>
        <v>28</v>
      </c>
      <c r="B34" s="32"/>
      <c r="C34" s="32"/>
      <c r="D34" s="32"/>
      <c r="E34" s="32"/>
      <c r="F34" s="32"/>
    </row>
    <row r="35" spans="1:10" x14ac:dyDescent="0.25">
      <c r="A35" s="15">
        <f t="shared" si="0"/>
        <v>29</v>
      </c>
      <c r="B35" s="32"/>
      <c r="C35" s="32"/>
      <c r="D35" s="32"/>
      <c r="E35" s="32"/>
      <c r="F35" s="32"/>
    </row>
    <row r="36" spans="1:10" x14ac:dyDescent="0.25">
      <c r="A36" s="15">
        <f t="shared" si="0"/>
        <v>30</v>
      </c>
      <c r="B36" s="32"/>
      <c r="C36" s="32"/>
      <c r="D36" s="32"/>
      <c r="E36" s="32"/>
      <c r="F36" s="32"/>
    </row>
    <row r="37" spans="1:10" x14ac:dyDescent="0.25">
      <c r="A37" s="15">
        <f t="shared" si="0"/>
        <v>31</v>
      </c>
      <c r="B37" s="32"/>
      <c r="C37" s="32"/>
      <c r="D37" s="32"/>
      <c r="E37" s="32"/>
      <c r="F37" s="32"/>
    </row>
    <row r="38" spans="1:10" x14ac:dyDescent="0.25">
      <c r="A38" s="15">
        <f t="shared" si="0"/>
        <v>32</v>
      </c>
      <c r="B38" s="32"/>
      <c r="C38" s="32"/>
      <c r="D38" s="32"/>
      <c r="E38" s="32"/>
      <c r="F38" s="32"/>
    </row>
  </sheetData>
  <sortState ref="B7:H13">
    <sortCondition ref="E7:E13"/>
    <sortCondition ref="D7:D1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12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SUMIF(F7:F33,"NB*",G7:G33)</f>
        <v>1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140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13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133</v>
      </c>
      <c r="I6" s="3"/>
      <c r="J6" s="3"/>
      <c r="K6" s="1"/>
    </row>
    <row r="7" spans="1:11" ht="15" customHeight="1" x14ac:dyDescent="0.25">
      <c r="A7" s="15">
        <v>1</v>
      </c>
      <c r="B7" s="13" t="s">
        <v>23</v>
      </c>
      <c r="C7" s="10" t="s">
        <v>20</v>
      </c>
      <c r="D7" s="23" t="s">
        <v>134</v>
      </c>
      <c r="E7" s="12">
        <v>43408</v>
      </c>
      <c r="F7" s="21" t="s">
        <v>135</v>
      </c>
      <c r="G7" s="17">
        <v>1</v>
      </c>
      <c r="H7" s="26" t="s">
        <v>119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136</v>
      </c>
      <c r="C8" s="10" t="s">
        <v>20</v>
      </c>
      <c r="D8" s="23" t="s">
        <v>137</v>
      </c>
      <c r="E8" s="12">
        <v>43409</v>
      </c>
      <c r="F8" s="21" t="s">
        <v>21</v>
      </c>
      <c r="G8" s="17">
        <v>1</v>
      </c>
      <c r="H8" s="26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138</v>
      </c>
      <c r="C9" s="10" t="s">
        <v>20</v>
      </c>
      <c r="D9" s="23" t="s">
        <v>139</v>
      </c>
      <c r="E9" s="12">
        <v>43409</v>
      </c>
      <c r="F9" s="21" t="s">
        <v>21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151</v>
      </c>
      <c r="C10" s="10" t="s">
        <v>20</v>
      </c>
      <c r="D10" s="9" t="s">
        <v>141</v>
      </c>
      <c r="E10" s="12">
        <v>43431</v>
      </c>
      <c r="F10" s="21" t="s">
        <v>21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152</v>
      </c>
      <c r="C11" s="10" t="s">
        <v>20</v>
      </c>
      <c r="D11" s="9" t="s">
        <v>142</v>
      </c>
      <c r="E11" s="12">
        <v>43431</v>
      </c>
      <c r="F11" s="21" t="s">
        <v>21</v>
      </c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153</v>
      </c>
      <c r="C12" s="10" t="s">
        <v>20</v>
      </c>
      <c r="D12" s="9" t="s">
        <v>143</v>
      </c>
      <c r="E12" s="12">
        <v>43431</v>
      </c>
      <c r="F12" s="21" t="s">
        <v>21</v>
      </c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154</v>
      </c>
      <c r="C13" s="10" t="s">
        <v>20</v>
      </c>
      <c r="D13" s="9" t="s">
        <v>144</v>
      </c>
      <c r="E13" s="12">
        <v>43431</v>
      </c>
      <c r="F13" s="21" t="s">
        <v>21</v>
      </c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155</v>
      </c>
      <c r="C14" s="10" t="s">
        <v>20</v>
      </c>
      <c r="D14" s="9" t="s">
        <v>145</v>
      </c>
      <c r="E14" s="12">
        <v>43431</v>
      </c>
      <c r="F14" s="21" t="s">
        <v>21</v>
      </c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156</v>
      </c>
      <c r="C15" s="10" t="s">
        <v>20</v>
      </c>
      <c r="D15" s="9" t="s">
        <v>146</v>
      </c>
      <c r="E15" s="12">
        <v>43431</v>
      </c>
      <c r="F15" s="21" t="s">
        <v>21</v>
      </c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 t="s">
        <v>157</v>
      </c>
      <c r="C16" s="10" t="s">
        <v>20</v>
      </c>
      <c r="D16" s="9" t="s">
        <v>147</v>
      </c>
      <c r="E16" s="12">
        <v>43431</v>
      </c>
      <c r="F16" s="21" t="s">
        <v>21</v>
      </c>
      <c r="G16" s="17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 t="s">
        <v>158</v>
      </c>
      <c r="C17" s="10" t="s">
        <v>20</v>
      </c>
      <c r="D17" s="9" t="s">
        <v>148</v>
      </c>
      <c r="E17" s="12">
        <v>43431</v>
      </c>
      <c r="F17" s="21" t="s">
        <v>21</v>
      </c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 t="s">
        <v>159</v>
      </c>
      <c r="C18" s="10" t="s">
        <v>20</v>
      </c>
      <c r="D18" s="9" t="s">
        <v>149</v>
      </c>
      <c r="E18" s="12">
        <v>43431</v>
      </c>
      <c r="F18" s="21" t="s">
        <v>21</v>
      </c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 t="s">
        <v>160</v>
      </c>
      <c r="C19" s="10" t="s">
        <v>20</v>
      </c>
      <c r="D19" s="9" t="s">
        <v>150</v>
      </c>
      <c r="E19" s="12">
        <v>43431</v>
      </c>
      <c r="F19" s="21" t="s">
        <v>21</v>
      </c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2"/>
      <c r="C34" s="32"/>
      <c r="D34" s="32"/>
      <c r="E34" s="32"/>
      <c r="F34" s="32"/>
    </row>
    <row r="35" spans="1:10" x14ac:dyDescent="0.25">
      <c r="A35" s="15">
        <f t="shared" si="0"/>
        <v>29</v>
      </c>
      <c r="B35" s="32"/>
      <c r="C35" s="32"/>
      <c r="D35" s="32"/>
      <c r="E35" s="32"/>
      <c r="F35" s="32"/>
    </row>
    <row r="36" spans="1:10" x14ac:dyDescent="0.25">
      <c r="A36" s="15">
        <f t="shared" si="0"/>
        <v>30</v>
      </c>
      <c r="B36" s="32"/>
      <c r="C36" s="32"/>
      <c r="D36" s="32"/>
      <c r="E36" s="32"/>
      <c r="F36" s="32"/>
    </row>
    <row r="37" spans="1:10" x14ac:dyDescent="0.25">
      <c r="A37" s="15">
        <f t="shared" si="0"/>
        <v>31</v>
      </c>
      <c r="B37" s="32"/>
      <c r="C37" s="32"/>
      <c r="D37" s="32"/>
      <c r="E37" s="32"/>
      <c r="F37" s="32"/>
    </row>
    <row r="38" spans="1:10" x14ac:dyDescent="0.25">
      <c r="A38" s="15">
        <f t="shared" si="0"/>
        <v>32</v>
      </c>
      <c r="B38" s="32"/>
      <c r="C38" s="32"/>
      <c r="D38" s="32"/>
      <c r="E38" s="32"/>
      <c r="F38" s="3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17" sqref="F1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SUMIF(F7:F33,"Elimination*",G7:G33)</f>
        <v>9</v>
      </c>
    </row>
    <row r="3" spans="1:11" x14ac:dyDescent="0.25">
      <c r="A3" s="38" t="s">
        <v>5</v>
      </c>
      <c r="B3" s="38"/>
      <c r="C3" s="38"/>
      <c r="D3" s="5"/>
      <c r="E3" s="38" t="s">
        <v>17</v>
      </c>
      <c r="F3" s="38"/>
      <c r="G3" s="4"/>
      <c r="H3" s="4"/>
      <c r="I3" s="34" t="s">
        <v>6</v>
      </c>
      <c r="J3" s="35"/>
      <c r="K3" s="18">
        <f>SUMIF(F7:F33,"NB*",G7:G33)</f>
        <v>1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SUMIF(F7:F33,"Ve*",G7:G33)</f>
        <v>0</v>
      </c>
    </row>
    <row r="5" spans="1:11" ht="15.75" x14ac:dyDescent="0.25">
      <c r="A5" s="36" t="s">
        <v>175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10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133</v>
      </c>
      <c r="I6" s="3"/>
      <c r="J6" s="3"/>
      <c r="K6" s="1"/>
    </row>
    <row r="7" spans="1:11" ht="15" customHeight="1" x14ac:dyDescent="0.25">
      <c r="A7" s="15">
        <v>1</v>
      </c>
      <c r="B7" s="13" t="s">
        <v>161</v>
      </c>
      <c r="C7" s="10" t="s">
        <v>20</v>
      </c>
      <c r="D7" s="23" t="s">
        <v>162</v>
      </c>
      <c r="E7" s="12">
        <v>43438</v>
      </c>
      <c r="F7" s="21" t="s">
        <v>21</v>
      </c>
      <c r="G7" s="17">
        <v>1</v>
      </c>
      <c r="H7" s="26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169</v>
      </c>
      <c r="C8" s="10" t="s">
        <v>20</v>
      </c>
      <c r="D8" s="23" t="s">
        <v>163</v>
      </c>
      <c r="E8" s="12">
        <v>43438</v>
      </c>
      <c r="F8" s="21" t="s">
        <v>21</v>
      </c>
      <c r="G8" s="17">
        <v>1</v>
      </c>
      <c r="H8" s="26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170</v>
      </c>
      <c r="C9" s="10" t="s">
        <v>20</v>
      </c>
      <c r="D9" s="23" t="s">
        <v>164</v>
      </c>
      <c r="E9" s="12">
        <v>43438</v>
      </c>
      <c r="F9" s="21" t="s">
        <v>21</v>
      </c>
      <c r="G9" s="17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171</v>
      </c>
      <c r="C10" s="10" t="s">
        <v>20</v>
      </c>
      <c r="D10" s="23" t="s">
        <v>165</v>
      </c>
      <c r="E10" s="12">
        <v>43438</v>
      </c>
      <c r="F10" s="21" t="s">
        <v>21</v>
      </c>
      <c r="G10" s="17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172</v>
      </c>
      <c r="C11" s="10" t="s">
        <v>20</v>
      </c>
      <c r="D11" s="23" t="s">
        <v>166</v>
      </c>
      <c r="E11" s="12">
        <v>43438</v>
      </c>
      <c r="F11" s="21" t="s">
        <v>21</v>
      </c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173</v>
      </c>
      <c r="C12" s="10" t="s">
        <v>20</v>
      </c>
      <c r="D12" s="23" t="s">
        <v>167</v>
      </c>
      <c r="E12" s="12">
        <v>43438</v>
      </c>
      <c r="F12" s="21" t="s">
        <v>21</v>
      </c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174</v>
      </c>
      <c r="C13" s="10" t="s">
        <v>20</v>
      </c>
      <c r="D13" s="23" t="s">
        <v>168</v>
      </c>
      <c r="E13" s="12">
        <v>43438</v>
      </c>
      <c r="F13" s="21" t="s">
        <v>21</v>
      </c>
      <c r="G13" s="17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176</v>
      </c>
      <c r="C14" s="10" t="s">
        <v>20</v>
      </c>
      <c r="D14" s="23" t="s">
        <v>177</v>
      </c>
      <c r="E14" s="12">
        <v>43446</v>
      </c>
      <c r="F14" s="21" t="s">
        <v>21</v>
      </c>
      <c r="G14" s="17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178</v>
      </c>
      <c r="C15" s="10" t="s">
        <v>20</v>
      </c>
      <c r="D15" s="23" t="s">
        <v>179</v>
      </c>
      <c r="E15" s="12">
        <v>43458</v>
      </c>
      <c r="F15" s="21" t="s">
        <v>21</v>
      </c>
      <c r="G15" s="17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 t="s">
        <v>23</v>
      </c>
      <c r="C16" s="10" t="s">
        <v>20</v>
      </c>
      <c r="D16" s="23" t="s">
        <v>180</v>
      </c>
      <c r="E16" s="12">
        <v>43465</v>
      </c>
      <c r="F16" s="21" t="s">
        <v>185</v>
      </c>
      <c r="G16" s="17">
        <v>1</v>
      </c>
      <c r="H16" s="30" t="s">
        <v>184</v>
      </c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9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2"/>
      <c r="C34" s="32"/>
      <c r="D34" s="32"/>
      <c r="E34" s="32"/>
      <c r="F34" s="32"/>
    </row>
    <row r="35" spans="1:10" x14ac:dyDescent="0.25">
      <c r="A35" s="15">
        <f t="shared" si="0"/>
        <v>29</v>
      </c>
      <c r="B35" s="32"/>
      <c r="C35" s="32"/>
      <c r="D35" s="32"/>
      <c r="E35" s="32"/>
      <c r="F35" s="32"/>
    </row>
    <row r="36" spans="1:10" x14ac:dyDescent="0.25">
      <c r="A36" s="15">
        <f t="shared" si="0"/>
        <v>30</v>
      </c>
      <c r="B36" s="32"/>
      <c r="C36" s="32"/>
      <c r="D36" s="32"/>
      <c r="E36" s="32"/>
      <c r="F36" s="32"/>
    </row>
    <row r="37" spans="1:10" x14ac:dyDescent="0.25">
      <c r="A37" s="15">
        <f t="shared" si="0"/>
        <v>31</v>
      </c>
      <c r="B37" s="32"/>
      <c r="C37" s="32"/>
      <c r="D37" s="32"/>
      <c r="E37" s="32"/>
      <c r="F37" s="32"/>
    </row>
    <row r="38" spans="1:10" x14ac:dyDescent="0.25">
      <c r="A38" s="15">
        <f t="shared" si="0"/>
        <v>32</v>
      </c>
      <c r="B38" s="32"/>
      <c r="C38" s="32"/>
      <c r="D38" s="32"/>
      <c r="E38" s="32"/>
      <c r="F38" s="32"/>
    </row>
  </sheetData>
  <sortState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2018</vt:lpstr>
      <vt:lpstr>Février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Décembre 2018</vt:lpstr>
      <vt:lpstr>'Aout 2018'!Impression_des_titres</vt:lpstr>
      <vt:lpstr>'Avril 2018'!Impression_des_titres</vt:lpstr>
      <vt:lpstr>'Décembre 2018'!Impression_des_titres</vt:lpstr>
      <vt:lpstr>'Février 2018'!Impression_des_titres</vt:lpstr>
      <vt:lpstr>'Janvier 2018'!Impression_des_titres</vt:lpstr>
      <vt:lpstr>'Juillet 2018'!Impression_des_titres</vt:lpstr>
      <vt:lpstr>'Juin 2018'!Impression_des_titres</vt:lpstr>
      <vt:lpstr>'Mai 2018'!Impression_des_titres</vt:lpstr>
      <vt:lpstr>'Mars 2018'!Impression_des_titres</vt:lpstr>
      <vt:lpstr>'Novembre 2018'!Impression_des_titres</vt:lpstr>
      <vt:lpstr>'Octobre 2018'!Impression_des_titres</vt:lpstr>
      <vt:lpstr>'Septembre 2018'!Impression_des_titres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2019-01-02T08:47:09Z</cp:lastPrinted>
  <dcterms:created xsi:type="dcterms:W3CDTF">2014-12-31T15:00:30Z</dcterms:created>
  <dcterms:modified xsi:type="dcterms:W3CDTF">2023-01-16T14:18:10Z</dcterms:modified>
</cp:coreProperties>
</file>