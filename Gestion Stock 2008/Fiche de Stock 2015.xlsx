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de Stock Berrouaghia\"/>
    </mc:Choice>
  </mc:AlternateContent>
  <bookViews>
    <workbookView xWindow="555" yWindow="75" windowWidth="11700" windowHeight="6825" firstSheet="5" activeTab="10"/>
  </bookViews>
  <sheets>
    <sheet name="JANVIER 2015" sheetId="1" r:id="rId1"/>
    <sheet name="FEVRIER 2015" sheetId="2" r:id="rId2"/>
    <sheet name="Mars 2015" sheetId="3" r:id="rId3"/>
    <sheet name="Avril 2015" sheetId="4" r:id="rId4"/>
    <sheet name="Mai 2015" sheetId="5" r:id="rId5"/>
    <sheet name="Juin 2015" sheetId="6" r:id="rId6"/>
    <sheet name="Juillet 2015" sheetId="7" r:id="rId7"/>
    <sheet name="Aout 2015" sheetId="8" r:id="rId8"/>
    <sheet name="Septembre 2015" sheetId="9" r:id="rId9"/>
    <sheet name="Octobre 2015" sheetId="10" r:id="rId10"/>
    <sheet name="Novembre 2015" sheetId="11" r:id="rId11"/>
  </sheets>
  <calcPr calcId="152511"/>
</workbook>
</file>

<file path=xl/calcChain.xml><?xml version="1.0" encoding="utf-8"?>
<calcChain xmlns="http://schemas.openxmlformats.org/spreadsheetml/2006/main">
  <c r="J41" i="11" l="1"/>
  <c r="I41" i="11"/>
  <c r="H41" i="11"/>
  <c r="G41" i="11"/>
  <c r="E41" i="11"/>
  <c r="D41" i="11"/>
  <c r="C41" i="11"/>
  <c r="B41" i="11"/>
  <c r="K40" i="11"/>
  <c r="F40" i="11"/>
  <c r="L40" i="11" s="1"/>
  <c r="K39" i="11"/>
  <c r="F39" i="11"/>
  <c r="L39" i="11" s="1"/>
  <c r="K38" i="11"/>
  <c r="F38" i="11"/>
  <c r="L38" i="11" s="1"/>
  <c r="K37" i="11"/>
  <c r="F37" i="11"/>
  <c r="L37" i="11" s="1"/>
  <c r="K36" i="11"/>
  <c r="F36" i="11"/>
  <c r="L36" i="11" s="1"/>
  <c r="K35" i="11"/>
  <c r="F35" i="11"/>
  <c r="L35" i="11" s="1"/>
  <c r="K34" i="11"/>
  <c r="F34" i="11"/>
  <c r="L34" i="11" s="1"/>
  <c r="K33" i="11"/>
  <c r="F33" i="11"/>
  <c r="L33" i="11" s="1"/>
  <c r="K32" i="11"/>
  <c r="F32" i="11"/>
  <c r="L32" i="11" s="1"/>
  <c r="K31" i="11"/>
  <c r="F31" i="11"/>
  <c r="L31" i="11" s="1"/>
  <c r="K30" i="11"/>
  <c r="F30" i="11"/>
  <c r="L30" i="11" s="1"/>
  <c r="K29" i="11"/>
  <c r="F29" i="11"/>
  <c r="L29" i="11" s="1"/>
  <c r="K28" i="11"/>
  <c r="F28" i="11"/>
  <c r="L28" i="11" s="1"/>
  <c r="K27" i="11"/>
  <c r="F27" i="11"/>
  <c r="L27" i="11" s="1"/>
  <c r="K26" i="11"/>
  <c r="F26" i="11"/>
  <c r="L26" i="11" s="1"/>
  <c r="K25" i="11"/>
  <c r="F25" i="11"/>
  <c r="L25" i="11" s="1"/>
  <c r="K24" i="11"/>
  <c r="F24" i="11"/>
  <c r="L24" i="11" s="1"/>
  <c r="K23" i="11"/>
  <c r="F23" i="11"/>
  <c r="L23" i="11" s="1"/>
  <c r="K22" i="11"/>
  <c r="F22" i="11"/>
  <c r="L22" i="11" s="1"/>
  <c r="K21" i="11"/>
  <c r="F21" i="11"/>
  <c r="K20" i="11"/>
  <c r="F20" i="11"/>
  <c r="L20" i="11" s="1"/>
  <c r="K19" i="11"/>
  <c r="F19" i="11"/>
  <c r="L19" i="11" s="1"/>
  <c r="K18" i="11"/>
  <c r="F18" i="11"/>
  <c r="L18" i="11" s="1"/>
  <c r="K17" i="11"/>
  <c r="F17" i="11"/>
  <c r="L17" i="11" s="1"/>
  <c r="K16" i="11"/>
  <c r="F16" i="11"/>
  <c r="L16" i="11" s="1"/>
  <c r="K15" i="11"/>
  <c r="F15" i="11"/>
  <c r="L15" i="11" s="1"/>
  <c r="K14" i="11"/>
  <c r="F14" i="11"/>
  <c r="L14" i="11" s="1"/>
  <c r="K13" i="11"/>
  <c r="F13" i="11"/>
  <c r="L13" i="11" s="1"/>
  <c r="K12" i="11"/>
  <c r="F12" i="11"/>
  <c r="L12" i="11" s="1"/>
  <c r="K11" i="11"/>
  <c r="F11" i="11"/>
  <c r="L11" i="11" s="1"/>
  <c r="K10" i="11"/>
  <c r="F10" i="11"/>
  <c r="L10" i="11" s="1"/>
  <c r="L21" i="11" l="1"/>
  <c r="K41" i="11"/>
  <c r="L41" i="11"/>
  <c r="G47" i="11" s="1"/>
  <c r="G48" i="11" s="1"/>
  <c r="G50" i="11" s="1"/>
  <c r="F41" i="11"/>
  <c r="J41" i="10"/>
  <c r="I41" i="10"/>
  <c r="H41" i="10"/>
  <c r="G41" i="10"/>
  <c r="E41" i="10"/>
  <c r="D41" i="10"/>
  <c r="C41" i="10"/>
  <c r="B41" i="10"/>
  <c r="K40" i="10"/>
  <c r="F40" i="10"/>
  <c r="L40" i="10" s="1"/>
  <c r="K39" i="10"/>
  <c r="F39" i="10"/>
  <c r="L39" i="10" s="1"/>
  <c r="K38" i="10"/>
  <c r="F38" i="10"/>
  <c r="L38" i="10" s="1"/>
  <c r="K37" i="10"/>
  <c r="F37" i="10"/>
  <c r="L37" i="10" s="1"/>
  <c r="K36" i="10"/>
  <c r="F36" i="10"/>
  <c r="L36" i="10" s="1"/>
  <c r="K35" i="10"/>
  <c r="F35" i="10"/>
  <c r="L35" i="10" s="1"/>
  <c r="K34" i="10"/>
  <c r="F34" i="10"/>
  <c r="L34" i="10" s="1"/>
  <c r="K33" i="10"/>
  <c r="F33" i="10"/>
  <c r="L33" i="10" s="1"/>
  <c r="K32" i="10"/>
  <c r="F32" i="10"/>
  <c r="L32" i="10" s="1"/>
  <c r="K31" i="10"/>
  <c r="F31" i="10"/>
  <c r="L31" i="10" s="1"/>
  <c r="K30" i="10"/>
  <c r="F30" i="10"/>
  <c r="L30" i="10" s="1"/>
  <c r="K29" i="10"/>
  <c r="F29" i="10"/>
  <c r="L29" i="10" s="1"/>
  <c r="K28" i="10"/>
  <c r="F28" i="10"/>
  <c r="L28" i="10" s="1"/>
  <c r="K27" i="10"/>
  <c r="F27" i="10"/>
  <c r="L27" i="10" s="1"/>
  <c r="K26" i="10"/>
  <c r="F26" i="10"/>
  <c r="L26" i="10" s="1"/>
  <c r="K25" i="10"/>
  <c r="F25" i="10"/>
  <c r="L25" i="10" s="1"/>
  <c r="K24" i="10"/>
  <c r="F24" i="10"/>
  <c r="L24" i="10" s="1"/>
  <c r="K23" i="10"/>
  <c r="F23" i="10"/>
  <c r="K22" i="10"/>
  <c r="F22" i="10"/>
  <c r="L22" i="10" s="1"/>
  <c r="K21" i="10"/>
  <c r="F21" i="10"/>
  <c r="L21" i="10" s="1"/>
  <c r="K20" i="10"/>
  <c r="F20" i="10"/>
  <c r="L20" i="10" s="1"/>
  <c r="K19" i="10"/>
  <c r="F19" i="10"/>
  <c r="L19" i="10" s="1"/>
  <c r="K18" i="10"/>
  <c r="F18" i="10"/>
  <c r="L18" i="10" s="1"/>
  <c r="K17" i="10"/>
  <c r="F17" i="10"/>
  <c r="L17" i="10" s="1"/>
  <c r="K16" i="10"/>
  <c r="F16" i="10"/>
  <c r="L16" i="10" s="1"/>
  <c r="K15" i="10"/>
  <c r="F15" i="10"/>
  <c r="L15" i="10" s="1"/>
  <c r="K14" i="10"/>
  <c r="F14" i="10"/>
  <c r="L14" i="10" s="1"/>
  <c r="K13" i="10"/>
  <c r="F13" i="10"/>
  <c r="L13" i="10" s="1"/>
  <c r="K12" i="10"/>
  <c r="F12" i="10"/>
  <c r="L12" i="10" s="1"/>
  <c r="K11" i="10"/>
  <c r="F11" i="10"/>
  <c r="K10" i="10"/>
  <c r="F10" i="10"/>
  <c r="L10" i="10" s="1"/>
  <c r="K41" i="10" l="1"/>
  <c r="L23" i="10"/>
  <c r="F41" i="10"/>
  <c r="L11" i="10"/>
  <c r="L41" i="10" s="1"/>
  <c r="G47" i="10" s="1"/>
  <c r="G48" i="10" s="1"/>
  <c r="G50" i="10" s="1"/>
  <c r="J41" i="9"/>
  <c r="I41" i="9"/>
  <c r="H41" i="9"/>
  <c r="G41" i="9"/>
  <c r="E41" i="9"/>
  <c r="D41" i="9"/>
  <c r="C41" i="9"/>
  <c r="B41" i="9"/>
  <c r="K40" i="9"/>
  <c r="F40" i="9"/>
  <c r="L40" i="9" s="1"/>
  <c r="K39" i="9"/>
  <c r="F39" i="9"/>
  <c r="L39" i="9" s="1"/>
  <c r="K38" i="9"/>
  <c r="F38" i="9"/>
  <c r="L38" i="9" s="1"/>
  <c r="K37" i="9"/>
  <c r="F37" i="9"/>
  <c r="L37" i="9" s="1"/>
  <c r="K36" i="9"/>
  <c r="F36" i="9"/>
  <c r="L36" i="9" s="1"/>
  <c r="K35" i="9"/>
  <c r="F35" i="9"/>
  <c r="L35" i="9" s="1"/>
  <c r="K34" i="9"/>
  <c r="F34" i="9"/>
  <c r="L34" i="9" s="1"/>
  <c r="K33" i="9"/>
  <c r="F33" i="9"/>
  <c r="L33" i="9" s="1"/>
  <c r="K32" i="9"/>
  <c r="F32" i="9"/>
  <c r="L32" i="9" s="1"/>
  <c r="K31" i="9"/>
  <c r="F31" i="9"/>
  <c r="L31" i="9" s="1"/>
  <c r="K30" i="9"/>
  <c r="F30" i="9"/>
  <c r="L30" i="9" s="1"/>
  <c r="K29" i="9"/>
  <c r="F29" i="9"/>
  <c r="L29" i="9" s="1"/>
  <c r="K28" i="9"/>
  <c r="F28" i="9"/>
  <c r="L28" i="9" s="1"/>
  <c r="K27" i="9"/>
  <c r="F27" i="9"/>
  <c r="L27" i="9" s="1"/>
  <c r="K26" i="9"/>
  <c r="F26" i="9"/>
  <c r="L26" i="9" s="1"/>
  <c r="K25" i="9"/>
  <c r="F25" i="9"/>
  <c r="K24" i="9"/>
  <c r="F24" i="9"/>
  <c r="L24" i="9" s="1"/>
  <c r="K23" i="9"/>
  <c r="F23" i="9"/>
  <c r="K22" i="9"/>
  <c r="F22" i="9"/>
  <c r="L22" i="9" s="1"/>
  <c r="K21" i="9"/>
  <c r="F21" i="9"/>
  <c r="L21" i="9" s="1"/>
  <c r="K20" i="9"/>
  <c r="F20" i="9"/>
  <c r="L20" i="9" s="1"/>
  <c r="K19" i="9"/>
  <c r="F19" i="9"/>
  <c r="L19" i="9" s="1"/>
  <c r="K18" i="9"/>
  <c r="F18" i="9"/>
  <c r="L18" i="9" s="1"/>
  <c r="K17" i="9"/>
  <c r="F17" i="9"/>
  <c r="L17" i="9" s="1"/>
  <c r="K16" i="9"/>
  <c r="F16" i="9"/>
  <c r="L16" i="9" s="1"/>
  <c r="K15" i="9"/>
  <c r="F15" i="9"/>
  <c r="L15" i="9" s="1"/>
  <c r="K14" i="9"/>
  <c r="F14" i="9"/>
  <c r="L14" i="9" s="1"/>
  <c r="K13" i="9"/>
  <c r="F13" i="9"/>
  <c r="L13" i="9" s="1"/>
  <c r="K12" i="9"/>
  <c r="F12" i="9"/>
  <c r="L12" i="9" s="1"/>
  <c r="K11" i="9"/>
  <c r="F11" i="9"/>
  <c r="L11" i="9" s="1"/>
  <c r="K10" i="9"/>
  <c r="F10" i="9"/>
  <c r="L10" i="9" s="1"/>
  <c r="K41" i="9" l="1"/>
  <c r="L25" i="9"/>
  <c r="L23" i="9"/>
  <c r="F41" i="9"/>
  <c r="J39" i="8"/>
  <c r="I39" i="8"/>
  <c r="H39" i="8"/>
  <c r="G39" i="8"/>
  <c r="E39" i="8"/>
  <c r="D39" i="8"/>
  <c r="C39" i="8"/>
  <c r="B39" i="8"/>
  <c r="K38" i="8"/>
  <c r="F38" i="8"/>
  <c r="L38" i="8" s="1"/>
  <c r="K37" i="8"/>
  <c r="F37" i="8"/>
  <c r="L37" i="8" s="1"/>
  <c r="K36" i="8"/>
  <c r="F36" i="8"/>
  <c r="L36" i="8" s="1"/>
  <c r="K35" i="8"/>
  <c r="F35" i="8"/>
  <c r="L35" i="8" s="1"/>
  <c r="K34" i="8"/>
  <c r="F34" i="8"/>
  <c r="L34" i="8" s="1"/>
  <c r="K33" i="8"/>
  <c r="F33" i="8"/>
  <c r="K32" i="8"/>
  <c r="F32" i="8"/>
  <c r="L32" i="8" s="1"/>
  <c r="K31" i="8"/>
  <c r="F31" i="8"/>
  <c r="L31" i="8" s="1"/>
  <c r="K30" i="8"/>
  <c r="F30" i="8"/>
  <c r="L30" i="8" s="1"/>
  <c r="K29" i="8"/>
  <c r="F29" i="8"/>
  <c r="L29" i="8" s="1"/>
  <c r="K28" i="8"/>
  <c r="F28" i="8"/>
  <c r="L28" i="8" s="1"/>
  <c r="K27" i="8"/>
  <c r="F27" i="8"/>
  <c r="L27" i="8" s="1"/>
  <c r="K26" i="8"/>
  <c r="F26" i="8"/>
  <c r="L26" i="8" s="1"/>
  <c r="K25" i="8"/>
  <c r="F25" i="8"/>
  <c r="L25" i="8" s="1"/>
  <c r="K24" i="8"/>
  <c r="F24" i="8"/>
  <c r="L24" i="8" s="1"/>
  <c r="K23" i="8"/>
  <c r="F23" i="8"/>
  <c r="L23" i="8" s="1"/>
  <c r="K22" i="8"/>
  <c r="F22" i="8"/>
  <c r="L22" i="8" s="1"/>
  <c r="K21" i="8"/>
  <c r="F21" i="8"/>
  <c r="L21" i="8" s="1"/>
  <c r="K20" i="8"/>
  <c r="F20" i="8"/>
  <c r="L20" i="8" s="1"/>
  <c r="K19" i="8"/>
  <c r="F19" i="8"/>
  <c r="L19" i="8" s="1"/>
  <c r="K18" i="8"/>
  <c r="F18" i="8"/>
  <c r="L18" i="8" s="1"/>
  <c r="K17" i="8"/>
  <c r="F17" i="8"/>
  <c r="L17" i="8" s="1"/>
  <c r="K16" i="8"/>
  <c r="F16" i="8"/>
  <c r="L16" i="8" s="1"/>
  <c r="K15" i="8"/>
  <c r="F15" i="8"/>
  <c r="L15" i="8" s="1"/>
  <c r="K14" i="8"/>
  <c r="F14" i="8"/>
  <c r="L14" i="8" s="1"/>
  <c r="K13" i="8"/>
  <c r="F13" i="8"/>
  <c r="L13" i="8" s="1"/>
  <c r="K12" i="8"/>
  <c r="F12" i="8"/>
  <c r="L12" i="8" s="1"/>
  <c r="K11" i="8"/>
  <c r="F11" i="8"/>
  <c r="L11" i="8" s="1"/>
  <c r="K10" i="8"/>
  <c r="F10" i="8"/>
  <c r="L10" i="8" s="1"/>
  <c r="K9" i="8"/>
  <c r="F9" i="8"/>
  <c r="K8" i="8"/>
  <c r="K39" i="8" s="1"/>
  <c r="F8" i="8"/>
  <c r="L8" i="8" s="1"/>
  <c r="L41" i="9" l="1"/>
  <c r="G47" i="9" s="1"/>
  <c r="G48" i="9" s="1"/>
  <c r="G50" i="9" s="1"/>
  <c r="L33" i="8"/>
  <c r="F39" i="8"/>
  <c r="L9" i="8"/>
  <c r="J41" i="7"/>
  <c r="I41" i="7"/>
  <c r="H41" i="7"/>
  <c r="G41" i="7"/>
  <c r="E41" i="7"/>
  <c r="D41" i="7"/>
  <c r="C41" i="7"/>
  <c r="B41" i="7"/>
  <c r="K40" i="7"/>
  <c r="F40" i="7"/>
  <c r="L40" i="7" s="1"/>
  <c r="K39" i="7"/>
  <c r="F39" i="7"/>
  <c r="L39" i="7" s="1"/>
  <c r="K38" i="7"/>
  <c r="F38" i="7"/>
  <c r="L38" i="7" s="1"/>
  <c r="K37" i="7"/>
  <c r="F37" i="7"/>
  <c r="L37" i="7" s="1"/>
  <c r="K36" i="7"/>
  <c r="F36" i="7"/>
  <c r="L36" i="7" s="1"/>
  <c r="K35" i="7"/>
  <c r="F35" i="7"/>
  <c r="L35" i="7" s="1"/>
  <c r="K34" i="7"/>
  <c r="F34" i="7"/>
  <c r="L34" i="7" s="1"/>
  <c r="K33" i="7"/>
  <c r="F33" i="7"/>
  <c r="L33" i="7" s="1"/>
  <c r="K32" i="7"/>
  <c r="F32" i="7"/>
  <c r="L32" i="7" s="1"/>
  <c r="K31" i="7"/>
  <c r="F31" i="7"/>
  <c r="L31" i="7" s="1"/>
  <c r="K30" i="7"/>
  <c r="F30" i="7"/>
  <c r="L30" i="7" s="1"/>
  <c r="K29" i="7"/>
  <c r="F29" i="7"/>
  <c r="L29" i="7" s="1"/>
  <c r="K28" i="7"/>
  <c r="F28" i="7"/>
  <c r="L28" i="7" s="1"/>
  <c r="K27" i="7"/>
  <c r="F27" i="7"/>
  <c r="L27" i="7" s="1"/>
  <c r="K26" i="7"/>
  <c r="F26" i="7"/>
  <c r="L26" i="7" s="1"/>
  <c r="K25" i="7"/>
  <c r="F25" i="7"/>
  <c r="L25" i="7" s="1"/>
  <c r="K24" i="7"/>
  <c r="F24" i="7"/>
  <c r="L24" i="7" s="1"/>
  <c r="K23" i="7"/>
  <c r="F23" i="7"/>
  <c r="L23" i="7" s="1"/>
  <c r="K22" i="7"/>
  <c r="F22" i="7"/>
  <c r="L22" i="7" s="1"/>
  <c r="K21" i="7"/>
  <c r="F21" i="7"/>
  <c r="L21" i="7" s="1"/>
  <c r="K20" i="7"/>
  <c r="F20" i="7"/>
  <c r="L20" i="7" s="1"/>
  <c r="K19" i="7"/>
  <c r="F19" i="7"/>
  <c r="L19" i="7" s="1"/>
  <c r="K18" i="7"/>
  <c r="F18" i="7"/>
  <c r="K17" i="7"/>
  <c r="F17" i="7"/>
  <c r="K16" i="7"/>
  <c r="F16" i="7"/>
  <c r="K15" i="7"/>
  <c r="F15" i="7"/>
  <c r="L15" i="7" s="1"/>
  <c r="K14" i="7"/>
  <c r="F14" i="7"/>
  <c r="L14" i="7" s="1"/>
  <c r="K13" i="7"/>
  <c r="F13" i="7"/>
  <c r="L13" i="7" s="1"/>
  <c r="K12" i="7"/>
  <c r="F12" i="7"/>
  <c r="L12" i="7" s="1"/>
  <c r="K11" i="7"/>
  <c r="F11" i="7"/>
  <c r="L11" i="7" s="1"/>
  <c r="K10" i="7"/>
  <c r="F10" i="7"/>
  <c r="L39" i="8" l="1"/>
  <c r="G45" i="8" s="1"/>
  <c r="F41" i="7"/>
  <c r="L18" i="7"/>
  <c r="L17" i="7"/>
  <c r="L16" i="7"/>
  <c r="K41" i="7"/>
  <c r="L10" i="7"/>
  <c r="G50" i="5"/>
  <c r="G46" i="8" l="1"/>
  <c r="G48" i="8" s="1"/>
  <c r="L41" i="7"/>
  <c r="G47" i="7" s="1"/>
  <c r="G48" i="7" s="1"/>
  <c r="G50" i="7" s="1"/>
  <c r="J41" i="6"/>
  <c r="I41" i="6"/>
  <c r="H41" i="6"/>
  <c r="G41" i="6"/>
  <c r="E41" i="6"/>
  <c r="D41" i="6"/>
  <c r="C41" i="6"/>
  <c r="B41" i="6"/>
  <c r="K40" i="6"/>
  <c r="F40" i="6"/>
  <c r="L40" i="6" s="1"/>
  <c r="K39" i="6"/>
  <c r="F39" i="6"/>
  <c r="L39" i="6" s="1"/>
  <c r="K38" i="6"/>
  <c r="F38" i="6"/>
  <c r="K37" i="6"/>
  <c r="F37" i="6"/>
  <c r="L37" i="6" s="1"/>
  <c r="K36" i="6"/>
  <c r="F36" i="6"/>
  <c r="K35" i="6"/>
  <c r="F35" i="6"/>
  <c r="L35" i="6" s="1"/>
  <c r="K34" i="6"/>
  <c r="F34" i="6"/>
  <c r="K33" i="6"/>
  <c r="F33" i="6"/>
  <c r="L33" i="6" s="1"/>
  <c r="K32" i="6"/>
  <c r="F32" i="6"/>
  <c r="K31" i="6"/>
  <c r="F31" i="6"/>
  <c r="K30" i="6"/>
  <c r="F30" i="6"/>
  <c r="K29" i="6"/>
  <c r="F29" i="6"/>
  <c r="L29" i="6" s="1"/>
  <c r="K28" i="6"/>
  <c r="F28" i="6"/>
  <c r="L28" i="6" s="1"/>
  <c r="K27" i="6"/>
  <c r="F27" i="6"/>
  <c r="K26" i="6"/>
  <c r="F26" i="6"/>
  <c r="L26" i="6" s="1"/>
  <c r="K25" i="6"/>
  <c r="F25" i="6"/>
  <c r="L25" i="6" s="1"/>
  <c r="K24" i="6"/>
  <c r="F24" i="6"/>
  <c r="L24" i="6" s="1"/>
  <c r="K23" i="6"/>
  <c r="F23" i="6"/>
  <c r="L23" i="6" s="1"/>
  <c r="K22" i="6"/>
  <c r="F22" i="6"/>
  <c r="L22" i="6" s="1"/>
  <c r="K21" i="6"/>
  <c r="F21" i="6"/>
  <c r="L21" i="6" s="1"/>
  <c r="K20" i="6"/>
  <c r="F20" i="6"/>
  <c r="K19" i="6"/>
  <c r="F19" i="6"/>
  <c r="L19" i="6" s="1"/>
  <c r="K18" i="6"/>
  <c r="F18" i="6"/>
  <c r="L18" i="6" s="1"/>
  <c r="K17" i="6"/>
  <c r="F17" i="6"/>
  <c r="L17" i="6" s="1"/>
  <c r="K16" i="6"/>
  <c r="F16" i="6"/>
  <c r="L16" i="6" s="1"/>
  <c r="K15" i="6"/>
  <c r="F15" i="6"/>
  <c r="L15" i="6" s="1"/>
  <c r="K14" i="6"/>
  <c r="F14" i="6"/>
  <c r="L14" i="6" s="1"/>
  <c r="K13" i="6"/>
  <c r="F13" i="6"/>
  <c r="L13" i="6" s="1"/>
  <c r="K12" i="6"/>
  <c r="F12" i="6"/>
  <c r="L12" i="6" s="1"/>
  <c r="K11" i="6"/>
  <c r="F11" i="6"/>
  <c r="K10" i="6"/>
  <c r="K41" i="6" s="1"/>
  <c r="F10" i="6"/>
  <c r="L10" i="6" s="1"/>
  <c r="L38" i="6" l="1"/>
  <c r="L36" i="6"/>
  <c r="L34" i="6"/>
  <c r="L32" i="6"/>
  <c r="L31" i="6"/>
  <c r="L30" i="6"/>
  <c r="L27" i="6"/>
  <c r="L20" i="6"/>
  <c r="F41" i="6"/>
  <c r="L11" i="6"/>
  <c r="L41" i="6" l="1"/>
  <c r="G47" i="6" s="1"/>
  <c r="G48" i="6" s="1"/>
  <c r="G50" i="6" s="1"/>
  <c r="J41" i="5"/>
  <c r="I41" i="5"/>
  <c r="H41" i="5"/>
  <c r="G41" i="5"/>
  <c r="E41" i="5"/>
  <c r="D41" i="5"/>
  <c r="C41" i="5"/>
  <c r="B41" i="5"/>
  <c r="K40" i="5"/>
  <c r="F40" i="5"/>
  <c r="L40" i="5" s="1"/>
  <c r="K39" i="5"/>
  <c r="F39" i="5"/>
  <c r="L39" i="5" s="1"/>
  <c r="K38" i="5"/>
  <c r="F38" i="5"/>
  <c r="K37" i="5"/>
  <c r="F37" i="5"/>
  <c r="L37" i="5" s="1"/>
  <c r="K36" i="5"/>
  <c r="F36" i="5"/>
  <c r="K35" i="5"/>
  <c r="F35" i="5"/>
  <c r="K34" i="5"/>
  <c r="F34" i="5"/>
  <c r="K33" i="5"/>
  <c r="F33" i="5"/>
  <c r="K32" i="5"/>
  <c r="F32" i="5"/>
  <c r="K31" i="5"/>
  <c r="F31" i="5"/>
  <c r="K30" i="5"/>
  <c r="F30" i="5"/>
  <c r="K29" i="5"/>
  <c r="F29" i="5"/>
  <c r="K28" i="5"/>
  <c r="F28" i="5"/>
  <c r="K27" i="5"/>
  <c r="F27" i="5"/>
  <c r="K26" i="5"/>
  <c r="F26" i="5"/>
  <c r="K25" i="5"/>
  <c r="F25" i="5"/>
  <c r="K24" i="5"/>
  <c r="F24" i="5"/>
  <c r="K23" i="5"/>
  <c r="F23" i="5"/>
  <c r="K22" i="5"/>
  <c r="F22" i="5"/>
  <c r="K21" i="5"/>
  <c r="F21" i="5"/>
  <c r="K20" i="5"/>
  <c r="F20" i="5"/>
  <c r="L20" i="5" s="1"/>
  <c r="K19" i="5"/>
  <c r="F19" i="5"/>
  <c r="L19" i="5" s="1"/>
  <c r="K18" i="5"/>
  <c r="F18" i="5"/>
  <c r="L18" i="5" s="1"/>
  <c r="K17" i="5"/>
  <c r="F17" i="5"/>
  <c r="L17" i="5" s="1"/>
  <c r="K16" i="5"/>
  <c r="F16" i="5"/>
  <c r="L16" i="5" s="1"/>
  <c r="K15" i="5"/>
  <c r="F15" i="5"/>
  <c r="L15" i="5" s="1"/>
  <c r="K14" i="5"/>
  <c r="F14" i="5"/>
  <c r="L14" i="5" s="1"/>
  <c r="K13" i="5"/>
  <c r="F13" i="5"/>
  <c r="L13" i="5" s="1"/>
  <c r="K12" i="5"/>
  <c r="F12" i="5"/>
  <c r="L12" i="5" s="1"/>
  <c r="K11" i="5"/>
  <c r="F11" i="5"/>
  <c r="K10" i="5"/>
  <c r="K41" i="5" s="1"/>
  <c r="F10" i="5"/>
  <c r="L10" i="5" s="1"/>
  <c r="L21" i="5" l="1"/>
  <c r="L24" i="5"/>
  <c r="L25" i="5"/>
  <c r="L26" i="5"/>
  <c r="L27" i="5"/>
  <c r="L28" i="5"/>
  <c r="L38" i="5"/>
  <c r="L23" i="5"/>
  <c r="L22" i="5"/>
  <c r="L29" i="5"/>
  <c r="L30" i="5"/>
  <c r="L31" i="5"/>
  <c r="L32" i="5"/>
  <c r="L33" i="5"/>
  <c r="L34" i="5"/>
  <c r="L35" i="5"/>
  <c r="L36" i="5"/>
  <c r="F41" i="5"/>
  <c r="L11" i="5"/>
  <c r="L41" i="5" l="1"/>
  <c r="G47" i="5" s="1"/>
  <c r="G48" i="5" s="1"/>
  <c r="J41" i="4"/>
  <c r="I41" i="4"/>
  <c r="H41" i="4"/>
  <c r="G41" i="4"/>
  <c r="E41" i="4"/>
  <c r="D41" i="4"/>
  <c r="C41" i="4"/>
  <c r="B41" i="4"/>
  <c r="K40" i="4"/>
  <c r="F40" i="4"/>
  <c r="L40" i="4" s="1"/>
  <c r="K39" i="4"/>
  <c r="F39" i="4"/>
  <c r="L39" i="4" s="1"/>
  <c r="K38" i="4"/>
  <c r="F38" i="4"/>
  <c r="L38" i="4" s="1"/>
  <c r="K37" i="4"/>
  <c r="F37" i="4"/>
  <c r="L37" i="4" s="1"/>
  <c r="K36" i="4"/>
  <c r="F36" i="4"/>
  <c r="L36" i="4" s="1"/>
  <c r="K35" i="4"/>
  <c r="F35" i="4"/>
  <c r="L35" i="4" s="1"/>
  <c r="K34" i="4"/>
  <c r="F34" i="4"/>
  <c r="L34" i="4" s="1"/>
  <c r="K33" i="4"/>
  <c r="F33" i="4"/>
  <c r="L33" i="4" s="1"/>
  <c r="K32" i="4"/>
  <c r="F32" i="4"/>
  <c r="L32" i="4" s="1"/>
  <c r="K31" i="4"/>
  <c r="F31" i="4"/>
  <c r="L31" i="4" s="1"/>
  <c r="K30" i="4"/>
  <c r="F30" i="4"/>
  <c r="L30" i="4" s="1"/>
  <c r="K29" i="4"/>
  <c r="F29" i="4"/>
  <c r="L29" i="4" s="1"/>
  <c r="K28" i="4"/>
  <c r="F28" i="4"/>
  <c r="L28" i="4" s="1"/>
  <c r="K27" i="4"/>
  <c r="F27" i="4"/>
  <c r="L27" i="4" s="1"/>
  <c r="K26" i="4"/>
  <c r="F26" i="4"/>
  <c r="L26" i="4" s="1"/>
  <c r="K25" i="4"/>
  <c r="F25" i="4"/>
  <c r="L25" i="4" s="1"/>
  <c r="K24" i="4"/>
  <c r="F24" i="4"/>
  <c r="L24" i="4" s="1"/>
  <c r="K23" i="4"/>
  <c r="F23" i="4"/>
  <c r="L23" i="4" s="1"/>
  <c r="K22" i="4"/>
  <c r="F22" i="4"/>
  <c r="L22" i="4" s="1"/>
  <c r="K21" i="4"/>
  <c r="F21" i="4"/>
  <c r="L21" i="4" s="1"/>
  <c r="K20" i="4"/>
  <c r="F20" i="4"/>
  <c r="L20" i="4" s="1"/>
  <c r="K19" i="4"/>
  <c r="F19" i="4"/>
  <c r="L19" i="4" s="1"/>
  <c r="K18" i="4"/>
  <c r="F18" i="4"/>
  <c r="L18" i="4" s="1"/>
  <c r="K17" i="4"/>
  <c r="F17" i="4"/>
  <c r="L17" i="4" s="1"/>
  <c r="K16" i="4"/>
  <c r="F16" i="4"/>
  <c r="L16" i="4" s="1"/>
  <c r="K15" i="4"/>
  <c r="F15" i="4"/>
  <c r="L15" i="4" s="1"/>
  <c r="K14" i="4"/>
  <c r="F14" i="4"/>
  <c r="L14" i="4" s="1"/>
  <c r="K13" i="4"/>
  <c r="F13" i="4"/>
  <c r="L13" i="4" s="1"/>
  <c r="K12" i="4"/>
  <c r="F12" i="4"/>
  <c r="L12" i="4" s="1"/>
  <c r="K11" i="4"/>
  <c r="F11" i="4"/>
  <c r="L11" i="4" s="1"/>
  <c r="K10" i="4"/>
  <c r="F10" i="4"/>
  <c r="F41" i="4" l="1"/>
  <c r="K41" i="4"/>
  <c r="L10" i="4"/>
  <c r="L41" i="4" s="1"/>
  <c r="F8" i="2"/>
  <c r="L8" i="2" s="1"/>
  <c r="K8" i="2"/>
  <c r="F9" i="2"/>
  <c r="K9" i="2"/>
  <c r="L9" i="2"/>
  <c r="F10" i="2"/>
  <c r="K10" i="2"/>
  <c r="L10" i="2" s="1"/>
  <c r="F11" i="2"/>
  <c r="L11" i="2" s="1"/>
  <c r="K11" i="2"/>
  <c r="F12" i="2"/>
  <c r="L12" i="2" s="1"/>
  <c r="K12" i="2"/>
  <c r="F13" i="2"/>
  <c r="K13" i="2"/>
  <c r="L13" i="2"/>
  <c r="F14" i="2"/>
  <c r="K14" i="2"/>
  <c r="L14" i="2" s="1"/>
  <c r="F15" i="2"/>
  <c r="L15" i="2" s="1"/>
  <c r="K15" i="2"/>
  <c r="F16" i="2"/>
  <c r="L16" i="2" s="1"/>
  <c r="K16" i="2"/>
  <c r="F17" i="2"/>
  <c r="K17" i="2"/>
  <c r="L17" i="2"/>
  <c r="F18" i="2"/>
  <c r="K18" i="2"/>
  <c r="L18" i="2" s="1"/>
  <c r="F19" i="2"/>
  <c r="L19" i="2" s="1"/>
  <c r="K19" i="2"/>
  <c r="F20" i="2"/>
  <c r="L20" i="2" s="1"/>
  <c r="K20" i="2"/>
  <c r="F21" i="2"/>
  <c r="K21" i="2"/>
  <c r="L21" i="2"/>
  <c r="F22" i="2"/>
  <c r="K22" i="2"/>
  <c r="L22" i="2" s="1"/>
  <c r="F23" i="2"/>
  <c r="L23" i="2" s="1"/>
  <c r="K23" i="2"/>
  <c r="F24" i="2"/>
  <c r="L24" i="2" s="1"/>
  <c r="K24" i="2"/>
  <c r="F25" i="2"/>
  <c r="K25" i="2"/>
  <c r="L25" i="2"/>
  <c r="F26" i="2"/>
  <c r="K26" i="2"/>
  <c r="L26" i="2" s="1"/>
  <c r="F27" i="2"/>
  <c r="L27" i="2" s="1"/>
  <c r="K27" i="2"/>
  <c r="F28" i="2"/>
  <c r="L28" i="2" s="1"/>
  <c r="K28" i="2"/>
  <c r="F29" i="2"/>
  <c r="L29" i="2" s="1"/>
  <c r="K29" i="2"/>
  <c r="F30" i="2"/>
  <c r="K30" i="2"/>
  <c r="L30" i="2"/>
  <c r="F31" i="2"/>
  <c r="K31" i="2"/>
  <c r="F32" i="2"/>
  <c r="K32" i="2"/>
  <c r="F33" i="2"/>
  <c r="K33" i="2"/>
  <c r="L33" i="2" s="1"/>
  <c r="F34" i="2"/>
  <c r="K34" i="2"/>
  <c r="L34" i="2"/>
  <c r="F35" i="2"/>
  <c r="K35" i="2"/>
  <c r="F36" i="2"/>
  <c r="K36" i="2"/>
  <c r="F37" i="2"/>
  <c r="K37" i="2"/>
  <c r="L37" i="2" s="1"/>
  <c r="F38" i="2"/>
  <c r="K38" i="2"/>
  <c r="L38" i="2"/>
  <c r="B39" i="2"/>
  <c r="C39" i="2"/>
  <c r="D39" i="2"/>
  <c r="E39" i="2"/>
  <c r="G39" i="2"/>
  <c r="H39" i="2"/>
  <c r="I39" i="2"/>
  <c r="J39" i="2"/>
  <c r="G47" i="4" l="1"/>
  <c r="L36" i="2"/>
  <c r="L35" i="2"/>
  <c r="L32" i="2"/>
  <c r="L31" i="2"/>
  <c r="K39" i="2"/>
  <c r="F39" i="2"/>
  <c r="L39" i="2"/>
  <c r="G45" i="2" s="1"/>
  <c r="G46" i="2" s="1"/>
  <c r="G48" i="2" s="1"/>
  <c r="G48" i="4" l="1"/>
  <c r="G50" i="4" s="1"/>
  <c r="J41" i="3"/>
  <c r="I41" i="3"/>
  <c r="H41" i="3"/>
  <c r="G41" i="3"/>
  <c r="E41" i="3"/>
  <c r="D41" i="3"/>
  <c r="C41" i="3"/>
  <c r="B41" i="3"/>
  <c r="K40" i="3"/>
  <c r="F40" i="3"/>
  <c r="K39" i="3"/>
  <c r="F39" i="3"/>
  <c r="K38" i="3"/>
  <c r="F38" i="3"/>
  <c r="K37" i="3"/>
  <c r="F37" i="3"/>
  <c r="K36" i="3"/>
  <c r="F36" i="3"/>
  <c r="K35" i="3"/>
  <c r="F35" i="3"/>
  <c r="K34" i="3"/>
  <c r="F34" i="3"/>
  <c r="K33" i="3"/>
  <c r="F33" i="3"/>
  <c r="K32" i="3"/>
  <c r="F32" i="3"/>
  <c r="K31" i="3"/>
  <c r="F31" i="3"/>
  <c r="K30" i="3"/>
  <c r="F30" i="3"/>
  <c r="K29" i="3"/>
  <c r="F29" i="3"/>
  <c r="K28" i="3"/>
  <c r="F28" i="3"/>
  <c r="K27" i="3"/>
  <c r="F27" i="3"/>
  <c r="K26" i="3"/>
  <c r="F26" i="3"/>
  <c r="K25" i="3"/>
  <c r="F25" i="3"/>
  <c r="K24" i="3"/>
  <c r="F24" i="3"/>
  <c r="K23" i="3"/>
  <c r="F23" i="3"/>
  <c r="K22" i="3"/>
  <c r="F22" i="3"/>
  <c r="K21" i="3"/>
  <c r="F21" i="3"/>
  <c r="K20" i="3"/>
  <c r="F20" i="3"/>
  <c r="K19" i="3"/>
  <c r="F19" i="3"/>
  <c r="K18" i="3"/>
  <c r="F18" i="3"/>
  <c r="K17" i="3"/>
  <c r="F17" i="3"/>
  <c r="K16" i="3"/>
  <c r="F16" i="3"/>
  <c r="K15" i="3"/>
  <c r="F15" i="3"/>
  <c r="K14" i="3"/>
  <c r="F14" i="3"/>
  <c r="K13" i="3"/>
  <c r="F13" i="3"/>
  <c r="K12" i="3"/>
  <c r="F12" i="3"/>
  <c r="K11" i="3"/>
  <c r="F11" i="3"/>
  <c r="K10" i="3"/>
  <c r="F10" i="3"/>
  <c r="L10" i="3" l="1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K41" i="3"/>
  <c r="L12" i="3"/>
  <c r="F41" i="3"/>
  <c r="L11" i="3"/>
  <c r="L41" i="3" l="1"/>
  <c r="G47" i="3" s="1"/>
  <c r="G48" i="3" s="1"/>
  <c r="G50" i="3" s="1"/>
  <c r="H40" i="1"/>
  <c r="I40" i="1"/>
  <c r="J40" i="1"/>
  <c r="G4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9" i="1"/>
  <c r="C40" i="1"/>
  <c r="D40" i="1"/>
  <c r="E40" i="1"/>
  <c r="B40" i="1"/>
  <c r="F10" i="1"/>
  <c r="F11" i="1"/>
  <c r="L11" i="1" s="1"/>
  <c r="F12" i="1"/>
  <c r="F13" i="1"/>
  <c r="F14" i="1"/>
  <c r="F15" i="1"/>
  <c r="F16" i="1"/>
  <c r="F17" i="1"/>
  <c r="L17" i="1" s="1"/>
  <c r="F18" i="1"/>
  <c r="F19" i="1"/>
  <c r="F20" i="1"/>
  <c r="F21" i="1"/>
  <c r="F22" i="1"/>
  <c r="F23" i="1"/>
  <c r="L23" i="1" s="1"/>
  <c r="F24" i="1"/>
  <c r="F25" i="1"/>
  <c r="L25" i="1" s="1"/>
  <c r="F26" i="1"/>
  <c r="F27" i="1"/>
  <c r="F28" i="1"/>
  <c r="F29" i="1"/>
  <c r="F30" i="1"/>
  <c r="F31" i="1"/>
  <c r="L31" i="1" s="1"/>
  <c r="F32" i="1"/>
  <c r="F33" i="1"/>
  <c r="F34" i="1"/>
  <c r="F35" i="1"/>
  <c r="L35" i="1" s="1"/>
  <c r="F36" i="1"/>
  <c r="F37" i="1"/>
  <c r="L37" i="1" s="1"/>
  <c r="F38" i="1"/>
  <c r="F39" i="1"/>
  <c r="L39" i="1" s="1"/>
  <c r="F9" i="1"/>
  <c r="L9" i="1" l="1"/>
  <c r="L38" i="1"/>
  <c r="L34" i="1"/>
  <c r="L32" i="1"/>
  <c r="L30" i="1"/>
  <c r="L26" i="1"/>
  <c r="L22" i="1"/>
  <c r="L18" i="1"/>
  <c r="L10" i="1"/>
  <c r="L20" i="1"/>
  <c r="L16" i="1"/>
  <c r="L28" i="1"/>
  <c r="L36" i="1"/>
  <c r="L24" i="1"/>
  <c r="L12" i="1"/>
  <c r="L15" i="1"/>
  <c r="L14" i="1"/>
  <c r="L29" i="1"/>
  <c r="L13" i="1"/>
  <c r="L33" i="1"/>
  <c r="L27" i="1"/>
  <c r="F40" i="1"/>
  <c r="L21" i="1"/>
  <c r="L19" i="1"/>
  <c r="K40" i="1"/>
  <c r="L40" i="1" l="1"/>
  <c r="G46" i="1" s="1"/>
  <c r="G47" i="1" s="1"/>
  <c r="G49" i="1" s="1"/>
</calcChain>
</file>

<file path=xl/sharedStrings.xml><?xml version="1.0" encoding="utf-8"?>
<sst xmlns="http://schemas.openxmlformats.org/spreadsheetml/2006/main" count="379" uniqueCount="50">
  <si>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</si>
  <si>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</si>
  <si>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</si>
  <si>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</si>
  <si>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</si>
  <si>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</si>
  <si>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</si>
  <si>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</si>
  <si>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</si>
  <si>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</si>
  <si>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</si>
  <si>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</si>
  <si>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</si>
  <si>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</si>
  <si>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</si>
  <si>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</si>
  <si>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</si>
  <si>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</si>
  <si>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</si>
  <si>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</si>
  <si>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</si>
  <si>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</si>
  <si>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</si>
  <si>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</si>
  <si>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</si>
  <si>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</si>
  <si>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</si>
  <si>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</si>
  <si>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20 Compteurs Réintégré Robaia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</si>
  <si>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</si>
  <si>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</si>
  <si>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 xml:space="preserve">35 Compteurs Réintégré Robaia </t>
  </si>
  <si>
    <t>10 Compteurs Réintégré Ouled Dheid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</si>
  <si>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</si>
  <si>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20 Compteurs Réintégré Seghouane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</si>
  <si>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</si>
  <si>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10 Compteurs Réintégré Robaîa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</si>
  <si>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</si>
  <si>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10 Compteurs Réintégré Seghouane</t>
  </si>
  <si>
    <t>10 Compteurs Réintégré Centre Omaria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</si>
  <si>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</si>
  <si>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</si>
  <si>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08 Compteurs DN 50 X 3,65 x 3,80,20/27 Réintégré Robaia</t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</si>
  <si>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</si>
  <si>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01 COMPTEUR N°SERIE : E13XH036473S hors stock (n'ai pas géré par l'agence berrouaghia)</t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</si>
  <si>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</si>
  <si>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</si>
  <si>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20 Compteurs Réintégré a Robaîa</t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</si>
  <si>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</si>
  <si>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t>01 Compteur 20/27 Réintégré a Oumaria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</si>
</sst>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55"/>
      </bottom>
      <diagonal/>
    </border>
    <border>
      <left/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65">
    <xf numFmtId="0" fontId="0" fillId="0" borderId="0" xfId="0"/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Border="1" applyAlignment="1">
      <alignment horizontal="center" vertical="center" wrapText="1"/>
    </xf>
    <xf numFmtId="0" fontId="12" fillId="2" borderId="0" xfId="3" applyFont="1" applyFill="1" applyBorder="1" applyAlignment="1">
      <alignment horizontal="center" vertical="center" wrapText="1"/>
    </xf>
    <xf numFmtId="0" fontId="12" fillId="0" borderId="0" xfId="3" applyFont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14" fillId="2" borderId="21" xfId="3" applyFont="1" applyFill="1" applyBorder="1" applyAlignment="1" applyProtection="1">
      <alignment horizontal="center" vertical="center" wrapText="1"/>
      <protection locked="0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1" fillId="2" borderId="6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5" xfId="3" applyFill="1" applyBorder="1" applyAlignment="1">
      <alignment horizontal="center" vertical="center" wrapText="1"/>
    </xf>
    <xf numFmtId="0" fontId="6" fillId="2" borderId="56" xfId="3" applyFont="1" applyFill="1" applyBorder="1" applyAlignment="1">
      <alignment horizontal="center" vertical="center" wrapText="1"/>
    </xf>
    <xf numFmtId="0" fontId="6" fillId="2" borderId="57" xfId="3" applyFont="1" applyFill="1" applyBorder="1" applyAlignment="1">
      <alignment horizontal="center" vertical="center" wrapText="1"/>
    </xf>
    <xf numFmtId="0" fontId="6" fillId="2" borderId="58" xfId="3" applyFont="1" applyFill="1" applyBorder="1" applyAlignment="1">
      <alignment horizontal="center" vertical="center" wrapText="1"/>
    </xf>
    <xf numFmtId="0" fontId="6" fillId="2" borderId="59" xfId="3" applyFont="1" applyFill="1" applyBorder="1" applyAlignment="1">
      <alignment horizontal="center" vertical="center" wrapText="1"/>
    </xf>
    <xf numFmtId="0" fontId="1" fillId="2" borderId="7" xfId="3" applyFont="1" applyFill="1" applyBorder="1" applyAlignment="1" applyProtection="1">
      <alignment vertical="center" wrapText="1"/>
      <protection locked="0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42" xfId="3" applyNumberFormat="1" applyFill="1" applyBorder="1" applyAlignment="1">
      <alignment horizontal="center" vertical="center" wrapText="1"/>
    </xf>
    <xf numFmtId="1" fontId="7" fillId="2" borderId="43" xfId="3" applyNumberFormat="1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1" fontId="7" fillId="2" borderId="30" xfId="3" applyNumberFormat="1" applyFill="1" applyBorder="1" applyAlignment="1">
      <alignment horizontal="center" vertical="center" wrapText="1"/>
    </xf>
    <xf numFmtId="1" fontId="7" fillId="2" borderId="31" xfId="3" applyNumberFormat="1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47" xfId="3" applyFill="1" applyBorder="1" applyAlignment="1">
      <alignment horizontal="center" vertical="center" wrapText="1"/>
    </xf>
    <xf numFmtId="0" fontId="7" fillId="2" borderId="46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2" borderId="45" xfId="3" applyFill="1" applyBorder="1" applyAlignment="1">
      <alignment horizontal="center" vertical="center" wrapText="1"/>
    </xf>
    <xf numFmtId="0" fontId="7" fillId="2" borderId="44" xfId="3" applyFont="1" applyFill="1" applyBorder="1" applyAlignment="1">
      <alignment horizontal="center" vertical="center" wrapText="1"/>
    </xf>
    <xf numFmtId="0" fontId="7" fillId="2" borderId="45" xfId="3" applyFont="1" applyFill="1" applyBorder="1" applyAlignment="1">
      <alignment horizontal="center" vertical="center" wrapText="1"/>
    </xf>
    <xf numFmtId="0" fontId="4" fillId="0" borderId="41" xfId="3" applyFont="1" applyBorder="1" applyAlignment="1">
      <alignment horizontal="center" vertical="center"/>
    </xf>
    <xf numFmtId="0" fontId="6" fillId="0" borderId="48" xfId="3" applyFont="1" applyBorder="1" applyAlignment="1">
      <alignment horizontal="center" vertical="center" wrapText="1"/>
    </xf>
    <xf numFmtId="0" fontId="6" fillId="0" borderId="49" xfId="3" applyFont="1" applyBorder="1" applyAlignment="1">
      <alignment horizontal="center" vertical="center" wrapText="1"/>
    </xf>
    <xf numFmtId="0" fontId="6" fillId="2" borderId="50" xfId="3" applyFont="1" applyFill="1" applyBorder="1" applyAlignment="1">
      <alignment horizontal="center" vertical="center" wrapText="1"/>
    </xf>
    <xf numFmtId="0" fontId="6" fillId="2" borderId="51" xfId="3" applyFont="1" applyFill="1" applyBorder="1" applyAlignment="1">
      <alignment horizontal="center" vertical="center" wrapText="1"/>
    </xf>
    <xf numFmtId="0" fontId="6" fillId="2" borderId="52" xfId="3" applyFont="1" applyFill="1" applyBorder="1" applyAlignment="1">
      <alignment horizontal="center" vertical="center" wrapText="1"/>
    </xf>
    <xf numFmtId="0" fontId="15" fillId="0" borderId="48" xfId="3" applyFont="1" applyBorder="1" applyAlignment="1">
      <alignment horizontal="center" vertical="center" wrapText="1"/>
    </xf>
    <xf numFmtId="0" fontId="15" fillId="0" borderId="49" xfId="3" applyFont="1" applyBorder="1" applyAlignment="1">
      <alignment horizontal="center" vertical="center" wrapText="1"/>
    </xf>
    <xf numFmtId="0" fontId="7" fillId="2" borderId="21" xfId="3" applyFill="1" applyBorder="1" applyAlignment="1">
      <alignment horizontal="center" vertical="center" wrapText="1"/>
    </xf>
    <xf numFmtId="0" fontId="7" fillId="2" borderId="23" xfId="3" applyFill="1" applyBorder="1" applyAlignment="1">
      <alignment horizontal="center" vertical="center" wrapText="1"/>
    </xf>
    <xf numFmtId="0" fontId="7" fillId="2" borderId="53" xfId="3" applyFill="1" applyBorder="1" applyAlignment="1" applyProtection="1">
      <alignment horizontal="center" vertical="center" wrapText="1"/>
      <protection locked="0"/>
    </xf>
    <xf numFmtId="0" fontId="7" fillId="2" borderId="53" xfId="3" applyFill="1" applyBorder="1" applyAlignment="1">
      <alignment horizontal="center" vertical="center" wrapText="1"/>
    </xf>
    <xf numFmtId="0" fontId="7" fillId="2" borderId="54" xfId="3" applyFont="1" applyFill="1" applyBorder="1" applyAlignment="1">
      <alignment horizontal="center" vertical="center" wrapText="1"/>
    </xf>
    <xf numFmtId="0" fontId="7" fillId="2" borderId="55" xfId="3" applyFill="1" applyBorder="1" applyAlignment="1">
      <alignment horizontal="center" vertical="center" wrapText="1"/>
    </xf>
    <xf numFmtId="0" fontId="1" fillId="2" borderId="6" xfId="3" applyFont="1" applyFill="1" applyBorder="1" applyAlignment="1">
      <alignment horizontal="center" vertical="center" wrapText="1"/>
    </xf>
    <xf numFmtId="0" fontId="6" fillId="0" borderId="50" xfId="3" applyFont="1" applyBorder="1" applyAlignment="1">
      <alignment horizontal="center" vertical="center" wrapText="1"/>
    </xf>
    <xf numFmtId="0" fontId="6" fillId="2" borderId="17" xfId="3" applyFont="1" applyFill="1" applyBorder="1" applyAlignment="1">
      <alignment horizontal="center" vertical="center" wrapText="1"/>
    </xf>
    <xf numFmtId="0" fontId="6" fillId="2" borderId="39" xfId="3" applyFont="1" applyFill="1" applyBorder="1" applyAlignment="1">
      <alignment horizontal="center" vertical="center" wrapText="1"/>
    </xf>
    <xf numFmtId="0" fontId="6" fillId="2" borderId="46" xfId="3" applyFont="1" applyFill="1" applyBorder="1" applyAlignment="1">
      <alignment horizontal="center" vertical="center" wrapText="1"/>
    </xf>
    <xf numFmtId="0" fontId="6" fillId="2" borderId="40" xfId="3" applyFont="1" applyFill="1" applyBorder="1" applyAlignment="1">
      <alignment horizontal="center" vertical="center" wrapText="1"/>
    </xf>
    <xf numFmtId="0" fontId="15" fillId="0" borderId="52" xfId="3" applyFont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6963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</xdr:colOff>
      <xdr:row>40</xdr:row>
      <xdr:rowOff>57150</xdr:rowOff>
    </xdr:from>
    <xdr:to>
      <xdr:col>11</xdr:col>
      <xdr:colOff>508000</xdr:colOff>
      <xdr:row>47</xdr:row>
      <xdr:rowOff>63500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289550" y="69913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835650" y="82105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835650" y="82105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50800</xdr:rowOff>
    </xdr:from>
    <xdr:to>
      <xdr:col>11</xdr:col>
      <xdr:colOff>482600</xdr:colOff>
      <xdr:row>48</xdr:row>
      <xdr:rowOff>69850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835650" y="81216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127000</xdr:colOff>
      <xdr:row>42</xdr:row>
      <xdr:rowOff>88900</xdr:rowOff>
    </xdr:from>
    <xdr:to>
      <xdr:col>11</xdr:col>
      <xdr:colOff>514350</xdr:colOff>
      <xdr:row>48</xdr:row>
      <xdr:rowOff>107950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867400" y="81597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127000</xdr:colOff>
      <xdr:row>42</xdr:row>
      <xdr:rowOff>88900</xdr:rowOff>
    </xdr:from>
    <xdr:to>
      <xdr:col>11</xdr:col>
      <xdr:colOff>514350</xdr:colOff>
      <xdr:row>48</xdr:row>
      <xdr:rowOff>107950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867400" y="8159750"/>
          <a:ext cx="984250" cy="11620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127000</xdr:colOff>
      <xdr:row>40</xdr:row>
      <xdr:rowOff>88900</xdr:rowOff>
    </xdr:from>
    <xdr:to>
      <xdr:col>11</xdr:col>
      <xdr:colOff>514350</xdr:colOff>
      <xdr:row>46</xdr:row>
      <xdr:rowOff>107950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22925" y="8518525"/>
          <a:ext cx="958850" cy="12192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98424</xdr:colOff>
      <xdr:row>42</xdr:row>
      <xdr:rowOff>88900</xdr:rowOff>
    </xdr:from>
    <xdr:to>
      <xdr:col>11</xdr:col>
      <xdr:colOff>457199</xdr:colOff>
      <xdr:row>49</xdr:row>
      <xdr:rowOff>142875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4349" y="8394700"/>
          <a:ext cx="930275" cy="14541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98424</xdr:colOff>
      <xdr:row>42</xdr:row>
      <xdr:rowOff>88900</xdr:rowOff>
    </xdr:from>
    <xdr:to>
      <xdr:col>11</xdr:col>
      <xdr:colOff>457199</xdr:colOff>
      <xdr:row>49</xdr:row>
      <xdr:rowOff>142875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 rot="10800000">
          <a:off x="5594349" y="8394700"/>
          <a:ext cx="930275" cy="14541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98424</xdr:colOff>
      <xdr:row>42</xdr:row>
      <xdr:rowOff>88900</xdr:rowOff>
    </xdr:from>
    <xdr:to>
      <xdr:col>11</xdr:col>
      <xdr:colOff>457199</xdr:colOff>
      <xdr:row>49</xdr:row>
      <xdr:rowOff>142875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4349" y="8518525"/>
          <a:ext cx="930275" cy="14541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>
      <selection activeCell="G46" sqref="G46:H46"/>
    </sheetView>
  </sheetViews>
  <sheetFormatPr baseColWidth="10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6" t="s">
        <v>0</v>
      </c>
      <c r="B1" s="96"/>
      <c r="C1" s="96"/>
      <c r="D1" s="96"/>
      <c r="E1" s="37"/>
      <c r="F1" s="38"/>
      <c r="G1" s="97" t="s">
        <v>1</v>
      </c>
      <c r="H1" s="97"/>
      <c r="I1" s="97"/>
      <c r="J1" s="97"/>
      <c r="K1" s="97"/>
      <c r="L1" s="97"/>
    </row>
    <row r="2" spans="1:12" ht="15.75" x14ac:dyDescent="0.25">
      <c r="A2" s="97" t="s">
        <v>2</v>
      </c>
      <c r="B2" s="97"/>
      <c r="C2" s="97"/>
      <c r="D2" s="97"/>
      <c r="E2" s="37"/>
      <c r="F2" s="38"/>
      <c r="G2" s="98" t="s">
        <v>3</v>
      </c>
      <c r="H2" s="98"/>
      <c r="I2" s="98"/>
      <c r="J2" s="98"/>
      <c r="K2" s="98"/>
      <c r="L2" s="98"/>
    </row>
    <row r="3" spans="1:12" x14ac:dyDescent="0.25">
      <c r="A3" s="98" t="s">
        <v>4</v>
      </c>
      <c r="B3" s="98"/>
      <c r="C3" s="98"/>
      <c r="D3" s="98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2" ht="15.75" x14ac:dyDescent="0.25">
      <c r="A5" s="97" t="s">
        <v>29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100"/>
      <c r="I6" s="100"/>
      <c r="J6" s="13"/>
      <c r="K6" s="39"/>
      <c r="L6" s="3"/>
    </row>
    <row r="7" spans="1:12" x14ac:dyDescent="0.25">
      <c r="A7" s="101" t="s">
        <v>7</v>
      </c>
      <c r="B7" s="103" t="s">
        <v>8</v>
      </c>
      <c r="C7" s="104"/>
      <c r="D7" s="104"/>
      <c r="E7" s="104"/>
      <c r="F7" s="105"/>
      <c r="G7" s="106" t="s">
        <v>9</v>
      </c>
      <c r="H7" s="104"/>
      <c r="I7" s="104"/>
      <c r="J7" s="104"/>
      <c r="K7" s="105"/>
      <c r="L7" s="107" t="s">
        <v>10</v>
      </c>
    </row>
    <row r="8" spans="1:12" ht="15.75" thickBot="1" x14ac:dyDescent="0.3">
      <c r="A8" s="102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8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>
        <v>1</v>
      </c>
      <c r="C12" s="24"/>
      <c r="D12" s="24"/>
      <c r="E12" s="25"/>
      <c r="F12" s="19">
        <f t="shared" si="0"/>
        <v>1</v>
      </c>
      <c r="G12" s="33">
        <v>11</v>
      </c>
      <c r="H12" s="24"/>
      <c r="I12" s="24"/>
      <c r="J12" s="24"/>
      <c r="K12" s="17">
        <f t="shared" si="1"/>
        <v>11</v>
      </c>
      <c r="L12" s="7">
        <f t="shared" si="2"/>
        <v>12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>
        <v>6</v>
      </c>
      <c r="H13" s="24"/>
      <c r="I13" s="24"/>
      <c r="J13" s="24"/>
      <c r="K13" s="17">
        <f t="shared" si="1"/>
        <v>6</v>
      </c>
      <c r="L13" s="7">
        <f t="shared" si="2"/>
        <v>6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>
        <v>9</v>
      </c>
      <c r="H14" s="24"/>
      <c r="I14" s="24"/>
      <c r="J14" s="24"/>
      <c r="K14" s="17">
        <f t="shared" si="1"/>
        <v>9</v>
      </c>
      <c r="L14" s="7">
        <f t="shared" si="2"/>
        <v>9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>
        <v>5</v>
      </c>
      <c r="H15" s="24"/>
      <c r="I15" s="24"/>
      <c r="J15" s="24"/>
      <c r="K15" s="17">
        <f t="shared" si="1"/>
        <v>5</v>
      </c>
      <c r="L15" s="7">
        <f t="shared" si="2"/>
        <v>5</v>
      </c>
    </row>
    <row r="16" spans="1:12" ht="15.75" thickBot="1" x14ac:dyDescent="0.3">
      <c r="A16" s="8">
        <v>8</v>
      </c>
      <c r="B16" s="23">
        <v>1</v>
      </c>
      <c r="C16" s="24"/>
      <c r="D16" s="24"/>
      <c r="E16" s="25"/>
      <c r="F16" s="19">
        <f t="shared" si="0"/>
        <v>1</v>
      </c>
      <c r="G16" s="32">
        <v>3</v>
      </c>
      <c r="H16" s="24">
        <v>1</v>
      </c>
      <c r="I16" s="24"/>
      <c r="J16" s="24"/>
      <c r="K16" s="17">
        <f t="shared" si="1"/>
        <v>4</v>
      </c>
      <c r="L16" s="7">
        <f t="shared" si="2"/>
        <v>5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>
        <v>1</v>
      </c>
      <c r="C19" s="24"/>
      <c r="D19" s="24"/>
      <c r="E19" s="25"/>
      <c r="F19" s="19">
        <f t="shared" si="0"/>
        <v>1</v>
      </c>
      <c r="G19" s="32"/>
      <c r="H19" s="24"/>
      <c r="I19" s="24"/>
      <c r="J19" s="24"/>
      <c r="K19" s="17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>
        <v>1</v>
      </c>
      <c r="I20" s="35"/>
      <c r="J20" s="35"/>
      <c r="K20" s="17">
        <f t="shared" si="1"/>
        <v>1</v>
      </c>
      <c r="L20" s="7">
        <f t="shared" si="2"/>
        <v>1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>
        <v>10</v>
      </c>
      <c r="C24" s="24"/>
      <c r="D24" s="24"/>
      <c r="E24" s="25"/>
      <c r="F24" s="19">
        <f t="shared" si="0"/>
        <v>10</v>
      </c>
      <c r="G24" s="32"/>
      <c r="H24" s="24"/>
      <c r="I24" s="24"/>
      <c r="J24" s="24"/>
      <c r="K24" s="17">
        <f t="shared" si="1"/>
        <v>0</v>
      </c>
      <c r="L24" s="7">
        <f t="shared" si="2"/>
        <v>10</v>
      </c>
    </row>
    <row r="25" spans="1:12" ht="15.75" thickBot="1" x14ac:dyDescent="0.3">
      <c r="A25" s="8">
        <v>17</v>
      </c>
      <c r="B25" s="23">
        <v>17</v>
      </c>
      <c r="C25" s="49"/>
      <c r="D25" s="27"/>
      <c r="E25" s="25"/>
      <c r="F25" s="19">
        <f t="shared" si="0"/>
        <v>17</v>
      </c>
      <c r="G25" s="32"/>
      <c r="H25" s="24"/>
      <c r="I25" s="24"/>
      <c r="J25" s="24"/>
      <c r="K25" s="17">
        <f t="shared" si="1"/>
        <v>0</v>
      </c>
      <c r="L25" s="7">
        <f t="shared" si="2"/>
        <v>17</v>
      </c>
    </row>
    <row r="26" spans="1:12" ht="15.75" thickBot="1" x14ac:dyDescent="0.3">
      <c r="A26" s="8">
        <v>18</v>
      </c>
      <c r="B26" s="23">
        <v>1</v>
      </c>
      <c r="C26" s="24"/>
      <c r="D26" s="24"/>
      <c r="E26" s="25"/>
      <c r="F26" s="19">
        <f t="shared" si="0"/>
        <v>1</v>
      </c>
      <c r="G26" s="32">
        <v>1</v>
      </c>
      <c r="H26" s="24"/>
      <c r="I26" s="24"/>
      <c r="J26" s="24"/>
      <c r="K26" s="17">
        <f t="shared" si="1"/>
        <v>1</v>
      </c>
      <c r="L26" s="7">
        <f t="shared" si="2"/>
        <v>2</v>
      </c>
    </row>
    <row r="27" spans="1:12" ht="15.75" thickBot="1" x14ac:dyDescent="0.3">
      <c r="A27" s="8">
        <v>19</v>
      </c>
      <c r="B27" s="23">
        <v>1</v>
      </c>
      <c r="C27" s="24"/>
      <c r="D27" s="24"/>
      <c r="E27" s="25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3">
        <v>1</v>
      </c>
      <c r="C28" s="24"/>
      <c r="D28" s="24"/>
      <c r="E28" s="25"/>
      <c r="F28" s="19">
        <f t="shared" si="0"/>
        <v>1</v>
      </c>
      <c r="G28" s="32"/>
      <c r="H28" s="24"/>
      <c r="I28" s="24"/>
      <c r="J28" s="24"/>
      <c r="K28" s="17">
        <f t="shared" si="1"/>
        <v>0</v>
      </c>
      <c r="L28" s="7">
        <f t="shared" si="2"/>
        <v>1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>
        <v>1</v>
      </c>
      <c r="H33" s="24"/>
      <c r="I33" s="24"/>
      <c r="J33" s="24"/>
      <c r="K33" s="17">
        <f t="shared" si="1"/>
        <v>1</v>
      </c>
      <c r="L33" s="7">
        <f t="shared" si="2"/>
        <v>1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>
        <v>1</v>
      </c>
      <c r="C36" s="24"/>
      <c r="D36" s="24"/>
      <c r="E36" s="25"/>
      <c r="F36" s="19">
        <f t="shared" si="0"/>
        <v>1</v>
      </c>
      <c r="G36" s="32"/>
      <c r="H36" s="24"/>
      <c r="I36" s="24"/>
      <c r="J36" s="24"/>
      <c r="K36" s="17">
        <f t="shared" si="1"/>
        <v>0</v>
      </c>
      <c r="L36" s="7">
        <f t="shared" si="2"/>
        <v>1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11">
        <f>SUM(B9:B39)</f>
        <v>34</v>
      </c>
      <c r="C40" s="11">
        <f t="shared" ref="C40:E40" si="3">SUM(C9:C39)</f>
        <v>0</v>
      </c>
      <c r="D40" s="11">
        <f t="shared" si="3"/>
        <v>0</v>
      </c>
      <c r="E40" s="11">
        <f t="shared" si="3"/>
        <v>0</v>
      </c>
      <c r="F40" s="16">
        <f>SUM(F9:F39)</f>
        <v>34</v>
      </c>
      <c r="G40" s="18">
        <f>SUM(G9:G39)</f>
        <v>36</v>
      </c>
      <c r="H40" s="18">
        <f t="shared" ref="H40:L40" si="4">SUM(H9:H39)</f>
        <v>2</v>
      </c>
      <c r="I40" s="18">
        <f t="shared" si="4"/>
        <v>0</v>
      </c>
      <c r="J40" s="18">
        <f t="shared" si="4"/>
        <v>0</v>
      </c>
      <c r="K40" s="18">
        <f t="shared" si="4"/>
        <v>38</v>
      </c>
      <c r="L40" s="18">
        <f t="shared" si="4"/>
        <v>72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109"/>
      <c r="B42" s="109"/>
      <c r="C42" s="109"/>
      <c r="D42" s="109"/>
      <c r="E42" s="109"/>
      <c r="F42" s="109"/>
      <c r="G42" s="110" t="s">
        <v>17</v>
      </c>
      <c r="H42" s="111"/>
      <c r="I42" s="111" t="s">
        <v>18</v>
      </c>
      <c r="J42" s="112"/>
      <c r="K42" s="12"/>
      <c r="L42" s="14"/>
    </row>
    <row r="43" spans="1:12" ht="15.75" thickBot="1" x14ac:dyDescent="0.3">
      <c r="A43" s="15"/>
      <c r="B43" s="113" t="s">
        <v>19</v>
      </c>
      <c r="C43" s="114"/>
      <c r="D43" s="114"/>
      <c r="E43" s="114"/>
      <c r="F43" s="114"/>
      <c r="G43" s="115">
        <v>129</v>
      </c>
      <c r="H43" s="116"/>
      <c r="I43" s="117"/>
      <c r="J43" s="118"/>
      <c r="K43" s="12"/>
      <c r="L43" s="14"/>
    </row>
    <row r="44" spans="1:12" ht="15.75" thickBot="1" x14ac:dyDescent="0.3">
      <c r="A44" s="15"/>
      <c r="B44" s="113" t="s">
        <v>20</v>
      </c>
      <c r="C44" s="114"/>
      <c r="D44" s="114"/>
      <c r="E44" s="114"/>
      <c r="F44" s="114"/>
      <c r="G44" s="119">
        <v>50</v>
      </c>
      <c r="H44" s="120"/>
      <c r="I44" s="119"/>
      <c r="J44" s="120"/>
      <c r="K44" s="12"/>
      <c r="L44" s="14"/>
    </row>
    <row r="45" spans="1:12" ht="15.75" thickBot="1" x14ac:dyDescent="0.3">
      <c r="A45" s="15"/>
      <c r="B45" s="121" t="s">
        <v>21</v>
      </c>
      <c r="C45" s="121"/>
      <c r="D45" s="121"/>
      <c r="E45" s="121"/>
      <c r="F45" s="113"/>
      <c r="G45" s="122">
        <v>2</v>
      </c>
      <c r="H45" s="123"/>
      <c r="I45" s="115"/>
      <c r="J45" s="124"/>
      <c r="K45" s="12"/>
      <c r="L45" s="14"/>
    </row>
    <row r="46" spans="1:12" ht="15.75" thickBot="1" x14ac:dyDescent="0.3">
      <c r="A46" s="15"/>
      <c r="B46" s="113" t="s">
        <v>22</v>
      </c>
      <c r="C46" s="114"/>
      <c r="D46" s="114"/>
      <c r="E46" s="114"/>
      <c r="F46" s="114"/>
      <c r="G46" s="125">
        <f>L40+G45</f>
        <v>74</v>
      </c>
      <c r="H46" s="120"/>
      <c r="I46" s="119"/>
      <c r="J46" s="120"/>
      <c r="K46" s="12"/>
      <c r="L46" s="14"/>
    </row>
    <row r="47" spans="1:12" ht="15.75" thickBot="1" x14ac:dyDescent="0.3">
      <c r="A47" s="4"/>
      <c r="B47" s="113" t="s">
        <v>23</v>
      </c>
      <c r="C47" s="114"/>
      <c r="D47" s="114"/>
      <c r="E47" s="114"/>
      <c r="F47" s="114"/>
      <c r="G47" s="125">
        <f>G43+G44-G46</f>
        <v>105</v>
      </c>
      <c r="H47" s="120"/>
      <c r="I47" s="119"/>
      <c r="J47" s="120"/>
      <c r="K47" s="12"/>
      <c r="L47" s="3"/>
    </row>
    <row r="48" spans="1:12" ht="15.75" thickBot="1" x14ac:dyDescent="0.3">
      <c r="A48" s="4"/>
      <c r="B48" s="113" t="s">
        <v>24</v>
      </c>
      <c r="C48" s="114"/>
      <c r="D48" s="114"/>
      <c r="E48" s="114"/>
      <c r="F48" s="114"/>
      <c r="G48" s="119">
        <v>65</v>
      </c>
      <c r="H48" s="120"/>
      <c r="I48" s="119"/>
      <c r="J48" s="120"/>
      <c r="K48" s="12"/>
      <c r="L48" s="3"/>
    </row>
    <row r="49" spans="1:12" ht="15.75" thickBot="1" x14ac:dyDescent="0.3">
      <c r="A49" s="4"/>
      <c r="B49" s="113" t="s">
        <v>25</v>
      </c>
      <c r="C49" s="114"/>
      <c r="D49" s="114"/>
      <c r="E49" s="114"/>
      <c r="F49" s="114"/>
      <c r="G49" s="126">
        <f>G47-G48</f>
        <v>40</v>
      </c>
      <c r="H49" s="127"/>
      <c r="I49" s="128"/>
      <c r="J49" s="12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28</v>
      </c>
    </row>
    <row r="53" spans="1:12" x14ac:dyDescent="0.25">
      <c r="B53" t="s">
        <v>34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9" workbookViewId="0">
      <selection activeCell="B51" sqref="B51"/>
    </sheetView>
  </sheetViews>
  <sheetFormatPr baseColWidth="10" defaultRowHeight="15" x14ac:dyDescent="0.25"/>
  <cols>
    <col min="1" max="1" width="5.28515625" customWidth="1"/>
    <col min="2" max="12" width="7.7109375" customWidth="1"/>
  </cols>
  <sheetData>
    <row r="1" spans="1:12" ht="12.95" customHeight="1" x14ac:dyDescent="0.25">
      <c r="A1" s="96" t="s">
        <v>0</v>
      </c>
      <c r="B1" s="96"/>
      <c r="C1" s="96"/>
      <c r="D1" s="96"/>
      <c r="E1" s="37"/>
      <c r="F1" s="38"/>
      <c r="G1" s="97" t="s">
        <v>1</v>
      </c>
      <c r="H1" s="97"/>
      <c r="I1" s="97"/>
      <c r="J1" s="97"/>
      <c r="K1" s="97"/>
      <c r="L1" s="97"/>
    </row>
    <row r="2" spans="1:12" ht="12.95" customHeight="1" x14ac:dyDescent="0.25">
      <c r="A2" s="97" t="s">
        <v>2</v>
      </c>
      <c r="B2" s="97"/>
      <c r="C2" s="97"/>
      <c r="D2" s="97"/>
      <c r="E2" s="37"/>
      <c r="F2" s="38"/>
      <c r="G2" s="98" t="s">
        <v>3</v>
      </c>
      <c r="H2" s="98"/>
      <c r="I2" s="98"/>
      <c r="J2" s="98"/>
      <c r="K2" s="98"/>
      <c r="L2" s="98"/>
    </row>
    <row r="3" spans="1:12" ht="12.95" customHeight="1" x14ac:dyDescent="0.25">
      <c r="A3" s="98" t="s">
        <v>4</v>
      </c>
      <c r="B3" s="98"/>
      <c r="C3" s="98"/>
      <c r="D3" s="98"/>
      <c r="E3" s="37"/>
      <c r="F3" s="38"/>
      <c r="G3" s="38"/>
      <c r="H3" s="37"/>
      <c r="I3" s="37"/>
      <c r="J3" s="37"/>
      <c r="K3" s="38"/>
      <c r="L3" s="1"/>
    </row>
    <row r="4" spans="1:12" ht="12.95" customHeight="1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2" ht="12.95" customHeight="1" thickBot="1" x14ac:dyDescent="0.3">
      <c r="A5" s="144" t="s">
        <v>30</v>
      </c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</row>
    <row r="6" spans="1:12" ht="12.95" customHeight="1" x14ac:dyDescent="0.25">
      <c r="A6" s="145" t="s">
        <v>7</v>
      </c>
      <c r="B6" s="147" t="s">
        <v>8</v>
      </c>
      <c r="C6" s="148"/>
      <c r="D6" s="148"/>
      <c r="E6" s="148"/>
      <c r="F6" s="149"/>
      <c r="G6" s="147" t="s">
        <v>9</v>
      </c>
      <c r="H6" s="148"/>
      <c r="I6" s="148"/>
      <c r="J6" s="148"/>
      <c r="K6" s="149"/>
      <c r="L6" s="150" t="s">
        <v>10</v>
      </c>
    </row>
    <row r="7" spans="1:12" ht="12.95" customHeight="1" thickBot="1" x14ac:dyDescent="0.3">
      <c r="A7" s="146"/>
      <c r="B7" s="40" t="s">
        <v>11</v>
      </c>
      <c r="C7" s="41" t="s">
        <v>12</v>
      </c>
      <c r="D7" s="41" t="s">
        <v>13</v>
      </c>
      <c r="E7" s="41" t="s">
        <v>14</v>
      </c>
      <c r="F7" s="42" t="s">
        <v>15</v>
      </c>
      <c r="G7" s="43" t="s">
        <v>11</v>
      </c>
      <c r="H7" s="41" t="s">
        <v>12</v>
      </c>
      <c r="I7" s="41" t="s">
        <v>13</v>
      </c>
      <c r="J7" s="41" t="s">
        <v>14</v>
      </c>
      <c r="K7" s="42" t="s">
        <v>16</v>
      </c>
      <c r="L7" s="151"/>
    </row>
    <row r="8" spans="1:12" ht="12.95" customHeight="1" thickBot="1" x14ac:dyDescent="0.3">
      <c r="A8" s="6">
        <v>1</v>
      </c>
      <c r="B8" s="20"/>
      <c r="C8" s="21"/>
      <c r="D8" s="21"/>
      <c r="E8" s="22"/>
      <c r="F8" s="19">
        <f>SUM(B8:E8)</f>
        <v>0</v>
      </c>
      <c r="G8" s="48"/>
      <c r="H8" s="31"/>
      <c r="I8" s="31"/>
      <c r="J8" s="31"/>
      <c r="K8" s="17">
        <f>SUM(G8:J8)</f>
        <v>0</v>
      </c>
      <c r="L8" s="7">
        <f>SUM(F8+K8)</f>
        <v>0</v>
      </c>
    </row>
    <row r="9" spans="1:12" ht="12.95" customHeight="1" thickBot="1" x14ac:dyDescent="0.3">
      <c r="A9" s="8">
        <v>2</v>
      </c>
      <c r="B9" s="23"/>
      <c r="C9" s="24"/>
      <c r="D9" s="24">
        <v>2</v>
      </c>
      <c r="E9" s="25"/>
      <c r="F9" s="19">
        <f t="shared" ref="F9:F38" si="0">SUM(B9:E9)</f>
        <v>2</v>
      </c>
      <c r="G9" s="32">
        <v>1</v>
      </c>
      <c r="H9" s="24"/>
      <c r="I9" s="24"/>
      <c r="J9" s="24"/>
      <c r="K9" s="17">
        <f t="shared" ref="K9:K38" si="1">SUM(G9:J9)</f>
        <v>1</v>
      </c>
      <c r="L9" s="7">
        <f t="shared" ref="L9:L38" si="2">SUM(F9+K9)</f>
        <v>3</v>
      </c>
    </row>
    <row r="10" spans="1:12" ht="12.95" customHeight="1" thickBot="1" x14ac:dyDescent="0.3">
      <c r="A10" s="8">
        <v>3</v>
      </c>
      <c r="B10" s="23"/>
      <c r="C10" s="24"/>
      <c r="D10" s="24"/>
      <c r="E10" s="26"/>
      <c r="F10" s="19">
        <f t="shared" si="0"/>
        <v>0</v>
      </c>
      <c r="G10" s="32"/>
      <c r="H10" s="24"/>
      <c r="I10" s="24"/>
      <c r="J10" s="24"/>
      <c r="K10" s="17">
        <f t="shared" si="1"/>
        <v>0</v>
      </c>
      <c r="L10" s="7">
        <f t="shared" si="2"/>
        <v>0</v>
      </c>
    </row>
    <row r="11" spans="1:12" ht="12.95" customHeight="1" thickBot="1" x14ac:dyDescent="0.3">
      <c r="A11" s="8">
        <v>4</v>
      </c>
      <c r="B11" s="23"/>
      <c r="C11" s="24"/>
      <c r="D11" s="24"/>
      <c r="E11" s="25"/>
      <c r="F11" s="19">
        <f t="shared" si="0"/>
        <v>0</v>
      </c>
      <c r="G11" s="33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2.95" customHeight="1" thickBot="1" x14ac:dyDescent="0.3">
      <c r="A12" s="8">
        <v>5</v>
      </c>
      <c r="B12" s="23"/>
      <c r="C12" s="24"/>
      <c r="D12" s="24"/>
      <c r="E12" s="25"/>
      <c r="F12" s="19">
        <f t="shared" si="0"/>
        <v>0</v>
      </c>
      <c r="G12" s="32">
        <v>1</v>
      </c>
      <c r="H12" s="24"/>
      <c r="I12" s="24"/>
      <c r="J12" s="24"/>
      <c r="K12" s="17">
        <f t="shared" si="1"/>
        <v>1</v>
      </c>
      <c r="L12" s="7">
        <f t="shared" si="2"/>
        <v>1</v>
      </c>
    </row>
    <row r="13" spans="1:12" ht="12.95" customHeight="1" thickBot="1" x14ac:dyDescent="0.3">
      <c r="A13" s="8">
        <v>6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2.95" customHeight="1" thickBot="1" x14ac:dyDescent="0.3">
      <c r="A14" s="8">
        <v>7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2.95" customHeight="1" thickBot="1" x14ac:dyDescent="0.3">
      <c r="A15" s="8">
        <v>8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2.95" customHeight="1" thickBot="1" x14ac:dyDescent="0.3">
      <c r="A16" s="8">
        <v>9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2.95" customHeight="1" thickBot="1" x14ac:dyDescent="0.3">
      <c r="A17" s="8">
        <v>10</v>
      </c>
      <c r="B17" s="23"/>
      <c r="C17" s="24"/>
      <c r="D17" s="24"/>
      <c r="E17" s="25"/>
      <c r="F17" s="19">
        <f t="shared" si="0"/>
        <v>0</v>
      </c>
      <c r="G17" s="34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2.95" customHeight="1" thickBot="1" x14ac:dyDescent="0.3">
      <c r="A18" s="8">
        <v>11</v>
      </c>
      <c r="B18" s="23"/>
      <c r="C18" s="24"/>
      <c r="D18" s="24"/>
      <c r="E18" s="25"/>
      <c r="F18" s="19">
        <f t="shared" si="0"/>
        <v>0</v>
      </c>
      <c r="G18" s="32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2.95" customHeight="1" thickBot="1" x14ac:dyDescent="0.3">
      <c r="A19" s="8">
        <v>12</v>
      </c>
      <c r="B19" s="23"/>
      <c r="C19" s="24"/>
      <c r="D19" s="24"/>
      <c r="E19" s="25"/>
      <c r="F19" s="19">
        <f t="shared" si="0"/>
        <v>0</v>
      </c>
      <c r="G19" s="32">
        <v>13</v>
      </c>
      <c r="H19" s="35"/>
      <c r="I19" s="35"/>
      <c r="J19" s="35"/>
      <c r="K19" s="17">
        <f t="shared" si="1"/>
        <v>13</v>
      </c>
      <c r="L19" s="7">
        <f t="shared" si="2"/>
        <v>13</v>
      </c>
    </row>
    <row r="20" spans="1:12" ht="12.95" customHeight="1" thickBot="1" x14ac:dyDescent="0.3">
      <c r="A20" s="8">
        <v>13</v>
      </c>
      <c r="B20" s="23"/>
      <c r="C20" s="24"/>
      <c r="D20" s="24"/>
      <c r="E20" s="25"/>
      <c r="F20" s="19">
        <f t="shared" si="0"/>
        <v>0</v>
      </c>
      <c r="G20" s="36"/>
      <c r="H20" s="24"/>
      <c r="I20" s="24"/>
      <c r="J20" s="24"/>
      <c r="K20" s="17">
        <f t="shared" si="1"/>
        <v>0</v>
      </c>
      <c r="L20" s="7">
        <f t="shared" si="2"/>
        <v>0</v>
      </c>
    </row>
    <row r="21" spans="1:12" ht="12.95" customHeight="1" thickBot="1" x14ac:dyDescent="0.3">
      <c r="A21" s="8">
        <v>14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2.95" customHeight="1" thickBot="1" x14ac:dyDescent="0.3">
      <c r="A22" s="8">
        <v>15</v>
      </c>
      <c r="B22" s="23">
        <v>2</v>
      </c>
      <c r="C22" s="24"/>
      <c r="D22" s="24"/>
      <c r="E22" s="25"/>
      <c r="F22" s="19">
        <f t="shared" si="0"/>
        <v>2</v>
      </c>
      <c r="G22" s="32"/>
      <c r="H22" s="24"/>
      <c r="I22" s="24"/>
      <c r="J22" s="24"/>
      <c r="K22" s="17">
        <f t="shared" si="1"/>
        <v>0</v>
      </c>
      <c r="L22" s="7">
        <f t="shared" si="2"/>
        <v>2</v>
      </c>
    </row>
    <row r="23" spans="1:12" ht="12.95" customHeight="1" thickBot="1" x14ac:dyDescent="0.3">
      <c r="A23" s="8">
        <v>16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2.95" customHeight="1" thickBot="1" x14ac:dyDescent="0.3">
      <c r="A24" s="8">
        <v>17</v>
      </c>
      <c r="B24" s="23">
        <v>1</v>
      </c>
      <c r="C24" s="49"/>
      <c r="D24" s="27"/>
      <c r="E24" s="25"/>
      <c r="F24" s="19">
        <f t="shared" si="0"/>
        <v>1</v>
      </c>
      <c r="G24" s="32"/>
      <c r="H24" s="24"/>
      <c r="I24" s="24"/>
      <c r="J24" s="24"/>
      <c r="K24" s="17">
        <f t="shared" si="1"/>
        <v>0</v>
      </c>
      <c r="L24" s="7">
        <f t="shared" si="2"/>
        <v>1</v>
      </c>
    </row>
    <row r="25" spans="1:12" ht="12.95" customHeight="1" thickBot="1" x14ac:dyDescent="0.3">
      <c r="A25" s="8">
        <v>18</v>
      </c>
      <c r="B25" s="23"/>
      <c r="C25" s="24"/>
      <c r="D25" s="24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2.95" customHeight="1" thickBot="1" x14ac:dyDescent="0.3">
      <c r="A26" s="8">
        <v>19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2.95" customHeight="1" thickBot="1" x14ac:dyDescent="0.3">
      <c r="A27" s="8">
        <v>20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2.95" customHeight="1" thickBot="1" x14ac:dyDescent="0.3">
      <c r="A28" s="8">
        <v>21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2.95" customHeight="1" thickBot="1" x14ac:dyDescent="0.3">
      <c r="A29" s="8">
        <v>22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2.95" customHeight="1" thickBot="1" x14ac:dyDescent="0.3">
      <c r="A30" s="8">
        <v>23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2.95" customHeight="1" thickBot="1" x14ac:dyDescent="0.3">
      <c r="A31" s="8">
        <v>24</v>
      </c>
      <c r="B31" s="23">
        <v>1</v>
      </c>
      <c r="C31" s="24"/>
      <c r="D31" s="24"/>
      <c r="E31" s="25"/>
      <c r="F31" s="19">
        <f t="shared" si="0"/>
        <v>1</v>
      </c>
      <c r="G31" s="32"/>
      <c r="H31" s="24"/>
      <c r="I31" s="24"/>
      <c r="J31" s="24"/>
      <c r="K31" s="17">
        <f t="shared" si="1"/>
        <v>0</v>
      </c>
      <c r="L31" s="7">
        <f t="shared" si="2"/>
        <v>1</v>
      </c>
    </row>
    <row r="32" spans="1:12" ht="12.95" customHeight="1" thickBot="1" x14ac:dyDescent="0.3">
      <c r="A32" s="8">
        <v>25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2.95" customHeight="1" thickBot="1" x14ac:dyDescent="0.3">
      <c r="A33" s="8">
        <v>26</v>
      </c>
      <c r="B33" s="23"/>
      <c r="C33" s="24"/>
      <c r="D33" s="24"/>
      <c r="E33" s="25"/>
      <c r="F33" s="19">
        <f t="shared" si="0"/>
        <v>0</v>
      </c>
      <c r="G33" s="32">
        <v>3</v>
      </c>
      <c r="H33" s="24"/>
      <c r="I33" s="24"/>
      <c r="J33" s="24"/>
      <c r="K33" s="17">
        <f t="shared" si="1"/>
        <v>3</v>
      </c>
      <c r="L33" s="7">
        <f t="shared" si="2"/>
        <v>3</v>
      </c>
    </row>
    <row r="34" spans="1:12" ht="12.95" customHeight="1" thickBot="1" x14ac:dyDescent="0.3">
      <c r="A34" s="8">
        <v>27</v>
      </c>
      <c r="B34" s="46"/>
      <c r="C34" s="24"/>
      <c r="D34" s="24"/>
      <c r="E34" s="25"/>
      <c r="F34" s="19">
        <f t="shared" si="0"/>
        <v>0</v>
      </c>
      <c r="G34" s="47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2.95" customHeight="1" thickBot="1" x14ac:dyDescent="0.3">
      <c r="A35" s="8">
        <v>28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2.95" customHeight="1" thickBot="1" x14ac:dyDescent="0.3">
      <c r="A36" s="8">
        <v>29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2.95" customHeight="1" thickBot="1" x14ac:dyDescent="0.3">
      <c r="A37" s="8">
        <v>30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2.95" customHeight="1" thickBot="1" x14ac:dyDescent="0.3">
      <c r="A38" s="9">
        <v>31</v>
      </c>
      <c r="B38" s="28"/>
      <c r="C38" s="29"/>
      <c r="D38" s="29"/>
      <c r="E38" s="30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2.95" customHeight="1" thickBot="1" x14ac:dyDescent="0.3">
      <c r="A39" s="10"/>
      <c r="B39" s="51">
        <f>SUM(B8:B38)</f>
        <v>4</v>
      </c>
      <c r="C39" s="51">
        <f t="shared" ref="C39:E39" si="3">SUM(C8:C38)</f>
        <v>0</v>
      </c>
      <c r="D39" s="51">
        <f t="shared" si="3"/>
        <v>2</v>
      </c>
      <c r="E39" s="51">
        <f t="shared" si="3"/>
        <v>0</v>
      </c>
      <c r="F39" s="50">
        <f>SUM(F8:F38)</f>
        <v>6</v>
      </c>
      <c r="G39" s="18">
        <f>SUM(G8:G38)</f>
        <v>18</v>
      </c>
      <c r="H39" s="18">
        <f t="shared" ref="H39:L39" si="4">SUM(H8:H38)</f>
        <v>0</v>
      </c>
      <c r="I39" s="18">
        <f t="shared" si="4"/>
        <v>0</v>
      </c>
      <c r="J39" s="18">
        <f t="shared" si="4"/>
        <v>0</v>
      </c>
      <c r="K39" s="18">
        <f t="shared" si="4"/>
        <v>18</v>
      </c>
      <c r="L39" s="18">
        <f t="shared" si="4"/>
        <v>24</v>
      </c>
    </row>
    <row r="40" spans="1:12" ht="12.95" customHeight="1" thickBot="1" x14ac:dyDescent="0.3">
      <c r="A40" s="12"/>
      <c r="B40" s="12"/>
      <c r="C40" s="13"/>
      <c r="D40" s="13"/>
      <c r="E40" s="13"/>
      <c r="F40" s="12"/>
      <c r="G40" s="12"/>
      <c r="H40" s="13"/>
      <c r="I40" s="13"/>
      <c r="J40" s="13"/>
      <c r="K40" s="12"/>
      <c r="L40" s="14"/>
    </row>
    <row r="41" spans="1:12" ht="12.95" customHeight="1" thickBot="1" x14ac:dyDescent="0.3">
      <c r="A41" s="135"/>
      <c r="B41" s="136"/>
      <c r="C41" s="136"/>
      <c r="D41" s="136"/>
      <c r="E41" s="136"/>
      <c r="F41" s="137"/>
      <c r="G41" s="135" t="s">
        <v>17</v>
      </c>
      <c r="H41" s="138"/>
      <c r="I41" s="139" t="s">
        <v>18</v>
      </c>
      <c r="J41" s="137"/>
      <c r="K41" s="12"/>
      <c r="L41" s="14"/>
    </row>
    <row r="42" spans="1:12" ht="12.95" customHeight="1" thickBot="1" x14ac:dyDescent="0.3">
      <c r="A42" s="15"/>
      <c r="B42" s="121" t="s">
        <v>19</v>
      </c>
      <c r="C42" s="121"/>
      <c r="D42" s="121"/>
      <c r="E42" s="121"/>
      <c r="F42" s="113"/>
      <c r="G42" s="140">
        <v>65</v>
      </c>
      <c r="H42" s="141"/>
      <c r="I42" s="142"/>
      <c r="J42" s="143"/>
      <c r="K42" s="12"/>
      <c r="L42" s="14"/>
    </row>
    <row r="43" spans="1:12" ht="12.95" customHeight="1" thickBot="1" x14ac:dyDescent="0.3">
      <c r="A43" s="15"/>
      <c r="B43" s="121" t="s">
        <v>20</v>
      </c>
      <c r="C43" s="121"/>
      <c r="D43" s="121"/>
      <c r="E43" s="121"/>
      <c r="F43" s="113"/>
      <c r="G43" s="115">
        <v>70</v>
      </c>
      <c r="H43" s="124"/>
      <c r="I43" s="115"/>
      <c r="J43" s="124"/>
      <c r="K43" s="12"/>
      <c r="L43" s="14"/>
    </row>
    <row r="44" spans="1:12" ht="12.95" customHeight="1" thickBot="1" x14ac:dyDescent="0.3">
      <c r="A44" s="15"/>
      <c r="B44" s="121" t="s">
        <v>21</v>
      </c>
      <c r="C44" s="121"/>
      <c r="D44" s="121"/>
      <c r="E44" s="121"/>
      <c r="F44" s="113"/>
      <c r="G44" s="122">
        <v>2</v>
      </c>
      <c r="H44" s="123"/>
      <c r="I44" s="115"/>
      <c r="J44" s="124"/>
      <c r="K44" s="12"/>
      <c r="L44" s="14"/>
    </row>
    <row r="45" spans="1:12" ht="12.95" customHeight="1" thickBot="1" x14ac:dyDescent="0.3">
      <c r="A45" s="15"/>
      <c r="B45" s="121" t="s">
        <v>22</v>
      </c>
      <c r="C45" s="121"/>
      <c r="D45" s="121"/>
      <c r="E45" s="121"/>
      <c r="F45" s="113"/>
      <c r="G45" s="133">
        <f>L39+G44</f>
        <v>26</v>
      </c>
      <c r="H45" s="134"/>
      <c r="I45" s="115"/>
      <c r="J45" s="124"/>
      <c r="K45" s="12"/>
      <c r="L45" s="14"/>
    </row>
    <row r="46" spans="1:12" ht="12.95" customHeight="1" thickBot="1" x14ac:dyDescent="0.3">
      <c r="A46" s="4"/>
      <c r="B46" s="121" t="s">
        <v>23</v>
      </c>
      <c r="C46" s="121"/>
      <c r="D46" s="121"/>
      <c r="E46" s="121"/>
      <c r="F46" s="113"/>
      <c r="G46" s="133">
        <f>G42+G43-G45</f>
        <v>109</v>
      </c>
      <c r="H46" s="134"/>
      <c r="I46" s="115"/>
      <c r="J46" s="124"/>
      <c r="K46" s="12"/>
      <c r="L46" s="3"/>
    </row>
    <row r="47" spans="1:12" ht="12.95" customHeight="1" thickBot="1" x14ac:dyDescent="0.3">
      <c r="A47" s="4"/>
      <c r="B47" s="121" t="s">
        <v>24</v>
      </c>
      <c r="C47" s="121"/>
      <c r="D47" s="121"/>
      <c r="E47" s="121"/>
      <c r="F47" s="113"/>
      <c r="G47" s="115">
        <v>64</v>
      </c>
      <c r="H47" s="124"/>
      <c r="I47" s="115"/>
      <c r="J47" s="124"/>
      <c r="K47" s="12"/>
      <c r="L47" s="3"/>
    </row>
    <row r="48" spans="1:12" ht="12.95" customHeight="1" thickBot="1" x14ac:dyDescent="0.3">
      <c r="A48" s="4"/>
      <c r="B48" s="121" t="s">
        <v>25</v>
      </c>
      <c r="C48" s="121"/>
      <c r="D48" s="121"/>
      <c r="E48" s="121"/>
      <c r="F48" s="113"/>
      <c r="G48" s="129">
        <f>G46-G47</f>
        <v>45</v>
      </c>
      <c r="H48" s="130"/>
      <c r="I48" s="131"/>
      <c r="J48" s="132"/>
      <c r="K48" s="12"/>
      <c r="L48" s="3"/>
    </row>
    <row r="49" spans="1:12" ht="12.95" customHeight="1" x14ac:dyDescent="0.25">
      <c r="A49" s="5" t="s">
        <v>26</v>
      </c>
      <c r="B49" s="38"/>
      <c r="C49" s="44"/>
      <c r="D49" s="44"/>
      <c r="E49" s="44"/>
      <c r="F49" s="38"/>
      <c r="G49" s="38"/>
      <c r="H49" s="44"/>
      <c r="I49" s="45" t="s">
        <v>27</v>
      </c>
      <c r="J49" s="44"/>
      <c r="K49" s="38"/>
      <c r="L49" s="1"/>
    </row>
    <row r="50" spans="1:12" ht="12.95" customHeight="1" x14ac:dyDescent="0.25"/>
    <row r="51" spans="1:12" ht="12.95" customHeight="1" x14ac:dyDescent="0.25">
      <c r="B51" t="s">
        <v>31</v>
      </c>
    </row>
    <row r="52" spans="1:12" ht="12.95" customHeight="1" x14ac:dyDescent="0.25">
      <c r="B52" t="s">
        <v>32</v>
      </c>
    </row>
  </sheetData>
  <mergeCells count="35">
    <mergeCell ref="A4:L4"/>
    <mergeCell ref="A1:D1"/>
    <mergeCell ref="G1:L1"/>
    <mergeCell ref="A2:D2"/>
    <mergeCell ref="G2:L2"/>
    <mergeCell ref="A3:D3"/>
    <mergeCell ref="A5:L5"/>
    <mergeCell ref="A6:A7"/>
    <mergeCell ref="B6:F6"/>
    <mergeCell ref="G6:K6"/>
    <mergeCell ref="L6:L7"/>
    <mergeCell ref="A41:F41"/>
    <mergeCell ref="G41:H41"/>
    <mergeCell ref="I41:J41"/>
    <mergeCell ref="B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</mergeCells>
  <pageMargins left="0.7" right="0.7" top="0.75" bottom="0.75" header="0.3" footer="0.3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7" workbookViewId="0">
      <selection activeCell="G49" sqref="G49:H49"/>
    </sheetView>
  </sheetViews>
  <sheetFormatPr baseColWidth="10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6" t="s">
        <v>0</v>
      </c>
      <c r="B1" s="96"/>
      <c r="C1" s="96"/>
      <c r="D1" s="96"/>
      <c r="E1" s="37"/>
      <c r="F1" s="38"/>
      <c r="G1" s="97" t="s">
        <v>1</v>
      </c>
      <c r="H1" s="97"/>
      <c r="I1" s="97"/>
      <c r="J1" s="97"/>
      <c r="K1" s="97"/>
      <c r="L1" s="97"/>
    </row>
    <row r="2" spans="1:12" ht="15.75" x14ac:dyDescent="0.25">
      <c r="A2" s="97" t="s">
        <v>2</v>
      </c>
      <c r="B2" s="97"/>
      <c r="C2" s="97"/>
      <c r="D2" s="97"/>
      <c r="E2" s="37"/>
      <c r="F2" s="38"/>
      <c r="G2" s="98" t="s">
        <v>3</v>
      </c>
      <c r="H2" s="98"/>
      <c r="I2" s="98"/>
      <c r="J2" s="98"/>
      <c r="K2" s="98"/>
      <c r="L2" s="98"/>
    </row>
    <row r="3" spans="1:12" x14ac:dyDescent="0.25">
      <c r="A3" s="98" t="s">
        <v>4</v>
      </c>
      <c r="B3" s="98"/>
      <c r="C3" s="98"/>
      <c r="D3" s="98"/>
      <c r="E3" s="37"/>
      <c r="F3" s="38"/>
      <c r="G3" s="38"/>
      <c r="H3" s="37"/>
      <c r="I3" s="37"/>
      <c r="J3" s="37"/>
      <c r="K3" s="38"/>
      <c r="L3" s="1"/>
    </row>
    <row r="4" spans="1:12" x14ac:dyDescent="0.25">
      <c r="A4" s="52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 x14ac:dyDescent="0.25">
      <c r="A5" s="96" t="s">
        <v>5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x14ac:dyDescent="0.25">
      <c r="A6" s="97" t="s">
        <v>33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.75" thickBot="1" x14ac:dyDescent="0.3">
      <c r="A7" s="2" t="s">
        <v>6</v>
      </c>
      <c r="B7" s="12"/>
      <c r="C7" s="13"/>
      <c r="D7" s="13"/>
      <c r="E7" s="13"/>
      <c r="F7" s="12"/>
      <c r="G7" s="12"/>
      <c r="H7" s="100"/>
      <c r="I7" s="100"/>
      <c r="J7" s="13"/>
      <c r="K7" s="39"/>
      <c r="L7" s="3"/>
    </row>
    <row r="8" spans="1:12" x14ac:dyDescent="0.25">
      <c r="A8" s="101" t="s">
        <v>7</v>
      </c>
      <c r="B8" s="103" t="s">
        <v>8</v>
      </c>
      <c r="C8" s="104"/>
      <c r="D8" s="104"/>
      <c r="E8" s="104"/>
      <c r="F8" s="105"/>
      <c r="G8" s="106" t="s">
        <v>9</v>
      </c>
      <c r="H8" s="104"/>
      <c r="I8" s="104"/>
      <c r="J8" s="104"/>
      <c r="K8" s="105"/>
      <c r="L8" s="107" t="s">
        <v>10</v>
      </c>
    </row>
    <row r="9" spans="1:12" ht="15.75" thickBot="1" x14ac:dyDescent="0.3">
      <c r="A9" s="102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08"/>
    </row>
    <row r="10" spans="1:12" ht="15.75" thickBot="1" x14ac:dyDescent="0.3">
      <c r="A10" s="6">
        <v>1</v>
      </c>
      <c r="B10" s="20"/>
      <c r="C10" s="21"/>
      <c r="D10" s="21"/>
      <c r="E10" s="22"/>
      <c r="F10" s="19">
        <f>SUM(B10:E10)</f>
        <v>0</v>
      </c>
      <c r="G10" s="48">
        <v>1</v>
      </c>
      <c r="H10" s="31"/>
      <c r="I10" s="31"/>
      <c r="J10" s="31"/>
      <c r="K10" s="17">
        <f>SUM(G10:J10)</f>
        <v>1</v>
      </c>
      <c r="L10" s="7">
        <f>SUM(F10+K10)</f>
        <v>1</v>
      </c>
    </row>
    <row r="11" spans="1:12" ht="15.75" thickBot="1" x14ac:dyDescent="0.3">
      <c r="A11" s="8">
        <v>2</v>
      </c>
      <c r="B11" s="23">
        <v>2</v>
      </c>
      <c r="C11" s="24"/>
      <c r="D11" s="24"/>
      <c r="E11" s="25"/>
      <c r="F11" s="19">
        <f t="shared" ref="F11:F40" si="0">SUM(B11:E11)</f>
        <v>2</v>
      </c>
      <c r="G11" s="32"/>
      <c r="H11" s="24"/>
      <c r="I11" s="24"/>
      <c r="J11" s="24"/>
      <c r="K11" s="17">
        <f t="shared" ref="K11:K40" si="1">SUM(G11:J11)</f>
        <v>0</v>
      </c>
      <c r="L11" s="7">
        <f t="shared" ref="L11:L40" si="2">SUM(F11+K11)</f>
        <v>2</v>
      </c>
    </row>
    <row r="12" spans="1:12" ht="15.75" thickBot="1" x14ac:dyDescent="0.3">
      <c r="A12" s="8">
        <v>3</v>
      </c>
      <c r="B12" s="23"/>
      <c r="C12" s="24"/>
      <c r="D12" s="24"/>
      <c r="E12" s="26"/>
      <c r="F12" s="19">
        <f t="shared" si="0"/>
        <v>0</v>
      </c>
      <c r="G12" s="32">
        <v>1</v>
      </c>
      <c r="H12" s="24"/>
      <c r="I12" s="24">
        <v>1</v>
      </c>
      <c r="J12" s="24"/>
      <c r="K12" s="17">
        <f t="shared" si="1"/>
        <v>2</v>
      </c>
      <c r="L12" s="7">
        <f t="shared" si="2"/>
        <v>2</v>
      </c>
    </row>
    <row r="13" spans="1:12" ht="15.75" thickBot="1" x14ac:dyDescent="0.3">
      <c r="A13" s="8">
        <v>4</v>
      </c>
      <c r="B13" s="23"/>
      <c r="C13" s="24"/>
      <c r="D13" s="24">
        <v>1</v>
      </c>
      <c r="E13" s="25"/>
      <c r="F13" s="19">
        <f t="shared" si="0"/>
        <v>1</v>
      </c>
      <c r="G13" s="33"/>
      <c r="H13" s="24"/>
      <c r="I13" s="24"/>
      <c r="J13" s="24"/>
      <c r="K13" s="17">
        <f t="shared" si="1"/>
        <v>0</v>
      </c>
      <c r="L13" s="7">
        <f t="shared" si="2"/>
        <v>1</v>
      </c>
    </row>
    <row r="14" spans="1:12" ht="15.75" thickBot="1" x14ac:dyDescent="0.3">
      <c r="A14" s="8">
        <v>5</v>
      </c>
      <c r="B14" s="23"/>
      <c r="C14" s="24"/>
      <c r="D14" s="24"/>
      <c r="E14" s="25"/>
      <c r="F14" s="19">
        <f t="shared" si="0"/>
        <v>0</v>
      </c>
      <c r="G14" s="32">
        <v>1</v>
      </c>
      <c r="H14" s="24"/>
      <c r="I14" s="24"/>
      <c r="J14" s="24"/>
      <c r="K14" s="17">
        <f t="shared" si="1"/>
        <v>1</v>
      </c>
      <c r="L14" s="7">
        <f t="shared" si="2"/>
        <v>1</v>
      </c>
    </row>
    <row r="15" spans="1:12" ht="15.75" thickBot="1" x14ac:dyDescent="0.3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3"/>
      <c r="C18" s="24"/>
      <c r="D18" s="24"/>
      <c r="E18" s="25"/>
      <c r="F18" s="19">
        <f t="shared" si="0"/>
        <v>0</v>
      </c>
      <c r="G18" s="32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3"/>
      <c r="C20" s="24"/>
      <c r="D20" s="24"/>
      <c r="E20" s="25"/>
      <c r="F20" s="19">
        <f t="shared" si="0"/>
        <v>0</v>
      </c>
      <c r="G20" s="32">
        <v>1</v>
      </c>
      <c r="H20" s="24"/>
      <c r="I20" s="24"/>
      <c r="J20" s="24"/>
      <c r="K20" s="17">
        <f t="shared" si="1"/>
        <v>1</v>
      </c>
      <c r="L20" s="7">
        <f t="shared" si="2"/>
        <v>1</v>
      </c>
    </row>
    <row r="21" spans="1:12" ht="15.75" thickBot="1" x14ac:dyDescent="0.3">
      <c r="A21" s="8">
        <v>12</v>
      </c>
      <c r="B21" s="23">
        <v>1</v>
      </c>
      <c r="C21" s="24"/>
      <c r="D21" s="24"/>
      <c r="E21" s="25"/>
      <c r="F21" s="19">
        <f t="shared" si="0"/>
        <v>1</v>
      </c>
      <c r="G21" s="32">
        <v>2</v>
      </c>
      <c r="H21" s="35"/>
      <c r="I21" s="35"/>
      <c r="J21" s="35"/>
      <c r="K21" s="17">
        <f t="shared" si="1"/>
        <v>2</v>
      </c>
      <c r="L21" s="7">
        <f t="shared" si="2"/>
        <v>3</v>
      </c>
    </row>
    <row r="22" spans="1:12" ht="15.75" thickBot="1" x14ac:dyDescent="0.3">
      <c r="A22" s="8">
        <v>13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3">
        <v>10</v>
      </c>
      <c r="C23" s="24"/>
      <c r="D23" s="24"/>
      <c r="E23" s="25"/>
      <c r="F23" s="19">
        <f t="shared" si="0"/>
        <v>10</v>
      </c>
      <c r="G23" s="36"/>
      <c r="H23" s="24"/>
      <c r="I23" s="24"/>
      <c r="J23" s="24"/>
      <c r="K23" s="17">
        <f t="shared" si="1"/>
        <v>0</v>
      </c>
      <c r="L23" s="7">
        <f t="shared" si="2"/>
        <v>10</v>
      </c>
    </row>
    <row r="24" spans="1:12" ht="15.75" thickBot="1" x14ac:dyDescent="0.3">
      <c r="A24" s="8">
        <v>15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3"/>
      <c r="C25" s="24"/>
      <c r="D25" s="24"/>
      <c r="E25" s="25"/>
      <c r="F25" s="19">
        <f t="shared" si="0"/>
        <v>0</v>
      </c>
      <c r="G25" s="32">
        <v>1</v>
      </c>
      <c r="H25" s="24"/>
      <c r="I25" s="24"/>
      <c r="J25" s="24"/>
      <c r="K25" s="17">
        <f t="shared" si="1"/>
        <v>1</v>
      </c>
      <c r="L25" s="7">
        <f t="shared" si="2"/>
        <v>1</v>
      </c>
    </row>
    <row r="26" spans="1:12" ht="15.75" thickBot="1" x14ac:dyDescent="0.3">
      <c r="A26" s="8">
        <v>17</v>
      </c>
      <c r="B26" s="23"/>
      <c r="C26" s="49"/>
      <c r="D26" s="27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3"/>
      <c r="C28" s="24"/>
      <c r="D28" s="24">
        <v>1</v>
      </c>
      <c r="E28" s="25"/>
      <c r="F28" s="19">
        <f t="shared" si="0"/>
        <v>1</v>
      </c>
      <c r="G28" s="32"/>
      <c r="H28" s="24"/>
      <c r="I28" s="24"/>
      <c r="J28" s="24"/>
      <c r="K28" s="17">
        <f t="shared" si="1"/>
        <v>0</v>
      </c>
      <c r="L28" s="7">
        <f t="shared" si="2"/>
        <v>1</v>
      </c>
    </row>
    <row r="29" spans="1:12" ht="15.75" thickBot="1" x14ac:dyDescent="0.3">
      <c r="A29" s="8">
        <v>20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3"/>
      <c r="C31" s="24"/>
      <c r="D31" s="24">
        <v>1</v>
      </c>
      <c r="E31" s="25"/>
      <c r="F31" s="19">
        <f t="shared" si="0"/>
        <v>1</v>
      </c>
      <c r="G31" s="32"/>
      <c r="H31" s="24"/>
      <c r="I31" s="24"/>
      <c r="J31" s="24"/>
      <c r="K31" s="17">
        <f t="shared" si="1"/>
        <v>0</v>
      </c>
      <c r="L31" s="7">
        <f t="shared" si="2"/>
        <v>1</v>
      </c>
    </row>
    <row r="32" spans="1:12" ht="15.75" thickBot="1" x14ac:dyDescent="0.3">
      <c r="A32" s="8">
        <v>23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3">
        <v>3</v>
      </c>
      <c r="C34" s="24"/>
      <c r="D34" s="24"/>
      <c r="E34" s="25"/>
      <c r="F34" s="19">
        <f t="shared" si="0"/>
        <v>3</v>
      </c>
      <c r="G34" s="32"/>
      <c r="H34" s="24"/>
      <c r="I34" s="24"/>
      <c r="J34" s="24"/>
      <c r="K34" s="17">
        <f t="shared" si="1"/>
        <v>0</v>
      </c>
      <c r="L34" s="7">
        <f t="shared" si="2"/>
        <v>3</v>
      </c>
    </row>
    <row r="35" spans="1:12" ht="15.75" thickBot="1" x14ac:dyDescent="0.3">
      <c r="A35" s="8">
        <v>26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46"/>
      <c r="C36" s="24"/>
      <c r="D36" s="24"/>
      <c r="E36" s="25"/>
      <c r="F36" s="19">
        <f t="shared" si="0"/>
        <v>0</v>
      </c>
      <c r="G36" s="47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3">
        <v>11</v>
      </c>
      <c r="C38" s="24"/>
      <c r="D38" s="24"/>
      <c r="E38" s="25"/>
      <c r="F38" s="19">
        <f t="shared" si="0"/>
        <v>11</v>
      </c>
      <c r="G38" s="32">
        <v>2</v>
      </c>
      <c r="H38" s="24"/>
      <c r="I38" s="24"/>
      <c r="J38" s="24"/>
      <c r="K38" s="17">
        <f t="shared" si="1"/>
        <v>2</v>
      </c>
      <c r="L38" s="7">
        <f t="shared" si="2"/>
        <v>13</v>
      </c>
    </row>
    <row r="39" spans="1:12" ht="15.75" thickBot="1" x14ac:dyDescent="0.3">
      <c r="A39" s="8">
        <v>30</v>
      </c>
      <c r="B39" s="23"/>
      <c r="C39" s="24"/>
      <c r="D39" s="24"/>
      <c r="E39" s="25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 x14ac:dyDescent="0.3">
      <c r="A41" s="10"/>
      <c r="B41" s="54">
        <f>SUM(B10:B40)</f>
        <v>27</v>
      </c>
      <c r="C41" s="54">
        <f t="shared" ref="C41:E41" si="3">SUM(C10:C40)</f>
        <v>0</v>
      </c>
      <c r="D41" s="54">
        <f t="shared" si="3"/>
        <v>3</v>
      </c>
      <c r="E41" s="54">
        <f t="shared" si="3"/>
        <v>0</v>
      </c>
      <c r="F41" s="53">
        <f>SUM(F10:F40)</f>
        <v>30</v>
      </c>
      <c r="G41" s="18">
        <f>SUM(G10:G40)</f>
        <v>9</v>
      </c>
      <c r="H41" s="18">
        <f t="shared" ref="H41:L41" si="4">SUM(H10:H40)</f>
        <v>0</v>
      </c>
      <c r="I41" s="18">
        <f t="shared" si="4"/>
        <v>1</v>
      </c>
      <c r="J41" s="18">
        <f t="shared" si="4"/>
        <v>0</v>
      </c>
      <c r="K41" s="18">
        <f t="shared" si="4"/>
        <v>10</v>
      </c>
      <c r="L41" s="18">
        <f t="shared" si="4"/>
        <v>40</v>
      </c>
    </row>
    <row r="42" spans="1:12" ht="15.75" thickBot="1" x14ac:dyDescent="0.3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 x14ac:dyDescent="0.3">
      <c r="A43" s="109"/>
      <c r="B43" s="109"/>
      <c r="C43" s="109"/>
      <c r="D43" s="109"/>
      <c r="E43" s="109"/>
      <c r="F43" s="109"/>
      <c r="G43" s="110" t="s">
        <v>17</v>
      </c>
      <c r="H43" s="139"/>
      <c r="I43" s="110" t="s">
        <v>18</v>
      </c>
      <c r="J43" s="112"/>
      <c r="K43" s="55"/>
      <c r="L43" s="56"/>
    </row>
    <row r="44" spans="1:12" ht="15.75" thickBot="1" x14ac:dyDescent="0.3">
      <c r="A44" s="15"/>
      <c r="B44" s="113" t="s">
        <v>19</v>
      </c>
      <c r="C44" s="114"/>
      <c r="D44" s="114"/>
      <c r="E44" s="114"/>
      <c r="F44" s="114"/>
      <c r="G44" s="115">
        <v>64</v>
      </c>
      <c r="H44" s="155"/>
      <c r="I44" s="156"/>
      <c r="J44" s="157"/>
      <c r="K44" s="55"/>
      <c r="L44" s="56"/>
    </row>
    <row r="45" spans="1:12" ht="15.75" thickBot="1" x14ac:dyDescent="0.3">
      <c r="A45" s="15"/>
      <c r="B45" s="113" t="s">
        <v>20</v>
      </c>
      <c r="C45" s="114"/>
      <c r="D45" s="114"/>
      <c r="E45" s="114"/>
      <c r="F45" s="114"/>
      <c r="G45" s="119">
        <v>235</v>
      </c>
      <c r="H45" s="152"/>
      <c r="I45" s="119"/>
      <c r="J45" s="120"/>
      <c r="K45" s="55"/>
      <c r="L45" s="56"/>
    </row>
    <row r="46" spans="1:12" ht="15.75" thickBot="1" x14ac:dyDescent="0.3">
      <c r="A46" s="15"/>
      <c r="B46" s="121" t="s">
        <v>21</v>
      </c>
      <c r="C46" s="121"/>
      <c r="D46" s="121"/>
      <c r="E46" s="121"/>
      <c r="F46" s="113"/>
      <c r="G46" s="122">
        <v>2</v>
      </c>
      <c r="H46" s="154"/>
      <c r="I46" s="119"/>
      <c r="J46" s="120"/>
      <c r="K46" s="55"/>
      <c r="L46" s="56"/>
    </row>
    <row r="47" spans="1:12" ht="15.75" thickBot="1" x14ac:dyDescent="0.3">
      <c r="A47" s="15"/>
      <c r="B47" s="113" t="s">
        <v>22</v>
      </c>
      <c r="C47" s="114"/>
      <c r="D47" s="114"/>
      <c r="E47" s="114"/>
      <c r="F47" s="114"/>
      <c r="G47" s="125">
        <f>L41+G46</f>
        <v>42</v>
      </c>
      <c r="H47" s="152"/>
      <c r="I47" s="119"/>
      <c r="J47" s="120"/>
      <c r="K47" s="55"/>
      <c r="L47" s="56"/>
    </row>
    <row r="48" spans="1:12" ht="15.75" thickBot="1" x14ac:dyDescent="0.3">
      <c r="A48" s="4"/>
      <c r="B48" s="113" t="s">
        <v>23</v>
      </c>
      <c r="C48" s="114"/>
      <c r="D48" s="114"/>
      <c r="E48" s="114"/>
      <c r="F48" s="114"/>
      <c r="G48" s="125">
        <f>G44+G45-G47</f>
        <v>257</v>
      </c>
      <c r="H48" s="152"/>
      <c r="I48" s="119"/>
      <c r="J48" s="120"/>
      <c r="K48" s="55"/>
      <c r="L48" s="57"/>
    </row>
    <row r="49" spans="1:12" ht="15.75" thickBot="1" x14ac:dyDescent="0.3">
      <c r="A49" s="4"/>
      <c r="B49" s="113" t="s">
        <v>24</v>
      </c>
      <c r="C49" s="114"/>
      <c r="D49" s="114"/>
      <c r="E49" s="114"/>
      <c r="F49" s="114"/>
      <c r="G49" s="119">
        <v>257</v>
      </c>
      <c r="H49" s="152"/>
      <c r="I49" s="119"/>
      <c r="J49" s="120"/>
      <c r="K49" s="55"/>
      <c r="L49" s="57"/>
    </row>
    <row r="50" spans="1:12" ht="15.75" thickBot="1" x14ac:dyDescent="0.3">
      <c r="A50" s="4"/>
      <c r="B50" s="113" t="s">
        <v>25</v>
      </c>
      <c r="C50" s="114"/>
      <c r="D50" s="114"/>
      <c r="E50" s="114"/>
      <c r="F50" s="114"/>
      <c r="G50" s="126">
        <f>G48-G49</f>
        <v>0</v>
      </c>
      <c r="H50" s="153"/>
      <c r="I50" s="128"/>
      <c r="J50" s="127"/>
      <c r="K50" s="55"/>
      <c r="L50" s="57"/>
    </row>
    <row r="51" spans="1:12" x14ac:dyDescent="0.25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</sheetData>
  <sheetProtection sheet="1" objects="1" scenarios="1"/>
  <mergeCells count="36">
    <mergeCell ref="A5:L5"/>
    <mergeCell ref="A1:D1"/>
    <mergeCell ref="G1:L1"/>
    <mergeCell ref="A2:D2"/>
    <mergeCell ref="G2:L2"/>
    <mergeCell ref="A3:D3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.35433070866141736" bottom="0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A37" workbookViewId="0">
      <selection activeCell="B54" sqref="B54"/>
    </sheetView>
  </sheetViews>
  <sheetFormatPr baseColWidth="10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6" t="s">
        <v>0</v>
      </c>
      <c r="B1" s="96"/>
      <c r="C1" s="96"/>
      <c r="D1" s="96"/>
      <c r="E1" s="37"/>
      <c r="F1" s="38"/>
      <c r="G1" s="97" t="s">
        <v>1</v>
      </c>
      <c r="H1" s="97"/>
      <c r="I1" s="97"/>
      <c r="J1" s="97"/>
      <c r="K1" s="97"/>
      <c r="L1" s="97"/>
    </row>
    <row r="2" spans="1:12" ht="15.75" x14ac:dyDescent="0.25">
      <c r="A2" s="97" t="s">
        <v>2</v>
      </c>
      <c r="B2" s="97"/>
      <c r="C2" s="97"/>
      <c r="D2" s="97"/>
      <c r="E2" s="37"/>
      <c r="F2" s="38"/>
      <c r="G2" s="98" t="s">
        <v>3</v>
      </c>
      <c r="H2" s="98"/>
      <c r="I2" s="98"/>
      <c r="J2" s="98"/>
      <c r="K2" s="98"/>
      <c r="L2" s="98"/>
    </row>
    <row r="3" spans="1:12" x14ac:dyDescent="0.25">
      <c r="A3" s="98" t="s">
        <v>4</v>
      </c>
      <c r="B3" s="98"/>
      <c r="C3" s="98"/>
      <c r="D3" s="98"/>
      <c r="E3" s="37"/>
      <c r="F3" s="38"/>
      <c r="G3" s="38"/>
      <c r="H3" s="37"/>
      <c r="I3" s="37"/>
      <c r="J3" s="37"/>
      <c r="K3" s="38"/>
      <c r="L3" s="1"/>
    </row>
    <row r="4" spans="1:12" x14ac:dyDescent="0.25">
      <c r="A4" s="58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 x14ac:dyDescent="0.25">
      <c r="A5" s="96" t="s">
        <v>5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x14ac:dyDescent="0.25">
      <c r="A6" s="97" t="s">
        <v>35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.75" thickBot="1" x14ac:dyDescent="0.3">
      <c r="A7" s="2" t="s">
        <v>6</v>
      </c>
      <c r="B7" s="12"/>
      <c r="C7" s="13"/>
      <c r="D7" s="13"/>
      <c r="E7" s="13"/>
      <c r="F7" s="12"/>
      <c r="G7" s="12"/>
      <c r="H7" s="100"/>
      <c r="I7" s="100"/>
      <c r="J7" s="13"/>
      <c r="K7" s="39"/>
      <c r="L7" s="3"/>
    </row>
    <row r="8" spans="1:12" x14ac:dyDescent="0.25">
      <c r="A8" s="101" t="s">
        <v>7</v>
      </c>
      <c r="B8" s="103" t="s">
        <v>8</v>
      </c>
      <c r="C8" s="104"/>
      <c r="D8" s="104"/>
      <c r="E8" s="104"/>
      <c r="F8" s="105"/>
      <c r="G8" s="106" t="s">
        <v>9</v>
      </c>
      <c r="H8" s="104"/>
      <c r="I8" s="104"/>
      <c r="J8" s="104"/>
      <c r="K8" s="105"/>
      <c r="L8" s="107" t="s">
        <v>10</v>
      </c>
    </row>
    <row r="9" spans="1:12" ht="15.75" thickBot="1" x14ac:dyDescent="0.3">
      <c r="A9" s="102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08"/>
    </row>
    <row r="10" spans="1:12" ht="15.75" thickBot="1" x14ac:dyDescent="0.3">
      <c r="A10" s="6">
        <v>1</v>
      </c>
      <c r="B10" s="20">
        <v>3</v>
      </c>
      <c r="C10" s="21"/>
      <c r="D10" s="21"/>
      <c r="E10" s="22"/>
      <c r="F10" s="19">
        <f>SUM(B10:E10)</f>
        <v>3</v>
      </c>
      <c r="G10" s="48">
        <v>2</v>
      </c>
      <c r="H10" s="31"/>
      <c r="I10" s="31"/>
      <c r="J10" s="31"/>
      <c r="K10" s="17">
        <f>SUM(G10:J10)</f>
        <v>2</v>
      </c>
      <c r="L10" s="7">
        <f>SUM(F10+K10)</f>
        <v>5</v>
      </c>
    </row>
    <row r="11" spans="1:12" ht="15.75" thickBot="1" x14ac:dyDescent="0.3">
      <c r="A11" s="8">
        <v>2</v>
      </c>
      <c r="B11" s="23">
        <v>1</v>
      </c>
      <c r="C11" s="24"/>
      <c r="D11" s="24"/>
      <c r="E11" s="25"/>
      <c r="F11" s="19">
        <f t="shared" ref="F11:F40" si="0">SUM(B11:E11)</f>
        <v>1</v>
      </c>
      <c r="G11" s="32">
        <v>1</v>
      </c>
      <c r="H11" s="24"/>
      <c r="I11" s="24"/>
      <c r="J11" s="24"/>
      <c r="K11" s="17">
        <f t="shared" ref="K11:K40" si="1">SUM(G11:J11)</f>
        <v>1</v>
      </c>
      <c r="L11" s="7">
        <f t="shared" ref="L11:L40" si="2">SUM(F11+K11)</f>
        <v>2</v>
      </c>
    </row>
    <row r="12" spans="1:12" ht="15.75" thickBot="1" x14ac:dyDescent="0.3">
      <c r="A12" s="8">
        <v>3</v>
      </c>
      <c r="B12" s="23"/>
      <c r="C12" s="24"/>
      <c r="D12" s="24"/>
      <c r="E12" s="26"/>
      <c r="F12" s="19">
        <f t="shared" si="0"/>
        <v>0</v>
      </c>
      <c r="G12" s="32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3"/>
      <c r="C13" s="24"/>
      <c r="D13" s="24"/>
      <c r="E13" s="25"/>
      <c r="F13" s="19">
        <f t="shared" si="0"/>
        <v>0</v>
      </c>
      <c r="G13" s="33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3"/>
      <c r="C16" s="24"/>
      <c r="D16" s="24"/>
      <c r="E16" s="25"/>
      <c r="F16" s="19">
        <f t="shared" si="0"/>
        <v>0</v>
      </c>
      <c r="G16" s="32">
        <v>2</v>
      </c>
      <c r="H16" s="24"/>
      <c r="I16" s="24"/>
      <c r="J16" s="24"/>
      <c r="K16" s="17">
        <f t="shared" si="1"/>
        <v>2</v>
      </c>
      <c r="L16" s="7">
        <f t="shared" si="2"/>
        <v>2</v>
      </c>
    </row>
    <row r="17" spans="1:12" ht="15.75" thickBot="1" x14ac:dyDescent="0.3">
      <c r="A17" s="8">
        <v>8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3"/>
      <c r="C18" s="24"/>
      <c r="D18" s="24">
        <v>1</v>
      </c>
      <c r="E18" s="25"/>
      <c r="F18" s="19">
        <f t="shared" si="0"/>
        <v>1</v>
      </c>
      <c r="G18" s="32">
        <v>3</v>
      </c>
      <c r="H18" s="24"/>
      <c r="I18" s="24"/>
      <c r="J18" s="24"/>
      <c r="K18" s="17">
        <f t="shared" si="1"/>
        <v>3</v>
      </c>
      <c r="L18" s="7">
        <f t="shared" si="2"/>
        <v>4</v>
      </c>
    </row>
    <row r="19" spans="1:12" ht="15.75" thickBot="1" x14ac:dyDescent="0.3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3">
        <v>2</v>
      </c>
      <c r="C20" s="24"/>
      <c r="D20" s="24"/>
      <c r="E20" s="25"/>
      <c r="F20" s="19">
        <f t="shared" si="0"/>
        <v>2</v>
      </c>
      <c r="G20" s="32"/>
      <c r="H20" s="24"/>
      <c r="I20" s="24"/>
      <c r="J20" s="24"/>
      <c r="K20" s="17">
        <f t="shared" si="1"/>
        <v>0</v>
      </c>
      <c r="L20" s="7">
        <f t="shared" si="2"/>
        <v>2</v>
      </c>
    </row>
    <row r="21" spans="1:12" ht="15.75" thickBot="1" x14ac:dyDescent="0.3">
      <c r="A21" s="8">
        <v>12</v>
      </c>
      <c r="B21" s="23"/>
      <c r="C21" s="24"/>
      <c r="D21" s="24"/>
      <c r="E21" s="25"/>
      <c r="F21" s="19">
        <f t="shared" si="0"/>
        <v>0</v>
      </c>
      <c r="G21" s="32"/>
      <c r="H21" s="35"/>
      <c r="I21" s="35"/>
      <c r="J21" s="35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3">
        <v>8</v>
      </c>
      <c r="C23" s="24"/>
      <c r="D23" s="24"/>
      <c r="E23" s="25"/>
      <c r="F23" s="19">
        <f t="shared" si="0"/>
        <v>8</v>
      </c>
      <c r="G23" s="36">
        <v>2</v>
      </c>
      <c r="H23" s="24"/>
      <c r="I23" s="24"/>
      <c r="J23" s="24"/>
      <c r="K23" s="17">
        <f t="shared" si="1"/>
        <v>2</v>
      </c>
      <c r="L23" s="7">
        <f t="shared" si="2"/>
        <v>10</v>
      </c>
    </row>
    <row r="24" spans="1:12" ht="15.75" thickBot="1" x14ac:dyDescent="0.3">
      <c r="A24" s="8">
        <v>15</v>
      </c>
      <c r="B24" s="23">
        <v>1</v>
      </c>
      <c r="C24" s="24"/>
      <c r="D24" s="24">
        <v>1</v>
      </c>
      <c r="E24" s="25"/>
      <c r="F24" s="19">
        <f t="shared" si="0"/>
        <v>2</v>
      </c>
      <c r="G24" s="32"/>
      <c r="H24" s="24"/>
      <c r="I24" s="24"/>
      <c r="J24" s="24"/>
      <c r="K24" s="17">
        <f t="shared" si="1"/>
        <v>0</v>
      </c>
      <c r="L24" s="7">
        <f t="shared" si="2"/>
        <v>2</v>
      </c>
    </row>
    <row r="25" spans="1:12" ht="15.75" thickBot="1" x14ac:dyDescent="0.3">
      <c r="A25" s="8">
        <v>16</v>
      </c>
      <c r="B25" s="23"/>
      <c r="C25" s="24">
        <v>1</v>
      </c>
      <c r="D25" s="24"/>
      <c r="E25" s="25"/>
      <c r="F25" s="19">
        <f t="shared" si="0"/>
        <v>1</v>
      </c>
      <c r="G25" s="32"/>
      <c r="H25" s="24"/>
      <c r="I25" s="24"/>
      <c r="J25" s="24"/>
      <c r="K25" s="17">
        <f t="shared" si="1"/>
        <v>0</v>
      </c>
      <c r="L25" s="7">
        <f t="shared" si="2"/>
        <v>1</v>
      </c>
    </row>
    <row r="26" spans="1:12" ht="15.75" thickBot="1" x14ac:dyDescent="0.3">
      <c r="A26" s="8">
        <v>17</v>
      </c>
      <c r="B26" s="23"/>
      <c r="C26" s="49"/>
      <c r="D26" s="27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3">
        <v>1</v>
      </c>
      <c r="C28" s="24"/>
      <c r="D28" s="24"/>
      <c r="E28" s="25"/>
      <c r="F28" s="19">
        <f t="shared" si="0"/>
        <v>1</v>
      </c>
      <c r="G28" s="32"/>
      <c r="H28" s="24"/>
      <c r="I28" s="24"/>
      <c r="J28" s="24"/>
      <c r="K28" s="17">
        <f t="shared" si="1"/>
        <v>0</v>
      </c>
      <c r="L28" s="7">
        <f t="shared" si="2"/>
        <v>1</v>
      </c>
    </row>
    <row r="29" spans="1:12" ht="15.75" thickBot="1" x14ac:dyDescent="0.3">
      <c r="A29" s="8">
        <v>20</v>
      </c>
      <c r="B29" s="23">
        <v>1</v>
      </c>
      <c r="C29" s="24"/>
      <c r="D29" s="24"/>
      <c r="E29" s="25"/>
      <c r="F29" s="19">
        <f t="shared" si="0"/>
        <v>1</v>
      </c>
      <c r="G29" s="32"/>
      <c r="H29" s="24"/>
      <c r="I29" s="24"/>
      <c r="J29" s="24"/>
      <c r="K29" s="17">
        <f t="shared" si="1"/>
        <v>0</v>
      </c>
      <c r="L29" s="7">
        <f t="shared" si="2"/>
        <v>1</v>
      </c>
    </row>
    <row r="30" spans="1:12" ht="15.75" thickBot="1" x14ac:dyDescent="0.3">
      <c r="A30" s="8">
        <v>21</v>
      </c>
      <c r="B30" s="23">
        <v>1</v>
      </c>
      <c r="C30" s="24"/>
      <c r="D30" s="24"/>
      <c r="E30" s="25"/>
      <c r="F30" s="19">
        <f t="shared" si="0"/>
        <v>1</v>
      </c>
      <c r="G30" s="32">
        <v>1</v>
      </c>
      <c r="H30" s="24"/>
      <c r="I30" s="24"/>
      <c r="J30" s="24"/>
      <c r="K30" s="17">
        <f t="shared" si="1"/>
        <v>1</v>
      </c>
      <c r="L30" s="7">
        <f t="shared" si="2"/>
        <v>2</v>
      </c>
    </row>
    <row r="31" spans="1:12" ht="15.75" thickBot="1" x14ac:dyDescent="0.3">
      <c r="A31" s="8">
        <v>22</v>
      </c>
      <c r="B31" s="23">
        <v>1</v>
      </c>
      <c r="C31" s="24"/>
      <c r="D31" s="24"/>
      <c r="E31" s="62">
        <v>1</v>
      </c>
      <c r="F31" s="19">
        <f t="shared" si="0"/>
        <v>2</v>
      </c>
      <c r="G31" s="32">
        <v>3</v>
      </c>
      <c r="H31" s="24"/>
      <c r="I31" s="24"/>
      <c r="J31" s="24"/>
      <c r="K31" s="17">
        <f t="shared" si="1"/>
        <v>3</v>
      </c>
      <c r="L31" s="7">
        <f t="shared" si="2"/>
        <v>5</v>
      </c>
    </row>
    <row r="32" spans="1:12" ht="15.75" thickBot="1" x14ac:dyDescent="0.3">
      <c r="A32" s="8">
        <v>23</v>
      </c>
      <c r="B32" s="23"/>
      <c r="C32" s="24"/>
      <c r="D32" s="24"/>
      <c r="E32" s="25"/>
      <c r="F32" s="19">
        <f t="shared" si="0"/>
        <v>0</v>
      </c>
      <c r="G32" s="32">
        <v>15</v>
      </c>
      <c r="H32" s="24"/>
      <c r="I32" s="24">
        <v>1</v>
      </c>
      <c r="J32" s="24"/>
      <c r="K32" s="17">
        <f t="shared" si="1"/>
        <v>16</v>
      </c>
      <c r="L32" s="7">
        <f t="shared" si="2"/>
        <v>16</v>
      </c>
    </row>
    <row r="33" spans="1:12" ht="15.75" thickBot="1" x14ac:dyDescent="0.3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3"/>
      <c r="C34" s="24"/>
      <c r="D34" s="24"/>
      <c r="E34" s="25"/>
      <c r="F34" s="19">
        <f t="shared" si="0"/>
        <v>0</v>
      </c>
      <c r="G34" s="32">
        <v>9</v>
      </c>
      <c r="H34" s="24"/>
      <c r="I34" s="24"/>
      <c r="J34" s="24"/>
      <c r="K34" s="17">
        <f t="shared" si="1"/>
        <v>9</v>
      </c>
      <c r="L34" s="7">
        <f t="shared" si="2"/>
        <v>9</v>
      </c>
    </row>
    <row r="35" spans="1:12" ht="15.75" thickBot="1" x14ac:dyDescent="0.3">
      <c r="A35" s="8">
        <v>26</v>
      </c>
      <c r="B35" s="23">
        <v>1</v>
      </c>
      <c r="C35" s="24"/>
      <c r="D35" s="24"/>
      <c r="E35" s="25"/>
      <c r="F35" s="19">
        <f t="shared" si="0"/>
        <v>1</v>
      </c>
      <c r="G35" s="32"/>
      <c r="H35" s="24"/>
      <c r="I35" s="24">
        <v>1</v>
      </c>
      <c r="J35" s="24"/>
      <c r="K35" s="17">
        <f t="shared" si="1"/>
        <v>1</v>
      </c>
      <c r="L35" s="7">
        <f t="shared" si="2"/>
        <v>2</v>
      </c>
    </row>
    <row r="36" spans="1:12" ht="15.75" thickBot="1" x14ac:dyDescent="0.3">
      <c r="A36" s="8">
        <v>27</v>
      </c>
      <c r="B36" s="46"/>
      <c r="C36" s="24"/>
      <c r="D36" s="24"/>
      <c r="E36" s="25"/>
      <c r="F36" s="19">
        <f t="shared" si="0"/>
        <v>0</v>
      </c>
      <c r="G36" s="47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3"/>
      <c r="C37" s="24">
        <v>2</v>
      </c>
      <c r="D37" s="24">
        <v>1</v>
      </c>
      <c r="E37" s="25"/>
      <c r="F37" s="19">
        <f t="shared" si="0"/>
        <v>3</v>
      </c>
      <c r="G37" s="32"/>
      <c r="H37" s="24"/>
      <c r="I37" s="24"/>
      <c r="J37" s="24"/>
      <c r="K37" s="17">
        <f t="shared" si="1"/>
        <v>0</v>
      </c>
      <c r="L37" s="7">
        <f t="shared" si="2"/>
        <v>3</v>
      </c>
    </row>
    <row r="38" spans="1:12" ht="15.75" thickBot="1" x14ac:dyDescent="0.3">
      <c r="A38" s="8">
        <v>29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3"/>
      <c r="C39" s="24"/>
      <c r="D39" s="24"/>
      <c r="E39" s="25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 x14ac:dyDescent="0.3">
      <c r="A41" s="61"/>
      <c r="B41" s="60">
        <f>SUM(B10:B40)</f>
        <v>20</v>
      </c>
      <c r="C41" s="60">
        <f t="shared" ref="C41:E41" si="3">SUM(C10:C40)</f>
        <v>3</v>
      </c>
      <c r="D41" s="60">
        <f t="shared" si="3"/>
        <v>3</v>
      </c>
      <c r="E41" s="60">
        <f t="shared" si="3"/>
        <v>1</v>
      </c>
      <c r="F41" s="59">
        <f>SUM(F10:F40)</f>
        <v>27</v>
      </c>
      <c r="G41" s="18">
        <f>SUM(G10:G40)</f>
        <v>38</v>
      </c>
      <c r="H41" s="18">
        <f t="shared" ref="H41:L41" si="4">SUM(H10:H40)</f>
        <v>0</v>
      </c>
      <c r="I41" s="18">
        <f t="shared" si="4"/>
        <v>2</v>
      </c>
      <c r="J41" s="18">
        <f t="shared" si="4"/>
        <v>0</v>
      </c>
      <c r="K41" s="18">
        <f t="shared" si="4"/>
        <v>40</v>
      </c>
      <c r="L41" s="18">
        <f t="shared" si="4"/>
        <v>67</v>
      </c>
    </row>
    <row r="42" spans="1:12" ht="15.75" thickBot="1" x14ac:dyDescent="0.3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 x14ac:dyDescent="0.3">
      <c r="A43" s="109"/>
      <c r="B43" s="109"/>
      <c r="C43" s="109"/>
      <c r="D43" s="109"/>
      <c r="E43" s="109"/>
      <c r="F43" s="109"/>
      <c r="G43" s="110" t="s">
        <v>17</v>
      </c>
      <c r="H43" s="139"/>
      <c r="I43" s="110" t="s">
        <v>18</v>
      </c>
      <c r="J43" s="112"/>
      <c r="K43" s="55"/>
      <c r="L43" s="56"/>
    </row>
    <row r="44" spans="1:12" ht="15.75" thickBot="1" x14ac:dyDescent="0.3">
      <c r="A44" s="15"/>
      <c r="B44" s="113" t="s">
        <v>19</v>
      </c>
      <c r="C44" s="114"/>
      <c r="D44" s="114"/>
      <c r="E44" s="114"/>
      <c r="F44" s="114"/>
      <c r="G44" s="115">
        <v>257</v>
      </c>
      <c r="H44" s="155"/>
      <c r="I44" s="156"/>
      <c r="J44" s="157"/>
      <c r="K44" s="55"/>
      <c r="L44" s="56"/>
    </row>
    <row r="45" spans="1:12" ht="15.75" thickBot="1" x14ac:dyDescent="0.3">
      <c r="A45" s="15"/>
      <c r="B45" s="113" t="s">
        <v>20</v>
      </c>
      <c r="C45" s="114"/>
      <c r="D45" s="114"/>
      <c r="E45" s="114"/>
      <c r="F45" s="114"/>
      <c r="G45" s="119">
        <v>204</v>
      </c>
      <c r="H45" s="152"/>
      <c r="I45" s="119"/>
      <c r="J45" s="120"/>
      <c r="K45" s="55"/>
      <c r="L45" s="56"/>
    </row>
    <row r="46" spans="1:12" ht="15.75" thickBot="1" x14ac:dyDescent="0.3">
      <c r="A46" s="15"/>
      <c r="B46" s="121" t="s">
        <v>21</v>
      </c>
      <c r="C46" s="121"/>
      <c r="D46" s="121"/>
      <c r="E46" s="121"/>
      <c r="F46" s="113"/>
      <c r="G46" s="122">
        <v>263</v>
      </c>
      <c r="H46" s="154"/>
      <c r="I46" s="119"/>
      <c r="J46" s="120"/>
      <c r="K46" s="55"/>
      <c r="L46" s="56"/>
    </row>
    <row r="47" spans="1:12" ht="15.75" thickBot="1" x14ac:dyDescent="0.3">
      <c r="A47" s="15"/>
      <c r="B47" s="113" t="s">
        <v>22</v>
      </c>
      <c r="C47" s="114"/>
      <c r="D47" s="114"/>
      <c r="E47" s="114"/>
      <c r="F47" s="114"/>
      <c r="G47" s="125">
        <f>L41+G46</f>
        <v>330</v>
      </c>
      <c r="H47" s="152"/>
      <c r="I47" s="119"/>
      <c r="J47" s="120"/>
      <c r="K47" s="55"/>
      <c r="L47" s="56"/>
    </row>
    <row r="48" spans="1:12" ht="15.75" thickBot="1" x14ac:dyDescent="0.3">
      <c r="A48" s="4"/>
      <c r="B48" s="113" t="s">
        <v>23</v>
      </c>
      <c r="C48" s="114"/>
      <c r="D48" s="114"/>
      <c r="E48" s="114"/>
      <c r="F48" s="114"/>
      <c r="G48" s="125">
        <f>G44+G45-G47</f>
        <v>131</v>
      </c>
      <c r="H48" s="152"/>
      <c r="I48" s="119"/>
      <c r="J48" s="120"/>
      <c r="K48" s="55"/>
      <c r="L48" s="57"/>
    </row>
    <row r="49" spans="1:12" ht="15.75" thickBot="1" x14ac:dyDescent="0.3">
      <c r="A49" s="4"/>
      <c r="B49" s="113" t="s">
        <v>24</v>
      </c>
      <c r="C49" s="114"/>
      <c r="D49" s="114"/>
      <c r="E49" s="114"/>
      <c r="F49" s="114"/>
      <c r="G49" s="158">
        <v>101</v>
      </c>
      <c r="H49" s="152"/>
      <c r="I49" s="119"/>
      <c r="J49" s="120"/>
      <c r="K49" s="55"/>
      <c r="L49" s="57"/>
    </row>
    <row r="50" spans="1:12" ht="15.75" thickBot="1" x14ac:dyDescent="0.3">
      <c r="A50" s="4"/>
      <c r="B50" s="113" t="s">
        <v>25</v>
      </c>
      <c r="C50" s="114"/>
      <c r="D50" s="114"/>
      <c r="E50" s="114"/>
      <c r="F50" s="114"/>
      <c r="G50" s="126">
        <f>G48-G49</f>
        <v>30</v>
      </c>
      <c r="H50" s="153"/>
      <c r="I50" s="128"/>
      <c r="J50" s="127"/>
      <c r="K50" s="55"/>
      <c r="L50" s="57"/>
    </row>
    <row r="51" spans="1:12" x14ac:dyDescent="0.25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  <row r="53" spans="1:12" x14ac:dyDescent="0.25">
      <c r="B53" t="s">
        <v>34</v>
      </c>
    </row>
    <row r="54" spans="1:12" x14ac:dyDescent="0.25">
      <c r="B54" t="s">
        <v>36</v>
      </c>
    </row>
  </sheetData>
  <mergeCells count="36">
    <mergeCell ref="A5:L5"/>
    <mergeCell ref="A1:D1"/>
    <mergeCell ref="G1:L1"/>
    <mergeCell ref="A2:D2"/>
    <mergeCell ref="G2:L2"/>
    <mergeCell ref="A3:D3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  <pageSetup orientation="portrait" horizontalDpi="120" verticalDpi="7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A34" workbookViewId="0">
      <selection activeCell="H59" sqref="H59"/>
    </sheetView>
  </sheetViews>
  <sheetFormatPr baseColWidth="10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6" t="s">
        <v>0</v>
      </c>
      <c r="B1" s="96"/>
      <c r="C1" s="96"/>
      <c r="D1" s="96"/>
      <c r="E1" s="37"/>
      <c r="F1" s="38"/>
      <c r="G1" s="97" t="s">
        <v>1</v>
      </c>
      <c r="H1" s="97"/>
      <c r="I1" s="97"/>
      <c r="J1" s="97"/>
      <c r="K1" s="97"/>
      <c r="L1" s="97"/>
    </row>
    <row r="2" spans="1:12" ht="15.75" x14ac:dyDescent="0.25">
      <c r="A2" s="97" t="s">
        <v>2</v>
      </c>
      <c r="B2" s="97"/>
      <c r="C2" s="97"/>
      <c r="D2" s="97"/>
      <c r="E2" s="37"/>
      <c r="F2" s="38"/>
      <c r="G2" s="98" t="s">
        <v>3</v>
      </c>
      <c r="H2" s="98"/>
      <c r="I2" s="98"/>
      <c r="J2" s="98"/>
      <c r="K2" s="98"/>
      <c r="L2" s="98"/>
    </row>
    <row r="3" spans="1:12" x14ac:dyDescent="0.25">
      <c r="A3" s="98" t="s">
        <v>4</v>
      </c>
      <c r="B3" s="98"/>
      <c r="C3" s="98"/>
      <c r="D3" s="98"/>
      <c r="E3" s="37"/>
      <c r="F3" s="38"/>
      <c r="G3" s="38"/>
      <c r="H3" s="37"/>
      <c r="I3" s="37"/>
      <c r="J3" s="37"/>
      <c r="K3" s="38"/>
      <c r="L3" s="1"/>
    </row>
    <row r="4" spans="1:12" x14ac:dyDescent="0.25">
      <c r="A4" s="63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 x14ac:dyDescent="0.25">
      <c r="A5" s="96" t="s">
        <v>5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x14ac:dyDescent="0.25">
      <c r="A6" s="97" t="s">
        <v>37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.75" thickBot="1" x14ac:dyDescent="0.3">
      <c r="A7" s="2" t="s">
        <v>6</v>
      </c>
      <c r="B7" s="12"/>
      <c r="C7" s="13"/>
      <c r="D7" s="13"/>
      <c r="E7" s="13"/>
      <c r="F7" s="12"/>
      <c r="G7" s="12"/>
      <c r="H7" s="100"/>
      <c r="I7" s="100"/>
      <c r="J7" s="13"/>
      <c r="K7" s="39"/>
      <c r="L7" s="3"/>
    </row>
    <row r="8" spans="1:12" x14ac:dyDescent="0.25">
      <c r="A8" s="101" t="s">
        <v>7</v>
      </c>
      <c r="B8" s="103" t="s">
        <v>8</v>
      </c>
      <c r="C8" s="104"/>
      <c r="D8" s="104"/>
      <c r="E8" s="104"/>
      <c r="F8" s="105"/>
      <c r="G8" s="106" t="s">
        <v>9</v>
      </c>
      <c r="H8" s="104"/>
      <c r="I8" s="104"/>
      <c r="J8" s="104"/>
      <c r="K8" s="105"/>
      <c r="L8" s="107" t="s">
        <v>10</v>
      </c>
    </row>
    <row r="9" spans="1:12" ht="15.75" thickBot="1" x14ac:dyDescent="0.3">
      <c r="A9" s="102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08"/>
    </row>
    <row r="10" spans="1:12" ht="15.75" thickBot="1" x14ac:dyDescent="0.3">
      <c r="A10" s="6">
        <v>1</v>
      </c>
      <c r="B10" s="20"/>
      <c r="C10" s="21"/>
      <c r="D10" s="21"/>
      <c r="E10" s="22"/>
      <c r="F10" s="19">
        <f>SUM(B10:E10)</f>
        <v>0</v>
      </c>
      <c r="G10" s="48"/>
      <c r="H10" s="31"/>
      <c r="I10" s="31"/>
      <c r="J10" s="31"/>
      <c r="K10" s="17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3"/>
      <c r="C11" s="24"/>
      <c r="D11" s="24"/>
      <c r="E11" s="25"/>
      <c r="F11" s="19">
        <f t="shared" ref="F11:F40" si="0">SUM(B11:E11)</f>
        <v>0</v>
      </c>
      <c r="G11" s="32"/>
      <c r="H11" s="24"/>
      <c r="I11" s="24"/>
      <c r="J11" s="24"/>
      <c r="K11" s="17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3">
        <v>4</v>
      </c>
      <c r="C12" s="24"/>
      <c r="D12" s="27">
        <v>1</v>
      </c>
      <c r="E12" s="62"/>
      <c r="F12" s="19">
        <f t="shared" si="0"/>
        <v>5</v>
      </c>
      <c r="G12" s="32"/>
      <c r="H12" s="24"/>
      <c r="I12" s="24"/>
      <c r="J12" s="24"/>
      <c r="K12" s="17">
        <f t="shared" si="1"/>
        <v>0</v>
      </c>
      <c r="L12" s="7">
        <f t="shared" si="2"/>
        <v>5</v>
      </c>
    </row>
    <row r="13" spans="1:12" ht="15.75" thickBot="1" x14ac:dyDescent="0.3">
      <c r="A13" s="8">
        <v>4</v>
      </c>
      <c r="B13" s="23"/>
      <c r="C13" s="24"/>
      <c r="D13" s="27">
        <v>1</v>
      </c>
      <c r="E13" s="62">
        <v>1</v>
      </c>
      <c r="F13" s="19">
        <f t="shared" si="0"/>
        <v>2</v>
      </c>
      <c r="G13" s="33"/>
      <c r="H13" s="24"/>
      <c r="I13" s="24"/>
      <c r="J13" s="24"/>
      <c r="K13" s="17">
        <f t="shared" si="1"/>
        <v>0</v>
      </c>
      <c r="L13" s="7">
        <f t="shared" si="2"/>
        <v>2</v>
      </c>
    </row>
    <row r="14" spans="1:12" ht="15.75" thickBot="1" x14ac:dyDescent="0.3">
      <c r="A14" s="8">
        <v>5</v>
      </c>
      <c r="B14" s="23">
        <v>1</v>
      </c>
      <c r="C14" s="24"/>
      <c r="D14" s="24"/>
      <c r="E14" s="25"/>
      <c r="F14" s="19">
        <f t="shared" si="0"/>
        <v>1</v>
      </c>
      <c r="G14" s="32"/>
      <c r="H14" s="24"/>
      <c r="I14" s="24"/>
      <c r="J14" s="24"/>
      <c r="K14" s="17">
        <f t="shared" si="1"/>
        <v>0</v>
      </c>
      <c r="L14" s="7">
        <f t="shared" si="2"/>
        <v>1</v>
      </c>
    </row>
    <row r="15" spans="1:12" ht="15.75" thickBot="1" x14ac:dyDescent="0.3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3"/>
      <c r="C18" s="24"/>
      <c r="D18" s="24"/>
      <c r="E18" s="25"/>
      <c r="F18" s="19">
        <f t="shared" si="0"/>
        <v>0</v>
      </c>
      <c r="G18" s="32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3"/>
      <c r="C20" s="24"/>
      <c r="D20" s="24"/>
      <c r="E20" s="25"/>
      <c r="F20" s="19">
        <f t="shared" si="0"/>
        <v>0</v>
      </c>
      <c r="G20" s="32"/>
      <c r="H20" s="24"/>
      <c r="I20" s="24"/>
      <c r="J20" s="24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3"/>
      <c r="C21" s="24"/>
      <c r="D21" s="24"/>
      <c r="E21" s="25"/>
      <c r="F21" s="19">
        <f t="shared" si="0"/>
        <v>0</v>
      </c>
      <c r="G21" s="32"/>
      <c r="H21" s="35"/>
      <c r="I21" s="35"/>
      <c r="J21" s="35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3"/>
      <c r="C22" s="24"/>
      <c r="D22" s="24"/>
      <c r="E22" s="25"/>
      <c r="F22" s="19">
        <f t="shared" si="0"/>
        <v>0</v>
      </c>
      <c r="G22" s="36">
        <v>2</v>
      </c>
      <c r="H22" s="24"/>
      <c r="I22" s="24"/>
      <c r="J22" s="24"/>
      <c r="K22" s="17">
        <f t="shared" si="1"/>
        <v>2</v>
      </c>
      <c r="L22" s="7">
        <f t="shared" si="2"/>
        <v>2</v>
      </c>
    </row>
    <row r="23" spans="1:12" ht="15.75" thickBot="1" x14ac:dyDescent="0.3">
      <c r="A23" s="8">
        <v>14</v>
      </c>
      <c r="B23" s="23"/>
      <c r="C23" s="24"/>
      <c r="D23" s="24"/>
      <c r="E23" s="25"/>
      <c r="F23" s="19">
        <f t="shared" si="0"/>
        <v>0</v>
      </c>
      <c r="G23" s="36">
        <v>1</v>
      </c>
      <c r="H23" s="24"/>
      <c r="I23" s="24"/>
      <c r="J23" s="24"/>
      <c r="K23" s="17">
        <f t="shared" si="1"/>
        <v>1</v>
      </c>
      <c r="L23" s="7">
        <f t="shared" si="2"/>
        <v>1</v>
      </c>
    </row>
    <row r="24" spans="1:12" ht="15.75" thickBot="1" x14ac:dyDescent="0.3">
      <c r="A24" s="8">
        <v>15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3"/>
      <c r="C25" s="24"/>
      <c r="D25" s="24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3">
        <v>2</v>
      </c>
      <c r="C26" s="49"/>
      <c r="D26" s="27"/>
      <c r="E26" s="62">
        <v>1</v>
      </c>
      <c r="F26" s="19">
        <f t="shared" si="0"/>
        <v>3</v>
      </c>
      <c r="G26" s="32"/>
      <c r="H26" s="24"/>
      <c r="I26" s="24"/>
      <c r="J26" s="24"/>
      <c r="K26" s="17">
        <f t="shared" si="1"/>
        <v>0</v>
      </c>
      <c r="L26" s="7">
        <f t="shared" si="2"/>
        <v>3</v>
      </c>
    </row>
    <row r="27" spans="1:12" ht="15.75" thickBot="1" x14ac:dyDescent="0.3">
      <c r="A27" s="8">
        <v>18</v>
      </c>
      <c r="B27" s="23"/>
      <c r="C27" s="24">
        <v>1</v>
      </c>
      <c r="D27" s="24"/>
      <c r="E27" s="25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5.75" thickBot="1" x14ac:dyDescent="0.3">
      <c r="A28" s="8">
        <v>19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3">
        <v>1</v>
      </c>
      <c r="C30" s="24"/>
      <c r="D30" s="24"/>
      <c r="E30" s="25"/>
      <c r="F30" s="19">
        <f t="shared" si="0"/>
        <v>1</v>
      </c>
      <c r="G30" s="32"/>
      <c r="H30" s="24"/>
      <c r="I30" s="24"/>
      <c r="J30" s="24"/>
      <c r="K30" s="17">
        <f t="shared" si="1"/>
        <v>0</v>
      </c>
      <c r="L30" s="7">
        <f t="shared" si="2"/>
        <v>1</v>
      </c>
    </row>
    <row r="31" spans="1:12" ht="15.75" thickBot="1" x14ac:dyDescent="0.3">
      <c r="A31" s="8">
        <v>22</v>
      </c>
      <c r="B31" s="23"/>
      <c r="C31" s="24"/>
      <c r="D31" s="24"/>
      <c r="E31" s="62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3"/>
      <c r="C34" s="24"/>
      <c r="D34" s="27">
        <v>3</v>
      </c>
      <c r="E34" s="25"/>
      <c r="F34" s="19">
        <f t="shared" si="0"/>
        <v>3</v>
      </c>
      <c r="G34" s="32">
        <v>2</v>
      </c>
      <c r="H34" s="24"/>
      <c r="I34" s="24"/>
      <c r="J34" s="24"/>
      <c r="K34" s="17">
        <f t="shared" si="1"/>
        <v>2</v>
      </c>
      <c r="L34" s="7">
        <f t="shared" si="2"/>
        <v>5</v>
      </c>
    </row>
    <row r="35" spans="1:12" ht="15.75" thickBot="1" x14ac:dyDescent="0.3">
      <c r="A35" s="8">
        <v>26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71">
        <v>3</v>
      </c>
      <c r="C36" s="24"/>
      <c r="D36" s="24"/>
      <c r="E36" s="25"/>
      <c r="F36" s="19">
        <f t="shared" si="0"/>
        <v>3</v>
      </c>
      <c r="G36" s="47"/>
      <c r="H36" s="24"/>
      <c r="I36" s="24"/>
      <c r="J36" s="24"/>
      <c r="K36" s="17">
        <f t="shared" si="1"/>
        <v>0</v>
      </c>
      <c r="L36" s="7">
        <f t="shared" si="2"/>
        <v>3</v>
      </c>
    </row>
    <row r="37" spans="1:12" ht="15.75" thickBot="1" x14ac:dyDescent="0.3">
      <c r="A37" s="8">
        <v>28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3"/>
      <c r="C38" s="24"/>
      <c r="D38" s="24"/>
      <c r="E38" s="25"/>
      <c r="F38" s="19">
        <f t="shared" si="0"/>
        <v>0</v>
      </c>
      <c r="G38" s="32">
        <v>1</v>
      </c>
      <c r="H38" s="24"/>
      <c r="I38" s="24"/>
      <c r="J38" s="24"/>
      <c r="K38" s="17">
        <f t="shared" si="1"/>
        <v>1</v>
      </c>
      <c r="L38" s="7">
        <f t="shared" si="2"/>
        <v>1</v>
      </c>
    </row>
    <row r="39" spans="1:12" ht="15.75" thickBot="1" x14ac:dyDescent="0.3">
      <c r="A39" s="8">
        <v>30</v>
      </c>
      <c r="B39" s="23"/>
      <c r="C39" s="24"/>
      <c r="D39" s="24"/>
      <c r="E39" s="25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8">
        <v>2</v>
      </c>
      <c r="C40" s="29"/>
      <c r="D40" s="29"/>
      <c r="E40" s="30"/>
      <c r="F40" s="19">
        <f t="shared" si="0"/>
        <v>2</v>
      </c>
      <c r="G40" s="32"/>
      <c r="H40" s="24"/>
      <c r="I40" s="24"/>
      <c r="J40" s="24"/>
      <c r="K40" s="17">
        <f t="shared" si="1"/>
        <v>0</v>
      </c>
      <c r="L40" s="7">
        <f t="shared" si="2"/>
        <v>2</v>
      </c>
    </row>
    <row r="41" spans="1:12" ht="15.75" thickBot="1" x14ac:dyDescent="0.3">
      <c r="A41" s="66"/>
      <c r="B41" s="65">
        <f>SUM(B10:B40)</f>
        <v>13</v>
      </c>
      <c r="C41" s="65">
        <f t="shared" ref="C41:E41" si="3">SUM(C10:C40)</f>
        <v>1</v>
      </c>
      <c r="D41" s="65">
        <f t="shared" si="3"/>
        <v>5</v>
      </c>
      <c r="E41" s="65">
        <f t="shared" si="3"/>
        <v>2</v>
      </c>
      <c r="F41" s="64">
        <f>SUM(F10:F40)</f>
        <v>21</v>
      </c>
      <c r="G41" s="18">
        <f>SUM(G10:G40)</f>
        <v>6</v>
      </c>
      <c r="H41" s="18">
        <f t="shared" ref="H41:L41" si="4">SUM(H10:H40)</f>
        <v>0</v>
      </c>
      <c r="I41" s="18">
        <f t="shared" si="4"/>
        <v>0</v>
      </c>
      <c r="J41" s="18">
        <f t="shared" si="4"/>
        <v>0</v>
      </c>
      <c r="K41" s="18">
        <f t="shared" si="4"/>
        <v>6</v>
      </c>
      <c r="L41" s="18">
        <f t="shared" si="4"/>
        <v>27</v>
      </c>
    </row>
    <row r="42" spans="1:12" ht="15.75" thickBot="1" x14ac:dyDescent="0.3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 x14ac:dyDescent="0.3">
      <c r="A43" s="109"/>
      <c r="B43" s="109"/>
      <c r="C43" s="109"/>
      <c r="D43" s="109"/>
      <c r="E43" s="109"/>
      <c r="F43" s="109"/>
      <c r="G43" s="110" t="s">
        <v>17</v>
      </c>
      <c r="H43" s="139"/>
      <c r="I43" s="110" t="s">
        <v>18</v>
      </c>
      <c r="J43" s="112"/>
      <c r="K43" s="55"/>
      <c r="L43" s="56"/>
    </row>
    <row r="44" spans="1:12" ht="15.75" thickBot="1" x14ac:dyDescent="0.3">
      <c r="A44" s="15"/>
      <c r="B44" s="113" t="s">
        <v>19</v>
      </c>
      <c r="C44" s="114"/>
      <c r="D44" s="114"/>
      <c r="E44" s="114"/>
      <c r="F44" s="114"/>
      <c r="G44" s="115">
        <v>101</v>
      </c>
      <c r="H44" s="155"/>
      <c r="I44" s="156"/>
      <c r="J44" s="157"/>
      <c r="K44" s="55"/>
      <c r="L44" s="56"/>
    </row>
    <row r="45" spans="1:12" ht="15.75" thickBot="1" x14ac:dyDescent="0.3">
      <c r="A45" s="15"/>
      <c r="B45" s="113" t="s">
        <v>20</v>
      </c>
      <c r="C45" s="114"/>
      <c r="D45" s="114"/>
      <c r="E45" s="114"/>
      <c r="F45" s="114"/>
      <c r="G45" s="119">
        <v>201</v>
      </c>
      <c r="H45" s="152"/>
      <c r="I45" s="119"/>
      <c r="J45" s="120"/>
      <c r="K45" s="55"/>
      <c r="L45" s="56"/>
    </row>
    <row r="46" spans="1:12" ht="15.75" thickBot="1" x14ac:dyDescent="0.3">
      <c r="A46" s="15"/>
      <c r="B46" s="121" t="s">
        <v>21</v>
      </c>
      <c r="C46" s="121"/>
      <c r="D46" s="121"/>
      <c r="E46" s="121"/>
      <c r="F46" s="113"/>
      <c r="G46" s="122">
        <v>32</v>
      </c>
      <c r="H46" s="154"/>
      <c r="I46" s="119"/>
      <c r="J46" s="120"/>
      <c r="K46" s="55"/>
      <c r="L46" s="56"/>
    </row>
    <row r="47" spans="1:12" ht="15.75" thickBot="1" x14ac:dyDescent="0.3">
      <c r="A47" s="15"/>
      <c r="B47" s="113" t="s">
        <v>22</v>
      </c>
      <c r="C47" s="114"/>
      <c r="D47" s="114"/>
      <c r="E47" s="114"/>
      <c r="F47" s="114"/>
      <c r="G47" s="125">
        <f>L41+G46</f>
        <v>59</v>
      </c>
      <c r="H47" s="152"/>
      <c r="I47" s="119"/>
      <c r="J47" s="120"/>
      <c r="K47" s="55"/>
      <c r="L47" s="56"/>
    </row>
    <row r="48" spans="1:12" ht="15.75" thickBot="1" x14ac:dyDescent="0.3">
      <c r="A48" s="4"/>
      <c r="B48" s="113" t="s">
        <v>23</v>
      </c>
      <c r="C48" s="114"/>
      <c r="D48" s="114"/>
      <c r="E48" s="114"/>
      <c r="F48" s="114"/>
      <c r="G48" s="125">
        <f>G44+G45-G47</f>
        <v>243</v>
      </c>
      <c r="H48" s="152"/>
      <c r="I48" s="119"/>
      <c r="J48" s="120"/>
      <c r="K48" s="55"/>
      <c r="L48" s="57"/>
    </row>
    <row r="49" spans="1:12" ht="15.75" thickBot="1" x14ac:dyDescent="0.3">
      <c r="A49" s="4"/>
      <c r="B49" s="113" t="s">
        <v>24</v>
      </c>
      <c r="C49" s="114"/>
      <c r="D49" s="114"/>
      <c r="E49" s="114"/>
      <c r="F49" s="114"/>
      <c r="G49" s="158">
        <v>223</v>
      </c>
      <c r="H49" s="152"/>
      <c r="I49" s="119"/>
      <c r="J49" s="120"/>
      <c r="K49" s="55"/>
      <c r="L49" s="57"/>
    </row>
    <row r="50" spans="1:12" ht="15.75" thickBot="1" x14ac:dyDescent="0.3">
      <c r="A50" s="4"/>
      <c r="B50" s="113" t="s">
        <v>25</v>
      </c>
      <c r="C50" s="114"/>
      <c r="D50" s="114"/>
      <c r="E50" s="114"/>
      <c r="F50" s="114"/>
      <c r="G50" s="126">
        <f>G48-G49</f>
        <v>20</v>
      </c>
      <c r="H50" s="153"/>
      <c r="I50" s="128"/>
      <c r="J50" s="127"/>
      <c r="K50" s="55"/>
      <c r="L50" s="57"/>
    </row>
    <row r="51" spans="1:12" x14ac:dyDescent="0.25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  <row r="53" spans="1:12" x14ac:dyDescent="0.25">
      <c r="B53" t="s">
        <v>38</v>
      </c>
    </row>
    <row r="54" spans="1:12" x14ac:dyDescent="0.25">
      <c r="B54" t="s">
        <v>32</v>
      </c>
    </row>
  </sheetData>
  <mergeCells count="36">
    <mergeCell ref="A5:L5"/>
    <mergeCell ref="A1:D1"/>
    <mergeCell ref="G1:L1"/>
    <mergeCell ref="A2:D2"/>
    <mergeCell ref="G2:L2"/>
    <mergeCell ref="A3:D3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  <pageSetup orientation="portrait" horizontalDpi="120" verticalDpi="7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opLeftCell="A40" workbookViewId="0">
      <selection activeCell="B56" sqref="B56"/>
    </sheetView>
  </sheetViews>
  <sheetFormatPr baseColWidth="10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6" t="s">
        <v>0</v>
      </c>
      <c r="B1" s="96"/>
      <c r="C1" s="96"/>
      <c r="D1" s="96"/>
      <c r="E1" s="37"/>
      <c r="F1" s="38"/>
      <c r="G1" s="97" t="s">
        <v>1</v>
      </c>
      <c r="H1" s="97"/>
      <c r="I1" s="97"/>
      <c r="J1" s="97"/>
      <c r="K1" s="97"/>
      <c r="L1" s="97"/>
    </row>
    <row r="2" spans="1:12" ht="15.75" x14ac:dyDescent="0.25">
      <c r="A2" s="97" t="s">
        <v>2</v>
      </c>
      <c r="B2" s="97"/>
      <c r="C2" s="97"/>
      <c r="D2" s="97"/>
      <c r="E2" s="37"/>
      <c r="F2" s="38"/>
      <c r="G2" s="98" t="s">
        <v>3</v>
      </c>
      <c r="H2" s="98"/>
      <c r="I2" s="98"/>
      <c r="J2" s="98"/>
      <c r="K2" s="98"/>
      <c r="L2" s="98"/>
    </row>
    <row r="3" spans="1:12" x14ac:dyDescent="0.25">
      <c r="A3" s="98" t="s">
        <v>4</v>
      </c>
      <c r="B3" s="98"/>
      <c r="C3" s="98"/>
      <c r="D3" s="98"/>
      <c r="E3" s="37"/>
      <c r="F3" s="38"/>
      <c r="G3" s="38"/>
      <c r="H3" s="37"/>
      <c r="I3" s="37"/>
      <c r="J3" s="37"/>
      <c r="K3" s="38"/>
      <c r="L3" s="1"/>
    </row>
    <row r="4" spans="1:12" x14ac:dyDescent="0.25">
      <c r="A4" s="67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 x14ac:dyDescent="0.25">
      <c r="A5" s="96" t="s">
        <v>5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x14ac:dyDescent="0.25">
      <c r="A6" s="97" t="s">
        <v>40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.75" thickBot="1" x14ac:dyDescent="0.3">
      <c r="A7" s="2" t="s">
        <v>6</v>
      </c>
      <c r="B7" s="12"/>
      <c r="C7" s="13"/>
      <c r="D7" s="13"/>
      <c r="E7" s="13"/>
      <c r="F7" s="12"/>
      <c r="G7" s="12"/>
      <c r="H7" s="100"/>
      <c r="I7" s="100"/>
      <c r="J7" s="13"/>
      <c r="K7" s="39"/>
      <c r="L7" s="3"/>
    </row>
    <row r="8" spans="1:12" x14ac:dyDescent="0.25">
      <c r="A8" s="101" t="s">
        <v>7</v>
      </c>
      <c r="B8" s="103" t="s">
        <v>8</v>
      </c>
      <c r="C8" s="104"/>
      <c r="D8" s="104"/>
      <c r="E8" s="104"/>
      <c r="F8" s="105"/>
      <c r="G8" s="106" t="s">
        <v>9</v>
      </c>
      <c r="H8" s="104"/>
      <c r="I8" s="104"/>
      <c r="J8" s="104"/>
      <c r="K8" s="105"/>
      <c r="L8" s="107" t="s">
        <v>10</v>
      </c>
    </row>
    <row r="9" spans="1:12" ht="15.75" thickBot="1" x14ac:dyDescent="0.3">
      <c r="A9" s="102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08"/>
    </row>
    <row r="10" spans="1:12" ht="15.75" thickBot="1" x14ac:dyDescent="0.3">
      <c r="A10" s="6">
        <v>1</v>
      </c>
      <c r="B10" s="20"/>
      <c r="C10" s="21"/>
      <c r="D10" s="21"/>
      <c r="E10" s="22"/>
      <c r="F10" s="19">
        <f>SUM(B10:E10)</f>
        <v>0</v>
      </c>
      <c r="G10" s="48"/>
      <c r="H10" s="31"/>
      <c r="I10" s="31"/>
      <c r="J10" s="31"/>
      <c r="K10" s="17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3">
        <v>18</v>
      </c>
      <c r="C11" s="24"/>
      <c r="D11" s="24"/>
      <c r="E11" s="25"/>
      <c r="F11" s="19">
        <f t="shared" ref="F11:F40" si="0">SUM(B11:E11)</f>
        <v>18</v>
      </c>
      <c r="G11" s="32">
        <v>1</v>
      </c>
      <c r="H11" s="24"/>
      <c r="I11" s="24"/>
      <c r="J11" s="24"/>
      <c r="K11" s="17">
        <f t="shared" ref="K11:K40" si="1">SUM(G11:J11)</f>
        <v>1</v>
      </c>
      <c r="L11" s="7">
        <f t="shared" ref="L11:L40" si="2">SUM(F11+K11)</f>
        <v>19</v>
      </c>
    </row>
    <row r="12" spans="1:12" ht="15.75" thickBot="1" x14ac:dyDescent="0.3">
      <c r="A12" s="8">
        <v>3</v>
      </c>
      <c r="B12" s="23">
        <v>5</v>
      </c>
      <c r="C12" s="24"/>
      <c r="D12" s="24"/>
      <c r="E12" s="26"/>
      <c r="F12" s="19">
        <f t="shared" si="0"/>
        <v>5</v>
      </c>
      <c r="G12" s="32"/>
      <c r="H12" s="24"/>
      <c r="I12" s="24"/>
      <c r="J12" s="24"/>
      <c r="K12" s="17">
        <f t="shared" si="1"/>
        <v>0</v>
      </c>
      <c r="L12" s="7">
        <f t="shared" si="2"/>
        <v>5</v>
      </c>
    </row>
    <row r="13" spans="1:12" ht="15.75" thickBot="1" x14ac:dyDescent="0.3">
      <c r="A13" s="8">
        <v>4</v>
      </c>
      <c r="B13" s="23"/>
      <c r="C13" s="24"/>
      <c r="D13" s="24"/>
      <c r="E13" s="25"/>
      <c r="F13" s="19">
        <f t="shared" si="0"/>
        <v>0</v>
      </c>
      <c r="G13" s="33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3">
        <v>3</v>
      </c>
      <c r="C18" s="24"/>
      <c r="D18" s="24"/>
      <c r="E18" s="25"/>
      <c r="F18" s="19">
        <f t="shared" si="0"/>
        <v>3</v>
      </c>
      <c r="G18" s="32"/>
      <c r="H18" s="24"/>
      <c r="I18" s="24"/>
      <c r="J18" s="24"/>
      <c r="K18" s="17">
        <f t="shared" si="1"/>
        <v>0</v>
      </c>
      <c r="L18" s="7">
        <f t="shared" si="2"/>
        <v>3</v>
      </c>
    </row>
    <row r="19" spans="1:12" ht="15.75" thickBot="1" x14ac:dyDescent="0.3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3"/>
      <c r="C20" s="24"/>
      <c r="D20" s="24"/>
      <c r="E20" s="25"/>
      <c r="F20" s="19">
        <f t="shared" si="0"/>
        <v>0</v>
      </c>
      <c r="G20" s="32">
        <v>2</v>
      </c>
      <c r="H20" s="24">
        <v>1</v>
      </c>
      <c r="I20" s="24"/>
      <c r="J20" s="24"/>
      <c r="K20" s="17">
        <f t="shared" si="1"/>
        <v>3</v>
      </c>
      <c r="L20" s="7">
        <f t="shared" si="2"/>
        <v>3</v>
      </c>
    </row>
    <row r="21" spans="1:12" ht="15.75" thickBot="1" x14ac:dyDescent="0.3">
      <c r="A21" s="8">
        <v>12</v>
      </c>
      <c r="B21" s="23"/>
      <c r="C21" s="24"/>
      <c r="D21" s="24"/>
      <c r="E21" s="25"/>
      <c r="F21" s="19">
        <f t="shared" si="0"/>
        <v>0</v>
      </c>
      <c r="G21" s="32"/>
      <c r="H21" s="35"/>
      <c r="I21" s="35"/>
      <c r="J21" s="35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3"/>
      <c r="C23" s="24"/>
      <c r="D23" s="24"/>
      <c r="E23" s="25"/>
      <c r="F23" s="19">
        <f t="shared" si="0"/>
        <v>0</v>
      </c>
      <c r="G23" s="36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15</v>
      </c>
      <c r="B24" s="23"/>
      <c r="C24" s="24"/>
      <c r="D24" s="24"/>
      <c r="E24" s="25"/>
      <c r="F24" s="19">
        <f t="shared" si="0"/>
        <v>0</v>
      </c>
      <c r="G24" s="32">
        <v>1</v>
      </c>
      <c r="H24" s="24"/>
      <c r="I24" s="24"/>
      <c r="J24" s="24"/>
      <c r="K24" s="17">
        <f t="shared" si="1"/>
        <v>1</v>
      </c>
      <c r="L24" s="7">
        <f t="shared" si="2"/>
        <v>1</v>
      </c>
    </row>
    <row r="25" spans="1:12" ht="15.75" thickBot="1" x14ac:dyDescent="0.3">
      <c r="A25" s="8">
        <v>16</v>
      </c>
      <c r="B25" s="23"/>
      <c r="C25" s="24"/>
      <c r="D25" s="24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3"/>
      <c r="C26" s="49"/>
      <c r="D26" s="27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3">
        <v>1</v>
      </c>
      <c r="C27" s="24"/>
      <c r="D27" s="24"/>
      <c r="E27" s="25"/>
      <c r="F27" s="19">
        <f t="shared" si="0"/>
        <v>1</v>
      </c>
      <c r="G27" s="32">
        <v>9</v>
      </c>
      <c r="H27" s="24"/>
      <c r="I27" s="24"/>
      <c r="J27" s="24"/>
      <c r="K27" s="17">
        <f t="shared" si="1"/>
        <v>9</v>
      </c>
      <c r="L27" s="7">
        <f t="shared" si="2"/>
        <v>10</v>
      </c>
    </row>
    <row r="28" spans="1:12" ht="15.75" thickBot="1" x14ac:dyDescent="0.3">
      <c r="A28" s="8">
        <v>19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3"/>
      <c r="C30" s="24"/>
      <c r="D30" s="24"/>
      <c r="E30" s="25"/>
      <c r="F30" s="19">
        <f t="shared" si="0"/>
        <v>0</v>
      </c>
      <c r="G30" s="32">
        <v>5</v>
      </c>
      <c r="H30" s="24"/>
      <c r="I30" s="24"/>
      <c r="J30" s="24"/>
      <c r="K30" s="17">
        <f t="shared" si="1"/>
        <v>5</v>
      </c>
      <c r="L30" s="7">
        <f t="shared" si="2"/>
        <v>5</v>
      </c>
    </row>
    <row r="31" spans="1:12" ht="15.75" thickBot="1" x14ac:dyDescent="0.3">
      <c r="A31" s="8">
        <v>22</v>
      </c>
      <c r="B31" s="23">
        <v>2</v>
      </c>
      <c r="C31" s="24"/>
      <c r="D31" s="24"/>
      <c r="E31" s="62"/>
      <c r="F31" s="19">
        <f t="shared" si="0"/>
        <v>2</v>
      </c>
      <c r="G31" s="32">
        <v>2</v>
      </c>
      <c r="H31" s="24"/>
      <c r="I31" s="24"/>
      <c r="J31" s="24"/>
      <c r="K31" s="17">
        <f t="shared" si="1"/>
        <v>2</v>
      </c>
      <c r="L31" s="7">
        <f t="shared" si="2"/>
        <v>4</v>
      </c>
    </row>
    <row r="32" spans="1:12" ht="15.75" thickBot="1" x14ac:dyDescent="0.3">
      <c r="A32" s="8">
        <v>23</v>
      </c>
      <c r="B32" s="23">
        <v>1</v>
      </c>
      <c r="C32" s="24"/>
      <c r="D32" s="24"/>
      <c r="E32" s="25"/>
      <c r="F32" s="19">
        <f t="shared" si="0"/>
        <v>1</v>
      </c>
      <c r="G32" s="32">
        <v>2</v>
      </c>
      <c r="H32" s="24"/>
      <c r="I32" s="24"/>
      <c r="J32" s="24"/>
      <c r="K32" s="17">
        <f t="shared" si="1"/>
        <v>2</v>
      </c>
      <c r="L32" s="7">
        <f t="shared" si="2"/>
        <v>3</v>
      </c>
    </row>
    <row r="33" spans="1:12" ht="15.75" thickBot="1" x14ac:dyDescent="0.3">
      <c r="A33" s="8">
        <v>24</v>
      </c>
      <c r="B33" s="23">
        <v>2</v>
      </c>
      <c r="C33" s="24"/>
      <c r="D33" s="24"/>
      <c r="E33" s="25"/>
      <c r="F33" s="19">
        <f t="shared" si="0"/>
        <v>2</v>
      </c>
      <c r="G33" s="32">
        <v>2</v>
      </c>
      <c r="H33" s="24"/>
      <c r="I33" s="24"/>
      <c r="J33" s="24"/>
      <c r="K33" s="17">
        <f t="shared" si="1"/>
        <v>2</v>
      </c>
      <c r="L33" s="7">
        <f t="shared" si="2"/>
        <v>4</v>
      </c>
    </row>
    <row r="34" spans="1:12" ht="15.75" thickBot="1" x14ac:dyDescent="0.3">
      <c r="A34" s="8">
        <v>25</v>
      </c>
      <c r="B34" s="23">
        <v>2</v>
      </c>
      <c r="C34" s="24"/>
      <c r="D34" s="24"/>
      <c r="E34" s="25"/>
      <c r="F34" s="19">
        <f t="shared" si="0"/>
        <v>2</v>
      </c>
      <c r="G34" s="32">
        <v>7</v>
      </c>
      <c r="H34" s="24"/>
      <c r="I34" s="24"/>
      <c r="J34" s="24"/>
      <c r="K34" s="17">
        <f t="shared" si="1"/>
        <v>7</v>
      </c>
      <c r="L34" s="7">
        <f t="shared" si="2"/>
        <v>9</v>
      </c>
    </row>
    <row r="35" spans="1:12" ht="15.75" thickBot="1" x14ac:dyDescent="0.3">
      <c r="A35" s="8">
        <v>26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71"/>
      <c r="C36" s="24"/>
      <c r="D36" s="24"/>
      <c r="E36" s="25"/>
      <c r="F36" s="19">
        <f t="shared" si="0"/>
        <v>0</v>
      </c>
      <c r="G36" s="47">
        <v>10</v>
      </c>
      <c r="H36" s="24"/>
      <c r="I36" s="24"/>
      <c r="J36" s="24"/>
      <c r="K36" s="17">
        <f t="shared" si="1"/>
        <v>10</v>
      </c>
      <c r="L36" s="7">
        <f t="shared" si="2"/>
        <v>10</v>
      </c>
    </row>
    <row r="37" spans="1:12" ht="15.75" thickBot="1" x14ac:dyDescent="0.3">
      <c r="A37" s="8">
        <v>28</v>
      </c>
      <c r="B37" s="23">
        <v>2</v>
      </c>
      <c r="C37" s="24"/>
      <c r="D37" s="24"/>
      <c r="E37" s="25"/>
      <c r="F37" s="19">
        <f t="shared" si="0"/>
        <v>2</v>
      </c>
      <c r="G37" s="32">
        <v>10</v>
      </c>
      <c r="H37" s="24"/>
      <c r="I37" s="24"/>
      <c r="J37" s="24"/>
      <c r="K37" s="17">
        <f t="shared" si="1"/>
        <v>10</v>
      </c>
      <c r="L37" s="7">
        <f t="shared" si="2"/>
        <v>12</v>
      </c>
    </row>
    <row r="38" spans="1:12" ht="15.75" thickBot="1" x14ac:dyDescent="0.3">
      <c r="A38" s="8">
        <v>29</v>
      </c>
      <c r="B38" s="23">
        <v>1</v>
      </c>
      <c r="C38" s="24"/>
      <c r="D38" s="24"/>
      <c r="E38" s="25"/>
      <c r="F38" s="19">
        <f t="shared" si="0"/>
        <v>1</v>
      </c>
      <c r="G38" s="32">
        <v>9</v>
      </c>
      <c r="H38" s="24">
        <v>1</v>
      </c>
      <c r="I38" s="24"/>
      <c r="J38" s="24"/>
      <c r="K38" s="17">
        <f t="shared" si="1"/>
        <v>10</v>
      </c>
      <c r="L38" s="7">
        <f t="shared" si="2"/>
        <v>11</v>
      </c>
    </row>
    <row r="39" spans="1:12" ht="15.75" thickBot="1" x14ac:dyDescent="0.3">
      <c r="A39" s="8">
        <v>30</v>
      </c>
      <c r="B39" s="23"/>
      <c r="C39" s="24"/>
      <c r="D39" s="24">
        <v>1</v>
      </c>
      <c r="E39" s="25"/>
      <c r="F39" s="19">
        <f t="shared" si="0"/>
        <v>1</v>
      </c>
      <c r="G39" s="32"/>
      <c r="H39" s="24"/>
      <c r="I39" s="24"/>
      <c r="J39" s="24"/>
      <c r="K39" s="17">
        <f t="shared" si="1"/>
        <v>0</v>
      </c>
      <c r="L39" s="7">
        <f t="shared" si="2"/>
        <v>1</v>
      </c>
    </row>
    <row r="40" spans="1:12" ht="15.75" thickBot="1" x14ac:dyDescent="0.3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 x14ac:dyDescent="0.3">
      <c r="A41" s="70"/>
      <c r="B41" s="69">
        <f>SUM(B10:B40)</f>
        <v>37</v>
      </c>
      <c r="C41" s="69">
        <f t="shared" ref="C41:E41" si="3">SUM(C10:C40)</f>
        <v>0</v>
      </c>
      <c r="D41" s="69">
        <f t="shared" si="3"/>
        <v>1</v>
      </c>
      <c r="E41" s="69">
        <f t="shared" si="3"/>
        <v>0</v>
      </c>
      <c r="F41" s="68">
        <f>SUM(F10:F40)</f>
        <v>38</v>
      </c>
      <c r="G41" s="18">
        <f>SUM(G10:G40)</f>
        <v>60</v>
      </c>
      <c r="H41" s="18">
        <f t="shared" ref="H41:L41" si="4">SUM(H10:H40)</f>
        <v>2</v>
      </c>
      <c r="I41" s="18">
        <f t="shared" si="4"/>
        <v>0</v>
      </c>
      <c r="J41" s="18">
        <f t="shared" si="4"/>
        <v>0</v>
      </c>
      <c r="K41" s="18">
        <f t="shared" si="4"/>
        <v>62</v>
      </c>
      <c r="L41" s="18">
        <f t="shared" si="4"/>
        <v>100</v>
      </c>
    </row>
    <row r="42" spans="1:12" ht="15.75" thickBot="1" x14ac:dyDescent="0.3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 x14ac:dyDescent="0.3">
      <c r="A43" s="109"/>
      <c r="B43" s="109"/>
      <c r="C43" s="109"/>
      <c r="D43" s="109"/>
      <c r="E43" s="109"/>
      <c r="F43" s="109"/>
      <c r="G43" s="110" t="s">
        <v>17</v>
      </c>
      <c r="H43" s="139"/>
      <c r="I43" s="110" t="s">
        <v>18</v>
      </c>
      <c r="J43" s="112"/>
      <c r="K43" s="55"/>
      <c r="L43" s="56"/>
    </row>
    <row r="44" spans="1:12" ht="15.75" thickBot="1" x14ac:dyDescent="0.3">
      <c r="A44" s="15"/>
      <c r="B44" s="113" t="s">
        <v>19</v>
      </c>
      <c r="C44" s="114"/>
      <c r="D44" s="114"/>
      <c r="E44" s="114"/>
      <c r="F44" s="114"/>
      <c r="G44" s="115">
        <v>223</v>
      </c>
      <c r="H44" s="155"/>
      <c r="I44" s="156"/>
      <c r="J44" s="157"/>
      <c r="K44" s="55"/>
      <c r="L44" s="56"/>
    </row>
    <row r="45" spans="1:12" ht="15.75" thickBot="1" x14ac:dyDescent="0.3">
      <c r="A45" s="15"/>
      <c r="B45" s="113" t="s">
        <v>20</v>
      </c>
      <c r="C45" s="114"/>
      <c r="D45" s="114"/>
      <c r="E45" s="114"/>
      <c r="F45" s="114"/>
      <c r="G45" s="119">
        <v>0</v>
      </c>
      <c r="H45" s="152"/>
      <c r="I45" s="119"/>
      <c r="J45" s="120"/>
      <c r="K45" s="55"/>
      <c r="L45" s="56"/>
    </row>
    <row r="46" spans="1:12" ht="15.75" thickBot="1" x14ac:dyDescent="0.3">
      <c r="A46" s="15"/>
      <c r="B46" s="121" t="s">
        <v>21</v>
      </c>
      <c r="C46" s="121"/>
      <c r="D46" s="121"/>
      <c r="E46" s="121"/>
      <c r="F46" s="113"/>
      <c r="G46" s="122">
        <v>21</v>
      </c>
      <c r="H46" s="154"/>
      <c r="I46" s="119"/>
      <c r="J46" s="120"/>
      <c r="K46" s="55"/>
      <c r="L46" s="56"/>
    </row>
    <row r="47" spans="1:12" ht="15.75" thickBot="1" x14ac:dyDescent="0.3">
      <c r="A47" s="15"/>
      <c r="B47" s="113" t="s">
        <v>22</v>
      </c>
      <c r="C47" s="114"/>
      <c r="D47" s="114"/>
      <c r="E47" s="114"/>
      <c r="F47" s="114"/>
      <c r="G47" s="125">
        <f>L41+G46</f>
        <v>121</v>
      </c>
      <c r="H47" s="152"/>
      <c r="I47" s="119"/>
      <c r="J47" s="120"/>
      <c r="K47" s="55"/>
      <c r="L47" s="56"/>
    </row>
    <row r="48" spans="1:12" ht="15.75" thickBot="1" x14ac:dyDescent="0.3">
      <c r="A48" s="4"/>
      <c r="B48" s="113" t="s">
        <v>23</v>
      </c>
      <c r="C48" s="114"/>
      <c r="D48" s="114"/>
      <c r="E48" s="114"/>
      <c r="F48" s="114"/>
      <c r="G48" s="125">
        <f>G44+G45-G47</f>
        <v>102</v>
      </c>
      <c r="H48" s="152"/>
      <c r="I48" s="119"/>
      <c r="J48" s="120"/>
      <c r="K48" s="55"/>
      <c r="L48" s="57"/>
    </row>
    <row r="49" spans="1:12" ht="15.75" thickBot="1" x14ac:dyDescent="0.3">
      <c r="A49" s="4"/>
      <c r="B49" s="113" t="s">
        <v>24</v>
      </c>
      <c r="C49" s="114"/>
      <c r="D49" s="114"/>
      <c r="E49" s="114"/>
      <c r="F49" s="114"/>
      <c r="G49" s="158">
        <v>52</v>
      </c>
      <c r="H49" s="152"/>
      <c r="I49" s="119"/>
      <c r="J49" s="120"/>
      <c r="K49" s="55"/>
      <c r="L49" s="57"/>
    </row>
    <row r="50" spans="1:12" ht="15.75" thickBot="1" x14ac:dyDescent="0.3">
      <c r="A50" s="4"/>
      <c r="B50" s="113" t="s">
        <v>25</v>
      </c>
      <c r="C50" s="114"/>
      <c r="D50" s="114"/>
      <c r="E50" s="114"/>
      <c r="F50" s="114"/>
      <c r="G50" s="126">
        <f>G48-G49</f>
        <v>50</v>
      </c>
      <c r="H50" s="153"/>
      <c r="I50" s="128"/>
      <c r="J50" s="127"/>
      <c r="K50" s="55"/>
      <c r="L50" s="57"/>
    </row>
    <row r="51" spans="1:12" x14ac:dyDescent="0.25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  <row r="54" spans="1:12" x14ac:dyDescent="0.25">
      <c r="B54" t="s">
        <v>39</v>
      </c>
    </row>
    <row r="55" spans="1:12" x14ac:dyDescent="0.25">
      <c r="B55" t="s">
        <v>28</v>
      </c>
    </row>
    <row r="56" spans="1:12" x14ac:dyDescent="0.25">
      <c r="B56" t="s">
        <v>34</v>
      </c>
    </row>
  </sheetData>
  <mergeCells count="36">
    <mergeCell ref="A5:L5"/>
    <mergeCell ref="A1:D1"/>
    <mergeCell ref="G1:L1"/>
    <mergeCell ref="A2:D2"/>
    <mergeCell ref="G2:L2"/>
    <mergeCell ref="A3:D3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workbookViewId="0">
      <selection activeCell="G49" sqref="G49:H49"/>
    </sheetView>
  </sheetViews>
  <sheetFormatPr baseColWidth="10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6" t="s">
        <v>0</v>
      </c>
      <c r="B1" s="96"/>
      <c r="C1" s="96"/>
      <c r="D1" s="96"/>
      <c r="E1" s="37"/>
      <c r="F1" s="38"/>
      <c r="G1" s="97" t="s">
        <v>1</v>
      </c>
      <c r="H1" s="97"/>
      <c r="I1" s="97"/>
      <c r="J1" s="97"/>
      <c r="K1" s="97"/>
      <c r="L1" s="97"/>
    </row>
    <row r="2" spans="1:12" ht="15.75" x14ac:dyDescent="0.25">
      <c r="A2" s="97" t="s">
        <v>2</v>
      </c>
      <c r="B2" s="97"/>
      <c r="C2" s="97"/>
      <c r="D2" s="97"/>
      <c r="E2" s="37"/>
      <c r="F2" s="38"/>
      <c r="G2" s="98" t="s">
        <v>3</v>
      </c>
      <c r="H2" s="98"/>
      <c r="I2" s="98"/>
      <c r="J2" s="98"/>
      <c r="K2" s="98"/>
      <c r="L2" s="98"/>
    </row>
    <row r="3" spans="1:12" x14ac:dyDescent="0.25">
      <c r="A3" s="98" t="s">
        <v>4</v>
      </c>
      <c r="B3" s="98"/>
      <c r="C3" s="98"/>
      <c r="D3" s="98"/>
      <c r="E3" s="37"/>
      <c r="F3" s="38"/>
      <c r="G3" s="38"/>
      <c r="H3" s="37"/>
      <c r="I3" s="37"/>
      <c r="J3" s="37"/>
      <c r="K3" s="38"/>
      <c r="L3" s="1"/>
    </row>
    <row r="4" spans="1:12" x14ac:dyDescent="0.25">
      <c r="A4" s="74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 x14ac:dyDescent="0.25">
      <c r="A5" s="96" t="s">
        <v>5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x14ac:dyDescent="0.25">
      <c r="A6" s="97" t="s">
        <v>41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.75" thickBot="1" x14ac:dyDescent="0.3">
      <c r="A7" s="2" t="s">
        <v>6</v>
      </c>
      <c r="B7" s="12"/>
      <c r="C7" s="13"/>
      <c r="D7" s="13"/>
      <c r="E7" s="13"/>
      <c r="F7" s="12"/>
      <c r="G7" s="12"/>
      <c r="H7" s="100"/>
      <c r="I7" s="100"/>
      <c r="J7" s="13"/>
      <c r="K7" s="39"/>
      <c r="L7" s="3"/>
    </row>
    <row r="8" spans="1:12" x14ac:dyDescent="0.25">
      <c r="A8" s="101" t="s">
        <v>7</v>
      </c>
      <c r="B8" s="103" t="s">
        <v>8</v>
      </c>
      <c r="C8" s="104"/>
      <c r="D8" s="104"/>
      <c r="E8" s="104"/>
      <c r="F8" s="105"/>
      <c r="G8" s="106" t="s">
        <v>9</v>
      </c>
      <c r="H8" s="104"/>
      <c r="I8" s="104"/>
      <c r="J8" s="104"/>
      <c r="K8" s="105"/>
      <c r="L8" s="107" t="s">
        <v>10</v>
      </c>
    </row>
    <row r="9" spans="1:12" ht="15.75" thickBot="1" x14ac:dyDescent="0.3">
      <c r="A9" s="102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08"/>
    </row>
    <row r="10" spans="1:12" ht="15.75" thickBot="1" x14ac:dyDescent="0.3">
      <c r="A10" s="6">
        <v>1</v>
      </c>
      <c r="B10" s="20">
        <v>1</v>
      </c>
      <c r="C10" s="21"/>
      <c r="D10" s="21"/>
      <c r="E10" s="22"/>
      <c r="F10" s="19">
        <f>SUM(B10:E10)</f>
        <v>1</v>
      </c>
      <c r="G10" s="48"/>
      <c r="H10" s="31">
        <v>1</v>
      </c>
      <c r="I10" s="31"/>
      <c r="J10" s="31"/>
      <c r="K10" s="17">
        <f>SUM(G10:J10)</f>
        <v>1</v>
      </c>
      <c r="L10" s="7">
        <f>SUM(F10+K10)</f>
        <v>2</v>
      </c>
    </row>
    <row r="11" spans="1:12" ht="15.75" thickBot="1" x14ac:dyDescent="0.3">
      <c r="A11" s="8">
        <v>2</v>
      </c>
      <c r="B11" s="23"/>
      <c r="C11" s="24"/>
      <c r="D11" s="24"/>
      <c r="E11" s="25"/>
      <c r="F11" s="19">
        <f t="shared" ref="F11:F40" si="0">SUM(B11:E11)</f>
        <v>0</v>
      </c>
      <c r="G11" s="32"/>
      <c r="H11" s="24"/>
      <c r="I11" s="24"/>
      <c r="J11" s="24"/>
      <c r="K11" s="17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3"/>
      <c r="C12" s="24"/>
      <c r="D12" s="24"/>
      <c r="E12" s="26"/>
      <c r="F12" s="19">
        <f t="shared" si="0"/>
        <v>0</v>
      </c>
      <c r="G12" s="32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3"/>
      <c r="C13" s="24"/>
      <c r="D13" s="24"/>
      <c r="E13" s="25"/>
      <c r="F13" s="19">
        <f t="shared" si="0"/>
        <v>0</v>
      </c>
      <c r="G13" s="33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3"/>
      <c r="C16" s="24"/>
      <c r="D16" s="24"/>
      <c r="E16" s="25"/>
      <c r="F16" s="19">
        <f t="shared" si="0"/>
        <v>0</v>
      </c>
      <c r="G16" s="32">
        <v>5</v>
      </c>
      <c r="H16" s="24"/>
      <c r="I16" s="24"/>
      <c r="J16" s="24"/>
      <c r="K16" s="17">
        <f t="shared" si="1"/>
        <v>5</v>
      </c>
      <c r="L16" s="7">
        <f t="shared" si="2"/>
        <v>5</v>
      </c>
    </row>
    <row r="17" spans="1:12" ht="15.75" thickBot="1" x14ac:dyDescent="0.3">
      <c r="A17" s="8">
        <v>8</v>
      </c>
      <c r="B17" s="23"/>
      <c r="C17" s="24"/>
      <c r="D17" s="24"/>
      <c r="E17" s="25"/>
      <c r="F17" s="19">
        <f t="shared" si="0"/>
        <v>0</v>
      </c>
      <c r="G17" s="32">
        <v>8</v>
      </c>
      <c r="H17" s="24"/>
      <c r="I17" s="24"/>
      <c r="J17" s="24"/>
      <c r="K17" s="17">
        <f t="shared" si="1"/>
        <v>8</v>
      </c>
      <c r="L17" s="7">
        <f t="shared" si="2"/>
        <v>8</v>
      </c>
    </row>
    <row r="18" spans="1:12" ht="15.75" thickBot="1" x14ac:dyDescent="0.3">
      <c r="A18" s="8">
        <v>9</v>
      </c>
      <c r="B18" s="23"/>
      <c r="C18" s="24"/>
      <c r="D18" s="24"/>
      <c r="E18" s="25"/>
      <c r="F18" s="19">
        <f t="shared" si="0"/>
        <v>0</v>
      </c>
      <c r="G18" s="32">
        <v>3</v>
      </c>
      <c r="H18" s="24"/>
      <c r="I18" s="24"/>
      <c r="J18" s="24"/>
      <c r="K18" s="17">
        <f t="shared" si="1"/>
        <v>3</v>
      </c>
      <c r="L18" s="7">
        <f t="shared" si="2"/>
        <v>3</v>
      </c>
    </row>
    <row r="19" spans="1:12" ht="15.75" thickBot="1" x14ac:dyDescent="0.3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3"/>
      <c r="C20" s="24"/>
      <c r="D20" s="24"/>
      <c r="E20" s="25"/>
      <c r="F20" s="19">
        <f t="shared" si="0"/>
        <v>0</v>
      </c>
      <c r="G20" s="32"/>
      <c r="H20" s="24"/>
      <c r="I20" s="24"/>
      <c r="J20" s="24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3">
        <v>2</v>
      </c>
      <c r="C21" s="24"/>
      <c r="D21" s="24"/>
      <c r="E21" s="25"/>
      <c r="F21" s="19">
        <f t="shared" si="0"/>
        <v>2</v>
      </c>
      <c r="G21" s="32"/>
      <c r="H21" s="35"/>
      <c r="I21" s="35"/>
      <c r="J21" s="35"/>
      <c r="K21" s="17">
        <f t="shared" si="1"/>
        <v>0</v>
      </c>
      <c r="L21" s="7">
        <f t="shared" si="2"/>
        <v>2</v>
      </c>
    </row>
    <row r="22" spans="1:12" ht="15.75" thickBot="1" x14ac:dyDescent="0.3">
      <c r="A22" s="8">
        <v>13</v>
      </c>
      <c r="B22" s="23">
        <v>3</v>
      </c>
      <c r="C22" s="24"/>
      <c r="D22" s="24"/>
      <c r="E22" s="25"/>
      <c r="F22" s="19">
        <f t="shared" si="0"/>
        <v>3</v>
      </c>
      <c r="G22" s="36">
        <v>1</v>
      </c>
      <c r="H22" s="24"/>
      <c r="I22" s="24"/>
      <c r="J22" s="24"/>
      <c r="K22" s="17">
        <f t="shared" si="1"/>
        <v>1</v>
      </c>
      <c r="L22" s="7">
        <f t="shared" si="2"/>
        <v>4</v>
      </c>
    </row>
    <row r="23" spans="1:12" ht="15.75" thickBot="1" x14ac:dyDescent="0.3">
      <c r="A23" s="8">
        <v>14</v>
      </c>
      <c r="B23" s="23">
        <v>1</v>
      </c>
      <c r="C23" s="24"/>
      <c r="D23" s="24"/>
      <c r="E23" s="25"/>
      <c r="F23" s="19">
        <f t="shared" si="0"/>
        <v>1</v>
      </c>
      <c r="G23" s="36"/>
      <c r="H23" s="24"/>
      <c r="I23" s="24"/>
      <c r="J23" s="24"/>
      <c r="K23" s="17">
        <f t="shared" si="1"/>
        <v>0</v>
      </c>
      <c r="L23" s="7">
        <f t="shared" si="2"/>
        <v>1</v>
      </c>
    </row>
    <row r="24" spans="1:12" ht="15.75" thickBot="1" x14ac:dyDescent="0.3">
      <c r="A24" s="8">
        <v>15</v>
      </c>
      <c r="B24" s="23">
        <v>1</v>
      </c>
      <c r="C24" s="24"/>
      <c r="D24" s="24"/>
      <c r="E24" s="25"/>
      <c r="F24" s="19">
        <f t="shared" si="0"/>
        <v>1</v>
      </c>
      <c r="G24" s="32">
        <v>3</v>
      </c>
      <c r="H24" s="24"/>
      <c r="I24" s="24"/>
      <c r="J24" s="24"/>
      <c r="K24" s="17">
        <f t="shared" si="1"/>
        <v>3</v>
      </c>
      <c r="L24" s="7">
        <f t="shared" si="2"/>
        <v>4</v>
      </c>
    </row>
    <row r="25" spans="1:12" ht="15.75" thickBot="1" x14ac:dyDescent="0.3">
      <c r="A25" s="8">
        <v>16</v>
      </c>
      <c r="B25" s="23"/>
      <c r="C25" s="24"/>
      <c r="D25" s="24"/>
      <c r="E25" s="25"/>
      <c r="F25" s="19">
        <f t="shared" si="0"/>
        <v>0</v>
      </c>
      <c r="G25" s="32">
        <v>4</v>
      </c>
      <c r="H25" s="24"/>
      <c r="I25" s="24"/>
      <c r="J25" s="24"/>
      <c r="K25" s="17">
        <f t="shared" si="1"/>
        <v>4</v>
      </c>
      <c r="L25" s="7">
        <f t="shared" si="2"/>
        <v>4</v>
      </c>
    </row>
    <row r="26" spans="1:12" ht="15.75" thickBot="1" x14ac:dyDescent="0.3">
      <c r="A26" s="8">
        <v>17</v>
      </c>
      <c r="B26" s="23"/>
      <c r="C26" s="49"/>
      <c r="D26" s="27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3"/>
      <c r="C28" s="24"/>
      <c r="D28" s="24"/>
      <c r="E28" s="25"/>
      <c r="F28" s="19">
        <f t="shared" si="0"/>
        <v>0</v>
      </c>
      <c r="G28" s="32">
        <v>4</v>
      </c>
      <c r="H28" s="24"/>
      <c r="I28" s="24"/>
      <c r="J28" s="24"/>
      <c r="K28" s="17">
        <f t="shared" si="1"/>
        <v>4</v>
      </c>
      <c r="L28" s="7">
        <f t="shared" si="2"/>
        <v>4</v>
      </c>
    </row>
    <row r="29" spans="1:12" ht="15.75" thickBot="1" x14ac:dyDescent="0.3">
      <c r="A29" s="8">
        <v>20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3"/>
      <c r="C31" s="24"/>
      <c r="D31" s="24"/>
      <c r="E31" s="62"/>
      <c r="F31" s="19">
        <f t="shared" si="0"/>
        <v>0</v>
      </c>
      <c r="G31" s="32">
        <v>3</v>
      </c>
      <c r="H31" s="24"/>
      <c r="I31" s="24"/>
      <c r="J31" s="24"/>
      <c r="K31" s="17">
        <f t="shared" si="1"/>
        <v>3</v>
      </c>
      <c r="L31" s="7">
        <f t="shared" si="2"/>
        <v>3</v>
      </c>
    </row>
    <row r="32" spans="1:12" ht="15.75" thickBot="1" x14ac:dyDescent="0.3">
      <c r="A32" s="8">
        <v>23</v>
      </c>
      <c r="B32" s="23"/>
      <c r="C32" s="24"/>
      <c r="D32" s="24"/>
      <c r="E32" s="25"/>
      <c r="F32" s="19">
        <f t="shared" si="0"/>
        <v>0</v>
      </c>
      <c r="G32" s="32">
        <v>2</v>
      </c>
      <c r="H32" s="24"/>
      <c r="I32" s="24"/>
      <c r="J32" s="24"/>
      <c r="K32" s="17">
        <f t="shared" si="1"/>
        <v>2</v>
      </c>
      <c r="L32" s="7">
        <f t="shared" si="2"/>
        <v>2</v>
      </c>
    </row>
    <row r="33" spans="1:12" ht="15.75" thickBot="1" x14ac:dyDescent="0.3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3">
        <v>1</v>
      </c>
      <c r="C35" s="24"/>
      <c r="D35" s="24"/>
      <c r="E35" s="25"/>
      <c r="F35" s="19">
        <f t="shared" si="0"/>
        <v>1</v>
      </c>
      <c r="G35" s="32"/>
      <c r="H35" s="24"/>
      <c r="I35" s="24"/>
      <c r="J35" s="24"/>
      <c r="K35" s="17">
        <f t="shared" si="1"/>
        <v>0</v>
      </c>
      <c r="L35" s="7">
        <f t="shared" si="2"/>
        <v>1</v>
      </c>
    </row>
    <row r="36" spans="1:12" ht="15.75" thickBot="1" x14ac:dyDescent="0.3">
      <c r="A36" s="8">
        <v>27</v>
      </c>
      <c r="B36" s="71"/>
      <c r="C36" s="24"/>
      <c r="D36" s="24"/>
      <c r="E36" s="25"/>
      <c r="F36" s="19">
        <f t="shared" si="0"/>
        <v>0</v>
      </c>
      <c r="G36" s="47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3">
        <v>1</v>
      </c>
      <c r="C37" s="24"/>
      <c r="D37" s="24"/>
      <c r="E37" s="25"/>
      <c r="F37" s="19">
        <f t="shared" si="0"/>
        <v>1</v>
      </c>
      <c r="G37" s="32"/>
      <c r="H37" s="24"/>
      <c r="I37" s="24"/>
      <c r="J37" s="24"/>
      <c r="K37" s="17">
        <f t="shared" si="1"/>
        <v>0</v>
      </c>
      <c r="L37" s="7">
        <f t="shared" si="2"/>
        <v>1</v>
      </c>
    </row>
    <row r="38" spans="1:12" ht="15.75" thickBot="1" x14ac:dyDescent="0.3">
      <c r="A38" s="8">
        <v>29</v>
      </c>
      <c r="B38" s="23">
        <v>1</v>
      </c>
      <c r="C38" s="24"/>
      <c r="D38" s="24">
        <v>1</v>
      </c>
      <c r="E38" s="25"/>
      <c r="F38" s="19">
        <f t="shared" si="0"/>
        <v>2</v>
      </c>
      <c r="G38" s="32"/>
      <c r="H38" s="24"/>
      <c r="I38" s="24"/>
      <c r="J38" s="24"/>
      <c r="K38" s="17">
        <f t="shared" si="1"/>
        <v>0</v>
      </c>
      <c r="L38" s="7">
        <f t="shared" si="2"/>
        <v>2</v>
      </c>
    </row>
    <row r="39" spans="1:12" ht="15.75" thickBot="1" x14ac:dyDescent="0.3">
      <c r="A39" s="8">
        <v>30</v>
      </c>
      <c r="B39" s="23">
        <v>2</v>
      </c>
      <c r="C39" s="24"/>
      <c r="D39" s="24"/>
      <c r="E39" s="25"/>
      <c r="F39" s="19">
        <f t="shared" si="0"/>
        <v>2</v>
      </c>
      <c r="G39" s="32"/>
      <c r="H39" s="24"/>
      <c r="I39" s="24"/>
      <c r="J39" s="24"/>
      <c r="K39" s="17">
        <f t="shared" si="1"/>
        <v>0</v>
      </c>
      <c r="L39" s="7">
        <f t="shared" si="2"/>
        <v>2</v>
      </c>
    </row>
    <row r="40" spans="1:12" ht="15.75" thickBot="1" x14ac:dyDescent="0.3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 x14ac:dyDescent="0.3">
      <c r="A41" s="75"/>
      <c r="B41" s="73">
        <f>SUM(B10:B40)</f>
        <v>13</v>
      </c>
      <c r="C41" s="73">
        <f t="shared" ref="C41:E41" si="3">SUM(C10:C40)</f>
        <v>0</v>
      </c>
      <c r="D41" s="73">
        <f t="shared" si="3"/>
        <v>1</v>
      </c>
      <c r="E41" s="73">
        <f t="shared" si="3"/>
        <v>0</v>
      </c>
      <c r="F41" s="72">
        <f>SUM(F10:F40)</f>
        <v>14</v>
      </c>
      <c r="G41" s="18">
        <f>SUM(G10:G40)</f>
        <v>33</v>
      </c>
      <c r="H41" s="18">
        <f t="shared" ref="H41:L41" si="4">SUM(H10:H40)</f>
        <v>1</v>
      </c>
      <c r="I41" s="18">
        <f t="shared" si="4"/>
        <v>0</v>
      </c>
      <c r="J41" s="18">
        <f t="shared" si="4"/>
        <v>0</v>
      </c>
      <c r="K41" s="18">
        <f t="shared" si="4"/>
        <v>34</v>
      </c>
      <c r="L41" s="18">
        <f t="shared" si="4"/>
        <v>48</v>
      </c>
    </row>
    <row r="42" spans="1:12" ht="15.75" thickBot="1" x14ac:dyDescent="0.3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 x14ac:dyDescent="0.3">
      <c r="A43" s="109"/>
      <c r="B43" s="109"/>
      <c r="C43" s="109"/>
      <c r="D43" s="109"/>
      <c r="E43" s="109"/>
      <c r="F43" s="109"/>
      <c r="G43" s="110" t="s">
        <v>17</v>
      </c>
      <c r="H43" s="139"/>
      <c r="I43" s="110" t="s">
        <v>18</v>
      </c>
      <c r="J43" s="112"/>
      <c r="K43" s="55"/>
      <c r="L43" s="56"/>
    </row>
    <row r="44" spans="1:12" ht="15.75" thickBot="1" x14ac:dyDescent="0.3">
      <c r="A44" s="15"/>
      <c r="B44" s="113" t="s">
        <v>19</v>
      </c>
      <c r="C44" s="114"/>
      <c r="D44" s="114"/>
      <c r="E44" s="114"/>
      <c r="F44" s="114"/>
      <c r="G44" s="115">
        <v>52</v>
      </c>
      <c r="H44" s="155"/>
      <c r="I44" s="156"/>
      <c r="J44" s="157"/>
      <c r="K44" s="55"/>
      <c r="L44" s="56"/>
    </row>
    <row r="45" spans="1:12" ht="15.75" thickBot="1" x14ac:dyDescent="0.3">
      <c r="A45" s="15"/>
      <c r="B45" s="113" t="s">
        <v>20</v>
      </c>
      <c r="C45" s="114"/>
      <c r="D45" s="114"/>
      <c r="E45" s="114"/>
      <c r="F45" s="114"/>
      <c r="G45" s="119">
        <v>208</v>
      </c>
      <c r="H45" s="152"/>
      <c r="I45" s="119"/>
      <c r="J45" s="120"/>
      <c r="K45" s="55"/>
      <c r="L45" s="56"/>
    </row>
    <row r="46" spans="1:12" ht="15.75" thickBot="1" x14ac:dyDescent="0.3">
      <c r="A46" s="15"/>
      <c r="B46" s="121" t="s">
        <v>21</v>
      </c>
      <c r="C46" s="121"/>
      <c r="D46" s="121"/>
      <c r="E46" s="121"/>
      <c r="F46" s="113"/>
      <c r="G46" s="122">
        <v>0</v>
      </c>
      <c r="H46" s="154"/>
      <c r="I46" s="119"/>
      <c r="J46" s="120"/>
      <c r="K46" s="55"/>
      <c r="L46" s="56"/>
    </row>
    <row r="47" spans="1:12" ht="15.75" thickBot="1" x14ac:dyDescent="0.3">
      <c r="A47" s="15"/>
      <c r="B47" s="113" t="s">
        <v>22</v>
      </c>
      <c r="C47" s="114"/>
      <c r="D47" s="114"/>
      <c r="E47" s="114"/>
      <c r="F47" s="114"/>
      <c r="G47" s="125">
        <f>L41+G46</f>
        <v>48</v>
      </c>
      <c r="H47" s="152"/>
      <c r="I47" s="119"/>
      <c r="J47" s="120"/>
      <c r="K47" s="55"/>
      <c r="L47" s="56"/>
    </row>
    <row r="48" spans="1:12" ht="15.75" thickBot="1" x14ac:dyDescent="0.3">
      <c r="A48" s="4"/>
      <c r="B48" s="113" t="s">
        <v>23</v>
      </c>
      <c r="C48" s="114"/>
      <c r="D48" s="114"/>
      <c r="E48" s="114"/>
      <c r="F48" s="114"/>
      <c r="G48" s="125">
        <f>G44+G45-G47</f>
        <v>212</v>
      </c>
      <c r="H48" s="152"/>
      <c r="I48" s="119"/>
      <c r="J48" s="120"/>
      <c r="K48" s="55"/>
      <c r="L48" s="57"/>
    </row>
    <row r="49" spans="1:12" ht="15.75" thickBot="1" x14ac:dyDescent="0.3">
      <c r="A49" s="4"/>
      <c r="B49" s="113" t="s">
        <v>24</v>
      </c>
      <c r="C49" s="114"/>
      <c r="D49" s="114"/>
      <c r="E49" s="114"/>
      <c r="F49" s="114"/>
      <c r="G49" s="158">
        <v>194</v>
      </c>
      <c r="H49" s="152"/>
      <c r="I49" s="119"/>
      <c r="J49" s="120"/>
      <c r="K49" s="55"/>
      <c r="L49" s="57"/>
    </row>
    <row r="50" spans="1:12" ht="15.75" thickBot="1" x14ac:dyDescent="0.3">
      <c r="A50" s="4"/>
      <c r="B50" s="113" t="s">
        <v>25</v>
      </c>
      <c r="C50" s="114"/>
      <c r="D50" s="114"/>
      <c r="E50" s="114"/>
      <c r="F50" s="114"/>
      <c r="G50" s="126">
        <f>G48-G49</f>
        <v>18</v>
      </c>
      <c r="H50" s="153"/>
      <c r="I50" s="128"/>
      <c r="J50" s="127"/>
      <c r="K50" s="55"/>
      <c r="L50" s="57"/>
    </row>
    <row r="51" spans="1:12" x14ac:dyDescent="0.25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  <row r="53" spans="1:12" x14ac:dyDescent="0.25">
      <c r="B53" t="s">
        <v>32</v>
      </c>
    </row>
    <row r="54" spans="1:12" x14ac:dyDescent="0.25">
      <c r="B54" t="s">
        <v>42</v>
      </c>
    </row>
    <row r="57" spans="1:12" x14ac:dyDescent="0.25">
      <c r="A57" t="s">
        <v>44</v>
      </c>
    </row>
  </sheetData>
  <mergeCells count="36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6:L6"/>
    <mergeCell ref="H7:I7"/>
    <mergeCell ref="A8:A9"/>
    <mergeCell ref="B8:F8"/>
    <mergeCell ref="G8:K8"/>
    <mergeCell ref="L8:L9"/>
    <mergeCell ref="A5:L5"/>
    <mergeCell ref="A1:D1"/>
    <mergeCell ref="G1:L1"/>
    <mergeCell ref="A2:D2"/>
    <mergeCell ref="G2:L2"/>
    <mergeCell ref="A3:D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selection activeCell="L56" sqref="L56"/>
    </sheetView>
  </sheetViews>
  <sheetFormatPr baseColWidth="10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6" t="s">
        <v>0</v>
      </c>
      <c r="B1" s="96"/>
      <c r="C1" s="96"/>
      <c r="D1" s="96"/>
      <c r="E1" s="37"/>
      <c r="F1" s="38"/>
      <c r="G1" s="97" t="s">
        <v>1</v>
      </c>
      <c r="H1" s="97"/>
      <c r="I1" s="97"/>
      <c r="J1" s="97"/>
      <c r="K1" s="97"/>
      <c r="L1" s="97"/>
    </row>
    <row r="2" spans="1:12" ht="15.75" x14ac:dyDescent="0.25">
      <c r="A2" s="97" t="s">
        <v>2</v>
      </c>
      <c r="B2" s="97"/>
      <c r="C2" s="97"/>
      <c r="D2" s="97"/>
      <c r="E2" s="37"/>
      <c r="F2" s="38"/>
      <c r="G2" s="98" t="s">
        <v>3</v>
      </c>
      <c r="H2" s="98"/>
      <c r="I2" s="98"/>
      <c r="J2" s="98"/>
      <c r="K2" s="98"/>
      <c r="L2" s="98"/>
    </row>
    <row r="3" spans="1:12" x14ac:dyDescent="0.25">
      <c r="A3" s="98" t="s">
        <v>4</v>
      </c>
      <c r="B3" s="98"/>
      <c r="C3" s="98"/>
      <c r="D3" s="98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96" t="s">
        <v>5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12" ht="16.5" thickBot="1" x14ac:dyDescent="0.3">
      <c r="A5" s="97" t="s">
        <v>43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2" ht="15.75" thickBot="1" x14ac:dyDescent="0.3">
      <c r="A6" s="159" t="s">
        <v>7</v>
      </c>
      <c r="B6" s="160" t="s">
        <v>8</v>
      </c>
      <c r="C6" s="161"/>
      <c r="D6" s="161"/>
      <c r="E6" s="161"/>
      <c r="F6" s="162"/>
      <c r="G6" s="160" t="s">
        <v>9</v>
      </c>
      <c r="H6" s="161"/>
      <c r="I6" s="161"/>
      <c r="J6" s="161"/>
      <c r="K6" s="163"/>
      <c r="L6" s="164" t="s">
        <v>10</v>
      </c>
    </row>
    <row r="7" spans="1:12" ht="15.75" thickBot="1" x14ac:dyDescent="0.3">
      <c r="A7" s="102"/>
      <c r="B7" s="83" t="s">
        <v>11</v>
      </c>
      <c r="C7" s="84" t="s">
        <v>12</v>
      </c>
      <c r="D7" s="84" t="s">
        <v>13</v>
      </c>
      <c r="E7" s="84" t="s">
        <v>14</v>
      </c>
      <c r="F7" s="85" t="s">
        <v>15</v>
      </c>
      <c r="G7" s="86" t="s">
        <v>11</v>
      </c>
      <c r="H7" s="84" t="s">
        <v>12</v>
      </c>
      <c r="I7" s="84" t="s">
        <v>13</v>
      </c>
      <c r="J7" s="84" t="s">
        <v>14</v>
      </c>
      <c r="K7" s="85" t="s">
        <v>16</v>
      </c>
      <c r="L7" s="108"/>
    </row>
    <row r="8" spans="1:12" ht="15.75" thickBot="1" x14ac:dyDescent="0.3">
      <c r="A8" s="6">
        <v>1</v>
      </c>
      <c r="B8" s="20"/>
      <c r="C8" s="21"/>
      <c r="D8" s="21"/>
      <c r="E8" s="22"/>
      <c r="F8" s="19">
        <f>SUM(B8:E8)</f>
        <v>0</v>
      </c>
      <c r="G8" s="48"/>
      <c r="H8" s="31"/>
      <c r="I8" s="31"/>
      <c r="J8" s="31"/>
      <c r="K8" s="17">
        <f>SUM(G8:J8)</f>
        <v>0</v>
      </c>
      <c r="L8" s="7">
        <f>SUM(F8+K8)</f>
        <v>0</v>
      </c>
    </row>
    <row r="9" spans="1:12" ht="15.75" thickBot="1" x14ac:dyDescent="0.3">
      <c r="A9" s="8">
        <v>2</v>
      </c>
      <c r="B9" s="23"/>
      <c r="C9" s="24"/>
      <c r="D9" s="24"/>
      <c r="E9" s="25"/>
      <c r="F9" s="19">
        <f t="shared" ref="F9:F38" si="0">SUM(B9:E9)</f>
        <v>0</v>
      </c>
      <c r="G9" s="32"/>
      <c r="H9" s="24"/>
      <c r="I9" s="24"/>
      <c r="J9" s="24"/>
      <c r="K9" s="17">
        <f t="shared" ref="K9:K38" si="1">SUM(G9:J9)</f>
        <v>0</v>
      </c>
      <c r="L9" s="7">
        <f t="shared" ref="L9:L38" si="2">SUM(F9+K9)</f>
        <v>0</v>
      </c>
    </row>
    <row r="10" spans="1:12" ht="15.75" thickBot="1" x14ac:dyDescent="0.3">
      <c r="A10" s="8">
        <v>3</v>
      </c>
      <c r="B10" s="23">
        <v>4</v>
      </c>
      <c r="C10" s="24"/>
      <c r="D10" s="24"/>
      <c r="E10" s="26"/>
      <c r="F10" s="19">
        <f t="shared" si="0"/>
        <v>4</v>
      </c>
      <c r="G10" s="32"/>
      <c r="H10" s="24">
        <v>1</v>
      </c>
      <c r="I10" s="24"/>
      <c r="J10" s="24"/>
      <c r="K10" s="17">
        <f t="shared" si="1"/>
        <v>1</v>
      </c>
      <c r="L10" s="7">
        <f t="shared" si="2"/>
        <v>5</v>
      </c>
    </row>
    <row r="11" spans="1:12" ht="15.75" thickBot="1" x14ac:dyDescent="0.3">
      <c r="A11" s="8">
        <v>4</v>
      </c>
      <c r="B11" s="23"/>
      <c r="C11" s="24"/>
      <c r="D11" s="24"/>
      <c r="E11" s="25"/>
      <c r="F11" s="19">
        <f t="shared" si="0"/>
        <v>0</v>
      </c>
      <c r="G11" s="33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5</v>
      </c>
      <c r="B12" s="23"/>
      <c r="C12" s="24"/>
      <c r="D12" s="24"/>
      <c r="E12" s="25"/>
      <c r="F12" s="19">
        <f t="shared" si="0"/>
        <v>0</v>
      </c>
      <c r="G12" s="32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6</v>
      </c>
      <c r="B13" s="23"/>
      <c r="C13" s="24"/>
      <c r="D13" s="24">
        <v>1</v>
      </c>
      <c r="E13" s="25"/>
      <c r="F13" s="19">
        <f t="shared" si="0"/>
        <v>1</v>
      </c>
      <c r="G13" s="32">
        <v>3</v>
      </c>
      <c r="H13" s="24"/>
      <c r="I13" s="24"/>
      <c r="J13" s="24"/>
      <c r="K13" s="17">
        <f t="shared" si="1"/>
        <v>3</v>
      </c>
      <c r="L13" s="7">
        <f t="shared" si="2"/>
        <v>4</v>
      </c>
    </row>
    <row r="14" spans="1:12" ht="15.75" thickBot="1" x14ac:dyDescent="0.3">
      <c r="A14" s="8">
        <v>7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8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9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10</v>
      </c>
      <c r="B17" s="23">
        <v>4</v>
      </c>
      <c r="C17" s="24"/>
      <c r="D17" s="24"/>
      <c r="E17" s="25"/>
      <c r="F17" s="19">
        <f t="shared" si="0"/>
        <v>4</v>
      </c>
      <c r="G17" s="34"/>
      <c r="H17" s="24"/>
      <c r="I17" s="24"/>
      <c r="J17" s="24"/>
      <c r="K17" s="17">
        <f t="shared" si="1"/>
        <v>0</v>
      </c>
      <c r="L17" s="7">
        <f t="shared" si="2"/>
        <v>4</v>
      </c>
    </row>
    <row r="18" spans="1:12" ht="15.75" thickBot="1" x14ac:dyDescent="0.3">
      <c r="A18" s="8">
        <v>11</v>
      </c>
      <c r="B18" s="23"/>
      <c r="C18" s="24"/>
      <c r="D18" s="24"/>
      <c r="E18" s="25"/>
      <c r="F18" s="19">
        <f t="shared" si="0"/>
        <v>0</v>
      </c>
      <c r="G18" s="32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12</v>
      </c>
      <c r="B19" s="23">
        <v>2</v>
      </c>
      <c r="C19" s="24"/>
      <c r="D19" s="24"/>
      <c r="E19" s="25"/>
      <c r="F19" s="19">
        <f t="shared" si="0"/>
        <v>2</v>
      </c>
      <c r="G19" s="32"/>
      <c r="H19" s="35"/>
      <c r="I19" s="35"/>
      <c r="J19" s="35"/>
      <c r="K19" s="17">
        <f t="shared" si="1"/>
        <v>0</v>
      </c>
      <c r="L19" s="7">
        <f t="shared" si="2"/>
        <v>2</v>
      </c>
    </row>
    <row r="20" spans="1:12" ht="15.75" thickBot="1" x14ac:dyDescent="0.3">
      <c r="A20" s="8">
        <v>13</v>
      </c>
      <c r="B20" s="23">
        <v>1</v>
      </c>
      <c r="C20" s="24"/>
      <c r="D20" s="24"/>
      <c r="E20" s="25"/>
      <c r="F20" s="19">
        <f t="shared" si="0"/>
        <v>1</v>
      </c>
      <c r="G20" s="36">
        <v>2</v>
      </c>
      <c r="H20" s="24"/>
      <c r="I20" s="24"/>
      <c r="J20" s="24"/>
      <c r="K20" s="17">
        <f t="shared" si="1"/>
        <v>2</v>
      </c>
      <c r="L20" s="7">
        <f t="shared" si="2"/>
        <v>3</v>
      </c>
    </row>
    <row r="21" spans="1:12" ht="15.75" thickBot="1" x14ac:dyDescent="0.3">
      <c r="A21" s="8">
        <v>14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15</v>
      </c>
      <c r="B22" s="23"/>
      <c r="C22" s="24"/>
      <c r="D22" s="24"/>
      <c r="E22" s="25"/>
      <c r="F22" s="19">
        <f t="shared" si="0"/>
        <v>0</v>
      </c>
      <c r="G22" s="32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16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17</v>
      </c>
      <c r="B24" s="23"/>
      <c r="C24" s="49"/>
      <c r="D24" s="27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18</v>
      </c>
      <c r="B25" s="23">
        <v>4</v>
      </c>
      <c r="C25" s="24"/>
      <c r="D25" s="24"/>
      <c r="E25" s="25"/>
      <c r="F25" s="19">
        <f t="shared" si="0"/>
        <v>4</v>
      </c>
      <c r="G25" s="32"/>
      <c r="H25" s="24"/>
      <c r="I25" s="24"/>
      <c r="J25" s="24"/>
      <c r="K25" s="17">
        <f t="shared" si="1"/>
        <v>0</v>
      </c>
      <c r="L25" s="7">
        <f t="shared" si="2"/>
        <v>4</v>
      </c>
    </row>
    <row r="26" spans="1:12" ht="15.75" thickBot="1" x14ac:dyDescent="0.3">
      <c r="A26" s="8">
        <v>19</v>
      </c>
      <c r="B26" s="23">
        <v>3</v>
      </c>
      <c r="C26" s="24"/>
      <c r="D26" s="24"/>
      <c r="E26" s="25"/>
      <c r="F26" s="19">
        <f t="shared" si="0"/>
        <v>3</v>
      </c>
      <c r="G26" s="32"/>
      <c r="H26" s="24"/>
      <c r="I26" s="24"/>
      <c r="J26" s="24"/>
      <c r="K26" s="17">
        <f t="shared" si="1"/>
        <v>0</v>
      </c>
      <c r="L26" s="7">
        <f t="shared" si="2"/>
        <v>3</v>
      </c>
    </row>
    <row r="27" spans="1:12" ht="15.75" thickBot="1" x14ac:dyDescent="0.3">
      <c r="A27" s="8">
        <v>20</v>
      </c>
      <c r="B27" s="23"/>
      <c r="C27" s="24"/>
      <c r="D27" s="24"/>
      <c r="E27" s="25">
        <v>1</v>
      </c>
      <c r="F27" s="19">
        <f t="shared" si="0"/>
        <v>1</v>
      </c>
      <c r="G27" s="32">
        <v>2</v>
      </c>
      <c r="H27" s="24"/>
      <c r="I27" s="24"/>
      <c r="J27" s="24"/>
      <c r="K27" s="17">
        <f t="shared" si="1"/>
        <v>2</v>
      </c>
      <c r="L27" s="7">
        <f t="shared" si="2"/>
        <v>3</v>
      </c>
    </row>
    <row r="28" spans="1:12" ht="15.75" thickBot="1" x14ac:dyDescent="0.3">
      <c r="A28" s="8">
        <v>21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22</v>
      </c>
      <c r="B29" s="23"/>
      <c r="C29" s="24"/>
      <c r="D29" s="24"/>
      <c r="E29" s="62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23</v>
      </c>
      <c r="B30" s="23">
        <v>4</v>
      </c>
      <c r="C30" s="24"/>
      <c r="D30" s="24">
        <v>1</v>
      </c>
      <c r="E30" s="25"/>
      <c r="F30" s="19">
        <f t="shared" si="0"/>
        <v>5</v>
      </c>
      <c r="G30" s="32">
        <v>1</v>
      </c>
      <c r="H30" s="24"/>
      <c r="I30" s="24"/>
      <c r="J30" s="24"/>
      <c r="K30" s="17">
        <f t="shared" si="1"/>
        <v>1</v>
      </c>
      <c r="L30" s="7">
        <f t="shared" si="2"/>
        <v>6</v>
      </c>
    </row>
    <row r="31" spans="1:12" ht="15.75" thickBot="1" x14ac:dyDescent="0.3">
      <c r="A31" s="8">
        <v>24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25</v>
      </c>
      <c r="B32" s="23">
        <v>2</v>
      </c>
      <c r="C32" s="24"/>
      <c r="D32" s="24"/>
      <c r="E32" s="25"/>
      <c r="F32" s="19">
        <f t="shared" si="0"/>
        <v>2</v>
      </c>
      <c r="G32" s="32">
        <v>4</v>
      </c>
      <c r="H32" s="24"/>
      <c r="I32" s="24"/>
      <c r="J32" s="24"/>
      <c r="K32" s="17">
        <f t="shared" si="1"/>
        <v>4</v>
      </c>
      <c r="L32" s="7">
        <f t="shared" si="2"/>
        <v>6</v>
      </c>
    </row>
    <row r="33" spans="1:12" ht="15.75" thickBot="1" x14ac:dyDescent="0.3">
      <c r="A33" s="8">
        <v>26</v>
      </c>
      <c r="B33" s="23"/>
      <c r="C33" s="24">
        <v>1</v>
      </c>
      <c r="D33" s="24"/>
      <c r="E33" s="25"/>
      <c r="F33" s="19">
        <f t="shared" si="0"/>
        <v>1</v>
      </c>
      <c r="G33" s="32">
        <v>1</v>
      </c>
      <c r="H33" s="24">
        <v>2</v>
      </c>
      <c r="I33" s="24"/>
      <c r="J33" s="24"/>
      <c r="K33" s="17">
        <f t="shared" si="1"/>
        <v>3</v>
      </c>
      <c r="L33" s="7">
        <f t="shared" si="2"/>
        <v>4</v>
      </c>
    </row>
    <row r="34" spans="1:12" ht="15.75" thickBot="1" x14ac:dyDescent="0.3">
      <c r="A34" s="8">
        <v>27</v>
      </c>
      <c r="B34" s="71">
        <v>1</v>
      </c>
      <c r="C34" s="24"/>
      <c r="D34" s="24"/>
      <c r="E34" s="25"/>
      <c r="F34" s="19">
        <f t="shared" si="0"/>
        <v>1</v>
      </c>
      <c r="G34" s="47">
        <v>1</v>
      </c>
      <c r="H34" s="24">
        <v>1</v>
      </c>
      <c r="I34" s="24"/>
      <c r="J34" s="24"/>
      <c r="K34" s="17">
        <f t="shared" si="1"/>
        <v>2</v>
      </c>
      <c r="L34" s="7">
        <f t="shared" si="2"/>
        <v>3</v>
      </c>
    </row>
    <row r="35" spans="1:12" ht="15.75" thickBot="1" x14ac:dyDescent="0.3">
      <c r="A35" s="8">
        <v>28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29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30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9">
        <v>31</v>
      </c>
      <c r="B38" s="28">
        <v>3</v>
      </c>
      <c r="C38" s="29"/>
      <c r="D38" s="29"/>
      <c r="E38" s="30"/>
      <c r="F38" s="19">
        <f t="shared" si="0"/>
        <v>3</v>
      </c>
      <c r="G38" s="32">
        <v>2</v>
      </c>
      <c r="H38" s="24"/>
      <c r="I38" s="24"/>
      <c r="J38" s="24"/>
      <c r="K38" s="17">
        <f t="shared" si="1"/>
        <v>2</v>
      </c>
      <c r="L38" s="7">
        <f t="shared" si="2"/>
        <v>5</v>
      </c>
    </row>
    <row r="39" spans="1:12" ht="15.75" thickBot="1" x14ac:dyDescent="0.3">
      <c r="A39" s="78"/>
      <c r="B39" s="77">
        <f>SUM(B8:B38)</f>
        <v>28</v>
      </c>
      <c r="C39" s="77">
        <f t="shared" ref="C39:E39" si="3">SUM(C8:C38)</f>
        <v>1</v>
      </c>
      <c r="D39" s="77">
        <f t="shared" si="3"/>
        <v>2</v>
      </c>
      <c r="E39" s="77">
        <f t="shared" si="3"/>
        <v>1</v>
      </c>
      <c r="F39" s="76">
        <f>SUM(F8:F38)</f>
        <v>32</v>
      </c>
      <c r="G39" s="18">
        <f>SUM(G8:G38)</f>
        <v>16</v>
      </c>
      <c r="H39" s="18">
        <f t="shared" ref="H39:L39" si="4">SUM(H8:H38)</f>
        <v>4</v>
      </c>
      <c r="I39" s="18">
        <f t="shared" si="4"/>
        <v>0</v>
      </c>
      <c r="J39" s="18">
        <f t="shared" si="4"/>
        <v>0</v>
      </c>
      <c r="K39" s="18">
        <f t="shared" si="4"/>
        <v>20</v>
      </c>
      <c r="L39" s="18">
        <f t="shared" si="4"/>
        <v>52</v>
      </c>
    </row>
    <row r="40" spans="1:12" ht="9" customHeight="1" thickBot="1" x14ac:dyDescent="0.3">
      <c r="A40" s="12"/>
      <c r="B40" s="12"/>
      <c r="C40" s="13"/>
      <c r="D40" s="13"/>
      <c r="E40" s="13"/>
      <c r="F40" s="12"/>
      <c r="G40" s="12"/>
      <c r="H40" s="13"/>
      <c r="I40" s="13"/>
      <c r="J40" s="13"/>
      <c r="K40" s="12"/>
      <c r="L40" s="14"/>
    </row>
    <row r="41" spans="1:12" ht="15.75" thickBot="1" x14ac:dyDescent="0.3">
      <c r="A41" s="109"/>
      <c r="B41" s="109"/>
      <c r="C41" s="109"/>
      <c r="D41" s="109"/>
      <c r="E41" s="109"/>
      <c r="F41" s="109"/>
      <c r="G41" s="110" t="s">
        <v>17</v>
      </c>
      <c r="H41" s="139"/>
      <c r="I41" s="110" t="s">
        <v>18</v>
      </c>
      <c r="J41" s="112"/>
      <c r="K41" s="55"/>
      <c r="L41" s="56"/>
    </row>
    <row r="42" spans="1:12" ht="15.75" thickBot="1" x14ac:dyDescent="0.3">
      <c r="A42" s="15"/>
      <c r="B42" s="113" t="s">
        <v>19</v>
      </c>
      <c r="C42" s="114"/>
      <c r="D42" s="114"/>
      <c r="E42" s="114"/>
      <c r="F42" s="114"/>
      <c r="G42" s="115">
        <v>194</v>
      </c>
      <c r="H42" s="155"/>
      <c r="I42" s="156"/>
      <c r="J42" s="157"/>
      <c r="K42" s="55"/>
      <c r="L42" s="56"/>
    </row>
    <row r="43" spans="1:12" ht="15.75" thickBot="1" x14ac:dyDescent="0.3">
      <c r="A43" s="15"/>
      <c r="B43" s="113" t="s">
        <v>20</v>
      </c>
      <c r="C43" s="114"/>
      <c r="D43" s="114"/>
      <c r="E43" s="114"/>
      <c r="F43" s="114"/>
      <c r="G43" s="119">
        <v>8</v>
      </c>
      <c r="H43" s="152"/>
      <c r="I43" s="119"/>
      <c r="J43" s="120"/>
      <c r="K43" s="55"/>
      <c r="L43" s="56"/>
    </row>
    <row r="44" spans="1:12" ht="15.75" thickBot="1" x14ac:dyDescent="0.3">
      <c r="A44" s="15"/>
      <c r="B44" s="121" t="s">
        <v>21</v>
      </c>
      <c r="C44" s="121"/>
      <c r="D44" s="121"/>
      <c r="E44" s="121"/>
      <c r="F44" s="113"/>
      <c r="G44" s="122">
        <v>34</v>
      </c>
      <c r="H44" s="154"/>
      <c r="I44" s="119"/>
      <c r="J44" s="120"/>
      <c r="K44" s="55"/>
      <c r="L44" s="56"/>
    </row>
    <row r="45" spans="1:12" ht="15.75" thickBot="1" x14ac:dyDescent="0.3">
      <c r="A45" s="15"/>
      <c r="B45" s="113" t="s">
        <v>22</v>
      </c>
      <c r="C45" s="114"/>
      <c r="D45" s="114"/>
      <c r="E45" s="114"/>
      <c r="F45" s="114"/>
      <c r="G45" s="125">
        <f>L39+G44</f>
        <v>86</v>
      </c>
      <c r="H45" s="152"/>
      <c r="I45" s="119"/>
      <c r="J45" s="120"/>
      <c r="K45" s="55"/>
      <c r="L45" s="56"/>
    </row>
    <row r="46" spans="1:12" ht="15.75" thickBot="1" x14ac:dyDescent="0.3">
      <c r="A46" s="4"/>
      <c r="B46" s="113" t="s">
        <v>23</v>
      </c>
      <c r="C46" s="114"/>
      <c r="D46" s="114"/>
      <c r="E46" s="114"/>
      <c r="F46" s="114"/>
      <c r="G46" s="125">
        <f>G42+G43-G45</f>
        <v>116</v>
      </c>
      <c r="H46" s="152"/>
      <c r="I46" s="119"/>
      <c r="J46" s="120"/>
      <c r="K46" s="55"/>
      <c r="L46" s="57"/>
    </row>
    <row r="47" spans="1:12" ht="15.75" thickBot="1" x14ac:dyDescent="0.3">
      <c r="A47" s="4"/>
      <c r="B47" s="113" t="s">
        <v>24</v>
      </c>
      <c r="C47" s="114"/>
      <c r="D47" s="114"/>
      <c r="E47" s="114"/>
      <c r="F47" s="114"/>
      <c r="G47" s="158">
        <v>106</v>
      </c>
      <c r="H47" s="152"/>
      <c r="I47" s="119"/>
      <c r="J47" s="120"/>
      <c r="K47" s="55"/>
      <c r="L47" s="57"/>
    </row>
    <row r="48" spans="1:12" ht="15.75" thickBot="1" x14ac:dyDescent="0.3">
      <c r="A48" s="4"/>
      <c r="B48" s="113" t="s">
        <v>25</v>
      </c>
      <c r="C48" s="114"/>
      <c r="D48" s="114"/>
      <c r="E48" s="114"/>
      <c r="F48" s="114"/>
      <c r="G48" s="126">
        <f>G46-G47</f>
        <v>10</v>
      </c>
      <c r="H48" s="153"/>
      <c r="I48" s="128"/>
      <c r="J48" s="127"/>
      <c r="K48" s="55"/>
      <c r="L48" s="57"/>
    </row>
    <row r="49" spans="1:12" x14ac:dyDescent="0.25">
      <c r="A49" s="5" t="s">
        <v>26</v>
      </c>
      <c r="B49" s="38"/>
      <c r="C49" s="44"/>
      <c r="D49" s="44"/>
      <c r="E49" s="44"/>
      <c r="F49" s="38"/>
      <c r="G49" s="38"/>
      <c r="H49" s="44"/>
      <c r="I49" s="45" t="s">
        <v>27</v>
      </c>
      <c r="J49" s="44"/>
      <c r="K49" s="38"/>
      <c r="L49" s="1"/>
    </row>
    <row r="50" spans="1:12" ht="5.25" customHeight="1" x14ac:dyDescent="0.25"/>
    <row r="51" spans="1:12" ht="17.25" customHeight="1" x14ac:dyDescent="0.25">
      <c r="B51" t="s">
        <v>32</v>
      </c>
    </row>
  </sheetData>
  <mergeCells count="35"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B43:F43"/>
    <mergeCell ref="G43:H43"/>
    <mergeCell ref="I43:J43"/>
    <mergeCell ref="B44:F44"/>
    <mergeCell ref="G44:H44"/>
    <mergeCell ref="I44:J44"/>
    <mergeCell ref="A41:F41"/>
    <mergeCell ref="G41:H41"/>
    <mergeCell ref="I41:J41"/>
    <mergeCell ref="B42:F42"/>
    <mergeCell ref="G42:H42"/>
    <mergeCell ref="I42:J42"/>
    <mergeCell ref="A5:L5"/>
    <mergeCell ref="A6:A7"/>
    <mergeCell ref="B6:F6"/>
    <mergeCell ref="G6:K6"/>
    <mergeCell ref="L6:L7"/>
    <mergeCell ref="A4:L4"/>
    <mergeCell ref="A1:D1"/>
    <mergeCell ref="G1:L1"/>
    <mergeCell ref="A2:D2"/>
    <mergeCell ref="G2:L2"/>
    <mergeCell ref="A3:D3"/>
  </mergeCells>
  <pageMargins left="0.23622047244094491" right="0.23622047244094491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>
      <selection activeCell="F57" sqref="F57"/>
    </sheetView>
  </sheetViews>
  <sheetFormatPr baseColWidth="10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6" t="s">
        <v>0</v>
      </c>
      <c r="B1" s="96"/>
      <c r="C1" s="96"/>
      <c r="D1" s="96"/>
      <c r="E1" s="37"/>
      <c r="F1" s="38"/>
      <c r="G1" s="97" t="s">
        <v>1</v>
      </c>
      <c r="H1" s="97"/>
      <c r="I1" s="97"/>
      <c r="J1" s="97"/>
      <c r="K1" s="97"/>
      <c r="L1" s="97"/>
    </row>
    <row r="2" spans="1:12" ht="15.75" x14ac:dyDescent="0.25">
      <c r="A2" s="97" t="s">
        <v>2</v>
      </c>
      <c r="B2" s="97"/>
      <c r="C2" s="97"/>
      <c r="D2" s="97"/>
      <c r="E2" s="37"/>
      <c r="F2" s="38"/>
      <c r="G2" s="98" t="s">
        <v>3</v>
      </c>
      <c r="H2" s="98"/>
      <c r="I2" s="98"/>
      <c r="J2" s="98"/>
      <c r="K2" s="98"/>
      <c r="L2" s="98"/>
    </row>
    <row r="3" spans="1:12" x14ac:dyDescent="0.25">
      <c r="A3" s="98" t="s">
        <v>4</v>
      </c>
      <c r="B3" s="98"/>
      <c r="C3" s="98"/>
      <c r="D3" s="98"/>
      <c r="E3" s="37"/>
      <c r="F3" s="38"/>
      <c r="G3" s="38"/>
      <c r="H3" s="37"/>
      <c r="I3" s="37"/>
      <c r="J3" s="37"/>
      <c r="K3" s="38"/>
      <c r="L3" s="1"/>
    </row>
    <row r="4" spans="1:12" x14ac:dyDescent="0.25">
      <c r="A4" s="81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 x14ac:dyDescent="0.25">
      <c r="A5" s="96" t="s">
        <v>5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x14ac:dyDescent="0.25">
      <c r="A6" s="97" t="s">
        <v>45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.75" thickBot="1" x14ac:dyDescent="0.3">
      <c r="A7" s="2" t="s">
        <v>6</v>
      </c>
      <c r="B7" s="12"/>
      <c r="C7" s="13"/>
      <c r="D7" s="13"/>
      <c r="E7" s="13"/>
      <c r="F7" s="12"/>
      <c r="G7" s="12"/>
      <c r="H7" s="100"/>
      <c r="I7" s="100"/>
      <c r="J7" s="13"/>
      <c r="K7" s="39"/>
      <c r="L7" s="3"/>
    </row>
    <row r="8" spans="1:12" x14ac:dyDescent="0.25">
      <c r="A8" s="101" t="s">
        <v>7</v>
      </c>
      <c r="B8" s="103" t="s">
        <v>8</v>
      </c>
      <c r="C8" s="104"/>
      <c r="D8" s="104"/>
      <c r="E8" s="104"/>
      <c r="F8" s="105"/>
      <c r="G8" s="106" t="s">
        <v>9</v>
      </c>
      <c r="H8" s="104"/>
      <c r="I8" s="104"/>
      <c r="J8" s="104"/>
      <c r="K8" s="105"/>
      <c r="L8" s="107" t="s">
        <v>10</v>
      </c>
    </row>
    <row r="9" spans="1:12" ht="15.75" thickBot="1" x14ac:dyDescent="0.3">
      <c r="A9" s="102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08"/>
    </row>
    <row r="10" spans="1:12" ht="15.75" thickBot="1" x14ac:dyDescent="0.3">
      <c r="A10" s="6">
        <v>1</v>
      </c>
      <c r="B10" s="20">
        <v>1</v>
      </c>
      <c r="C10" s="21"/>
      <c r="D10" s="21"/>
      <c r="E10" s="22"/>
      <c r="F10" s="19">
        <f>SUM(B10:E10)</f>
        <v>1</v>
      </c>
      <c r="G10" s="48"/>
      <c r="H10" s="31"/>
      <c r="I10" s="31"/>
      <c r="J10" s="31"/>
      <c r="K10" s="17">
        <f>SUM(G10:J10)</f>
        <v>0</v>
      </c>
      <c r="L10" s="7">
        <f>SUM(F10+K10)</f>
        <v>1</v>
      </c>
    </row>
    <row r="11" spans="1:12" ht="15.75" thickBot="1" x14ac:dyDescent="0.3">
      <c r="A11" s="8">
        <v>2</v>
      </c>
      <c r="B11" s="23">
        <v>2</v>
      </c>
      <c r="C11" s="24"/>
      <c r="D11" s="24"/>
      <c r="E11" s="25"/>
      <c r="F11" s="19">
        <f t="shared" ref="F11:F40" si="0">SUM(B11:E11)</f>
        <v>2</v>
      </c>
      <c r="G11" s="32"/>
      <c r="H11" s="24"/>
      <c r="I11" s="24"/>
      <c r="J11" s="24"/>
      <c r="K11" s="17">
        <f t="shared" ref="K11:K40" si="1">SUM(G11:J11)</f>
        <v>0</v>
      </c>
      <c r="L11" s="7">
        <f t="shared" ref="L11:L40" si="2">SUM(F11+K11)</f>
        <v>2</v>
      </c>
    </row>
    <row r="12" spans="1:12" ht="15.75" thickBot="1" x14ac:dyDescent="0.3">
      <c r="A12" s="8">
        <v>3</v>
      </c>
      <c r="B12" s="23"/>
      <c r="C12" s="24"/>
      <c r="D12" s="24"/>
      <c r="E12" s="26"/>
      <c r="F12" s="19">
        <f t="shared" si="0"/>
        <v>0</v>
      </c>
      <c r="G12" s="32">
        <v>2</v>
      </c>
      <c r="H12" s="24"/>
      <c r="I12" s="24"/>
      <c r="J12" s="24"/>
      <c r="K12" s="17">
        <f t="shared" si="1"/>
        <v>2</v>
      </c>
      <c r="L12" s="7">
        <f t="shared" si="2"/>
        <v>2</v>
      </c>
    </row>
    <row r="13" spans="1:12" ht="15.75" thickBot="1" x14ac:dyDescent="0.3">
      <c r="A13" s="8">
        <v>4</v>
      </c>
      <c r="B13" s="23"/>
      <c r="C13" s="24"/>
      <c r="D13" s="24"/>
      <c r="E13" s="25"/>
      <c r="F13" s="19">
        <f t="shared" si="0"/>
        <v>0</v>
      </c>
      <c r="G13" s="33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5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3"/>
      <c r="C16" s="24"/>
      <c r="D16" s="24"/>
      <c r="E16" s="25"/>
      <c r="F16" s="19">
        <f t="shared" si="0"/>
        <v>0</v>
      </c>
      <c r="G16" s="32">
        <v>1</v>
      </c>
      <c r="H16" s="24"/>
      <c r="I16" s="24"/>
      <c r="J16" s="24"/>
      <c r="K16" s="17">
        <f t="shared" si="1"/>
        <v>1</v>
      </c>
      <c r="L16" s="7">
        <f t="shared" si="2"/>
        <v>1</v>
      </c>
    </row>
    <row r="17" spans="1:12" ht="15.75" thickBot="1" x14ac:dyDescent="0.3">
      <c r="A17" s="8">
        <v>8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9</v>
      </c>
      <c r="B18" s="23">
        <v>1</v>
      </c>
      <c r="C18" s="24"/>
      <c r="D18" s="24">
        <v>1</v>
      </c>
      <c r="E18" s="25"/>
      <c r="F18" s="19">
        <f t="shared" si="0"/>
        <v>2</v>
      </c>
      <c r="G18" s="32"/>
      <c r="H18" s="24"/>
      <c r="I18" s="24"/>
      <c r="J18" s="24"/>
      <c r="K18" s="17">
        <f t="shared" si="1"/>
        <v>0</v>
      </c>
      <c r="L18" s="7">
        <f t="shared" si="2"/>
        <v>2</v>
      </c>
    </row>
    <row r="19" spans="1:12" ht="15.75" thickBot="1" x14ac:dyDescent="0.3">
      <c r="A19" s="8">
        <v>10</v>
      </c>
      <c r="B19" s="23">
        <v>1</v>
      </c>
      <c r="C19" s="24"/>
      <c r="D19" s="24"/>
      <c r="E19" s="25"/>
      <c r="F19" s="19">
        <f t="shared" si="0"/>
        <v>1</v>
      </c>
      <c r="G19" s="34"/>
      <c r="H19" s="24"/>
      <c r="I19" s="24"/>
      <c r="J19" s="24"/>
      <c r="K19" s="17">
        <f t="shared" si="1"/>
        <v>0</v>
      </c>
      <c r="L19" s="7">
        <f t="shared" si="2"/>
        <v>1</v>
      </c>
    </row>
    <row r="20" spans="1:12" ht="15.75" thickBot="1" x14ac:dyDescent="0.3">
      <c r="A20" s="8">
        <v>11</v>
      </c>
      <c r="B20" s="23"/>
      <c r="C20" s="24"/>
      <c r="D20" s="24"/>
      <c r="E20" s="25"/>
      <c r="F20" s="19">
        <f t="shared" si="0"/>
        <v>0</v>
      </c>
      <c r="G20" s="32"/>
      <c r="H20" s="24"/>
      <c r="I20" s="24"/>
      <c r="J20" s="24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3"/>
      <c r="C21" s="24"/>
      <c r="D21" s="24"/>
      <c r="E21" s="25"/>
      <c r="F21" s="19">
        <f t="shared" si="0"/>
        <v>0</v>
      </c>
      <c r="G21" s="32">
        <v>6</v>
      </c>
      <c r="H21" s="35"/>
      <c r="I21" s="35"/>
      <c r="J21" s="35"/>
      <c r="K21" s="17">
        <f t="shared" si="1"/>
        <v>6</v>
      </c>
      <c r="L21" s="7">
        <f t="shared" si="2"/>
        <v>6</v>
      </c>
    </row>
    <row r="22" spans="1:12" ht="15.75" thickBot="1" x14ac:dyDescent="0.3">
      <c r="A22" s="8">
        <v>13</v>
      </c>
      <c r="B22" s="23">
        <v>1</v>
      </c>
      <c r="C22" s="24"/>
      <c r="D22" s="24"/>
      <c r="E22" s="25"/>
      <c r="F22" s="19">
        <f t="shared" si="0"/>
        <v>1</v>
      </c>
      <c r="G22" s="36">
        <v>3</v>
      </c>
      <c r="H22" s="24"/>
      <c r="I22" s="24"/>
      <c r="J22" s="24"/>
      <c r="K22" s="17">
        <f t="shared" si="1"/>
        <v>3</v>
      </c>
      <c r="L22" s="7">
        <f t="shared" si="2"/>
        <v>4</v>
      </c>
    </row>
    <row r="23" spans="1:12" ht="15.75" thickBot="1" x14ac:dyDescent="0.3">
      <c r="A23" s="8">
        <v>14</v>
      </c>
      <c r="B23" s="23"/>
      <c r="C23" s="24"/>
      <c r="D23" s="24"/>
      <c r="E23" s="25"/>
      <c r="F23" s="19">
        <f t="shared" si="0"/>
        <v>0</v>
      </c>
      <c r="G23" s="36">
        <v>4</v>
      </c>
      <c r="H23" s="24"/>
      <c r="I23" s="24"/>
      <c r="J23" s="24"/>
      <c r="K23" s="17">
        <f t="shared" si="1"/>
        <v>4</v>
      </c>
      <c r="L23" s="7">
        <f t="shared" si="2"/>
        <v>4</v>
      </c>
    </row>
    <row r="24" spans="1:12" ht="15.75" thickBot="1" x14ac:dyDescent="0.3">
      <c r="A24" s="8">
        <v>15</v>
      </c>
      <c r="B24" s="23">
        <v>2</v>
      </c>
      <c r="C24" s="24"/>
      <c r="D24" s="24"/>
      <c r="E24" s="25"/>
      <c r="F24" s="19">
        <f t="shared" si="0"/>
        <v>2</v>
      </c>
      <c r="G24" s="32"/>
      <c r="H24" s="24"/>
      <c r="I24" s="24"/>
      <c r="J24" s="24"/>
      <c r="K24" s="17">
        <f t="shared" si="1"/>
        <v>0</v>
      </c>
      <c r="L24" s="7">
        <f t="shared" si="2"/>
        <v>2</v>
      </c>
    </row>
    <row r="25" spans="1:12" ht="15.75" thickBot="1" x14ac:dyDescent="0.3">
      <c r="A25" s="8">
        <v>16</v>
      </c>
      <c r="B25" s="23"/>
      <c r="C25" s="24"/>
      <c r="D25" s="24"/>
      <c r="E25" s="25"/>
      <c r="F25" s="19">
        <f t="shared" si="0"/>
        <v>0</v>
      </c>
      <c r="G25" s="32"/>
      <c r="H25" s="24">
        <v>1</v>
      </c>
      <c r="I25" s="24">
        <v>1</v>
      </c>
      <c r="J25" s="24"/>
      <c r="K25" s="17">
        <f t="shared" si="1"/>
        <v>2</v>
      </c>
      <c r="L25" s="7">
        <f t="shared" si="2"/>
        <v>2</v>
      </c>
    </row>
    <row r="26" spans="1:12" ht="15.75" thickBot="1" x14ac:dyDescent="0.3">
      <c r="A26" s="8">
        <v>17</v>
      </c>
      <c r="B26" s="23"/>
      <c r="C26" s="87">
        <v>1</v>
      </c>
      <c r="D26" s="27"/>
      <c r="E26" s="25"/>
      <c r="F26" s="19">
        <f t="shared" si="0"/>
        <v>1</v>
      </c>
      <c r="G26" s="32">
        <v>4</v>
      </c>
      <c r="H26" s="24">
        <v>1</v>
      </c>
      <c r="I26" s="24"/>
      <c r="J26" s="24"/>
      <c r="K26" s="17">
        <f t="shared" si="1"/>
        <v>5</v>
      </c>
      <c r="L26" s="7">
        <f t="shared" si="2"/>
        <v>6</v>
      </c>
    </row>
    <row r="27" spans="1:12" ht="15.75" thickBot="1" x14ac:dyDescent="0.3">
      <c r="A27" s="8">
        <v>18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3">
        <v>3</v>
      </c>
      <c r="C29" s="24"/>
      <c r="D29" s="24"/>
      <c r="E29" s="25"/>
      <c r="F29" s="19">
        <f t="shared" si="0"/>
        <v>3</v>
      </c>
      <c r="G29" s="32"/>
      <c r="H29" s="24">
        <v>1</v>
      </c>
      <c r="I29" s="24"/>
      <c r="J29" s="24"/>
      <c r="K29" s="17">
        <f t="shared" si="1"/>
        <v>1</v>
      </c>
      <c r="L29" s="7">
        <f t="shared" si="2"/>
        <v>4</v>
      </c>
    </row>
    <row r="30" spans="1:12" ht="15.75" thickBot="1" x14ac:dyDescent="0.3">
      <c r="A30" s="8">
        <v>21</v>
      </c>
      <c r="B30" s="23"/>
      <c r="C30" s="24"/>
      <c r="D30" s="24"/>
      <c r="E30" s="25"/>
      <c r="F30" s="19">
        <f t="shared" si="0"/>
        <v>0</v>
      </c>
      <c r="G30" s="32">
        <v>2</v>
      </c>
      <c r="H30" s="24">
        <v>1</v>
      </c>
      <c r="I30" s="24"/>
      <c r="J30" s="24"/>
      <c r="K30" s="17">
        <f t="shared" si="1"/>
        <v>3</v>
      </c>
      <c r="L30" s="7">
        <f t="shared" si="2"/>
        <v>3</v>
      </c>
    </row>
    <row r="31" spans="1:12" ht="15.75" thickBot="1" x14ac:dyDescent="0.3">
      <c r="A31" s="8">
        <v>22</v>
      </c>
      <c r="B31" s="23"/>
      <c r="C31" s="24"/>
      <c r="D31" s="24"/>
      <c r="E31" s="62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3">
        <v>1</v>
      </c>
      <c r="C32" s="24"/>
      <c r="D32" s="24"/>
      <c r="E32" s="25"/>
      <c r="F32" s="19">
        <f t="shared" si="0"/>
        <v>1</v>
      </c>
      <c r="G32" s="32">
        <v>1</v>
      </c>
      <c r="H32" s="24"/>
      <c r="I32" s="24"/>
      <c r="J32" s="24"/>
      <c r="K32" s="17">
        <f t="shared" si="1"/>
        <v>1</v>
      </c>
      <c r="L32" s="7">
        <f t="shared" si="2"/>
        <v>2</v>
      </c>
    </row>
    <row r="33" spans="1:12" ht="15.75" thickBot="1" x14ac:dyDescent="0.3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71"/>
      <c r="C36" s="24"/>
      <c r="D36" s="24"/>
      <c r="E36" s="25"/>
      <c r="F36" s="19">
        <f t="shared" si="0"/>
        <v>0</v>
      </c>
      <c r="G36" s="47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3">
        <v>7</v>
      </c>
      <c r="C37" s="24"/>
      <c r="D37" s="24">
        <v>2</v>
      </c>
      <c r="E37" s="25"/>
      <c r="F37" s="19">
        <f t="shared" si="0"/>
        <v>9</v>
      </c>
      <c r="G37" s="32"/>
      <c r="H37" s="24"/>
      <c r="I37" s="24"/>
      <c r="J37" s="24"/>
      <c r="K37" s="17">
        <f t="shared" si="1"/>
        <v>0</v>
      </c>
      <c r="L37" s="7">
        <f t="shared" si="2"/>
        <v>9</v>
      </c>
    </row>
    <row r="38" spans="1:12" ht="15.75" thickBot="1" x14ac:dyDescent="0.3">
      <c r="A38" s="8">
        <v>29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3"/>
      <c r="C39" s="24"/>
      <c r="D39" s="24"/>
      <c r="E39" s="25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 x14ac:dyDescent="0.3">
      <c r="A41" s="82"/>
      <c r="B41" s="80">
        <f>SUM(B10:B40)</f>
        <v>19</v>
      </c>
      <c r="C41" s="80">
        <f t="shared" ref="C41:E41" si="3">SUM(C10:C40)</f>
        <v>1</v>
      </c>
      <c r="D41" s="80">
        <f t="shared" si="3"/>
        <v>3</v>
      </c>
      <c r="E41" s="80">
        <f t="shared" si="3"/>
        <v>0</v>
      </c>
      <c r="F41" s="79">
        <f>SUM(F10:F40)</f>
        <v>23</v>
      </c>
      <c r="G41" s="18">
        <f>SUM(G10:G40)</f>
        <v>23</v>
      </c>
      <c r="H41" s="18">
        <f t="shared" ref="H41:L41" si="4">SUM(H10:H40)</f>
        <v>4</v>
      </c>
      <c r="I41" s="18">
        <f t="shared" si="4"/>
        <v>1</v>
      </c>
      <c r="J41" s="18">
        <f t="shared" si="4"/>
        <v>0</v>
      </c>
      <c r="K41" s="18">
        <f t="shared" si="4"/>
        <v>28</v>
      </c>
      <c r="L41" s="18">
        <f t="shared" si="4"/>
        <v>51</v>
      </c>
    </row>
    <row r="42" spans="1:12" ht="6" customHeight="1" thickBot="1" x14ac:dyDescent="0.3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 x14ac:dyDescent="0.3">
      <c r="A43" s="109"/>
      <c r="B43" s="109"/>
      <c r="C43" s="109"/>
      <c r="D43" s="109"/>
      <c r="E43" s="109"/>
      <c r="F43" s="109"/>
      <c r="G43" s="110" t="s">
        <v>17</v>
      </c>
      <c r="H43" s="139"/>
      <c r="I43" s="110" t="s">
        <v>18</v>
      </c>
      <c r="J43" s="112"/>
      <c r="K43" s="55"/>
      <c r="L43" s="56"/>
    </row>
    <row r="44" spans="1:12" ht="15.75" thickBot="1" x14ac:dyDescent="0.3">
      <c r="A44" s="15"/>
      <c r="B44" s="113" t="s">
        <v>19</v>
      </c>
      <c r="C44" s="114"/>
      <c r="D44" s="114"/>
      <c r="E44" s="114"/>
      <c r="F44" s="114"/>
      <c r="G44" s="115">
        <v>106</v>
      </c>
      <c r="H44" s="155"/>
      <c r="I44" s="156"/>
      <c r="J44" s="157"/>
      <c r="K44" s="55"/>
      <c r="L44" s="56"/>
    </row>
    <row r="45" spans="1:12" ht="15.75" thickBot="1" x14ac:dyDescent="0.3">
      <c r="A45" s="15"/>
      <c r="B45" s="113" t="s">
        <v>20</v>
      </c>
      <c r="C45" s="114"/>
      <c r="D45" s="114"/>
      <c r="E45" s="114"/>
      <c r="F45" s="114"/>
      <c r="G45" s="119">
        <v>0</v>
      </c>
      <c r="H45" s="152"/>
      <c r="I45" s="119"/>
      <c r="J45" s="120"/>
      <c r="K45" s="55"/>
      <c r="L45" s="56"/>
    </row>
    <row r="46" spans="1:12" ht="15.75" thickBot="1" x14ac:dyDescent="0.3">
      <c r="A46" s="15"/>
      <c r="B46" s="121" t="s">
        <v>21</v>
      </c>
      <c r="C46" s="121"/>
      <c r="D46" s="121"/>
      <c r="E46" s="121"/>
      <c r="F46" s="113"/>
      <c r="G46" s="122">
        <v>2</v>
      </c>
      <c r="H46" s="154"/>
      <c r="I46" s="119"/>
      <c r="J46" s="120"/>
      <c r="K46" s="55"/>
      <c r="L46" s="56"/>
    </row>
    <row r="47" spans="1:12" ht="15.75" thickBot="1" x14ac:dyDescent="0.3">
      <c r="A47" s="15"/>
      <c r="B47" s="113" t="s">
        <v>22</v>
      </c>
      <c r="C47" s="114"/>
      <c r="D47" s="114"/>
      <c r="E47" s="114"/>
      <c r="F47" s="114"/>
      <c r="G47" s="125">
        <f>L41+G46</f>
        <v>53</v>
      </c>
      <c r="H47" s="152"/>
      <c r="I47" s="119"/>
      <c r="J47" s="120"/>
      <c r="K47" s="55"/>
      <c r="L47" s="56"/>
    </row>
    <row r="48" spans="1:12" ht="15.75" thickBot="1" x14ac:dyDescent="0.3">
      <c r="A48" s="4"/>
      <c r="B48" s="113" t="s">
        <v>23</v>
      </c>
      <c r="C48" s="114"/>
      <c r="D48" s="114"/>
      <c r="E48" s="114"/>
      <c r="F48" s="114"/>
      <c r="G48" s="125">
        <f>G44+G45-G47</f>
        <v>53</v>
      </c>
      <c r="H48" s="152"/>
      <c r="I48" s="119"/>
      <c r="J48" s="120"/>
      <c r="K48" s="55"/>
      <c r="L48" s="57"/>
    </row>
    <row r="49" spans="1:12" ht="15.75" thickBot="1" x14ac:dyDescent="0.3">
      <c r="A49" s="4"/>
      <c r="B49" s="113" t="s">
        <v>24</v>
      </c>
      <c r="C49" s="114"/>
      <c r="D49" s="114"/>
      <c r="E49" s="114"/>
      <c r="F49" s="114"/>
      <c r="G49" s="158">
        <v>33</v>
      </c>
      <c r="H49" s="152"/>
      <c r="I49" s="119"/>
      <c r="J49" s="120"/>
      <c r="K49" s="55"/>
      <c r="L49" s="57"/>
    </row>
    <row r="50" spans="1:12" ht="15.75" thickBot="1" x14ac:dyDescent="0.3">
      <c r="A50" s="4"/>
      <c r="B50" s="113" t="s">
        <v>25</v>
      </c>
      <c r="C50" s="114"/>
      <c r="D50" s="114"/>
      <c r="E50" s="114"/>
      <c r="F50" s="114"/>
      <c r="G50" s="126">
        <f>G48-G49</f>
        <v>20</v>
      </c>
      <c r="H50" s="153"/>
      <c r="I50" s="128"/>
      <c r="J50" s="127"/>
      <c r="K50" s="55"/>
      <c r="L50" s="57"/>
    </row>
    <row r="51" spans="1:12" x14ac:dyDescent="0.25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  <row r="52" spans="1:12" ht="3.75" customHeight="1" x14ac:dyDescent="0.25"/>
    <row r="53" spans="1:12" x14ac:dyDescent="0.25">
      <c r="B53" t="s">
        <v>34</v>
      </c>
    </row>
  </sheetData>
  <mergeCells count="36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6:L6"/>
    <mergeCell ref="H7:I7"/>
    <mergeCell ref="A8:A9"/>
    <mergeCell ref="B8:F8"/>
    <mergeCell ref="G8:K8"/>
    <mergeCell ref="L8:L9"/>
    <mergeCell ref="A5:L5"/>
    <mergeCell ref="A1:D1"/>
    <mergeCell ref="G1:L1"/>
    <mergeCell ref="A2:D2"/>
    <mergeCell ref="G2:L2"/>
    <mergeCell ref="A3:D3"/>
  </mergeCells>
  <pageMargins left="0.7" right="0.7" top="0.75" bottom="0.75" header="0.3" footer="0.3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A40" workbookViewId="0">
      <selection activeCell="B54" sqref="B54"/>
    </sheetView>
  </sheetViews>
  <sheetFormatPr baseColWidth="10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6" t="s">
        <v>0</v>
      </c>
      <c r="B1" s="96"/>
      <c r="C1" s="96"/>
      <c r="D1" s="96"/>
      <c r="E1" s="37"/>
      <c r="F1" s="38"/>
      <c r="G1" s="97" t="s">
        <v>1</v>
      </c>
      <c r="H1" s="97"/>
      <c r="I1" s="97"/>
      <c r="J1" s="97"/>
      <c r="K1" s="97"/>
      <c r="L1" s="97"/>
    </row>
    <row r="2" spans="1:12" ht="15.75" x14ac:dyDescent="0.25">
      <c r="A2" s="97" t="s">
        <v>2</v>
      </c>
      <c r="B2" s="97"/>
      <c r="C2" s="97"/>
      <c r="D2" s="97"/>
      <c r="E2" s="37"/>
      <c r="F2" s="38"/>
      <c r="G2" s="98" t="s">
        <v>3</v>
      </c>
      <c r="H2" s="98"/>
      <c r="I2" s="98"/>
      <c r="J2" s="98"/>
      <c r="K2" s="98"/>
      <c r="L2" s="98"/>
    </row>
    <row r="3" spans="1:12" x14ac:dyDescent="0.25">
      <c r="A3" s="98" t="s">
        <v>4</v>
      </c>
      <c r="B3" s="98"/>
      <c r="C3" s="98"/>
      <c r="D3" s="98"/>
      <c r="E3" s="37"/>
      <c r="F3" s="38"/>
      <c r="G3" s="38"/>
      <c r="H3" s="37"/>
      <c r="I3" s="37"/>
      <c r="J3" s="37"/>
      <c r="K3" s="38"/>
      <c r="L3" s="1"/>
    </row>
    <row r="4" spans="1:12" x14ac:dyDescent="0.25">
      <c r="A4" s="88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 x14ac:dyDescent="0.25">
      <c r="A5" s="96" t="s">
        <v>5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x14ac:dyDescent="0.25">
      <c r="A6" s="97" t="s">
        <v>46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.75" thickBot="1" x14ac:dyDescent="0.3">
      <c r="A7" s="2" t="s">
        <v>6</v>
      </c>
      <c r="B7" s="12"/>
      <c r="C7" s="13"/>
      <c r="D7" s="13"/>
      <c r="E7" s="13"/>
      <c r="F7" s="12"/>
      <c r="G7" s="12"/>
      <c r="H7" s="100"/>
      <c r="I7" s="100"/>
      <c r="J7" s="13"/>
      <c r="K7" s="39"/>
      <c r="L7" s="3"/>
    </row>
    <row r="8" spans="1:12" x14ac:dyDescent="0.25">
      <c r="A8" s="101" t="s">
        <v>7</v>
      </c>
      <c r="B8" s="103" t="s">
        <v>8</v>
      </c>
      <c r="C8" s="104"/>
      <c r="D8" s="104"/>
      <c r="E8" s="104"/>
      <c r="F8" s="105"/>
      <c r="G8" s="106" t="s">
        <v>9</v>
      </c>
      <c r="H8" s="104"/>
      <c r="I8" s="104"/>
      <c r="J8" s="104"/>
      <c r="K8" s="105"/>
      <c r="L8" s="107" t="s">
        <v>10</v>
      </c>
    </row>
    <row r="9" spans="1:12" ht="15.75" thickBot="1" x14ac:dyDescent="0.3">
      <c r="A9" s="102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08"/>
    </row>
    <row r="10" spans="1:12" ht="15.75" thickBot="1" x14ac:dyDescent="0.3">
      <c r="A10" s="6">
        <v>1</v>
      </c>
      <c r="B10" s="20"/>
      <c r="C10" s="21"/>
      <c r="D10" s="21"/>
      <c r="E10" s="22"/>
      <c r="F10" s="19">
        <f>SUM(B10:E10)</f>
        <v>0</v>
      </c>
      <c r="G10" s="48"/>
      <c r="H10" s="31"/>
      <c r="I10" s="31"/>
      <c r="J10" s="31"/>
      <c r="K10" s="17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3"/>
      <c r="C11" s="24"/>
      <c r="D11" s="24"/>
      <c r="E11" s="25"/>
      <c r="F11" s="19">
        <f t="shared" ref="F11:F40" si="0">SUM(B11:E11)</f>
        <v>0</v>
      </c>
      <c r="G11" s="32"/>
      <c r="H11" s="24"/>
      <c r="I11" s="24"/>
      <c r="J11" s="24"/>
      <c r="K11" s="17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3"/>
      <c r="C12" s="24"/>
      <c r="D12" s="24"/>
      <c r="E12" s="26"/>
      <c r="F12" s="19">
        <f t="shared" si="0"/>
        <v>0</v>
      </c>
      <c r="G12" s="32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3">
        <v>2</v>
      </c>
      <c r="C13" s="24"/>
      <c r="D13" s="24"/>
      <c r="E13" s="25"/>
      <c r="F13" s="19">
        <f t="shared" si="0"/>
        <v>2</v>
      </c>
      <c r="G13" s="33">
        <v>1</v>
      </c>
      <c r="H13" s="24"/>
      <c r="I13" s="24"/>
      <c r="J13" s="24"/>
      <c r="K13" s="17">
        <f t="shared" si="1"/>
        <v>1</v>
      </c>
      <c r="L13" s="7">
        <f t="shared" si="2"/>
        <v>3</v>
      </c>
    </row>
    <row r="14" spans="1:12" ht="15.75" thickBot="1" x14ac:dyDescent="0.3">
      <c r="A14" s="8">
        <v>5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3">
        <v>1</v>
      </c>
      <c r="C16" s="24"/>
      <c r="D16" s="24"/>
      <c r="E16" s="25"/>
      <c r="F16" s="19">
        <f t="shared" si="0"/>
        <v>1</v>
      </c>
      <c r="G16" s="32"/>
      <c r="H16" s="24"/>
      <c r="I16" s="24"/>
      <c r="J16" s="24"/>
      <c r="K16" s="17">
        <f t="shared" si="1"/>
        <v>0</v>
      </c>
      <c r="L16" s="7">
        <f t="shared" si="2"/>
        <v>1</v>
      </c>
    </row>
    <row r="17" spans="1:12" ht="15.75" thickBot="1" x14ac:dyDescent="0.3">
      <c r="A17" s="8">
        <v>8</v>
      </c>
      <c r="B17" s="23"/>
      <c r="C17" s="24"/>
      <c r="D17" s="24"/>
      <c r="E17" s="25"/>
      <c r="F17" s="19">
        <f t="shared" si="0"/>
        <v>0</v>
      </c>
      <c r="G17" s="32">
        <v>7</v>
      </c>
      <c r="H17" s="24"/>
      <c r="I17" s="24"/>
      <c r="J17" s="24">
        <v>1</v>
      </c>
      <c r="K17" s="17">
        <f t="shared" si="1"/>
        <v>8</v>
      </c>
      <c r="L17" s="7">
        <f t="shared" si="2"/>
        <v>8</v>
      </c>
    </row>
    <row r="18" spans="1:12" ht="15.75" thickBot="1" x14ac:dyDescent="0.3">
      <c r="A18" s="8">
        <v>9</v>
      </c>
      <c r="B18" s="23"/>
      <c r="C18" s="24"/>
      <c r="D18" s="24"/>
      <c r="E18" s="25"/>
      <c r="F18" s="19">
        <f t="shared" si="0"/>
        <v>0</v>
      </c>
      <c r="G18" s="32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3"/>
      <c r="C20" s="24"/>
      <c r="D20" s="24"/>
      <c r="E20" s="25"/>
      <c r="F20" s="19">
        <f t="shared" si="0"/>
        <v>0</v>
      </c>
      <c r="G20" s="32">
        <v>1</v>
      </c>
      <c r="H20" s="24"/>
      <c r="I20" s="24"/>
      <c r="J20" s="24"/>
      <c r="K20" s="17">
        <f t="shared" si="1"/>
        <v>1</v>
      </c>
      <c r="L20" s="7">
        <f t="shared" si="2"/>
        <v>1</v>
      </c>
    </row>
    <row r="21" spans="1:12" ht="15.75" thickBot="1" x14ac:dyDescent="0.3">
      <c r="A21" s="8">
        <v>12</v>
      </c>
      <c r="B21" s="23"/>
      <c r="C21" s="24"/>
      <c r="D21" s="24"/>
      <c r="E21" s="25"/>
      <c r="F21" s="19">
        <f t="shared" si="0"/>
        <v>0</v>
      </c>
      <c r="G21" s="32"/>
      <c r="H21" s="35"/>
      <c r="I21" s="35"/>
      <c r="J21" s="35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13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3"/>
      <c r="C23" s="24"/>
      <c r="D23" s="24"/>
      <c r="E23" s="25"/>
      <c r="F23" s="19">
        <f t="shared" si="0"/>
        <v>0</v>
      </c>
      <c r="G23" s="36">
        <v>4</v>
      </c>
      <c r="H23" s="24"/>
      <c r="I23" s="24"/>
      <c r="J23" s="24"/>
      <c r="K23" s="17">
        <f t="shared" si="1"/>
        <v>4</v>
      </c>
      <c r="L23" s="7">
        <f t="shared" si="2"/>
        <v>4</v>
      </c>
    </row>
    <row r="24" spans="1:12" ht="15.75" thickBot="1" x14ac:dyDescent="0.3">
      <c r="A24" s="8">
        <v>15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3"/>
      <c r="C25" s="24"/>
      <c r="D25" s="24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3"/>
      <c r="C26" s="87"/>
      <c r="D26" s="27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3">
        <v>2</v>
      </c>
      <c r="C27" s="24"/>
      <c r="D27" s="24"/>
      <c r="E27" s="25"/>
      <c r="F27" s="19">
        <f t="shared" si="0"/>
        <v>2</v>
      </c>
      <c r="G27" s="32"/>
      <c r="H27" s="24"/>
      <c r="I27" s="24"/>
      <c r="J27" s="24"/>
      <c r="K27" s="17">
        <f t="shared" si="1"/>
        <v>0</v>
      </c>
      <c r="L27" s="7">
        <f t="shared" si="2"/>
        <v>2</v>
      </c>
    </row>
    <row r="28" spans="1:12" ht="15.75" thickBot="1" x14ac:dyDescent="0.3">
      <c r="A28" s="8">
        <v>19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3">
        <v>2</v>
      </c>
      <c r="C29" s="24"/>
      <c r="D29" s="24"/>
      <c r="E29" s="25"/>
      <c r="F29" s="19">
        <f t="shared" si="0"/>
        <v>2</v>
      </c>
      <c r="G29" s="32"/>
      <c r="H29" s="24"/>
      <c r="I29" s="24"/>
      <c r="J29" s="24"/>
      <c r="K29" s="17">
        <f t="shared" si="1"/>
        <v>0</v>
      </c>
      <c r="L29" s="7">
        <f t="shared" si="2"/>
        <v>2</v>
      </c>
    </row>
    <row r="30" spans="1:12" ht="15.75" thickBot="1" x14ac:dyDescent="0.3">
      <c r="A30" s="8">
        <v>21</v>
      </c>
      <c r="B30" s="23"/>
      <c r="C30" s="24"/>
      <c r="D30" s="24"/>
      <c r="E30" s="25"/>
      <c r="F30" s="19">
        <f t="shared" si="0"/>
        <v>0</v>
      </c>
      <c r="G30" s="32">
        <v>4</v>
      </c>
      <c r="H30" s="24"/>
      <c r="I30" s="24"/>
      <c r="J30" s="24"/>
      <c r="K30" s="17">
        <f t="shared" si="1"/>
        <v>4</v>
      </c>
      <c r="L30" s="7">
        <f t="shared" si="2"/>
        <v>4</v>
      </c>
    </row>
    <row r="31" spans="1:12" ht="15.75" thickBot="1" x14ac:dyDescent="0.3">
      <c r="A31" s="8">
        <v>22</v>
      </c>
      <c r="B31" s="23"/>
      <c r="C31" s="24"/>
      <c r="D31" s="24"/>
      <c r="E31" s="62"/>
      <c r="F31" s="19">
        <f t="shared" si="0"/>
        <v>0</v>
      </c>
      <c r="G31" s="32">
        <v>5</v>
      </c>
      <c r="H31" s="24"/>
      <c r="I31" s="24"/>
      <c r="J31" s="24"/>
      <c r="K31" s="17">
        <f t="shared" si="1"/>
        <v>5</v>
      </c>
      <c r="L31" s="7">
        <f t="shared" si="2"/>
        <v>5</v>
      </c>
    </row>
    <row r="32" spans="1:12" ht="15.75" thickBot="1" x14ac:dyDescent="0.3">
      <c r="A32" s="8">
        <v>23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3">
        <v>3</v>
      </c>
      <c r="C34" s="24"/>
      <c r="D34" s="24"/>
      <c r="E34" s="25"/>
      <c r="F34" s="19">
        <f t="shared" si="0"/>
        <v>3</v>
      </c>
      <c r="G34" s="32">
        <v>5</v>
      </c>
      <c r="H34" s="24"/>
      <c r="I34" s="24"/>
      <c r="J34" s="24"/>
      <c r="K34" s="17">
        <f t="shared" si="1"/>
        <v>5</v>
      </c>
      <c r="L34" s="7">
        <f t="shared" si="2"/>
        <v>8</v>
      </c>
    </row>
    <row r="35" spans="1:12" ht="15.75" thickBot="1" x14ac:dyDescent="0.3">
      <c r="A35" s="8">
        <v>26</v>
      </c>
      <c r="B35" s="23"/>
      <c r="C35" s="24"/>
      <c r="D35" s="24"/>
      <c r="E35" s="25"/>
      <c r="F35" s="19">
        <f t="shared" si="0"/>
        <v>0</v>
      </c>
      <c r="G35" s="32">
        <v>3</v>
      </c>
      <c r="H35" s="24"/>
      <c r="I35" s="24"/>
      <c r="J35" s="24"/>
      <c r="K35" s="17">
        <f t="shared" si="1"/>
        <v>3</v>
      </c>
      <c r="L35" s="7">
        <f t="shared" si="2"/>
        <v>3</v>
      </c>
    </row>
    <row r="36" spans="1:12" ht="15.75" thickBot="1" x14ac:dyDescent="0.3">
      <c r="A36" s="8">
        <v>27</v>
      </c>
      <c r="B36" s="71">
        <v>5</v>
      </c>
      <c r="C36" s="24"/>
      <c r="D36" s="24"/>
      <c r="E36" s="25"/>
      <c r="F36" s="19">
        <f t="shared" si="0"/>
        <v>5</v>
      </c>
      <c r="G36" s="47">
        <v>2</v>
      </c>
      <c r="H36" s="24"/>
      <c r="I36" s="24"/>
      <c r="J36" s="24"/>
      <c r="K36" s="17">
        <f t="shared" si="1"/>
        <v>2</v>
      </c>
      <c r="L36" s="7">
        <f t="shared" si="2"/>
        <v>7</v>
      </c>
    </row>
    <row r="37" spans="1:12" ht="15.75" thickBot="1" x14ac:dyDescent="0.3">
      <c r="A37" s="8">
        <v>28</v>
      </c>
      <c r="B37" s="23"/>
      <c r="C37" s="24"/>
      <c r="D37" s="24"/>
      <c r="E37" s="25"/>
      <c r="F37" s="19">
        <f t="shared" si="0"/>
        <v>0</v>
      </c>
      <c r="G37" s="32">
        <v>3</v>
      </c>
      <c r="H37" s="24"/>
      <c r="I37" s="24"/>
      <c r="J37" s="24"/>
      <c r="K37" s="17">
        <f t="shared" si="1"/>
        <v>3</v>
      </c>
      <c r="L37" s="7">
        <f t="shared" si="2"/>
        <v>3</v>
      </c>
    </row>
    <row r="38" spans="1:12" ht="15.75" thickBot="1" x14ac:dyDescent="0.3">
      <c r="A38" s="8">
        <v>29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3"/>
      <c r="C39" s="24"/>
      <c r="D39" s="24"/>
      <c r="E39" s="25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 x14ac:dyDescent="0.3">
      <c r="A41" s="91"/>
      <c r="B41" s="90">
        <f>SUM(B10:B40)</f>
        <v>15</v>
      </c>
      <c r="C41" s="90">
        <f t="shared" ref="C41:E41" si="3">SUM(C10:C40)</f>
        <v>0</v>
      </c>
      <c r="D41" s="90">
        <f t="shared" si="3"/>
        <v>0</v>
      </c>
      <c r="E41" s="90">
        <f t="shared" si="3"/>
        <v>0</v>
      </c>
      <c r="F41" s="89">
        <f>SUM(F10:F40)</f>
        <v>15</v>
      </c>
      <c r="G41" s="18">
        <f>SUM(G10:G40)</f>
        <v>35</v>
      </c>
      <c r="H41" s="18">
        <f t="shared" ref="H41:L41" si="4">SUM(H10:H40)</f>
        <v>0</v>
      </c>
      <c r="I41" s="18">
        <f t="shared" si="4"/>
        <v>0</v>
      </c>
      <c r="J41" s="18">
        <f t="shared" si="4"/>
        <v>1</v>
      </c>
      <c r="K41" s="18">
        <f t="shared" si="4"/>
        <v>36</v>
      </c>
      <c r="L41" s="18">
        <f t="shared" si="4"/>
        <v>51</v>
      </c>
    </row>
    <row r="42" spans="1:12" ht="15.75" thickBot="1" x14ac:dyDescent="0.3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 x14ac:dyDescent="0.3">
      <c r="A43" s="109"/>
      <c r="B43" s="109"/>
      <c r="C43" s="109"/>
      <c r="D43" s="109"/>
      <c r="E43" s="109"/>
      <c r="F43" s="109"/>
      <c r="G43" s="110" t="s">
        <v>17</v>
      </c>
      <c r="H43" s="139"/>
      <c r="I43" s="110" t="s">
        <v>18</v>
      </c>
      <c r="J43" s="112"/>
      <c r="K43" s="55"/>
      <c r="L43" s="56"/>
    </row>
    <row r="44" spans="1:12" ht="15.75" thickBot="1" x14ac:dyDescent="0.3">
      <c r="A44" s="15"/>
      <c r="B44" s="113" t="s">
        <v>19</v>
      </c>
      <c r="C44" s="114"/>
      <c r="D44" s="114"/>
      <c r="E44" s="114"/>
      <c r="F44" s="114"/>
      <c r="G44" s="115">
        <v>33</v>
      </c>
      <c r="H44" s="155"/>
      <c r="I44" s="156"/>
      <c r="J44" s="157"/>
      <c r="K44" s="55"/>
      <c r="L44" s="56"/>
    </row>
    <row r="45" spans="1:12" ht="15.75" thickBot="1" x14ac:dyDescent="0.3">
      <c r="A45" s="15"/>
      <c r="B45" s="113" t="s">
        <v>20</v>
      </c>
      <c r="C45" s="114"/>
      <c r="D45" s="114"/>
      <c r="E45" s="114"/>
      <c r="F45" s="114"/>
      <c r="G45" s="119">
        <v>203</v>
      </c>
      <c r="H45" s="152"/>
      <c r="I45" s="119"/>
      <c r="J45" s="120"/>
      <c r="K45" s="55"/>
      <c r="L45" s="56"/>
    </row>
    <row r="46" spans="1:12" ht="15.75" thickBot="1" x14ac:dyDescent="0.3">
      <c r="A46" s="15"/>
      <c r="B46" s="121" t="s">
        <v>21</v>
      </c>
      <c r="C46" s="121"/>
      <c r="D46" s="121"/>
      <c r="E46" s="121"/>
      <c r="F46" s="113"/>
      <c r="G46" s="122">
        <v>26</v>
      </c>
      <c r="H46" s="154"/>
      <c r="I46" s="119"/>
      <c r="J46" s="120"/>
      <c r="K46" s="55"/>
      <c r="L46" s="56"/>
    </row>
    <row r="47" spans="1:12" ht="15.75" thickBot="1" x14ac:dyDescent="0.3">
      <c r="A47" s="15"/>
      <c r="B47" s="113" t="s">
        <v>22</v>
      </c>
      <c r="C47" s="114"/>
      <c r="D47" s="114"/>
      <c r="E47" s="114"/>
      <c r="F47" s="114"/>
      <c r="G47" s="125">
        <f>L41+G46</f>
        <v>77</v>
      </c>
      <c r="H47" s="152"/>
      <c r="I47" s="119"/>
      <c r="J47" s="120"/>
      <c r="K47" s="55"/>
      <c r="L47" s="56"/>
    </row>
    <row r="48" spans="1:12" ht="15.75" thickBot="1" x14ac:dyDescent="0.3">
      <c r="A48" s="4"/>
      <c r="B48" s="113" t="s">
        <v>23</v>
      </c>
      <c r="C48" s="114"/>
      <c r="D48" s="114"/>
      <c r="E48" s="114"/>
      <c r="F48" s="114"/>
      <c r="G48" s="125">
        <f>G44+G45-G47</f>
        <v>159</v>
      </c>
      <c r="H48" s="152"/>
      <c r="I48" s="119"/>
      <c r="J48" s="120"/>
      <c r="K48" s="55"/>
      <c r="L48" s="57"/>
    </row>
    <row r="49" spans="1:12" ht="15.75" thickBot="1" x14ac:dyDescent="0.3">
      <c r="A49" s="4"/>
      <c r="B49" s="113" t="s">
        <v>24</v>
      </c>
      <c r="C49" s="114"/>
      <c r="D49" s="114"/>
      <c r="E49" s="114"/>
      <c r="F49" s="114"/>
      <c r="G49" s="158">
        <v>138</v>
      </c>
      <c r="H49" s="152"/>
      <c r="I49" s="119"/>
      <c r="J49" s="120"/>
      <c r="K49" s="55"/>
      <c r="L49" s="57"/>
    </row>
    <row r="50" spans="1:12" ht="15.75" thickBot="1" x14ac:dyDescent="0.3">
      <c r="A50" s="4"/>
      <c r="B50" s="113" t="s">
        <v>25</v>
      </c>
      <c r="C50" s="114"/>
      <c r="D50" s="114"/>
      <c r="E50" s="114"/>
      <c r="F50" s="114"/>
      <c r="G50" s="126">
        <f>G48-G49</f>
        <v>21</v>
      </c>
      <c r="H50" s="153"/>
      <c r="I50" s="128"/>
      <c r="J50" s="127"/>
      <c r="K50" s="55"/>
      <c r="L50" s="57"/>
    </row>
    <row r="51" spans="1:12" x14ac:dyDescent="0.25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  <row r="53" spans="1:12" x14ac:dyDescent="0.25">
      <c r="B53" t="s">
        <v>49</v>
      </c>
    </row>
    <row r="54" spans="1:12" x14ac:dyDescent="0.25">
      <c r="B54" t="s">
        <v>47</v>
      </c>
    </row>
  </sheetData>
  <mergeCells count="36">
    <mergeCell ref="A5:L5"/>
    <mergeCell ref="A1:D1"/>
    <mergeCell ref="G1:L1"/>
    <mergeCell ref="A2:D2"/>
    <mergeCell ref="G2:L2"/>
    <mergeCell ref="A3:D3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topLeftCell="A13" workbookViewId="0">
      <selection activeCell="H20" sqref="H20"/>
    </sheetView>
  </sheetViews>
  <sheetFormatPr baseColWidth="10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6" t="s">
        <v>0</v>
      </c>
      <c r="B1" s="96"/>
      <c r="C1" s="96"/>
      <c r="D1" s="96"/>
      <c r="E1" s="37"/>
      <c r="F1" s="38"/>
      <c r="G1" s="97" t="s">
        <v>1</v>
      </c>
      <c r="H1" s="97"/>
      <c r="I1" s="97"/>
      <c r="J1" s="97"/>
      <c r="K1" s="97"/>
      <c r="L1" s="97"/>
    </row>
    <row r="2" spans="1:12" ht="15.75" x14ac:dyDescent="0.25">
      <c r="A2" s="97" t="s">
        <v>2</v>
      </c>
      <c r="B2" s="97"/>
      <c r="C2" s="97"/>
      <c r="D2" s="97"/>
      <c r="E2" s="37"/>
      <c r="F2" s="38"/>
      <c r="G2" s="98" t="s">
        <v>3</v>
      </c>
      <c r="H2" s="98"/>
      <c r="I2" s="98"/>
      <c r="J2" s="98"/>
      <c r="K2" s="98"/>
      <c r="L2" s="98"/>
    </row>
    <row r="3" spans="1:12" x14ac:dyDescent="0.25">
      <c r="A3" s="98" t="s">
        <v>4</v>
      </c>
      <c r="B3" s="98"/>
      <c r="C3" s="98"/>
      <c r="D3" s="98"/>
      <c r="E3" s="37"/>
      <c r="F3" s="38"/>
      <c r="G3" s="38"/>
      <c r="H3" s="37"/>
      <c r="I3" s="37"/>
      <c r="J3" s="37"/>
      <c r="K3" s="38"/>
      <c r="L3" s="1"/>
    </row>
    <row r="4" spans="1:12" x14ac:dyDescent="0.25">
      <c r="A4" s="92"/>
      <c r="B4" s="38"/>
      <c r="C4" s="37"/>
      <c r="D4" s="37"/>
      <c r="E4" s="37"/>
      <c r="F4" s="38"/>
      <c r="G4" s="38"/>
      <c r="H4" s="37"/>
      <c r="I4" s="37"/>
      <c r="J4" s="37"/>
      <c r="K4" s="38"/>
      <c r="L4" s="1"/>
    </row>
    <row r="5" spans="1:12" ht="18" x14ac:dyDescent="0.25">
      <c r="A5" s="96" t="s">
        <v>5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1:12" ht="15.75" x14ac:dyDescent="0.25">
      <c r="A6" s="97" t="s">
        <v>48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15.75" thickBot="1" x14ac:dyDescent="0.3">
      <c r="A7" s="2" t="s">
        <v>6</v>
      </c>
      <c r="B7" s="12"/>
      <c r="C7" s="13"/>
      <c r="D7" s="13"/>
      <c r="E7" s="13"/>
      <c r="F7" s="12"/>
      <c r="G7" s="12"/>
      <c r="H7" s="100"/>
      <c r="I7" s="100"/>
      <c r="J7" s="13"/>
      <c r="K7" s="39"/>
      <c r="L7" s="3"/>
    </row>
    <row r="8" spans="1:12" x14ac:dyDescent="0.25">
      <c r="A8" s="101" t="s">
        <v>7</v>
      </c>
      <c r="B8" s="103" t="s">
        <v>8</v>
      </c>
      <c r="C8" s="104"/>
      <c r="D8" s="104"/>
      <c r="E8" s="104"/>
      <c r="F8" s="105"/>
      <c r="G8" s="106" t="s">
        <v>9</v>
      </c>
      <c r="H8" s="104"/>
      <c r="I8" s="104"/>
      <c r="J8" s="104"/>
      <c r="K8" s="105"/>
      <c r="L8" s="107" t="s">
        <v>10</v>
      </c>
    </row>
    <row r="9" spans="1:12" ht="15.75" thickBot="1" x14ac:dyDescent="0.3">
      <c r="A9" s="102"/>
      <c r="B9" s="40" t="s">
        <v>11</v>
      </c>
      <c r="C9" s="41" t="s">
        <v>12</v>
      </c>
      <c r="D9" s="41" t="s">
        <v>13</v>
      </c>
      <c r="E9" s="41" t="s">
        <v>14</v>
      </c>
      <c r="F9" s="42" t="s">
        <v>15</v>
      </c>
      <c r="G9" s="43" t="s">
        <v>11</v>
      </c>
      <c r="H9" s="41" t="s">
        <v>12</v>
      </c>
      <c r="I9" s="41" t="s">
        <v>13</v>
      </c>
      <c r="J9" s="41" t="s">
        <v>14</v>
      </c>
      <c r="K9" s="42" t="s">
        <v>16</v>
      </c>
      <c r="L9" s="108"/>
    </row>
    <row r="10" spans="1:12" ht="15.75" thickBot="1" x14ac:dyDescent="0.3">
      <c r="A10" s="6">
        <v>1</v>
      </c>
      <c r="B10" s="20"/>
      <c r="C10" s="21"/>
      <c r="D10" s="21"/>
      <c r="E10" s="22"/>
      <c r="F10" s="19">
        <f>SUM(B10:E10)</f>
        <v>0</v>
      </c>
      <c r="G10" s="48"/>
      <c r="H10" s="31"/>
      <c r="I10" s="31"/>
      <c r="J10" s="31"/>
      <c r="K10" s="17">
        <f>SUM(G10:J10)</f>
        <v>0</v>
      </c>
      <c r="L10" s="7">
        <f>SUM(F10+K10)</f>
        <v>0</v>
      </c>
    </row>
    <row r="11" spans="1:12" ht="15.75" thickBot="1" x14ac:dyDescent="0.3">
      <c r="A11" s="8">
        <v>2</v>
      </c>
      <c r="B11" s="23"/>
      <c r="C11" s="24"/>
      <c r="D11" s="24"/>
      <c r="E11" s="25"/>
      <c r="F11" s="19">
        <f t="shared" ref="F11:F40" si="0">SUM(B11:E11)</f>
        <v>0</v>
      </c>
      <c r="G11" s="32"/>
      <c r="H11" s="24"/>
      <c r="I11" s="24"/>
      <c r="J11" s="24"/>
      <c r="K11" s="17">
        <f t="shared" ref="K11:K40" si="1">SUM(G11:J11)</f>
        <v>0</v>
      </c>
      <c r="L11" s="7">
        <f t="shared" ref="L11:L40" si="2">SUM(F11+K11)</f>
        <v>0</v>
      </c>
    </row>
    <row r="12" spans="1:12" ht="15.75" thickBot="1" x14ac:dyDescent="0.3">
      <c r="A12" s="8">
        <v>3</v>
      </c>
      <c r="B12" s="23"/>
      <c r="C12" s="24"/>
      <c r="D12" s="24"/>
      <c r="E12" s="26"/>
      <c r="F12" s="19">
        <f t="shared" si="0"/>
        <v>0</v>
      </c>
      <c r="G12" s="32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4</v>
      </c>
      <c r="B13" s="23">
        <v>1</v>
      </c>
      <c r="C13" s="24"/>
      <c r="D13" s="24"/>
      <c r="E13" s="25"/>
      <c r="F13" s="19">
        <f t="shared" si="0"/>
        <v>1</v>
      </c>
      <c r="G13" s="33"/>
      <c r="H13" s="24"/>
      <c r="I13" s="24"/>
      <c r="J13" s="24"/>
      <c r="K13" s="17">
        <f t="shared" si="1"/>
        <v>0</v>
      </c>
      <c r="L13" s="7">
        <f t="shared" si="2"/>
        <v>1</v>
      </c>
    </row>
    <row r="14" spans="1:12" ht="15.75" thickBot="1" x14ac:dyDescent="0.3">
      <c r="A14" s="8">
        <v>5</v>
      </c>
      <c r="B14" s="23"/>
      <c r="C14" s="24"/>
      <c r="D14" s="24"/>
      <c r="E14" s="25"/>
      <c r="F14" s="19">
        <f t="shared" si="0"/>
        <v>0</v>
      </c>
      <c r="G14" s="32">
        <v>2</v>
      </c>
      <c r="H14" s="24"/>
      <c r="I14" s="24">
        <v>1</v>
      </c>
      <c r="J14" s="24"/>
      <c r="K14" s="17">
        <f t="shared" si="1"/>
        <v>3</v>
      </c>
      <c r="L14" s="7">
        <f t="shared" si="2"/>
        <v>3</v>
      </c>
    </row>
    <row r="15" spans="1:12" ht="15.75" thickBot="1" x14ac:dyDescent="0.3">
      <c r="A15" s="8">
        <v>6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7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8</v>
      </c>
      <c r="B17" s="23">
        <v>2</v>
      </c>
      <c r="C17" s="24"/>
      <c r="D17" s="24"/>
      <c r="E17" s="25"/>
      <c r="F17" s="19">
        <f t="shared" si="0"/>
        <v>2</v>
      </c>
      <c r="G17" s="32"/>
      <c r="H17" s="24"/>
      <c r="I17" s="24"/>
      <c r="J17" s="24"/>
      <c r="K17" s="17">
        <f t="shared" si="1"/>
        <v>0</v>
      </c>
      <c r="L17" s="7">
        <f t="shared" si="2"/>
        <v>2</v>
      </c>
    </row>
    <row r="18" spans="1:12" ht="15.75" thickBot="1" x14ac:dyDescent="0.3">
      <c r="A18" s="8">
        <v>9</v>
      </c>
      <c r="B18" s="23"/>
      <c r="C18" s="24"/>
      <c r="D18" s="24"/>
      <c r="E18" s="25"/>
      <c r="F18" s="19">
        <f t="shared" si="0"/>
        <v>0</v>
      </c>
      <c r="G18" s="32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10</v>
      </c>
      <c r="B19" s="23"/>
      <c r="C19" s="24"/>
      <c r="D19" s="24"/>
      <c r="E19" s="25"/>
      <c r="F19" s="19">
        <f t="shared" si="0"/>
        <v>0</v>
      </c>
      <c r="G19" s="34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11</v>
      </c>
      <c r="B20" s="23"/>
      <c r="C20" s="24"/>
      <c r="D20" s="24"/>
      <c r="E20" s="25"/>
      <c r="F20" s="19">
        <f t="shared" si="0"/>
        <v>0</v>
      </c>
      <c r="G20" s="32"/>
      <c r="H20" s="24"/>
      <c r="I20" s="24"/>
      <c r="J20" s="24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12</v>
      </c>
      <c r="B21" s="23"/>
      <c r="C21" s="24"/>
      <c r="D21" s="24"/>
      <c r="E21" s="25"/>
      <c r="F21" s="19">
        <f t="shared" si="0"/>
        <v>0</v>
      </c>
      <c r="G21" s="32">
        <v>9</v>
      </c>
      <c r="H21" s="35">
        <v>1</v>
      </c>
      <c r="I21" s="35"/>
      <c r="J21" s="35"/>
      <c r="K21" s="17">
        <f t="shared" si="1"/>
        <v>10</v>
      </c>
      <c r="L21" s="7">
        <f t="shared" si="2"/>
        <v>10</v>
      </c>
    </row>
    <row r="22" spans="1:12" ht="15.75" thickBot="1" x14ac:dyDescent="0.3">
      <c r="A22" s="8">
        <v>13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14</v>
      </c>
      <c r="B23" s="23"/>
      <c r="C23" s="24"/>
      <c r="D23" s="24"/>
      <c r="E23" s="25"/>
      <c r="F23" s="19">
        <f t="shared" si="0"/>
        <v>0</v>
      </c>
      <c r="G23" s="36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15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16</v>
      </c>
      <c r="B25" s="23"/>
      <c r="C25" s="24"/>
      <c r="D25" s="24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17</v>
      </c>
      <c r="B26" s="23"/>
      <c r="C26" s="87"/>
      <c r="D26" s="27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18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19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20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21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22</v>
      </c>
      <c r="B31" s="23"/>
      <c r="C31" s="24"/>
      <c r="D31" s="24"/>
      <c r="E31" s="62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23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24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25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26</v>
      </c>
      <c r="B35" s="23"/>
      <c r="C35" s="24"/>
      <c r="D35" s="24"/>
      <c r="E35" s="25"/>
      <c r="F35" s="19">
        <f t="shared" si="0"/>
        <v>0</v>
      </c>
      <c r="G35" s="32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27</v>
      </c>
      <c r="B36" s="71"/>
      <c r="C36" s="24"/>
      <c r="D36" s="24"/>
      <c r="E36" s="25"/>
      <c r="F36" s="19">
        <f t="shared" si="0"/>
        <v>0</v>
      </c>
      <c r="G36" s="47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28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29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8">
        <v>30</v>
      </c>
      <c r="B39" s="23"/>
      <c r="C39" s="24"/>
      <c r="D39" s="24"/>
      <c r="E39" s="25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9">
        <v>31</v>
      </c>
      <c r="B40" s="28"/>
      <c r="C40" s="29"/>
      <c r="D40" s="29"/>
      <c r="E40" s="30"/>
      <c r="F40" s="19">
        <f t="shared" si="0"/>
        <v>0</v>
      </c>
      <c r="G40" s="32"/>
      <c r="H40" s="24"/>
      <c r="I40" s="24"/>
      <c r="J40" s="24"/>
      <c r="K40" s="17">
        <f t="shared" si="1"/>
        <v>0</v>
      </c>
      <c r="L40" s="7">
        <f t="shared" si="2"/>
        <v>0</v>
      </c>
    </row>
    <row r="41" spans="1:12" ht="15.75" thickBot="1" x14ac:dyDescent="0.3">
      <c r="A41" s="95"/>
      <c r="B41" s="94">
        <f>SUM(B10:B40)</f>
        <v>3</v>
      </c>
      <c r="C41" s="94">
        <f t="shared" ref="C41:E41" si="3">SUM(C10:C40)</f>
        <v>0</v>
      </c>
      <c r="D41" s="94">
        <f t="shared" si="3"/>
        <v>0</v>
      </c>
      <c r="E41" s="94">
        <f t="shared" si="3"/>
        <v>0</v>
      </c>
      <c r="F41" s="93">
        <f>SUM(F10:F40)</f>
        <v>3</v>
      </c>
      <c r="G41" s="18">
        <f>SUM(G10:G40)</f>
        <v>11</v>
      </c>
      <c r="H41" s="18">
        <f t="shared" ref="H41:L41" si="4">SUM(H10:H40)</f>
        <v>1</v>
      </c>
      <c r="I41" s="18">
        <f t="shared" si="4"/>
        <v>1</v>
      </c>
      <c r="J41" s="18">
        <f t="shared" si="4"/>
        <v>0</v>
      </c>
      <c r="K41" s="18">
        <f t="shared" si="4"/>
        <v>13</v>
      </c>
      <c r="L41" s="18">
        <f t="shared" si="4"/>
        <v>16</v>
      </c>
    </row>
    <row r="42" spans="1:12" ht="15.75" thickBot="1" x14ac:dyDescent="0.3">
      <c r="A42" s="12"/>
      <c r="B42" s="12"/>
      <c r="C42" s="13"/>
      <c r="D42" s="13"/>
      <c r="E42" s="13"/>
      <c r="F42" s="12"/>
      <c r="G42" s="12"/>
      <c r="H42" s="13"/>
      <c r="I42" s="13"/>
      <c r="J42" s="13"/>
      <c r="K42" s="12"/>
      <c r="L42" s="14"/>
    </row>
    <row r="43" spans="1:12" ht="15.75" thickBot="1" x14ac:dyDescent="0.3">
      <c r="A43" s="109"/>
      <c r="B43" s="109"/>
      <c r="C43" s="109"/>
      <c r="D43" s="109"/>
      <c r="E43" s="109"/>
      <c r="F43" s="109"/>
      <c r="G43" s="110" t="s">
        <v>17</v>
      </c>
      <c r="H43" s="139"/>
      <c r="I43" s="110" t="s">
        <v>18</v>
      </c>
      <c r="J43" s="112"/>
      <c r="K43" s="55"/>
      <c r="L43" s="56"/>
    </row>
    <row r="44" spans="1:12" ht="15.75" thickBot="1" x14ac:dyDescent="0.3">
      <c r="A44" s="15"/>
      <c r="B44" s="113" t="s">
        <v>19</v>
      </c>
      <c r="C44" s="114"/>
      <c r="D44" s="114"/>
      <c r="E44" s="114"/>
      <c r="F44" s="114"/>
      <c r="G44" s="115">
        <v>138</v>
      </c>
      <c r="H44" s="155"/>
      <c r="I44" s="156"/>
      <c r="J44" s="157"/>
      <c r="K44" s="55"/>
      <c r="L44" s="56"/>
    </row>
    <row r="45" spans="1:12" ht="15.75" thickBot="1" x14ac:dyDescent="0.3">
      <c r="A45" s="15"/>
      <c r="B45" s="113" t="s">
        <v>20</v>
      </c>
      <c r="C45" s="114"/>
      <c r="D45" s="114"/>
      <c r="E45" s="114"/>
      <c r="F45" s="114"/>
      <c r="G45" s="119">
        <v>0</v>
      </c>
      <c r="H45" s="152"/>
      <c r="I45" s="119"/>
      <c r="J45" s="120"/>
      <c r="K45" s="55"/>
      <c r="L45" s="56"/>
    </row>
    <row r="46" spans="1:12" ht="15.75" thickBot="1" x14ac:dyDescent="0.3">
      <c r="A46" s="15"/>
      <c r="B46" s="121" t="s">
        <v>21</v>
      </c>
      <c r="C46" s="121"/>
      <c r="D46" s="121"/>
      <c r="E46" s="121"/>
      <c r="F46" s="113"/>
      <c r="G46" s="122">
        <v>0</v>
      </c>
      <c r="H46" s="154"/>
      <c r="I46" s="119"/>
      <c r="J46" s="120"/>
      <c r="K46" s="55"/>
      <c r="L46" s="56"/>
    </row>
    <row r="47" spans="1:12" ht="15.75" thickBot="1" x14ac:dyDescent="0.3">
      <c r="A47" s="15"/>
      <c r="B47" s="113" t="s">
        <v>22</v>
      </c>
      <c r="C47" s="114"/>
      <c r="D47" s="114"/>
      <c r="E47" s="114"/>
      <c r="F47" s="114"/>
      <c r="G47" s="125">
        <f>L41+G46</f>
        <v>16</v>
      </c>
      <c r="H47" s="152"/>
      <c r="I47" s="119"/>
      <c r="J47" s="120"/>
      <c r="K47" s="55"/>
      <c r="L47" s="56"/>
    </row>
    <row r="48" spans="1:12" ht="15.75" thickBot="1" x14ac:dyDescent="0.3">
      <c r="A48" s="4"/>
      <c r="B48" s="113" t="s">
        <v>23</v>
      </c>
      <c r="C48" s="114"/>
      <c r="D48" s="114"/>
      <c r="E48" s="114"/>
      <c r="F48" s="114"/>
      <c r="G48" s="125">
        <f>G44+G45-G47</f>
        <v>122</v>
      </c>
      <c r="H48" s="152"/>
      <c r="I48" s="119"/>
      <c r="J48" s="120"/>
      <c r="K48" s="55"/>
      <c r="L48" s="57"/>
    </row>
    <row r="49" spans="1:12" ht="15.75" thickBot="1" x14ac:dyDescent="0.3">
      <c r="A49" s="4"/>
      <c r="B49" s="113" t="s">
        <v>24</v>
      </c>
      <c r="C49" s="114"/>
      <c r="D49" s="114"/>
      <c r="E49" s="114"/>
      <c r="F49" s="114"/>
      <c r="G49" s="158">
        <v>122</v>
      </c>
      <c r="H49" s="152"/>
      <c r="I49" s="119"/>
      <c r="J49" s="120"/>
      <c r="K49" s="55"/>
      <c r="L49" s="57"/>
    </row>
    <row r="50" spans="1:12" ht="15.75" thickBot="1" x14ac:dyDescent="0.3">
      <c r="A50" s="4"/>
      <c r="B50" s="113" t="s">
        <v>25</v>
      </c>
      <c r="C50" s="114"/>
      <c r="D50" s="114"/>
      <c r="E50" s="114"/>
      <c r="F50" s="114"/>
      <c r="G50" s="126">
        <f>G48-G49</f>
        <v>0</v>
      </c>
      <c r="H50" s="153"/>
      <c r="I50" s="128"/>
      <c r="J50" s="127"/>
      <c r="K50" s="55"/>
      <c r="L50" s="57"/>
    </row>
    <row r="51" spans="1:12" x14ac:dyDescent="0.25">
      <c r="A51" s="5" t="s">
        <v>26</v>
      </c>
      <c r="B51" s="38"/>
      <c r="C51" s="44"/>
      <c r="D51" s="44"/>
      <c r="E51" s="44"/>
      <c r="F51" s="38"/>
      <c r="G51" s="38"/>
      <c r="H51" s="44"/>
      <c r="I51" s="45" t="s">
        <v>27</v>
      </c>
      <c r="J51" s="44"/>
      <c r="K51" s="38"/>
      <c r="L51" s="1"/>
    </row>
  </sheetData>
  <mergeCells count="36">
    <mergeCell ref="A5:L5"/>
    <mergeCell ref="A1:D1"/>
    <mergeCell ref="G1:L1"/>
    <mergeCell ref="A2:D2"/>
    <mergeCell ref="G2:L2"/>
    <mergeCell ref="A3:D3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JANVIER 2015</vt:lpstr>
      <vt:lpstr>FEVRIER 2015</vt:lpstr>
      <vt:lpstr>Mars 2015</vt:lpstr>
      <vt:lpstr>Avril 2015</vt:lpstr>
      <vt:lpstr>Mai 2015</vt:lpstr>
      <vt:lpstr>Juin 2015</vt:lpstr>
      <vt:lpstr>Juillet 2015</vt:lpstr>
      <vt:lpstr>Aout 2015</vt:lpstr>
      <vt:lpstr>Septembre 2015</vt:lpstr>
      <vt:lpstr>Octobre 2015</vt:lpstr>
      <vt:lpstr>Novembre 2015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 BERROUAGHIA</cp:lastModifiedBy>
  <cp:lastPrinted>2015-09-01T09:04:55Z</cp:lastPrinted>
  <dcterms:created xsi:type="dcterms:W3CDTF">2014-12-31T15:22:06Z</dcterms:created>
  <dcterms:modified xsi:type="dcterms:W3CDTF">2015-11-15T14:37:25Z</dcterms:modified>
</cp:coreProperties>
</file>