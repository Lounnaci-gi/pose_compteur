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uivie Pose Compteurs\Gestion Stock 2019\Gestion de Stock Berrouaghia\"/>
    </mc:Choice>
  </mc:AlternateContent>
  <bookViews>
    <workbookView xWindow="0" yWindow="0" windowWidth="20490" windowHeight="7755" activeTab="1"/>
  </bookViews>
  <sheets>
    <sheet name="Janvier 2019" sheetId="1" r:id="rId1"/>
    <sheet name="Février 2019" sheetId="2" r:id="rId2"/>
    <sheet name="Mars 2019" sheetId="3" r:id="rId3"/>
    <sheet name="Avril 2019" sheetId="4" r:id="rId4"/>
    <sheet name="Mai 2019" sheetId="5" r:id="rId5"/>
    <sheet name="JUIN 2019" sheetId="6" r:id="rId6"/>
    <sheet name="JUILLET 2019" sheetId="7" r:id="rId7"/>
    <sheet name="AOUT 2019" sheetId="8" r:id="rId8"/>
    <sheet name="SEPTEMBRE 2019" sheetId="9" r:id="rId9"/>
    <sheet name="OCTOBRE 2019" sheetId="10" r:id="rId10"/>
    <sheet name="NOVEMBRE 2019" sheetId="11" r:id="rId11"/>
    <sheet name="DECEMBRE 2019" sheetId="12" r:id="rId12"/>
  </sheets>
  <definedNames>
    <definedName name="_xlnm.Print_Titles" localSheetId="7">'AOUT 2019'!$1:$6</definedName>
    <definedName name="_xlnm.Print_Titles" localSheetId="3">'Avril 2019'!$1:$6</definedName>
    <definedName name="_xlnm.Print_Titles" localSheetId="11">'DECEMBRE 2019'!$1:$6</definedName>
    <definedName name="_xlnm.Print_Titles" localSheetId="1">'Février 2019'!$1:$6</definedName>
    <definedName name="_xlnm.Print_Titles" localSheetId="0">'Janvier 2019'!$1:$6</definedName>
    <definedName name="_xlnm.Print_Titles" localSheetId="6">'JUILLET 2019'!$1:$6</definedName>
    <definedName name="_xlnm.Print_Titles" localSheetId="5">'JUIN 2019'!$1:$6</definedName>
    <definedName name="_xlnm.Print_Titles" localSheetId="4">'Mai 2019'!$1:$6</definedName>
    <definedName name="_xlnm.Print_Titles" localSheetId="2">'Mars 2019'!$1:$6</definedName>
    <definedName name="_xlnm.Print_Titles" localSheetId="10">'NOVEMBRE 2019'!$1:$6</definedName>
    <definedName name="_xlnm.Print_Titles" localSheetId="9">'OCTOBRE 2019'!$1:$6</definedName>
    <definedName name="_xlnm.Print_Titles" localSheetId="8">'SEPTEMBRE 2019'!$1:$6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2" l="1"/>
  <c r="A8" i="12" l="1"/>
  <c r="A9" i="12" s="1"/>
  <c r="K4" i="12"/>
  <c r="K3" i="12"/>
  <c r="K2" i="12"/>
  <c r="A10" i="12" l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K5" i="12"/>
  <c r="A9" i="1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8" i="11"/>
  <c r="K4" i="11"/>
  <c r="K3" i="11"/>
  <c r="K2" i="11"/>
  <c r="K5" i="11" l="1"/>
  <c r="A67" i="10"/>
  <c r="A68" i="10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K4" i="10"/>
  <c r="K3" i="10"/>
  <c r="K2" i="10"/>
  <c r="K5" i="10" l="1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K4" i="9"/>
  <c r="K3" i="9"/>
  <c r="K2" i="9"/>
  <c r="K5" i="9" l="1"/>
  <c r="A9" i="8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8" i="8"/>
  <c r="K4" i="8"/>
  <c r="K3" i="8"/>
  <c r="K2" i="8"/>
  <c r="K5" i="8" l="1"/>
  <c r="A9" i="7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8" i="7"/>
  <c r="K4" i="7"/>
  <c r="K3" i="7"/>
  <c r="K2" i="7"/>
  <c r="K5" i="7" l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K4" i="6"/>
  <c r="K3" i="6"/>
  <c r="K2" i="6"/>
  <c r="K5" i="6" l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K4" i="5"/>
  <c r="K3" i="5"/>
  <c r="K2" i="5"/>
  <c r="K5" i="5" l="1"/>
  <c r="A28" i="4"/>
  <c r="A29" i="4"/>
  <c r="A30" i="4" s="1"/>
  <c r="A31" i="4" s="1"/>
  <c r="A32" i="4" s="1"/>
  <c r="A8" i="4" l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K4" i="4"/>
  <c r="K3" i="4"/>
  <c r="K2" i="4"/>
  <c r="K5" i="4" l="1"/>
  <c r="A78" i="3"/>
  <c r="A79" i="3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8" i="3" l="1"/>
  <c r="A9" i="3" s="1"/>
  <c r="A10" i="3" s="1"/>
  <c r="A11" i="3" s="1"/>
  <c r="A12" i="3" s="1"/>
  <c r="A13" i="3" s="1"/>
  <c r="A14" i="3" s="1"/>
  <c r="A15" i="3" s="1"/>
  <c r="A16" i="3" s="1"/>
  <c r="K4" i="3"/>
  <c r="K3" i="3"/>
  <c r="K2" i="3"/>
  <c r="A17" i="3" l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K5" i="3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K4" i="2"/>
  <c r="K3" i="2"/>
  <c r="K2" i="2"/>
  <c r="K5" i="2" l="1"/>
  <c r="A33" i="1"/>
  <c r="A34" i="1"/>
  <c r="A35" i="1" s="1"/>
  <c r="A36" i="1" s="1"/>
  <c r="A37" i="1" s="1"/>
  <c r="A38" i="1" s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K4" i="1"/>
  <c r="K3" i="1"/>
  <c r="K2" i="1"/>
  <c r="A39" i="1" l="1"/>
  <c r="A40" i="1" s="1"/>
  <c r="A41" i="1" s="1"/>
  <c r="A42" i="1" s="1"/>
  <c r="A43" i="1" s="1"/>
  <c r="A44" i="1" s="1"/>
  <c r="A45" i="1" s="1"/>
  <c r="K5" i="1"/>
</calcChain>
</file>

<file path=xl/sharedStrings.xml><?xml version="1.0" encoding="utf-8"?>
<sst xmlns="http://schemas.openxmlformats.org/spreadsheetml/2006/main" count="2178" uniqueCount="929">
  <si>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</si>
  <si>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</si>
  <si>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</si>
  <si>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</si>
  <si>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</si>
  <si>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</si>
  <si>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 xml:space="preserve">              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</si>
  <si>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</si>
  <si>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</si>
  <si>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</si>
  <si>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</si>
  <si>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</si>
  <si>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</si>
  <si>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</si>
  <si>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</si>
  <si>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</si>
  <si>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</si>
  <si>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CC</t>
  </si>
  <si>
    <t>15/21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</si>
  <si>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</si>
  <si>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2018142547</t>
  </si>
  <si>
    <t>NB(N°259/2018)</t>
  </si>
  <si>
    <t>Bessam mahdi benali</t>
  </si>
  <si>
    <t>B3 2277</t>
  </si>
  <si>
    <t>20/27</t>
  </si>
  <si>
    <t>2016010689</t>
  </si>
  <si>
    <t>Elimination Forfait</t>
  </si>
  <si>
    <t>2018170052</t>
  </si>
  <si>
    <t>NB(N°252/2018)</t>
  </si>
  <si>
    <t>Bouguessa a/rezzak</t>
  </si>
  <si>
    <t>2018170055</t>
  </si>
  <si>
    <t>NB(N°251/2018)</t>
  </si>
  <si>
    <t>Mazari med</t>
  </si>
  <si>
    <t>2018170057</t>
  </si>
  <si>
    <t>NB(N°232/2018)</t>
  </si>
  <si>
    <t>Bessam kouider</t>
  </si>
  <si>
    <t>Bessam med</t>
  </si>
  <si>
    <t>NB(N°255/2018)</t>
  </si>
  <si>
    <t>2018170053</t>
  </si>
  <si>
    <t>B1 0278</t>
  </si>
  <si>
    <t>2018170060</t>
  </si>
  <si>
    <t>VENTE</t>
  </si>
  <si>
    <t>B4 1617</t>
  </si>
  <si>
    <t>2018170051</t>
  </si>
  <si>
    <t>2018170054</t>
  </si>
  <si>
    <t>NB(N°261/2018)</t>
  </si>
  <si>
    <t>Bentaya nadji</t>
  </si>
  <si>
    <t>2018170056</t>
  </si>
  <si>
    <t>NB(N°278/2018)</t>
  </si>
  <si>
    <t>Taleb A/rahmane</t>
  </si>
  <si>
    <t>2018170058</t>
  </si>
  <si>
    <t>NB(N°268/2018)</t>
  </si>
  <si>
    <t>Belhadj sebbah</t>
  </si>
  <si>
    <t>BB 0214</t>
  </si>
  <si>
    <t>2018169975</t>
  </si>
  <si>
    <t>B4 0295</t>
  </si>
  <si>
    <t>2018170059</t>
  </si>
  <si>
    <t>2018169977</t>
  </si>
  <si>
    <t>NB(N°258/2018)</t>
  </si>
  <si>
    <t>Bessam lakhdar</t>
  </si>
  <si>
    <t>B2 1122</t>
  </si>
  <si>
    <t>2018169978</t>
  </si>
  <si>
    <t>2018000152</t>
  </si>
  <si>
    <t>NB(N°300/2018)</t>
  </si>
  <si>
    <t>Sarl Aslan</t>
  </si>
  <si>
    <t>B2 0915</t>
  </si>
  <si>
    <t>2018170147</t>
  </si>
  <si>
    <t>B2 1054</t>
  </si>
  <si>
    <t>2018170145</t>
  </si>
  <si>
    <t>B2 1832</t>
  </si>
  <si>
    <t>B2 1818</t>
  </si>
  <si>
    <t>2018169979</t>
  </si>
  <si>
    <t>B2 1533</t>
  </si>
  <si>
    <t>2016010686</t>
  </si>
  <si>
    <t>2018169976</t>
  </si>
  <si>
    <t>B3 5344</t>
  </si>
  <si>
    <t>2018170143</t>
  </si>
  <si>
    <t>B3 5112</t>
  </si>
  <si>
    <t>2018170150</t>
  </si>
  <si>
    <t>B3 3520</t>
  </si>
  <si>
    <t>2018170142</t>
  </si>
  <si>
    <t>B3 4735</t>
  </si>
  <si>
    <t>2018170144</t>
  </si>
  <si>
    <t>B3 4865</t>
  </si>
  <si>
    <t>2018170146</t>
  </si>
  <si>
    <t>2018170107</t>
  </si>
  <si>
    <t>NB(N°253/2018)</t>
  </si>
  <si>
    <t>2018170106</t>
  </si>
  <si>
    <t>NB(N°287/2018)</t>
  </si>
  <si>
    <t>Bessam youcef</t>
  </si>
  <si>
    <t>Bouguessa med</t>
  </si>
  <si>
    <t>2018170109</t>
  </si>
  <si>
    <t>NB(N°342/2017)</t>
  </si>
  <si>
    <t>Salon de coiffure Trifi baya</t>
  </si>
  <si>
    <t>2018170149</t>
  </si>
  <si>
    <t>2018170110</t>
  </si>
  <si>
    <t>NB(N°1612015)</t>
  </si>
  <si>
    <t>Chaier yahia</t>
  </si>
  <si>
    <t>NB(N°228/2018)</t>
  </si>
  <si>
    <t>Sahraoui smail</t>
  </si>
  <si>
    <t>NB(N°328/2018)</t>
  </si>
  <si>
    <t>Hadef a/rahmane</t>
  </si>
  <si>
    <t>2018170293</t>
  </si>
  <si>
    <t>2018170296</t>
  </si>
  <si>
    <t>2018170297</t>
  </si>
  <si>
    <t>2018170298</t>
  </si>
  <si>
    <t>2018170299</t>
  </si>
  <si>
    <t>NB(N°256/2018)</t>
  </si>
  <si>
    <t>Taleb yahia ben med</t>
  </si>
  <si>
    <t>NB(N°247/2018)</t>
  </si>
  <si>
    <t>Mazari hamza</t>
  </si>
  <si>
    <t>2018170292</t>
  </si>
  <si>
    <t>NB(N°263/2018)</t>
  </si>
  <si>
    <t>Medjadji abdelmadjid</t>
  </si>
  <si>
    <t>2018170291</t>
  </si>
  <si>
    <t>NB(N°291/2018)</t>
  </si>
  <si>
    <t>Belarbi med</t>
  </si>
  <si>
    <t>NB(N°269/2018)</t>
  </si>
  <si>
    <t>Belarbi slimane</t>
  </si>
  <si>
    <t>NB(N°267/2018)</t>
  </si>
  <si>
    <t>Bouguessa mahfoud</t>
  </si>
  <si>
    <t>Bouguessa salim</t>
  </si>
  <si>
    <t>NB(N°292/2018)</t>
  </si>
  <si>
    <t>Bouguessa messaoud</t>
  </si>
  <si>
    <t>NB(N°266/2018)</t>
  </si>
  <si>
    <t>Bessam tahar</t>
  </si>
  <si>
    <t>NB(N°243/2018)</t>
  </si>
  <si>
    <t>NB(N°265/2018)</t>
  </si>
  <si>
    <t>Bessam faycal</t>
  </si>
  <si>
    <t>NB(N°264/2018)</t>
  </si>
  <si>
    <t>Bessam fethi</t>
  </si>
  <si>
    <t>Boussalem med ben kaddour</t>
  </si>
  <si>
    <t>2018000160</t>
  </si>
  <si>
    <t>BB 0151</t>
  </si>
  <si>
    <t>B1 0779</t>
  </si>
  <si>
    <t>2018170250</t>
  </si>
  <si>
    <t>B3 0939</t>
  </si>
  <si>
    <t>2018170241</t>
  </si>
  <si>
    <t>B2 1809</t>
  </si>
  <si>
    <t>2018170245</t>
  </si>
  <si>
    <t>2018170243</t>
  </si>
  <si>
    <t>Benaissa benaissa</t>
  </si>
  <si>
    <t>NB(N°329/2018)</t>
  </si>
  <si>
    <t>2018170244</t>
  </si>
  <si>
    <t>Benzineb miloud</t>
  </si>
  <si>
    <t>NB(N°405/2015)</t>
  </si>
  <si>
    <t>2018170242</t>
  </si>
  <si>
    <t>NB(N°403/2015)</t>
  </si>
  <si>
    <t>Guellal merzouk</t>
  </si>
  <si>
    <t>2018170249</t>
  </si>
  <si>
    <t>NB(N°312/2015)</t>
  </si>
  <si>
    <t>Chadouli salim</t>
  </si>
  <si>
    <t>2018170248</t>
  </si>
  <si>
    <t>NB(N°188/2017)</t>
  </si>
  <si>
    <t>Benamar mourad</t>
  </si>
  <si>
    <t>2018170246</t>
  </si>
  <si>
    <t>Hellal rafik</t>
  </si>
  <si>
    <t>2018170247</t>
  </si>
  <si>
    <t>NB(N°192/2018)</t>
  </si>
  <si>
    <t>Zoulikha fatma ep ammad</t>
  </si>
  <si>
    <t>NB(N°249/2018)</t>
  </si>
  <si>
    <t>2018170181</t>
  </si>
  <si>
    <t>NB(N°331/2018)</t>
  </si>
  <si>
    <t>B4 1700</t>
  </si>
  <si>
    <t>2016010683</t>
  </si>
  <si>
    <t>B4 1664</t>
  </si>
  <si>
    <t>2018170185</t>
  </si>
  <si>
    <t>BB 0057</t>
  </si>
  <si>
    <t>2018170188</t>
  </si>
  <si>
    <t>B2 1893</t>
  </si>
  <si>
    <t>2016010685</t>
  </si>
  <si>
    <t>B2 0416</t>
  </si>
  <si>
    <t>2018170187</t>
  </si>
  <si>
    <t>B2 0522</t>
  </si>
  <si>
    <t>2018170190</t>
  </si>
  <si>
    <t>B2 0048</t>
  </si>
  <si>
    <t>2018170183</t>
  </si>
  <si>
    <t>BC 0424</t>
  </si>
  <si>
    <t>2018170189</t>
  </si>
  <si>
    <t>BC 0263</t>
  </si>
  <si>
    <t>2018170182</t>
  </si>
  <si>
    <t>B4 1639</t>
  </si>
  <si>
    <t>2018169403</t>
  </si>
  <si>
    <t>B4 1772</t>
  </si>
  <si>
    <t>2016010687</t>
  </si>
  <si>
    <t>2018169405</t>
  </si>
  <si>
    <t>NB(N°0015/2019)</t>
  </si>
  <si>
    <t>Saidoun bey</t>
  </si>
  <si>
    <t>Benmeziane ali</t>
  </si>
  <si>
    <r>
      <t>Mois de Février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</si>
  <si>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B1 2996</t>
  </si>
  <si>
    <t>B1 2997</t>
  </si>
  <si>
    <t>B1 2998</t>
  </si>
  <si>
    <t>B1 1805</t>
  </si>
  <si>
    <t>B3 2012</t>
  </si>
  <si>
    <t>2018170111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</si>
  <si>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</si>
  <si>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2018170115</t>
  </si>
  <si>
    <t>Hafnaoui belkacem</t>
  </si>
  <si>
    <t>2018170113</t>
  </si>
  <si>
    <t>2018170114</t>
  </si>
  <si>
    <t>Hafnaoui ali</t>
  </si>
  <si>
    <t>2018170112</t>
  </si>
  <si>
    <t>Hafnaoui omar</t>
  </si>
  <si>
    <t>NB(N°0198/2018)</t>
  </si>
  <si>
    <t>2018169402</t>
  </si>
  <si>
    <t>NB(N°0019/2019)</t>
  </si>
  <si>
    <t>NB(N°0020/2019)</t>
  </si>
  <si>
    <t>NB(N°0021/2019)</t>
  </si>
  <si>
    <t>NB(N°0323/2018)</t>
  </si>
  <si>
    <t>Tebbal hassina</t>
  </si>
  <si>
    <t>2018170186</t>
  </si>
  <si>
    <t>NB(N°0322/2018)</t>
  </si>
  <si>
    <t>Bouchibane hocine</t>
  </si>
  <si>
    <t>2018169401</t>
  </si>
  <si>
    <t>NB(N°0007/2019)</t>
  </si>
  <si>
    <t>BB</t>
  </si>
  <si>
    <t>2018170120</t>
  </si>
  <si>
    <t>NB</t>
  </si>
  <si>
    <t>Apc ancien siège</t>
  </si>
  <si>
    <t>NB(N°0191/2018)</t>
  </si>
  <si>
    <t>Sahraoui ahmed</t>
  </si>
  <si>
    <t>2018170116</t>
  </si>
  <si>
    <t>NB(N°0175/2018)</t>
  </si>
  <si>
    <t>Yousfi youcef</t>
  </si>
  <si>
    <t>2018170119</t>
  </si>
  <si>
    <t>NB(N°0330/2018)</t>
  </si>
  <si>
    <t>2018170184</t>
  </si>
  <si>
    <t>NB(N°0199/2018)</t>
  </si>
  <si>
    <t>Ladjali nadhir</t>
  </si>
  <si>
    <t>2019058128</t>
  </si>
  <si>
    <t>B1 0786</t>
  </si>
  <si>
    <t>2016010688</t>
  </si>
  <si>
    <t>B5 0014</t>
  </si>
  <si>
    <t>2019058129</t>
  </si>
  <si>
    <t>NB(N°0033/2019)</t>
  </si>
  <si>
    <t>Sebti billal</t>
  </si>
  <si>
    <t>2019058130</t>
  </si>
  <si>
    <t>NB(N°0024/2019)</t>
  </si>
  <si>
    <t>2019058126</t>
  </si>
  <si>
    <t>Mihoubi rezki</t>
  </si>
  <si>
    <t>2019058127</t>
  </si>
  <si>
    <t>NB(N°0159/2018)</t>
  </si>
  <si>
    <t>Lazar daoud</t>
  </si>
  <si>
    <t>2019058125</t>
  </si>
  <si>
    <t>NB(N°0023/2019)</t>
  </si>
  <si>
    <t>Benmeziane suham</t>
  </si>
  <si>
    <t>2019057549</t>
  </si>
  <si>
    <t>NB(N°0017/2019)</t>
  </si>
  <si>
    <t>Benaissa rachid</t>
  </si>
  <si>
    <t>2019057548</t>
  </si>
  <si>
    <t>NB(N°0022/2019)</t>
  </si>
  <si>
    <t>Dilmi med amine</t>
  </si>
  <si>
    <t>2019057550</t>
  </si>
  <si>
    <t>NB(N°0088/2016)</t>
  </si>
  <si>
    <t>Hassam ahmed</t>
  </si>
  <si>
    <t>2019057546</t>
  </si>
  <si>
    <t>B4 0918</t>
  </si>
  <si>
    <t>B2 0476</t>
  </si>
  <si>
    <t>2019057547</t>
  </si>
  <si>
    <t>BB 0140</t>
  </si>
  <si>
    <t>2016002359</t>
  </si>
  <si>
    <t>B3 3970</t>
  </si>
  <si>
    <t>2019057541</t>
  </si>
  <si>
    <t>B3 4024</t>
  </si>
  <si>
    <t>2019057545</t>
  </si>
  <si>
    <t>B2 1561</t>
  </si>
  <si>
    <t>2016002360</t>
  </si>
  <si>
    <t>B2 1464</t>
  </si>
  <si>
    <t>2019057543</t>
  </si>
  <si>
    <t>B2 2061</t>
  </si>
  <si>
    <t>2019057542</t>
  </si>
  <si>
    <t>B2 1399</t>
  </si>
  <si>
    <t>2016002357</t>
  </si>
  <si>
    <t>B2 1363</t>
  </si>
  <si>
    <t>2019058124</t>
  </si>
  <si>
    <t>B1 2460</t>
  </si>
  <si>
    <t>2019057544</t>
  </si>
  <si>
    <t>Vente</t>
  </si>
  <si>
    <t>2019057242</t>
  </si>
  <si>
    <t>2019057243</t>
  </si>
  <si>
    <t>2019057244</t>
  </si>
  <si>
    <t>2019057245</t>
  </si>
  <si>
    <t>2019057246</t>
  </si>
  <si>
    <t>2019057247</t>
  </si>
  <si>
    <t>2019057248</t>
  </si>
  <si>
    <t>2019057249</t>
  </si>
  <si>
    <t>2019057250</t>
  </si>
  <si>
    <t>2019057931</t>
  </si>
  <si>
    <t>2019057932</t>
  </si>
  <si>
    <t>2019057933</t>
  </si>
  <si>
    <t>2019057934</t>
  </si>
  <si>
    <t>2019057935</t>
  </si>
  <si>
    <t>2019057936</t>
  </si>
  <si>
    <t>2019057937</t>
  </si>
  <si>
    <t>2019057938</t>
  </si>
  <si>
    <t>2019057939</t>
  </si>
  <si>
    <t>2019057940</t>
  </si>
  <si>
    <t>2019056981</t>
  </si>
  <si>
    <t>2019056982</t>
  </si>
  <si>
    <t>2019056983</t>
  </si>
  <si>
    <t>2019056984</t>
  </si>
  <si>
    <t>2019056985</t>
  </si>
  <si>
    <t>2019056986</t>
  </si>
  <si>
    <t>2019056987</t>
  </si>
  <si>
    <t>2019056988</t>
  </si>
  <si>
    <t>2019056989</t>
  </si>
  <si>
    <t>2019056990</t>
  </si>
  <si>
    <t>2019057801</t>
  </si>
  <si>
    <t>2019057802</t>
  </si>
  <si>
    <t>2019057803</t>
  </si>
  <si>
    <t>2019057804</t>
  </si>
  <si>
    <t>2019057805</t>
  </si>
  <si>
    <t>2019057806</t>
  </si>
  <si>
    <t>2019057807</t>
  </si>
  <si>
    <t>2019057808</t>
  </si>
  <si>
    <t>2019057809</t>
  </si>
  <si>
    <t>2019057810</t>
  </si>
  <si>
    <t>2019057411</t>
  </si>
  <si>
    <t>2019057412</t>
  </si>
  <si>
    <t>2019057413</t>
  </si>
  <si>
    <t>2019057414</t>
  </si>
  <si>
    <t>2019057415</t>
  </si>
  <si>
    <t>2019057416</t>
  </si>
  <si>
    <t>2019057417</t>
  </si>
  <si>
    <t>2019057418</t>
  </si>
  <si>
    <t>2019057419</t>
  </si>
  <si>
    <t>2019057420</t>
  </si>
  <si>
    <t>2019057231</t>
  </si>
  <si>
    <t>2019057232</t>
  </si>
  <si>
    <t>2019057233</t>
  </si>
  <si>
    <t>2019057234</t>
  </si>
  <si>
    <t>2019057235</t>
  </si>
  <si>
    <t>2019057236</t>
  </si>
  <si>
    <t>2019057237</t>
  </si>
  <si>
    <t>2019057238</t>
  </si>
  <si>
    <t>2019057239</t>
  </si>
  <si>
    <t>2019057240</t>
  </si>
  <si>
    <t>2019057941</t>
  </si>
  <si>
    <t>2019057942</t>
  </si>
  <si>
    <t>2019057943</t>
  </si>
  <si>
    <t>2019057944</t>
  </si>
  <si>
    <t>2019057945</t>
  </si>
  <si>
    <t>2019057946</t>
  </si>
  <si>
    <t>2019057947</t>
  </si>
  <si>
    <t>2019057948</t>
  </si>
  <si>
    <t>2019057949</t>
  </si>
  <si>
    <t>2019057950</t>
  </si>
  <si>
    <t>2019057451</t>
  </si>
  <si>
    <t>2019057452</t>
  </si>
  <si>
    <t>2019057453</t>
  </si>
  <si>
    <t>2019057454</t>
  </si>
  <si>
    <t>2019057455</t>
  </si>
  <si>
    <t>2019057456</t>
  </si>
  <si>
    <t>2019057457</t>
  </si>
  <si>
    <t>2019057458</t>
  </si>
  <si>
    <t>2019057459</t>
  </si>
  <si>
    <t>2019057460</t>
  </si>
  <si>
    <t>2019058131</t>
  </si>
  <si>
    <t>2019058132</t>
  </si>
  <si>
    <t>2019058133</t>
  </si>
  <si>
    <t>2019058134</t>
  </si>
  <si>
    <t>2019058135</t>
  </si>
  <si>
    <t>2019058136</t>
  </si>
  <si>
    <t>2019058137</t>
  </si>
  <si>
    <t>2019058138</t>
  </si>
  <si>
    <t>2019058139</t>
  </si>
  <si>
    <t>2019058140</t>
  </si>
  <si>
    <t>2019057611</t>
  </si>
  <si>
    <t>2019057612</t>
  </si>
  <si>
    <t>2019057613</t>
  </si>
  <si>
    <t>2019057614</t>
  </si>
  <si>
    <t>2019057615</t>
  </si>
  <si>
    <t>2019057616</t>
  </si>
  <si>
    <t>2019057617</t>
  </si>
  <si>
    <t>2019057618</t>
  </si>
  <si>
    <t>2019057619</t>
  </si>
  <si>
    <t>2019057620</t>
  </si>
  <si>
    <t>2019057331</t>
  </si>
  <si>
    <t>2019057332</t>
  </si>
  <si>
    <t>2019057333</t>
  </si>
  <si>
    <t>2019057334</t>
  </si>
  <si>
    <t>2019057335</t>
  </si>
  <si>
    <t>2019057336</t>
  </si>
  <si>
    <t>2019057337</t>
  </si>
  <si>
    <t>2019057338</t>
  </si>
  <si>
    <t>2019057339</t>
  </si>
  <si>
    <t>2019057340</t>
  </si>
  <si>
    <t>2019058191</t>
  </si>
  <si>
    <t>2019058192</t>
  </si>
  <si>
    <t>2019058193</t>
  </si>
  <si>
    <t>2019058194</t>
  </si>
  <si>
    <t>2019058195</t>
  </si>
  <si>
    <t>2019058196</t>
  </si>
  <si>
    <t>2019058197</t>
  </si>
  <si>
    <t>2019058198</t>
  </si>
  <si>
    <t>2019058199</t>
  </si>
  <si>
    <t>2019058200</t>
  </si>
  <si>
    <t>2019058111</t>
  </si>
  <si>
    <t>2019058112</t>
  </si>
  <si>
    <t>2019058113</t>
  </si>
  <si>
    <t>2019058114</t>
  </si>
  <si>
    <t>2019058115</t>
  </si>
  <si>
    <t>2019058116</t>
  </si>
  <si>
    <t>2019058117</t>
  </si>
  <si>
    <t>2019058118</t>
  </si>
  <si>
    <t>2019058119</t>
  </si>
  <si>
    <t>2019058120</t>
  </si>
  <si>
    <t>2019058121</t>
  </si>
  <si>
    <t>2019058122</t>
  </si>
  <si>
    <t>2019058123</t>
  </si>
  <si>
    <t>BB 0018</t>
  </si>
  <si>
    <t>2016002358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</si>
  <si>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</si>
  <si>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B2 1151</t>
  </si>
  <si>
    <t>2018169874</t>
  </si>
  <si>
    <t>B1 3012</t>
  </si>
  <si>
    <t>B1 3013</t>
  </si>
  <si>
    <t>B1 3014</t>
  </si>
  <si>
    <t>B1 3015</t>
  </si>
  <si>
    <t>B1 3016</t>
  </si>
  <si>
    <t>B1 3017</t>
  </si>
  <si>
    <t>B1 3018</t>
  </si>
  <si>
    <t>B1 3019</t>
  </si>
  <si>
    <t>B1 3020</t>
  </si>
  <si>
    <t>B1 3021</t>
  </si>
  <si>
    <t>B1 3024</t>
  </si>
  <si>
    <t>Hasnaoui ramdane</t>
  </si>
  <si>
    <t>B2 2727</t>
  </si>
  <si>
    <t>B2 2728</t>
  </si>
  <si>
    <t>B2 2720</t>
  </si>
  <si>
    <t>B2 2721</t>
  </si>
  <si>
    <t>B2 2722</t>
  </si>
  <si>
    <t>2018169875</t>
  </si>
  <si>
    <t>NB(N°0298/2018)</t>
  </si>
  <si>
    <t>Belhadj mhamed</t>
  </si>
  <si>
    <t>B1 2215</t>
  </si>
  <si>
    <t>2018169872</t>
  </si>
  <si>
    <t>B2 1868</t>
  </si>
  <si>
    <t>2018169878</t>
  </si>
  <si>
    <t>B2 1288</t>
  </si>
  <si>
    <t>2018169871</t>
  </si>
  <si>
    <t>2018169877</t>
  </si>
  <si>
    <t>NB(N°0090/2018)</t>
  </si>
  <si>
    <t>Guettaf kamel</t>
  </si>
  <si>
    <t>2018169876</t>
  </si>
  <si>
    <t>NB(N°0048/2019)</t>
  </si>
  <si>
    <t>Bourghaiya saad</t>
  </si>
  <si>
    <t>B1 0192</t>
  </si>
  <si>
    <t>2018169880</t>
  </si>
  <si>
    <t>B1 0202</t>
  </si>
  <si>
    <t>2018169879</t>
  </si>
  <si>
    <t>2019058142</t>
  </si>
  <si>
    <t>NB(N°0003/2019)</t>
  </si>
  <si>
    <t>Benkhelfa tahar</t>
  </si>
  <si>
    <t>2019058141</t>
  </si>
  <si>
    <t>NB(N°0328/2017)</t>
  </si>
  <si>
    <t>Djebra anissa ep magri</t>
  </si>
  <si>
    <t>2019058143</t>
  </si>
  <si>
    <t>NB(N°0327/2018)</t>
  </si>
  <si>
    <t>Belaissa azeddine</t>
  </si>
  <si>
    <t>2019058144</t>
  </si>
  <si>
    <t>NB(N°0038/2019)</t>
  </si>
  <si>
    <t>Laziri salah</t>
  </si>
  <si>
    <t>B3 1559</t>
  </si>
  <si>
    <t>2019058145</t>
  </si>
  <si>
    <t>B4 1564</t>
  </si>
  <si>
    <t>2019058150</t>
  </si>
  <si>
    <t>B2 1035</t>
  </si>
  <si>
    <t>2019058149</t>
  </si>
  <si>
    <t>2016002353</t>
  </si>
  <si>
    <t>BC 0338</t>
  </si>
  <si>
    <t>BB 0181</t>
  </si>
  <si>
    <t>2019058146</t>
  </si>
  <si>
    <t>B3 0047</t>
  </si>
  <si>
    <t>2016002356</t>
  </si>
  <si>
    <t>2019058147</t>
  </si>
  <si>
    <t>NB(N°0065/2019)</t>
  </si>
  <si>
    <t>Benmedjber mhamed</t>
  </si>
  <si>
    <t>Guellal Mustapha</t>
  </si>
  <si>
    <t>NB(N°0068/2019)</t>
  </si>
  <si>
    <t>B3 0145</t>
  </si>
  <si>
    <t>2016002351</t>
  </si>
  <si>
    <t>2019057998</t>
  </si>
  <si>
    <t>NB(N°0074/2019)</t>
  </si>
  <si>
    <t>Coiffeur bensaid</t>
  </si>
  <si>
    <t>2019057999</t>
  </si>
  <si>
    <t>NB(N°0246/2019)</t>
  </si>
  <si>
    <t>2019057991</t>
  </si>
  <si>
    <t>NB(N°0084/2019)</t>
  </si>
  <si>
    <t>Chekou smail</t>
  </si>
  <si>
    <t>2019058000</t>
  </si>
  <si>
    <t>NB(N°0041/2019)</t>
  </si>
  <si>
    <t>Sebti hamza</t>
  </si>
  <si>
    <t>2019057992</t>
  </si>
  <si>
    <t>NB(N°0085/2019)</t>
  </si>
  <si>
    <t>Chekou daoud</t>
  </si>
  <si>
    <t>2019057995</t>
  </si>
  <si>
    <t>NB(N°0260/2018)</t>
  </si>
  <si>
    <t>Benrached redha</t>
  </si>
  <si>
    <t>2019057994</t>
  </si>
  <si>
    <t>NB(N°0081/2019)</t>
  </si>
  <si>
    <t>Aouf feth ellah</t>
  </si>
  <si>
    <t>2019057993</t>
  </si>
  <si>
    <t>NB(N°0018/2019)</t>
  </si>
  <si>
    <t>Ali nassira</t>
  </si>
  <si>
    <t>B3 5168</t>
  </si>
  <si>
    <t>2019058036</t>
  </si>
  <si>
    <t>B1 1384</t>
  </si>
  <si>
    <t>2019058039</t>
  </si>
  <si>
    <t>2019058038</t>
  </si>
  <si>
    <t>Houari med</t>
  </si>
  <si>
    <t>2019058037</t>
  </si>
  <si>
    <t>NB(N°0089/2019)</t>
  </si>
  <si>
    <t>Benlahoual wassila</t>
  </si>
  <si>
    <t>2019057996</t>
  </si>
  <si>
    <t>NB(N°0272/2018)</t>
  </si>
  <si>
    <t>Mazari benziane</t>
  </si>
  <si>
    <t>2019057997</t>
  </si>
  <si>
    <t>NB(N°0036/2019)</t>
  </si>
  <si>
    <t>Messaoudi allel</t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</si>
  <si>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</si>
  <si>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</si>
  <si>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B1 1436</t>
  </si>
  <si>
    <t>2019058040</t>
  </si>
  <si>
    <t>NB(N°0046/2019)</t>
  </si>
  <si>
    <t>Hasaoui benaceur</t>
  </si>
  <si>
    <t>2019058035</t>
  </si>
  <si>
    <t>NB(N°0095/2019)</t>
  </si>
  <si>
    <t>Zaoui med</t>
  </si>
  <si>
    <t>2019058033</t>
  </si>
  <si>
    <t>NB(N°0332/2018)</t>
  </si>
  <si>
    <t>Mouloudj kamel</t>
  </si>
  <si>
    <t>2019058032</t>
  </si>
  <si>
    <t>BC 0476</t>
  </si>
  <si>
    <t>BB 0052</t>
  </si>
  <si>
    <t>40/49</t>
  </si>
  <si>
    <t>2019000129</t>
  </si>
  <si>
    <t xml:space="preserve">Etalonage </t>
  </si>
  <si>
    <t>2019058034</t>
  </si>
  <si>
    <t>NB(N°0037/2019)</t>
  </si>
  <si>
    <t>Aouina mhamed</t>
  </si>
  <si>
    <t>2019058031</t>
  </si>
  <si>
    <t>NB(N°0008/2019)</t>
  </si>
  <si>
    <t>Benaissa aek</t>
  </si>
  <si>
    <t>B1 2984</t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</si>
  <si>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</si>
  <si>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B1 3053</t>
  </si>
  <si>
    <t>B1 3054</t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</si>
  <si>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</si>
  <si>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2019151731</t>
  </si>
  <si>
    <t>2019151732</t>
  </si>
  <si>
    <t>2019151733</t>
  </si>
  <si>
    <t>2019151734</t>
  </si>
  <si>
    <t>2019151735</t>
  </si>
  <si>
    <t>2019151736</t>
  </si>
  <si>
    <t>2019151737</t>
  </si>
  <si>
    <t>2019151738</t>
  </si>
  <si>
    <t>2019151739</t>
  </si>
  <si>
    <t>2019151740</t>
  </si>
  <si>
    <t>2019151981</t>
  </si>
  <si>
    <t>2019151982</t>
  </si>
  <si>
    <t>2019151983</t>
  </si>
  <si>
    <t>2019151984</t>
  </si>
  <si>
    <t>2019151985</t>
  </si>
  <si>
    <t>2019151986</t>
  </si>
  <si>
    <t>2019151987</t>
  </si>
  <si>
    <t>2019151988</t>
  </si>
  <si>
    <t>2019151989</t>
  </si>
  <si>
    <t>2019151990</t>
  </si>
  <si>
    <t>2019152021</t>
  </si>
  <si>
    <t>2019152022</t>
  </si>
  <si>
    <t>2019152023</t>
  </si>
  <si>
    <t>2019152024</t>
  </si>
  <si>
    <t>2019152025</t>
  </si>
  <si>
    <t>2019152026</t>
  </si>
  <si>
    <t>2019152027</t>
  </si>
  <si>
    <t>2019152028</t>
  </si>
  <si>
    <t>2019152029</t>
  </si>
  <si>
    <t>2019152030</t>
  </si>
  <si>
    <t>2019152161</t>
  </si>
  <si>
    <t>2019152162</t>
  </si>
  <si>
    <t>2019152163</t>
  </si>
  <si>
    <t>2019152164</t>
  </si>
  <si>
    <t>2019152165</t>
  </si>
  <si>
    <t>2019152166</t>
  </si>
  <si>
    <t>2019152167</t>
  </si>
  <si>
    <t>2019152168</t>
  </si>
  <si>
    <t>2019152169</t>
  </si>
  <si>
    <t>2019152170</t>
  </si>
  <si>
    <t>2019152041</t>
  </si>
  <si>
    <t>2019152042</t>
  </si>
  <si>
    <t>2019152043</t>
  </si>
  <si>
    <t>2019152044</t>
  </si>
  <si>
    <t>2019152045</t>
  </si>
  <si>
    <t>2019152046</t>
  </si>
  <si>
    <t>2019152047</t>
  </si>
  <si>
    <t>2019152048</t>
  </si>
  <si>
    <t>2019152049</t>
  </si>
  <si>
    <t>2019152050</t>
  </si>
  <si>
    <t>BC 0631</t>
  </si>
  <si>
    <t>B5 0070</t>
  </si>
  <si>
    <t>B1 3038</t>
  </si>
  <si>
    <t>B1 3032</t>
  </si>
  <si>
    <t>B1 3031</t>
  </si>
  <si>
    <t>B1 3030</t>
  </si>
  <si>
    <t>B1 3034</t>
  </si>
  <si>
    <t>B1 3033</t>
  </si>
  <si>
    <t>NB(125/2019)</t>
  </si>
  <si>
    <t>Pharme Rebhi lina</t>
  </si>
  <si>
    <t>2016002355</t>
  </si>
  <si>
    <t>APC ECOLE</t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</si>
  <si>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</si>
  <si>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XG 0891</t>
  </si>
  <si>
    <t>2019182587</t>
  </si>
  <si>
    <t>2019182586</t>
  </si>
  <si>
    <t>2019182572</t>
  </si>
  <si>
    <t>2019182585</t>
  </si>
  <si>
    <t>2019182584</t>
  </si>
  <si>
    <t>2019182583</t>
  </si>
  <si>
    <t>2019182588</t>
  </si>
  <si>
    <t>2019182589</t>
  </si>
  <si>
    <t>2019182590</t>
  </si>
  <si>
    <t>2019182582</t>
  </si>
  <si>
    <t>2019182581</t>
  </si>
  <si>
    <t>2019182689</t>
  </si>
  <si>
    <t>2019182690</t>
  </si>
  <si>
    <t>2019182687</t>
  </si>
  <si>
    <t>2019182688</t>
  </si>
  <si>
    <t>2019182686</t>
  </si>
  <si>
    <t>2019182685</t>
  </si>
  <si>
    <t>2019182684</t>
  </si>
  <si>
    <t>2019182683</t>
  </si>
  <si>
    <t>2019182601</t>
  </si>
  <si>
    <t>2019182602</t>
  </si>
  <si>
    <t>2019182603</t>
  </si>
  <si>
    <t>2019182604</t>
  </si>
  <si>
    <t>2019182605</t>
  </si>
  <si>
    <t>2019182606</t>
  </si>
  <si>
    <t>2019182607</t>
  </si>
  <si>
    <t>2019182608</t>
  </si>
  <si>
    <t>2019182609</t>
  </si>
  <si>
    <t>2019182610</t>
  </si>
  <si>
    <t>2019182682</t>
  </si>
  <si>
    <t>2019182681</t>
  </si>
  <si>
    <t>2019182401</t>
  </si>
  <si>
    <t>2019182431</t>
  </si>
  <si>
    <t>2019182432</t>
  </si>
  <si>
    <t>2019182433</t>
  </si>
  <si>
    <t>2019182434</t>
  </si>
  <si>
    <t>2019182435</t>
  </si>
  <si>
    <t>2019182436</t>
  </si>
  <si>
    <t>2019182437</t>
  </si>
  <si>
    <t>2019182438</t>
  </si>
  <si>
    <t>2019182439</t>
  </si>
  <si>
    <t>2019182440</t>
  </si>
  <si>
    <t>2019182402</t>
  </si>
  <si>
    <t>2019182403</t>
  </si>
  <si>
    <t>2019182404</t>
  </si>
  <si>
    <t>2019182405</t>
  </si>
  <si>
    <t>2019182406</t>
  </si>
  <si>
    <t>2019182407</t>
  </si>
  <si>
    <t>2019182408</t>
  </si>
  <si>
    <t>2019182409</t>
  </si>
  <si>
    <t>2019182410</t>
  </si>
  <si>
    <t>2019182571</t>
  </si>
  <si>
    <t>2019182576</t>
  </si>
  <si>
    <t>2019182577</t>
  </si>
  <si>
    <t>B5 0034</t>
  </si>
  <si>
    <t>B2 1392</t>
  </si>
  <si>
    <t>B1 1167</t>
  </si>
  <si>
    <t>B2 2026</t>
  </si>
  <si>
    <t>NB(N°182/2019)</t>
  </si>
  <si>
    <t>Soltani sofiane</t>
  </si>
  <si>
    <t>NB(N°183/2019)</t>
  </si>
  <si>
    <t>Soltani Aziz</t>
  </si>
  <si>
    <t>B2 1140</t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</si>
  <si>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</si>
  <si>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2019182580</t>
  </si>
  <si>
    <t>NB(N°0083/2019)</t>
  </si>
  <si>
    <t>Messaad med</t>
  </si>
  <si>
    <r>
      <t>Mois de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</si>
  <si>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NB(0086/2019)</t>
  </si>
  <si>
    <t>Ferarsa med</t>
  </si>
  <si>
    <t>2019182560</t>
  </si>
  <si>
    <t>NB(N°0194/2019)</t>
  </si>
  <si>
    <t>Yahiaoui noureddine</t>
  </si>
  <si>
    <t>B4 2259</t>
  </si>
  <si>
    <t>B4 2254</t>
  </si>
  <si>
    <t>2019000264</t>
  </si>
  <si>
    <t>2019000268</t>
  </si>
  <si>
    <t>2019182573</t>
  </si>
  <si>
    <t>BC 0012</t>
  </si>
  <si>
    <t>B4 1794</t>
  </si>
  <si>
    <t>B5 0058</t>
  </si>
  <si>
    <t>2019182420</t>
  </si>
  <si>
    <t>Hamdine sihem</t>
  </si>
  <si>
    <t>2019182419</t>
  </si>
  <si>
    <t>NB(N°0240/2018)</t>
  </si>
  <si>
    <t>Tifour yahia</t>
  </si>
  <si>
    <t>2019182575</t>
  </si>
  <si>
    <t>Belaissa kamel</t>
  </si>
  <si>
    <t>NB(N°0108/2019)</t>
  </si>
  <si>
    <t>NB(N°0103/2019)</t>
  </si>
  <si>
    <t>2019182574</t>
  </si>
  <si>
    <t>NB(N°0106/2019)</t>
  </si>
  <si>
    <t>Sabour khaled</t>
  </si>
  <si>
    <t>2019182556</t>
  </si>
  <si>
    <t>Belaissa ali</t>
  </si>
  <si>
    <t>NB(N°0109/2019)</t>
  </si>
  <si>
    <t>B4 1336</t>
  </si>
  <si>
    <t>2019182414</t>
  </si>
  <si>
    <t>2019182418</t>
  </si>
  <si>
    <t>NB(N°0101/2019)</t>
  </si>
  <si>
    <t>Benaissa ali</t>
  </si>
  <si>
    <t>2019182411</t>
  </si>
  <si>
    <t>NB(N°0047/2019)</t>
  </si>
  <si>
    <t>2019182415</t>
  </si>
  <si>
    <t>NB(N°0124/2019)</t>
  </si>
  <si>
    <t>Belaissa bakhta</t>
  </si>
  <si>
    <t>2019182413</t>
  </si>
  <si>
    <t>2019182412</t>
  </si>
  <si>
    <t>2019182416</t>
  </si>
  <si>
    <t>NB(N°0309/2018)</t>
  </si>
  <si>
    <t>Zoulikha aek</t>
  </si>
  <si>
    <t>B2 0340</t>
  </si>
  <si>
    <t>B2 0341</t>
  </si>
  <si>
    <r>
      <t>Mois de DECEMBRE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</si>
  <si>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B2 0074</t>
  </si>
  <si>
    <t>B2 0153</t>
  </si>
  <si>
    <t>B2 0658</t>
  </si>
  <si>
    <t>B2 0404</t>
  </si>
  <si>
    <t>2019247707</t>
  </si>
  <si>
    <t>2019247708</t>
  </si>
  <si>
    <t>2019247709</t>
  </si>
  <si>
    <t>2019247710</t>
  </si>
  <si>
    <t>BB 0226</t>
  </si>
  <si>
    <t>2019000273</t>
  </si>
  <si>
    <t>18021501</t>
  </si>
  <si>
    <t>BB 0184</t>
  </si>
  <si>
    <t>B2 2011</t>
  </si>
  <si>
    <t>2019248623</t>
  </si>
  <si>
    <t>B2 1310</t>
  </si>
  <si>
    <t>2019248624</t>
  </si>
  <si>
    <t>B2 1753</t>
  </si>
  <si>
    <t>2019248621</t>
  </si>
  <si>
    <t>B2 1482</t>
  </si>
  <si>
    <t>2019248622</t>
  </si>
  <si>
    <t>B2 1480</t>
  </si>
  <si>
    <t>2016002473</t>
  </si>
  <si>
    <t>B3 4167</t>
  </si>
  <si>
    <t>2019248470</t>
  </si>
  <si>
    <t>B3 3514</t>
  </si>
  <si>
    <t>2019247703</t>
  </si>
  <si>
    <t>B3 3511</t>
  </si>
  <si>
    <t>2019247702</t>
  </si>
  <si>
    <t>B3 3456</t>
  </si>
  <si>
    <t>2019248466</t>
  </si>
  <si>
    <t>B4 0595</t>
  </si>
  <si>
    <t>2019248461</t>
  </si>
  <si>
    <t>B4 0924</t>
  </si>
  <si>
    <t>2019248465</t>
  </si>
  <si>
    <t>B4 0593</t>
  </si>
  <si>
    <t>2019248462</t>
  </si>
  <si>
    <t>B3 3947</t>
  </si>
  <si>
    <t>2019248468</t>
  </si>
  <si>
    <t>B3 3504</t>
  </si>
  <si>
    <t>2019247706</t>
  </si>
  <si>
    <t>BC 0436</t>
  </si>
  <si>
    <t>2019248068</t>
  </si>
  <si>
    <t>2016002381</t>
  </si>
  <si>
    <t>BC 0399</t>
  </si>
  <si>
    <t>2019248067</t>
  </si>
  <si>
    <t>BC 0208</t>
  </si>
  <si>
    <t>2019248629</t>
  </si>
  <si>
    <t>B1 1959</t>
  </si>
  <si>
    <t>2019248537</t>
  </si>
  <si>
    <t>B1 0323</t>
  </si>
  <si>
    <t>2019248536</t>
  </si>
  <si>
    <t>B1 1413</t>
  </si>
  <si>
    <t>2019248538</t>
  </si>
  <si>
    <t>B1 1409</t>
  </si>
  <si>
    <t>2019248539</t>
  </si>
  <si>
    <t>B1 1401</t>
  </si>
  <si>
    <t>2019248540</t>
  </si>
  <si>
    <t>B1 1407</t>
  </si>
  <si>
    <t>2019248532</t>
  </si>
  <si>
    <t>B1 1408</t>
  </si>
  <si>
    <t>2019248531</t>
  </si>
  <si>
    <t>B1 1399</t>
  </si>
  <si>
    <t>2019248533</t>
  </si>
  <si>
    <t>B1 1475</t>
  </si>
  <si>
    <t>2019248534</t>
  </si>
  <si>
    <t>B1 1473</t>
  </si>
  <si>
    <t>2019248535</t>
  </si>
  <si>
    <t>B1 0739</t>
  </si>
  <si>
    <t>2016002384</t>
  </si>
  <si>
    <t>B1 0615</t>
  </si>
  <si>
    <t>2019248626</t>
  </si>
  <si>
    <t>B1 0527</t>
  </si>
  <si>
    <t>2019247701</t>
  </si>
  <si>
    <t>B1 0452</t>
  </si>
  <si>
    <t>2019248467</t>
  </si>
  <si>
    <t>2019247705</t>
  </si>
  <si>
    <t>NB(N°236/2018)</t>
  </si>
  <si>
    <t>B1 0993</t>
  </si>
  <si>
    <t>2019248463</t>
  </si>
  <si>
    <t>B1 1044</t>
  </si>
  <si>
    <t>2019248464</t>
  </si>
  <si>
    <t>BB 0074</t>
  </si>
  <si>
    <t>2019000265</t>
  </si>
  <si>
    <t>2019248625</t>
  </si>
  <si>
    <t>NB(N°114/2019)</t>
  </si>
  <si>
    <t>Boukhetache n/eddine</t>
  </si>
  <si>
    <t>2019248628</t>
  </si>
  <si>
    <t>NB(N°115/2019)</t>
  </si>
  <si>
    <t>Boukhetache a/cherif</t>
  </si>
  <si>
    <t>2019248062</t>
  </si>
  <si>
    <t>NB(N°0028/2019)</t>
  </si>
  <si>
    <t>Chali ftoum ep toumi</t>
  </si>
  <si>
    <t>2019248061</t>
  </si>
  <si>
    <t>NB(N°0005/2019)</t>
  </si>
  <si>
    <t>Gueddouche hamza</t>
  </si>
  <si>
    <t>2019248066</t>
  </si>
  <si>
    <t>NB(N°0303/2019)</t>
  </si>
  <si>
    <t>Lardjoum abdelhafid</t>
  </si>
  <si>
    <t>2019248070</t>
  </si>
  <si>
    <t>NB(N°0097/2019)</t>
  </si>
  <si>
    <t>Belzekour samia</t>
  </si>
  <si>
    <t>B4 1778</t>
  </si>
  <si>
    <t>B1 0199</t>
  </si>
  <si>
    <t>2016002382</t>
  </si>
  <si>
    <t>B1 2995</t>
  </si>
  <si>
    <t>B1 3037</t>
  </si>
  <si>
    <t>B1 3035</t>
  </si>
  <si>
    <t>B1 3036</t>
  </si>
  <si>
    <t>B1 3045</t>
  </si>
  <si>
    <t>B1 3040</t>
  </si>
  <si>
    <t>B1 3044</t>
  </si>
  <si>
    <t>B1 3039</t>
  </si>
  <si>
    <t>B1 3011</t>
  </si>
  <si>
    <t>B1 3029</t>
  </si>
  <si>
    <t>B1 3041</t>
  </si>
  <si>
    <t>B1 3046</t>
  </si>
  <si>
    <t>B1 3027</t>
  </si>
  <si>
    <t>2019247771</t>
  </si>
  <si>
    <t>B4 1644</t>
  </si>
  <si>
    <t>2019248063</t>
  </si>
  <si>
    <t>NB(N°0096/2019)</t>
  </si>
  <si>
    <t>Benattalah n/eddine</t>
  </si>
  <si>
    <t>NB(N°0111/2019)</t>
  </si>
  <si>
    <t>2019248065</t>
  </si>
  <si>
    <t>B1 1485</t>
  </si>
  <si>
    <t>B4 0151</t>
  </si>
  <si>
    <t>B2 2154</t>
  </si>
  <si>
    <t>2019247773</t>
  </si>
  <si>
    <t>Apc Mosquée omar el farouk</t>
  </si>
  <si>
    <t>NB(N°0269/2019)</t>
  </si>
  <si>
    <t>BC 0418</t>
  </si>
  <si>
    <t>B2 2730</t>
  </si>
  <si>
    <t>B1 3168</t>
  </si>
  <si>
    <t>BC 0640</t>
  </si>
  <si>
    <t>B4 2258</t>
  </si>
  <si>
    <t>B4 2256</t>
  </si>
  <si>
    <t>B2 2735</t>
  </si>
  <si>
    <t>BC 0643</t>
  </si>
  <si>
    <t>B1 3023</t>
  </si>
  <si>
    <t>B4 2260</t>
  </si>
  <si>
    <t>B1 3047</t>
  </si>
  <si>
    <t>B3 5749</t>
  </si>
  <si>
    <t>B2 2726</t>
  </si>
  <si>
    <t>BC 0633</t>
  </si>
  <si>
    <t>B2 2713</t>
  </si>
  <si>
    <t>Azira med</t>
  </si>
  <si>
    <t>B4 2244</t>
  </si>
  <si>
    <t>B3 5747</t>
  </si>
  <si>
    <t>B3 5746</t>
  </si>
  <si>
    <t>B3 5748</t>
  </si>
  <si>
    <t>B3 5750</t>
  </si>
  <si>
    <t>B3 5756</t>
  </si>
  <si>
    <t>BC 0637</t>
  </si>
  <si>
    <t>BC 0634</t>
  </si>
  <si>
    <t>BC 0636</t>
  </si>
  <si>
    <t>BC 0638</t>
  </si>
  <si>
    <t>B3 3185</t>
  </si>
  <si>
    <t>B2 2723</t>
  </si>
  <si>
    <t>B3 5682</t>
  </si>
  <si>
    <t>B3 5757</t>
  </si>
  <si>
    <t>B2 2729</t>
  </si>
  <si>
    <t>B1 3025</t>
  </si>
  <si>
    <t>B1 3051</t>
  </si>
  <si>
    <t>B1 3052</t>
  </si>
  <si>
    <t>BC 0635</t>
  </si>
  <si>
    <t>BC 0639</t>
  </si>
  <si>
    <t>B1 3028</t>
  </si>
  <si>
    <t>B1 3057</t>
  </si>
  <si>
    <t>B1 3056</t>
  </si>
  <si>
    <t>B2 2734</t>
  </si>
  <si>
    <t>B2 2725</t>
  </si>
  <si>
    <t>B2 2731</t>
  </si>
  <si>
    <t>B1 3055</t>
  </si>
  <si>
    <t>BC 0641</t>
  </si>
  <si>
    <t>BB 0245</t>
  </si>
  <si>
    <t>B1 3166</t>
  </si>
  <si>
    <t>B1 3167</t>
  </si>
  <si>
    <t>B1 3049</t>
  </si>
  <si>
    <t>B4 2257</t>
  </si>
  <si>
    <t>BB 0247</t>
  </si>
  <si>
    <t>B4 2262</t>
  </si>
  <si>
    <t>B4 2261</t>
  </si>
  <si>
    <t>BC 0650</t>
  </si>
  <si>
    <t>B2 2724</t>
  </si>
  <si>
    <t>B2 2736</t>
  </si>
  <si>
    <t>BC 0642</t>
  </si>
  <si>
    <t>B3 5759</t>
  </si>
  <si>
    <t>BB 0243</t>
  </si>
  <si>
    <t>B3 5764</t>
  </si>
  <si>
    <t>Mazari Rania</t>
  </si>
  <si>
    <t>B1 3026</t>
  </si>
  <si>
    <t>B1 3050</t>
  </si>
  <si>
    <t>Belhadj benyoucef</t>
  </si>
  <si>
    <t>B1 3058</t>
  </si>
  <si>
    <t>2018170101</t>
  </si>
  <si>
    <t>2018170103</t>
  </si>
  <si>
    <t>2018170108</t>
  </si>
  <si>
    <t>2018170102</t>
  </si>
  <si>
    <t>2018170104</t>
  </si>
  <si>
    <t>2018170105</t>
  </si>
  <si>
    <t>2018170300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</si>
</sst>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0" borderId="0" xfId="1"/>
    <xf numFmtId="0" fontId="4" fillId="0" borderId="0" xfId="1" applyFont="1" applyAlignment="1">
      <alignment vertical="center"/>
    </xf>
    <xf numFmtId="0" fontId="4" fillId="2" borderId="2" xfId="1" applyFont="1" applyFill="1" applyBorder="1" applyAlignment="1">
      <alignment horizontal="center"/>
    </xf>
    <xf numFmtId="0" fontId="1" fillId="0" borderId="0" xfId="2" applyAlignment="1">
      <alignment vertical="center"/>
    </xf>
    <xf numFmtId="0" fontId="7" fillId="2" borderId="2" xfId="2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49" fontId="9" fillId="0" borderId="2" xfId="1" applyNumberFormat="1" applyFont="1" applyFill="1" applyBorder="1" applyAlignment="1">
      <alignment horizontal="center" vertical="center" wrapText="1"/>
    </xf>
    <xf numFmtId="14" fontId="9" fillId="0" borderId="2" xfId="1" applyNumberFormat="1" applyFont="1" applyFill="1" applyBorder="1" applyAlignment="1">
      <alignment horizontal="center" vertical="center" wrapText="1"/>
    </xf>
    <xf numFmtId="49" fontId="10" fillId="0" borderId="2" xfId="1" applyNumberFormat="1" applyFont="1" applyBorder="1" applyAlignment="1">
      <alignment horizontal="center" vertical="top" wrapText="1"/>
    </xf>
    <xf numFmtId="0" fontId="6" fillId="0" borderId="2" xfId="1" applyFont="1" applyFill="1" applyBorder="1" applyAlignment="1">
      <alignment horizontal="right" vertical="center" wrapText="1"/>
    </xf>
    <xf numFmtId="49" fontId="1" fillId="0" borderId="0" xfId="1" applyNumberFormat="1" applyFont="1" applyFill="1" applyAlignment="1">
      <alignment vertical="center" wrapText="1"/>
    </xf>
    <xf numFmtId="0" fontId="6" fillId="0" borderId="0" xfId="1" applyFont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0" fontId="1" fillId="0" borderId="0" xfId="1" applyFont="1" applyFill="1" applyAlignment="1">
      <alignment vertical="center" wrapText="1"/>
    </xf>
    <xf numFmtId="49" fontId="10" fillId="0" borderId="2" xfId="1" applyNumberFormat="1" applyFont="1" applyFill="1" applyBorder="1" applyAlignment="1">
      <alignment horizontal="center" vertical="top" wrapText="1"/>
    </xf>
    <xf numFmtId="0" fontId="1" fillId="0" borderId="0" xfId="1" applyFill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0" fontId="6" fillId="0" borderId="4" xfId="1" applyFont="1" applyFill="1" applyBorder="1" applyAlignment="1">
      <alignment horizontal="right" vertical="center" wrapText="1"/>
    </xf>
    <xf numFmtId="0" fontId="3" fillId="0" borderId="3" xfId="2" applyFont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37</xdr:row>
      <xdr:rowOff>19050</xdr:rowOff>
    </xdr:from>
    <xdr:to>
      <xdr:col>5</xdr:col>
      <xdr:colOff>1285875</xdr:colOff>
      <xdr:row>45</xdr:row>
      <xdr:rowOff>0</xdr:rowOff>
    </xdr:to>
    <xdr:cxnSp macro="">
      <xdr:nvCxnSpPr>
        <xdr:cNvPr id="3" name="Connecteur droit 2"/>
        <xdr:cNvCxnSpPr/>
      </xdr:nvCxnSpPr>
      <xdr:spPr>
        <a:xfrm flipH="1">
          <a:off x="571500" y="7429500"/>
          <a:ext cx="4552950" cy="1504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27</xdr:row>
      <xdr:rowOff>28575</xdr:rowOff>
    </xdr:from>
    <xdr:to>
      <xdr:col>5</xdr:col>
      <xdr:colOff>1390650</xdr:colOff>
      <xdr:row>32</xdr:row>
      <xdr:rowOff>19050</xdr:rowOff>
    </xdr:to>
    <xdr:cxnSp macro="">
      <xdr:nvCxnSpPr>
        <xdr:cNvPr id="3" name="Connecteur droit 2"/>
        <xdr:cNvCxnSpPr/>
      </xdr:nvCxnSpPr>
      <xdr:spPr>
        <a:xfrm flipH="1">
          <a:off x="600075" y="5343525"/>
          <a:ext cx="4629150" cy="942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16</xdr:row>
      <xdr:rowOff>0</xdr:rowOff>
    </xdr:from>
    <xdr:to>
      <xdr:col>7</xdr:col>
      <xdr:colOff>9525</xdr:colOff>
      <xdr:row>32</xdr:row>
      <xdr:rowOff>19050</xdr:rowOff>
    </xdr:to>
    <xdr:cxnSp macro="">
      <xdr:nvCxnSpPr>
        <xdr:cNvPr id="2" name="Connecteur droit 1"/>
        <xdr:cNvCxnSpPr/>
      </xdr:nvCxnSpPr>
      <xdr:spPr>
        <a:xfrm flipH="1">
          <a:off x="600075" y="3219450"/>
          <a:ext cx="4667250" cy="3067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18</xdr:row>
      <xdr:rowOff>38100</xdr:rowOff>
    </xdr:from>
    <xdr:to>
      <xdr:col>5</xdr:col>
      <xdr:colOff>1381125</xdr:colOff>
      <xdr:row>32</xdr:row>
      <xdr:rowOff>19050</xdr:rowOff>
    </xdr:to>
    <xdr:cxnSp macro="">
      <xdr:nvCxnSpPr>
        <xdr:cNvPr id="2" name="Connecteur droit 1"/>
        <xdr:cNvCxnSpPr/>
      </xdr:nvCxnSpPr>
      <xdr:spPr>
        <a:xfrm flipH="1">
          <a:off x="600077" y="3638550"/>
          <a:ext cx="4619623" cy="2647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9528</xdr:colOff>
      <xdr:row>6</xdr:row>
      <xdr:rowOff>28575</xdr:rowOff>
    </xdr:from>
    <xdr:to>
      <xdr:col>5</xdr:col>
      <xdr:colOff>1409700</xdr:colOff>
      <xdr:row>32</xdr:row>
      <xdr:rowOff>19050</xdr:rowOff>
    </xdr:to>
    <xdr:cxnSp macro="">
      <xdr:nvCxnSpPr>
        <xdr:cNvPr id="2" name="Connecteur droit 1"/>
        <xdr:cNvCxnSpPr/>
      </xdr:nvCxnSpPr>
      <xdr:spPr>
        <a:xfrm flipH="1">
          <a:off x="600078" y="1343025"/>
          <a:ext cx="4648197" cy="4943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9525</xdr:rowOff>
    </xdr:from>
    <xdr:to>
      <xdr:col>5</xdr:col>
      <xdr:colOff>1409700</xdr:colOff>
      <xdr:row>35</xdr:row>
      <xdr:rowOff>180975</xdr:rowOff>
    </xdr:to>
    <xdr:cxnSp macro="">
      <xdr:nvCxnSpPr>
        <xdr:cNvPr id="3" name="Connecteur droit 2"/>
        <xdr:cNvCxnSpPr/>
      </xdr:nvCxnSpPr>
      <xdr:spPr>
        <a:xfrm flipH="1">
          <a:off x="628650" y="1514475"/>
          <a:ext cx="4619625" cy="5505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23</xdr:row>
      <xdr:rowOff>19050</xdr:rowOff>
    </xdr:from>
    <xdr:to>
      <xdr:col>6</xdr:col>
      <xdr:colOff>0</xdr:colOff>
      <xdr:row>35</xdr:row>
      <xdr:rowOff>161925</xdr:rowOff>
    </xdr:to>
    <xdr:cxnSp macro="">
      <xdr:nvCxnSpPr>
        <xdr:cNvPr id="3" name="Connecteur droit 2"/>
        <xdr:cNvCxnSpPr/>
      </xdr:nvCxnSpPr>
      <xdr:spPr>
        <a:xfrm flipH="1">
          <a:off x="647700" y="4572000"/>
          <a:ext cx="4610100" cy="2428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>
      <selection activeCell="D17" sqref="D1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1.285156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2" t="s">
        <v>2</v>
      </c>
      <c r="B2" s="32"/>
      <c r="C2" s="32"/>
      <c r="D2" s="2"/>
      <c r="E2" s="5" t="s">
        <v>3</v>
      </c>
      <c r="F2" s="5"/>
      <c r="G2" s="3"/>
      <c r="H2" s="3"/>
      <c r="I2" s="29" t="s">
        <v>4</v>
      </c>
      <c r="J2" s="30"/>
      <c r="K2" s="6">
        <f>SUMIF(F7:F364,"Elimination*",G7:G364)</f>
        <v>14</v>
      </c>
    </row>
    <row r="3" spans="1:11" x14ac:dyDescent="0.25">
      <c r="A3" s="33" t="s">
        <v>5</v>
      </c>
      <c r="B3" s="33"/>
      <c r="C3" s="33"/>
      <c r="D3" s="5"/>
      <c r="E3" s="3" t="s">
        <v>6</v>
      </c>
      <c r="F3" s="3"/>
      <c r="G3" s="3"/>
      <c r="H3" s="3"/>
      <c r="I3" s="29" t="s">
        <v>7</v>
      </c>
      <c r="J3" s="30"/>
      <c r="K3" s="6">
        <f>SUMIF(F7:F364,"NB*",G7:G364)</f>
        <v>13</v>
      </c>
    </row>
    <row r="4" spans="1:11" ht="18" x14ac:dyDescent="0.25">
      <c r="A4" s="31" t="s">
        <v>8</v>
      </c>
      <c r="B4" s="31"/>
      <c r="C4" s="31"/>
      <c r="D4" s="31"/>
      <c r="E4" s="31"/>
      <c r="F4" s="31"/>
      <c r="G4" s="3"/>
      <c r="H4" s="3"/>
      <c r="I4" s="29" t="s">
        <v>9</v>
      </c>
      <c r="J4" s="30"/>
      <c r="K4" s="6">
        <f>SUMIF(F7:F364,"Ve*",G7:G364)</f>
        <v>3</v>
      </c>
    </row>
    <row r="5" spans="1:11" ht="15.75" x14ac:dyDescent="0.25">
      <c r="A5" s="28" t="s">
        <v>19</v>
      </c>
      <c r="B5" s="28"/>
      <c r="C5" s="28"/>
      <c r="D5" s="28"/>
      <c r="E5" s="28"/>
      <c r="F5" s="28"/>
      <c r="G5" s="7"/>
      <c r="H5" s="7"/>
      <c r="I5" s="29" t="s">
        <v>10</v>
      </c>
      <c r="J5" s="30"/>
      <c r="K5" s="8">
        <f>SUM(K2:K4)</f>
        <v>30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190</v>
      </c>
      <c r="C7" s="14" t="s">
        <v>18</v>
      </c>
      <c r="D7" s="15" t="s">
        <v>20</v>
      </c>
      <c r="E7" s="16">
        <v>43472</v>
      </c>
      <c r="F7" s="17" t="s">
        <v>21</v>
      </c>
      <c r="G7" s="18">
        <v>1</v>
      </c>
      <c r="H7" s="19" t="s">
        <v>22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23</v>
      </c>
      <c r="C8" s="14" t="s">
        <v>24</v>
      </c>
      <c r="D8" s="21" t="s">
        <v>25</v>
      </c>
      <c r="E8" s="16">
        <v>43474</v>
      </c>
      <c r="F8" s="24" t="s">
        <v>26</v>
      </c>
      <c r="G8" s="18">
        <v>1</v>
      </c>
      <c r="H8" s="20"/>
      <c r="I8" s="22"/>
      <c r="J8" s="22"/>
      <c r="K8" s="4"/>
    </row>
    <row r="9" spans="1:11" ht="15" customHeight="1" x14ac:dyDescent="0.25">
      <c r="A9" s="12">
        <f t="shared" ref="A9:A45" si="0">+A8+1</f>
        <v>3</v>
      </c>
      <c r="B9" s="13" t="s">
        <v>191</v>
      </c>
      <c r="C9" s="14" t="s">
        <v>18</v>
      </c>
      <c r="D9" s="21" t="s">
        <v>27</v>
      </c>
      <c r="E9" s="16">
        <v>43475</v>
      </c>
      <c r="F9" s="17" t="s">
        <v>28</v>
      </c>
      <c r="G9" s="18">
        <v>1</v>
      </c>
      <c r="H9" s="23" t="s">
        <v>29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833</v>
      </c>
      <c r="C10" s="14" t="s">
        <v>18</v>
      </c>
      <c r="D10" s="21" t="s">
        <v>38</v>
      </c>
      <c r="E10" s="16">
        <v>43475</v>
      </c>
      <c r="F10" s="17" t="s">
        <v>37</v>
      </c>
      <c r="G10" s="18">
        <v>1</v>
      </c>
      <c r="H10" s="23" t="s">
        <v>36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834</v>
      </c>
      <c r="C11" s="14" t="s">
        <v>18</v>
      </c>
      <c r="D11" s="21" t="s">
        <v>30</v>
      </c>
      <c r="E11" s="16">
        <v>43475</v>
      </c>
      <c r="F11" s="17" t="s">
        <v>31</v>
      </c>
      <c r="G11" s="18">
        <v>1</v>
      </c>
      <c r="H11" s="23" t="s">
        <v>32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835</v>
      </c>
      <c r="C12" s="14" t="s">
        <v>18</v>
      </c>
      <c r="D12" s="21" t="s">
        <v>33</v>
      </c>
      <c r="E12" s="16">
        <v>43475</v>
      </c>
      <c r="F12" s="17" t="s">
        <v>34</v>
      </c>
      <c r="G12" s="18">
        <v>1</v>
      </c>
      <c r="H12" s="23" t="s">
        <v>35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39</v>
      </c>
      <c r="C13" s="14" t="s">
        <v>18</v>
      </c>
      <c r="D13" s="21" t="s">
        <v>40</v>
      </c>
      <c r="E13" s="16">
        <v>43475</v>
      </c>
      <c r="F13" s="17" t="s">
        <v>41</v>
      </c>
      <c r="G13" s="18">
        <v>1</v>
      </c>
      <c r="H13" s="19"/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42</v>
      </c>
      <c r="C14" s="14" t="s">
        <v>18</v>
      </c>
      <c r="D14" s="21" t="s">
        <v>43</v>
      </c>
      <c r="E14" s="16">
        <v>43479</v>
      </c>
      <c r="F14" s="17" t="s">
        <v>26</v>
      </c>
      <c r="G14" s="18">
        <v>1</v>
      </c>
      <c r="H14" s="19"/>
      <c r="I14" s="22"/>
      <c r="J14" s="22"/>
      <c r="K14" s="4"/>
    </row>
    <row r="15" spans="1:11" ht="15" customHeight="1" x14ac:dyDescent="0.25">
      <c r="A15" s="12">
        <f t="shared" si="0"/>
        <v>9</v>
      </c>
      <c r="B15" s="16" t="s">
        <v>604</v>
      </c>
      <c r="C15" s="14" t="s">
        <v>18</v>
      </c>
      <c r="D15" s="21" t="s">
        <v>44</v>
      </c>
      <c r="E15" s="16">
        <v>43480</v>
      </c>
      <c r="F15" s="17" t="s">
        <v>45</v>
      </c>
      <c r="G15" s="18">
        <v>1</v>
      </c>
      <c r="H15" s="19" t="s">
        <v>46</v>
      </c>
      <c r="I15" s="22"/>
      <c r="J15" s="22"/>
    </row>
    <row r="16" spans="1:11" ht="15" customHeight="1" x14ac:dyDescent="0.25">
      <c r="A16" s="12">
        <f t="shared" si="0"/>
        <v>10</v>
      </c>
      <c r="B16" s="16" t="s">
        <v>545</v>
      </c>
      <c r="C16" s="14" t="s">
        <v>18</v>
      </c>
      <c r="D16" s="21" t="s">
        <v>47</v>
      </c>
      <c r="E16" s="16">
        <v>43480</v>
      </c>
      <c r="F16" s="17" t="s">
        <v>48</v>
      </c>
      <c r="G16" s="18">
        <v>1</v>
      </c>
      <c r="H16" s="25" t="s">
        <v>49</v>
      </c>
      <c r="I16" s="22"/>
      <c r="J16" s="22"/>
    </row>
    <row r="17" spans="1:10" ht="15" customHeight="1" x14ac:dyDescent="0.25">
      <c r="A17" s="12">
        <f t="shared" si="0"/>
        <v>11</v>
      </c>
      <c r="B17" s="16" t="s">
        <v>603</v>
      </c>
      <c r="C17" s="14" t="s">
        <v>18</v>
      </c>
      <c r="D17" s="21" t="s">
        <v>50</v>
      </c>
      <c r="E17" s="16">
        <v>43480</v>
      </c>
      <c r="F17" s="17" t="s">
        <v>51</v>
      </c>
      <c r="G17" s="18">
        <v>1</v>
      </c>
      <c r="H17" s="19" t="s">
        <v>52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53</v>
      </c>
      <c r="C18" s="14" t="s">
        <v>18</v>
      </c>
      <c r="D18" s="15" t="s">
        <v>54</v>
      </c>
      <c r="E18" s="16">
        <v>43481</v>
      </c>
      <c r="F18" s="17" t="s">
        <v>26</v>
      </c>
      <c r="G18" s="18">
        <v>1</v>
      </c>
      <c r="H18" s="25"/>
      <c r="I18" s="22"/>
      <c r="J18" s="22"/>
    </row>
    <row r="19" spans="1:10" ht="15" customHeight="1" x14ac:dyDescent="0.25">
      <c r="A19" s="12">
        <f t="shared" si="0"/>
        <v>13</v>
      </c>
      <c r="B19" s="16" t="s">
        <v>55</v>
      </c>
      <c r="C19" s="14" t="s">
        <v>18</v>
      </c>
      <c r="D19" s="21" t="s">
        <v>56</v>
      </c>
      <c r="E19" s="16">
        <v>43482</v>
      </c>
      <c r="F19" s="17" t="s">
        <v>41</v>
      </c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6" t="s">
        <v>602</v>
      </c>
      <c r="C20" s="14" t="s">
        <v>18</v>
      </c>
      <c r="D20" s="15" t="s">
        <v>57</v>
      </c>
      <c r="E20" s="16">
        <v>43485</v>
      </c>
      <c r="F20" s="17" t="s">
        <v>58</v>
      </c>
      <c r="G20" s="18">
        <v>1</v>
      </c>
      <c r="H20" s="19" t="s">
        <v>59</v>
      </c>
      <c r="I20" s="22"/>
      <c r="J20" s="22"/>
    </row>
    <row r="21" spans="1:10" ht="15" customHeight="1" x14ac:dyDescent="0.25">
      <c r="A21" s="12">
        <f t="shared" si="0"/>
        <v>15</v>
      </c>
      <c r="B21" s="16" t="s">
        <v>601</v>
      </c>
      <c r="C21" s="13">
        <v>40</v>
      </c>
      <c r="D21" s="21" t="s">
        <v>62</v>
      </c>
      <c r="E21" s="16">
        <v>43486</v>
      </c>
      <c r="F21" s="17" t="s">
        <v>63</v>
      </c>
      <c r="G21" s="18">
        <v>1</v>
      </c>
      <c r="H21" s="4" t="s">
        <v>64</v>
      </c>
      <c r="I21" s="22"/>
      <c r="J21" s="22"/>
    </row>
    <row r="22" spans="1:10" ht="15" customHeight="1" x14ac:dyDescent="0.25">
      <c r="A22" s="12">
        <f t="shared" si="0"/>
        <v>16</v>
      </c>
      <c r="B22" s="16" t="s">
        <v>60</v>
      </c>
      <c r="C22" s="14" t="s">
        <v>18</v>
      </c>
      <c r="D22" s="15" t="s">
        <v>61</v>
      </c>
      <c r="E22" s="16">
        <v>43486</v>
      </c>
      <c r="F22" s="17" t="s">
        <v>26</v>
      </c>
      <c r="G22" s="18">
        <v>1</v>
      </c>
      <c r="H22" s="19"/>
      <c r="I22" s="22"/>
      <c r="J22" s="22"/>
    </row>
    <row r="23" spans="1:10" ht="15" customHeight="1" x14ac:dyDescent="0.25">
      <c r="A23" s="12">
        <f t="shared" si="0"/>
        <v>17</v>
      </c>
      <c r="B23" s="13" t="s">
        <v>67</v>
      </c>
      <c r="C23" s="14" t="s">
        <v>18</v>
      </c>
      <c r="D23" s="15" t="s">
        <v>68</v>
      </c>
      <c r="E23" s="16">
        <v>43487</v>
      </c>
      <c r="F23" s="17" t="s">
        <v>26</v>
      </c>
      <c r="G23" s="18">
        <v>1</v>
      </c>
      <c r="H23" s="19"/>
      <c r="I23" s="22"/>
      <c r="J23" s="22"/>
    </row>
    <row r="24" spans="1:10" ht="15" customHeight="1" x14ac:dyDescent="0.25">
      <c r="A24" s="12">
        <f t="shared" si="0"/>
        <v>18</v>
      </c>
      <c r="B24" s="16" t="s">
        <v>65</v>
      </c>
      <c r="C24" s="14" t="s">
        <v>18</v>
      </c>
      <c r="D24" s="15" t="s">
        <v>66</v>
      </c>
      <c r="E24" s="16">
        <v>43487</v>
      </c>
      <c r="F24" s="17" t="s">
        <v>26</v>
      </c>
      <c r="G24" s="18">
        <v>1</v>
      </c>
      <c r="H24" s="26"/>
      <c r="I24" s="22"/>
      <c r="J24" s="22"/>
    </row>
    <row r="25" spans="1:10" ht="15" customHeight="1" x14ac:dyDescent="0.25">
      <c r="A25" s="12">
        <f t="shared" si="0"/>
        <v>19</v>
      </c>
      <c r="B25" s="16" t="s">
        <v>72</v>
      </c>
      <c r="C25" s="14" t="s">
        <v>24</v>
      </c>
      <c r="D25" s="21" t="s">
        <v>73</v>
      </c>
      <c r="E25" s="16">
        <v>43488</v>
      </c>
      <c r="F25" s="24" t="s">
        <v>26</v>
      </c>
      <c r="G25" s="18">
        <v>1</v>
      </c>
      <c r="H25" s="26"/>
      <c r="I25" s="22"/>
      <c r="J25" s="22"/>
    </row>
    <row r="26" spans="1:10" ht="15" customHeight="1" x14ac:dyDescent="0.25">
      <c r="A26" s="12">
        <f t="shared" si="0"/>
        <v>20</v>
      </c>
      <c r="B26" s="16" t="s">
        <v>69</v>
      </c>
      <c r="C26" s="14" t="s">
        <v>18</v>
      </c>
      <c r="D26" s="21" t="s">
        <v>74</v>
      </c>
      <c r="E26" s="16">
        <v>43488</v>
      </c>
      <c r="F26" s="24" t="s">
        <v>26</v>
      </c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6" t="s">
        <v>70</v>
      </c>
      <c r="C27" s="14" t="s">
        <v>18</v>
      </c>
      <c r="D27" s="15" t="s">
        <v>71</v>
      </c>
      <c r="E27" s="16">
        <v>43488</v>
      </c>
      <c r="F27" s="24" t="s">
        <v>26</v>
      </c>
      <c r="G27" s="18">
        <v>1</v>
      </c>
      <c r="H27" s="26"/>
      <c r="I27" s="22"/>
      <c r="J27" s="22"/>
    </row>
    <row r="28" spans="1:10" ht="15" customHeight="1" x14ac:dyDescent="0.25">
      <c r="A28" s="12">
        <f t="shared" si="0"/>
        <v>22</v>
      </c>
      <c r="B28" s="16" t="s">
        <v>79</v>
      </c>
      <c r="C28" s="14" t="s">
        <v>18</v>
      </c>
      <c r="D28" s="15" t="s">
        <v>80</v>
      </c>
      <c r="E28" s="16">
        <v>43489</v>
      </c>
      <c r="F28" s="24" t="s">
        <v>26</v>
      </c>
      <c r="G28" s="18">
        <v>1</v>
      </c>
      <c r="H28" s="19"/>
      <c r="I28" s="22"/>
      <c r="J28" s="22"/>
    </row>
    <row r="29" spans="1:10" ht="15" customHeight="1" x14ac:dyDescent="0.25">
      <c r="A29" s="12">
        <f t="shared" si="0"/>
        <v>23</v>
      </c>
      <c r="B29" s="16" t="s">
        <v>75</v>
      </c>
      <c r="C29" s="14" t="s">
        <v>18</v>
      </c>
      <c r="D29" s="15" t="s">
        <v>76</v>
      </c>
      <c r="E29" s="16">
        <v>43489</v>
      </c>
      <c r="F29" s="24" t="s">
        <v>26</v>
      </c>
      <c r="G29" s="18">
        <v>1</v>
      </c>
      <c r="H29" s="26"/>
      <c r="I29" s="22"/>
      <c r="J29" s="22"/>
    </row>
    <row r="30" spans="1:10" ht="15" customHeight="1" x14ac:dyDescent="0.25">
      <c r="A30" s="12">
        <f t="shared" si="0"/>
        <v>24</v>
      </c>
      <c r="B30" s="13" t="s">
        <v>81</v>
      </c>
      <c r="C30" s="14" t="s">
        <v>18</v>
      </c>
      <c r="D30" s="15" t="s">
        <v>82</v>
      </c>
      <c r="E30" s="16">
        <v>43489</v>
      </c>
      <c r="F30" s="24" t="s">
        <v>26</v>
      </c>
      <c r="G30" s="18">
        <v>1</v>
      </c>
      <c r="H30" s="26"/>
      <c r="I30" s="4"/>
      <c r="J30" s="4"/>
    </row>
    <row r="31" spans="1:10" ht="15" customHeight="1" x14ac:dyDescent="0.25">
      <c r="A31" s="12">
        <f t="shared" si="0"/>
        <v>25</v>
      </c>
      <c r="B31" s="16" t="s">
        <v>83</v>
      </c>
      <c r="C31" s="14" t="s">
        <v>18</v>
      </c>
      <c r="D31" s="15" t="s">
        <v>84</v>
      </c>
      <c r="E31" s="16">
        <v>43489</v>
      </c>
      <c r="F31" s="24" t="s">
        <v>26</v>
      </c>
      <c r="G31" s="18">
        <v>1</v>
      </c>
      <c r="H31" s="4"/>
      <c r="I31" s="4"/>
      <c r="J31" s="4"/>
    </row>
    <row r="32" spans="1:10" ht="15" customHeight="1" x14ac:dyDescent="0.25">
      <c r="A32" s="12">
        <f t="shared" si="0"/>
        <v>26</v>
      </c>
      <c r="B32" s="16" t="s">
        <v>77</v>
      </c>
      <c r="C32" s="14" t="s">
        <v>18</v>
      </c>
      <c r="D32" s="15" t="s">
        <v>78</v>
      </c>
      <c r="E32" s="16">
        <v>43489</v>
      </c>
      <c r="F32" s="24" t="s">
        <v>26</v>
      </c>
      <c r="G32" s="18">
        <v>1</v>
      </c>
      <c r="H32" s="26"/>
      <c r="I32" s="4"/>
      <c r="J32" s="4"/>
    </row>
    <row r="33" spans="1:10" ht="15" customHeight="1" x14ac:dyDescent="0.25">
      <c r="A33" s="12">
        <f t="shared" si="0"/>
        <v>27</v>
      </c>
      <c r="B33" s="16" t="s">
        <v>832</v>
      </c>
      <c r="C33" s="14" t="s">
        <v>18</v>
      </c>
      <c r="D33" s="21" t="s">
        <v>95</v>
      </c>
      <c r="E33" s="16">
        <v>43493</v>
      </c>
      <c r="F33" s="17" t="s">
        <v>96</v>
      </c>
      <c r="G33" s="18"/>
      <c r="H33" s="4" t="s">
        <v>97</v>
      </c>
      <c r="I33" s="4"/>
      <c r="J33" s="4"/>
    </row>
    <row r="34" spans="1:10" ht="15" customHeight="1" x14ac:dyDescent="0.25">
      <c r="A34" s="12">
        <f t="shared" si="0"/>
        <v>28</v>
      </c>
      <c r="B34" s="16" t="s">
        <v>605</v>
      </c>
      <c r="C34" s="14" t="s">
        <v>18</v>
      </c>
      <c r="D34" s="21" t="s">
        <v>87</v>
      </c>
      <c r="E34" s="16">
        <v>43495</v>
      </c>
      <c r="F34" s="17" t="s">
        <v>88</v>
      </c>
      <c r="G34" s="18">
        <v>1</v>
      </c>
      <c r="H34" s="4" t="s">
        <v>89</v>
      </c>
      <c r="I34" s="4"/>
      <c r="J34" s="4"/>
    </row>
    <row r="35" spans="1:10" ht="15" customHeight="1" x14ac:dyDescent="0.25">
      <c r="A35" s="12">
        <f t="shared" si="0"/>
        <v>29</v>
      </c>
      <c r="B35" s="16" t="s">
        <v>606</v>
      </c>
      <c r="C35" s="14" t="s">
        <v>18</v>
      </c>
      <c r="D35" s="21" t="s">
        <v>85</v>
      </c>
      <c r="E35" s="16">
        <v>43495</v>
      </c>
      <c r="F35" s="17" t="s">
        <v>86</v>
      </c>
      <c r="G35" s="18">
        <v>1</v>
      </c>
      <c r="H35" s="4" t="s">
        <v>90</v>
      </c>
      <c r="I35" s="4"/>
      <c r="J35" s="4"/>
    </row>
    <row r="36" spans="1:10" ht="15" customHeight="1" x14ac:dyDescent="0.25">
      <c r="A36" s="12">
        <f t="shared" si="0"/>
        <v>30</v>
      </c>
      <c r="B36" s="16" t="s">
        <v>600</v>
      </c>
      <c r="C36" s="14" t="s">
        <v>18</v>
      </c>
      <c r="D36" s="21" t="s">
        <v>91</v>
      </c>
      <c r="E36" s="16">
        <v>43495</v>
      </c>
      <c r="F36" s="17" t="s">
        <v>92</v>
      </c>
      <c r="G36" s="18">
        <v>1</v>
      </c>
      <c r="H36" s="4" t="s">
        <v>93</v>
      </c>
      <c r="I36" s="4"/>
      <c r="J36" s="4"/>
    </row>
    <row r="37" spans="1:10" ht="15" customHeight="1" x14ac:dyDescent="0.25">
      <c r="A37" s="12">
        <f t="shared" si="0"/>
        <v>31</v>
      </c>
      <c r="B37" s="16" t="s">
        <v>193</v>
      </c>
      <c r="C37" s="13" t="s">
        <v>18</v>
      </c>
      <c r="D37" s="21" t="s">
        <v>94</v>
      </c>
      <c r="E37" s="16">
        <v>43495</v>
      </c>
      <c r="F37" s="17" t="s">
        <v>41</v>
      </c>
      <c r="G37" s="18">
        <v>1</v>
      </c>
      <c r="H37" s="4"/>
      <c r="I37" s="4"/>
      <c r="J37" s="4"/>
    </row>
    <row r="38" spans="1:10" ht="15" customHeight="1" x14ac:dyDescent="0.25">
      <c r="A38" s="12">
        <f t="shared" si="0"/>
        <v>32</v>
      </c>
      <c r="B38" s="16"/>
      <c r="C38" s="13"/>
      <c r="D38" s="21"/>
      <c r="E38" s="16"/>
      <c r="F38" s="17"/>
      <c r="G38" s="18">
        <v>1</v>
      </c>
      <c r="H38" s="4"/>
      <c r="I38" s="4"/>
      <c r="J38" s="4"/>
    </row>
    <row r="39" spans="1:10" x14ac:dyDescent="0.25">
      <c r="A39" s="12">
        <f t="shared" si="0"/>
        <v>33</v>
      </c>
      <c r="B39" s="16"/>
      <c r="C39" s="13"/>
      <c r="D39" s="21"/>
      <c r="E39" s="16"/>
      <c r="F39" s="24"/>
      <c r="G39" s="18">
        <v>1</v>
      </c>
    </row>
    <row r="40" spans="1:10" x14ac:dyDescent="0.25">
      <c r="A40" s="12">
        <f>+A39+1</f>
        <v>34</v>
      </c>
      <c r="B40" s="16"/>
      <c r="C40" s="13"/>
      <c r="D40" s="21"/>
      <c r="E40" s="16"/>
      <c r="F40" s="24"/>
      <c r="G40" s="18">
        <v>1</v>
      </c>
    </row>
    <row r="41" spans="1:10" x14ac:dyDescent="0.25">
      <c r="A41" s="12">
        <f t="shared" si="0"/>
        <v>35</v>
      </c>
      <c r="B41" s="16"/>
      <c r="C41" s="13"/>
      <c r="D41" s="21"/>
      <c r="E41" s="16"/>
      <c r="F41" s="24"/>
      <c r="G41" s="18">
        <v>1</v>
      </c>
    </row>
    <row r="42" spans="1:10" x14ac:dyDescent="0.25">
      <c r="A42" s="12">
        <f t="shared" si="0"/>
        <v>36</v>
      </c>
      <c r="B42" s="16"/>
      <c r="C42" s="13"/>
      <c r="D42" s="21"/>
      <c r="E42" s="16"/>
      <c r="F42" s="24"/>
      <c r="G42" s="18">
        <v>1</v>
      </c>
    </row>
    <row r="43" spans="1:10" x14ac:dyDescent="0.25">
      <c r="A43" s="12">
        <f t="shared" si="0"/>
        <v>37</v>
      </c>
      <c r="B43" s="16"/>
      <c r="C43" s="13"/>
      <c r="D43" s="21"/>
      <c r="E43" s="16"/>
      <c r="F43" s="24"/>
      <c r="G43" s="18">
        <v>1</v>
      </c>
    </row>
    <row r="44" spans="1:10" x14ac:dyDescent="0.25">
      <c r="A44" s="12">
        <f t="shared" si="0"/>
        <v>38</v>
      </c>
      <c r="B44" s="16"/>
      <c r="C44" s="13"/>
      <c r="D44" s="21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3"/>
      <c r="D45" s="16"/>
      <c r="E45" s="16"/>
      <c r="F45" s="24"/>
      <c r="G45" s="18">
        <v>1</v>
      </c>
    </row>
  </sheetData>
  <sortState ref="B7:H35">
    <sortCondition ref="E7:E35"/>
    <sortCondition ref="D7:D35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topLeftCell="A3" workbookViewId="0">
      <selection activeCell="D14" sqref="D1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285156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2" t="s">
        <v>2</v>
      </c>
      <c r="B2" s="32"/>
      <c r="C2" s="32"/>
      <c r="D2" s="2"/>
      <c r="E2" s="5" t="s">
        <v>3</v>
      </c>
      <c r="F2" s="5"/>
      <c r="G2" s="3"/>
      <c r="H2" s="3"/>
      <c r="I2" s="29" t="s">
        <v>4</v>
      </c>
      <c r="J2" s="30"/>
      <c r="K2" s="6">
        <f>SUMIF(F7:F363,"Elimination*",G7:G363)</f>
        <v>14</v>
      </c>
    </row>
    <row r="3" spans="1:11" x14ac:dyDescent="0.25">
      <c r="A3" s="33" t="s">
        <v>5</v>
      </c>
      <c r="B3" s="33"/>
      <c r="C3" s="33"/>
      <c r="D3" s="5"/>
      <c r="E3" s="3" t="s">
        <v>6</v>
      </c>
      <c r="F3" s="3"/>
      <c r="G3" s="3"/>
      <c r="H3" s="3"/>
      <c r="I3" s="29" t="s">
        <v>7</v>
      </c>
      <c r="J3" s="30"/>
      <c r="K3" s="6">
        <f>SUMIF(F7:F363,"NB*",G7:G363)</f>
        <v>23</v>
      </c>
    </row>
    <row r="4" spans="1:11" ht="18" x14ac:dyDescent="0.25">
      <c r="A4" s="31" t="s">
        <v>8</v>
      </c>
      <c r="B4" s="31"/>
      <c r="C4" s="31"/>
      <c r="D4" s="31"/>
      <c r="E4" s="31"/>
      <c r="F4" s="31"/>
      <c r="G4" s="3"/>
      <c r="H4" s="3"/>
      <c r="I4" s="29" t="s">
        <v>9</v>
      </c>
      <c r="J4" s="30"/>
      <c r="K4" s="6">
        <f>SUMIF(F7:F363,"Ve*",G7:G363)</f>
        <v>1</v>
      </c>
    </row>
    <row r="5" spans="1:11" ht="15.75" x14ac:dyDescent="0.25">
      <c r="A5" s="28" t="s">
        <v>189</v>
      </c>
      <c r="B5" s="28"/>
      <c r="C5" s="28"/>
      <c r="D5" s="28"/>
      <c r="E5" s="28"/>
      <c r="F5" s="28"/>
      <c r="G5" s="7"/>
      <c r="H5" s="7"/>
      <c r="I5" s="29" t="s">
        <v>10</v>
      </c>
      <c r="J5" s="30"/>
      <c r="K5" s="8">
        <f>SUM(K2:K4)</f>
        <v>38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430</v>
      </c>
      <c r="C7" s="14" t="s">
        <v>18</v>
      </c>
      <c r="D7" s="15" t="s">
        <v>922</v>
      </c>
      <c r="E7" s="16">
        <v>43502</v>
      </c>
      <c r="F7" s="17" t="s">
        <v>100</v>
      </c>
      <c r="G7" s="18">
        <v>1</v>
      </c>
      <c r="H7" s="19" t="s">
        <v>101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431</v>
      </c>
      <c r="C8" s="14" t="s">
        <v>18</v>
      </c>
      <c r="D8" s="15" t="s">
        <v>923</v>
      </c>
      <c r="E8" s="16">
        <v>43502</v>
      </c>
      <c r="F8" s="17" t="s">
        <v>98</v>
      </c>
      <c r="G8" s="18">
        <v>1</v>
      </c>
      <c r="H8" s="19" t="s">
        <v>99</v>
      </c>
      <c r="I8" s="22"/>
      <c r="J8" s="22"/>
      <c r="K8" s="4"/>
    </row>
    <row r="9" spans="1:11" ht="15" customHeight="1" x14ac:dyDescent="0.25">
      <c r="A9" s="12">
        <f t="shared" ref="A9:A44" si="0">+A8+1</f>
        <v>3</v>
      </c>
      <c r="B9" s="13" t="s">
        <v>419</v>
      </c>
      <c r="C9" s="14" t="s">
        <v>18</v>
      </c>
      <c r="D9" s="21" t="s">
        <v>924</v>
      </c>
      <c r="E9" s="16">
        <v>43503</v>
      </c>
      <c r="F9" s="17" t="s">
        <v>126</v>
      </c>
      <c r="G9" s="18">
        <v>1</v>
      </c>
      <c r="H9" s="19" t="s">
        <v>131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836</v>
      </c>
      <c r="C10" s="14" t="s">
        <v>18</v>
      </c>
      <c r="D10" s="21" t="s">
        <v>925</v>
      </c>
      <c r="E10" s="16">
        <v>43506</v>
      </c>
      <c r="F10" s="17" t="s">
        <v>126</v>
      </c>
      <c r="G10" s="18">
        <v>1</v>
      </c>
      <c r="H10" s="19" t="s">
        <v>125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868</v>
      </c>
      <c r="C11" s="14" t="s">
        <v>18</v>
      </c>
      <c r="D11" s="21" t="s">
        <v>926</v>
      </c>
      <c r="E11" s="16">
        <v>43506</v>
      </c>
      <c r="F11" s="17" t="s">
        <v>119</v>
      </c>
      <c r="G11" s="18">
        <v>1</v>
      </c>
      <c r="H11" s="19" t="s">
        <v>120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838</v>
      </c>
      <c r="C12" s="14" t="s">
        <v>18</v>
      </c>
      <c r="D12" s="21" t="s">
        <v>927</v>
      </c>
      <c r="E12" s="16">
        <v>43506</v>
      </c>
      <c r="F12" s="17" t="s">
        <v>122</v>
      </c>
      <c r="G12" s="18">
        <v>1</v>
      </c>
      <c r="H12" s="19" t="s">
        <v>121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843</v>
      </c>
      <c r="C13" s="14" t="s">
        <v>18</v>
      </c>
      <c r="D13" s="21" t="s">
        <v>928</v>
      </c>
      <c r="E13" s="16">
        <v>43506</v>
      </c>
      <c r="F13" s="17" t="s">
        <v>124</v>
      </c>
      <c r="G13" s="18">
        <v>1</v>
      </c>
      <c r="H13" s="19" t="s">
        <v>123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607</v>
      </c>
      <c r="C14" s="14" t="s">
        <v>18</v>
      </c>
      <c r="D14" s="21" t="s">
        <v>103</v>
      </c>
      <c r="E14" s="16">
        <v>43506</v>
      </c>
      <c r="F14" s="17" t="s">
        <v>129</v>
      </c>
      <c r="G14" s="18">
        <v>1</v>
      </c>
      <c r="H14" s="19" t="s">
        <v>130</v>
      </c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837</v>
      </c>
      <c r="C15" s="14" t="s">
        <v>18</v>
      </c>
      <c r="D15" s="21" t="s">
        <v>106</v>
      </c>
      <c r="E15" s="16">
        <v>43506</v>
      </c>
      <c r="F15" s="17" t="s">
        <v>127</v>
      </c>
      <c r="G15" s="18">
        <v>1</v>
      </c>
      <c r="H15" s="19" t="s">
        <v>128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192</v>
      </c>
      <c r="C16" s="14" t="s">
        <v>18</v>
      </c>
      <c r="D16" s="21" t="s">
        <v>114</v>
      </c>
      <c r="E16" s="16">
        <v>43507</v>
      </c>
      <c r="F16" s="17" t="s">
        <v>115</v>
      </c>
      <c r="G16" s="18">
        <v>1</v>
      </c>
      <c r="H16" s="23" t="s">
        <v>116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839</v>
      </c>
      <c r="C17" s="14" t="s">
        <v>18</v>
      </c>
      <c r="D17" s="21" t="s">
        <v>111</v>
      </c>
      <c r="E17" s="16">
        <v>43507</v>
      </c>
      <c r="F17" s="17" t="s">
        <v>112</v>
      </c>
      <c r="G17" s="18">
        <v>1</v>
      </c>
      <c r="H17" s="23" t="s">
        <v>113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840</v>
      </c>
      <c r="C18" s="14" t="s">
        <v>18</v>
      </c>
      <c r="D18" s="21" t="s">
        <v>102</v>
      </c>
      <c r="E18" s="16">
        <v>43507</v>
      </c>
      <c r="F18" s="17" t="s">
        <v>107</v>
      </c>
      <c r="G18" s="18">
        <v>1</v>
      </c>
      <c r="H18" s="23" t="s">
        <v>108</v>
      </c>
      <c r="I18" s="22"/>
      <c r="J18" s="22"/>
    </row>
    <row r="19" spans="1:10" ht="15" customHeight="1" x14ac:dyDescent="0.25">
      <c r="A19" s="12">
        <f t="shared" si="0"/>
        <v>13</v>
      </c>
      <c r="B19" s="13" t="s">
        <v>841</v>
      </c>
      <c r="C19" s="14" t="s">
        <v>18</v>
      </c>
      <c r="D19" s="21" t="s">
        <v>104</v>
      </c>
      <c r="E19" s="16">
        <v>43507</v>
      </c>
      <c r="F19" s="17" t="s">
        <v>109</v>
      </c>
      <c r="G19" s="18">
        <v>1</v>
      </c>
      <c r="H19" s="23" t="s">
        <v>110</v>
      </c>
      <c r="I19" s="22"/>
      <c r="J19" s="22"/>
    </row>
    <row r="20" spans="1:10" ht="15" customHeight="1" x14ac:dyDescent="0.25">
      <c r="A20" s="12">
        <f t="shared" si="0"/>
        <v>14</v>
      </c>
      <c r="B20" s="13" t="s">
        <v>842</v>
      </c>
      <c r="C20" s="14" t="s">
        <v>18</v>
      </c>
      <c r="D20" s="21" t="s">
        <v>105</v>
      </c>
      <c r="E20" s="16">
        <v>43507</v>
      </c>
      <c r="F20" s="17" t="s">
        <v>117</v>
      </c>
      <c r="G20" s="18">
        <v>1</v>
      </c>
      <c r="H20" s="19" t="s">
        <v>118</v>
      </c>
      <c r="I20" s="22"/>
      <c r="J20" s="22"/>
    </row>
    <row r="21" spans="1:10" ht="15" customHeight="1" x14ac:dyDescent="0.25">
      <c r="A21" s="12">
        <f t="shared" si="0"/>
        <v>15</v>
      </c>
      <c r="B21" s="16" t="s">
        <v>133</v>
      </c>
      <c r="C21" s="13">
        <v>40</v>
      </c>
      <c r="D21" s="21" t="s">
        <v>132</v>
      </c>
      <c r="E21" s="16">
        <v>43509</v>
      </c>
      <c r="F21" s="24" t="s">
        <v>26</v>
      </c>
      <c r="G21" s="18">
        <v>1</v>
      </c>
      <c r="H21" s="4"/>
      <c r="I21" s="22"/>
      <c r="J21" s="22"/>
    </row>
    <row r="22" spans="1:10" ht="15" customHeight="1" x14ac:dyDescent="0.25">
      <c r="A22" s="12">
        <f t="shared" si="0"/>
        <v>16</v>
      </c>
      <c r="B22" s="13" t="s">
        <v>420</v>
      </c>
      <c r="C22" s="14" t="s">
        <v>18</v>
      </c>
      <c r="D22" s="15" t="s">
        <v>155</v>
      </c>
      <c r="E22" s="16">
        <v>43509</v>
      </c>
      <c r="F22" s="17" t="s">
        <v>160</v>
      </c>
      <c r="G22" s="18">
        <v>1</v>
      </c>
      <c r="H22" s="26" t="s">
        <v>156</v>
      </c>
      <c r="I22" s="22"/>
      <c r="J22" s="22"/>
    </row>
    <row r="23" spans="1:10" ht="15" customHeight="1" x14ac:dyDescent="0.25">
      <c r="A23" s="12">
        <f t="shared" si="0"/>
        <v>17</v>
      </c>
      <c r="B23" s="16" t="s">
        <v>416</v>
      </c>
      <c r="C23" s="14" t="s">
        <v>18</v>
      </c>
      <c r="D23" s="15" t="s">
        <v>157</v>
      </c>
      <c r="E23" s="16">
        <v>43509</v>
      </c>
      <c r="F23" s="17" t="s">
        <v>158</v>
      </c>
      <c r="G23" s="18">
        <v>1</v>
      </c>
      <c r="H23" s="4" t="s">
        <v>159</v>
      </c>
      <c r="I23" s="22"/>
      <c r="J23" s="22"/>
    </row>
    <row r="24" spans="1:10" ht="15" customHeight="1" x14ac:dyDescent="0.25">
      <c r="A24" s="12">
        <f t="shared" si="0"/>
        <v>18</v>
      </c>
      <c r="B24" s="16" t="s">
        <v>417</v>
      </c>
      <c r="C24" s="14" t="s">
        <v>18</v>
      </c>
      <c r="D24" s="15" t="s">
        <v>152</v>
      </c>
      <c r="E24" s="16">
        <v>43509</v>
      </c>
      <c r="F24" s="17" t="s">
        <v>153</v>
      </c>
      <c r="G24" s="18">
        <v>1</v>
      </c>
      <c r="H24" s="26" t="s">
        <v>154</v>
      </c>
      <c r="I24" s="22"/>
      <c r="J24" s="22"/>
    </row>
    <row r="25" spans="1:10" ht="15" customHeight="1" x14ac:dyDescent="0.25">
      <c r="A25" s="12">
        <f t="shared" si="0"/>
        <v>19</v>
      </c>
      <c r="B25" s="16" t="s">
        <v>418</v>
      </c>
      <c r="C25" s="14" t="s">
        <v>18</v>
      </c>
      <c r="D25" s="15" t="s">
        <v>149</v>
      </c>
      <c r="E25" s="16">
        <v>43509</v>
      </c>
      <c r="F25" s="17" t="s">
        <v>150</v>
      </c>
      <c r="G25" s="18">
        <v>1</v>
      </c>
      <c r="H25" s="19" t="s">
        <v>151</v>
      </c>
      <c r="I25" s="22"/>
      <c r="J25" s="22"/>
    </row>
    <row r="26" spans="1:10" ht="15" customHeight="1" x14ac:dyDescent="0.25">
      <c r="A26" s="12">
        <f t="shared" si="0"/>
        <v>20</v>
      </c>
      <c r="B26" s="16" t="s">
        <v>134</v>
      </c>
      <c r="C26" s="14" t="s">
        <v>18</v>
      </c>
      <c r="D26" s="15" t="s">
        <v>135</v>
      </c>
      <c r="E26" s="16">
        <v>43513</v>
      </c>
      <c r="F26" s="17" t="s">
        <v>26</v>
      </c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3" t="s">
        <v>136</v>
      </c>
      <c r="C27" s="14" t="s">
        <v>18</v>
      </c>
      <c r="D27" s="15" t="s">
        <v>137</v>
      </c>
      <c r="E27" s="16">
        <v>43514</v>
      </c>
      <c r="F27" s="17" t="s">
        <v>26</v>
      </c>
      <c r="G27" s="18">
        <v>1</v>
      </c>
      <c r="H27" s="19"/>
      <c r="I27" s="22"/>
      <c r="J27" s="22"/>
    </row>
    <row r="28" spans="1:10" ht="15" customHeight="1" x14ac:dyDescent="0.25">
      <c r="A28" s="12">
        <f t="shared" si="0"/>
        <v>22</v>
      </c>
      <c r="B28" s="16" t="s">
        <v>869</v>
      </c>
      <c r="C28" s="14" t="s">
        <v>18</v>
      </c>
      <c r="D28" s="15" t="s">
        <v>146</v>
      </c>
      <c r="E28" s="16">
        <v>43514</v>
      </c>
      <c r="F28" s="17" t="s">
        <v>147</v>
      </c>
      <c r="G28" s="18">
        <v>1</v>
      </c>
      <c r="H28" s="26" t="s">
        <v>148</v>
      </c>
      <c r="I28" s="22"/>
      <c r="J28" s="22"/>
    </row>
    <row r="29" spans="1:10" ht="15" customHeight="1" x14ac:dyDescent="0.25">
      <c r="A29" s="12">
        <f t="shared" si="0"/>
        <v>23</v>
      </c>
      <c r="B29" s="16" t="s">
        <v>870</v>
      </c>
      <c r="C29" s="14" t="s">
        <v>18</v>
      </c>
      <c r="D29" s="15" t="s">
        <v>140</v>
      </c>
      <c r="E29" s="16">
        <v>43514</v>
      </c>
      <c r="F29" s="17" t="s">
        <v>142</v>
      </c>
      <c r="G29" s="18">
        <v>1</v>
      </c>
      <c r="H29" s="26" t="s">
        <v>141</v>
      </c>
      <c r="I29" s="22"/>
      <c r="J29" s="22"/>
    </row>
    <row r="30" spans="1:10" ht="15" customHeight="1" x14ac:dyDescent="0.25">
      <c r="A30" s="12">
        <f t="shared" si="0"/>
        <v>24</v>
      </c>
      <c r="B30" s="16" t="s">
        <v>424</v>
      </c>
      <c r="C30" s="14" t="s">
        <v>18</v>
      </c>
      <c r="D30" s="15" t="s">
        <v>143</v>
      </c>
      <c r="E30" s="16">
        <v>43514</v>
      </c>
      <c r="F30" s="17" t="s">
        <v>145</v>
      </c>
      <c r="G30" s="18">
        <v>1</v>
      </c>
      <c r="H30" s="19" t="s">
        <v>144</v>
      </c>
      <c r="I30" s="4"/>
      <c r="J30" s="4"/>
    </row>
    <row r="31" spans="1:10" ht="15" customHeight="1" x14ac:dyDescent="0.25">
      <c r="A31" s="12">
        <f t="shared" si="0"/>
        <v>25</v>
      </c>
      <c r="B31" s="16" t="s">
        <v>138</v>
      </c>
      <c r="C31" s="14" t="s">
        <v>18</v>
      </c>
      <c r="D31" s="15" t="s">
        <v>139</v>
      </c>
      <c r="E31" s="16">
        <v>43514</v>
      </c>
      <c r="F31" s="17" t="s">
        <v>41</v>
      </c>
      <c r="G31" s="18">
        <v>1</v>
      </c>
      <c r="H31" s="26"/>
      <c r="I31" s="4"/>
      <c r="J31" s="4"/>
    </row>
    <row r="32" spans="1:10" ht="15" customHeight="1" x14ac:dyDescent="0.25">
      <c r="A32" s="12">
        <f t="shared" si="0"/>
        <v>26</v>
      </c>
      <c r="B32" s="16" t="s">
        <v>163</v>
      </c>
      <c r="C32" s="14" t="s">
        <v>24</v>
      </c>
      <c r="D32" s="21" t="s">
        <v>164</v>
      </c>
      <c r="E32" s="16">
        <v>43515</v>
      </c>
      <c r="F32" s="17" t="s">
        <v>26</v>
      </c>
      <c r="G32" s="18">
        <v>1</v>
      </c>
      <c r="H32" s="4"/>
      <c r="I32" s="4"/>
      <c r="J32" s="4"/>
    </row>
    <row r="33" spans="1:10" ht="15" customHeight="1" x14ac:dyDescent="0.25">
      <c r="A33" s="12">
        <f t="shared" si="0"/>
        <v>27</v>
      </c>
      <c r="B33" s="16" t="s">
        <v>432</v>
      </c>
      <c r="C33" s="14" t="s">
        <v>18</v>
      </c>
      <c r="D33" s="15" t="s">
        <v>161</v>
      </c>
      <c r="E33" s="16">
        <v>43515</v>
      </c>
      <c r="F33" s="17" t="s">
        <v>162</v>
      </c>
      <c r="G33" s="18">
        <v>1</v>
      </c>
      <c r="H33" s="26" t="s">
        <v>188</v>
      </c>
      <c r="I33" s="4"/>
      <c r="J33" s="4"/>
    </row>
    <row r="34" spans="1:10" ht="15" customHeight="1" x14ac:dyDescent="0.25">
      <c r="A34" s="12">
        <f t="shared" si="0"/>
        <v>28</v>
      </c>
      <c r="B34" s="16" t="s">
        <v>165</v>
      </c>
      <c r="C34" s="14" t="s">
        <v>18</v>
      </c>
      <c r="D34" s="15" t="s">
        <v>166</v>
      </c>
      <c r="E34" s="16">
        <v>43515</v>
      </c>
      <c r="F34" s="17" t="s">
        <v>26</v>
      </c>
      <c r="G34" s="18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6" t="s">
        <v>167</v>
      </c>
      <c r="C35" s="14" t="s">
        <v>18</v>
      </c>
      <c r="D35" s="21" t="s">
        <v>168</v>
      </c>
      <c r="E35" s="16">
        <v>43515</v>
      </c>
      <c r="F35" s="17" t="s">
        <v>26</v>
      </c>
      <c r="G35" s="18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6" t="s">
        <v>169</v>
      </c>
      <c r="C36" s="14" t="s">
        <v>24</v>
      </c>
      <c r="D36" s="21" t="s">
        <v>170</v>
      </c>
      <c r="E36" s="16">
        <v>43516</v>
      </c>
      <c r="F36" s="17" t="s">
        <v>26</v>
      </c>
      <c r="G36" s="18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6" t="s">
        <v>179</v>
      </c>
      <c r="C37" s="14" t="s">
        <v>18</v>
      </c>
      <c r="D37" s="21" t="s">
        <v>180</v>
      </c>
      <c r="E37" s="16">
        <v>43516</v>
      </c>
      <c r="F37" s="24" t="s">
        <v>26</v>
      </c>
      <c r="G37" s="18">
        <v>1</v>
      </c>
      <c r="I37" s="4"/>
      <c r="J37" s="4"/>
    </row>
    <row r="38" spans="1:10" ht="15" customHeight="1" x14ac:dyDescent="0.25">
      <c r="A38" s="12">
        <f t="shared" si="0"/>
        <v>32</v>
      </c>
      <c r="B38" s="16" t="s">
        <v>175</v>
      </c>
      <c r="C38" s="14" t="s">
        <v>18</v>
      </c>
      <c r="D38" s="21" t="s">
        <v>176</v>
      </c>
      <c r="E38" s="16">
        <v>43516</v>
      </c>
      <c r="F38" s="17" t="s">
        <v>26</v>
      </c>
      <c r="G38" s="18">
        <v>1</v>
      </c>
      <c r="I38" s="4"/>
      <c r="J38" s="4"/>
    </row>
    <row r="39" spans="1:10" x14ac:dyDescent="0.25">
      <c r="A39" s="12">
        <f t="shared" si="0"/>
        <v>33</v>
      </c>
      <c r="B39" s="16" t="s">
        <v>171</v>
      </c>
      <c r="C39" s="14" t="s">
        <v>18</v>
      </c>
      <c r="D39" s="21" t="s">
        <v>172</v>
      </c>
      <c r="E39" s="16">
        <v>43516</v>
      </c>
      <c r="F39" s="17" t="s">
        <v>26</v>
      </c>
      <c r="G39" s="18">
        <v>1</v>
      </c>
      <c r="H39" s="4"/>
    </row>
    <row r="40" spans="1:10" x14ac:dyDescent="0.25">
      <c r="A40" s="12">
        <f>+A39+1</f>
        <v>34</v>
      </c>
      <c r="B40" s="16" t="s">
        <v>173</v>
      </c>
      <c r="C40" s="14" t="s">
        <v>18</v>
      </c>
      <c r="D40" s="21" t="s">
        <v>174</v>
      </c>
      <c r="E40" s="16">
        <v>43516</v>
      </c>
      <c r="F40" s="17" t="s">
        <v>26</v>
      </c>
      <c r="G40" s="18">
        <v>1</v>
      </c>
      <c r="H40" s="4"/>
    </row>
    <row r="41" spans="1:10" x14ac:dyDescent="0.25">
      <c r="A41" s="12">
        <f t="shared" si="0"/>
        <v>35</v>
      </c>
      <c r="B41" s="16" t="s">
        <v>183</v>
      </c>
      <c r="C41" s="13" t="s">
        <v>24</v>
      </c>
      <c r="D41" s="21" t="s">
        <v>184</v>
      </c>
      <c r="E41" s="16">
        <v>43517</v>
      </c>
      <c r="F41" s="24" t="s">
        <v>26</v>
      </c>
      <c r="G41" s="18">
        <v>1</v>
      </c>
    </row>
    <row r="42" spans="1:10" x14ac:dyDescent="0.25">
      <c r="A42" s="12">
        <f t="shared" si="0"/>
        <v>36</v>
      </c>
      <c r="B42" s="16" t="s">
        <v>181</v>
      </c>
      <c r="C42" s="14" t="s">
        <v>18</v>
      </c>
      <c r="D42" s="21" t="s">
        <v>182</v>
      </c>
      <c r="E42" s="16">
        <v>43517</v>
      </c>
      <c r="F42" s="24" t="s">
        <v>26</v>
      </c>
      <c r="G42" s="18">
        <v>1</v>
      </c>
    </row>
    <row r="43" spans="1:10" x14ac:dyDescent="0.25">
      <c r="A43" s="12">
        <f t="shared" si="0"/>
        <v>37</v>
      </c>
      <c r="B43" s="16" t="s">
        <v>177</v>
      </c>
      <c r="C43" s="14" t="s">
        <v>18</v>
      </c>
      <c r="D43" s="21" t="s">
        <v>178</v>
      </c>
      <c r="E43" s="16">
        <v>43517</v>
      </c>
      <c r="F43" s="24" t="s">
        <v>26</v>
      </c>
      <c r="G43" s="18">
        <v>1</v>
      </c>
    </row>
    <row r="44" spans="1:10" x14ac:dyDescent="0.25">
      <c r="A44" s="12">
        <f t="shared" si="0"/>
        <v>38</v>
      </c>
      <c r="B44" s="16" t="s">
        <v>844</v>
      </c>
      <c r="C44" s="13" t="s">
        <v>18</v>
      </c>
      <c r="D44" s="21" t="s">
        <v>185</v>
      </c>
      <c r="E44" s="16">
        <v>43523</v>
      </c>
      <c r="F44" s="17" t="s">
        <v>186</v>
      </c>
      <c r="G44" s="18">
        <v>1</v>
      </c>
      <c r="H44" t="s">
        <v>187</v>
      </c>
    </row>
  </sheetData>
  <sortState ref="B7:H44">
    <sortCondition ref="E7:E44"/>
    <sortCondition ref="D7:D44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2"/>
  <sheetViews>
    <sheetView workbookViewId="0">
      <selection activeCell="D79" sqref="D7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20.7109375" customWidth="1"/>
    <col min="7" max="7" width="3.5703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2" t="s">
        <v>2</v>
      </c>
      <c r="B2" s="32"/>
      <c r="C2" s="32"/>
      <c r="D2" s="2"/>
      <c r="E2" s="5" t="s">
        <v>3</v>
      </c>
      <c r="F2" s="5"/>
      <c r="G2" s="3"/>
      <c r="H2" s="3"/>
      <c r="I2" s="29" t="s">
        <v>4</v>
      </c>
      <c r="J2" s="30"/>
      <c r="K2" s="6">
        <f>SUMIF(F7:F354,"Elimination*",G7:G354)</f>
        <v>14</v>
      </c>
    </row>
    <row r="3" spans="1:11" x14ac:dyDescent="0.25">
      <c r="A3" s="33" t="s">
        <v>5</v>
      </c>
      <c r="B3" s="33"/>
      <c r="C3" s="33"/>
      <c r="D3" s="5"/>
      <c r="E3" s="3" t="s">
        <v>6</v>
      </c>
      <c r="F3" s="3"/>
      <c r="G3" s="3"/>
      <c r="H3" s="3"/>
      <c r="I3" s="29" t="s">
        <v>7</v>
      </c>
      <c r="J3" s="30"/>
      <c r="K3" s="6">
        <f>SUMIF(F7:F354,"NB*",G7:G354)</f>
        <v>19</v>
      </c>
    </row>
    <row r="4" spans="1:11" ht="18" x14ac:dyDescent="0.25">
      <c r="A4" s="31" t="s">
        <v>8</v>
      </c>
      <c r="B4" s="31"/>
      <c r="C4" s="31"/>
      <c r="D4" s="31"/>
      <c r="E4" s="31"/>
      <c r="F4" s="31"/>
      <c r="G4" s="3"/>
      <c r="H4" s="3"/>
      <c r="I4" s="29" t="s">
        <v>9</v>
      </c>
      <c r="J4" s="30"/>
      <c r="K4" s="6">
        <f>SUMIF(F7:F354,"Ve*",G7:G354)</f>
        <v>133</v>
      </c>
    </row>
    <row r="5" spans="1:11" ht="15.75" x14ac:dyDescent="0.25">
      <c r="A5" s="28" t="s">
        <v>196</v>
      </c>
      <c r="B5" s="28"/>
      <c r="C5" s="28"/>
      <c r="D5" s="28"/>
      <c r="E5" s="28"/>
      <c r="F5" s="28"/>
      <c r="G5" s="7"/>
      <c r="H5" s="7"/>
      <c r="I5" s="29" t="s">
        <v>10</v>
      </c>
      <c r="J5" s="30"/>
      <c r="K5" s="8">
        <f>SUM(K2:K4)</f>
        <v>166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428</v>
      </c>
      <c r="C7" s="14" t="s">
        <v>18</v>
      </c>
      <c r="D7" s="21" t="s">
        <v>214</v>
      </c>
      <c r="E7" s="16">
        <v>43528</v>
      </c>
      <c r="F7" s="17" t="s">
        <v>215</v>
      </c>
      <c r="G7" s="18">
        <v>1</v>
      </c>
      <c r="H7" s="19" t="s">
        <v>427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423</v>
      </c>
      <c r="C8" s="14" t="s">
        <v>18</v>
      </c>
      <c r="D8" s="21" t="s">
        <v>211</v>
      </c>
      <c r="E8" s="16">
        <v>43528</v>
      </c>
      <c r="F8" s="17" t="s">
        <v>212</v>
      </c>
      <c r="G8" s="18">
        <v>1</v>
      </c>
      <c r="H8" s="19" t="s">
        <v>213</v>
      </c>
      <c r="I8" s="22"/>
      <c r="J8" s="22"/>
      <c r="K8" s="4"/>
    </row>
    <row r="9" spans="1:11" ht="15" customHeight="1" x14ac:dyDescent="0.25">
      <c r="A9" s="12">
        <f t="shared" ref="A9:A38" si="0">+A8+1</f>
        <v>3</v>
      </c>
      <c r="B9" s="13" t="s">
        <v>422</v>
      </c>
      <c r="C9" s="14" t="s">
        <v>18</v>
      </c>
      <c r="D9" s="21" t="s">
        <v>205</v>
      </c>
      <c r="E9" s="16">
        <v>43529</v>
      </c>
      <c r="F9" s="17" t="s">
        <v>209</v>
      </c>
      <c r="G9" s="18">
        <v>1</v>
      </c>
      <c r="H9" s="19" t="s">
        <v>210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872</v>
      </c>
      <c r="C10" s="14" t="s">
        <v>18</v>
      </c>
      <c r="D10" s="15" t="s">
        <v>200</v>
      </c>
      <c r="E10" s="16">
        <v>43529</v>
      </c>
      <c r="F10" s="17" t="s">
        <v>204</v>
      </c>
      <c r="G10" s="18">
        <v>1</v>
      </c>
      <c r="H10" s="19" t="s">
        <v>873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874</v>
      </c>
      <c r="C11" s="14" t="s">
        <v>18</v>
      </c>
      <c r="D11" s="21" t="s">
        <v>227</v>
      </c>
      <c r="E11" s="16">
        <v>43529</v>
      </c>
      <c r="F11" s="17" t="s">
        <v>228</v>
      </c>
      <c r="G11" s="18">
        <v>1</v>
      </c>
      <c r="H11" s="23" t="s">
        <v>229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194</v>
      </c>
      <c r="C12" s="14" t="s">
        <v>18</v>
      </c>
      <c r="D12" s="15" t="s">
        <v>195</v>
      </c>
      <c r="E12" s="16">
        <v>43530</v>
      </c>
      <c r="F12" s="17" t="s">
        <v>26</v>
      </c>
      <c r="G12" s="18">
        <v>1</v>
      </c>
      <c r="H12" s="19"/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216</v>
      </c>
      <c r="C13" s="14" t="s">
        <v>18</v>
      </c>
      <c r="D13" s="21" t="s">
        <v>217</v>
      </c>
      <c r="E13" s="16">
        <v>43530</v>
      </c>
      <c r="F13" s="17" t="s">
        <v>218</v>
      </c>
      <c r="G13" s="18">
        <v>1</v>
      </c>
      <c r="H13" s="19" t="s">
        <v>219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875</v>
      </c>
      <c r="C14" s="14" t="s">
        <v>18</v>
      </c>
      <c r="D14" s="15" t="s">
        <v>202</v>
      </c>
      <c r="E14" s="16">
        <v>43534</v>
      </c>
      <c r="F14" s="17" t="s">
        <v>208</v>
      </c>
      <c r="G14" s="18">
        <v>1</v>
      </c>
      <c r="H14" s="19" t="s">
        <v>203</v>
      </c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877</v>
      </c>
      <c r="C15" s="14" t="s">
        <v>18</v>
      </c>
      <c r="D15" s="15" t="s">
        <v>199</v>
      </c>
      <c r="E15" s="16">
        <v>43534</v>
      </c>
      <c r="F15" s="17" t="s">
        <v>207</v>
      </c>
      <c r="G15" s="18">
        <v>1</v>
      </c>
      <c r="H15" s="19" t="s">
        <v>201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876</v>
      </c>
      <c r="C16" s="14" t="s">
        <v>18</v>
      </c>
      <c r="D16" s="15" t="s">
        <v>197</v>
      </c>
      <c r="E16" s="16">
        <v>43534</v>
      </c>
      <c r="F16" s="17" t="s">
        <v>206</v>
      </c>
      <c r="G16" s="18">
        <v>1</v>
      </c>
      <c r="H16" s="19" t="s">
        <v>198</v>
      </c>
      <c r="I16" s="22"/>
      <c r="J16" s="22"/>
    </row>
    <row r="17" spans="1:10" ht="15" customHeight="1" x14ac:dyDescent="0.25">
      <c r="A17" s="12">
        <f t="shared" si="0"/>
        <v>11</v>
      </c>
      <c r="B17" s="16" t="s">
        <v>231</v>
      </c>
      <c r="C17" s="14" t="s">
        <v>24</v>
      </c>
      <c r="D17" s="21" t="s">
        <v>232</v>
      </c>
      <c r="E17" s="16">
        <v>43535</v>
      </c>
      <c r="F17" s="24" t="s">
        <v>26</v>
      </c>
      <c r="G17" s="18">
        <v>1</v>
      </c>
      <c r="H17" s="4"/>
      <c r="I17" s="22"/>
      <c r="J17" s="22"/>
    </row>
    <row r="18" spans="1:10" ht="15" customHeight="1" x14ac:dyDescent="0.25">
      <c r="A18" s="12">
        <f t="shared" si="0"/>
        <v>12</v>
      </c>
      <c r="B18" s="13" t="s">
        <v>878</v>
      </c>
      <c r="C18" s="14" t="s">
        <v>18</v>
      </c>
      <c r="D18" s="21" t="s">
        <v>225</v>
      </c>
      <c r="E18" s="16">
        <v>43535</v>
      </c>
      <c r="F18" s="17" t="s">
        <v>226</v>
      </c>
      <c r="G18" s="18">
        <v>1</v>
      </c>
      <c r="H18" s="23" t="s">
        <v>240</v>
      </c>
      <c r="I18" s="22"/>
      <c r="J18" s="22"/>
    </row>
    <row r="19" spans="1:10" ht="15" customHeight="1" x14ac:dyDescent="0.25">
      <c r="A19" s="12">
        <f t="shared" si="0"/>
        <v>13</v>
      </c>
      <c r="B19" s="13" t="s">
        <v>421</v>
      </c>
      <c r="C19" s="14" t="s">
        <v>18</v>
      </c>
      <c r="D19" s="21" t="s">
        <v>222</v>
      </c>
      <c r="E19" s="16">
        <v>43538</v>
      </c>
      <c r="F19" s="17" t="s">
        <v>223</v>
      </c>
      <c r="G19" s="18">
        <v>1</v>
      </c>
      <c r="H19" s="23" t="s">
        <v>224</v>
      </c>
      <c r="I19" s="22"/>
      <c r="J19" s="22"/>
    </row>
    <row r="20" spans="1:10" ht="15" customHeight="1" x14ac:dyDescent="0.25">
      <c r="A20" s="12">
        <f t="shared" si="0"/>
        <v>14</v>
      </c>
      <c r="B20" s="16" t="s">
        <v>613</v>
      </c>
      <c r="C20" s="14" t="s">
        <v>18</v>
      </c>
      <c r="D20" s="15">
        <v>2019057241</v>
      </c>
      <c r="E20" s="16">
        <v>43542</v>
      </c>
      <c r="F20" s="17" t="s">
        <v>278</v>
      </c>
      <c r="G20" s="18">
        <v>1</v>
      </c>
      <c r="I20" s="22"/>
      <c r="J20" s="22"/>
    </row>
    <row r="21" spans="1:10" ht="15" customHeight="1" x14ac:dyDescent="0.25">
      <c r="A21" s="12">
        <f t="shared" si="0"/>
        <v>15</v>
      </c>
      <c r="B21" s="16" t="s">
        <v>613</v>
      </c>
      <c r="C21" s="14" t="s">
        <v>18</v>
      </c>
      <c r="D21" s="15" t="s">
        <v>298</v>
      </c>
      <c r="E21" s="16">
        <v>43542</v>
      </c>
      <c r="F21" s="17" t="s">
        <v>278</v>
      </c>
      <c r="G21" s="18">
        <v>1</v>
      </c>
      <c r="I21" s="22"/>
      <c r="J21" s="22"/>
    </row>
    <row r="22" spans="1:10" ht="15" customHeight="1" x14ac:dyDescent="0.25">
      <c r="A22" s="12">
        <f t="shared" si="0"/>
        <v>16</v>
      </c>
      <c r="B22" s="16" t="s">
        <v>613</v>
      </c>
      <c r="C22" s="14" t="s">
        <v>18</v>
      </c>
      <c r="D22" s="15" t="s">
        <v>299</v>
      </c>
      <c r="E22" s="16">
        <v>43542</v>
      </c>
      <c r="F22" s="17" t="s">
        <v>278</v>
      </c>
      <c r="G22" s="18">
        <v>1</v>
      </c>
      <c r="I22" s="22"/>
      <c r="J22" s="22"/>
    </row>
    <row r="23" spans="1:10" ht="15" customHeight="1" x14ac:dyDescent="0.25">
      <c r="A23" s="12">
        <f t="shared" si="0"/>
        <v>17</v>
      </c>
      <c r="B23" s="16" t="s">
        <v>613</v>
      </c>
      <c r="C23" s="14" t="s">
        <v>18</v>
      </c>
      <c r="D23" s="15" t="s">
        <v>300</v>
      </c>
      <c r="E23" s="16">
        <v>43542</v>
      </c>
      <c r="F23" s="17" t="s">
        <v>278</v>
      </c>
      <c r="G23" s="18">
        <v>1</v>
      </c>
      <c r="I23" s="22"/>
      <c r="J23" s="22"/>
    </row>
    <row r="24" spans="1:10" ht="15" customHeight="1" x14ac:dyDescent="0.25">
      <c r="A24" s="12">
        <f t="shared" si="0"/>
        <v>18</v>
      </c>
      <c r="B24" s="16" t="s">
        <v>613</v>
      </c>
      <c r="C24" s="14" t="s">
        <v>18</v>
      </c>
      <c r="D24" s="15" t="s">
        <v>301</v>
      </c>
      <c r="E24" s="16">
        <v>43542</v>
      </c>
      <c r="F24" s="17" t="s">
        <v>278</v>
      </c>
      <c r="G24" s="18">
        <v>1</v>
      </c>
      <c r="I24" s="22"/>
      <c r="J24" s="22"/>
    </row>
    <row r="25" spans="1:10" ht="15" customHeight="1" x14ac:dyDescent="0.25">
      <c r="A25" s="12">
        <f t="shared" si="0"/>
        <v>19</v>
      </c>
      <c r="B25" s="16" t="s">
        <v>613</v>
      </c>
      <c r="C25" s="14" t="s">
        <v>18</v>
      </c>
      <c r="D25" s="15" t="s">
        <v>302</v>
      </c>
      <c r="E25" s="16">
        <v>43542</v>
      </c>
      <c r="F25" s="17" t="s">
        <v>278</v>
      </c>
      <c r="G25" s="18">
        <v>1</v>
      </c>
      <c r="I25" s="22"/>
      <c r="J25" s="22"/>
    </row>
    <row r="26" spans="1:10" ht="15" customHeight="1" x14ac:dyDescent="0.25">
      <c r="A26" s="12">
        <f t="shared" si="0"/>
        <v>20</v>
      </c>
      <c r="B26" s="16" t="s">
        <v>613</v>
      </c>
      <c r="C26" s="14" t="s">
        <v>18</v>
      </c>
      <c r="D26" s="15" t="s">
        <v>303</v>
      </c>
      <c r="E26" s="16">
        <v>43542</v>
      </c>
      <c r="F26" s="17" t="s">
        <v>278</v>
      </c>
      <c r="G26" s="18">
        <v>1</v>
      </c>
      <c r="I26" s="22"/>
      <c r="J26" s="22"/>
    </row>
    <row r="27" spans="1:10" ht="15" customHeight="1" x14ac:dyDescent="0.25">
      <c r="A27" s="12">
        <f t="shared" si="0"/>
        <v>21</v>
      </c>
      <c r="B27" s="16" t="s">
        <v>613</v>
      </c>
      <c r="C27" s="14" t="s">
        <v>18</v>
      </c>
      <c r="D27" s="15" t="s">
        <v>304</v>
      </c>
      <c r="E27" s="16">
        <v>43542</v>
      </c>
      <c r="F27" s="17" t="s">
        <v>278</v>
      </c>
      <c r="G27" s="18">
        <v>1</v>
      </c>
      <c r="I27" s="22"/>
      <c r="J27" s="22"/>
    </row>
    <row r="28" spans="1:10" ht="15" customHeight="1" x14ac:dyDescent="0.25">
      <c r="A28" s="12">
        <f t="shared" si="0"/>
        <v>22</v>
      </c>
      <c r="B28" s="16" t="s">
        <v>613</v>
      </c>
      <c r="C28" s="14" t="s">
        <v>18</v>
      </c>
      <c r="D28" s="15" t="s">
        <v>305</v>
      </c>
      <c r="E28" s="16">
        <v>43542</v>
      </c>
      <c r="F28" s="17" t="s">
        <v>278</v>
      </c>
      <c r="G28" s="18">
        <v>1</v>
      </c>
      <c r="I28" s="22"/>
      <c r="J28" s="22"/>
    </row>
    <row r="29" spans="1:10" ht="15" customHeight="1" x14ac:dyDescent="0.25">
      <c r="A29" s="12">
        <f t="shared" si="0"/>
        <v>23</v>
      </c>
      <c r="B29" s="16" t="s">
        <v>613</v>
      </c>
      <c r="C29" s="14" t="s">
        <v>18</v>
      </c>
      <c r="D29" s="15" t="s">
        <v>306</v>
      </c>
      <c r="E29" s="16">
        <v>43542</v>
      </c>
      <c r="F29" s="17" t="s">
        <v>278</v>
      </c>
      <c r="G29" s="18">
        <v>1</v>
      </c>
      <c r="I29" s="4"/>
      <c r="J29" s="4"/>
    </row>
    <row r="30" spans="1:10" ht="15" customHeight="1" x14ac:dyDescent="0.25">
      <c r="A30" s="12">
        <f t="shared" si="0"/>
        <v>24</v>
      </c>
      <c r="B30" s="16" t="s">
        <v>613</v>
      </c>
      <c r="C30" s="14" t="s">
        <v>18</v>
      </c>
      <c r="D30" s="15" t="s">
        <v>307</v>
      </c>
      <c r="E30" s="16">
        <v>43542</v>
      </c>
      <c r="F30" s="17" t="s">
        <v>278</v>
      </c>
      <c r="G30" s="18">
        <v>1</v>
      </c>
      <c r="I30" s="4"/>
      <c r="J30" s="4"/>
    </row>
    <row r="31" spans="1:10" ht="15" customHeight="1" x14ac:dyDescent="0.25">
      <c r="A31" s="12">
        <f t="shared" si="0"/>
        <v>25</v>
      </c>
      <c r="B31" s="16" t="s">
        <v>613</v>
      </c>
      <c r="C31" s="14" t="s">
        <v>18</v>
      </c>
      <c r="D31" s="15" t="s">
        <v>328</v>
      </c>
      <c r="E31" s="16">
        <v>43542</v>
      </c>
      <c r="F31" s="17" t="s">
        <v>278</v>
      </c>
      <c r="G31" s="18">
        <v>1</v>
      </c>
      <c r="I31" s="4"/>
      <c r="J31" s="4"/>
    </row>
    <row r="32" spans="1:10" ht="15" customHeight="1" x14ac:dyDescent="0.25">
      <c r="A32" s="12">
        <f t="shared" si="0"/>
        <v>26</v>
      </c>
      <c r="B32" s="16" t="s">
        <v>613</v>
      </c>
      <c r="C32" s="14" t="s">
        <v>18</v>
      </c>
      <c r="D32" s="15" t="s">
        <v>329</v>
      </c>
      <c r="E32" s="16">
        <v>43542</v>
      </c>
      <c r="F32" s="17" t="s">
        <v>278</v>
      </c>
      <c r="G32" s="18">
        <v>1</v>
      </c>
      <c r="I32" s="4"/>
      <c r="J32" s="4"/>
    </row>
    <row r="33" spans="1:10" ht="15" customHeight="1" x14ac:dyDescent="0.25">
      <c r="A33" s="12">
        <f t="shared" si="0"/>
        <v>27</v>
      </c>
      <c r="B33" s="16" t="s">
        <v>613</v>
      </c>
      <c r="C33" s="14" t="s">
        <v>18</v>
      </c>
      <c r="D33" s="15" t="s">
        <v>330</v>
      </c>
      <c r="E33" s="16">
        <v>43542</v>
      </c>
      <c r="F33" s="17" t="s">
        <v>278</v>
      </c>
      <c r="G33" s="18">
        <v>1</v>
      </c>
      <c r="I33" s="4"/>
      <c r="J33" s="4"/>
    </row>
    <row r="34" spans="1:10" ht="15" customHeight="1" x14ac:dyDescent="0.25">
      <c r="A34" s="12">
        <f t="shared" si="0"/>
        <v>28</v>
      </c>
      <c r="B34" s="16" t="s">
        <v>613</v>
      </c>
      <c r="C34" s="14" t="s">
        <v>18</v>
      </c>
      <c r="D34" s="15" t="s">
        <v>331</v>
      </c>
      <c r="E34" s="16">
        <v>43542</v>
      </c>
      <c r="F34" s="17" t="s">
        <v>278</v>
      </c>
      <c r="G34" s="18">
        <v>1</v>
      </c>
      <c r="I34" s="4"/>
      <c r="J34" s="4"/>
    </row>
    <row r="35" spans="1:10" ht="15" customHeight="1" x14ac:dyDescent="0.25">
      <c r="A35" s="12">
        <f t="shared" si="0"/>
        <v>29</v>
      </c>
      <c r="B35" s="16" t="s">
        <v>613</v>
      </c>
      <c r="C35" s="14" t="s">
        <v>18</v>
      </c>
      <c r="D35" s="15" t="s">
        <v>332</v>
      </c>
      <c r="E35" s="16">
        <v>43542</v>
      </c>
      <c r="F35" s="17" t="s">
        <v>278</v>
      </c>
      <c r="G35" s="18">
        <v>1</v>
      </c>
      <c r="I35" s="4"/>
      <c r="J35" s="4"/>
    </row>
    <row r="36" spans="1:10" ht="15" customHeight="1" x14ac:dyDescent="0.25">
      <c r="A36" s="12">
        <f t="shared" si="0"/>
        <v>30</v>
      </c>
      <c r="B36" s="16" t="s">
        <v>613</v>
      </c>
      <c r="C36" s="14" t="s">
        <v>18</v>
      </c>
      <c r="D36" s="15" t="s">
        <v>333</v>
      </c>
      <c r="E36" s="16">
        <v>43542</v>
      </c>
      <c r="F36" s="17" t="s">
        <v>278</v>
      </c>
      <c r="G36" s="18">
        <v>1</v>
      </c>
      <c r="I36" s="4"/>
      <c r="J36" s="4"/>
    </row>
    <row r="37" spans="1:10" ht="15" customHeight="1" x14ac:dyDescent="0.25">
      <c r="A37" s="12">
        <f t="shared" si="0"/>
        <v>31</v>
      </c>
      <c r="B37" s="16" t="s">
        <v>613</v>
      </c>
      <c r="C37" s="14" t="s">
        <v>18</v>
      </c>
      <c r="D37" s="15" t="s">
        <v>334</v>
      </c>
      <c r="E37" s="16">
        <v>43542</v>
      </c>
      <c r="F37" s="17" t="s">
        <v>278</v>
      </c>
      <c r="G37" s="18">
        <v>1</v>
      </c>
      <c r="I37" s="4"/>
      <c r="J37" s="4"/>
    </row>
    <row r="38" spans="1:10" x14ac:dyDescent="0.25">
      <c r="A38" s="12">
        <f t="shared" si="0"/>
        <v>32</v>
      </c>
      <c r="B38" s="16" t="s">
        <v>613</v>
      </c>
      <c r="C38" s="14" t="s">
        <v>18</v>
      </c>
      <c r="D38" s="15" t="s">
        <v>335</v>
      </c>
      <c r="E38" s="16">
        <v>43542</v>
      </c>
      <c r="F38" s="17" t="s">
        <v>278</v>
      </c>
      <c r="G38" s="18">
        <v>1</v>
      </c>
    </row>
    <row r="39" spans="1:10" x14ac:dyDescent="0.25">
      <c r="A39" s="12">
        <f>+A38+1</f>
        <v>33</v>
      </c>
      <c r="B39" s="16" t="s">
        <v>613</v>
      </c>
      <c r="C39" s="14" t="s">
        <v>18</v>
      </c>
      <c r="D39" s="15" t="s">
        <v>336</v>
      </c>
      <c r="E39" s="16">
        <v>43542</v>
      </c>
      <c r="F39" s="17" t="s">
        <v>278</v>
      </c>
      <c r="G39" s="27">
        <v>1</v>
      </c>
    </row>
    <row r="40" spans="1:10" x14ac:dyDescent="0.25">
      <c r="A40" s="12">
        <f t="shared" ref="A40:A102" si="1">+A39+1</f>
        <v>34</v>
      </c>
      <c r="B40" s="16" t="s">
        <v>613</v>
      </c>
      <c r="C40" s="14" t="s">
        <v>18</v>
      </c>
      <c r="D40" s="15" t="s">
        <v>337</v>
      </c>
      <c r="E40" s="16">
        <v>43542</v>
      </c>
      <c r="F40" s="17" t="s">
        <v>278</v>
      </c>
      <c r="G40" s="27">
        <v>1</v>
      </c>
    </row>
    <row r="41" spans="1:10" x14ac:dyDescent="0.25">
      <c r="A41" s="12">
        <f t="shared" si="1"/>
        <v>35</v>
      </c>
      <c r="B41" s="16" t="s">
        <v>613</v>
      </c>
      <c r="C41" s="14" t="s">
        <v>18</v>
      </c>
      <c r="D41" s="15" t="s">
        <v>279</v>
      </c>
      <c r="E41" s="16">
        <v>43542</v>
      </c>
      <c r="F41" s="17" t="s">
        <v>278</v>
      </c>
      <c r="G41" s="27">
        <v>1</v>
      </c>
    </row>
    <row r="42" spans="1:10" x14ac:dyDescent="0.25">
      <c r="A42" s="12">
        <f t="shared" si="1"/>
        <v>36</v>
      </c>
      <c r="B42" s="16" t="s">
        <v>613</v>
      </c>
      <c r="C42" s="14" t="s">
        <v>18</v>
      </c>
      <c r="D42" s="15" t="s">
        <v>280</v>
      </c>
      <c r="E42" s="16">
        <v>43542</v>
      </c>
      <c r="F42" s="17" t="s">
        <v>278</v>
      </c>
      <c r="G42" s="27">
        <v>1</v>
      </c>
    </row>
    <row r="43" spans="1:10" x14ac:dyDescent="0.25">
      <c r="A43" s="12">
        <f t="shared" si="1"/>
        <v>37</v>
      </c>
      <c r="B43" s="16" t="s">
        <v>613</v>
      </c>
      <c r="C43" s="14" t="s">
        <v>18</v>
      </c>
      <c r="D43" s="15" t="s">
        <v>281</v>
      </c>
      <c r="E43" s="16">
        <v>43542</v>
      </c>
      <c r="F43" s="17" t="s">
        <v>278</v>
      </c>
      <c r="G43" s="27">
        <v>1</v>
      </c>
    </row>
    <row r="44" spans="1:10" x14ac:dyDescent="0.25">
      <c r="A44" s="12">
        <f t="shared" si="1"/>
        <v>38</v>
      </c>
      <c r="B44" s="16" t="s">
        <v>613</v>
      </c>
      <c r="C44" s="14" t="s">
        <v>18</v>
      </c>
      <c r="D44" s="15" t="s">
        <v>282</v>
      </c>
      <c r="E44" s="16">
        <v>43542</v>
      </c>
      <c r="F44" s="17" t="s">
        <v>278</v>
      </c>
      <c r="G44" s="27">
        <v>1</v>
      </c>
    </row>
    <row r="45" spans="1:10" x14ac:dyDescent="0.25">
      <c r="A45" s="12">
        <f t="shared" si="1"/>
        <v>39</v>
      </c>
      <c r="B45" s="16" t="s">
        <v>613</v>
      </c>
      <c r="C45" s="14" t="s">
        <v>18</v>
      </c>
      <c r="D45" s="15" t="s">
        <v>283</v>
      </c>
      <c r="E45" s="16">
        <v>43542</v>
      </c>
      <c r="F45" s="17" t="s">
        <v>278</v>
      </c>
      <c r="G45" s="27">
        <v>1</v>
      </c>
    </row>
    <row r="46" spans="1:10" x14ac:dyDescent="0.25">
      <c r="A46" s="12">
        <f t="shared" si="1"/>
        <v>40</v>
      </c>
      <c r="B46" s="16" t="s">
        <v>613</v>
      </c>
      <c r="C46" s="14" t="s">
        <v>18</v>
      </c>
      <c r="D46" s="15" t="s">
        <v>284</v>
      </c>
      <c r="E46" s="16">
        <v>43542</v>
      </c>
      <c r="F46" s="17" t="s">
        <v>278</v>
      </c>
      <c r="G46" s="27">
        <v>1</v>
      </c>
    </row>
    <row r="47" spans="1:10" x14ac:dyDescent="0.25">
      <c r="A47" s="12">
        <f t="shared" si="1"/>
        <v>41</v>
      </c>
      <c r="B47" s="16" t="s">
        <v>613</v>
      </c>
      <c r="C47" s="14" t="s">
        <v>18</v>
      </c>
      <c r="D47" s="15" t="s">
        <v>285</v>
      </c>
      <c r="E47" s="16">
        <v>43542</v>
      </c>
      <c r="F47" s="17" t="s">
        <v>278</v>
      </c>
      <c r="G47" s="27">
        <v>1</v>
      </c>
    </row>
    <row r="48" spans="1:10" x14ac:dyDescent="0.25">
      <c r="A48" s="12">
        <f t="shared" si="1"/>
        <v>42</v>
      </c>
      <c r="B48" s="16" t="s">
        <v>613</v>
      </c>
      <c r="C48" s="14" t="s">
        <v>18</v>
      </c>
      <c r="D48" s="15" t="s">
        <v>286</v>
      </c>
      <c r="E48" s="16">
        <v>43542</v>
      </c>
      <c r="F48" s="17" t="s">
        <v>278</v>
      </c>
      <c r="G48" s="27">
        <v>1</v>
      </c>
    </row>
    <row r="49" spans="1:7" x14ac:dyDescent="0.25">
      <c r="A49" s="12">
        <f t="shared" si="1"/>
        <v>43</v>
      </c>
      <c r="B49" s="16" t="s">
        <v>613</v>
      </c>
      <c r="C49" s="14" t="s">
        <v>18</v>
      </c>
      <c r="D49" s="15" t="s">
        <v>287</v>
      </c>
      <c r="E49" s="16">
        <v>43542</v>
      </c>
      <c r="F49" s="17" t="s">
        <v>278</v>
      </c>
      <c r="G49" s="27">
        <v>1</v>
      </c>
    </row>
    <row r="50" spans="1:7" x14ac:dyDescent="0.25">
      <c r="A50" s="12">
        <f t="shared" si="1"/>
        <v>44</v>
      </c>
      <c r="B50" s="16" t="s">
        <v>613</v>
      </c>
      <c r="C50" s="14" t="s">
        <v>18</v>
      </c>
      <c r="D50" s="15" t="s">
        <v>378</v>
      </c>
      <c r="E50" s="16">
        <v>43542</v>
      </c>
      <c r="F50" s="17" t="s">
        <v>278</v>
      </c>
      <c r="G50" s="27">
        <v>1</v>
      </c>
    </row>
    <row r="51" spans="1:7" x14ac:dyDescent="0.25">
      <c r="A51" s="12">
        <f t="shared" si="1"/>
        <v>45</v>
      </c>
      <c r="B51" s="16" t="s">
        <v>613</v>
      </c>
      <c r="C51" s="14" t="s">
        <v>18</v>
      </c>
      <c r="D51" s="15" t="s">
        <v>379</v>
      </c>
      <c r="E51" s="16">
        <v>43542</v>
      </c>
      <c r="F51" s="17" t="s">
        <v>278</v>
      </c>
      <c r="G51" s="27">
        <v>1</v>
      </c>
    </row>
    <row r="52" spans="1:7" x14ac:dyDescent="0.25">
      <c r="A52" s="12">
        <f t="shared" si="1"/>
        <v>46</v>
      </c>
      <c r="B52" s="16" t="s">
        <v>613</v>
      </c>
      <c r="C52" s="14" t="s">
        <v>18</v>
      </c>
      <c r="D52" s="15" t="s">
        <v>380</v>
      </c>
      <c r="E52" s="16">
        <v>43542</v>
      </c>
      <c r="F52" s="17" t="s">
        <v>278</v>
      </c>
      <c r="G52" s="27">
        <v>1</v>
      </c>
    </row>
    <row r="53" spans="1:7" x14ac:dyDescent="0.25">
      <c r="A53" s="12">
        <f t="shared" si="1"/>
        <v>47</v>
      </c>
      <c r="B53" s="16" t="s">
        <v>613</v>
      </c>
      <c r="C53" s="14" t="s">
        <v>18</v>
      </c>
      <c r="D53" s="15" t="s">
        <v>381</v>
      </c>
      <c r="E53" s="16">
        <v>43542</v>
      </c>
      <c r="F53" s="17" t="s">
        <v>278</v>
      </c>
      <c r="G53" s="27">
        <v>1</v>
      </c>
    </row>
    <row r="54" spans="1:7" x14ac:dyDescent="0.25">
      <c r="A54" s="12">
        <f t="shared" si="1"/>
        <v>48</v>
      </c>
      <c r="B54" s="16" t="s">
        <v>613</v>
      </c>
      <c r="C54" s="14" t="s">
        <v>18</v>
      </c>
      <c r="D54" s="15" t="s">
        <v>382</v>
      </c>
      <c r="E54" s="16">
        <v>43542</v>
      </c>
      <c r="F54" s="17" t="s">
        <v>278</v>
      </c>
      <c r="G54" s="27">
        <v>1</v>
      </c>
    </row>
    <row r="55" spans="1:7" x14ac:dyDescent="0.25">
      <c r="A55" s="12">
        <f t="shared" si="1"/>
        <v>49</v>
      </c>
      <c r="B55" s="16" t="s">
        <v>613</v>
      </c>
      <c r="C55" s="14" t="s">
        <v>18</v>
      </c>
      <c r="D55" s="15" t="s">
        <v>383</v>
      </c>
      <c r="E55" s="16">
        <v>43542</v>
      </c>
      <c r="F55" s="17" t="s">
        <v>278</v>
      </c>
      <c r="G55" s="27">
        <v>1</v>
      </c>
    </row>
    <row r="56" spans="1:7" x14ac:dyDescent="0.25">
      <c r="A56" s="12">
        <f t="shared" si="1"/>
        <v>50</v>
      </c>
      <c r="B56" s="16" t="s">
        <v>613</v>
      </c>
      <c r="C56" s="14" t="s">
        <v>18</v>
      </c>
      <c r="D56" s="15" t="s">
        <v>384</v>
      </c>
      <c r="E56" s="16">
        <v>43542</v>
      </c>
      <c r="F56" s="17" t="s">
        <v>278</v>
      </c>
      <c r="G56" s="27">
        <v>1</v>
      </c>
    </row>
    <row r="57" spans="1:7" x14ac:dyDescent="0.25">
      <c r="A57" s="12">
        <f t="shared" si="1"/>
        <v>51</v>
      </c>
      <c r="B57" s="16" t="s">
        <v>613</v>
      </c>
      <c r="C57" s="14" t="s">
        <v>18</v>
      </c>
      <c r="D57" s="15" t="s">
        <v>385</v>
      </c>
      <c r="E57" s="16">
        <v>43542</v>
      </c>
      <c r="F57" s="17" t="s">
        <v>278</v>
      </c>
      <c r="G57" s="27">
        <v>1</v>
      </c>
    </row>
    <row r="58" spans="1:7" x14ac:dyDescent="0.25">
      <c r="A58" s="12">
        <f t="shared" si="1"/>
        <v>52</v>
      </c>
      <c r="B58" s="16" t="s">
        <v>613</v>
      </c>
      <c r="C58" s="14" t="s">
        <v>18</v>
      </c>
      <c r="D58" s="15" t="s">
        <v>386</v>
      </c>
      <c r="E58" s="16">
        <v>43542</v>
      </c>
      <c r="F58" s="17" t="s">
        <v>278</v>
      </c>
      <c r="G58" s="27">
        <v>1</v>
      </c>
    </row>
    <row r="59" spans="1:7" x14ac:dyDescent="0.25">
      <c r="A59" s="12">
        <f t="shared" si="1"/>
        <v>53</v>
      </c>
      <c r="B59" s="16" t="s">
        <v>613</v>
      </c>
      <c r="C59" s="14" t="s">
        <v>18</v>
      </c>
      <c r="D59" s="15" t="s">
        <v>387</v>
      </c>
      <c r="E59" s="16">
        <v>43542</v>
      </c>
      <c r="F59" s="17" t="s">
        <v>278</v>
      </c>
      <c r="G59" s="27">
        <v>1</v>
      </c>
    </row>
    <row r="60" spans="1:7" x14ac:dyDescent="0.25">
      <c r="A60" s="12">
        <f t="shared" si="1"/>
        <v>54</v>
      </c>
      <c r="B60" s="16" t="s">
        <v>613</v>
      </c>
      <c r="C60" s="14" t="s">
        <v>18</v>
      </c>
      <c r="D60" s="15" t="s">
        <v>318</v>
      </c>
      <c r="E60" s="16">
        <v>43542</v>
      </c>
      <c r="F60" s="17" t="s">
        <v>278</v>
      </c>
      <c r="G60" s="27">
        <v>1</v>
      </c>
    </row>
    <row r="61" spans="1:7" x14ac:dyDescent="0.25">
      <c r="A61" s="12">
        <f t="shared" si="1"/>
        <v>55</v>
      </c>
      <c r="B61" s="16" t="s">
        <v>613</v>
      </c>
      <c r="C61" s="14" t="s">
        <v>18</v>
      </c>
      <c r="D61" s="15" t="s">
        <v>319</v>
      </c>
      <c r="E61" s="16">
        <v>43542</v>
      </c>
      <c r="F61" s="17" t="s">
        <v>278</v>
      </c>
      <c r="G61" s="27">
        <v>1</v>
      </c>
    </row>
    <row r="62" spans="1:7" x14ac:dyDescent="0.25">
      <c r="A62" s="12">
        <f t="shared" si="1"/>
        <v>56</v>
      </c>
      <c r="B62" s="16" t="s">
        <v>613</v>
      </c>
      <c r="C62" s="14" t="s">
        <v>18</v>
      </c>
      <c r="D62" s="15" t="s">
        <v>320</v>
      </c>
      <c r="E62" s="16">
        <v>43542</v>
      </c>
      <c r="F62" s="17" t="s">
        <v>278</v>
      </c>
      <c r="G62" s="27">
        <v>1</v>
      </c>
    </row>
    <row r="63" spans="1:7" x14ac:dyDescent="0.25">
      <c r="A63" s="12">
        <f t="shared" si="1"/>
        <v>57</v>
      </c>
      <c r="B63" s="16" t="s">
        <v>613</v>
      </c>
      <c r="C63" s="14" t="s">
        <v>18</v>
      </c>
      <c r="D63" s="15" t="s">
        <v>321</v>
      </c>
      <c r="E63" s="16">
        <v>43542</v>
      </c>
      <c r="F63" s="17" t="s">
        <v>278</v>
      </c>
      <c r="G63" s="27">
        <v>1</v>
      </c>
    </row>
    <row r="64" spans="1:7" x14ac:dyDescent="0.25">
      <c r="A64" s="12">
        <f t="shared" si="1"/>
        <v>58</v>
      </c>
      <c r="B64" s="16" t="s">
        <v>613</v>
      </c>
      <c r="C64" s="14" t="s">
        <v>18</v>
      </c>
      <c r="D64" s="15" t="s">
        <v>322</v>
      </c>
      <c r="E64" s="16">
        <v>43542</v>
      </c>
      <c r="F64" s="17" t="s">
        <v>278</v>
      </c>
      <c r="G64" s="27">
        <v>1</v>
      </c>
    </row>
    <row r="65" spans="1:7" x14ac:dyDescent="0.25">
      <c r="A65" s="12">
        <f t="shared" si="1"/>
        <v>59</v>
      </c>
      <c r="B65" s="16" t="s">
        <v>613</v>
      </c>
      <c r="C65" s="14" t="s">
        <v>18</v>
      </c>
      <c r="D65" s="15" t="s">
        <v>323</v>
      </c>
      <c r="E65" s="16">
        <v>43542</v>
      </c>
      <c r="F65" s="17" t="s">
        <v>278</v>
      </c>
      <c r="G65" s="27">
        <v>1</v>
      </c>
    </row>
    <row r="66" spans="1:7" x14ac:dyDescent="0.25">
      <c r="A66" s="12">
        <f t="shared" si="1"/>
        <v>60</v>
      </c>
      <c r="B66" s="16" t="s">
        <v>613</v>
      </c>
      <c r="C66" s="14" t="s">
        <v>18</v>
      </c>
      <c r="D66" s="15" t="s">
        <v>324</v>
      </c>
      <c r="E66" s="16">
        <v>43542</v>
      </c>
      <c r="F66" s="17" t="s">
        <v>278</v>
      </c>
      <c r="G66" s="27">
        <v>1</v>
      </c>
    </row>
    <row r="67" spans="1:7" x14ac:dyDescent="0.25">
      <c r="A67" s="12">
        <f t="shared" si="1"/>
        <v>61</v>
      </c>
      <c r="B67" s="16" t="s">
        <v>613</v>
      </c>
      <c r="C67" s="14" t="s">
        <v>18</v>
      </c>
      <c r="D67" s="15" t="s">
        <v>325</v>
      </c>
      <c r="E67" s="16">
        <v>43542</v>
      </c>
      <c r="F67" s="17" t="s">
        <v>278</v>
      </c>
      <c r="G67" s="27">
        <v>1</v>
      </c>
    </row>
    <row r="68" spans="1:7" x14ac:dyDescent="0.25">
      <c r="A68" s="12">
        <f t="shared" si="1"/>
        <v>62</v>
      </c>
      <c r="B68" s="16" t="s">
        <v>613</v>
      </c>
      <c r="C68" s="14" t="s">
        <v>18</v>
      </c>
      <c r="D68" s="15" t="s">
        <v>326</v>
      </c>
      <c r="E68" s="16">
        <v>43542</v>
      </c>
      <c r="F68" s="17" t="s">
        <v>278</v>
      </c>
      <c r="G68" s="27">
        <v>1</v>
      </c>
    </row>
    <row r="69" spans="1:7" x14ac:dyDescent="0.25">
      <c r="A69" s="12">
        <f t="shared" si="1"/>
        <v>63</v>
      </c>
      <c r="B69" s="16" t="s">
        <v>613</v>
      </c>
      <c r="C69" s="14" t="s">
        <v>18</v>
      </c>
      <c r="D69" s="15" t="s">
        <v>327</v>
      </c>
      <c r="E69" s="16">
        <v>43542</v>
      </c>
      <c r="F69" s="17" t="s">
        <v>278</v>
      </c>
      <c r="G69" s="27">
        <v>1</v>
      </c>
    </row>
    <row r="70" spans="1:7" x14ac:dyDescent="0.25">
      <c r="A70" s="12">
        <f t="shared" si="1"/>
        <v>64</v>
      </c>
      <c r="B70" s="16" t="s">
        <v>613</v>
      </c>
      <c r="C70" s="14" t="s">
        <v>18</v>
      </c>
      <c r="D70" s="15" t="s">
        <v>348</v>
      </c>
      <c r="E70" s="16">
        <v>43542</v>
      </c>
      <c r="F70" s="17" t="s">
        <v>278</v>
      </c>
      <c r="G70" s="27">
        <v>1</v>
      </c>
    </row>
    <row r="71" spans="1:7" x14ac:dyDescent="0.25">
      <c r="A71" s="12">
        <f t="shared" si="1"/>
        <v>65</v>
      </c>
      <c r="B71" s="16" t="s">
        <v>613</v>
      </c>
      <c r="C71" s="14" t="s">
        <v>18</v>
      </c>
      <c r="D71" s="15" t="s">
        <v>349</v>
      </c>
      <c r="E71" s="16">
        <v>43542</v>
      </c>
      <c r="F71" s="17" t="s">
        <v>278</v>
      </c>
      <c r="G71" s="27">
        <v>1</v>
      </c>
    </row>
    <row r="72" spans="1:7" x14ac:dyDescent="0.25">
      <c r="A72" s="12">
        <f t="shared" si="1"/>
        <v>66</v>
      </c>
      <c r="B72" s="16" t="s">
        <v>613</v>
      </c>
      <c r="C72" s="14" t="s">
        <v>18</v>
      </c>
      <c r="D72" s="15" t="s">
        <v>350</v>
      </c>
      <c r="E72" s="16">
        <v>43542</v>
      </c>
      <c r="F72" s="17" t="s">
        <v>278</v>
      </c>
      <c r="G72" s="27">
        <v>1</v>
      </c>
    </row>
    <row r="73" spans="1:7" x14ac:dyDescent="0.25">
      <c r="A73" s="12">
        <f t="shared" si="1"/>
        <v>67</v>
      </c>
      <c r="B73" s="16" t="s">
        <v>613</v>
      </c>
      <c r="C73" s="14" t="s">
        <v>18</v>
      </c>
      <c r="D73" s="15" t="s">
        <v>351</v>
      </c>
      <c r="E73" s="16">
        <v>43542</v>
      </c>
      <c r="F73" s="17" t="s">
        <v>278</v>
      </c>
      <c r="G73" s="27">
        <v>1</v>
      </c>
    </row>
    <row r="74" spans="1:7" x14ac:dyDescent="0.25">
      <c r="A74" s="12">
        <f t="shared" si="1"/>
        <v>68</v>
      </c>
      <c r="B74" s="16" t="s">
        <v>613</v>
      </c>
      <c r="C74" s="14" t="s">
        <v>18</v>
      </c>
      <c r="D74" s="15" t="s">
        <v>352</v>
      </c>
      <c r="E74" s="16">
        <v>43542</v>
      </c>
      <c r="F74" s="17" t="s">
        <v>278</v>
      </c>
      <c r="G74" s="27">
        <v>1</v>
      </c>
    </row>
    <row r="75" spans="1:7" x14ac:dyDescent="0.25">
      <c r="A75" s="12">
        <f t="shared" si="1"/>
        <v>69</v>
      </c>
      <c r="B75" s="16" t="s">
        <v>613</v>
      </c>
      <c r="C75" s="14" t="s">
        <v>18</v>
      </c>
      <c r="D75" s="15" t="s">
        <v>353</v>
      </c>
      <c r="E75" s="16">
        <v>43542</v>
      </c>
      <c r="F75" s="17" t="s">
        <v>278</v>
      </c>
      <c r="G75" s="27">
        <v>1</v>
      </c>
    </row>
    <row r="76" spans="1:7" x14ac:dyDescent="0.25">
      <c r="A76" s="12">
        <f t="shared" si="1"/>
        <v>70</v>
      </c>
      <c r="B76" s="16" t="s">
        <v>613</v>
      </c>
      <c r="C76" s="14" t="s">
        <v>18</v>
      </c>
      <c r="D76" s="15" t="s">
        <v>354</v>
      </c>
      <c r="E76" s="16">
        <v>43542</v>
      </c>
      <c r="F76" s="17" t="s">
        <v>278</v>
      </c>
      <c r="G76" s="27">
        <v>1</v>
      </c>
    </row>
    <row r="77" spans="1:7" x14ac:dyDescent="0.25">
      <c r="A77" s="12">
        <f t="shared" si="1"/>
        <v>71</v>
      </c>
      <c r="B77" s="16" t="s">
        <v>613</v>
      </c>
      <c r="C77" s="14" t="s">
        <v>18</v>
      </c>
      <c r="D77" s="15" t="s">
        <v>355</v>
      </c>
      <c r="E77" s="16">
        <v>43542</v>
      </c>
      <c r="F77" s="17" t="s">
        <v>278</v>
      </c>
      <c r="G77" s="27">
        <v>1</v>
      </c>
    </row>
    <row r="78" spans="1:7" x14ac:dyDescent="0.25">
      <c r="A78" s="12">
        <f t="shared" si="1"/>
        <v>72</v>
      </c>
      <c r="B78" s="16" t="s">
        <v>613</v>
      </c>
      <c r="C78" s="14" t="s">
        <v>18</v>
      </c>
      <c r="D78" s="15" t="s">
        <v>356</v>
      </c>
      <c r="E78" s="16">
        <v>43542</v>
      </c>
      <c r="F78" s="17" t="s">
        <v>278</v>
      </c>
      <c r="G78" s="27">
        <v>1</v>
      </c>
    </row>
    <row r="79" spans="1:7" x14ac:dyDescent="0.25">
      <c r="A79" s="12">
        <f t="shared" si="1"/>
        <v>73</v>
      </c>
      <c r="B79" s="16" t="s">
        <v>613</v>
      </c>
      <c r="C79" s="14" t="s">
        <v>18</v>
      </c>
      <c r="D79" s="15" t="s">
        <v>357</v>
      </c>
      <c r="E79" s="16">
        <v>43542</v>
      </c>
      <c r="F79" s="17" t="s">
        <v>278</v>
      </c>
      <c r="G79" s="27">
        <v>1</v>
      </c>
    </row>
    <row r="80" spans="1:7" x14ac:dyDescent="0.25">
      <c r="A80" s="12">
        <f t="shared" si="1"/>
        <v>74</v>
      </c>
      <c r="B80" s="16" t="s">
        <v>613</v>
      </c>
      <c r="C80" s="14" t="s">
        <v>18</v>
      </c>
      <c r="D80" s="15" t="s">
        <v>368</v>
      </c>
      <c r="E80" s="16">
        <v>43542</v>
      </c>
      <c r="F80" s="17" t="s">
        <v>278</v>
      </c>
      <c r="G80" s="27">
        <v>1</v>
      </c>
    </row>
    <row r="81" spans="1:7" x14ac:dyDescent="0.25">
      <c r="A81" s="12">
        <f t="shared" si="1"/>
        <v>75</v>
      </c>
      <c r="B81" s="16" t="s">
        <v>613</v>
      </c>
      <c r="C81" s="14" t="s">
        <v>18</v>
      </c>
      <c r="D81" s="15" t="s">
        <v>369</v>
      </c>
      <c r="E81" s="16">
        <v>43542</v>
      </c>
      <c r="F81" s="17" t="s">
        <v>278</v>
      </c>
      <c r="G81" s="27">
        <v>1</v>
      </c>
    </row>
    <row r="82" spans="1:7" x14ac:dyDescent="0.25">
      <c r="A82" s="12">
        <f t="shared" si="1"/>
        <v>76</v>
      </c>
      <c r="B82" s="16" t="s">
        <v>613</v>
      </c>
      <c r="C82" s="14" t="s">
        <v>18</v>
      </c>
      <c r="D82" s="15" t="s">
        <v>370</v>
      </c>
      <c r="E82" s="16">
        <v>43542</v>
      </c>
      <c r="F82" s="17" t="s">
        <v>278</v>
      </c>
      <c r="G82" s="27">
        <v>1</v>
      </c>
    </row>
    <row r="83" spans="1:7" x14ac:dyDescent="0.25">
      <c r="A83" s="12">
        <f t="shared" si="1"/>
        <v>77</v>
      </c>
      <c r="B83" s="16" t="s">
        <v>613</v>
      </c>
      <c r="C83" s="14" t="s">
        <v>18</v>
      </c>
      <c r="D83" s="15" t="s">
        <v>371</v>
      </c>
      <c r="E83" s="16">
        <v>43542</v>
      </c>
      <c r="F83" s="17" t="s">
        <v>278</v>
      </c>
      <c r="G83" s="27">
        <v>1</v>
      </c>
    </row>
    <row r="84" spans="1:7" x14ac:dyDescent="0.25">
      <c r="A84" s="12">
        <f t="shared" si="1"/>
        <v>78</v>
      </c>
      <c r="B84" s="16" t="s">
        <v>613</v>
      </c>
      <c r="C84" s="14" t="s">
        <v>18</v>
      </c>
      <c r="D84" s="15" t="s">
        <v>372</v>
      </c>
      <c r="E84" s="16">
        <v>43542</v>
      </c>
      <c r="F84" s="17" t="s">
        <v>278</v>
      </c>
      <c r="G84" s="27">
        <v>1</v>
      </c>
    </row>
    <row r="85" spans="1:7" x14ac:dyDescent="0.25">
      <c r="A85" s="12">
        <f t="shared" si="1"/>
        <v>79</v>
      </c>
      <c r="B85" s="16" t="s">
        <v>613</v>
      </c>
      <c r="C85" s="14" t="s">
        <v>18</v>
      </c>
      <c r="D85" s="15" t="s">
        <v>373</v>
      </c>
      <c r="E85" s="16">
        <v>43542</v>
      </c>
      <c r="F85" s="17" t="s">
        <v>278</v>
      </c>
      <c r="G85" s="27">
        <v>1</v>
      </c>
    </row>
    <row r="86" spans="1:7" x14ac:dyDescent="0.25">
      <c r="A86" s="12">
        <f t="shared" si="1"/>
        <v>80</v>
      </c>
      <c r="B86" s="16" t="s">
        <v>613</v>
      </c>
      <c r="C86" s="14" t="s">
        <v>18</v>
      </c>
      <c r="D86" s="15" t="s">
        <v>374</v>
      </c>
      <c r="E86" s="16">
        <v>43542</v>
      </c>
      <c r="F86" s="17" t="s">
        <v>278</v>
      </c>
      <c r="G86" s="27">
        <v>1</v>
      </c>
    </row>
    <row r="87" spans="1:7" x14ac:dyDescent="0.25">
      <c r="A87" s="12">
        <f t="shared" si="1"/>
        <v>81</v>
      </c>
      <c r="B87" s="16" t="s">
        <v>613</v>
      </c>
      <c r="C87" s="14" t="s">
        <v>18</v>
      </c>
      <c r="D87" s="15" t="s">
        <v>375</v>
      </c>
      <c r="E87" s="16">
        <v>43542</v>
      </c>
      <c r="F87" s="17" t="s">
        <v>278</v>
      </c>
      <c r="G87" s="27">
        <v>1</v>
      </c>
    </row>
    <row r="88" spans="1:7" x14ac:dyDescent="0.25">
      <c r="A88" s="12">
        <f t="shared" si="1"/>
        <v>82</v>
      </c>
      <c r="B88" s="16" t="s">
        <v>613</v>
      </c>
      <c r="C88" s="14" t="s">
        <v>18</v>
      </c>
      <c r="D88" s="15" t="s">
        <v>376</v>
      </c>
      <c r="E88" s="16">
        <v>43542</v>
      </c>
      <c r="F88" s="17" t="s">
        <v>278</v>
      </c>
      <c r="G88" s="27">
        <v>1</v>
      </c>
    </row>
    <row r="89" spans="1:7" x14ac:dyDescent="0.25">
      <c r="A89" s="12">
        <f t="shared" si="1"/>
        <v>83</v>
      </c>
      <c r="B89" s="16" t="s">
        <v>613</v>
      </c>
      <c r="C89" s="14" t="s">
        <v>18</v>
      </c>
      <c r="D89" s="15" t="s">
        <v>377</v>
      </c>
      <c r="E89" s="16">
        <v>43542</v>
      </c>
      <c r="F89" s="17" t="s">
        <v>278</v>
      </c>
      <c r="G89" s="27">
        <v>1</v>
      </c>
    </row>
    <row r="90" spans="1:7" x14ac:dyDescent="0.25">
      <c r="A90" s="12">
        <f t="shared" si="1"/>
        <v>84</v>
      </c>
      <c r="B90" s="16" t="s">
        <v>613</v>
      </c>
      <c r="C90" s="14" t="s">
        <v>18</v>
      </c>
      <c r="D90" s="15" t="s">
        <v>308</v>
      </c>
      <c r="E90" s="16">
        <v>43542</v>
      </c>
      <c r="F90" s="17" t="s">
        <v>278</v>
      </c>
      <c r="G90" s="27">
        <v>1</v>
      </c>
    </row>
    <row r="91" spans="1:7" x14ac:dyDescent="0.25">
      <c r="A91" s="12">
        <f t="shared" si="1"/>
        <v>85</v>
      </c>
      <c r="B91" s="16" t="s">
        <v>613</v>
      </c>
      <c r="C91" s="14" t="s">
        <v>18</v>
      </c>
      <c r="D91" s="15" t="s">
        <v>309</v>
      </c>
      <c r="E91" s="16">
        <v>43542</v>
      </c>
      <c r="F91" s="17" t="s">
        <v>278</v>
      </c>
      <c r="G91" s="27">
        <v>1</v>
      </c>
    </row>
    <row r="92" spans="1:7" x14ac:dyDescent="0.25">
      <c r="A92" s="12">
        <f t="shared" si="1"/>
        <v>86</v>
      </c>
      <c r="B92" s="16" t="s">
        <v>613</v>
      </c>
      <c r="C92" s="14" t="s">
        <v>18</v>
      </c>
      <c r="D92" s="15" t="s">
        <v>310</v>
      </c>
      <c r="E92" s="16">
        <v>43542</v>
      </c>
      <c r="F92" s="17" t="s">
        <v>278</v>
      </c>
      <c r="G92" s="27">
        <v>1</v>
      </c>
    </row>
    <row r="93" spans="1:7" x14ac:dyDescent="0.25">
      <c r="A93" s="12">
        <f t="shared" si="1"/>
        <v>87</v>
      </c>
      <c r="B93" s="16" t="s">
        <v>613</v>
      </c>
      <c r="C93" s="14" t="s">
        <v>18</v>
      </c>
      <c r="D93" s="15" t="s">
        <v>311</v>
      </c>
      <c r="E93" s="16">
        <v>43542</v>
      </c>
      <c r="F93" s="17" t="s">
        <v>278</v>
      </c>
      <c r="G93" s="27">
        <v>1</v>
      </c>
    </row>
    <row r="94" spans="1:7" x14ac:dyDescent="0.25">
      <c r="A94" s="12">
        <f t="shared" si="1"/>
        <v>88</v>
      </c>
      <c r="B94" s="16" t="s">
        <v>613</v>
      </c>
      <c r="C94" s="14" t="s">
        <v>18</v>
      </c>
      <c r="D94" s="15" t="s">
        <v>312</v>
      </c>
      <c r="E94" s="16">
        <v>43542</v>
      </c>
      <c r="F94" s="17" t="s">
        <v>278</v>
      </c>
      <c r="G94" s="27">
        <v>1</v>
      </c>
    </row>
    <row r="95" spans="1:7" x14ac:dyDescent="0.25">
      <c r="A95" s="12">
        <f t="shared" si="1"/>
        <v>89</v>
      </c>
      <c r="B95" s="16" t="s">
        <v>613</v>
      </c>
      <c r="C95" s="14" t="s">
        <v>18</v>
      </c>
      <c r="D95" s="15" t="s">
        <v>313</v>
      </c>
      <c r="E95" s="16">
        <v>43542</v>
      </c>
      <c r="F95" s="17" t="s">
        <v>278</v>
      </c>
      <c r="G95" s="27">
        <v>1</v>
      </c>
    </row>
    <row r="96" spans="1:7" x14ac:dyDescent="0.25">
      <c r="A96" s="12">
        <f t="shared" si="1"/>
        <v>90</v>
      </c>
      <c r="B96" s="16" t="s">
        <v>613</v>
      </c>
      <c r="C96" s="14" t="s">
        <v>18</v>
      </c>
      <c r="D96" s="15" t="s">
        <v>314</v>
      </c>
      <c r="E96" s="16">
        <v>43542</v>
      </c>
      <c r="F96" s="17" t="s">
        <v>278</v>
      </c>
      <c r="G96" s="27">
        <v>1</v>
      </c>
    </row>
    <row r="97" spans="1:7" x14ac:dyDescent="0.25">
      <c r="A97" s="12">
        <f t="shared" si="1"/>
        <v>91</v>
      </c>
      <c r="B97" s="16" t="s">
        <v>613</v>
      </c>
      <c r="C97" s="14" t="s">
        <v>18</v>
      </c>
      <c r="D97" s="15" t="s">
        <v>315</v>
      </c>
      <c r="E97" s="16">
        <v>43542</v>
      </c>
      <c r="F97" s="17" t="s">
        <v>278</v>
      </c>
      <c r="G97" s="27">
        <v>1</v>
      </c>
    </row>
    <row r="98" spans="1:7" x14ac:dyDescent="0.25">
      <c r="A98" s="12">
        <f t="shared" si="1"/>
        <v>92</v>
      </c>
      <c r="B98" s="16" t="s">
        <v>613</v>
      </c>
      <c r="C98" s="14" t="s">
        <v>18</v>
      </c>
      <c r="D98" s="15" t="s">
        <v>316</v>
      </c>
      <c r="E98" s="16">
        <v>43542</v>
      </c>
      <c r="F98" s="17" t="s">
        <v>278</v>
      </c>
      <c r="G98" s="27">
        <v>1</v>
      </c>
    </row>
    <row r="99" spans="1:7" x14ac:dyDescent="0.25">
      <c r="A99" s="12">
        <f t="shared" si="1"/>
        <v>93</v>
      </c>
      <c r="B99" s="16" t="s">
        <v>613</v>
      </c>
      <c r="C99" s="14" t="s">
        <v>18</v>
      </c>
      <c r="D99" s="15" t="s">
        <v>317</v>
      </c>
      <c r="E99" s="16">
        <v>43542</v>
      </c>
      <c r="F99" s="17" t="s">
        <v>278</v>
      </c>
      <c r="G99" s="27">
        <v>1</v>
      </c>
    </row>
    <row r="100" spans="1:7" x14ac:dyDescent="0.25">
      <c r="A100" s="12">
        <f t="shared" si="1"/>
        <v>94</v>
      </c>
      <c r="B100" s="16" t="s">
        <v>613</v>
      </c>
      <c r="C100" s="14" t="s">
        <v>18</v>
      </c>
      <c r="D100" s="15" t="s">
        <v>288</v>
      </c>
      <c r="E100" s="16">
        <v>43542</v>
      </c>
      <c r="F100" s="17" t="s">
        <v>278</v>
      </c>
      <c r="G100" s="27">
        <v>1</v>
      </c>
    </row>
    <row r="101" spans="1:7" x14ac:dyDescent="0.25">
      <c r="A101" s="12">
        <f t="shared" si="1"/>
        <v>95</v>
      </c>
      <c r="B101" s="16" t="s">
        <v>613</v>
      </c>
      <c r="C101" s="14" t="s">
        <v>18</v>
      </c>
      <c r="D101" s="15" t="s">
        <v>289</v>
      </c>
      <c r="E101" s="16">
        <v>43542</v>
      </c>
      <c r="F101" s="17" t="s">
        <v>278</v>
      </c>
      <c r="G101" s="27">
        <v>1</v>
      </c>
    </row>
    <row r="102" spans="1:7" x14ac:dyDescent="0.25">
      <c r="A102" s="12">
        <f t="shared" si="1"/>
        <v>96</v>
      </c>
      <c r="B102" s="16" t="s">
        <v>613</v>
      </c>
      <c r="C102" s="14" t="s">
        <v>18</v>
      </c>
      <c r="D102" s="15" t="s">
        <v>290</v>
      </c>
      <c r="E102" s="16">
        <v>43542</v>
      </c>
      <c r="F102" s="17" t="s">
        <v>278</v>
      </c>
      <c r="G102" s="27">
        <v>1</v>
      </c>
    </row>
    <row r="103" spans="1:7" x14ac:dyDescent="0.25">
      <c r="A103" s="12">
        <f t="shared" ref="A103:A155" si="2">+A102+1</f>
        <v>97</v>
      </c>
      <c r="B103" s="16" t="s">
        <v>613</v>
      </c>
      <c r="C103" s="14" t="s">
        <v>18</v>
      </c>
      <c r="D103" s="15" t="s">
        <v>291</v>
      </c>
      <c r="E103" s="16">
        <v>43542</v>
      </c>
      <c r="F103" s="17" t="s">
        <v>278</v>
      </c>
      <c r="G103" s="27">
        <v>1</v>
      </c>
    </row>
    <row r="104" spans="1:7" x14ac:dyDescent="0.25">
      <c r="A104" s="12">
        <f t="shared" si="2"/>
        <v>98</v>
      </c>
      <c r="B104" s="16" t="s">
        <v>613</v>
      </c>
      <c r="C104" s="14" t="s">
        <v>18</v>
      </c>
      <c r="D104" s="15" t="s">
        <v>292</v>
      </c>
      <c r="E104" s="16">
        <v>43542</v>
      </c>
      <c r="F104" s="17" t="s">
        <v>278</v>
      </c>
      <c r="G104" s="27">
        <v>1</v>
      </c>
    </row>
    <row r="105" spans="1:7" x14ac:dyDescent="0.25">
      <c r="A105" s="12">
        <f t="shared" si="2"/>
        <v>99</v>
      </c>
      <c r="B105" s="16" t="s">
        <v>613</v>
      </c>
      <c r="C105" s="14" t="s">
        <v>18</v>
      </c>
      <c r="D105" s="15" t="s">
        <v>293</v>
      </c>
      <c r="E105" s="16">
        <v>43542</v>
      </c>
      <c r="F105" s="17" t="s">
        <v>278</v>
      </c>
      <c r="G105" s="27">
        <v>1</v>
      </c>
    </row>
    <row r="106" spans="1:7" x14ac:dyDescent="0.25">
      <c r="A106" s="12">
        <f t="shared" si="2"/>
        <v>100</v>
      </c>
      <c r="B106" s="16" t="s">
        <v>613</v>
      </c>
      <c r="C106" s="14" t="s">
        <v>18</v>
      </c>
      <c r="D106" s="15" t="s">
        <v>294</v>
      </c>
      <c r="E106" s="16">
        <v>43542</v>
      </c>
      <c r="F106" s="17" t="s">
        <v>278</v>
      </c>
      <c r="G106" s="27">
        <v>1</v>
      </c>
    </row>
    <row r="107" spans="1:7" x14ac:dyDescent="0.25">
      <c r="A107" s="12">
        <f t="shared" si="2"/>
        <v>101</v>
      </c>
      <c r="B107" s="16" t="s">
        <v>613</v>
      </c>
      <c r="C107" s="14" t="s">
        <v>18</v>
      </c>
      <c r="D107" s="15" t="s">
        <v>295</v>
      </c>
      <c r="E107" s="16">
        <v>43542</v>
      </c>
      <c r="F107" s="17" t="s">
        <v>278</v>
      </c>
      <c r="G107" s="27">
        <v>1</v>
      </c>
    </row>
    <row r="108" spans="1:7" x14ac:dyDescent="0.25">
      <c r="A108" s="12">
        <f t="shared" si="2"/>
        <v>102</v>
      </c>
      <c r="B108" s="16" t="s">
        <v>613</v>
      </c>
      <c r="C108" s="14" t="s">
        <v>18</v>
      </c>
      <c r="D108" s="15" t="s">
        <v>296</v>
      </c>
      <c r="E108" s="16">
        <v>43542</v>
      </c>
      <c r="F108" s="17" t="s">
        <v>278</v>
      </c>
      <c r="G108" s="27">
        <v>1</v>
      </c>
    </row>
    <row r="109" spans="1:7" x14ac:dyDescent="0.25">
      <c r="A109" s="12">
        <f t="shared" si="2"/>
        <v>103</v>
      </c>
      <c r="B109" s="16" t="s">
        <v>613</v>
      </c>
      <c r="C109" s="14" t="s">
        <v>18</v>
      </c>
      <c r="D109" s="15" t="s">
        <v>297</v>
      </c>
      <c r="E109" s="16">
        <v>43542</v>
      </c>
      <c r="F109" s="17" t="s">
        <v>278</v>
      </c>
      <c r="G109" s="27">
        <v>1</v>
      </c>
    </row>
    <row r="110" spans="1:7" x14ac:dyDescent="0.25">
      <c r="A110" s="12">
        <f t="shared" si="2"/>
        <v>104</v>
      </c>
      <c r="B110" s="16" t="s">
        <v>613</v>
      </c>
      <c r="C110" s="14" t="s">
        <v>18</v>
      </c>
      <c r="D110" s="15" t="s">
        <v>338</v>
      </c>
      <c r="E110" s="16">
        <v>43542</v>
      </c>
      <c r="F110" s="17" t="s">
        <v>278</v>
      </c>
      <c r="G110" s="27">
        <v>1</v>
      </c>
    </row>
    <row r="111" spans="1:7" x14ac:dyDescent="0.25">
      <c r="A111" s="12">
        <f t="shared" si="2"/>
        <v>105</v>
      </c>
      <c r="B111" s="16" t="s">
        <v>613</v>
      </c>
      <c r="C111" s="14" t="s">
        <v>18</v>
      </c>
      <c r="D111" s="15" t="s">
        <v>339</v>
      </c>
      <c r="E111" s="16">
        <v>43542</v>
      </c>
      <c r="F111" s="17" t="s">
        <v>278</v>
      </c>
      <c r="G111" s="27">
        <v>1</v>
      </c>
    </row>
    <row r="112" spans="1:7" x14ac:dyDescent="0.25">
      <c r="A112" s="12">
        <f t="shared" si="2"/>
        <v>106</v>
      </c>
      <c r="B112" s="16" t="s">
        <v>613</v>
      </c>
      <c r="C112" s="14" t="s">
        <v>18</v>
      </c>
      <c r="D112" s="15" t="s">
        <v>340</v>
      </c>
      <c r="E112" s="16">
        <v>43542</v>
      </c>
      <c r="F112" s="17" t="s">
        <v>278</v>
      </c>
      <c r="G112" s="27">
        <v>1</v>
      </c>
    </row>
    <row r="113" spans="1:7" x14ac:dyDescent="0.25">
      <c r="A113" s="12">
        <f t="shared" si="2"/>
        <v>107</v>
      </c>
      <c r="B113" s="16" t="s">
        <v>613</v>
      </c>
      <c r="C113" s="14" t="s">
        <v>18</v>
      </c>
      <c r="D113" s="15" t="s">
        <v>341</v>
      </c>
      <c r="E113" s="16">
        <v>43542</v>
      </c>
      <c r="F113" s="17" t="s">
        <v>278</v>
      </c>
      <c r="G113" s="27">
        <v>1</v>
      </c>
    </row>
    <row r="114" spans="1:7" x14ac:dyDescent="0.25">
      <c r="A114" s="12">
        <f t="shared" si="2"/>
        <v>108</v>
      </c>
      <c r="B114" s="16" t="s">
        <v>613</v>
      </c>
      <c r="C114" s="14" t="s">
        <v>18</v>
      </c>
      <c r="D114" s="15" t="s">
        <v>342</v>
      </c>
      <c r="E114" s="16">
        <v>43542</v>
      </c>
      <c r="F114" s="17" t="s">
        <v>278</v>
      </c>
      <c r="G114" s="27">
        <v>1</v>
      </c>
    </row>
    <row r="115" spans="1:7" x14ac:dyDescent="0.25">
      <c r="A115" s="12">
        <f t="shared" si="2"/>
        <v>109</v>
      </c>
      <c r="B115" s="16" t="s">
        <v>613</v>
      </c>
      <c r="C115" s="14" t="s">
        <v>18</v>
      </c>
      <c r="D115" s="15" t="s">
        <v>343</v>
      </c>
      <c r="E115" s="16">
        <v>43542</v>
      </c>
      <c r="F115" s="17" t="s">
        <v>278</v>
      </c>
      <c r="G115" s="27">
        <v>1</v>
      </c>
    </row>
    <row r="116" spans="1:7" x14ac:dyDescent="0.25">
      <c r="A116" s="12">
        <f t="shared" si="2"/>
        <v>110</v>
      </c>
      <c r="B116" s="16" t="s">
        <v>613</v>
      </c>
      <c r="C116" s="14" t="s">
        <v>18</v>
      </c>
      <c r="D116" s="15" t="s">
        <v>344</v>
      </c>
      <c r="E116" s="16">
        <v>43542</v>
      </c>
      <c r="F116" s="17" t="s">
        <v>278</v>
      </c>
      <c r="G116" s="27">
        <v>1</v>
      </c>
    </row>
    <row r="117" spans="1:7" x14ac:dyDescent="0.25">
      <c r="A117" s="12">
        <f t="shared" si="2"/>
        <v>111</v>
      </c>
      <c r="B117" s="16" t="s">
        <v>613</v>
      </c>
      <c r="C117" s="14" t="s">
        <v>18</v>
      </c>
      <c r="D117" s="15" t="s">
        <v>345</v>
      </c>
      <c r="E117" s="16">
        <v>43542</v>
      </c>
      <c r="F117" s="17" t="s">
        <v>278</v>
      </c>
      <c r="G117" s="27">
        <v>1</v>
      </c>
    </row>
    <row r="118" spans="1:7" x14ac:dyDescent="0.25">
      <c r="A118" s="12">
        <f t="shared" si="2"/>
        <v>112</v>
      </c>
      <c r="B118" s="16" t="s">
        <v>613</v>
      </c>
      <c r="C118" s="14" t="s">
        <v>18</v>
      </c>
      <c r="D118" s="15" t="s">
        <v>346</v>
      </c>
      <c r="E118" s="16">
        <v>43542</v>
      </c>
      <c r="F118" s="17" t="s">
        <v>278</v>
      </c>
      <c r="G118" s="27">
        <v>1</v>
      </c>
    </row>
    <row r="119" spans="1:7" x14ac:dyDescent="0.25">
      <c r="A119" s="12">
        <f t="shared" si="2"/>
        <v>113</v>
      </c>
      <c r="B119" s="16" t="s">
        <v>613</v>
      </c>
      <c r="C119" s="14" t="s">
        <v>18</v>
      </c>
      <c r="D119" s="15" t="s">
        <v>347</v>
      </c>
      <c r="E119" s="16">
        <v>43542</v>
      </c>
      <c r="F119" s="17" t="s">
        <v>278</v>
      </c>
      <c r="G119" s="27">
        <v>1</v>
      </c>
    </row>
    <row r="120" spans="1:7" x14ac:dyDescent="0.25">
      <c r="A120" s="12">
        <f t="shared" si="2"/>
        <v>114</v>
      </c>
      <c r="B120" s="16" t="s">
        <v>613</v>
      </c>
      <c r="C120" s="14" t="s">
        <v>18</v>
      </c>
      <c r="D120" s="15" t="s">
        <v>398</v>
      </c>
      <c r="E120" s="16">
        <v>43542</v>
      </c>
      <c r="F120" s="17" t="s">
        <v>278</v>
      </c>
      <c r="G120" s="27">
        <v>1</v>
      </c>
    </row>
    <row r="121" spans="1:7" x14ac:dyDescent="0.25">
      <c r="A121" s="12">
        <f t="shared" si="2"/>
        <v>115</v>
      </c>
      <c r="B121" s="16" t="s">
        <v>613</v>
      </c>
      <c r="C121" s="14" t="s">
        <v>18</v>
      </c>
      <c r="D121" s="15" t="s">
        <v>399</v>
      </c>
      <c r="E121" s="16">
        <v>43542</v>
      </c>
      <c r="F121" s="17" t="s">
        <v>278</v>
      </c>
      <c r="G121" s="27">
        <v>1</v>
      </c>
    </row>
    <row r="122" spans="1:7" x14ac:dyDescent="0.25">
      <c r="A122" s="12">
        <f t="shared" si="2"/>
        <v>116</v>
      </c>
      <c r="B122" s="16" t="s">
        <v>613</v>
      </c>
      <c r="C122" s="14" t="s">
        <v>18</v>
      </c>
      <c r="D122" s="15" t="s">
        <v>400</v>
      </c>
      <c r="E122" s="16">
        <v>43542</v>
      </c>
      <c r="F122" s="17" t="s">
        <v>278</v>
      </c>
      <c r="G122" s="27">
        <v>1</v>
      </c>
    </row>
    <row r="123" spans="1:7" x14ac:dyDescent="0.25">
      <c r="A123" s="12">
        <f t="shared" si="2"/>
        <v>117</v>
      </c>
      <c r="B123" s="16" t="s">
        <v>613</v>
      </c>
      <c r="C123" s="14" t="s">
        <v>18</v>
      </c>
      <c r="D123" s="15" t="s">
        <v>401</v>
      </c>
      <c r="E123" s="16">
        <v>43542</v>
      </c>
      <c r="F123" s="17" t="s">
        <v>278</v>
      </c>
      <c r="G123" s="27">
        <v>1</v>
      </c>
    </row>
    <row r="124" spans="1:7" x14ac:dyDescent="0.25">
      <c r="A124" s="12">
        <f t="shared" si="2"/>
        <v>118</v>
      </c>
      <c r="B124" s="16" t="s">
        <v>613</v>
      </c>
      <c r="C124" s="14" t="s">
        <v>18</v>
      </c>
      <c r="D124" s="15" t="s">
        <v>402</v>
      </c>
      <c r="E124" s="16">
        <v>43542</v>
      </c>
      <c r="F124" s="17" t="s">
        <v>278</v>
      </c>
      <c r="G124" s="27">
        <v>1</v>
      </c>
    </row>
    <row r="125" spans="1:7" x14ac:dyDescent="0.25">
      <c r="A125" s="12">
        <f t="shared" si="2"/>
        <v>119</v>
      </c>
      <c r="B125" s="16" t="s">
        <v>613</v>
      </c>
      <c r="C125" s="14" t="s">
        <v>18</v>
      </c>
      <c r="D125" s="15" t="s">
        <v>403</v>
      </c>
      <c r="E125" s="16">
        <v>43542</v>
      </c>
      <c r="F125" s="17" t="s">
        <v>278</v>
      </c>
      <c r="G125" s="27">
        <v>1</v>
      </c>
    </row>
    <row r="126" spans="1:7" x14ac:dyDescent="0.25">
      <c r="A126" s="12">
        <f t="shared" si="2"/>
        <v>120</v>
      </c>
      <c r="B126" s="16" t="s">
        <v>613</v>
      </c>
      <c r="C126" s="14" t="s">
        <v>18</v>
      </c>
      <c r="D126" s="15" t="s">
        <v>404</v>
      </c>
      <c r="E126" s="16">
        <v>43542</v>
      </c>
      <c r="F126" s="17" t="s">
        <v>278</v>
      </c>
      <c r="G126" s="27">
        <v>1</v>
      </c>
    </row>
    <row r="127" spans="1:7" x14ac:dyDescent="0.25">
      <c r="A127" s="12">
        <f t="shared" si="2"/>
        <v>121</v>
      </c>
      <c r="B127" s="16" t="s">
        <v>613</v>
      </c>
      <c r="C127" s="14" t="s">
        <v>18</v>
      </c>
      <c r="D127" s="15" t="s">
        <v>405</v>
      </c>
      <c r="E127" s="16">
        <v>43542</v>
      </c>
      <c r="F127" s="17" t="s">
        <v>278</v>
      </c>
      <c r="G127" s="27">
        <v>1</v>
      </c>
    </row>
    <row r="128" spans="1:7" x14ac:dyDescent="0.25">
      <c r="A128" s="12">
        <f t="shared" si="2"/>
        <v>122</v>
      </c>
      <c r="B128" s="16" t="s">
        <v>613</v>
      </c>
      <c r="C128" s="14" t="s">
        <v>18</v>
      </c>
      <c r="D128" s="15" t="s">
        <v>406</v>
      </c>
      <c r="E128" s="16">
        <v>43542</v>
      </c>
      <c r="F128" s="17" t="s">
        <v>278</v>
      </c>
      <c r="G128" s="27">
        <v>1</v>
      </c>
    </row>
    <row r="129" spans="1:8" x14ac:dyDescent="0.25">
      <c r="A129" s="12">
        <f t="shared" si="2"/>
        <v>123</v>
      </c>
      <c r="B129" s="16" t="s">
        <v>613</v>
      </c>
      <c r="C129" s="14" t="s">
        <v>18</v>
      </c>
      <c r="D129" s="15" t="s">
        <v>407</v>
      </c>
      <c r="E129" s="16">
        <v>43542</v>
      </c>
      <c r="F129" s="17" t="s">
        <v>278</v>
      </c>
      <c r="G129" s="27">
        <v>1</v>
      </c>
    </row>
    <row r="130" spans="1:8" x14ac:dyDescent="0.25">
      <c r="A130" s="12">
        <f t="shared" si="2"/>
        <v>124</v>
      </c>
      <c r="B130" s="16" t="s">
        <v>613</v>
      </c>
      <c r="C130" s="14" t="s">
        <v>18</v>
      </c>
      <c r="D130" s="15" t="s">
        <v>408</v>
      </c>
      <c r="E130" s="16">
        <v>43542</v>
      </c>
      <c r="F130" s="17" t="s">
        <v>278</v>
      </c>
      <c r="G130" s="27">
        <v>1</v>
      </c>
    </row>
    <row r="131" spans="1:8" x14ac:dyDescent="0.25">
      <c r="A131" s="12">
        <f t="shared" si="2"/>
        <v>125</v>
      </c>
      <c r="B131" s="16" t="s">
        <v>613</v>
      </c>
      <c r="C131" s="14" t="s">
        <v>18</v>
      </c>
      <c r="D131" s="15" t="s">
        <v>409</v>
      </c>
      <c r="E131" s="16">
        <v>43542</v>
      </c>
      <c r="F131" s="17" t="s">
        <v>278</v>
      </c>
      <c r="G131" s="27">
        <v>1</v>
      </c>
    </row>
    <row r="132" spans="1:8" x14ac:dyDescent="0.25">
      <c r="A132" s="12">
        <f t="shared" si="2"/>
        <v>126</v>
      </c>
      <c r="B132" s="16" t="s">
        <v>613</v>
      </c>
      <c r="C132" s="14" t="s">
        <v>18</v>
      </c>
      <c r="D132" s="15" t="s">
        <v>410</v>
      </c>
      <c r="E132" s="16">
        <v>43542</v>
      </c>
      <c r="F132" s="17" t="s">
        <v>278</v>
      </c>
      <c r="G132" s="27">
        <v>1</v>
      </c>
    </row>
    <row r="133" spans="1:8" x14ac:dyDescent="0.25">
      <c r="A133" s="12">
        <f t="shared" si="2"/>
        <v>127</v>
      </c>
      <c r="B133" s="13" t="s">
        <v>233</v>
      </c>
      <c r="C133" s="14" t="s">
        <v>18</v>
      </c>
      <c r="D133" s="15" t="s">
        <v>239</v>
      </c>
      <c r="E133" s="16">
        <v>43542</v>
      </c>
      <c r="F133" s="24" t="s">
        <v>26</v>
      </c>
      <c r="G133" s="27">
        <v>1</v>
      </c>
      <c r="H133" s="26"/>
    </row>
    <row r="134" spans="1:8" x14ac:dyDescent="0.25">
      <c r="A134" s="12">
        <f t="shared" si="2"/>
        <v>128</v>
      </c>
      <c r="B134" s="13" t="s">
        <v>426</v>
      </c>
      <c r="C134" s="14" t="s">
        <v>18</v>
      </c>
      <c r="D134" s="15" t="s">
        <v>230</v>
      </c>
      <c r="E134" s="16">
        <v>43542</v>
      </c>
      <c r="F134" s="17" t="s">
        <v>220</v>
      </c>
      <c r="G134" s="27">
        <v>1</v>
      </c>
      <c r="H134" s="23" t="s">
        <v>221</v>
      </c>
    </row>
    <row r="135" spans="1:8" x14ac:dyDescent="0.25">
      <c r="A135" s="12">
        <f t="shared" si="2"/>
        <v>129</v>
      </c>
      <c r="B135" s="16" t="s">
        <v>918</v>
      </c>
      <c r="C135" s="14" t="s">
        <v>18</v>
      </c>
      <c r="D135" s="15" t="s">
        <v>237</v>
      </c>
      <c r="E135" s="16">
        <v>43542</v>
      </c>
      <c r="F135" s="17" t="s">
        <v>238</v>
      </c>
      <c r="G135" s="27">
        <v>1</v>
      </c>
      <c r="H135" s="26" t="s">
        <v>917</v>
      </c>
    </row>
    <row r="136" spans="1:8" x14ac:dyDescent="0.25">
      <c r="A136" s="12">
        <f t="shared" si="2"/>
        <v>130</v>
      </c>
      <c r="B136" s="16" t="s">
        <v>613</v>
      </c>
      <c r="C136" s="14" t="s">
        <v>18</v>
      </c>
      <c r="D136" s="15" t="s">
        <v>358</v>
      </c>
      <c r="E136" s="16">
        <v>43542</v>
      </c>
      <c r="F136" s="17" t="s">
        <v>278</v>
      </c>
      <c r="G136" s="27">
        <v>1</v>
      </c>
    </row>
    <row r="137" spans="1:8" x14ac:dyDescent="0.25">
      <c r="A137" s="12">
        <f t="shared" si="2"/>
        <v>131</v>
      </c>
      <c r="B137" s="16" t="s">
        <v>613</v>
      </c>
      <c r="C137" s="14" t="s">
        <v>18</v>
      </c>
      <c r="D137" s="15" t="s">
        <v>359</v>
      </c>
      <c r="E137" s="16">
        <v>43542</v>
      </c>
      <c r="F137" s="17" t="s">
        <v>278</v>
      </c>
      <c r="G137" s="27">
        <v>1</v>
      </c>
    </row>
    <row r="138" spans="1:8" x14ac:dyDescent="0.25">
      <c r="A138" s="12">
        <f t="shared" si="2"/>
        <v>132</v>
      </c>
      <c r="B138" s="16" t="s">
        <v>613</v>
      </c>
      <c r="C138" s="14" t="s">
        <v>18</v>
      </c>
      <c r="D138" s="15" t="s">
        <v>360</v>
      </c>
      <c r="E138" s="16">
        <v>43542</v>
      </c>
      <c r="F138" s="17" t="s">
        <v>278</v>
      </c>
      <c r="G138" s="27">
        <v>1</v>
      </c>
    </row>
    <row r="139" spans="1:8" x14ac:dyDescent="0.25">
      <c r="A139" s="12">
        <f t="shared" si="2"/>
        <v>133</v>
      </c>
      <c r="B139" s="16" t="s">
        <v>613</v>
      </c>
      <c r="C139" s="14" t="s">
        <v>18</v>
      </c>
      <c r="D139" s="15" t="s">
        <v>361</v>
      </c>
      <c r="E139" s="16">
        <v>43542</v>
      </c>
      <c r="F139" s="17" t="s">
        <v>278</v>
      </c>
      <c r="G139" s="27">
        <v>1</v>
      </c>
    </row>
    <row r="140" spans="1:8" x14ac:dyDescent="0.25">
      <c r="A140" s="12">
        <f t="shared" si="2"/>
        <v>134</v>
      </c>
      <c r="B140" s="16" t="s">
        <v>613</v>
      </c>
      <c r="C140" s="14" t="s">
        <v>18</v>
      </c>
      <c r="D140" s="15" t="s">
        <v>362</v>
      </c>
      <c r="E140" s="16">
        <v>43542</v>
      </c>
      <c r="F140" s="17" t="s">
        <v>278</v>
      </c>
      <c r="G140" s="27">
        <v>1</v>
      </c>
    </row>
    <row r="141" spans="1:8" x14ac:dyDescent="0.25">
      <c r="A141" s="12">
        <f t="shared" si="2"/>
        <v>135</v>
      </c>
      <c r="B141" s="16" t="s">
        <v>613</v>
      </c>
      <c r="C141" s="14" t="s">
        <v>18</v>
      </c>
      <c r="D141" s="15" t="s">
        <v>363</v>
      </c>
      <c r="E141" s="16">
        <v>43542</v>
      </c>
      <c r="F141" s="17" t="s">
        <v>278</v>
      </c>
      <c r="G141" s="27">
        <v>1</v>
      </c>
    </row>
    <row r="142" spans="1:8" x14ac:dyDescent="0.25">
      <c r="A142" s="12">
        <f t="shared" si="2"/>
        <v>136</v>
      </c>
      <c r="B142" s="16" t="s">
        <v>613</v>
      </c>
      <c r="C142" s="14" t="s">
        <v>18</v>
      </c>
      <c r="D142" s="15" t="s">
        <v>364</v>
      </c>
      <c r="E142" s="16">
        <v>43542</v>
      </c>
      <c r="F142" s="17" t="s">
        <v>278</v>
      </c>
      <c r="G142" s="27">
        <v>1</v>
      </c>
    </row>
    <row r="143" spans="1:8" x14ac:dyDescent="0.25">
      <c r="A143" s="12">
        <f t="shared" si="2"/>
        <v>137</v>
      </c>
      <c r="B143" s="16" t="s">
        <v>613</v>
      </c>
      <c r="C143" s="14" t="s">
        <v>18</v>
      </c>
      <c r="D143" s="15" t="s">
        <v>365</v>
      </c>
      <c r="E143" s="16">
        <v>43542</v>
      </c>
      <c r="F143" s="17" t="s">
        <v>278</v>
      </c>
      <c r="G143" s="27">
        <v>1</v>
      </c>
    </row>
    <row r="144" spans="1:8" x14ac:dyDescent="0.25">
      <c r="A144" s="12">
        <f t="shared" si="2"/>
        <v>138</v>
      </c>
      <c r="B144" s="16" t="s">
        <v>613</v>
      </c>
      <c r="C144" s="14" t="s">
        <v>18</v>
      </c>
      <c r="D144" s="15" t="s">
        <v>366</v>
      </c>
      <c r="E144" s="16">
        <v>43542</v>
      </c>
      <c r="F144" s="17" t="s">
        <v>278</v>
      </c>
      <c r="G144" s="27">
        <v>1</v>
      </c>
    </row>
    <row r="145" spans="1:8" x14ac:dyDescent="0.25">
      <c r="A145" s="12">
        <f t="shared" si="2"/>
        <v>139</v>
      </c>
      <c r="B145" s="16" t="s">
        <v>613</v>
      </c>
      <c r="C145" s="14" t="s">
        <v>18</v>
      </c>
      <c r="D145" s="15" t="s">
        <v>367</v>
      </c>
      <c r="E145" s="16">
        <v>43542</v>
      </c>
      <c r="F145" s="17" t="s">
        <v>278</v>
      </c>
      <c r="G145" s="27">
        <v>1</v>
      </c>
    </row>
    <row r="146" spans="1:8" x14ac:dyDescent="0.25">
      <c r="A146" s="12">
        <f t="shared" si="2"/>
        <v>140</v>
      </c>
      <c r="B146" s="16" t="s">
        <v>613</v>
      </c>
      <c r="C146" s="14" t="s">
        <v>18</v>
      </c>
      <c r="D146" s="15" t="s">
        <v>388</v>
      </c>
      <c r="E146" s="16">
        <v>43542</v>
      </c>
      <c r="F146" s="17" t="s">
        <v>278</v>
      </c>
      <c r="G146" s="27">
        <v>1</v>
      </c>
    </row>
    <row r="147" spans="1:8" x14ac:dyDescent="0.25">
      <c r="A147" s="12">
        <f t="shared" si="2"/>
        <v>141</v>
      </c>
      <c r="B147" s="16" t="s">
        <v>613</v>
      </c>
      <c r="C147" s="14" t="s">
        <v>18</v>
      </c>
      <c r="D147" s="15" t="s">
        <v>389</v>
      </c>
      <c r="E147" s="16">
        <v>43542</v>
      </c>
      <c r="F147" s="17" t="s">
        <v>278</v>
      </c>
      <c r="G147" s="27">
        <v>1</v>
      </c>
    </row>
    <row r="148" spans="1:8" x14ac:dyDescent="0.25">
      <c r="A148" s="12">
        <f t="shared" si="2"/>
        <v>142</v>
      </c>
      <c r="B148" s="16" t="s">
        <v>613</v>
      </c>
      <c r="C148" s="14" t="s">
        <v>18</v>
      </c>
      <c r="D148" s="15" t="s">
        <v>390</v>
      </c>
      <c r="E148" s="16">
        <v>43542</v>
      </c>
      <c r="F148" s="17" t="s">
        <v>278</v>
      </c>
      <c r="G148" s="27">
        <v>1</v>
      </c>
    </row>
    <row r="149" spans="1:8" x14ac:dyDescent="0.25">
      <c r="A149" s="12">
        <f t="shared" si="2"/>
        <v>143</v>
      </c>
      <c r="B149" s="16" t="s">
        <v>613</v>
      </c>
      <c r="C149" s="14" t="s">
        <v>18</v>
      </c>
      <c r="D149" s="15" t="s">
        <v>391</v>
      </c>
      <c r="E149" s="16">
        <v>43542</v>
      </c>
      <c r="F149" s="17" t="s">
        <v>278</v>
      </c>
      <c r="G149" s="27">
        <v>1</v>
      </c>
    </row>
    <row r="150" spans="1:8" x14ac:dyDescent="0.25">
      <c r="A150" s="12">
        <f t="shared" si="2"/>
        <v>144</v>
      </c>
      <c r="B150" s="16" t="s">
        <v>613</v>
      </c>
      <c r="C150" s="14" t="s">
        <v>18</v>
      </c>
      <c r="D150" s="15" t="s">
        <v>392</v>
      </c>
      <c r="E150" s="16">
        <v>43542</v>
      </c>
      <c r="F150" s="17" t="s">
        <v>278</v>
      </c>
      <c r="G150" s="27">
        <v>1</v>
      </c>
    </row>
    <row r="151" spans="1:8" x14ac:dyDescent="0.25">
      <c r="A151" s="12">
        <f t="shared" si="2"/>
        <v>145</v>
      </c>
      <c r="B151" s="16" t="s">
        <v>613</v>
      </c>
      <c r="C151" s="14" t="s">
        <v>18</v>
      </c>
      <c r="D151" s="15" t="s">
        <v>393</v>
      </c>
      <c r="E151" s="16">
        <v>43542</v>
      </c>
      <c r="F151" s="17" t="s">
        <v>278</v>
      </c>
      <c r="G151" s="27">
        <v>1</v>
      </c>
    </row>
    <row r="152" spans="1:8" x14ac:dyDescent="0.25">
      <c r="A152" s="12">
        <f t="shared" si="2"/>
        <v>146</v>
      </c>
      <c r="B152" s="16" t="s">
        <v>613</v>
      </c>
      <c r="C152" s="14" t="s">
        <v>18</v>
      </c>
      <c r="D152" s="15" t="s">
        <v>394</v>
      </c>
      <c r="E152" s="16">
        <v>43542</v>
      </c>
      <c r="F152" s="17" t="s">
        <v>278</v>
      </c>
      <c r="G152" s="27">
        <v>1</v>
      </c>
    </row>
    <row r="153" spans="1:8" x14ac:dyDescent="0.25">
      <c r="A153" s="12">
        <f t="shared" si="2"/>
        <v>147</v>
      </c>
      <c r="B153" s="16" t="s">
        <v>613</v>
      </c>
      <c r="C153" s="14" t="s">
        <v>18</v>
      </c>
      <c r="D153" s="15" t="s">
        <v>395</v>
      </c>
      <c r="E153" s="16">
        <v>43542</v>
      </c>
      <c r="F153" s="17" t="s">
        <v>278</v>
      </c>
      <c r="G153" s="27">
        <v>1</v>
      </c>
    </row>
    <row r="154" spans="1:8" x14ac:dyDescent="0.25">
      <c r="A154" s="12">
        <f t="shared" si="2"/>
        <v>148</v>
      </c>
      <c r="B154" s="16" t="s">
        <v>613</v>
      </c>
      <c r="C154" s="14" t="s">
        <v>18</v>
      </c>
      <c r="D154" s="15" t="s">
        <v>396</v>
      </c>
      <c r="E154" s="16">
        <v>43542</v>
      </c>
      <c r="F154" s="17" t="s">
        <v>278</v>
      </c>
      <c r="G154" s="27">
        <v>1</v>
      </c>
    </row>
    <row r="155" spans="1:8" x14ac:dyDescent="0.25">
      <c r="A155" s="12">
        <f t="shared" si="2"/>
        <v>149</v>
      </c>
      <c r="B155" s="16" t="s">
        <v>613</v>
      </c>
      <c r="C155" s="14" t="s">
        <v>18</v>
      </c>
      <c r="D155" s="15" t="s">
        <v>397</v>
      </c>
      <c r="E155" s="16">
        <v>43542</v>
      </c>
      <c r="F155" s="17" t="s">
        <v>278</v>
      </c>
      <c r="G155" s="27">
        <v>1</v>
      </c>
    </row>
    <row r="156" spans="1:8" x14ac:dyDescent="0.25">
      <c r="A156" s="12">
        <f t="shared" ref="A156:A165" si="3">+A155+1</f>
        <v>150</v>
      </c>
      <c r="B156" s="16" t="s">
        <v>871</v>
      </c>
      <c r="C156" s="14" t="s">
        <v>18</v>
      </c>
      <c r="D156" s="15" t="s">
        <v>234</v>
      </c>
      <c r="E156" s="16">
        <v>43543</v>
      </c>
      <c r="F156" s="17" t="s">
        <v>235</v>
      </c>
      <c r="G156" s="27">
        <v>1</v>
      </c>
      <c r="H156" s="4" t="s">
        <v>236</v>
      </c>
    </row>
    <row r="157" spans="1:8" x14ac:dyDescent="0.25">
      <c r="A157" s="12">
        <f t="shared" si="3"/>
        <v>151</v>
      </c>
      <c r="B157" s="16" t="s">
        <v>879</v>
      </c>
      <c r="C157" s="14" t="s">
        <v>18</v>
      </c>
      <c r="D157" s="15" t="s">
        <v>241</v>
      </c>
      <c r="E157" s="16">
        <v>43545</v>
      </c>
      <c r="F157" s="17" t="s">
        <v>242</v>
      </c>
      <c r="G157" s="27">
        <v>1</v>
      </c>
      <c r="H157" s="19" t="s">
        <v>243</v>
      </c>
    </row>
    <row r="158" spans="1:8" x14ac:dyDescent="0.25">
      <c r="A158" s="12">
        <f t="shared" si="3"/>
        <v>152</v>
      </c>
      <c r="B158" s="16" t="s">
        <v>880</v>
      </c>
      <c r="C158" s="14" t="s">
        <v>18</v>
      </c>
      <c r="D158" s="15" t="s">
        <v>244</v>
      </c>
      <c r="E158" s="16">
        <v>43548</v>
      </c>
      <c r="F158" s="17" t="s">
        <v>245</v>
      </c>
      <c r="G158" s="27">
        <v>1</v>
      </c>
      <c r="H158" s="19" t="s">
        <v>246</v>
      </c>
    </row>
    <row r="159" spans="1:8" x14ac:dyDescent="0.25">
      <c r="A159" s="12">
        <f t="shared" si="3"/>
        <v>153</v>
      </c>
      <c r="B159" s="16" t="s">
        <v>429</v>
      </c>
      <c r="C159" s="14" t="s">
        <v>18</v>
      </c>
      <c r="D159" s="15" t="s">
        <v>250</v>
      </c>
      <c r="E159" s="16">
        <v>43549</v>
      </c>
      <c r="F159" s="17" t="s">
        <v>251</v>
      </c>
      <c r="G159" s="27">
        <v>1</v>
      </c>
      <c r="H159" s="26" t="s">
        <v>252</v>
      </c>
    </row>
    <row r="160" spans="1:8" x14ac:dyDescent="0.25">
      <c r="A160" s="12">
        <f t="shared" si="3"/>
        <v>154</v>
      </c>
      <c r="B160" s="16" t="s">
        <v>425</v>
      </c>
      <c r="C160" s="14" t="s">
        <v>18</v>
      </c>
      <c r="D160" s="15" t="s">
        <v>247</v>
      </c>
      <c r="E160" s="16">
        <v>43549</v>
      </c>
      <c r="F160" s="17" t="s">
        <v>248</v>
      </c>
      <c r="G160" s="27">
        <v>1</v>
      </c>
      <c r="H160" s="19" t="s">
        <v>249</v>
      </c>
    </row>
    <row r="161" spans="1:8" x14ac:dyDescent="0.25">
      <c r="A161" s="12">
        <f t="shared" si="3"/>
        <v>155</v>
      </c>
      <c r="B161" s="16" t="s">
        <v>881</v>
      </c>
      <c r="C161" s="14" t="s">
        <v>18</v>
      </c>
      <c r="D161" s="15" t="s">
        <v>253</v>
      </c>
      <c r="E161" s="16">
        <v>43549</v>
      </c>
      <c r="F161" s="17" t="s">
        <v>254</v>
      </c>
      <c r="G161" s="27">
        <v>1</v>
      </c>
      <c r="H161" s="26" t="s">
        <v>255</v>
      </c>
    </row>
    <row r="162" spans="1:8" x14ac:dyDescent="0.25">
      <c r="A162" s="12">
        <f t="shared" si="3"/>
        <v>156</v>
      </c>
      <c r="B162" s="16" t="s">
        <v>260</v>
      </c>
      <c r="C162" s="14" t="s">
        <v>24</v>
      </c>
      <c r="D162" s="21" t="s">
        <v>261</v>
      </c>
      <c r="E162" s="16">
        <v>43552</v>
      </c>
      <c r="F162" s="17" t="s">
        <v>26</v>
      </c>
      <c r="G162" s="27">
        <v>1</v>
      </c>
      <c r="H162" s="4"/>
    </row>
    <row r="163" spans="1:8" x14ac:dyDescent="0.25">
      <c r="A163" s="12">
        <f t="shared" si="3"/>
        <v>157</v>
      </c>
      <c r="B163" s="16" t="s">
        <v>258</v>
      </c>
      <c r="C163" s="14" t="s">
        <v>18</v>
      </c>
      <c r="D163" s="15" t="s">
        <v>256</v>
      </c>
      <c r="E163" s="16">
        <v>43552</v>
      </c>
      <c r="F163" s="17" t="s">
        <v>26</v>
      </c>
      <c r="G163" s="27">
        <v>1</v>
      </c>
      <c r="H163" s="19"/>
    </row>
    <row r="164" spans="1:8" x14ac:dyDescent="0.25">
      <c r="A164" s="12">
        <f t="shared" si="3"/>
        <v>158</v>
      </c>
      <c r="B164" s="16" t="s">
        <v>257</v>
      </c>
      <c r="C164" s="14" t="s">
        <v>18</v>
      </c>
      <c r="D164" s="15" t="s">
        <v>259</v>
      </c>
      <c r="E164" s="16">
        <v>43552</v>
      </c>
      <c r="F164" s="17" t="s">
        <v>26</v>
      </c>
      <c r="G164" s="27">
        <v>1</v>
      </c>
      <c r="H164" s="26"/>
    </row>
    <row r="165" spans="1:8" x14ac:dyDescent="0.25">
      <c r="A165" s="12">
        <f t="shared" si="3"/>
        <v>159</v>
      </c>
      <c r="B165" s="16" t="s">
        <v>272</v>
      </c>
      <c r="C165" s="14" t="s">
        <v>24</v>
      </c>
      <c r="D165" s="21" t="s">
        <v>273</v>
      </c>
      <c r="E165" s="16">
        <v>43555</v>
      </c>
      <c r="F165" s="17" t="s">
        <v>26</v>
      </c>
      <c r="G165" s="27">
        <v>1</v>
      </c>
    </row>
    <row r="166" spans="1:8" x14ac:dyDescent="0.25">
      <c r="A166" s="12">
        <f t="shared" ref="A166:A172" si="4">+A165+1</f>
        <v>160</v>
      </c>
      <c r="B166" s="16" t="s">
        <v>266</v>
      </c>
      <c r="C166" s="14" t="s">
        <v>24</v>
      </c>
      <c r="D166" s="21" t="s">
        <v>267</v>
      </c>
      <c r="E166" s="16">
        <v>43555</v>
      </c>
      <c r="F166" s="17" t="s">
        <v>26</v>
      </c>
      <c r="G166" s="27">
        <v>1</v>
      </c>
      <c r="H166" s="4"/>
    </row>
    <row r="167" spans="1:8" x14ac:dyDescent="0.25">
      <c r="A167" s="12">
        <f t="shared" si="4"/>
        <v>161</v>
      </c>
      <c r="B167" s="16" t="s">
        <v>262</v>
      </c>
      <c r="C167" s="14" t="s">
        <v>18</v>
      </c>
      <c r="D167" s="15" t="s">
        <v>263</v>
      </c>
      <c r="E167" s="16">
        <v>43555</v>
      </c>
      <c r="F167" s="17" t="s">
        <v>26</v>
      </c>
      <c r="G167" s="27">
        <v>1</v>
      </c>
      <c r="H167" s="26"/>
    </row>
    <row r="168" spans="1:8" x14ac:dyDescent="0.25">
      <c r="A168" s="12">
        <f t="shared" si="4"/>
        <v>162</v>
      </c>
      <c r="B168" s="16" t="s">
        <v>270</v>
      </c>
      <c r="C168" s="14" t="s">
        <v>18</v>
      </c>
      <c r="D168" s="15" t="s">
        <v>271</v>
      </c>
      <c r="E168" s="16">
        <v>43555</v>
      </c>
      <c r="F168" s="17" t="s">
        <v>26</v>
      </c>
      <c r="G168" s="27">
        <v>1</v>
      </c>
    </row>
    <row r="169" spans="1:8" x14ac:dyDescent="0.25">
      <c r="A169" s="12">
        <f t="shared" si="4"/>
        <v>163</v>
      </c>
      <c r="B169" s="16" t="s">
        <v>268</v>
      </c>
      <c r="C169" s="14" t="s">
        <v>18</v>
      </c>
      <c r="D169" s="15" t="s">
        <v>269</v>
      </c>
      <c r="E169" s="16">
        <v>43555</v>
      </c>
      <c r="F169" s="17" t="s">
        <v>26</v>
      </c>
      <c r="G169" s="27">
        <v>1</v>
      </c>
      <c r="H169" s="4"/>
    </row>
    <row r="170" spans="1:8" x14ac:dyDescent="0.25">
      <c r="A170" s="12">
        <f t="shared" si="4"/>
        <v>164</v>
      </c>
      <c r="B170" s="16" t="s">
        <v>276</v>
      </c>
      <c r="C170" s="14" t="s">
        <v>18</v>
      </c>
      <c r="D170" s="15" t="s">
        <v>277</v>
      </c>
      <c r="E170" s="16">
        <v>43555</v>
      </c>
      <c r="F170" s="17" t="s">
        <v>26</v>
      </c>
      <c r="G170" s="27">
        <v>1</v>
      </c>
      <c r="H170" s="4"/>
    </row>
    <row r="171" spans="1:8" x14ac:dyDescent="0.25">
      <c r="A171" s="12">
        <f t="shared" si="4"/>
        <v>165</v>
      </c>
      <c r="B171" s="16" t="s">
        <v>264</v>
      </c>
      <c r="C171" s="14" t="s">
        <v>18</v>
      </c>
      <c r="D171" s="15" t="s">
        <v>265</v>
      </c>
      <c r="E171" s="16">
        <v>43555</v>
      </c>
      <c r="F171" s="17" t="s">
        <v>26</v>
      </c>
      <c r="G171" s="27">
        <v>1</v>
      </c>
      <c r="H171" s="4"/>
    </row>
    <row r="172" spans="1:8" x14ac:dyDescent="0.25">
      <c r="A172" s="12">
        <f t="shared" si="4"/>
        <v>166</v>
      </c>
      <c r="B172" s="16" t="s">
        <v>274</v>
      </c>
      <c r="C172" s="14" t="s">
        <v>18</v>
      </c>
      <c r="D172" s="15" t="s">
        <v>275</v>
      </c>
      <c r="E172" s="16">
        <v>43555</v>
      </c>
      <c r="F172" s="17" t="s">
        <v>26</v>
      </c>
      <c r="G172" s="27">
        <v>1</v>
      </c>
      <c r="H172" s="4"/>
    </row>
  </sheetData>
  <sortState ref="B7:H172">
    <sortCondition ref="E7:E172"/>
    <sortCondition ref="D7:D172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B28" sqref="B2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21.28515625" customWidth="1"/>
    <col min="7" max="7" width="2.1406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2" t="s">
        <v>2</v>
      </c>
      <c r="B2" s="32"/>
      <c r="C2" s="32"/>
      <c r="D2" s="2"/>
      <c r="E2" s="5" t="s">
        <v>3</v>
      </c>
      <c r="F2" s="5"/>
      <c r="G2" s="3"/>
      <c r="H2" s="3"/>
      <c r="I2" s="29" t="s">
        <v>4</v>
      </c>
      <c r="J2" s="30"/>
      <c r="K2" s="6">
        <f>SUMIF(F7:F214,"Elimination*",G7:G214)</f>
        <v>12</v>
      </c>
    </row>
    <row r="3" spans="1:11" x14ac:dyDescent="0.25">
      <c r="A3" s="33" t="s">
        <v>5</v>
      </c>
      <c r="B3" s="33"/>
      <c r="C3" s="33"/>
      <c r="D3" s="5"/>
      <c r="E3" s="3" t="s">
        <v>6</v>
      </c>
      <c r="F3" s="3"/>
      <c r="G3" s="3"/>
      <c r="H3" s="3"/>
      <c r="I3" s="29" t="s">
        <v>7</v>
      </c>
      <c r="J3" s="30"/>
      <c r="K3" s="6">
        <f>SUMIF(F7:F214,"NB*",G7:G214)</f>
        <v>9</v>
      </c>
    </row>
    <row r="4" spans="1:11" ht="18" x14ac:dyDescent="0.25">
      <c r="A4" s="31" t="s">
        <v>8</v>
      </c>
      <c r="B4" s="31"/>
      <c r="C4" s="31"/>
      <c r="D4" s="31"/>
      <c r="E4" s="31"/>
      <c r="F4" s="31"/>
      <c r="G4" s="3"/>
      <c r="H4" s="3"/>
      <c r="I4" s="29" t="s">
        <v>9</v>
      </c>
      <c r="J4" s="30"/>
      <c r="K4" s="6">
        <f>SUMIF(F7:F214,"Ve*",G7:G214)</f>
        <v>0</v>
      </c>
    </row>
    <row r="5" spans="1:11" ht="15.75" x14ac:dyDescent="0.25">
      <c r="A5" s="28" t="s">
        <v>413</v>
      </c>
      <c r="B5" s="28"/>
      <c r="C5" s="28"/>
      <c r="D5" s="28"/>
      <c r="E5" s="28"/>
      <c r="F5" s="28"/>
      <c r="G5" s="7"/>
      <c r="H5" s="7"/>
      <c r="I5" s="29" t="s">
        <v>10</v>
      </c>
      <c r="J5" s="30"/>
      <c r="K5" s="8">
        <f>SUM(K2:K4)</f>
        <v>21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411</v>
      </c>
      <c r="C7" s="14" t="s">
        <v>24</v>
      </c>
      <c r="D7" s="21" t="s">
        <v>412</v>
      </c>
      <c r="E7" s="16">
        <v>43563</v>
      </c>
      <c r="F7" s="24" t="s">
        <v>26</v>
      </c>
      <c r="G7" s="18">
        <v>1</v>
      </c>
      <c r="H7" s="19"/>
      <c r="I7" s="20"/>
      <c r="J7" s="20"/>
      <c r="K7" s="4"/>
    </row>
    <row r="8" spans="1:11" ht="15" customHeight="1" x14ac:dyDescent="0.25">
      <c r="A8" s="12">
        <f>+A7+1</f>
        <v>2</v>
      </c>
      <c r="B8" s="13" t="s">
        <v>414</v>
      </c>
      <c r="C8" s="14" t="s">
        <v>18</v>
      </c>
      <c r="D8" s="21" t="s">
        <v>415</v>
      </c>
      <c r="E8" s="16">
        <v>43565</v>
      </c>
      <c r="F8" s="17" t="s">
        <v>26</v>
      </c>
      <c r="G8" s="18">
        <v>1</v>
      </c>
      <c r="H8" s="19"/>
      <c r="I8" s="22"/>
      <c r="J8" s="22"/>
      <c r="K8" s="4"/>
    </row>
    <row r="9" spans="1:11" ht="15" customHeight="1" x14ac:dyDescent="0.25">
      <c r="A9" s="12">
        <f t="shared" ref="A9:A32" si="0">+A8+1</f>
        <v>3</v>
      </c>
      <c r="B9" s="13" t="s">
        <v>884</v>
      </c>
      <c r="C9" s="14" t="s">
        <v>18</v>
      </c>
      <c r="D9" s="21" t="s">
        <v>433</v>
      </c>
      <c r="E9" s="16">
        <v>43565</v>
      </c>
      <c r="F9" s="17" t="s">
        <v>434</v>
      </c>
      <c r="G9" s="18">
        <v>1</v>
      </c>
      <c r="H9" s="19" t="s">
        <v>435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436</v>
      </c>
      <c r="C10" s="14" t="s">
        <v>18</v>
      </c>
      <c r="D10" s="15" t="s">
        <v>437</v>
      </c>
      <c r="E10" s="16">
        <v>43569</v>
      </c>
      <c r="F10" s="17" t="s">
        <v>26</v>
      </c>
      <c r="G10" s="18">
        <v>1</v>
      </c>
      <c r="H10" s="19"/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440</v>
      </c>
      <c r="C11" s="14" t="s">
        <v>18</v>
      </c>
      <c r="D11" s="15" t="s">
        <v>441</v>
      </c>
      <c r="E11" s="16">
        <v>43570</v>
      </c>
      <c r="F11" s="17" t="s">
        <v>26</v>
      </c>
      <c r="G11" s="18">
        <v>1</v>
      </c>
      <c r="H11" s="19"/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883</v>
      </c>
      <c r="C12" s="14" t="s">
        <v>18</v>
      </c>
      <c r="D12" s="21" t="s">
        <v>445</v>
      </c>
      <c r="E12" s="16">
        <v>43570</v>
      </c>
      <c r="F12" s="17" t="s">
        <v>446</v>
      </c>
      <c r="G12" s="18">
        <v>1</v>
      </c>
      <c r="H12" s="19" t="s">
        <v>447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882</v>
      </c>
      <c r="C13" s="14" t="s">
        <v>18</v>
      </c>
      <c r="D13" s="21" t="s">
        <v>442</v>
      </c>
      <c r="E13" s="16">
        <v>43570</v>
      </c>
      <c r="F13" s="17" t="s">
        <v>443</v>
      </c>
      <c r="G13" s="18">
        <v>1</v>
      </c>
      <c r="H13" s="19" t="s">
        <v>444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438</v>
      </c>
      <c r="C14" s="14" t="s">
        <v>18</v>
      </c>
      <c r="D14" s="15" t="s">
        <v>439</v>
      </c>
      <c r="E14" s="16">
        <v>43570</v>
      </c>
      <c r="F14" s="17" t="s">
        <v>26</v>
      </c>
      <c r="G14" s="18">
        <v>1</v>
      </c>
      <c r="H14" s="23"/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450</v>
      </c>
      <c r="C15" s="14" t="s">
        <v>18</v>
      </c>
      <c r="D15" s="21" t="s">
        <v>451</v>
      </c>
      <c r="E15" s="16">
        <v>43571</v>
      </c>
      <c r="F15" s="17" t="s">
        <v>26</v>
      </c>
      <c r="G15" s="18">
        <v>1</v>
      </c>
      <c r="H15" s="19"/>
      <c r="I15" s="22"/>
      <c r="J15" s="22"/>
    </row>
    <row r="16" spans="1:11" ht="15" customHeight="1" x14ac:dyDescent="0.25">
      <c r="A16" s="12">
        <f t="shared" si="0"/>
        <v>10</v>
      </c>
      <c r="B16" s="13" t="s">
        <v>448</v>
      </c>
      <c r="C16" s="14" t="s">
        <v>18</v>
      </c>
      <c r="D16" s="21" t="s">
        <v>449</v>
      </c>
      <c r="E16" s="16">
        <v>43571</v>
      </c>
      <c r="F16" s="17" t="s">
        <v>26</v>
      </c>
      <c r="G16" s="18">
        <v>1</v>
      </c>
      <c r="H16" s="19"/>
      <c r="I16" s="22"/>
      <c r="J16" s="22"/>
    </row>
    <row r="17" spans="1:10" ht="15" customHeight="1" x14ac:dyDescent="0.25">
      <c r="A17" s="12">
        <f t="shared" si="0"/>
        <v>11</v>
      </c>
      <c r="B17" s="13" t="s">
        <v>885</v>
      </c>
      <c r="C17" s="14" t="s">
        <v>18</v>
      </c>
      <c r="D17" s="21" t="s">
        <v>458</v>
      </c>
      <c r="E17" s="16">
        <v>43572</v>
      </c>
      <c r="F17" s="17" t="s">
        <v>459</v>
      </c>
      <c r="G17" s="18">
        <v>1</v>
      </c>
      <c r="H17" s="23" t="s">
        <v>460</v>
      </c>
      <c r="I17" s="22"/>
      <c r="J17" s="22"/>
    </row>
    <row r="18" spans="1:10" ht="15" customHeight="1" x14ac:dyDescent="0.25">
      <c r="A18" s="12">
        <f t="shared" si="0"/>
        <v>12</v>
      </c>
      <c r="B18" s="16" t="s">
        <v>688</v>
      </c>
      <c r="C18" s="14" t="s">
        <v>18</v>
      </c>
      <c r="D18" s="21" t="s">
        <v>461</v>
      </c>
      <c r="E18" s="16">
        <v>43572</v>
      </c>
      <c r="F18" s="17" t="s">
        <v>462</v>
      </c>
      <c r="G18" s="18">
        <v>1</v>
      </c>
      <c r="H18" t="s">
        <v>463</v>
      </c>
      <c r="I18" s="22"/>
      <c r="J18" s="22"/>
    </row>
    <row r="19" spans="1:10" ht="15" customHeight="1" x14ac:dyDescent="0.25">
      <c r="A19" s="12">
        <f t="shared" si="0"/>
        <v>13</v>
      </c>
      <c r="B19" s="16" t="s">
        <v>464</v>
      </c>
      <c r="C19" s="14" t="s">
        <v>18</v>
      </c>
      <c r="D19" s="21" t="s">
        <v>465</v>
      </c>
      <c r="E19" s="16">
        <v>43573</v>
      </c>
      <c r="F19" s="17" t="s">
        <v>26</v>
      </c>
      <c r="G19" s="18">
        <v>1</v>
      </c>
      <c r="I19" s="22"/>
      <c r="J19" s="22"/>
    </row>
    <row r="20" spans="1:10" ht="15" customHeight="1" x14ac:dyDescent="0.25">
      <c r="A20" s="12">
        <f t="shared" si="0"/>
        <v>14</v>
      </c>
      <c r="B20" s="13" t="s">
        <v>886</v>
      </c>
      <c r="C20" s="14" t="s">
        <v>18</v>
      </c>
      <c r="D20" s="21" t="s">
        <v>455</v>
      </c>
      <c r="E20" s="16">
        <v>43576</v>
      </c>
      <c r="F20" s="17" t="s">
        <v>456</v>
      </c>
      <c r="G20" s="18">
        <v>1</v>
      </c>
      <c r="H20" s="23" t="s">
        <v>457</v>
      </c>
      <c r="I20" s="22"/>
      <c r="J20" s="22"/>
    </row>
    <row r="21" spans="1:10" ht="15" customHeight="1" x14ac:dyDescent="0.25">
      <c r="A21" s="12">
        <f t="shared" si="0"/>
        <v>15</v>
      </c>
      <c r="B21" s="16" t="s">
        <v>887</v>
      </c>
      <c r="C21" s="14" t="s">
        <v>18</v>
      </c>
      <c r="D21" s="21" t="s">
        <v>452</v>
      </c>
      <c r="E21" s="16">
        <v>43576</v>
      </c>
      <c r="F21" s="17" t="s">
        <v>453</v>
      </c>
      <c r="G21" s="18">
        <v>1</v>
      </c>
      <c r="H21" s="4" t="s">
        <v>454</v>
      </c>
      <c r="I21" s="22"/>
      <c r="J21" s="22"/>
    </row>
    <row r="22" spans="1:10" ht="15" customHeight="1" x14ac:dyDescent="0.25">
      <c r="A22" s="12">
        <f t="shared" si="0"/>
        <v>16</v>
      </c>
      <c r="B22" s="16" t="s">
        <v>471</v>
      </c>
      <c r="C22" s="14" t="s">
        <v>24</v>
      </c>
      <c r="D22" s="15" t="s">
        <v>470</v>
      </c>
      <c r="E22" s="16">
        <v>43578</v>
      </c>
      <c r="F22" s="17" t="s">
        <v>480</v>
      </c>
      <c r="G22" s="18">
        <v>1</v>
      </c>
      <c r="H22" t="s">
        <v>479</v>
      </c>
      <c r="I22" s="22"/>
      <c r="J22" s="22"/>
    </row>
    <row r="23" spans="1:10" ht="15" customHeight="1" x14ac:dyDescent="0.25">
      <c r="A23" s="12">
        <f t="shared" si="0"/>
        <v>17</v>
      </c>
      <c r="B23" s="16" t="s">
        <v>468</v>
      </c>
      <c r="C23" s="14" t="s">
        <v>18</v>
      </c>
      <c r="D23" s="21" t="s">
        <v>469</v>
      </c>
      <c r="E23" s="16">
        <v>43578</v>
      </c>
      <c r="F23" s="17" t="s">
        <v>26</v>
      </c>
      <c r="G23" s="18">
        <v>1</v>
      </c>
      <c r="I23" s="22"/>
      <c r="J23" s="22"/>
    </row>
    <row r="24" spans="1:10" ht="15" customHeight="1" x14ac:dyDescent="0.25">
      <c r="A24" s="12">
        <f t="shared" si="0"/>
        <v>18</v>
      </c>
      <c r="B24" s="16" t="s">
        <v>466</v>
      </c>
      <c r="C24" s="14" t="s">
        <v>18</v>
      </c>
      <c r="D24" s="21" t="s">
        <v>467</v>
      </c>
      <c r="E24" s="16">
        <v>43578</v>
      </c>
      <c r="F24" s="17" t="s">
        <v>26</v>
      </c>
      <c r="G24" s="18">
        <v>1</v>
      </c>
      <c r="I24" s="22"/>
      <c r="J24" s="22"/>
    </row>
    <row r="25" spans="1:10" ht="15" customHeight="1" x14ac:dyDescent="0.25">
      <c r="A25" s="12">
        <f t="shared" si="0"/>
        <v>19</v>
      </c>
      <c r="B25" s="16" t="s">
        <v>474</v>
      </c>
      <c r="C25" s="14" t="s">
        <v>24</v>
      </c>
      <c r="D25" s="15" t="s">
        <v>475</v>
      </c>
      <c r="E25" s="16">
        <v>43580</v>
      </c>
      <c r="F25" s="17" t="s">
        <v>26</v>
      </c>
      <c r="G25" s="18">
        <v>1</v>
      </c>
      <c r="I25" s="22"/>
      <c r="J25" s="22"/>
    </row>
    <row r="26" spans="1:10" ht="15" customHeight="1" x14ac:dyDescent="0.25">
      <c r="A26" s="12">
        <f t="shared" si="0"/>
        <v>20</v>
      </c>
      <c r="B26" s="16" t="s">
        <v>472</v>
      </c>
      <c r="C26" s="14" t="s">
        <v>18</v>
      </c>
      <c r="D26" s="21" t="s">
        <v>473</v>
      </c>
      <c r="E26" s="16">
        <v>43580</v>
      </c>
      <c r="F26" s="17" t="s">
        <v>26</v>
      </c>
      <c r="G26" s="18">
        <v>1</v>
      </c>
      <c r="I26" s="22"/>
      <c r="J26" s="22"/>
    </row>
    <row r="27" spans="1:10" ht="15" customHeight="1" x14ac:dyDescent="0.25">
      <c r="A27" s="12">
        <f t="shared" si="0"/>
        <v>21</v>
      </c>
      <c r="B27" s="16" t="s">
        <v>888</v>
      </c>
      <c r="C27" s="14" t="s">
        <v>18</v>
      </c>
      <c r="D27" s="21" t="s">
        <v>476</v>
      </c>
      <c r="E27" s="16">
        <v>43585</v>
      </c>
      <c r="F27" s="17" t="s">
        <v>477</v>
      </c>
      <c r="G27" s="18">
        <v>1</v>
      </c>
      <c r="H27" t="s">
        <v>478</v>
      </c>
      <c r="I27" s="22"/>
      <c r="J27" s="22"/>
    </row>
    <row r="28" spans="1:10" x14ac:dyDescent="0.25">
      <c r="A28" s="12">
        <f t="shared" si="0"/>
        <v>22</v>
      </c>
      <c r="B28" s="16"/>
      <c r="C28" s="14"/>
      <c r="D28" s="15"/>
      <c r="E28" s="16"/>
      <c r="F28" s="17"/>
      <c r="G28" s="27"/>
    </row>
    <row r="29" spans="1:10" x14ac:dyDescent="0.25">
      <c r="A29" s="12">
        <f t="shared" si="0"/>
        <v>23</v>
      </c>
      <c r="B29" s="16"/>
      <c r="C29" s="14"/>
      <c r="D29" s="15"/>
      <c r="E29" s="16"/>
      <c r="F29" s="17"/>
      <c r="G29" s="27"/>
      <c r="H29" s="4"/>
    </row>
    <row r="30" spans="1:10" x14ac:dyDescent="0.25">
      <c r="A30" s="12">
        <f t="shared" si="0"/>
        <v>24</v>
      </c>
      <c r="B30" s="16"/>
      <c r="C30" s="14"/>
      <c r="D30" s="15"/>
      <c r="E30" s="16"/>
      <c r="F30" s="17"/>
      <c r="G30" s="27"/>
      <c r="H30" s="4"/>
    </row>
    <row r="31" spans="1:10" x14ac:dyDescent="0.25">
      <c r="A31" s="12">
        <f t="shared" si="0"/>
        <v>25</v>
      </c>
      <c r="B31" s="16"/>
      <c r="C31" s="14"/>
      <c r="D31" s="15"/>
      <c r="E31" s="16"/>
      <c r="F31" s="17"/>
      <c r="G31" s="27"/>
      <c r="H31" s="4"/>
    </row>
    <row r="32" spans="1:10" x14ac:dyDescent="0.25">
      <c r="A32" s="12">
        <f t="shared" si="0"/>
        <v>26</v>
      </c>
      <c r="B32" s="16"/>
      <c r="C32" s="14"/>
      <c r="D32" s="15"/>
      <c r="E32" s="16"/>
      <c r="F32" s="17"/>
      <c r="G32" s="27"/>
      <c r="H32" s="4"/>
    </row>
  </sheetData>
  <sortState ref="B7:H27">
    <sortCondition ref="E7:E27"/>
    <sortCondition ref="D7:D27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B14" sqref="B1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21.2851562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2" t="s">
        <v>2</v>
      </c>
      <c r="B2" s="32"/>
      <c r="C2" s="32"/>
      <c r="D2" s="2"/>
      <c r="E2" s="5" t="s">
        <v>3</v>
      </c>
      <c r="F2" s="5"/>
      <c r="G2" s="3"/>
      <c r="H2" s="3"/>
      <c r="I2" s="29" t="s">
        <v>4</v>
      </c>
      <c r="J2" s="30"/>
      <c r="K2" s="6">
        <f>SUMIF(F7:F214,"Elimination*",G7:G214)</f>
        <v>2</v>
      </c>
    </row>
    <row r="3" spans="1:11" x14ac:dyDescent="0.25">
      <c r="A3" s="33" t="s">
        <v>5</v>
      </c>
      <c r="B3" s="33"/>
      <c r="C3" s="33"/>
      <c r="D3" s="5"/>
      <c r="E3" s="3" t="s">
        <v>6</v>
      </c>
      <c r="F3" s="3"/>
      <c r="G3" s="3"/>
      <c r="H3" s="3"/>
      <c r="I3" s="29" t="s">
        <v>7</v>
      </c>
      <c r="J3" s="30"/>
      <c r="K3" s="6">
        <f>SUMIF(F7:F214,"NB*",G7:G214)</f>
        <v>8</v>
      </c>
    </row>
    <row r="4" spans="1:11" ht="18" x14ac:dyDescent="0.25">
      <c r="A4" s="31" t="s">
        <v>8</v>
      </c>
      <c r="B4" s="31"/>
      <c r="C4" s="31"/>
      <c r="D4" s="31"/>
      <c r="E4" s="31"/>
      <c r="F4" s="31"/>
      <c r="G4" s="3"/>
      <c r="H4" s="3"/>
      <c r="I4" s="29" t="s">
        <v>9</v>
      </c>
      <c r="J4" s="30"/>
      <c r="K4" s="6">
        <f>SUMIF(F7:F214,"Ve*",G7:G214)</f>
        <v>0</v>
      </c>
    </row>
    <row r="5" spans="1:11" ht="15.75" x14ac:dyDescent="0.25">
      <c r="A5" s="28" t="s">
        <v>522</v>
      </c>
      <c r="B5" s="28"/>
      <c r="C5" s="28"/>
      <c r="D5" s="28"/>
      <c r="E5" s="28"/>
      <c r="F5" s="28"/>
      <c r="G5" s="7"/>
      <c r="H5" s="7"/>
      <c r="I5" s="29" t="s">
        <v>10</v>
      </c>
      <c r="J5" s="30"/>
      <c r="K5" s="8">
        <f>SUM(K2:K4)</f>
        <v>10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481</v>
      </c>
      <c r="C7" s="14" t="s">
        <v>24</v>
      </c>
      <c r="D7" s="21" t="s">
        <v>482</v>
      </c>
      <c r="E7" s="16">
        <v>43601</v>
      </c>
      <c r="F7" s="17" t="s">
        <v>26</v>
      </c>
      <c r="G7" s="18">
        <v>1</v>
      </c>
      <c r="H7" s="19"/>
      <c r="I7" s="20"/>
      <c r="J7" s="20"/>
      <c r="K7" s="4"/>
    </row>
    <row r="8" spans="1:11" ht="15" customHeight="1" x14ac:dyDescent="0.25">
      <c r="A8" s="12">
        <f>+A7+1</f>
        <v>2</v>
      </c>
      <c r="B8" s="13" t="s">
        <v>889</v>
      </c>
      <c r="C8" s="14" t="s">
        <v>18</v>
      </c>
      <c r="D8" s="21" t="s">
        <v>497</v>
      </c>
      <c r="E8" s="16">
        <v>43605</v>
      </c>
      <c r="F8" s="17" t="s">
        <v>498</v>
      </c>
      <c r="G8" s="18">
        <v>1</v>
      </c>
      <c r="H8" s="19" t="s">
        <v>499</v>
      </c>
      <c r="I8" s="22"/>
      <c r="J8" s="22"/>
      <c r="K8" s="4"/>
    </row>
    <row r="9" spans="1:11" ht="15" customHeight="1" x14ac:dyDescent="0.25">
      <c r="A9" s="12">
        <f t="shared" ref="A9:A32" si="0">+A8+1</f>
        <v>3</v>
      </c>
      <c r="B9" s="13" t="s">
        <v>547</v>
      </c>
      <c r="C9" s="14" t="s">
        <v>18</v>
      </c>
      <c r="D9" s="21" t="s">
        <v>488</v>
      </c>
      <c r="E9" s="16">
        <v>43606</v>
      </c>
      <c r="F9" s="17" t="s">
        <v>489</v>
      </c>
      <c r="G9" s="18">
        <v>1</v>
      </c>
      <c r="H9" s="19" t="s">
        <v>490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548</v>
      </c>
      <c r="C10" s="14" t="s">
        <v>18</v>
      </c>
      <c r="D10" s="21" t="s">
        <v>494</v>
      </c>
      <c r="E10" s="16">
        <v>43606</v>
      </c>
      <c r="F10" s="17" t="s">
        <v>495</v>
      </c>
      <c r="G10" s="18">
        <v>1</v>
      </c>
      <c r="H10" s="19" t="s">
        <v>496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891</v>
      </c>
      <c r="C11" s="14" t="s">
        <v>18</v>
      </c>
      <c r="D11" s="21" t="s">
        <v>503</v>
      </c>
      <c r="E11" s="16">
        <v>43606</v>
      </c>
      <c r="F11" s="17" t="s">
        <v>504</v>
      </c>
      <c r="G11" s="18">
        <v>1</v>
      </c>
      <c r="H11" s="19" t="s">
        <v>505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892</v>
      </c>
      <c r="C12" s="14" t="s">
        <v>18</v>
      </c>
      <c r="D12" s="21" t="s">
        <v>491</v>
      </c>
      <c r="E12" s="16">
        <v>43606</v>
      </c>
      <c r="F12" s="17" t="s">
        <v>492</v>
      </c>
      <c r="G12" s="18">
        <v>1</v>
      </c>
      <c r="H12" s="19" t="s">
        <v>493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893</v>
      </c>
      <c r="C13" s="14" t="s">
        <v>18</v>
      </c>
      <c r="D13" s="21" t="s">
        <v>483</v>
      </c>
      <c r="E13" s="16">
        <v>43607</v>
      </c>
      <c r="F13" s="17" t="s">
        <v>484</v>
      </c>
      <c r="G13" s="18">
        <v>1</v>
      </c>
      <c r="H13" s="19" t="s">
        <v>485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894</v>
      </c>
      <c r="C14" s="14" t="s">
        <v>18</v>
      </c>
      <c r="D14" s="21" t="s">
        <v>486</v>
      </c>
      <c r="E14" s="16">
        <v>43607</v>
      </c>
      <c r="F14" s="17" t="s">
        <v>487</v>
      </c>
      <c r="G14" s="18">
        <v>1</v>
      </c>
      <c r="H14" s="19" t="s">
        <v>90</v>
      </c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890</v>
      </c>
      <c r="C15" s="14" t="s">
        <v>18</v>
      </c>
      <c r="D15" s="21" t="s">
        <v>500</v>
      </c>
      <c r="E15" s="16">
        <v>43611</v>
      </c>
      <c r="F15" s="17" t="s">
        <v>501</v>
      </c>
      <c r="G15" s="18">
        <v>1</v>
      </c>
      <c r="H15" s="23" t="s">
        <v>502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506</v>
      </c>
      <c r="C16" s="14" t="s">
        <v>18</v>
      </c>
      <c r="D16" s="21" t="s">
        <v>507</v>
      </c>
      <c r="E16" s="16">
        <v>43612</v>
      </c>
      <c r="F16" s="17" t="s">
        <v>26</v>
      </c>
      <c r="G16" s="18">
        <v>1</v>
      </c>
      <c r="H16" s="19"/>
      <c r="I16" s="22"/>
      <c r="J16" s="22"/>
    </row>
    <row r="17" spans="1:10" ht="15" customHeight="1" x14ac:dyDescent="0.25">
      <c r="A17" s="12">
        <f t="shared" si="0"/>
        <v>11</v>
      </c>
      <c r="B17" s="13"/>
      <c r="C17" s="14"/>
      <c r="D17" s="21"/>
      <c r="E17" s="16"/>
      <c r="F17" s="17"/>
      <c r="G17" s="18">
        <v>1</v>
      </c>
      <c r="H17" s="23"/>
      <c r="I17" s="22"/>
      <c r="J17" s="22"/>
    </row>
    <row r="18" spans="1:10" ht="15" customHeight="1" x14ac:dyDescent="0.25">
      <c r="A18" s="12">
        <f t="shared" si="0"/>
        <v>12</v>
      </c>
      <c r="B18" s="16"/>
      <c r="C18" s="14"/>
      <c r="D18" s="21"/>
      <c r="E18" s="16"/>
      <c r="F18" s="17"/>
      <c r="G18" s="18">
        <v>1</v>
      </c>
      <c r="I18" s="22"/>
      <c r="J18" s="22"/>
    </row>
    <row r="19" spans="1:10" ht="15" customHeight="1" x14ac:dyDescent="0.25">
      <c r="A19" s="12">
        <f t="shared" si="0"/>
        <v>13</v>
      </c>
      <c r="B19" s="16"/>
      <c r="C19" s="14"/>
      <c r="D19" s="21"/>
      <c r="E19" s="16"/>
      <c r="F19" s="17"/>
      <c r="G19" s="18">
        <v>1</v>
      </c>
      <c r="I19" s="22"/>
      <c r="J19" s="22"/>
    </row>
    <row r="20" spans="1:10" ht="15" customHeight="1" x14ac:dyDescent="0.25">
      <c r="A20" s="12">
        <f t="shared" si="0"/>
        <v>14</v>
      </c>
      <c r="B20" s="13"/>
      <c r="C20" s="14"/>
      <c r="D20" s="21"/>
      <c r="E20" s="16"/>
      <c r="F20" s="17"/>
      <c r="G20" s="18">
        <v>1</v>
      </c>
      <c r="H20" s="23"/>
      <c r="I20" s="22"/>
      <c r="J20" s="22"/>
    </row>
    <row r="21" spans="1:10" ht="15" customHeight="1" x14ac:dyDescent="0.25">
      <c r="A21" s="12">
        <f t="shared" si="0"/>
        <v>15</v>
      </c>
      <c r="B21" s="16"/>
      <c r="C21" s="14"/>
      <c r="D21" s="21"/>
      <c r="E21" s="16"/>
      <c r="F21" s="17"/>
      <c r="G21" s="18">
        <v>1</v>
      </c>
      <c r="H21" s="4"/>
      <c r="I21" s="22"/>
      <c r="J21" s="22"/>
    </row>
    <row r="22" spans="1:10" ht="15" customHeight="1" x14ac:dyDescent="0.25">
      <c r="A22" s="12">
        <f t="shared" si="0"/>
        <v>16</v>
      </c>
      <c r="B22" s="16"/>
      <c r="C22" s="14"/>
      <c r="D22" s="15"/>
      <c r="E22" s="16"/>
      <c r="F22" s="17"/>
      <c r="G22" s="18">
        <v>1</v>
      </c>
      <c r="I22" s="22"/>
      <c r="J22" s="22"/>
    </row>
    <row r="23" spans="1:10" ht="15" customHeight="1" x14ac:dyDescent="0.25">
      <c r="A23" s="12">
        <f t="shared" si="0"/>
        <v>17</v>
      </c>
      <c r="B23" s="16"/>
      <c r="C23" s="14"/>
      <c r="D23" s="21"/>
      <c r="E23" s="16"/>
      <c r="F23" s="17"/>
      <c r="G23" s="18">
        <v>1</v>
      </c>
      <c r="I23" s="22"/>
      <c r="J23" s="22"/>
    </row>
    <row r="24" spans="1:10" ht="15" customHeight="1" x14ac:dyDescent="0.25">
      <c r="A24" s="12">
        <f t="shared" si="0"/>
        <v>18</v>
      </c>
      <c r="B24" s="16"/>
      <c r="C24" s="14"/>
      <c r="D24" s="21"/>
      <c r="E24" s="16"/>
      <c r="F24" s="17"/>
      <c r="G24" s="18">
        <v>1</v>
      </c>
      <c r="I24" s="22"/>
      <c r="J24" s="22"/>
    </row>
    <row r="25" spans="1:10" ht="15" customHeight="1" x14ac:dyDescent="0.25">
      <c r="A25" s="12">
        <f t="shared" si="0"/>
        <v>19</v>
      </c>
      <c r="B25" s="16"/>
      <c r="C25" s="14"/>
      <c r="D25" s="15"/>
      <c r="E25" s="16"/>
      <c r="F25" s="17"/>
      <c r="G25" s="18">
        <v>1</v>
      </c>
      <c r="I25" s="22"/>
      <c r="J25" s="22"/>
    </row>
    <row r="26" spans="1:10" ht="15" customHeight="1" x14ac:dyDescent="0.25">
      <c r="A26" s="12">
        <f t="shared" si="0"/>
        <v>20</v>
      </c>
      <c r="B26" s="16"/>
      <c r="C26" s="14"/>
      <c r="D26" s="21"/>
      <c r="E26" s="16"/>
      <c r="F26" s="17"/>
      <c r="G26" s="18">
        <v>1</v>
      </c>
      <c r="I26" s="22"/>
      <c r="J26" s="22"/>
    </row>
    <row r="27" spans="1:10" ht="15" customHeight="1" x14ac:dyDescent="0.25">
      <c r="A27" s="12">
        <f t="shared" si="0"/>
        <v>21</v>
      </c>
      <c r="B27" s="16"/>
      <c r="C27" s="14"/>
      <c r="D27" s="21"/>
      <c r="E27" s="16"/>
      <c r="F27" s="17"/>
      <c r="G27" s="18">
        <v>1</v>
      </c>
      <c r="I27" s="22"/>
      <c r="J27" s="22"/>
    </row>
    <row r="28" spans="1:10" x14ac:dyDescent="0.25">
      <c r="A28" s="12">
        <f t="shared" si="0"/>
        <v>22</v>
      </c>
      <c r="B28" s="16"/>
      <c r="C28" s="14"/>
      <c r="D28" s="15"/>
      <c r="E28" s="16"/>
      <c r="F28" s="17"/>
      <c r="G28" s="18">
        <v>1</v>
      </c>
    </row>
    <row r="29" spans="1:10" x14ac:dyDescent="0.25">
      <c r="A29" s="12">
        <f t="shared" si="0"/>
        <v>23</v>
      </c>
      <c r="B29" s="16"/>
      <c r="C29" s="14"/>
      <c r="D29" s="15"/>
      <c r="E29" s="16"/>
      <c r="F29" s="17"/>
      <c r="G29" s="18">
        <v>1</v>
      </c>
      <c r="H29" s="4"/>
    </row>
    <row r="30" spans="1:10" x14ac:dyDescent="0.25">
      <c r="A30" s="12">
        <f t="shared" si="0"/>
        <v>24</v>
      </c>
      <c r="B30" s="16"/>
      <c r="C30" s="14"/>
      <c r="D30" s="15"/>
      <c r="E30" s="16"/>
      <c r="F30" s="17"/>
      <c r="G30" s="18">
        <v>1</v>
      </c>
      <c r="H30" s="4"/>
    </row>
    <row r="31" spans="1:10" x14ac:dyDescent="0.25">
      <c r="A31" s="12">
        <f t="shared" si="0"/>
        <v>25</v>
      </c>
      <c r="B31" s="16"/>
      <c r="C31" s="14"/>
      <c r="D31" s="15"/>
      <c r="E31" s="16"/>
      <c r="F31" s="17"/>
      <c r="G31" s="18">
        <v>1</v>
      </c>
      <c r="H31" s="4"/>
    </row>
    <row r="32" spans="1:10" x14ac:dyDescent="0.25">
      <c r="A32" s="12">
        <f t="shared" si="0"/>
        <v>26</v>
      </c>
      <c r="B32" s="16"/>
      <c r="C32" s="14"/>
      <c r="D32" s="15"/>
      <c r="E32" s="16"/>
      <c r="F32" s="17"/>
      <c r="G32" s="18">
        <v>1</v>
      </c>
      <c r="H32" s="4"/>
    </row>
  </sheetData>
  <sortState ref="B7:H15">
    <sortCondition ref="E7:E15"/>
    <sortCondition ref="D7:D15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B18" sqref="B1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21.28515625" customWidth="1"/>
    <col min="7" max="7" width="2.1406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2" t="s">
        <v>2</v>
      </c>
      <c r="B2" s="32"/>
      <c r="C2" s="32"/>
      <c r="D2" s="2"/>
      <c r="E2" s="5" t="s">
        <v>3</v>
      </c>
      <c r="F2" s="5"/>
      <c r="G2" s="3"/>
      <c r="H2" s="3"/>
      <c r="I2" s="29" t="s">
        <v>4</v>
      </c>
      <c r="J2" s="30"/>
      <c r="K2" s="6">
        <f>SUMIF(F7:F214,"Elimination*",G7:G214)</f>
        <v>4</v>
      </c>
    </row>
    <row r="3" spans="1:11" x14ac:dyDescent="0.25">
      <c r="A3" s="33" t="s">
        <v>5</v>
      </c>
      <c r="B3" s="33"/>
      <c r="C3" s="33"/>
      <c r="D3" s="5"/>
      <c r="E3" s="3" t="s">
        <v>6</v>
      </c>
      <c r="F3" s="3"/>
      <c r="G3" s="3"/>
      <c r="H3" s="3"/>
      <c r="I3" s="29" t="s">
        <v>7</v>
      </c>
      <c r="J3" s="30"/>
      <c r="K3" s="6">
        <f>SUMIF(F7:F214,"NB*",G7:G214)</f>
        <v>8</v>
      </c>
    </row>
    <row r="4" spans="1:11" ht="18" x14ac:dyDescent="0.25">
      <c r="A4" s="31" t="s">
        <v>8</v>
      </c>
      <c r="B4" s="31"/>
      <c r="C4" s="31"/>
      <c r="D4" s="31"/>
      <c r="E4" s="31"/>
      <c r="F4" s="31"/>
      <c r="G4" s="3"/>
      <c r="H4" s="3"/>
      <c r="I4" s="29" t="s">
        <v>9</v>
      </c>
      <c r="J4" s="30"/>
      <c r="K4" s="6">
        <f>SUMIF(F7:F214,"Ve*",G7:G214)</f>
        <v>0</v>
      </c>
    </row>
    <row r="5" spans="1:11" ht="15.75" x14ac:dyDescent="0.25">
      <c r="A5" s="28" t="s">
        <v>521</v>
      </c>
      <c r="B5" s="28"/>
      <c r="C5" s="28"/>
      <c r="D5" s="28"/>
      <c r="E5" s="28"/>
      <c r="F5" s="28"/>
      <c r="G5" s="7"/>
      <c r="H5" s="7"/>
      <c r="I5" s="29" t="s">
        <v>10</v>
      </c>
      <c r="J5" s="30"/>
      <c r="K5" s="8">
        <f>SUM(K2:K4)</f>
        <v>12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895</v>
      </c>
      <c r="C7" s="14" t="s">
        <v>18</v>
      </c>
      <c r="D7" s="15" t="s">
        <v>515</v>
      </c>
      <c r="E7" s="16">
        <v>43618</v>
      </c>
      <c r="F7" s="17" t="s">
        <v>516</v>
      </c>
      <c r="G7" s="18">
        <v>1</v>
      </c>
      <c r="H7" s="19" t="s">
        <v>517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896</v>
      </c>
      <c r="C8" s="14" t="s">
        <v>18</v>
      </c>
      <c r="D8" s="15" t="s">
        <v>518</v>
      </c>
      <c r="E8" s="16">
        <v>43618</v>
      </c>
      <c r="F8" s="17" t="s">
        <v>519</v>
      </c>
      <c r="G8" s="18">
        <v>1</v>
      </c>
      <c r="H8" s="19" t="s">
        <v>520</v>
      </c>
      <c r="I8" s="22"/>
      <c r="J8" s="22"/>
      <c r="K8" s="4"/>
    </row>
    <row r="9" spans="1:11" ht="15" customHeight="1" x14ac:dyDescent="0.25">
      <c r="A9" s="12">
        <f t="shared" ref="A9:A32" si="0">+A8+1</f>
        <v>3</v>
      </c>
      <c r="B9" s="13" t="s">
        <v>897</v>
      </c>
      <c r="C9" s="14" t="s">
        <v>18</v>
      </c>
      <c r="D9" s="15" t="s">
        <v>512</v>
      </c>
      <c r="E9" s="16">
        <v>43619</v>
      </c>
      <c r="F9" s="17" t="s">
        <v>513</v>
      </c>
      <c r="G9" s="18">
        <v>1</v>
      </c>
      <c r="H9" s="19" t="s">
        <v>514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523</v>
      </c>
      <c r="C10" s="14" t="s">
        <v>18</v>
      </c>
      <c r="D10" s="15" t="s">
        <v>510</v>
      </c>
      <c r="E10" s="16">
        <v>43619</v>
      </c>
      <c r="F10" s="17" t="s">
        <v>26</v>
      </c>
      <c r="G10" s="18">
        <v>1</v>
      </c>
      <c r="H10" s="19" t="s">
        <v>511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508</v>
      </c>
      <c r="C11" s="14" t="s">
        <v>18</v>
      </c>
      <c r="D11" s="21" t="s">
        <v>509</v>
      </c>
      <c r="E11" s="16">
        <v>43619</v>
      </c>
      <c r="F11" s="17" t="s">
        <v>26</v>
      </c>
      <c r="G11" s="18">
        <v>1</v>
      </c>
      <c r="H11" s="19"/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898</v>
      </c>
      <c r="C12" s="14" t="s">
        <v>18</v>
      </c>
      <c r="D12" s="15" t="s">
        <v>530</v>
      </c>
      <c r="E12" s="16">
        <v>43626</v>
      </c>
      <c r="F12" s="17" t="s">
        <v>531</v>
      </c>
      <c r="G12" s="18">
        <v>1</v>
      </c>
      <c r="H12" s="19" t="s">
        <v>532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899</v>
      </c>
      <c r="C13" s="14" t="s">
        <v>18</v>
      </c>
      <c r="D13" s="15" t="s">
        <v>527</v>
      </c>
      <c r="E13" s="16">
        <v>43626</v>
      </c>
      <c r="F13" s="17" t="s">
        <v>528</v>
      </c>
      <c r="G13" s="18">
        <v>1</v>
      </c>
      <c r="H13" s="19" t="s">
        <v>529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900</v>
      </c>
      <c r="C14" s="14" t="s">
        <v>18</v>
      </c>
      <c r="D14" s="21" t="s">
        <v>524</v>
      </c>
      <c r="E14" s="16">
        <v>43626</v>
      </c>
      <c r="F14" s="17" t="s">
        <v>525</v>
      </c>
      <c r="G14" s="18">
        <v>1</v>
      </c>
      <c r="H14" s="19" t="s">
        <v>526</v>
      </c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534</v>
      </c>
      <c r="C15" s="14" t="s">
        <v>18</v>
      </c>
      <c r="D15" s="15" t="s">
        <v>533</v>
      </c>
      <c r="E15" s="16">
        <v>43627</v>
      </c>
      <c r="F15" s="17" t="s">
        <v>26</v>
      </c>
      <c r="G15" s="18">
        <v>1</v>
      </c>
      <c r="H15" s="23" t="s">
        <v>538</v>
      </c>
      <c r="I15" s="22"/>
      <c r="J15" s="22"/>
    </row>
    <row r="16" spans="1:11" ht="15" customHeight="1" x14ac:dyDescent="0.25">
      <c r="A16" s="12">
        <f t="shared" si="0"/>
        <v>10</v>
      </c>
      <c r="B16" s="16" t="s">
        <v>687</v>
      </c>
      <c r="C16" s="14" t="s">
        <v>18</v>
      </c>
      <c r="D16" s="21" t="s">
        <v>542</v>
      </c>
      <c r="E16" s="16">
        <v>43628</v>
      </c>
      <c r="F16" s="17" t="s">
        <v>543</v>
      </c>
      <c r="G16" s="18">
        <v>1</v>
      </c>
      <c r="H16" s="19" t="s">
        <v>544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919</v>
      </c>
      <c r="C17" s="14" t="s">
        <v>18</v>
      </c>
      <c r="D17" s="21" t="s">
        <v>539</v>
      </c>
      <c r="E17" s="16">
        <v>43629</v>
      </c>
      <c r="F17" s="17" t="s">
        <v>540</v>
      </c>
      <c r="G17" s="18">
        <v>1</v>
      </c>
      <c r="H17" s="23" t="s">
        <v>541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535</v>
      </c>
      <c r="C18" s="14" t="s">
        <v>536</v>
      </c>
      <c r="D18" s="21" t="s">
        <v>537</v>
      </c>
      <c r="E18" s="16">
        <v>43632</v>
      </c>
      <c r="F18" s="17" t="s">
        <v>26</v>
      </c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6"/>
      <c r="C19" s="14"/>
      <c r="D19" s="21"/>
      <c r="E19" s="16"/>
      <c r="F19" s="17"/>
      <c r="G19" s="18">
        <v>1</v>
      </c>
      <c r="I19" s="22"/>
      <c r="J19" s="22"/>
    </row>
    <row r="20" spans="1:10" ht="15" customHeight="1" x14ac:dyDescent="0.25">
      <c r="A20" s="12">
        <f t="shared" si="0"/>
        <v>14</v>
      </c>
      <c r="B20" s="13"/>
      <c r="C20" s="14"/>
      <c r="D20" s="21"/>
      <c r="E20" s="16"/>
      <c r="F20" s="17"/>
      <c r="G20" s="18">
        <v>1</v>
      </c>
      <c r="H20" s="23"/>
      <c r="I20" s="22"/>
      <c r="J20" s="22"/>
    </row>
    <row r="21" spans="1:10" ht="15" customHeight="1" x14ac:dyDescent="0.25">
      <c r="A21" s="12">
        <f t="shared" si="0"/>
        <v>15</v>
      </c>
      <c r="B21" s="16"/>
      <c r="C21" s="14"/>
      <c r="D21" s="21"/>
      <c r="E21" s="16"/>
      <c r="F21" s="17"/>
      <c r="G21" s="18">
        <v>1</v>
      </c>
      <c r="H21" s="4"/>
      <c r="I21" s="22"/>
      <c r="J21" s="22"/>
    </row>
    <row r="22" spans="1:10" ht="15" customHeight="1" x14ac:dyDescent="0.25">
      <c r="A22" s="12">
        <f t="shared" si="0"/>
        <v>16</v>
      </c>
      <c r="B22" s="16"/>
      <c r="C22" s="14"/>
      <c r="D22" s="15"/>
      <c r="E22" s="16"/>
      <c r="F22" s="17"/>
      <c r="G22" s="18">
        <v>1</v>
      </c>
      <c r="I22" s="22"/>
      <c r="J22" s="22"/>
    </row>
    <row r="23" spans="1:10" ht="15" customHeight="1" x14ac:dyDescent="0.25">
      <c r="A23" s="12">
        <f t="shared" si="0"/>
        <v>17</v>
      </c>
      <c r="B23" s="16"/>
      <c r="C23" s="14"/>
      <c r="D23" s="21"/>
      <c r="E23" s="16"/>
      <c r="F23" s="17"/>
      <c r="G23" s="18">
        <v>1</v>
      </c>
      <c r="I23" s="22"/>
      <c r="J23" s="22"/>
    </row>
    <row r="24" spans="1:10" ht="15" customHeight="1" x14ac:dyDescent="0.25">
      <c r="A24" s="12">
        <f t="shared" si="0"/>
        <v>18</v>
      </c>
      <c r="B24" s="16"/>
      <c r="C24" s="14"/>
      <c r="D24" s="21"/>
      <c r="E24" s="16"/>
      <c r="F24" s="17"/>
      <c r="G24" s="18">
        <v>1</v>
      </c>
      <c r="I24" s="22"/>
      <c r="J24" s="22"/>
    </row>
    <row r="25" spans="1:10" ht="15" customHeight="1" x14ac:dyDescent="0.25">
      <c r="A25" s="12">
        <f t="shared" si="0"/>
        <v>19</v>
      </c>
      <c r="B25" s="16"/>
      <c r="C25" s="14"/>
      <c r="D25" s="15"/>
      <c r="E25" s="16"/>
      <c r="F25" s="17"/>
      <c r="G25" s="18">
        <v>1</v>
      </c>
      <c r="I25" s="22"/>
      <c r="J25" s="22"/>
    </row>
    <row r="26" spans="1:10" ht="15" customHeight="1" x14ac:dyDescent="0.25">
      <c r="A26" s="12">
        <f t="shared" si="0"/>
        <v>20</v>
      </c>
      <c r="B26" s="16"/>
      <c r="C26" s="14"/>
      <c r="D26" s="21"/>
      <c r="E26" s="16"/>
      <c r="F26" s="17"/>
      <c r="G26" s="18">
        <v>1</v>
      </c>
      <c r="I26" s="22"/>
      <c r="J26" s="22"/>
    </row>
    <row r="27" spans="1:10" ht="15" customHeight="1" x14ac:dyDescent="0.25">
      <c r="A27" s="12">
        <f t="shared" si="0"/>
        <v>21</v>
      </c>
      <c r="B27" s="16"/>
      <c r="C27" s="14"/>
      <c r="D27" s="21"/>
      <c r="E27" s="16"/>
      <c r="F27" s="17"/>
      <c r="G27" s="18">
        <v>1</v>
      </c>
      <c r="I27" s="22"/>
      <c r="J27" s="22"/>
    </row>
    <row r="28" spans="1:10" x14ac:dyDescent="0.25">
      <c r="A28" s="12">
        <f t="shared" si="0"/>
        <v>22</v>
      </c>
      <c r="B28" s="16"/>
      <c r="C28" s="14"/>
      <c r="D28" s="15"/>
      <c r="E28" s="16"/>
      <c r="F28" s="17"/>
      <c r="G28" s="18">
        <v>1</v>
      </c>
    </row>
    <row r="29" spans="1:10" x14ac:dyDescent="0.25">
      <c r="A29" s="12">
        <f t="shared" si="0"/>
        <v>23</v>
      </c>
      <c r="B29" s="16"/>
      <c r="C29" s="14"/>
      <c r="D29" s="15"/>
      <c r="E29" s="16"/>
      <c r="F29" s="17"/>
      <c r="G29" s="18">
        <v>1</v>
      </c>
      <c r="H29" s="4"/>
    </row>
    <row r="30" spans="1:10" x14ac:dyDescent="0.25">
      <c r="A30" s="12">
        <f t="shared" si="0"/>
        <v>24</v>
      </c>
      <c r="B30" s="16"/>
      <c r="C30" s="14"/>
      <c r="D30" s="15"/>
      <c r="E30" s="16"/>
      <c r="F30" s="17"/>
      <c r="G30" s="18">
        <v>1</v>
      </c>
      <c r="H30" s="4"/>
    </row>
    <row r="31" spans="1:10" x14ac:dyDescent="0.25">
      <c r="A31" s="12">
        <f t="shared" si="0"/>
        <v>25</v>
      </c>
      <c r="B31" s="16"/>
      <c r="C31" s="14"/>
      <c r="D31" s="15"/>
      <c r="E31" s="16"/>
      <c r="F31" s="17"/>
      <c r="G31" s="18">
        <v>1</v>
      </c>
      <c r="H31" s="4"/>
    </row>
    <row r="32" spans="1:10" x14ac:dyDescent="0.25">
      <c r="A32" s="12">
        <f t="shared" si="0"/>
        <v>26</v>
      </c>
      <c r="B32" s="16"/>
      <c r="C32" s="14"/>
      <c r="D32" s="15"/>
      <c r="E32" s="16"/>
      <c r="F32" s="17"/>
      <c r="G32" s="18">
        <v>1</v>
      </c>
      <c r="H32" s="4"/>
    </row>
  </sheetData>
  <sortState ref="B7:H18">
    <sortCondition ref="E7:E18"/>
    <sortCondition ref="D7:D18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F32" sqref="A1:F3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21.28515625" customWidth="1"/>
    <col min="7" max="7" width="2.1406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2" t="s">
        <v>2</v>
      </c>
      <c r="B2" s="32"/>
      <c r="C2" s="32"/>
      <c r="D2" s="2"/>
      <c r="E2" s="5" t="s">
        <v>3</v>
      </c>
      <c r="F2" s="5"/>
      <c r="G2" s="3"/>
      <c r="H2" s="3"/>
      <c r="I2" s="29" t="s">
        <v>4</v>
      </c>
      <c r="J2" s="30"/>
      <c r="K2" s="6">
        <f>SUMIF(F7:F214,"Elimination*",G7:G214)</f>
        <v>0</v>
      </c>
    </row>
    <row r="3" spans="1:11" x14ac:dyDescent="0.25">
      <c r="A3" s="33" t="s">
        <v>5</v>
      </c>
      <c r="B3" s="33"/>
      <c r="C3" s="33"/>
      <c r="D3" s="5"/>
      <c r="E3" s="3" t="s">
        <v>6</v>
      </c>
      <c r="F3" s="3"/>
      <c r="G3" s="3"/>
      <c r="H3" s="3"/>
      <c r="I3" s="29" t="s">
        <v>7</v>
      </c>
      <c r="J3" s="30"/>
      <c r="K3" s="6">
        <f>SUMIF(F7:F214,"NB*",G7:G214)</f>
        <v>0</v>
      </c>
    </row>
    <row r="4" spans="1:11" ht="18" x14ac:dyDescent="0.25">
      <c r="A4" s="31" t="s">
        <v>8</v>
      </c>
      <c r="B4" s="31"/>
      <c r="C4" s="31"/>
      <c r="D4" s="31"/>
      <c r="E4" s="31"/>
      <c r="F4" s="31"/>
      <c r="G4" s="3"/>
      <c r="H4" s="3"/>
      <c r="I4" s="29" t="s">
        <v>9</v>
      </c>
      <c r="J4" s="30"/>
      <c r="K4" s="6">
        <f>SUMIF(F7:F214,"Ve*",G7:G214)</f>
        <v>0</v>
      </c>
    </row>
    <row r="5" spans="1:11" ht="15.75" x14ac:dyDescent="0.25">
      <c r="A5" s="28" t="s">
        <v>546</v>
      </c>
      <c r="B5" s="28"/>
      <c r="C5" s="28"/>
      <c r="D5" s="28"/>
      <c r="E5" s="28"/>
      <c r="F5" s="28"/>
      <c r="G5" s="7"/>
      <c r="H5" s="7"/>
      <c r="I5" s="29" t="s">
        <v>10</v>
      </c>
      <c r="J5" s="30"/>
      <c r="K5" s="8">
        <f>SUM(K2:K4)</f>
        <v>0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/>
      <c r="C7" s="14"/>
      <c r="D7" s="15"/>
      <c r="E7" s="16"/>
      <c r="F7" s="17"/>
      <c r="G7" s="18"/>
      <c r="H7" s="19"/>
      <c r="I7" s="20"/>
      <c r="J7" s="20"/>
      <c r="K7" s="4"/>
    </row>
    <row r="8" spans="1:11" ht="15" customHeight="1" x14ac:dyDescent="0.25">
      <c r="A8" s="12">
        <f>+A7+1</f>
        <v>2</v>
      </c>
      <c r="B8" s="13"/>
      <c r="C8" s="14"/>
      <c r="D8" s="15"/>
      <c r="E8" s="16"/>
      <c r="F8" s="17"/>
      <c r="G8" s="18"/>
      <c r="H8" s="19"/>
      <c r="I8" s="22"/>
      <c r="J8" s="22"/>
      <c r="K8" s="4"/>
    </row>
    <row r="9" spans="1:11" ht="15" customHeight="1" x14ac:dyDescent="0.25">
      <c r="A9" s="12">
        <f t="shared" ref="A9:A32" si="0">+A8+1</f>
        <v>3</v>
      </c>
      <c r="B9" s="13"/>
      <c r="C9" s="14"/>
      <c r="D9" s="15"/>
      <c r="E9" s="16"/>
      <c r="F9" s="17"/>
      <c r="G9" s="18"/>
      <c r="H9" s="19"/>
      <c r="I9" s="22"/>
      <c r="J9" s="22"/>
      <c r="K9" s="4"/>
    </row>
    <row r="10" spans="1:11" ht="15" customHeight="1" x14ac:dyDescent="0.25">
      <c r="A10" s="12">
        <f t="shared" si="0"/>
        <v>4</v>
      </c>
      <c r="B10" s="13"/>
      <c r="C10" s="14"/>
      <c r="D10" s="15"/>
      <c r="E10" s="16"/>
      <c r="F10" s="17"/>
      <c r="G10" s="18"/>
      <c r="H10" s="19"/>
      <c r="I10" s="22"/>
      <c r="J10" s="22"/>
      <c r="K10" s="4"/>
    </row>
    <row r="11" spans="1:11" ht="15" customHeight="1" x14ac:dyDescent="0.25">
      <c r="A11" s="12">
        <f t="shared" si="0"/>
        <v>5</v>
      </c>
      <c r="B11" s="13"/>
      <c r="C11" s="14"/>
      <c r="D11" s="21"/>
      <c r="E11" s="16"/>
      <c r="F11" s="17"/>
      <c r="G11" s="18"/>
      <c r="H11" s="19"/>
      <c r="I11" s="22"/>
      <c r="J11" s="22"/>
      <c r="K11" s="4"/>
    </row>
    <row r="12" spans="1:11" ht="15" customHeight="1" x14ac:dyDescent="0.25">
      <c r="A12" s="12">
        <f t="shared" si="0"/>
        <v>6</v>
      </c>
      <c r="B12" s="13"/>
      <c r="C12" s="14"/>
      <c r="D12" s="15"/>
      <c r="E12" s="16"/>
      <c r="F12" s="17"/>
      <c r="G12" s="18"/>
      <c r="H12" s="19"/>
      <c r="I12" s="22"/>
      <c r="J12" s="22"/>
      <c r="K12" s="4"/>
    </row>
    <row r="13" spans="1:11" ht="15" customHeight="1" x14ac:dyDescent="0.25">
      <c r="A13" s="12">
        <f t="shared" si="0"/>
        <v>7</v>
      </c>
      <c r="B13" s="13"/>
      <c r="C13" s="14"/>
      <c r="D13" s="15"/>
      <c r="E13" s="16"/>
      <c r="F13" s="17"/>
      <c r="G13" s="18"/>
      <c r="H13" s="19"/>
      <c r="I13" s="22"/>
      <c r="J13" s="22"/>
      <c r="K13" s="4"/>
    </row>
    <row r="14" spans="1:11" ht="15" customHeight="1" x14ac:dyDescent="0.25">
      <c r="A14" s="12">
        <f t="shared" si="0"/>
        <v>8</v>
      </c>
      <c r="B14" s="13"/>
      <c r="C14" s="14"/>
      <c r="D14" s="21"/>
      <c r="E14" s="16"/>
      <c r="F14" s="17"/>
      <c r="G14" s="18"/>
      <c r="H14" s="19"/>
      <c r="I14" s="22"/>
      <c r="J14" s="22"/>
      <c r="K14" s="4"/>
    </row>
    <row r="15" spans="1:11" ht="15" customHeight="1" x14ac:dyDescent="0.25">
      <c r="A15" s="12">
        <f t="shared" si="0"/>
        <v>9</v>
      </c>
      <c r="B15" s="13"/>
      <c r="C15" s="14"/>
      <c r="D15" s="15"/>
      <c r="E15" s="16"/>
      <c r="F15" s="17"/>
      <c r="G15" s="18"/>
      <c r="H15" s="23"/>
      <c r="I15" s="22"/>
      <c r="J15" s="22"/>
    </row>
    <row r="16" spans="1:11" ht="15" customHeight="1" x14ac:dyDescent="0.25">
      <c r="A16" s="12">
        <f t="shared" si="0"/>
        <v>10</v>
      </c>
      <c r="B16" s="16"/>
      <c r="C16" s="14"/>
      <c r="D16" s="21"/>
      <c r="E16" s="16"/>
      <c r="F16" s="17"/>
      <c r="G16" s="18"/>
      <c r="H16" s="19"/>
      <c r="I16" s="22"/>
      <c r="J16" s="22"/>
    </row>
    <row r="17" spans="1:10" ht="15" customHeight="1" x14ac:dyDescent="0.25">
      <c r="A17" s="12">
        <f t="shared" si="0"/>
        <v>11</v>
      </c>
      <c r="B17" s="13"/>
      <c r="C17" s="14"/>
      <c r="D17" s="21"/>
      <c r="E17" s="16"/>
      <c r="F17" s="17"/>
      <c r="G17" s="18"/>
      <c r="H17" s="23"/>
      <c r="I17" s="22"/>
      <c r="J17" s="22"/>
    </row>
    <row r="18" spans="1:10" ht="15" customHeight="1" x14ac:dyDescent="0.25">
      <c r="A18" s="12">
        <f t="shared" si="0"/>
        <v>12</v>
      </c>
      <c r="B18" s="13"/>
      <c r="C18" s="14"/>
      <c r="D18" s="21"/>
      <c r="E18" s="16"/>
      <c r="F18" s="17"/>
      <c r="G18" s="18"/>
      <c r="H18" s="19"/>
      <c r="I18" s="22"/>
      <c r="J18" s="22"/>
    </row>
    <row r="19" spans="1:10" ht="15" customHeight="1" x14ac:dyDescent="0.25">
      <c r="A19" s="12">
        <f t="shared" si="0"/>
        <v>13</v>
      </c>
      <c r="B19" s="16"/>
      <c r="C19" s="14"/>
      <c r="D19" s="21"/>
      <c r="E19" s="16"/>
      <c r="F19" s="17"/>
      <c r="G19" s="18">
        <v>1</v>
      </c>
      <c r="I19" s="22"/>
      <c r="J19" s="22"/>
    </row>
    <row r="20" spans="1:10" ht="15" customHeight="1" x14ac:dyDescent="0.25">
      <c r="A20" s="12">
        <f t="shared" si="0"/>
        <v>14</v>
      </c>
      <c r="B20" s="13"/>
      <c r="C20" s="14"/>
      <c r="D20" s="21"/>
      <c r="E20" s="16"/>
      <c r="F20" s="17"/>
      <c r="G20" s="18">
        <v>1</v>
      </c>
      <c r="H20" s="23"/>
      <c r="I20" s="22"/>
      <c r="J20" s="22"/>
    </row>
    <row r="21" spans="1:10" ht="15" customHeight="1" x14ac:dyDescent="0.25">
      <c r="A21" s="12">
        <f t="shared" si="0"/>
        <v>15</v>
      </c>
      <c r="B21" s="16"/>
      <c r="C21" s="14"/>
      <c r="D21" s="21"/>
      <c r="E21" s="16"/>
      <c r="F21" s="17"/>
      <c r="G21" s="18">
        <v>1</v>
      </c>
      <c r="H21" s="4"/>
      <c r="I21" s="22"/>
      <c r="J21" s="22"/>
    </row>
    <row r="22" spans="1:10" ht="15" customHeight="1" x14ac:dyDescent="0.25">
      <c r="A22" s="12">
        <f t="shared" si="0"/>
        <v>16</v>
      </c>
      <c r="B22" s="16"/>
      <c r="C22" s="14"/>
      <c r="D22" s="15"/>
      <c r="E22" s="16"/>
      <c r="F22" s="17"/>
      <c r="G22" s="18">
        <v>1</v>
      </c>
      <c r="I22" s="22"/>
      <c r="J22" s="22"/>
    </row>
    <row r="23" spans="1:10" ht="15" customHeight="1" x14ac:dyDescent="0.25">
      <c r="A23" s="12">
        <f t="shared" si="0"/>
        <v>17</v>
      </c>
      <c r="B23" s="16"/>
      <c r="C23" s="14"/>
      <c r="D23" s="21"/>
      <c r="E23" s="16"/>
      <c r="F23" s="17"/>
      <c r="G23" s="18">
        <v>1</v>
      </c>
      <c r="I23" s="22"/>
      <c r="J23" s="22"/>
    </row>
    <row r="24" spans="1:10" ht="15" customHeight="1" x14ac:dyDescent="0.25">
      <c r="A24" s="12">
        <f t="shared" si="0"/>
        <v>18</v>
      </c>
      <c r="B24" s="16"/>
      <c r="C24" s="14"/>
      <c r="D24" s="21"/>
      <c r="E24" s="16"/>
      <c r="F24" s="17"/>
      <c r="G24" s="18">
        <v>1</v>
      </c>
      <c r="I24" s="22"/>
      <c r="J24" s="22"/>
    </row>
    <row r="25" spans="1:10" ht="15" customHeight="1" x14ac:dyDescent="0.25">
      <c r="A25" s="12">
        <f t="shared" si="0"/>
        <v>19</v>
      </c>
      <c r="B25" s="16"/>
      <c r="C25" s="14"/>
      <c r="D25" s="15"/>
      <c r="E25" s="16"/>
      <c r="F25" s="17"/>
      <c r="G25" s="18">
        <v>1</v>
      </c>
      <c r="I25" s="22"/>
      <c r="J25" s="22"/>
    </row>
    <row r="26" spans="1:10" ht="15" customHeight="1" x14ac:dyDescent="0.25">
      <c r="A26" s="12">
        <f t="shared" si="0"/>
        <v>20</v>
      </c>
      <c r="B26" s="16"/>
      <c r="C26" s="14"/>
      <c r="D26" s="21"/>
      <c r="E26" s="16"/>
      <c r="F26" s="17"/>
      <c r="G26" s="18">
        <v>1</v>
      </c>
      <c r="I26" s="22"/>
      <c r="J26" s="22"/>
    </row>
    <row r="27" spans="1:10" ht="15" customHeight="1" x14ac:dyDescent="0.25">
      <c r="A27" s="12">
        <f t="shared" si="0"/>
        <v>21</v>
      </c>
      <c r="B27" s="16"/>
      <c r="C27" s="14"/>
      <c r="D27" s="21"/>
      <c r="E27" s="16"/>
      <c r="F27" s="17"/>
      <c r="G27" s="18">
        <v>1</v>
      </c>
      <c r="I27" s="22"/>
      <c r="J27" s="22"/>
    </row>
    <row r="28" spans="1:10" x14ac:dyDescent="0.25">
      <c r="A28" s="12">
        <f t="shared" si="0"/>
        <v>22</v>
      </c>
      <c r="B28" s="16"/>
      <c r="C28" s="14"/>
      <c r="D28" s="15"/>
      <c r="E28" s="16"/>
      <c r="F28" s="17"/>
      <c r="G28" s="18">
        <v>1</v>
      </c>
    </row>
    <row r="29" spans="1:10" x14ac:dyDescent="0.25">
      <c r="A29" s="12">
        <f t="shared" si="0"/>
        <v>23</v>
      </c>
      <c r="B29" s="16"/>
      <c r="C29" s="14"/>
      <c r="D29" s="15"/>
      <c r="E29" s="16"/>
      <c r="F29" s="17"/>
      <c r="G29" s="18">
        <v>1</v>
      </c>
      <c r="H29" s="4"/>
    </row>
    <row r="30" spans="1:10" x14ac:dyDescent="0.25">
      <c r="A30" s="12">
        <f t="shared" si="0"/>
        <v>24</v>
      </c>
      <c r="B30" s="16"/>
      <c r="C30" s="14"/>
      <c r="D30" s="15"/>
      <c r="E30" s="16"/>
      <c r="F30" s="17"/>
      <c r="G30" s="18">
        <v>1</v>
      </c>
      <c r="H30" s="4"/>
    </row>
    <row r="31" spans="1:10" x14ac:dyDescent="0.25">
      <c r="A31" s="12">
        <f t="shared" si="0"/>
        <v>25</v>
      </c>
      <c r="B31" s="16"/>
      <c r="C31" s="14"/>
      <c r="D31" s="15"/>
      <c r="E31" s="16"/>
      <c r="F31" s="17"/>
      <c r="G31" s="18">
        <v>1</v>
      </c>
      <c r="H31" s="4"/>
    </row>
    <row r="32" spans="1:10" x14ac:dyDescent="0.25">
      <c r="A32" s="12">
        <f t="shared" si="0"/>
        <v>26</v>
      </c>
      <c r="B32" s="16"/>
      <c r="C32" s="14"/>
      <c r="D32" s="15"/>
      <c r="E32" s="16"/>
      <c r="F32" s="17"/>
      <c r="G32" s="18">
        <v>1</v>
      </c>
      <c r="H32" s="4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workbookViewId="0">
      <selection activeCell="B79" sqref="B7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21.28515625" customWidth="1"/>
    <col min="7" max="7" width="9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2" t="s">
        <v>2</v>
      </c>
      <c r="B2" s="32"/>
      <c r="C2" s="32"/>
      <c r="D2" s="2"/>
      <c r="E2" s="5" t="s">
        <v>3</v>
      </c>
      <c r="F2" s="5"/>
      <c r="G2" s="3"/>
      <c r="H2" s="3"/>
      <c r="I2" s="29" t="s">
        <v>4</v>
      </c>
      <c r="J2" s="30"/>
      <c r="K2" s="6">
        <f>SUMIF(F7:F214,"Elimination*",G7:G214)</f>
        <v>0</v>
      </c>
    </row>
    <row r="3" spans="1:11" x14ac:dyDescent="0.25">
      <c r="A3" s="33" t="s">
        <v>5</v>
      </c>
      <c r="B3" s="33"/>
      <c r="C3" s="33"/>
      <c r="D3" s="5"/>
      <c r="E3" s="3" t="s">
        <v>6</v>
      </c>
      <c r="F3" s="3"/>
      <c r="G3" s="3"/>
      <c r="H3" s="3"/>
      <c r="I3" s="29" t="s">
        <v>7</v>
      </c>
      <c r="J3" s="30"/>
      <c r="K3" s="6">
        <f>SUMIF(F7:F214,"NB*",G7:G214)</f>
        <v>1</v>
      </c>
    </row>
    <row r="4" spans="1:11" ht="18" x14ac:dyDescent="0.25">
      <c r="A4" s="31" t="s">
        <v>8</v>
      </c>
      <c r="B4" s="31"/>
      <c r="C4" s="31"/>
      <c r="D4" s="31"/>
      <c r="E4" s="31"/>
      <c r="F4" s="31"/>
      <c r="G4" s="3"/>
      <c r="H4" s="3"/>
      <c r="I4" s="29" t="s">
        <v>9</v>
      </c>
      <c r="J4" s="30"/>
      <c r="K4" s="6">
        <f>SUMIF(F7:F214,"Ve*",G7:G214)</f>
        <v>49</v>
      </c>
    </row>
    <row r="5" spans="1:11" ht="15.75" x14ac:dyDescent="0.25">
      <c r="A5" s="28" t="s">
        <v>549</v>
      </c>
      <c r="B5" s="28"/>
      <c r="C5" s="28"/>
      <c r="D5" s="28"/>
      <c r="E5" s="28"/>
      <c r="F5" s="28"/>
      <c r="G5" s="7"/>
      <c r="H5" s="7"/>
      <c r="I5" s="29" t="s">
        <v>10</v>
      </c>
      <c r="J5" s="30"/>
      <c r="K5" s="8">
        <f>SUM(K2:K4)</f>
        <v>50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613</v>
      </c>
      <c r="C7" s="14" t="s">
        <v>18</v>
      </c>
      <c r="D7" s="15" t="s">
        <v>550</v>
      </c>
      <c r="E7" s="16">
        <v>43690</v>
      </c>
      <c r="F7" s="17" t="s">
        <v>278</v>
      </c>
      <c r="G7" s="18">
        <v>1</v>
      </c>
      <c r="H7" s="19"/>
      <c r="I7" s="20"/>
      <c r="J7" s="20"/>
      <c r="K7" s="4"/>
    </row>
    <row r="8" spans="1:11" ht="15" customHeight="1" x14ac:dyDescent="0.25">
      <c r="A8" s="12">
        <f>+A7+1</f>
        <v>2</v>
      </c>
      <c r="B8" s="13" t="s">
        <v>613</v>
      </c>
      <c r="C8" s="14" t="s">
        <v>18</v>
      </c>
      <c r="D8" s="15" t="s">
        <v>551</v>
      </c>
      <c r="E8" s="16">
        <v>43690</v>
      </c>
      <c r="F8" s="17" t="s">
        <v>278</v>
      </c>
      <c r="G8" s="18">
        <v>1</v>
      </c>
      <c r="H8" s="19"/>
      <c r="I8" s="22"/>
      <c r="J8" s="22"/>
      <c r="K8" s="4"/>
    </row>
    <row r="9" spans="1:11" ht="15" customHeight="1" x14ac:dyDescent="0.25">
      <c r="A9" s="12">
        <f t="shared" ref="A9:A62" si="0">+A8+1</f>
        <v>3</v>
      </c>
      <c r="B9" s="13" t="s">
        <v>613</v>
      </c>
      <c r="C9" s="14" t="s">
        <v>18</v>
      </c>
      <c r="D9" s="15" t="s">
        <v>552</v>
      </c>
      <c r="E9" s="16">
        <v>43690</v>
      </c>
      <c r="F9" s="17" t="s">
        <v>278</v>
      </c>
      <c r="G9" s="18">
        <v>1</v>
      </c>
      <c r="H9" s="19"/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613</v>
      </c>
      <c r="C10" s="14" t="s">
        <v>18</v>
      </c>
      <c r="D10" s="15" t="s">
        <v>553</v>
      </c>
      <c r="E10" s="16">
        <v>43690</v>
      </c>
      <c r="F10" s="17" t="s">
        <v>278</v>
      </c>
      <c r="G10" s="18">
        <v>1</v>
      </c>
      <c r="H10" s="19"/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613</v>
      </c>
      <c r="C11" s="14" t="s">
        <v>18</v>
      </c>
      <c r="D11" s="15" t="s">
        <v>554</v>
      </c>
      <c r="E11" s="16">
        <v>43690</v>
      </c>
      <c r="F11" s="17" t="s">
        <v>278</v>
      </c>
      <c r="G11" s="18">
        <v>1</v>
      </c>
      <c r="H11" s="19"/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613</v>
      </c>
      <c r="C12" s="14" t="s">
        <v>18</v>
      </c>
      <c r="D12" s="15" t="s">
        <v>555</v>
      </c>
      <c r="E12" s="16">
        <v>43690</v>
      </c>
      <c r="F12" s="17" t="s">
        <v>278</v>
      </c>
      <c r="G12" s="18">
        <v>1</v>
      </c>
      <c r="H12" s="19"/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613</v>
      </c>
      <c r="C13" s="14" t="s">
        <v>18</v>
      </c>
      <c r="D13" s="15" t="s">
        <v>556</v>
      </c>
      <c r="E13" s="16">
        <v>43690</v>
      </c>
      <c r="F13" s="17" t="s">
        <v>278</v>
      </c>
      <c r="G13" s="18">
        <v>1</v>
      </c>
      <c r="H13" s="19"/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613</v>
      </c>
      <c r="C14" s="14" t="s">
        <v>18</v>
      </c>
      <c r="D14" s="15" t="s">
        <v>557</v>
      </c>
      <c r="E14" s="16">
        <v>43690</v>
      </c>
      <c r="F14" s="17" t="s">
        <v>278</v>
      </c>
      <c r="G14" s="18">
        <v>1</v>
      </c>
      <c r="H14" s="19"/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613</v>
      </c>
      <c r="C15" s="14" t="s">
        <v>18</v>
      </c>
      <c r="D15" s="15" t="s">
        <v>558</v>
      </c>
      <c r="E15" s="16">
        <v>43690</v>
      </c>
      <c r="F15" s="17" t="s">
        <v>278</v>
      </c>
      <c r="G15" s="18">
        <v>1</v>
      </c>
      <c r="H15" s="23"/>
      <c r="I15" s="22"/>
      <c r="J15" s="22"/>
    </row>
    <row r="16" spans="1:11" ht="15" customHeight="1" x14ac:dyDescent="0.25">
      <c r="A16" s="12">
        <f t="shared" si="0"/>
        <v>10</v>
      </c>
      <c r="B16" s="13" t="s">
        <v>613</v>
      </c>
      <c r="C16" s="14" t="s">
        <v>18</v>
      </c>
      <c r="D16" s="15" t="s">
        <v>559</v>
      </c>
      <c r="E16" s="16">
        <v>43690</v>
      </c>
      <c r="F16" s="17" t="s">
        <v>278</v>
      </c>
      <c r="G16" s="18">
        <v>1</v>
      </c>
      <c r="H16" s="19"/>
      <c r="I16" s="22"/>
      <c r="J16" s="22"/>
    </row>
    <row r="17" spans="1:10" ht="15" customHeight="1" x14ac:dyDescent="0.25">
      <c r="A17" s="12">
        <f t="shared" si="0"/>
        <v>11</v>
      </c>
      <c r="B17" s="13" t="s">
        <v>613</v>
      </c>
      <c r="C17" s="14" t="s">
        <v>18</v>
      </c>
      <c r="D17" s="21" t="s">
        <v>560</v>
      </c>
      <c r="E17" s="16">
        <v>43690</v>
      </c>
      <c r="F17" s="17" t="s">
        <v>278</v>
      </c>
      <c r="G17" s="18">
        <v>1</v>
      </c>
      <c r="H17" s="23"/>
      <c r="I17" s="22"/>
      <c r="J17" s="22"/>
    </row>
    <row r="18" spans="1:10" ht="15" customHeight="1" x14ac:dyDescent="0.25">
      <c r="A18" s="12">
        <f t="shared" si="0"/>
        <v>12</v>
      </c>
      <c r="B18" s="13" t="s">
        <v>613</v>
      </c>
      <c r="C18" s="14" t="s">
        <v>18</v>
      </c>
      <c r="D18" s="21" t="s">
        <v>561</v>
      </c>
      <c r="E18" s="16">
        <v>43690</v>
      </c>
      <c r="F18" s="17" t="s">
        <v>278</v>
      </c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3" t="s">
        <v>613</v>
      </c>
      <c r="C19" s="14" t="s">
        <v>18</v>
      </c>
      <c r="D19" s="21" t="s">
        <v>562</v>
      </c>
      <c r="E19" s="16">
        <v>43690</v>
      </c>
      <c r="F19" s="17" t="s">
        <v>278</v>
      </c>
      <c r="G19" s="18">
        <v>1</v>
      </c>
      <c r="I19" s="22"/>
      <c r="J19" s="22"/>
    </row>
    <row r="20" spans="1:10" ht="15" customHeight="1" x14ac:dyDescent="0.25">
      <c r="A20" s="12">
        <f t="shared" si="0"/>
        <v>14</v>
      </c>
      <c r="B20" s="13" t="s">
        <v>613</v>
      </c>
      <c r="C20" s="14" t="s">
        <v>18</v>
      </c>
      <c r="D20" s="21" t="s">
        <v>563</v>
      </c>
      <c r="E20" s="16">
        <v>43690</v>
      </c>
      <c r="F20" s="17" t="s">
        <v>278</v>
      </c>
      <c r="G20" s="18">
        <v>1</v>
      </c>
      <c r="H20" s="23"/>
      <c r="I20" s="22"/>
      <c r="J20" s="22"/>
    </row>
    <row r="21" spans="1:10" ht="15" customHeight="1" x14ac:dyDescent="0.25">
      <c r="A21" s="12">
        <f t="shared" si="0"/>
        <v>15</v>
      </c>
      <c r="B21" s="13" t="s">
        <v>613</v>
      </c>
      <c r="C21" s="14" t="s">
        <v>18</v>
      </c>
      <c r="D21" s="21" t="s">
        <v>564</v>
      </c>
      <c r="E21" s="16">
        <v>43690</v>
      </c>
      <c r="F21" s="17" t="s">
        <v>278</v>
      </c>
      <c r="G21" s="18">
        <v>1</v>
      </c>
      <c r="H21" s="4"/>
      <c r="I21" s="22"/>
      <c r="J21" s="22"/>
    </row>
    <row r="22" spans="1:10" ht="15" customHeight="1" x14ac:dyDescent="0.25">
      <c r="A22" s="12">
        <f t="shared" si="0"/>
        <v>16</v>
      </c>
      <c r="B22" s="13" t="s">
        <v>613</v>
      </c>
      <c r="C22" s="14" t="s">
        <v>18</v>
      </c>
      <c r="D22" s="21" t="s">
        <v>565</v>
      </c>
      <c r="E22" s="16">
        <v>43690</v>
      </c>
      <c r="F22" s="17" t="s">
        <v>278</v>
      </c>
      <c r="G22" s="18">
        <v>1</v>
      </c>
      <c r="I22" s="22"/>
      <c r="J22" s="22"/>
    </row>
    <row r="23" spans="1:10" ht="15" customHeight="1" x14ac:dyDescent="0.25">
      <c r="A23" s="12">
        <f t="shared" si="0"/>
        <v>17</v>
      </c>
      <c r="B23" s="13" t="s">
        <v>613</v>
      </c>
      <c r="C23" s="14" t="s">
        <v>18</v>
      </c>
      <c r="D23" s="21" t="s">
        <v>566</v>
      </c>
      <c r="E23" s="16">
        <v>43690</v>
      </c>
      <c r="F23" s="17" t="s">
        <v>278</v>
      </c>
      <c r="G23" s="18">
        <v>1</v>
      </c>
      <c r="I23" s="22"/>
      <c r="J23" s="22"/>
    </row>
    <row r="24" spans="1:10" ht="15" customHeight="1" x14ac:dyDescent="0.25">
      <c r="A24" s="12">
        <f t="shared" si="0"/>
        <v>18</v>
      </c>
      <c r="B24" s="13" t="s">
        <v>613</v>
      </c>
      <c r="C24" s="14" t="s">
        <v>18</v>
      </c>
      <c r="D24" s="21" t="s">
        <v>567</v>
      </c>
      <c r="E24" s="16">
        <v>43690</v>
      </c>
      <c r="F24" s="17" t="s">
        <v>278</v>
      </c>
      <c r="G24" s="18">
        <v>1</v>
      </c>
      <c r="I24" s="22"/>
      <c r="J24" s="22"/>
    </row>
    <row r="25" spans="1:10" ht="15" customHeight="1" x14ac:dyDescent="0.25">
      <c r="A25" s="12">
        <f t="shared" si="0"/>
        <v>19</v>
      </c>
      <c r="B25" s="13" t="s">
        <v>613</v>
      </c>
      <c r="C25" s="14" t="s">
        <v>18</v>
      </c>
      <c r="D25" s="21" t="s">
        <v>568</v>
      </c>
      <c r="E25" s="16">
        <v>43690</v>
      </c>
      <c r="F25" s="17" t="s">
        <v>278</v>
      </c>
      <c r="G25" s="18">
        <v>1</v>
      </c>
      <c r="I25" s="22"/>
      <c r="J25" s="22"/>
    </row>
    <row r="26" spans="1:10" ht="15" customHeight="1" x14ac:dyDescent="0.25">
      <c r="A26" s="12">
        <f t="shared" si="0"/>
        <v>20</v>
      </c>
      <c r="B26" s="13" t="s">
        <v>613</v>
      </c>
      <c r="C26" s="14" t="s">
        <v>18</v>
      </c>
      <c r="D26" s="21" t="s">
        <v>569</v>
      </c>
      <c r="E26" s="16">
        <v>43690</v>
      </c>
      <c r="F26" s="17" t="s">
        <v>278</v>
      </c>
      <c r="G26" s="18">
        <v>1</v>
      </c>
      <c r="I26" s="22"/>
      <c r="J26" s="22"/>
    </row>
    <row r="27" spans="1:10" ht="15" customHeight="1" x14ac:dyDescent="0.25">
      <c r="A27" s="12">
        <f t="shared" si="0"/>
        <v>21</v>
      </c>
      <c r="B27" s="13" t="s">
        <v>613</v>
      </c>
      <c r="C27" s="14" t="s">
        <v>18</v>
      </c>
      <c r="D27" s="21" t="s">
        <v>570</v>
      </c>
      <c r="E27" s="16">
        <v>43690</v>
      </c>
      <c r="F27" s="17" t="s">
        <v>278</v>
      </c>
      <c r="G27" s="18">
        <v>1</v>
      </c>
      <c r="I27" s="22"/>
      <c r="J27" s="22"/>
    </row>
    <row r="28" spans="1:10" x14ac:dyDescent="0.25">
      <c r="A28" s="12">
        <f t="shared" si="0"/>
        <v>22</v>
      </c>
      <c r="B28" s="13" t="s">
        <v>613</v>
      </c>
      <c r="C28" s="14" t="s">
        <v>18</v>
      </c>
      <c r="D28" s="21" t="s">
        <v>571</v>
      </c>
      <c r="E28" s="16">
        <v>43690</v>
      </c>
      <c r="F28" s="17" t="s">
        <v>278</v>
      </c>
      <c r="G28" s="18">
        <v>1</v>
      </c>
    </row>
    <row r="29" spans="1:10" x14ac:dyDescent="0.25">
      <c r="A29" s="12">
        <f t="shared" si="0"/>
        <v>23</v>
      </c>
      <c r="B29" s="13" t="s">
        <v>613</v>
      </c>
      <c r="C29" s="14" t="s">
        <v>18</v>
      </c>
      <c r="D29" s="21" t="s">
        <v>572</v>
      </c>
      <c r="E29" s="16">
        <v>43690</v>
      </c>
      <c r="F29" s="17" t="s">
        <v>278</v>
      </c>
      <c r="G29" s="18">
        <v>1</v>
      </c>
      <c r="H29" s="4"/>
    </row>
    <row r="30" spans="1:10" x14ac:dyDescent="0.25">
      <c r="A30" s="12">
        <f t="shared" si="0"/>
        <v>24</v>
      </c>
      <c r="B30" s="13" t="s">
        <v>613</v>
      </c>
      <c r="C30" s="14" t="s">
        <v>18</v>
      </c>
      <c r="D30" s="21" t="s">
        <v>573</v>
      </c>
      <c r="E30" s="16">
        <v>43690</v>
      </c>
      <c r="F30" s="17" t="s">
        <v>278</v>
      </c>
      <c r="G30" s="18">
        <v>1</v>
      </c>
      <c r="H30" s="4"/>
    </row>
    <row r="31" spans="1:10" x14ac:dyDescent="0.25">
      <c r="A31" s="12">
        <f t="shared" si="0"/>
        <v>25</v>
      </c>
      <c r="B31" s="13" t="s">
        <v>613</v>
      </c>
      <c r="C31" s="14" t="s">
        <v>18</v>
      </c>
      <c r="D31" s="21" t="s">
        <v>574</v>
      </c>
      <c r="E31" s="16">
        <v>43690</v>
      </c>
      <c r="F31" s="17" t="s">
        <v>278</v>
      </c>
      <c r="G31" s="18">
        <v>1</v>
      </c>
      <c r="H31" s="4"/>
    </row>
    <row r="32" spans="1:10" x14ac:dyDescent="0.25">
      <c r="A32" s="12">
        <f t="shared" si="0"/>
        <v>26</v>
      </c>
      <c r="B32" s="13" t="s">
        <v>613</v>
      </c>
      <c r="C32" s="14" t="s">
        <v>18</v>
      </c>
      <c r="D32" s="21" t="s">
        <v>575</v>
      </c>
      <c r="E32" s="16">
        <v>43690</v>
      </c>
      <c r="F32" s="17" t="s">
        <v>278</v>
      </c>
      <c r="G32" s="18">
        <v>1</v>
      </c>
      <c r="H32" s="4"/>
    </row>
    <row r="33" spans="1:7" x14ac:dyDescent="0.25">
      <c r="A33" s="12">
        <f t="shared" si="0"/>
        <v>27</v>
      </c>
      <c r="B33" s="13" t="s">
        <v>613</v>
      </c>
      <c r="C33" s="14" t="s">
        <v>18</v>
      </c>
      <c r="D33" s="21" t="s">
        <v>576</v>
      </c>
      <c r="E33" s="16">
        <v>43690</v>
      </c>
      <c r="F33" s="17" t="s">
        <v>278</v>
      </c>
      <c r="G33" s="18">
        <v>1</v>
      </c>
    </row>
    <row r="34" spans="1:7" x14ac:dyDescent="0.25">
      <c r="A34" s="12">
        <f t="shared" si="0"/>
        <v>28</v>
      </c>
      <c r="B34" s="13" t="s">
        <v>613</v>
      </c>
      <c r="C34" s="14" t="s">
        <v>18</v>
      </c>
      <c r="D34" s="21" t="s">
        <v>577</v>
      </c>
      <c r="E34" s="16">
        <v>43690</v>
      </c>
      <c r="F34" s="17" t="s">
        <v>278</v>
      </c>
      <c r="G34" s="18">
        <v>1</v>
      </c>
    </row>
    <row r="35" spans="1:7" x14ac:dyDescent="0.25">
      <c r="A35" s="12">
        <f t="shared" si="0"/>
        <v>29</v>
      </c>
      <c r="B35" s="13" t="s">
        <v>613</v>
      </c>
      <c r="C35" s="14" t="s">
        <v>18</v>
      </c>
      <c r="D35" s="21" t="s">
        <v>578</v>
      </c>
      <c r="E35" s="16">
        <v>43690</v>
      </c>
      <c r="F35" s="17" t="s">
        <v>278</v>
      </c>
      <c r="G35" s="18">
        <v>1</v>
      </c>
    </row>
    <row r="36" spans="1:7" x14ac:dyDescent="0.25">
      <c r="A36" s="12">
        <f t="shared" si="0"/>
        <v>30</v>
      </c>
      <c r="B36" s="13" t="s">
        <v>613</v>
      </c>
      <c r="C36" s="14" t="s">
        <v>18</v>
      </c>
      <c r="D36" s="21" t="s">
        <v>579</v>
      </c>
      <c r="E36" s="16">
        <v>43690</v>
      </c>
      <c r="F36" s="17" t="s">
        <v>278</v>
      </c>
      <c r="G36" s="18">
        <v>1</v>
      </c>
    </row>
    <row r="37" spans="1:7" x14ac:dyDescent="0.25">
      <c r="A37" s="12">
        <f t="shared" si="0"/>
        <v>31</v>
      </c>
      <c r="B37" s="13" t="s">
        <v>613</v>
      </c>
      <c r="C37" s="14" t="s">
        <v>18</v>
      </c>
      <c r="D37" s="15" t="s">
        <v>580</v>
      </c>
      <c r="E37" s="16">
        <v>43690</v>
      </c>
      <c r="F37" s="17" t="s">
        <v>278</v>
      </c>
      <c r="G37" s="18">
        <v>1</v>
      </c>
    </row>
    <row r="38" spans="1:7" x14ac:dyDescent="0.25">
      <c r="A38" s="12">
        <f t="shared" si="0"/>
        <v>32</v>
      </c>
      <c r="B38" s="13" t="s">
        <v>613</v>
      </c>
      <c r="C38" s="14" t="s">
        <v>18</v>
      </c>
      <c r="D38" s="15" t="s">
        <v>581</v>
      </c>
      <c r="E38" s="16">
        <v>43690</v>
      </c>
      <c r="F38" s="17" t="s">
        <v>278</v>
      </c>
      <c r="G38" s="18">
        <v>1</v>
      </c>
    </row>
    <row r="39" spans="1:7" x14ac:dyDescent="0.25">
      <c r="A39" s="12">
        <f t="shared" si="0"/>
        <v>33</v>
      </c>
      <c r="B39" s="13" t="s">
        <v>613</v>
      </c>
      <c r="C39" s="14" t="s">
        <v>18</v>
      </c>
      <c r="D39" s="15" t="s">
        <v>582</v>
      </c>
      <c r="E39" s="16">
        <v>43690</v>
      </c>
      <c r="F39" s="17" t="s">
        <v>278</v>
      </c>
      <c r="G39" s="18">
        <v>1</v>
      </c>
    </row>
    <row r="40" spans="1:7" x14ac:dyDescent="0.25">
      <c r="A40" s="12">
        <f t="shared" si="0"/>
        <v>34</v>
      </c>
      <c r="B40" s="13" t="s">
        <v>613</v>
      </c>
      <c r="C40" s="14" t="s">
        <v>18</v>
      </c>
      <c r="D40" s="15" t="s">
        <v>583</v>
      </c>
      <c r="E40" s="16">
        <v>43690</v>
      </c>
      <c r="F40" s="17" t="s">
        <v>278</v>
      </c>
      <c r="G40" s="18">
        <v>1</v>
      </c>
    </row>
    <row r="41" spans="1:7" x14ac:dyDescent="0.25">
      <c r="A41" s="12">
        <f t="shared" si="0"/>
        <v>35</v>
      </c>
      <c r="B41" s="13" t="s">
        <v>613</v>
      </c>
      <c r="C41" s="14" t="s">
        <v>18</v>
      </c>
      <c r="D41" s="15" t="s">
        <v>584</v>
      </c>
      <c r="E41" s="16">
        <v>43690</v>
      </c>
      <c r="F41" s="17" t="s">
        <v>278</v>
      </c>
      <c r="G41" s="18">
        <v>1</v>
      </c>
    </row>
    <row r="42" spans="1:7" x14ac:dyDescent="0.25">
      <c r="A42" s="12">
        <f t="shared" si="0"/>
        <v>36</v>
      </c>
      <c r="B42" s="13" t="s">
        <v>613</v>
      </c>
      <c r="C42" s="14" t="s">
        <v>18</v>
      </c>
      <c r="D42" s="15" t="s">
        <v>585</v>
      </c>
      <c r="E42" s="16">
        <v>43690</v>
      </c>
      <c r="F42" s="17" t="s">
        <v>278</v>
      </c>
      <c r="G42" s="18">
        <v>1</v>
      </c>
    </row>
    <row r="43" spans="1:7" x14ac:dyDescent="0.25">
      <c r="A43" s="12">
        <f t="shared" si="0"/>
        <v>37</v>
      </c>
      <c r="B43" s="13" t="s">
        <v>613</v>
      </c>
      <c r="C43" s="14" t="s">
        <v>18</v>
      </c>
      <c r="D43" s="15" t="s">
        <v>586</v>
      </c>
      <c r="E43" s="16">
        <v>43690</v>
      </c>
      <c r="F43" s="17" t="s">
        <v>278</v>
      </c>
      <c r="G43" s="18">
        <v>1</v>
      </c>
    </row>
    <row r="44" spans="1:7" x14ac:dyDescent="0.25">
      <c r="A44" s="12">
        <f t="shared" si="0"/>
        <v>38</v>
      </c>
      <c r="B44" s="13" t="s">
        <v>613</v>
      </c>
      <c r="C44" s="14" t="s">
        <v>18</v>
      </c>
      <c r="D44" s="15" t="s">
        <v>587</v>
      </c>
      <c r="E44" s="16">
        <v>43690</v>
      </c>
      <c r="F44" s="17" t="s">
        <v>278</v>
      </c>
      <c r="G44" s="18">
        <v>1</v>
      </c>
    </row>
    <row r="45" spans="1:7" x14ac:dyDescent="0.25">
      <c r="A45" s="12">
        <f t="shared" si="0"/>
        <v>39</v>
      </c>
      <c r="B45" s="13" t="s">
        <v>613</v>
      </c>
      <c r="C45" s="14" t="s">
        <v>18</v>
      </c>
      <c r="D45" s="15" t="s">
        <v>588</v>
      </c>
      <c r="E45" s="16">
        <v>43690</v>
      </c>
      <c r="F45" s="17" t="s">
        <v>278</v>
      </c>
      <c r="G45" s="18">
        <v>1</v>
      </c>
    </row>
    <row r="46" spans="1:7" x14ac:dyDescent="0.25">
      <c r="A46" s="12">
        <f t="shared" si="0"/>
        <v>40</v>
      </c>
      <c r="B46" s="13" t="s">
        <v>613</v>
      </c>
      <c r="C46" s="14" t="s">
        <v>18</v>
      </c>
      <c r="D46" s="15" t="s">
        <v>589</v>
      </c>
      <c r="E46" s="16">
        <v>43690</v>
      </c>
      <c r="F46" s="17" t="s">
        <v>278</v>
      </c>
      <c r="G46" s="18">
        <v>1</v>
      </c>
    </row>
    <row r="47" spans="1:7" x14ac:dyDescent="0.25">
      <c r="A47" s="12">
        <f t="shared" si="0"/>
        <v>41</v>
      </c>
      <c r="B47" s="13" t="s">
        <v>613</v>
      </c>
      <c r="C47" s="14" t="s">
        <v>18</v>
      </c>
      <c r="D47" s="15" t="s">
        <v>590</v>
      </c>
      <c r="E47" s="16">
        <v>43690</v>
      </c>
      <c r="F47" s="17" t="s">
        <v>278</v>
      </c>
      <c r="G47" s="18">
        <v>1</v>
      </c>
    </row>
    <row r="48" spans="1:7" x14ac:dyDescent="0.25">
      <c r="A48" s="12">
        <f t="shared" si="0"/>
        <v>42</v>
      </c>
      <c r="B48" s="13" t="s">
        <v>613</v>
      </c>
      <c r="C48" s="14" t="s">
        <v>18</v>
      </c>
      <c r="D48" s="15" t="s">
        <v>591</v>
      </c>
      <c r="E48" s="16">
        <v>43690</v>
      </c>
      <c r="F48" s="17" t="s">
        <v>278</v>
      </c>
      <c r="G48" s="18">
        <v>1</v>
      </c>
    </row>
    <row r="49" spans="1:8" x14ac:dyDescent="0.25">
      <c r="A49" s="12">
        <f t="shared" si="0"/>
        <v>43</v>
      </c>
      <c r="B49" s="13" t="s">
        <v>613</v>
      </c>
      <c r="C49" s="14" t="s">
        <v>18</v>
      </c>
      <c r="D49" s="15" t="s">
        <v>592</v>
      </c>
      <c r="E49" s="16">
        <v>43690</v>
      </c>
      <c r="F49" s="17" t="s">
        <v>278</v>
      </c>
      <c r="G49" s="18">
        <v>1</v>
      </c>
    </row>
    <row r="50" spans="1:8" x14ac:dyDescent="0.25">
      <c r="A50" s="12">
        <f t="shared" si="0"/>
        <v>44</v>
      </c>
      <c r="B50" s="13" t="s">
        <v>613</v>
      </c>
      <c r="C50" s="14" t="s">
        <v>18</v>
      </c>
      <c r="D50" s="15" t="s">
        <v>593</v>
      </c>
      <c r="E50" s="16">
        <v>43690</v>
      </c>
      <c r="F50" s="17" t="s">
        <v>278</v>
      </c>
      <c r="G50" s="18">
        <v>1</v>
      </c>
    </row>
    <row r="51" spans="1:8" x14ac:dyDescent="0.25">
      <c r="A51" s="12">
        <f t="shared" si="0"/>
        <v>45</v>
      </c>
      <c r="B51" s="13" t="s">
        <v>613</v>
      </c>
      <c r="C51" s="14" t="s">
        <v>18</v>
      </c>
      <c r="D51" s="15" t="s">
        <v>594</v>
      </c>
      <c r="E51" s="16">
        <v>43690</v>
      </c>
      <c r="F51" s="17" t="s">
        <v>278</v>
      </c>
      <c r="G51" s="18">
        <v>1</v>
      </c>
    </row>
    <row r="52" spans="1:8" x14ac:dyDescent="0.25">
      <c r="A52" s="12">
        <f t="shared" si="0"/>
        <v>46</v>
      </c>
      <c r="B52" s="13" t="s">
        <v>613</v>
      </c>
      <c r="C52" s="14" t="s">
        <v>18</v>
      </c>
      <c r="D52" s="15" t="s">
        <v>595</v>
      </c>
      <c r="E52" s="16">
        <v>43690</v>
      </c>
      <c r="F52" s="17" t="s">
        <v>278</v>
      </c>
      <c r="G52" s="18">
        <v>1</v>
      </c>
    </row>
    <row r="53" spans="1:8" x14ac:dyDescent="0.25">
      <c r="A53" s="12">
        <f t="shared" si="0"/>
        <v>47</v>
      </c>
      <c r="B53" s="13" t="s">
        <v>613</v>
      </c>
      <c r="C53" s="14" t="s">
        <v>18</v>
      </c>
      <c r="D53" s="15" t="s">
        <v>596</v>
      </c>
      <c r="E53" s="16">
        <v>43690</v>
      </c>
      <c r="F53" s="17" t="s">
        <v>278</v>
      </c>
      <c r="G53" s="18">
        <v>1</v>
      </c>
    </row>
    <row r="54" spans="1:8" x14ac:dyDescent="0.25">
      <c r="A54" s="12">
        <f t="shared" si="0"/>
        <v>48</v>
      </c>
      <c r="B54" s="13" t="s">
        <v>613</v>
      </c>
      <c r="C54" s="14" t="s">
        <v>18</v>
      </c>
      <c r="D54" s="15" t="s">
        <v>597</v>
      </c>
      <c r="E54" s="16">
        <v>43690</v>
      </c>
      <c r="F54" s="17" t="s">
        <v>278</v>
      </c>
      <c r="G54" s="18">
        <v>1</v>
      </c>
    </row>
    <row r="55" spans="1:8" x14ac:dyDescent="0.25">
      <c r="A55" s="12">
        <f t="shared" si="0"/>
        <v>49</v>
      </c>
      <c r="B55" s="13" t="s">
        <v>613</v>
      </c>
      <c r="C55" s="14" t="s">
        <v>18</v>
      </c>
      <c r="D55" s="15" t="s">
        <v>598</v>
      </c>
      <c r="E55" s="16">
        <v>43690</v>
      </c>
      <c r="F55" s="17" t="s">
        <v>278</v>
      </c>
      <c r="G55" s="18">
        <v>1</v>
      </c>
    </row>
    <row r="56" spans="1:8" x14ac:dyDescent="0.25">
      <c r="A56" s="12">
        <f t="shared" si="0"/>
        <v>50</v>
      </c>
      <c r="B56" s="16" t="s">
        <v>901</v>
      </c>
      <c r="C56" s="14" t="s">
        <v>18</v>
      </c>
      <c r="D56" s="15" t="s">
        <v>599</v>
      </c>
      <c r="E56" s="16">
        <v>43690</v>
      </c>
      <c r="F56" s="17" t="s">
        <v>608</v>
      </c>
      <c r="G56" s="18">
        <v>1</v>
      </c>
      <c r="H56" t="s">
        <v>609</v>
      </c>
    </row>
    <row r="57" spans="1:8" x14ac:dyDescent="0.25">
      <c r="A57" s="12">
        <f t="shared" si="0"/>
        <v>51</v>
      </c>
      <c r="B57" s="16"/>
      <c r="C57" s="14"/>
      <c r="D57" s="15"/>
      <c r="E57" s="16"/>
      <c r="F57" s="17"/>
      <c r="G57" s="18">
        <v>1</v>
      </c>
    </row>
    <row r="58" spans="1:8" x14ac:dyDescent="0.25">
      <c r="A58" s="12">
        <f t="shared" si="0"/>
        <v>52</v>
      </c>
      <c r="B58" s="16"/>
      <c r="C58" s="14"/>
      <c r="D58" s="15"/>
      <c r="E58" s="16"/>
      <c r="F58" s="17"/>
      <c r="G58" s="18">
        <v>1</v>
      </c>
    </row>
    <row r="59" spans="1:8" x14ac:dyDescent="0.25">
      <c r="A59" s="12">
        <f t="shared" si="0"/>
        <v>53</v>
      </c>
      <c r="B59" s="16"/>
      <c r="C59" s="14"/>
      <c r="D59" s="15"/>
      <c r="E59" s="16"/>
      <c r="F59" s="17"/>
      <c r="G59" s="18">
        <v>1</v>
      </c>
    </row>
    <row r="60" spans="1:8" x14ac:dyDescent="0.25">
      <c r="A60" s="12">
        <f t="shared" si="0"/>
        <v>54</v>
      </c>
      <c r="B60" s="16"/>
      <c r="C60" s="14"/>
      <c r="D60" s="15"/>
      <c r="E60" s="16"/>
      <c r="F60" s="17"/>
      <c r="G60" s="18">
        <v>1</v>
      </c>
    </row>
    <row r="61" spans="1:8" x14ac:dyDescent="0.25">
      <c r="A61" s="12">
        <f t="shared" si="0"/>
        <v>55</v>
      </c>
      <c r="B61" s="16"/>
      <c r="C61" s="14"/>
      <c r="D61" s="15"/>
      <c r="E61" s="16"/>
      <c r="F61" s="17"/>
      <c r="G61" s="18">
        <v>1</v>
      </c>
    </row>
    <row r="62" spans="1:8" x14ac:dyDescent="0.25">
      <c r="A62" s="12">
        <f t="shared" si="0"/>
        <v>56</v>
      </c>
      <c r="B62" s="16"/>
      <c r="C62" s="14"/>
      <c r="D62" s="15"/>
      <c r="E62" s="16"/>
      <c r="F62" s="17"/>
      <c r="G62" s="18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B10" sqref="B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21.28515625" customWidth="1"/>
    <col min="7" max="7" width="9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2" t="s">
        <v>2</v>
      </c>
      <c r="B2" s="32"/>
      <c r="C2" s="32"/>
      <c r="D2" s="2"/>
      <c r="E2" s="5" t="s">
        <v>3</v>
      </c>
      <c r="F2" s="5"/>
      <c r="G2" s="3"/>
      <c r="H2" s="3"/>
      <c r="I2" s="29" t="s">
        <v>4</v>
      </c>
      <c r="J2" s="30"/>
      <c r="K2" s="6">
        <f>SUMIF(F7:F127,"Elimination*",G7:G127)</f>
        <v>0</v>
      </c>
    </row>
    <row r="3" spans="1:11" x14ac:dyDescent="0.25">
      <c r="A3" s="33" t="s">
        <v>5</v>
      </c>
      <c r="B3" s="33"/>
      <c r="C3" s="33"/>
      <c r="D3" s="5"/>
      <c r="E3" s="3" t="s">
        <v>6</v>
      </c>
      <c r="F3" s="3"/>
      <c r="G3" s="3"/>
      <c r="H3" s="3"/>
      <c r="I3" s="29" t="s">
        <v>7</v>
      </c>
      <c r="J3" s="30"/>
      <c r="K3" s="6">
        <f>SUMIF(F7:F127,"NB*",G7:G127)</f>
        <v>1</v>
      </c>
    </row>
    <row r="4" spans="1:11" ht="18" x14ac:dyDescent="0.25">
      <c r="A4" s="31" t="s">
        <v>8</v>
      </c>
      <c r="B4" s="31"/>
      <c r="C4" s="31"/>
      <c r="D4" s="31"/>
      <c r="E4" s="31"/>
      <c r="F4" s="31"/>
      <c r="G4" s="3"/>
      <c r="H4" s="3"/>
      <c r="I4" s="29" t="s">
        <v>9</v>
      </c>
      <c r="J4" s="30"/>
      <c r="K4" s="6">
        <f>SUMIF(F7:F127,"Ve*",G7:G127)</f>
        <v>0</v>
      </c>
    </row>
    <row r="5" spans="1:11" ht="15.75" x14ac:dyDescent="0.25">
      <c r="A5" s="28" t="s">
        <v>612</v>
      </c>
      <c r="B5" s="28"/>
      <c r="C5" s="28"/>
      <c r="D5" s="28"/>
      <c r="E5" s="28"/>
      <c r="F5" s="28"/>
      <c r="G5" s="7"/>
      <c r="H5" s="7"/>
      <c r="I5" s="29" t="s">
        <v>10</v>
      </c>
      <c r="J5" s="30"/>
      <c r="K5" s="8">
        <f>SUM(K2:K4)</f>
        <v>1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902</v>
      </c>
      <c r="C7" s="14" t="s">
        <v>24</v>
      </c>
      <c r="D7" s="15" t="s">
        <v>610</v>
      </c>
      <c r="E7" s="16">
        <v>43710</v>
      </c>
      <c r="F7" s="17" t="s">
        <v>218</v>
      </c>
      <c r="G7" s="18">
        <v>1</v>
      </c>
      <c r="H7" s="19" t="s">
        <v>611</v>
      </c>
      <c r="I7" s="20"/>
      <c r="J7" s="20"/>
      <c r="K7" s="4"/>
    </row>
    <row r="8" spans="1:11" ht="15" customHeight="1" x14ac:dyDescent="0.25">
      <c r="A8" s="12">
        <f>+A7+1</f>
        <v>2</v>
      </c>
      <c r="B8" s="13"/>
      <c r="C8" s="14"/>
      <c r="D8" s="15"/>
      <c r="E8" s="16"/>
      <c r="F8" s="17"/>
      <c r="G8" s="18">
        <v>1</v>
      </c>
      <c r="H8" s="19"/>
      <c r="I8" s="22"/>
      <c r="J8" s="22"/>
      <c r="K8" s="4"/>
    </row>
    <row r="9" spans="1:11" ht="15" customHeight="1" x14ac:dyDescent="0.25">
      <c r="A9" s="12">
        <f t="shared" ref="A9:A36" si="0">+A8+1</f>
        <v>3</v>
      </c>
      <c r="B9" s="13"/>
      <c r="C9" s="14"/>
      <c r="D9" s="15"/>
      <c r="E9" s="16"/>
      <c r="F9" s="17"/>
      <c r="G9" s="18">
        <v>1</v>
      </c>
      <c r="H9" s="19"/>
      <c r="I9" s="22"/>
      <c r="J9" s="22"/>
      <c r="K9" s="4"/>
    </row>
    <row r="10" spans="1:11" ht="15" customHeight="1" x14ac:dyDescent="0.25">
      <c r="A10" s="12">
        <f t="shared" si="0"/>
        <v>4</v>
      </c>
      <c r="B10" s="13"/>
      <c r="C10" s="14"/>
      <c r="D10" s="15"/>
      <c r="E10" s="16"/>
      <c r="F10" s="17"/>
      <c r="G10" s="18">
        <v>1</v>
      </c>
      <c r="H10" s="19"/>
      <c r="I10" s="22"/>
      <c r="J10" s="22"/>
      <c r="K10" s="4"/>
    </row>
    <row r="11" spans="1:11" ht="15" customHeight="1" x14ac:dyDescent="0.25">
      <c r="A11" s="12">
        <f t="shared" si="0"/>
        <v>5</v>
      </c>
      <c r="B11" s="13"/>
      <c r="C11" s="14"/>
      <c r="D11" s="15"/>
      <c r="E11" s="16"/>
      <c r="F11" s="17"/>
      <c r="G11" s="18">
        <v>1</v>
      </c>
      <c r="H11" s="19"/>
      <c r="I11" s="22"/>
      <c r="J11" s="22"/>
      <c r="K11" s="4"/>
    </row>
    <row r="12" spans="1:11" ht="15" customHeight="1" x14ac:dyDescent="0.25">
      <c r="A12" s="12">
        <f t="shared" si="0"/>
        <v>6</v>
      </c>
      <c r="B12" s="13"/>
      <c r="C12" s="14"/>
      <c r="D12" s="15"/>
      <c r="E12" s="16"/>
      <c r="F12" s="17"/>
      <c r="G12" s="18">
        <v>1</v>
      </c>
      <c r="H12" s="19"/>
      <c r="I12" s="22"/>
      <c r="J12" s="22"/>
      <c r="K12" s="4"/>
    </row>
    <row r="13" spans="1:11" ht="15" customHeight="1" x14ac:dyDescent="0.25">
      <c r="A13" s="12">
        <f t="shared" si="0"/>
        <v>7</v>
      </c>
      <c r="B13" s="13"/>
      <c r="C13" s="14"/>
      <c r="D13" s="15"/>
      <c r="E13" s="16"/>
      <c r="F13" s="17"/>
      <c r="G13" s="18">
        <v>1</v>
      </c>
      <c r="H13" s="19"/>
      <c r="I13" s="22"/>
      <c r="J13" s="22"/>
      <c r="K13" s="4"/>
    </row>
    <row r="14" spans="1:11" ht="15" customHeight="1" x14ac:dyDescent="0.25">
      <c r="A14" s="12">
        <f t="shared" si="0"/>
        <v>8</v>
      </c>
      <c r="B14" s="13"/>
      <c r="C14" s="14"/>
      <c r="D14" s="15"/>
      <c r="E14" s="16"/>
      <c r="F14" s="17"/>
      <c r="G14" s="18">
        <v>1</v>
      </c>
      <c r="H14" s="19"/>
      <c r="I14" s="22"/>
      <c r="J14" s="22"/>
      <c r="K14" s="4"/>
    </row>
    <row r="15" spans="1:11" ht="15" customHeight="1" x14ac:dyDescent="0.25">
      <c r="A15" s="12">
        <f t="shared" si="0"/>
        <v>9</v>
      </c>
      <c r="B15" s="13"/>
      <c r="C15" s="14"/>
      <c r="D15" s="15"/>
      <c r="E15" s="16"/>
      <c r="F15" s="17"/>
      <c r="G15" s="18">
        <v>1</v>
      </c>
      <c r="H15" s="23"/>
      <c r="I15" s="22"/>
      <c r="J15" s="22"/>
    </row>
    <row r="16" spans="1:11" ht="15" customHeight="1" x14ac:dyDescent="0.25">
      <c r="A16" s="12">
        <f t="shared" si="0"/>
        <v>10</v>
      </c>
      <c r="B16" s="13"/>
      <c r="C16" s="14"/>
      <c r="D16" s="15"/>
      <c r="E16" s="16"/>
      <c r="F16" s="17"/>
      <c r="G16" s="18">
        <v>1</v>
      </c>
      <c r="H16" s="19"/>
      <c r="I16" s="22"/>
      <c r="J16" s="22"/>
    </row>
    <row r="17" spans="1:10" ht="15" customHeight="1" x14ac:dyDescent="0.25">
      <c r="A17" s="12">
        <f t="shared" si="0"/>
        <v>11</v>
      </c>
      <c r="B17" s="13"/>
      <c r="C17" s="14"/>
      <c r="D17" s="21"/>
      <c r="E17" s="16"/>
      <c r="F17" s="17"/>
      <c r="G17" s="18">
        <v>1</v>
      </c>
      <c r="H17" s="23"/>
      <c r="I17" s="22"/>
      <c r="J17" s="22"/>
    </row>
    <row r="18" spans="1:10" ht="15" customHeight="1" x14ac:dyDescent="0.25">
      <c r="A18" s="12">
        <f t="shared" si="0"/>
        <v>12</v>
      </c>
      <c r="B18" s="13"/>
      <c r="C18" s="14"/>
      <c r="D18" s="21"/>
      <c r="E18" s="16"/>
      <c r="F18" s="17"/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3"/>
      <c r="C19" s="14"/>
      <c r="D19" s="21"/>
      <c r="E19" s="16"/>
      <c r="F19" s="17"/>
      <c r="G19" s="18">
        <v>1</v>
      </c>
      <c r="I19" s="22"/>
      <c r="J19" s="22"/>
    </row>
    <row r="20" spans="1:10" ht="15" customHeight="1" x14ac:dyDescent="0.25">
      <c r="A20" s="12">
        <f t="shared" si="0"/>
        <v>14</v>
      </c>
      <c r="B20" s="13"/>
      <c r="C20" s="14"/>
      <c r="D20" s="21"/>
      <c r="E20" s="16"/>
      <c r="F20" s="17"/>
      <c r="G20" s="18">
        <v>1</v>
      </c>
      <c r="H20" s="23"/>
      <c r="I20" s="22"/>
      <c r="J20" s="22"/>
    </row>
    <row r="21" spans="1:10" ht="15" customHeight="1" x14ac:dyDescent="0.25">
      <c r="A21" s="12">
        <f t="shared" si="0"/>
        <v>15</v>
      </c>
      <c r="B21" s="13"/>
      <c r="C21" s="14"/>
      <c r="D21" s="21"/>
      <c r="E21" s="16"/>
      <c r="F21" s="17"/>
      <c r="G21" s="18">
        <v>1</v>
      </c>
      <c r="H21" s="4"/>
      <c r="I21" s="22"/>
      <c r="J21" s="22"/>
    </row>
    <row r="22" spans="1:10" ht="15" customHeight="1" x14ac:dyDescent="0.25">
      <c r="A22" s="12">
        <f t="shared" si="0"/>
        <v>16</v>
      </c>
      <c r="B22" s="13"/>
      <c r="C22" s="14"/>
      <c r="D22" s="21"/>
      <c r="E22" s="16"/>
      <c r="F22" s="17"/>
      <c r="G22" s="18">
        <v>1</v>
      </c>
      <c r="I22" s="22"/>
      <c r="J22" s="22"/>
    </row>
    <row r="23" spans="1:10" ht="15" customHeight="1" x14ac:dyDescent="0.25">
      <c r="A23" s="12">
        <f t="shared" si="0"/>
        <v>17</v>
      </c>
      <c r="B23" s="13"/>
      <c r="C23" s="14"/>
      <c r="D23" s="21"/>
      <c r="E23" s="16"/>
      <c r="F23" s="17"/>
      <c r="G23" s="18">
        <v>1</v>
      </c>
      <c r="I23" s="22"/>
      <c r="J23" s="22"/>
    </row>
    <row r="24" spans="1:10" ht="15" customHeight="1" x14ac:dyDescent="0.25">
      <c r="A24" s="12">
        <f t="shared" si="0"/>
        <v>18</v>
      </c>
      <c r="B24" s="13"/>
      <c r="C24" s="14"/>
      <c r="D24" s="21"/>
      <c r="E24" s="16"/>
      <c r="F24" s="17"/>
      <c r="G24" s="18">
        <v>1</v>
      </c>
      <c r="I24" s="22"/>
      <c r="J24" s="22"/>
    </row>
    <row r="25" spans="1:10" ht="15" customHeight="1" x14ac:dyDescent="0.25">
      <c r="A25" s="12">
        <f t="shared" si="0"/>
        <v>19</v>
      </c>
      <c r="B25" s="13"/>
      <c r="C25" s="14"/>
      <c r="D25" s="21"/>
      <c r="E25" s="16"/>
      <c r="F25" s="17"/>
      <c r="G25" s="18">
        <v>1</v>
      </c>
      <c r="I25" s="22"/>
      <c r="J25" s="22"/>
    </row>
    <row r="26" spans="1:10" ht="15" customHeight="1" x14ac:dyDescent="0.25">
      <c r="A26" s="12">
        <f t="shared" si="0"/>
        <v>20</v>
      </c>
      <c r="B26" s="13"/>
      <c r="C26" s="14"/>
      <c r="D26" s="21"/>
      <c r="E26" s="16"/>
      <c r="F26" s="17"/>
      <c r="G26" s="18">
        <v>1</v>
      </c>
      <c r="I26" s="22"/>
      <c r="J26" s="22"/>
    </row>
    <row r="27" spans="1:10" ht="15" customHeight="1" x14ac:dyDescent="0.25">
      <c r="A27" s="12">
        <f t="shared" si="0"/>
        <v>21</v>
      </c>
      <c r="B27" s="13"/>
      <c r="C27" s="14"/>
      <c r="D27" s="21"/>
      <c r="E27" s="16"/>
      <c r="F27" s="17"/>
      <c r="G27" s="18">
        <v>1</v>
      </c>
      <c r="I27" s="22"/>
      <c r="J27" s="22"/>
    </row>
    <row r="28" spans="1:10" x14ac:dyDescent="0.25">
      <c r="A28" s="12">
        <f t="shared" si="0"/>
        <v>22</v>
      </c>
      <c r="B28" s="13"/>
      <c r="C28" s="14"/>
      <c r="D28" s="21"/>
      <c r="E28" s="16"/>
      <c r="F28" s="17"/>
      <c r="G28" s="18">
        <v>1</v>
      </c>
    </row>
    <row r="29" spans="1:10" x14ac:dyDescent="0.25">
      <c r="A29" s="12">
        <f t="shared" si="0"/>
        <v>23</v>
      </c>
      <c r="B29" s="13"/>
      <c r="C29" s="14"/>
      <c r="D29" s="21"/>
      <c r="E29" s="16"/>
      <c r="F29" s="17"/>
      <c r="G29" s="18">
        <v>1</v>
      </c>
      <c r="H29" s="4"/>
    </row>
    <row r="30" spans="1:10" x14ac:dyDescent="0.25">
      <c r="A30" s="12">
        <f t="shared" si="0"/>
        <v>24</v>
      </c>
      <c r="B30" s="13"/>
      <c r="C30" s="14"/>
      <c r="D30" s="21"/>
      <c r="E30" s="16"/>
      <c r="F30" s="17"/>
      <c r="G30" s="18">
        <v>1</v>
      </c>
      <c r="H30" s="4"/>
    </row>
    <row r="31" spans="1:10" x14ac:dyDescent="0.25">
      <c r="A31" s="12">
        <f t="shared" si="0"/>
        <v>25</v>
      </c>
      <c r="B31" s="13"/>
      <c r="C31" s="14"/>
      <c r="D31" s="21"/>
      <c r="E31" s="16"/>
      <c r="F31" s="17"/>
      <c r="G31" s="18">
        <v>1</v>
      </c>
      <c r="H31" s="4"/>
    </row>
    <row r="32" spans="1:10" x14ac:dyDescent="0.25">
      <c r="A32" s="12">
        <f t="shared" si="0"/>
        <v>26</v>
      </c>
      <c r="B32" s="13"/>
      <c r="C32" s="14"/>
      <c r="D32" s="21"/>
      <c r="E32" s="16"/>
      <c r="F32" s="17"/>
      <c r="G32" s="18">
        <v>1</v>
      </c>
      <c r="H32" s="4"/>
    </row>
    <row r="33" spans="1:7" x14ac:dyDescent="0.25">
      <c r="A33" s="12">
        <f t="shared" si="0"/>
        <v>27</v>
      </c>
      <c r="B33" s="13"/>
      <c r="C33" s="14"/>
      <c r="D33" s="21"/>
      <c r="E33" s="16"/>
      <c r="F33" s="17"/>
      <c r="G33" s="18">
        <v>1</v>
      </c>
    </row>
    <row r="34" spans="1:7" x14ac:dyDescent="0.25">
      <c r="A34" s="12">
        <f t="shared" si="0"/>
        <v>28</v>
      </c>
      <c r="B34" s="13"/>
      <c r="C34" s="14"/>
      <c r="D34" s="21"/>
      <c r="E34" s="16"/>
      <c r="F34" s="17"/>
      <c r="G34" s="18">
        <v>1</v>
      </c>
    </row>
    <row r="35" spans="1:7" x14ac:dyDescent="0.25">
      <c r="A35" s="12">
        <f t="shared" si="0"/>
        <v>29</v>
      </c>
      <c r="B35" s="13"/>
      <c r="C35" s="14"/>
      <c r="D35" s="21"/>
      <c r="E35" s="16"/>
      <c r="F35" s="17"/>
      <c r="G35" s="18">
        <v>1</v>
      </c>
    </row>
    <row r="36" spans="1:7" x14ac:dyDescent="0.25">
      <c r="A36" s="12">
        <f t="shared" si="0"/>
        <v>30</v>
      </c>
      <c r="B36" s="13"/>
      <c r="C36" s="14"/>
      <c r="D36" s="21"/>
      <c r="E36" s="16"/>
      <c r="F36" s="17"/>
      <c r="G36" s="18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opLeftCell="A49" workbookViewId="0">
      <selection activeCell="B67" sqref="B67"/>
    </sheetView>
  </sheetViews>
  <sheetFormatPr baseColWidth="10" defaultColWidth="11.42578125" defaultRowHeight="15" x14ac:dyDescent="0.25"/>
  <cols>
    <col min="1" max="1" width="8.85546875" bestFit="1" customWidth="1"/>
    <col min="2" max="2" width="15" customWidth="1"/>
    <col min="5" max="5" width="10.85546875" customWidth="1"/>
    <col min="6" max="6" width="21.28515625" customWidth="1"/>
    <col min="7" max="7" width="4.710937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2" t="s">
        <v>2</v>
      </c>
      <c r="B2" s="32"/>
      <c r="C2" s="32"/>
      <c r="D2" s="2"/>
      <c r="E2" s="5" t="s">
        <v>3</v>
      </c>
      <c r="F2" s="5"/>
      <c r="G2" s="3"/>
      <c r="H2" s="3"/>
      <c r="I2" s="29" t="s">
        <v>4</v>
      </c>
      <c r="J2" s="30"/>
      <c r="K2" s="6">
        <f>SUMIF(F7:F82,"Elimination*",G7:G82)</f>
        <v>5</v>
      </c>
    </row>
    <row r="3" spans="1:11" x14ac:dyDescent="0.25">
      <c r="A3" s="33" t="s">
        <v>5</v>
      </c>
      <c r="B3" s="33"/>
      <c r="C3" s="33"/>
      <c r="D3" s="5"/>
      <c r="E3" s="3" t="s">
        <v>6</v>
      </c>
      <c r="F3" s="3"/>
      <c r="G3" s="3"/>
      <c r="H3" s="3"/>
      <c r="I3" s="29" t="s">
        <v>7</v>
      </c>
      <c r="J3" s="30"/>
      <c r="K3" s="6">
        <f>SUMIF(F7:F82,"NB*",G7:G82)</f>
        <v>3</v>
      </c>
    </row>
    <row r="4" spans="1:11" ht="18" x14ac:dyDescent="0.25">
      <c r="A4" s="31" t="s">
        <v>8</v>
      </c>
      <c r="B4" s="31"/>
      <c r="C4" s="31"/>
      <c r="D4" s="31"/>
      <c r="E4" s="31"/>
      <c r="F4" s="31"/>
      <c r="G4" s="3"/>
      <c r="H4" s="3"/>
      <c r="I4" s="29" t="s">
        <v>9</v>
      </c>
      <c r="J4" s="30"/>
      <c r="K4" s="6">
        <f>SUMIF(F7:F82,"Ve*",G7:G82)</f>
        <v>54</v>
      </c>
    </row>
    <row r="5" spans="1:11" ht="15.75" x14ac:dyDescent="0.25">
      <c r="A5" s="28" t="s">
        <v>677</v>
      </c>
      <c r="B5" s="28"/>
      <c r="C5" s="28"/>
      <c r="D5" s="28"/>
      <c r="E5" s="28"/>
      <c r="F5" s="28"/>
      <c r="G5" s="7"/>
      <c r="H5" s="7"/>
      <c r="I5" s="29" t="s">
        <v>10</v>
      </c>
      <c r="J5" s="30"/>
      <c r="K5" s="8">
        <f>SUM(K2:K4)</f>
        <v>62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613</v>
      </c>
      <c r="C7" s="14" t="s">
        <v>18</v>
      </c>
      <c r="D7" s="15" t="s">
        <v>624</v>
      </c>
      <c r="E7" s="16">
        <v>43753</v>
      </c>
      <c r="F7" s="17" t="s">
        <v>41</v>
      </c>
      <c r="G7" s="18">
        <v>1</v>
      </c>
      <c r="H7" s="19"/>
      <c r="I7" s="22"/>
      <c r="J7" s="22"/>
      <c r="K7" s="4"/>
    </row>
    <row r="8" spans="1:11" ht="15" customHeight="1" x14ac:dyDescent="0.25">
      <c r="A8" s="12">
        <f t="shared" ref="A8:A68" si="0">+A7+1</f>
        <v>2</v>
      </c>
      <c r="B8" s="13" t="s">
        <v>613</v>
      </c>
      <c r="C8" s="14" t="s">
        <v>18</v>
      </c>
      <c r="D8" s="15" t="s">
        <v>623</v>
      </c>
      <c r="E8" s="16">
        <v>43753</v>
      </c>
      <c r="F8" s="17" t="s">
        <v>41</v>
      </c>
      <c r="G8" s="18">
        <v>1</v>
      </c>
      <c r="H8" s="19"/>
      <c r="I8" s="22"/>
      <c r="J8" s="22"/>
      <c r="K8" s="4"/>
    </row>
    <row r="9" spans="1:11" ht="15" customHeight="1" x14ac:dyDescent="0.25">
      <c r="A9" s="12">
        <f t="shared" si="0"/>
        <v>3</v>
      </c>
      <c r="B9" s="13" t="s">
        <v>613</v>
      </c>
      <c r="C9" s="14" t="s">
        <v>18</v>
      </c>
      <c r="D9" s="15" t="s">
        <v>619</v>
      </c>
      <c r="E9" s="16">
        <v>43753</v>
      </c>
      <c r="F9" s="17" t="s">
        <v>41</v>
      </c>
      <c r="G9" s="18">
        <v>1</v>
      </c>
      <c r="H9" s="19"/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613</v>
      </c>
      <c r="C10" s="14" t="s">
        <v>18</v>
      </c>
      <c r="D10" s="15" t="s">
        <v>618</v>
      </c>
      <c r="E10" s="16">
        <v>43753</v>
      </c>
      <c r="F10" s="17" t="s">
        <v>41</v>
      </c>
      <c r="G10" s="18">
        <v>1</v>
      </c>
      <c r="H10" s="19"/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613</v>
      </c>
      <c r="C11" s="14" t="s">
        <v>18</v>
      </c>
      <c r="D11" s="15" t="s">
        <v>617</v>
      </c>
      <c r="E11" s="16">
        <v>43753</v>
      </c>
      <c r="F11" s="17" t="s">
        <v>41</v>
      </c>
      <c r="G11" s="18">
        <v>1</v>
      </c>
      <c r="H11" s="19"/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613</v>
      </c>
      <c r="C12" s="14" t="s">
        <v>18</v>
      </c>
      <c r="D12" s="15" t="s">
        <v>615</v>
      </c>
      <c r="E12" s="16">
        <v>43753</v>
      </c>
      <c r="F12" s="17" t="s">
        <v>41</v>
      </c>
      <c r="G12" s="18">
        <v>1</v>
      </c>
      <c r="H12" s="19"/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613</v>
      </c>
      <c r="C13" s="14" t="s">
        <v>18</v>
      </c>
      <c r="D13" s="15" t="s">
        <v>614</v>
      </c>
      <c r="E13" s="16">
        <v>43753</v>
      </c>
      <c r="F13" s="17" t="s">
        <v>41</v>
      </c>
      <c r="G13" s="18">
        <v>1</v>
      </c>
      <c r="H13" s="19"/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613</v>
      </c>
      <c r="C14" s="14" t="s">
        <v>18</v>
      </c>
      <c r="D14" s="15" t="s">
        <v>620</v>
      </c>
      <c r="E14" s="16">
        <v>43753</v>
      </c>
      <c r="F14" s="17" t="s">
        <v>41</v>
      </c>
      <c r="G14" s="18">
        <v>1</v>
      </c>
      <c r="H14" s="23"/>
      <c r="I14" s="22"/>
      <c r="J14" s="22"/>
    </row>
    <row r="15" spans="1:11" ht="15" customHeight="1" x14ac:dyDescent="0.25">
      <c r="A15" s="12">
        <f t="shared" si="0"/>
        <v>9</v>
      </c>
      <c r="B15" s="13" t="s">
        <v>613</v>
      </c>
      <c r="C15" s="14" t="s">
        <v>18</v>
      </c>
      <c r="D15" s="15" t="s">
        <v>621</v>
      </c>
      <c r="E15" s="16">
        <v>43753</v>
      </c>
      <c r="F15" s="17" t="s">
        <v>41</v>
      </c>
      <c r="G15" s="18">
        <v>1</v>
      </c>
      <c r="H15" s="19"/>
      <c r="I15" s="22"/>
      <c r="J15" s="22"/>
    </row>
    <row r="16" spans="1:11" ht="15" customHeight="1" x14ac:dyDescent="0.25">
      <c r="A16" s="12">
        <f t="shared" si="0"/>
        <v>10</v>
      </c>
      <c r="B16" s="13" t="s">
        <v>613</v>
      </c>
      <c r="C16" s="14" t="s">
        <v>18</v>
      </c>
      <c r="D16" s="15" t="s">
        <v>622</v>
      </c>
      <c r="E16" s="16">
        <v>43753</v>
      </c>
      <c r="F16" s="17" t="s">
        <v>41</v>
      </c>
      <c r="G16" s="18">
        <v>1</v>
      </c>
      <c r="H16" s="23"/>
      <c r="I16" s="22"/>
      <c r="J16" s="22"/>
    </row>
    <row r="17" spans="1:10" ht="15" customHeight="1" x14ac:dyDescent="0.25">
      <c r="A17" s="12">
        <f t="shared" si="0"/>
        <v>11</v>
      </c>
      <c r="B17" s="13" t="s">
        <v>613</v>
      </c>
      <c r="C17" s="14" t="s">
        <v>18</v>
      </c>
      <c r="D17" s="15" t="s">
        <v>633</v>
      </c>
      <c r="E17" s="16">
        <v>43753</v>
      </c>
      <c r="F17" s="17" t="s">
        <v>41</v>
      </c>
      <c r="G17" s="18">
        <v>1</v>
      </c>
      <c r="H17" s="19"/>
      <c r="I17" s="22"/>
      <c r="J17" s="22"/>
    </row>
    <row r="18" spans="1:10" ht="15" customHeight="1" x14ac:dyDescent="0.25">
      <c r="A18" s="12">
        <f t="shared" si="0"/>
        <v>12</v>
      </c>
      <c r="B18" s="13" t="s">
        <v>613</v>
      </c>
      <c r="C18" s="14" t="s">
        <v>18</v>
      </c>
      <c r="D18" s="15" t="s">
        <v>634</v>
      </c>
      <c r="E18" s="16">
        <v>43753</v>
      </c>
      <c r="F18" s="17" t="s">
        <v>41</v>
      </c>
      <c r="G18" s="18">
        <v>1</v>
      </c>
      <c r="I18" s="22"/>
      <c r="J18" s="22"/>
    </row>
    <row r="19" spans="1:10" ht="15" customHeight="1" x14ac:dyDescent="0.25">
      <c r="A19" s="12">
        <f t="shared" si="0"/>
        <v>13</v>
      </c>
      <c r="B19" s="13" t="s">
        <v>613</v>
      </c>
      <c r="C19" s="14" t="s">
        <v>18</v>
      </c>
      <c r="D19" s="15" t="s">
        <v>635</v>
      </c>
      <c r="E19" s="16">
        <v>43753</v>
      </c>
      <c r="F19" s="17" t="s">
        <v>41</v>
      </c>
      <c r="G19" s="18">
        <v>1</v>
      </c>
      <c r="H19" s="23"/>
      <c r="I19" s="22"/>
      <c r="J19" s="22"/>
    </row>
    <row r="20" spans="1:10" ht="15" customHeight="1" x14ac:dyDescent="0.25">
      <c r="A20" s="12">
        <f t="shared" si="0"/>
        <v>14</v>
      </c>
      <c r="B20" s="13" t="s">
        <v>613</v>
      </c>
      <c r="C20" s="14" t="s">
        <v>18</v>
      </c>
      <c r="D20" s="15" t="s">
        <v>636</v>
      </c>
      <c r="E20" s="16">
        <v>43753</v>
      </c>
      <c r="F20" s="17" t="s">
        <v>41</v>
      </c>
      <c r="G20" s="18">
        <v>1</v>
      </c>
      <c r="H20" s="4"/>
      <c r="I20" s="22"/>
      <c r="J20" s="22"/>
    </row>
    <row r="21" spans="1:10" ht="15" customHeight="1" x14ac:dyDescent="0.25">
      <c r="A21" s="12">
        <f t="shared" si="0"/>
        <v>15</v>
      </c>
      <c r="B21" s="13" t="s">
        <v>613</v>
      </c>
      <c r="C21" s="14" t="s">
        <v>18</v>
      </c>
      <c r="D21" s="15" t="s">
        <v>637</v>
      </c>
      <c r="E21" s="16">
        <v>43753</v>
      </c>
      <c r="F21" s="17" t="s">
        <v>41</v>
      </c>
      <c r="G21" s="18">
        <v>1</v>
      </c>
      <c r="I21" s="22"/>
      <c r="J21" s="22"/>
    </row>
    <row r="22" spans="1:10" ht="15" customHeight="1" x14ac:dyDescent="0.25">
      <c r="A22" s="12">
        <f t="shared" si="0"/>
        <v>16</v>
      </c>
      <c r="B22" s="13" t="s">
        <v>613</v>
      </c>
      <c r="C22" s="14" t="s">
        <v>18</v>
      </c>
      <c r="D22" s="15" t="s">
        <v>638</v>
      </c>
      <c r="E22" s="16">
        <v>43753</v>
      </c>
      <c r="F22" s="17" t="s">
        <v>41</v>
      </c>
      <c r="G22" s="18">
        <v>1</v>
      </c>
      <c r="I22" s="22"/>
      <c r="J22" s="22"/>
    </row>
    <row r="23" spans="1:10" ht="15" customHeight="1" x14ac:dyDescent="0.25">
      <c r="A23" s="12">
        <f t="shared" si="0"/>
        <v>17</v>
      </c>
      <c r="B23" s="13" t="s">
        <v>613</v>
      </c>
      <c r="C23" s="14" t="s">
        <v>18</v>
      </c>
      <c r="D23" s="15" t="s">
        <v>639</v>
      </c>
      <c r="E23" s="16">
        <v>43753</v>
      </c>
      <c r="F23" s="17" t="s">
        <v>41</v>
      </c>
      <c r="G23" s="18">
        <v>1</v>
      </c>
      <c r="I23" s="22"/>
      <c r="J23" s="22"/>
    </row>
    <row r="24" spans="1:10" ht="15" customHeight="1" x14ac:dyDescent="0.25">
      <c r="A24" s="12">
        <f t="shared" si="0"/>
        <v>18</v>
      </c>
      <c r="B24" s="13" t="s">
        <v>613</v>
      </c>
      <c r="C24" s="14" t="s">
        <v>18</v>
      </c>
      <c r="D24" s="15" t="s">
        <v>640</v>
      </c>
      <c r="E24" s="16">
        <v>43753</v>
      </c>
      <c r="F24" s="17" t="s">
        <v>41</v>
      </c>
      <c r="G24" s="18">
        <v>1</v>
      </c>
      <c r="I24" s="22"/>
      <c r="J24" s="22"/>
    </row>
    <row r="25" spans="1:10" ht="15" customHeight="1" x14ac:dyDescent="0.25">
      <c r="A25" s="12">
        <f t="shared" si="0"/>
        <v>19</v>
      </c>
      <c r="B25" s="13" t="s">
        <v>613</v>
      </c>
      <c r="C25" s="14" t="s">
        <v>18</v>
      </c>
      <c r="D25" s="15" t="s">
        <v>641</v>
      </c>
      <c r="E25" s="16">
        <v>43753</v>
      </c>
      <c r="F25" s="17" t="s">
        <v>41</v>
      </c>
      <c r="G25" s="18">
        <v>1</v>
      </c>
      <c r="I25" s="22"/>
      <c r="J25" s="22"/>
    </row>
    <row r="26" spans="1:10" ht="15" customHeight="1" x14ac:dyDescent="0.25">
      <c r="A26" s="12">
        <f t="shared" si="0"/>
        <v>20</v>
      </c>
      <c r="B26" s="13" t="s">
        <v>613</v>
      </c>
      <c r="C26" s="14" t="s">
        <v>18</v>
      </c>
      <c r="D26" s="15" t="s">
        <v>642</v>
      </c>
      <c r="E26" s="16">
        <v>43753</v>
      </c>
      <c r="F26" s="17" t="s">
        <v>41</v>
      </c>
      <c r="G26" s="18">
        <v>1</v>
      </c>
      <c r="I26" s="22"/>
      <c r="J26" s="22"/>
    </row>
    <row r="27" spans="1:10" x14ac:dyDescent="0.25">
      <c r="A27" s="12">
        <f t="shared" si="0"/>
        <v>21</v>
      </c>
      <c r="B27" s="13" t="s">
        <v>613</v>
      </c>
      <c r="C27" s="14" t="s">
        <v>18</v>
      </c>
      <c r="D27" s="15" t="s">
        <v>643</v>
      </c>
      <c r="E27" s="16">
        <v>43753</v>
      </c>
      <c r="F27" s="17" t="s">
        <v>41</v>
      </c>
      <c r="G27" s="18">
        <v>1</v>
      </c>
    </row>
    <row r="28" spans="1:10" x14ac:dyDescent="0.25">
      <c r="A28" s="12">
        <f t="shared" si="0"/>
        <v>22</v>
      </c>
      <c r="B28" s="13" t="s">
        <v>613</v>
      </c>
      <c r="C28" s="14" t="s">
        <v>18</v>
      </c>
      <c r="D28" s="15" t="s">
        <v>632</v>
      </c>
      <c r="E28" s="16">
        <v>43753</v>
      </c>
      <c r="F28" s="17" t="s">
        <v>41</v>
      </c>
      <c r="G28" s="18">
        <v>1</v>
      </c>
      <c r="H28" s="4"/>
    </row>
    <row r="29" spans="1:10" x14ac:dyDescent="0.25">
      <c r="A29" s="12">
        <f t="shared" si="0"/>
        <v>23</v>
      </c>
      <c r="B29" s="13" t="s">
        <v>613</v>
      </c>
      <c r="C29" s="14" t="s">
        <v>18</v>
      </c>
      <c r="D29" s="15" t="s">
        <v>631</v>
      </c>
      <c r="E29" s="16">
        <v>43753</v>
      </c>
      <c r="F29" s="17" t="s">
        <v>41</v>
      </c>
      <c r="G29" s="18">
        <v>1</v>
      </c>
      <c r="H29" s="4"/>
    </row>
    <row r="30" spans="1:10" x14ac:dyDescent="0.25">
      <c r="A30" s="12">
        <f t="shared" si="0"/>
        <v>24</v>
      </c>
      <c r="B30" s="13" t="s">
        <v>613</v>
      </c>
      <c r="C30" s="14" t="s">
        <v>18</v>
      </c>
      <c r="D30" s="15" t="s">
        <v>630</v>
      </c>
      <c r="E30" s="16">
        <v>43753</v>
      </c>
      <c r="F30" s="17" t="s">
        <v>41</v>
      </c>
      <c r="G30" s="18">
        <v>1</v>
      </c>
      <c r="H30" s="4"/>
    </row>
    <row r="31" spans="1:10" x14ac:dyDescent="0.25">
      <c r="A31" s="12">
        <f t="shared" si="0"/>
        <v>25</v>
      </c>
      <c r="B31" s="13" t="s">
        <v>613</v>
      </c>
      <c r="C31" s="14" t="s">
        <v>18</v>
      </c>
      <c r="D31" s="15" t="s">
        <v>629</v>
      </c>
      <c r="E31" s="16">
        <v>43753</v>
      </c>
      <c r="F31" s="17" t="s">
        <v>41</v>
      </c>
      <c r="G31" s="18">
        <v>1</v>
      </c>
      <c r="H31" s="4"/>
    </row>
    <row r="32" spans="1:10" x14ac:dyDescent="0.25">
      <c r="A32" s="12">
        <f t="shared" si="0"/>
        <v>26</v>
      </c>
      <c r="B32" s="13" t="s">
        <v>613</v>
      </c>
      <c r="C32" s="14" t="s">
        <v>18</v>
      </c>
      <c r="D32" s="15" t="s">
        <v>627</v>
      </c>
      <c r="E32" s="16">
        <v>43753</v>
      </c>
      <c r="F32" s="17" t="s">
        <v>41</v>
      </c>
      <c r="G32" s="18">
        <v>1</v>
      </c>
    </row>
    <row r="33" spans="1:7" x14ac:dyDescent="0.25">
      <c r="A33" s="12">
        <f t="shared" si="0"/>
        <v>27</v>
      </c>
      <c r="B33" s="13" t="s">
        <v>613</v>
      </c>
      <c r="C33" s="14" t="s">
        <v>18</v>
      </c>
      <c r="D33" s="15" t="s">
        <v>628</v>
      </c>
      <c r="E33" s="16">
        <v>43753</v>
      </c>
      <c r="F33" s="17" t="s">
        <v>41</v>
      </c>
      <c r="G33" s="18">
        <v>1</v>
      </c>
    </row>
    <row r="34" spans="1:7" x14ac:dyDescent="0.25">
      <c r="A34" s="12">
        <f t="shared" si="0"/>
        <v>28</v>
      </c>
      <c r="B34" s="13" t="s">
        <v>613</v>
      </c>
      <c r="C34" s="14" t="s">
        <v>18</v>
      </c>
      <c r="D34" s="15" t="s">
        <v>625</v>
      </c>
      <c r="E34" s="16">
        <v>43753</v>
      </c>
      <c r="F34" s="17" t="s">
        <v>41</v>
      </c>
      <c r="G34" s="18">
        <v>1</v>
      </c>
    </row>
    <row r="35" spans="1:7" x14ac:dyDescent="0.25">
      <c r="A35" s="12">
        <f t="shared" si="0"/>
        <v>29</v>
      </c>
      <c r="B35" s="13" t="s">
        <v>613</v>
      </c>
      <c r="C35" s="14" t="s">
        <v>18</v>
      </c>
      <c r="D35" s="15" t="s">
        <v>626</v>
      </c>
      <c r="E35" s="16">
        <v>43753</v>
      </c>
      <c r="F35" s="17" t="s">
        <v>41</v>
      </c>
      <c r="G35" s="18">
        <v>1</v>
      </c>
    </row>
    <row r="36" spans="1:7" x14ac:dyDescent="0.25">
      <c r="A36" s="12">
        <f t="shared" si="0"/>
        <v>30</v>
      </c>
      <c r="B36" s="13" t="s">
        <v>613</v>
      </c>
      <c r="C36" s="14" t="s">
        <v>18</v>
      </c>
      <c r="D36" s="15" t="s">
        <v>644</v>
      </c>
      <c r="E36" s="16">
        <v>43753</v>
      </c>
      <c r="F36" s="17" t="s">
        <v>41</v>
      </c>
      <c r="G36" s="18">
        <v>1</v>
      </c>
    </row>
    <row r="37" spans="1:7" x14ac:dyDescent="0.25">
      <c r="A37" s="12">
        <f t="shared" si="0"/>
        <v>31</v>
      </c>
      <c r="B37" s="13" t="s">
        <v>613</v>
      </c>
      <c r="C37" s="14" t="s">
        <v>18</v>
      </c>
      <c r="D37" s="15" t="s">
        <v>646</v>
      </c>
      <c r="E37" s="16">
        <v>43753</v>
      </c>
      <c r="F37" s="17" t="s">
        <v>41</v>
      </c>
      <c r="G37" s="18">
        <v>1</v>
      </c>
    </row>
    <row r="38" spans="1:7" x14ac:dyDescent="0.25">
      <c r="A38" s="12">
        <f t="shared" si="0"/>
        <v>32</v>
      </c>
      <c r="B38" s="13" t="s">
        <v>613</v>
      </c>
      <c r="C38" s="14" t="s">
        <v>18</v>
      </c>
      <c r="D38" s="15" t="s">
        <v>647</v>
      </c>
      <c r="E38" s="16">
        <v>43753</v>
      </c>
      <c r="F38" s="17" t="s">
        <v>41</v>
      </c>
      <c r="G38" s="18">
        <v>1</v>
      </c>
    </row>
    <row r="39" spans="1:7" x14ac:dyDescent="0.25">
      <c r="A39" s="12">
        <f t="shared" si="0"/>
        <v>33</v>
      </c>
      <c r="B39" s="13" t="s">
        <v>613</v>
      </c>
      <c r="C39" s="14" t="s">
        <v>18</v>
      </c>
      <c r="D39" s="15" t="s">
        <v>648</v>
      </c>
      <c r="E39" s="16">
        <v>43753</v>
      </c>
      <c r="F39" s="17" t="s">
        <v>41</v>
      </c>
      <c r="G39" s="18">
        <v>1</v>
      </c>
    </row>
    <row r="40" spans="1:7" x14ac:dyDescent="0.25">
      <c r="A40" s="12">
        <f t="shared" si="0"/>
        <v>34</v>
      </c>
      <c r="B40" s="13" t="s">
        <v>613</v>
      </c>
      <c r="C40" s="14" t="s">
        <v>18</v>
      </c>
      <c r="D40" s="15" t="s">
        <v>649</v>
      </c>
      <c r="E40" s="16">
        <v>43753</v>
      </c>
      <c r="F40" s="17" t="s">
        <v>41</v>
      </c>
      <c r="G40" s="18">
        <v>1</v>
      </c>
    </row>
    <row r="41" spans="1:7" x14ac:dyDescent="0.25">
      <c r="A41" s="12">
        <f t="shared" si="0"/>
        <v>35</v>
      </c>
      <c r="B41" s="13" t="s">
        <v>613</v>
      </c>
      <c r="C41" s="14" t="s">
        <v>18</v>
      </c>
      <c r="D41" s="15" t="s">
        <v>650</v>
      </c>
      <c r="E41" s="16">
        <v>43753</v>
      </c>
      <c r="F41" s="17" t="s">
        <v>41</v>
      </c>
      <c r="G41" s="18">
        <v>1</v>
      </c>
    </row>
    <row r="42" spans="1:7" x14ac:dyDescent="0.25">
      <c r="A42" s="12">
        <f t="shared" si="0"/>
        <v>36</v>
      </c>
      <c r="B42" s="13" t="s">
        <v>613</v>
      </c>
      <c r="C42" s="14" t="s">
        <v>18</v>
      </c>
      <c r="D42" s="15" t="s">
        <v>651</v>
      </c>
      <c r="E42" s="16">
        <v>43753</v>
      </c>
      <c r="F42" s="17" t="s">
        <v>41</v>
      </c>
      <c r="G42" s="18">
        <v>1</v>
      </c>
    </row>
    <row r="43" spans="1:7" x14ac:dyDescent="0.25">
      <c r="A43" s="12">
        <f t="shared" si="0"/>
        <v>37</v>
      </c>
      <c r="B43" s="13" t="s">
        <v>613</v>
      </c>
      <c r="C43" s="14" t="s">
        <v>18</v>
      </c>
      <c r="D43" s="15" t="s">
        <v>652</v>
      </c>
      <c r="E43" s="16">
        <v>43753</v>
      </c>
      <c r="F43" s="17" t="s">
        <v>41</v>
      </c>
      <c r="G43" s="18">
        <v>1</v>
      </c>
    </row>
    <row r="44" spans="1:7" x14ac:dyDescent="0.25">
      <c r="A44" s="12">
        <f t="shared" si="0"/>
        <v>38</v>
      </c>
      <c r="B44" s="13" t="s">
        <v>613</v>
      </c>
      <c r="C44" s="14" t="s">
        <v>18</v>
      </c>
      <c r="D44" s="15" t="s">
        <v>653</v>
      </c>
      <c r="E44" s="16">
        <v>43753</v>
      </c>
      <c r="F44" s="17" t="s">
        <v>41</v>
      </c>
      <c r="G44" s="18">
        <v>1</v>
      </c>
    </row>
    <row r="45" spans="1:7" x14ac:dyDescent="0.25">
      <c r="A45" s="12">
        <f t="shared" si="0"/>
        <v>39</v>
      </c>
      <c r="B45" s="13" t="s">
        <v>613</v>
      </c>
      <c r="C45" s="14" t="s">
        <v>18</v>
      </c>
      <c r="D45" s="15" t="s">
        <v>654</v>
      </c>
      <c r="E45" s="16">
        <v>43753</v>
      </c>
      <c r="F45" s="17" t="s">
        <v>41</v>
      </c>
      <c r="G45" s="18">
        <v>1</v>
      </c>
    </row>
    <row r="46" spans="1:7" x14ac:dyDescent="0.25">
      <c r="A46" s="12">
        <f t="shared" si="0"/>
        <v>40</v>
      </c>
      <c r="B46" s="13" t="s">
        <v>613</v>
      </c>
      <c r="C46" s="14" t="s">
        <v>18</v>
      </c>
      <c r="D46" s="15" t="s">
        <v>655</v>
      </c>
      <c r="E46" s="16">
        <v>43753</v>
      </c>
      <c r="F46" s="17" t="s">
        <v>41</v>
      </c>
      <c r="G46" s="18">
        <v>1</v>
      </c>
    </row>
    <row r="47" spans="1:7" x14ac:dyDescent="0.25">
      <c r="A47" s="12">
        <f t="shared" si="0"/>
        <v>41</v>
      </c>
      <c r="B47" s="13" t="s">
        <v>613</v>
      </c>
      <c r="C47" s="14" t="s">
        <v>18</v>
      </c>
      <c r="D47" s="15" t="s">
        <v>645</v>
      </c>
      <c r="E47" s="16">
        <v>43753</v>
      </c>
      <c r="F47" s="17" t="s">
        <v>41</v>
      </c>
      <c r="G47" s="18">
        <v>1</v>
      </c>
    </row>
    <row r="48" spans="1:7" x14ac:dyDescent="0.25">
      <c r="A48" s="12">
        <f t="shared" si="0"/>
        <v>42</v>
      </c>
      <c r="B48" s="13" t="s">
        <v>613</v>
      </c>
      <c r="C48" s="14" t="s">
        <v>18</v>
      </c>
      <c r="D48" s="15" t="s">
        <v>656</v>
      </c>
      <c r="E48" s="16">
        <v>43753</v>
      </c>
      <c r="F48" s="17" t="s">
        <v>41</v>
      </c>
      <c r="G48" s="18">
        <v>1</v>
      </c>
    </row>
    <row r="49" spans="1:7" x14ac:dyDescent="0.25">
      <c r="A49" s="12">
        <f t="shared" si="0"/>
        <v>43</v>
      </c>
      <c r="B49" s="13" t="s">
        <v>613</v>
      </c>
      <c r="C49" s="14" t="s">
        <v>18</v>
      </c>
      <c r="D49" s="15" t="s">
        <v>657</v>
      </c>
      <c r="E49" s="16">
        <v>43753</v>
      </c>
      <c r="F49" s="17" t="s">
        <v>41</v>
      </c>
      <c r="G49" s="18">
        <v>1</v>
      </c>
    </row>
    <row r="50" spans="1:7" x14ac:dyDescent="0.25">
      <c r="A50" s="12">
        <f t="shared" si="0"/>
        <v>44</v>
      </c>
      <c r="B50" s="13" t="s">
        <v>613</v>
      </c>
      <c r="C50" s="14" t="s">
        <v>18</v>
      </c>
      <c r="D50" s="15" t="s">
        <v>658</v>
      </c>
      <c r="E50" s="16">
        <v>43753</v>
      </c>
      <c r="F50" s="17" t="s">
        <v>41</v>
      </c>
      <c r="G50" s="18">
        <v>1</v>
      </c>
    </row>
    <row r="51" spans="1:7" x14ac:dyDescent="0.25">
      <c r="A51" s="12">
        <f t="shared" si="0"/>
        <v>45</v>
      </c>
      <c r="B51" s="13" t="s">
        <v>613</v>
      </c>
      <c r="C51" s="14" t="s">
        <v>18</v>
      </c>
      <c r="D51" s="15" t="s">
        <v>659</v>
      </c>
      <c r="E51" s="16">
        <v>43753</v>
      </c>
      <c r="F51" s="17" t="s">
        <v>41</v>
      </c>
      <c r="G51" s="18">
        <v>1</v>
      </c>
    </row>
    <row r="52" spans="1:7" x14ac:dyDescent="0.25">
      <c r="A52" s="12">
        <f t="shared" si="0"/>
        <v>46</v>
      </c>
      <c r="B52" s="13" t="s">
        <v>613</v>
      </c>
      <c r="C52" s="14" t="s">
        <v>18</v>
      </c>
      <c r="D52" s="15" t="s">
        <v>660</v>
      </c>
      <c r="E52" s="16">
        <v>43753</v>
      </c>
      <c r="F52" s="17" t="s">
        <v>41</v>
      </c>
      <c r="G52" s="18">
        <v>1</v>
      </c>
    </row>
    <row r="53" spans="1:7" x14ac:dyDescent="0.25">
      <c r="A53" s="12">
        <f t="shared" si="0"/>
        <v>47</v>
      </c>
      <c r="B53" s="13" t="s">
        <v>613</v>
      </c>
      <c r="C53" s="14" t="s">
        <v>18</v>
      </c>
      <c r="D53" s="15" t="s">
        <v>661</v>
      </c>
      <c r="E53" s="16">
        <v>43753</v>
      </c>
      <c r="F53" s="17" t="s">
        <v>41</v>
      </c>
      <c r="G53" s="18">
        <v>1</v>
      </c>
    </row>
    <row r="54" spans="1:7" x14ac:dyDescent="0.25">
      <c r="A54" s="12">
        <f t="shared" si="0"/>
        <v>48</v>
      </c>
      <c r="B54" s="13" t="s">
        <v>613</v>
      </c>
      <c r="C54" s="14" t="s">
        <v>18</v>
      </c>
      <c r="D54" s="15" t="s">
        <v>662</v>
      </c>
      <c r="E54" s="16">
        <v>43753</v>
      </c>
      <c r="F54" s="17" t="s">
        <v>41</v>
      </c>
      <c r="G54" s="18">
        <v>1</v>
      </c>
    </row>
    <row r="55" spans="1:7" x14ac:dyDescent="0.25">
      <c r="A55" s="12">
        <f t="shared" si="0"/>
        <v>49</v>
      </c>
      <c r="B55" s="13" t="s">
        <v>613</v>
      </c>
      <c r="C55" s="14" t="s">
        <v>18</v>
      </c>
      <c r="D55" s="15" t="s">
        <v>663</v>
      </c>
      <c r="E55" s="16">
        <v>43753</v>
      </c>
      <c r="F55" s="17" t="s">
        <v>41</v>
      </c>
      <c r="G55" s="18">
        <v>1</v>
      </c>
    </row>
    <row r="56" spans="1:7" x14ac:dyDescent="0.25">
      <c r="A56" s="12">
        <f t="shared" si="0"/>
        <v>50</v>
      </c>
      <c r="B56" s="13" t="s">
        <v>613</v>
      </c>
      <c r="C56" s="14" t="s">
        <v>18</v>
      </c>
      <c r="D56" s="15" t="s">
        <v>664</v>
      </c>
      <c r="E56" s="16">
        <v>43753</v>
      </c>
      <c r="F56" s="17" t="s">
        <v>41</v>
      </c>
      <c r="G56" s="18">
        <v>1</v>
      </c>
    </row>
    <row r="57" spans="1:7" x14ac:dyDescent="0.25">
      <c r="A57" s="12">
        <f t="shared" si="0"/>
        <v>51</v>
      </c>
      <c r="B57" s="13" t="s">
        <v>613</v>
      </c>
      <c r="C57" s="14" t="s">
        <v>18</v>
      </c>
      <c r="D57" s="15" t="s">
        <v>665</v>
      </c>
      <c r="E57" s="16">
        <v>43753</v>
      </c>
      <c r="F57" s="17" t="s">
        <v>41</v>
      </c>
      <c r="G57" s="18">
        <v>1</v>
      </c>
    </row>
    <row r="58" spans="1:7" x14ac:dyDescent="0.25">
      <c r="A58" s="12">
        <f t="shared" si="0"/>
        <v>52</v>
      </c>
      <c r="B58" s="13" t="s">
        <v>613</v>
      </c>
      <c r="C58" s="14" t="s">
        <v>18</v>
      </c>
      <c r="D58" s="15" t="s">
        <v>616</v>
      </c>
      <c r="E58" s="16">
        <v>43753</v>
      </c>
      <c r="F58" s="17" t="s">
        <v>41</v>
      </c>
      <c r="G58" s="18">
        <v>1</v>
      </c>
    </row>
    <row r="59" spans="1:7" x14ac:dyDescent="0.25">
      <c r="A59" s="12">
        <f t="shared" si="0"/>
        <v>53</v>
      </c>
      <c r="B59" s="13" t="s">
        <v>613</v>
      </c>
      <c r="C59" s="14" t="s">
        <v>18</v>
      </c>
      <c r="D59" s="15" t="s">
        <v>666</v>
      </c>
      <c r="E59" s="16">
        <v>43753</v>
      </c>
      <c r="F59" s="17" t="s">
        <v>41</v>
      </c>
      <c r="G59" s="18">
        <v>1</v>
      </c>
    </row>
    <row r="60" spans="1:7" x14ac:dyDescent="0.25">
      <c r="A60" s="12">
        <f t="shared" si="0"/>
        <v>54</v>
      </c>
      <c r="B60" s="13" t="s">
        <v>613</v>
      </c>
      <c r="C60" s="14" t="s">
        <v>18</v>
      </c>
      <c r="D60" s="15" t="s">
        <v>667</v>
      </c>
      <c r="E60" s="16">
        <v>43753</v>
      </c>
      <c r="F60" s="17" t="s">
        <v>41</v>
      </c>
      <c r="G60" s="18">
        <v>1</v>
      </c>
    </row>
    <row r="61" spans="1:7" x14ac:dyDescent="0.25">
      <c r="A61" s="12">
        <f t="shared" si="0"/>
        <v>55</v>
      </c>
      <c r="B61" s="13" t="s">
        <v>668</v>
      </c>
      <c r="C61" s="13">
        <v>30</v>
      </c>
      <c r="D61" s="13">
        <v>2019000271</v>
      </c>
      <c r="E61" s="16">
        <v>43754</v>
      </c>
      <c r="F61" s="17" t="s">
        <v>26</v>
      </c>
      <c r="G61" s="18">
        <v>1</v>
      </c>
    </row>
    <row r="62" spans="1:7" x14ac:dyDescent="0.25">
      <c r="A62" s="12">
        <f t="shared" si="0"/>
        <v>56</v>
      </c>
      <c r="B62" s="13" t="s">
        <v>669</v>
      </c>
      <c r="C62" s="13" t="s">
        <v>24</v>
      </c>
      <c r="D62" s="13">
        <v>2016002352</v>
      </c>
      <c r="E62" s="16">
        <v>43754</v>
      </c>
      <c r="F62" s="17" t="s">
        <v>26</v>
      </c>
      <c r="G62" s="18">
        <v>1</v>
      </c>
    </row>
    <row r="63" spans="1:7" x14ac:dyDescent="0.25">
      <c r="A63" s="12">
        <f t="shared" si="0"/>
        <v>57</v>
      </c>
      <c r="B63" s="13" t="s">
        <v>670</v>
      </c>
      <c r="C63" s="13" t="s">
        <v>24</v>
      </c>
      <c r="D63" s="13">
        <v>2016002354</v>
      </c>
      <c r="E63" s="16">
        <v>43755</v>
      </c>
      <c r="F63" s="17" t="s">
        <v>26</v>
      </c>
      <c r="G63" s="18">
        <v>1</v>
      </c>
    </row>
    <row r="64" spans="1:7" x14ac:dyDescent="0.25">
      <c r="A64" s="12">
        <f t="shared" si="0"/>
        <v>58</v>
      </c>
      <c r="B64" s="13" t="s">
        <v>671</v>
      </c>
      <c r="C64" s="13" t="s">
        <v>18</v>
      </c>
      <c r="D64" s="13">
        <v>2019182578</v>
      </c>
      <c r="E64" s="16">
        <v>43759</v>
      </c>
      <c r="F64" s="17" t="s">
        <v>26</v>
      </c>
      <c r="G64" s="18">
        <v>1</v>
      </c>
    </row>
    <row r="65" spans="1:8" x14ac:dyDescent="0.25">
      <c r="A65" s="12">
        <f t="shared" si="0"/>
        <v>59</v>
      </c>
      <c r="B65" s="13" t="s">
        <v>904</v>
      </c>
      <c r="C65" s="13" t="s">
        <v>24</v>
      </c>
      <c r="D65" s="13">
        <v>2016002472</v>
      </c>
      <c r="E65" s="16">
        <v>43761</v>
      </c>
      <c r="F65" s="17" t="s">
        <v>672</v>
      </c>
      <c r="G65" s="18">
        <v>1</v>
      </c>
      <c r="H65" t="s">
        <v>673</v>
      </c>
    </row>
    <row r="66" spans="1:8" x14ac:dyDescent="0.25">
      <c r="A66" s="12">
        <f t="shared" si="0"/>
        <v>60</v>
      </c>
      <c r="B66" s="13" t="s">
        <v>903</v>
      </c>
      <c r="C66" s="13" t="s">
        <v>24</v>
      </c>
      <c r="D66" s="13">
        <v>2016002475</v>
      </c>
      <c r="E66" s="16">
        <v>43761</v>
      </c>
      <c r="F66" s="17" t="s">
        <v>674</v>
      </c>
      <c r="G66" s="27">
        <v>1</v>
      </c>
      <c r="H66" t="s">
        <v>675</v>
      </c>
    </row>
    <row r="67" spans="1:8" x14ac:dyDescent="0.25">
      <c r="A67" s="12">
        <f t="shared" si="0"/>
        <v>61</v>
      </c>
      <c r="B67" s="13" t="s">
        <v>905</v>
      </c>
      <c r="C67" s="13" t="s">
        <v>18</v>
      </c>
      <c r="D67" s="13">
        <v>2019182559</v>
      </c>
      <c r="E67" s="16">
        <v>43769</v>
      </c>
      <c r="F67" s="17" t="s">
        <v>682</v>
      </c>
      <c r="G67" s="27">
        <v>1</v>
      </c>
      <c r="H67" t="s">
        <v>683</v>
      </c>
    </row>
    <row r="68" spans="1:8" x14ac:dyDescent="0.25">
      <c r="A68" s="12">
        <f t="shared" si="0"/>
        <v>62</v>
      </c>
      <c r="B68" s="13" t="s">
        <v>676</v>
      </c>
      <c r="C68" s="13" t="s">
        <v>18</v>
      </c>
      <c r="D68" s="13">
        <v>2019182579</v>
      </c>
      <c r="E68" s="16">
        <v>43769</v>
      </c>
      <c r="F68" s="17" t="s">
        <v>26</v>
      </c>
      <c r="G68" s="27">
        <v>1</v>
      </c>
    </row>
  </sheetData>
  <sortState ref="B7:F36">
    <sortCondition ref="D7:D3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opLeftCell="A4" workbookViewId="0">
      <selection activeCell="B21" sqref="B21"/>
    </sheetView>
  </sheetViews>
  <sheetFormatPr baseColWidth="10" defaultColWidth="11.42578125" defaultRowHeight="15" x14ac:dyDescent="0.25"/>
  <cols>
    <col min="1" max="1" width="8.85546875" bestFit="1" customWidth="1"/>
    <col min="2" max="2" width="15" customWidth="1"/>
    <col min="5" max="5" width="10.85546875" customWidth="1"/>
    <col min="6" max="6" width="21.28515625" customWidth="1"/>
    <col min="7" max="7" width="3.5703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2" t="s">
        <v>2</v>
      </c>
      <c r="B2" s="32"/>
      <c r="C2" s="32"/>
      <c r="D2" s="2"/>
      <c r="E2" s="5" t="s">
        <v>3</v>
      </c>
      <c r="F2" s="5"/>
      <c r="G2" s="3"/>
      <c r="H2" s="3"/>
      <c r="I2" s="29" t="s">
        <v>4</v>
      </c>
      <c r="J2" s="30"/>
      <c r="K2" s="6">
        <f>SUMIF(F7:F82,"Elimination*",G7:G82)</f>
        <v>6</v>
      </c>
    </row>
    <row r="3" spans="1:11" x14ac:dyDescent="0.25">
      <c r="A3" s="33" t="s">
        <v>5</v>
      </c>
      <c r="B3" s="33"/>
      <c r="C3" s="33"/>
      <c r="D3" s="5"/>
      <c r="E3" s="3" t="s">
        <v>6</v>
      </c>
      <c r="F3" s="3"/>
      <c r="G3" s="3"/>
      <c r="H3" s="3"/>
      <c r="I3" s="29" t="s">
        <v>7</v>
      </c>
      <c r="J3" s="30"/>
      <c r="K3" s="6">
        <f>SUMIF(F7:F82,"NB*",G7:G82)</f>
        <v>11</v>
      </c>
    </row>
    <row r="4" spans="1:11" ht="18" x14ac:dyDescent="0.25">
      <c r="A4" s="31" t="s">
        <v>8</v>
      </c>
      <c r="B4" s="31"/>
      <c r="C4" s="31"/>
      <c r="D4" s="31"/>
      <c r="E4" s="31"/>
      <c r="F4" s="31"/>
      <c r="G4" s="3"/>
      <c r="H4" s="3"/>
      <c r="I4" s="29" t="s">
        <v>9</v>
      </c>
      <c r="J4" s="30"/>
      <c r="K4" s="6">
        <f>SUMIF(F7:F82,"Ve*",G7:G82)</f>
        <v>0</v>
      </c>
    </row>
    <row r="5" spans="1:11" ht="15.75" x14ac:dyDescent="0.25">
      <c r="A5" s="28" t="s">
        <v>681</v>
      </c>
      <c r="B5" s="28"/>
      <c r="C5" s="28"/>
      <c r="D5" s="28"/>
      <c r="E5" s="28"/>
      <c r="F5" s="28"/>
      <c r="G5" s="7"/>
      <c r="H5" s="7"/>
      <c r="I5" s="29" t="s">
        <v>10</v>
      </c>
      <c r="J5" s="30"/>
      <c r="K5" s="8">
        <f>SUM(K2:K4)</f>
        <v>17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860</v>
      </c>
      <c r="C7" s="14" t="s">
        <v>18</v>
      </c>
      <c r="D7" s="15" t="s">
        <v>684</v>
      </c>
      <c r="E7" s="16">
        <v>43773</v>
      </c>
      <c r="F7" s="17" t="s">
        <v>685</v>
      </c>
      <c r="G7" s="18">
        <v>1</v>
      </c>
      <c r="H7" s="19" t="s">
        <v>686</v>
      </c>
      <c r="I7" s="22"/>
      <c r="J7" s="22"/>
      <c r="K7" s="4"/>
    </row>
    <row r="8" spans="1:11" ht="15" customHeight="1" x14ac:dyDescent="0.25">
      <c r="A8" s="12">
        <f t="shared" ref="A8:A68" si="0">+A7+1</f>
        <v>2</v>
      </c>
      <c r="B8" s="13" t="s">
        <v>861</v>
      </c>
      <c r="C8" s="14" t="s">
        <v>18</v>
      </c>
      <c r="D8" s="15" t="s">
        <v>678</v>
      </c>
      <c r="E8" s="16">
        <v>43773</v>
      </c>
      <c r="F8" s="17" t="s">
        <v>679</v>
      </c>
      <c r="G8" s="18">
        <v>1</v>
      </c>
      <c r="H8" s="19" t="s">
        <v>680</v>
      </c>
      <c r="I8" s="22"/>
      <c r="J8" s="22"/>
      <c r="K8" s="4"/>
    </row>
    <row r="9" spans="1:11" ht="15" customHeight="1" x14ac:dyDescent="0.25">
      <c r="A9" s="12">
        <f t="shared" si="0"/>
        <v>3</v>
      </c>
      <c r="B9" s="13" t="s">
        <v>862</v>
      </c>
      <c r="C9" s="14" t="s">
        <v>18</v>
      </c>
      <c r="D9" s="15" t="s">
        <v>707</v>
      </c>
      <c r="E9" s="16">
        <v>43780</v>
      </c>
      <c r="F9" s="17" t="s">
        <v>709</v>
      </c>
      <c r="G9" s="18">
        <v>1</v>
      </c>
      <c r="H9" s="23" t="s">
        <v>708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863</v>
      </c>
      <c r="C10" s="14" t="s">
        <v>18</v>
      </c>
      <c r="D10" s="15" t="s">
        <v>704</v>
      </c>
      <c r="E10" s="16">
        <v>43780</v>
      </c>
      <c r="F10" s="17" t="s">
        <v>705</v>
      </c>
      <c r="G10" s="18">
        <v>1</v>
      </c>
      <c r="H10" s="19" t="s">
        <v>706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906</v>
      </c>
      <c r="C11" s="14" t="s">
        <v>18</v>
      </c>
      <c r="D11" s="15" t="s">
        <v>700</v>
      </c>
      <c r="E11" s="16">
        <v>43780</v>
      </c>
      <c r="F11" s="17" t="s">
        <v>702</v>
      </c>
      <c r="G11" s="18">
        <v>1</v>
      </c>
      <c r="H11" s="23" t="s">
        <v>701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694</v>
      </c>
      <c r="C12" s="14">
        <v>30</v>
      </c>
      <c r="D12" s="15" t="s">
        <v>689</v>
      </c>
      <c r="E12" s="16">
        <v>43781</v>
      </c>
      <c r="F12" s="17" t="s">
        <v>26</v>
      </c>
      <c r="G12" s="18">
        <v>1</v>
      </c>
      <c r="H12" s="19"/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692</v>
      </c>
      <c r="C13" s="14">
        <v>30</v>
      </c>
      <c r="D13" s="15" t="s">
        <v>690</v>
      </c>
      <c r="E13" s="16">
        <v>43781</v>
      </c>
      <c r="F13" s="17" t="s">
        <v>26</v>
      </c>
      <c r="G13" s="18">
        <v>1</v>
      </c>
      <c r="H13" s="19"/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693</v>
      </c>
      <c r="C14" s="14" t="s">
        <v>18</v>
      </c>
      <c r="D14" s="15" t="s">
        <v>691</v>
      </c>
      <c r="E14" s="16">
        <v>43781</v>
      </c>
      <c r="F14" s="17" t="s">
        <v>26</v>
      </c>
      <c r="G14" s="18">
        <v>1</v>
      </c>
      <c r="H14" s="19"/>
      <c r="I14" s="22"/>
      <c r="J14" s="22"/>
    </row>
    <row r="15" spans="1:11" ht="15" customHeight="1" x14ac:dyDescent="0.25">
      <c r="A15" s="12">
        <f t="shared" si="0"/>
        <v>9</v>
      </c>
      <c r="B15" s="13" t="s">
        <v>864</v>
      </c>
      <c r="C15" s="14" t="s">
        <v>18</v>
      </c>
      <c r="D15" s="15" t="s">
        <v>697</v>
      </c>
      <c r="E15" s="16">
        <v>43782</v>
      </c>
      <c r="F15" s="17" t="s">
        <v>703</v>
      </c>
      <c r="G15" s="18">
        <v>1</v>
      </c>
      <c r="H15" s="19" t="s">
        <v>699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859</v>
      </c>
      <c r="C16" s="14" t="s">
        <v>18</v>
      </c>
      <c r="D16" s="15" t="s">
        <v>695</v>
      </c>
      <c r="E16" s="16">
        <v>43782</v>
      </c>
      <c r="F16" s="17" t="s">
        <v>698</v>
      </c>
      <c r="G16" s="18">
        <v>1</v>
      </c>
      <c r="H16" s="19" t="s">
        <v>696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865</v>
      </c>
      <c r="C17" s="14" t="s">
        <v>18</v>
      </c>
      <c r="D17" s="15" t="s">
        <v>712</v>
      </c>
      <c r="E17" s="16">
        <v>43783</v>
      </c>
      <c r="F17" s="17" t="s">
        <v>713</v>
      </c>
      <c r="G17" s="18">
        <v>1</v>
      </c>
      <c r="H17" t="s">
        <v>714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710</v>
      </c>
      <c r="C18" s="14" t="s">
        <v>18</v>
      </c>
      <c r="D18" s="15" t="s">
        <v>711</v>
      </c>
      <c r="E18" s="16">
        <v>43786</v>
      </c>
      <c r="F18" s="17" t="s">
        <v>26</v>
      </c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3" t="s">
        <v>866</v>
      </c>
      <c r="C19" s="14" t="s">
        <v>18</v>
      </c>
      <c r="D19" s="15" t="s">
        <v>722</v>
      </c>
      <c r="E19" s="16">
        <v>43786</v>
      </c>
      <c r="F19" s="17" t="s">
        <v>723</v>
      </c>
      <c r="G19" s="18">
        <v>1</v>
      </c>
      <c r="H19" t="s">
        <v>724</v>
      </c>
      <c r="I19" s="22"/>
      <c r="J19" s="22"/>
    </row>
    <row r="20" spans="1:10" ht="15" customHeight="1" x14ac:dyDescent="0.25">
      <c r="A20" s="12">
        <f t="shared" si="0"/>
        <v>14</v>
      </c>
      <c r="B20" s="13" t="s">
        <v>921</v>
      </c>
      <c r="C20" s="14" t="s">
        <v>18</v>
      </c>
      <c r="D20" s="15" t="s">
        <v>715</v>
      </c>
      <c r="E20" s="16">
        <v>43788</v>
      </c>
      <c r="F20" s="17" t="s">
        <v>716</v>
      </c>
      <c r="G20" s="18">
        <v>1</v>
      </c>
      <c r="H20" s="23" t="s">
        <v>920</v>
      </c>
      <c r="I20" s="22"/>
      <c r="J20" s="22"/>
    </row>
    <row r="21" spans="1:10" ht="15" customHeight="1" x14ac:dyDescent="0.25">
      <c r="A21" s="12">
        <f t="shared" si="0"/>
        <v>15</v>
      </c>
      <c r="B21" s="13" t="s">
        <v>726</v>
      </c>
      <c r="C21" s="14" t="s">
        <v>18</v>
      </c>
      <c r="D21" s="15" t="s">
        <v>721</v>
      </c>
      <c r="E21" s="16">
        <v>43788</v>
      </c>
      <c r="F21" s="17" t="s">
        <v>26</v>
      </c>
      <c r="G21" s="18">
        <v>1</v>
      </c>
      <c r="I21" s="22"/>
      <c r="J21" s="22"/>
    </row>
    <row r="22" spans="1:10" ht="15" customHeight="1" x14ac:dyDescent="0.25">
      <c r="A22" s="12">
        <f t="shared" si="0"/>
        <v>16</v>
      </c>
      <c r="B22" s="13" t="s">
        <v>725</v>
      </c>
      <c r="C22" s="14" t="s">
        <v>18</v>
      </c>
      <c r="D22" s="15" t="s">
        <v>720</v>
      </c>
      <c r="E22" s="16">
        <v>43788</v>
      </c>
      <c r="F22" s="17" t="s">
        <v>26</v>
      </c>
      <c r="G22" s="18">
        <v>1</v>
      </c>
      <c r="I22" s="22"/>
      <c r="J22" s="22"/>
    </row>
    <row r="23" spans="1:10" ht="15" customHeight="1" x14ac:dyDescent="0.25">
      <c r="A23" s="12">
        <f t="shared" si="0"/>
        <v>17</v>
      </c>
      <c r="B23" s="13" t="s">
        <v>867</v>
      </c>
      <c r="C23" s="14" t="s">
        <v>18</v>
      </c>
      <c r="D23" s="15" t="s">
        <v>717</v>
      </c>
      <c r="E23" s="16">
        <v>43788</v>
      </c>
      <c r="F23" s="17" t="s">
        <v>718</v>
      </c>
      <c r="G23" s="18">
        <v>1</v>
      </c>
      <c r="H23" s="4" t="s">
        <v>719</v>
      </c>
      <c r="I23" s="22"/>
      <c r="J23" s="22"/>
    </row>
    <row r="24" spans="1:10" ht="15" customHeight="1" x14ac:dyDescent="0.25">
      <c r="A24" s="12">
        <f t="shared" si="0"/>
        <v>18</v>
      </c>
      <c r="B24" s="13"/>
      <c r="C24" s="14"/>
      <c r="D24" s="15"/>
      <c r="E24" s="16"/>
      <c r="F24" s="17"/>
      <c r="G24" s="18">
        <v>1</v>
      </c>
      <c r="I24" s="22"/>
      <c r="J24" s="22"/>
    </row>
    <row r="25" spans="1:10" ht="15" customHeight="1" x14ac:dyDescent="0.25">
      <c r="A25" s="12">
        <f t="shared" si="0"/>
        <v>19</v>
      </c>
      <c r="B25" s="13"/>
      <c r="C25" s="14"/>
      <c r="D25" s="15"/>
      <c r="E25" s="16"/>
      <c r="F25" s="17"/>
      <c r="G25" s="18">
        <v>1</v>
      </c>
      <c r="I25" s="22"/>
      <c r="J25" s="22"/>
    </row>
    <row r="26" spans="1:10" ht="15" customHeight="1" x14ac:dyDescent="0.25">
      <c r="A26" s="12">
        <f t="shared" si="0"/>
        <v>20</v>
      </c>
      <c r="B26" s="13"/>
      <c r="C26" s="14"/>
      <c r="D26" s="15"/>
      <c r="E26" s="16"/>
      <c r="F26" s="17"/>
      <c r="G26" s="18">
        <v>1</v>
      </c>
      <c r="I26" s="22"/>
      <c r="J26" s="22"/>
    </row>
    <row r="27" spans="1:10" x14ac:dyDescent="0.25">
      <c r="A27" s="12">
        <f t="shared" si="0"/>
        <v>21</v>
      </c>
      <c r="B27" s="13"/>
      <c r="C27" s="14"/>
      <c r="D27" s="15"/>
      <c r="E27" s="16"/>
      <c r="F27" s="17"/>
      <c r="G27" s="18">
        <v>1</v>
      </c>
    </row>
    <row r="28" spans="1:10" x14ac:dyDescent="0.25">
      <c r="A28" s="12">
        <f t="shared" si="0"/>
        <v>22</v>
      </c>
      <c r="B28" s="13"/>
      <c r="C28" s="14"/>
      <c r="D28" s="15"/>
      <c r="E28" s="16"/>
      <c r="F28" s="17"/>
      <c r="G28" s="18">
        <v>1</v>
      </c>
      <c r="H28" s="4"/>
    </row>
    <row r="29" spans="1:10" x14ac:dyDescent="0.25">
      <c r="A29" s="12">
        <f t="shared" si="0"/>
        <v>23</v>
      </c>
      <c r="B29" s="13"/>
      <c r="C29" s="14"/>
      <c r="D29" s="15"/>
      <c r="E29" s="16"/>
      <c r="F29" s="17"/>
      <c r="G29" s="18">
        <v>1</v>
      </c>
      <c r="H29" s="4"/>
    </row>
    <row r="30" spans="1:10" x14ac:dyDescent="0.25">
      <c r="A30" s="12">
        <f t="shared" si="0"/>
        <v>24</v>
      </c>
      <c r="B30" s="13"/>
      <c r="C30" s="14"/>
      <c r="D30" s="15"/>
      <c r="E30" s="16"/>
      <c r="F30" s="17"/>
      <c r="G30" s="18">
        <v>1</v>
      </c>
      <c r="H30" s="4"/>
    </row>
    <row r="31" spans="1:10" x14ac:dyDescent="0.25">
      <c r="A31" s="12">
        <f t="shared" si="0"/>
        <v>25</v>
      </c>
      <c r="B31" s="13"/>
      <c r="C31" s="14"/>
      <c r="D31" s="15"/>
      <c r="E31" s="16"/>
      <c r="F31" s="17"/>
      <c r="G31" s="18">
        <v>1</v>
      </c>
      <c r="H31" s="4"/>
    </row>
    <row r="32" spans="1:10" x14ac:dyDescent="0.25">
      <c r="A32" s="12">
        <f t="shared" si="0"/>
        <v>26</v>
      </c>
      <c r="B32" s="13"/>
      <c r="C32" s="14"/>
      <c r="D32" s="15"/>
      <c r="E32" s="16"/>
      <c r="F32" s="17"/>
      <c r="G32" s="18">
        <v>1</v>
      </c>
    </row>
    <row r="33" spans="1:7" x14ac:dyDescent="0.25">
      <c r="A33" s="12">
        <f t="shared" si="0"/>
        <v>27</v>
      </c>
      <c r="B33" s="13"/>
      <c r="C33" s="14"/>
      <c r="D33" s="15"/>
      <c r="E33" s="16"/>
      <c r="F33" s="17"/>
      <c r="G33" s="18">
        <v>1</v>
      </c>
    </row>
    <row r="34" spans="1:7" x14ac:dyDescent="0.25">
      <c r="A34" s="12">
        <f t="shared" si="0"/>
        <v>28</v>
      </c>
      <c r="B34" s="13"/>
      <c r="C34" s="14"/>
      <c r="D34" s="15"/>
      <c r="E34" s="16"/>
      <c r="F34" s="17"/>
      <c r="G34" s="18">
        <v>1</v>
      </c>
    </row>
    <row r="35" spans="1:7" x14ac:dyDescent="0.25">
      <c r="A35" s="12">
        <f t="shared" si="0"/>
        <v>29</v>
      </c>
      <c r="B35" s="13"/>
      <c r="C35" s="14"/>
      <c r="D35" s="15"/>
      <c r="E35" s="16"/>
      <c r="F35" s="17"/>
      <c r="G35" s="18">
        <v>1</v>
      </c>
    </row>
    <row r="36" spans="1:7" x14ac:dyDescent="0.25">
      <c r="A36" s="12">
        <f t="shared" si="0"/>
        <v>30</v>
      </c>
      <c r="B36" s="13"/>
      <c r="C36" s="14"/>
      <c r="D36" s="15"/>
      <c r="E36" s="16"/>
      <c r="F36" s="17"/>
      <c r="G36" s="18">
        <v>1</v>
      </c>
    </row>
    <row r="37" spans="1:7" x14ac:dyDescent="0.25">
      <c r="A37" s="12">
        <f t="shared" si="0"/>
        <v>31</v>
      </c>
      <c r="B37" s="13"/>
      <c r="C37" s="14"/>
      <c r="D37" s="15"/>
      <c r="E37" s="16"/>
      <c r="F37" s="17"/>
      <c r="G37" s="18">
        <v>1</v>
      </c>
    </row>
    <row r="38" spans="1:7" x14ac:dyDescent="0.25">
      <c r="A38" s="12">
        <f t="shared" si="0"/>
        <v>32</v>
      </c>
      <c r="B38" s="13"/>
      <c r="C38" s="14"/>
      <c r="D38" s="15"/>
      <c r="E38" s="16"/>
      <c r="F38" s="17"/>
      <c r="G38" s="18">
        <v>1</v>
      </c>
    </row>
    <row r="39" spans="1:7" x14ac:dyDescent="0.25">
      <c r="A39" s="12">
        <f t="shared" si="0"/>
        <v>33</v>
      </c>
      <c r="B39" s="13"/>
      <c r="C39" s="14"/>
      <c r="D39" s="15"/>
      <c r="E39" s="16"/>
      <c r="F39" s="17"/>
      <c r="G39" s="18">
        <v>1</v>
      </c>
    </row>
    <row r="40" spans="1:7" x14ac:dyDescent="0.25">
      <c r="A40" s="12">
        <f t="shared" si="0"/>
        <v>34</v>
      </c>
      <c r="B40" s="13"/>
      <c r="C40" s="14"/>
      <c r="D40" s="15"/>
      <c r="E40" s="16"/>
      <c r="F40" s="17"/>
      <c r="G40" s="18">
        <v>1</v>
      </c>
    </row>
    <row r="41" spans="1:7" x14ac:dyDescent="0.25">
      <c r="A41" s="12">
        <f t="shared" si="0"/>
        <v>35</v>
      </c>
      <c r="B41" s="13"/>
      <c r="C41" s="14"/>
      <c r="D41" s="15"/>
      <c r="E41" s="16"/>
      <c r="F41" s="17"/>
      <c r="G41" s="18">
        <v>1</v>
      </c>
    </row>
    <row r="42" spans="1:7" x14ac:dyDescent="0.25">
      <c r="A42" s="12">
        <f t="shared" si="0"/>
        <v>36</v>
      </c>
      <c r="B42" s="13"/>
      <c r="C42" s="14"/>
      <c r="D42" s="15"/>
      <c r="E42" s="16"/>
      <c r="F42" s="17"/>
      <c r="G42" s="18">
        <v>1</v>
      </c>
    </row>
    <row r="43" spans="1:7" x14ac:dyDescent="0.25">
      <c r="A43" s="12">
        <f t="shared" si="0"/>
        <v>37</v>
      </c>
      <c r="B43" s="13"/>
      <c r="C43" s="14"/>
      <c r="D43" s="15"/>
      <c r="E43" s="16"/>
      <c r="F43" s="17"/>
      <c r="G43" s="18">
        <v>1</v>
      </c>
    </row>
    <row r="44" spans="1:7" x14ac:dyDescent="0.25">
      <c r="A44" s="12">
        <f t="shared" si="0"/>
        <v>38</v>
      </c>
      <c r="B44" s="13"/>
      <c r="C44" s="14"/>
      <c r="D44" s="15"/>
      <c r="E44" s="16"/>
      <c r="F44" s="17"/>
      <c r="G44" s="18">
        <v>1</v>
      </c>
    </row>
    <row r="45" spans="1:7" x14ac:dyDescent="0.25">
      <c r="A45" s="12">
        <f t="shared" si="0"/>
        <v>39</v>
      </c>
      <c r="B45" s="13"/>
      <c r="C45" s="14"/>
      <c r="D45" s="15"/>
      <c r="E45" s="16"/>
      <c r="F45" s="17"/>
      <c r="G45" s="18">
        <v>1</v>
      </c>
    </row>
    <row r="46" spans="1:7" x14ac:dyDescent="0.25">
      <c r="A46" s="12">
        <f t="shared" si="0"/>
        <v>40</v>
      </c>
      <c r="B46" s="13"/>
      <c r="C46" s="14"/>
      <c r="D46" s="15"/>
      <c r="E46" s="16"/>
      <c r="F46" s="17"/>
      <c r="G46" s="18">
        <v>1</v>
      </c>
    </row>
    <row r="47" spans="1:7" x14ac:dyDescent="0.25">
      <c r="A47" s="12">
        <f t="shared" si="0"/>
        <v>41</v>
      </c>
      <c r="B47" s="13"/>
      <c r="C47" s="14"/>
      <c r="D47" s="15"/>
      <c r="E47" s="16"/>
      <c r="F47" s="17"/>
      <c r="G47" s="18">
        <v>1</v>
      </c>
    </row>
    <row r="48" spans="1:7" x14ac:dyDescent="0.25">
      <c r="A48" s="12">
        <f t="shared" si="0"/>
        <v>42</v>
      </c>
      <c r="B48" s="13"/>
      <c r="C48" s="14"/>
      <c r="D48" s="15"/>
      <c r="E48" s="16"/>
      <c r="F48" s="17"/>
      <c r="G48" s="18">
        <v>1</v>
      </c>
    </row>
    <row r="49" spans="1:7" x14ac:dyDescent="0.25">
      <c r="A49" s="12">
        <f t="shared" si="0"/>
        <v>43</v>
      </c>
      <c r="B49" s="13"/>
      <c r="C49" s="14"/>
      <c r="D49" s="15"/>
      <c r="E49" s="16"/>
      <c r="F49" s="17"/>
      <c r="G49" s="18">
        <v>1</v>
      </c>
    </row>
    <row r="50" spans="1:7" x14ac:dyDescent="0.25">
      <c r="A50" s="12">
        <f t="shared" si="0"/>
        <v>44</v>
      </c>
      <c r="B50" s="13"/>
      <c r="C50" s="14"/>
      <c r="D50" s="15"/>
      <c r="E50" s="16"/>
      <c r="F50" s="17"/>
      <c r="G50" s="18">
        <v>1</v>
      </c>
    </row>
    <row r="51" spans="1:7" x14ac:dyDescent="0.25">
      <c r="A51" s="12">
        <f t="shared" si="0"/>
        <v>45</v>
      </c>
      <c r="B51" s="13"/>
      <c r="C51" s="14"/>
      <c r="D51" s="15"/>
      <c r="E51" s="16"/>
      <c r="F51" s="17"/>
      <c r="G51" s="18">
        <v>1</v>
      </c>
    </row>
    <row r="52" spans="1:7" x14ac:dyDescent="0.25">
      <c r="A52" s="12">
        <f t="shared" si="0"/>
        <v>46</v>
      </c>
      <c r="B52" s="13"/>
      <c r="C52" s="14"/>
      <c r="D52" s="15"/>
      <c r="E52" s="16"/>
      <c r="F52" s="17"/>
      <c r="G52" s="18">
        <v>1</v>
      </c>
    </row>
    <row r="53" spans="1:7" x14ac:dyDescent="0.25">
      <c r="A53" s="12">
        <f t="shared" si="0"/>
        <v>47</v>
      </c>
      <c r="B53" s="13"/>
      <c r="C53" s="14"/>
      <c r="D53" s="15"/>
      <c r="E53" s="16"/>
      <c r="F53" s="17"/>
      <c r="G53" s="18">
        <v>1</v>
      </c>
    </row>
    <row r="54" spans="1:7" x14ac:dyDescent="0.25">
      <c r="A54" s="12">
        <f t="shared" si="0"/>
        <v>48</v>
      </c>
      <c r="B54" s="13"/>
      <c r="C54" s="14"/>
      <c r="D54" s="15"/>
      <c r="E54" s="16"/>
      <c r="F54" s="17"/>
      <c r="G54" s="18">
        <v>1</v>
      </c>
    </row>
    <row r="55" spans="1:7" x14ac:dyDescent="0.25">
      <c r="A55" s="12">
        <f t="shared" si="0"/>
        <v>49</v>
      </c>
      <c r="B55" s="13"/>
      <c r="C55" s="14"/>
      <c r="D55" s="15"/>
      <c r="E55" s="16"/>
      <c r="F55" s="17"/>
      <c r="G55" s="18">
        <v>1</v>
      </c>
    </row>
    <row r="56" spans="1:7" x14ac:dyDescent="0.25">
      <c r="A56" s="12">
        <f t="shared" si="0"/>
        <v>50</v>
      </c>
      <c r="B56" s="13"/>
      <c r="C56" s="14"/>
      <c r="D56" s="15"/>
      <c r="E56" s="16"/>
      <c r="F56" s="17"/>
      <c r="G56" s="18">
        <v>1</v>
      </c>
    </row>
    <row r="57" spans="1:7" x14ac:dyDescent="0.25">
      <c r="A57" s="12">
        <f t="shared" si="0"/>
        <v>51</v>
      </c>
      <c r="B57" s="13"/>
      <c r="C57" s="14"/>
      <c r="D57" s="15"/>
      <c r="E57" s="16"/>
      <c r="F57" s="17"/>
      <c r="G57" s="18">
        <v>1</v>
      </c>
    </row>
    <row r="58" spans="1:7" x14ac:dyDescent="0.25">
      <c r="A58" s="12">
        <f t="shared" si="0"/>
        <v>52</v>
      </c>
      <c r="B58" s="13"/>
      <c r="C58" s="14"/>
      <c r="D58" s="15"/>
      <c r="E58" s="16"/>
      <c r="F58" s="17"/>
      <c r="G58" s="18">
        <v>1</v>
      </c>
    </row>
    <row r="59" spans="1:7" x14ac:dyDescent="0.25">
      <c r="A59" s="12">
        <f t="shared" si="0"/>
        <v>53</v>
      </c>
      <c r="B59" s="13"/>
      <c r="C59" s="14"/>
      <c r="D59" s="15"/>
      <c r="E59" s="16"/>
      <c r="F59" s="17"/>
      <c r="G59" s="18">
        <v>1</v>
      </c>
    </row>
    <row r="60" spans="1:7" x14ac:dyDescent="0.25">
      <c r="A60" s="12">
        <f t="shared" si="0"/>
        <v>54</v>
      </c>
      <c r="B60" s="13"/>
      <c r="C60" s="14"/>
      <c r="D60" s="15"/>
      <c r="E60" s="16"/>
      <c r="F60" s="17"/>
      <c r="G60" s="18">
        <v>1</v>
      </c>
    </row>
    <row r="61" spans="1:7" x14ac:dyDescent="0.25">
      <c r="A61" s="12">
        <f t="shared" si="0"/>
        <v>55</v>
      </c>
      <c r="B61" s="13"/>
      <c r="C61" s="13"/>
      <c r="D61" s="13"/>
      <c r="E61" s="16"/>
      <c r="F61" s="17"/>
      <c r="G61" s="18">
        <v>1</v>
      </c>
    </row>
    <row r="62" spans="1:7" x14ac:dyDescent="0.25">
      <c r="A62" s="12">
        <f t="shared" si="0"/>
        <v>56</v>
      </c>
      <c r="B62" s="13"/>
      <c r="C62" s="13"/>
      <c r="D62" s="13"/>
      <c r="E62" s="16"/>
      <c r="F62" s="17"/>
      <c r="G62" s="18">
        <v>1</v>
      </c>
    </row>
    <row r="63" spans="1:7" x14ac:dyDescent="0.25">
      <c r="A63" s="12">
        <f t="shared" si="0"/>
        <v>57</v>
      </c>
      <c r="B63" s="13"/>
      <c r="C63" s="13"/>
      <c r="D63" s="13"/>
      <c r="E63" s="16"/>
      <c r="F63" s="17"/>
      <c r="G63" s="18">
        <v>1</v>
      </c>
    </row>
    <row r="64" spans="1:7" x14ac:dyDescent="0.25">
      <c r="A64" s="12">
        <f t="shared" si="0"/>
        <v>58</v>
      </c>
      <c r="B64" s="13"/>
      <c r="C64" s="13"/>
      <c r="D64" s="13"/>
      <c r="E64" s="16"/>
      <c r="F64" s="17"/>
      <c r="G64" s="18">
        <v>1</v>
      </c>
    </row>
    <row r="65" spans="1:7" x14ac:dyDescent="0.25">
      <c r="A65" s="12">
        <f t="shared" si="0"/>
        <v>59</v>
      </c>
      <c r="B65" s="13"/>
      <c r="C65" s="13"/>
      <c r="D65" s="13"/>
      <c r="E65" s="16"/>
      <c r="F65" s="17"/>
      <c r="G65" s="18">
        <v>1</v>
      </c>
    </row>
    <row r="66" spans="1:7" x14ac:dyDescent="0.25">
      <c r="A66" s="12">
        <f t="shared" si="0"/>
        <v>60</v>
      </c>
      <c r="B66" s="13"/>
      <c r="C66" s="13"/>
      <c r="D66" s="13"/>
      <c r="E66" s="16"/>
      <c r="F66" s="17"/>
      <c r="G66" s="18">
        <v>1</v>
      </c>
    </row>
    <row r="67" spans="1:7" x14ac:dyDescent="0.25">
      <c r="A67" s="12">
        <f t="shared" si="0"/>
        <v>61</v>
      </c>
      <c r="B67" s="13"/>
      <c r="C67" s="13"/>
      <c r="D67" s="13"/>
      <c r="E67" s="16"/>
      <c r="F67" s="17"/>
      <c r="G67" s="18">
        <v>1</v>
      </c>
    </row>
    <row r="68" spans="1:7" x14ac:dyDescent="0.25">
      <c r="A68" s="12">
        <f t="shared" si="0"/>
        <v>62</v>
      </c>
      <c r="B68" s="13"/>
      <c r="C68" s="13"/>
      <c r="D68" s="13"/>
      <c r="E68" s="16"/>
      <c r="F68" s="17"/>
      <c r="G68" s="18">
        <v>1</v>
      </c>
    </row>
  </sheetData>
  <sortState ref="B7:H23">
    <sortCondition ref="E7:E23"/>
    <sortCondition ref="D7:D23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opLeftCell="A43" workbookViewId="0">
      <selection activeCell="B64" sqref="B64"/>
    </sheetView>
  </sheetViews>
  <sheetFormatPr baseColWidth="10" defaultColWidth="11.42578125" defaultRowHeight="15" x14ac:dyDescent="0.25"/>
  <cols>
    <col min="1" max="1" width="8.85546875" bestFit="1" customWidth="1"/>
    <col min="2" max="2" width="15" customWidth="1"/>
    <col min="5" max="5" width="10.85546875" customWidth="1"/>
    <col min="6" max="6" width="21.28515625" customWidth="1"/>
    <col min="7" max="7" width="2.710937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2" t="s">
        <v>2</v>
      </c>
      <c r="B2" s="32"/>
      <c r="C2" s="32"/>
      <c r="D2" s="2"/>
      <c r="E2" s="5" t="s">
        <v>3</v>
      </c>
      <c r="F2" s="5"/>
      <c r="G2" s="3"/>
      <c r="H2" s="3"/>
      <c r="I2" s="29" t="s">
        <v>4</v>
      </c>
      <c r="J2" s="30"/>
      <c r="K2" s="6">
        <f>SUMIF(F7:F77,"Elimination*",G7:G77)</f>
        <v>48</v>
      </c>
    </row>
    <row r="3" spans="1:11" x14ac:dyDescent="0.25">
      <c r="A3" s="33" t="s">
        <v>5</v>
      </c>
      <c r="B3" s="33"/>
      <c r="C3" s="33"/>
      <c r="D3" s="5"/>
      <c r="E3" s="3" t="s">
        <v>6</v>
      </c>
      <c r="F3" s="3"/>
      <c r="G3" s="3"/>
      <c r="H3" s="3"/>
      <c r="I3" s="29" t="s">
        <v>7</v>
      </c>
      <c r="J3" s="30"/>
      <c r="K3" s="6">
        <f>SUMIF(F7:F77,"NB*",G7:G77)</f>
        <v>10</v>
      </c>
    </row>
    <row r="4" spans="1:11" ht="18" x14ac:dyDescent="0.25">
      <c r="A4" s="31" t="s">
        <v>8</v>
      </c>
      <c r="B4" s="31"/>
      <c r="C4" s="31"/>
      <c r="D4" s="31"/>
      <c r="E4" s="31"/>
      <c r="F4" s="31"/>
      <c r="G4" s="3"/>
      <c r="H4" s="3"/>
      <c r="I4" s="29" t="s">
        <v>9</v>
      </c>
      <c r="J4" s="30"/>
      <c r="K4" s="6">
        <f>SUMIF(F7:F77,"Ve*",G7:G77)</f>
        <v>0</v>
      </c>
    </row>
    <row r="5" spans="1:11" ht="15.75" x14ac:dyDescent="0.25">
      <c r="A5" s="28" t="s">
        <v>727</v>
      </c>
      <c r="B5" s="28"/>
      <c r="C5" s="28"/>
      <c r="D5" s="28"/>
      <c r="E5" s="28"/>
      <c r="F5" s="28"/>
      <c r="G5" s="7"/>
      <c r="H5" s="7"/>
      <c r="I5" s="29" t="s">
        <v>10</v>
      </c>
      <c r="J5" s="30"/>
      <c r="K5" s="8">
        <f>SUM(K2:K4)</f>
        <v>58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739</v>
      </c>
      <c r="C7" s="14">
        <v>80</v>
      </c>
      <c r="D7" s="15" t="s">
        <v>738</v>
      </c>
      <c r="E7" s="16">
        <v>43801</v>
      </c>
      <c r="F7" s="17" t="s">
        <v>26</v>
      </c>
      <c r="G7" s="18">
        <v>1</v>
      </c>
      <c r="H7" s="19"/>
      <c r="I7" s="22"/>
      <c r="J7" s="22"/>
      <c r="K7" s="4"/>
    </row>
    <row r="8" spans="1:11" ht="15" customHeight="1" x14ac:dyDescent="0.25">
      <c r="A8" s="12">
        <f t="shared" ref="A8:A64" si="0">+A7+1</f>
        <v>2</v>
      </c>
      <c r="B8" s="13" t="s">
        <v>736</v>
      </c>
      <c r="C8" s="14">
        <v>30</v>
      </c>
      <c r="D8" s="15" t="s">
        <v>737</v>
      </c>
      <c r="E8" s="16">
        <v>43809</v>
      </c>
      <c r="F8" s="17" t="s">
        <v>26</v>
      </c>
      <c r="G8" s="18">
        <v>1</v>
      </c>
      <c r="H8" s="19"/>
      <c r="I8" s="22"/>
      <c r="J8" s="22"/>
      <c r="K8" s="4"/>
    </row>
    <row r="9" spans="1:11" ht="15" customHeight="1" x14ac:dyDescent="0.25">
      <c r="A9" s="12">
        <f t="shared" si="0"/>
        <v>3</v>
      </c>
      <c r="B9" s="13" t="s">
        <v>748</v>
      </c>
      <c r="C9" s="14" t="s">
        <v>24</v>
      </c>
      <c r="D9" s="15" t="s">
        <v>749</v>
      </c>
      <c r="E9" s="16">
        <v>43817</v>
      </c>
      <c r="F9" s="17" t="s">
        <v>26</v>
      </c>
      <c r="G9" s="18">
        <v>1</v>
      </c>
      <c r="H9" s="23"/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754</v>
      </c>
      <c r="C10" s="14" t="s">
        <v>18</v>
      </c>
      <c r="D10" s="15" t="s">
        <v>755</v>
      </c>
      <c r="E10" s="16">
        <v>43817</v>
      </c>
      <c r="F10" s="17" t="s">
        <v>26</v>
      </c>
      <c r="G10" s="18">
        <v>1</v>
      </c>
      <c r="H10" s="23"/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752</v>
      </c>
      <c r="C11" s="14" t="s">
        <v>18</v>
      </c>
      <c r="D11" s="15" t="s">
        <v>753</v>
      </c>
      <c r="E11" s="16">
        <v>43817</v>
      </c>
      <c r="F11" s="17" t="s">
        <v>26</v>
      </c>
      <c r="G11" s="18">
        <v>1</v>
      </c>
      <c r="H11" s="19"/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907</v>
      </c>
      <c r="C12" s="14" t="s">
        <v>18</v>
      </c>
      <c r="D12" s="15" t="s">
        <v>803</v>
      </c>
      <c r="E12" s="16">
        <v>43817</v>
      </c>
      <c r="F12" s="24" t="s">
        <v>804</v>
      </c>
      <c r="G12" s="18">
        <v>1</v>
      </c>
      <c r="H12" s="19"/>
      <c r="I12" s="22"/>
      <c r="J12" s="22"/>
    </row>
    <row r="13" spans="1:11" ht="15" customHeight="1" x14ac:dyDescent="0.25">
      <c r="A13" s="12">
        <f t="shared" si="0"/>
        <v>7</v>
      </c>
      <c r="B13" s="13" t="s">
        <v>756</v>
      </c>
      <c r="C13" s="14" t="s">
        <v>18</v>
      </c>
      <c r="D13" s="15" t="s">
        <v>767</v>
      </c>
      <c r="E13" s="16">
        <v>43817</v>
      </c>
      <c r="F13" s="17" t="s">
        <v>26</v>
      </c>
      <c r="G13" s="18">
        <v>1</v>
      </c>
      <c r="H13" s="19"/>
      <c r="I13" s="22"/>
      <c r="J13" s="22"/>
    </row>
    <row r="14" spans="1:11" ht="15" customHeight="1" x14ac:dyDescent="0.25">
      <c r="A14" s="12">
        <f t="shared" si="0"/>
        <v>8</v>
      </c>
      <c r="B14" s="13" t="s">
        <v>729</v>
      </c>
      <c r="C14" s="14" t="s">
        <v>18</v>
      </c>
      <c r="D14" s="15" t="s">
        <v>732</v>
      </c>
      <c r="E14" s="16">
        <v>43817</v>
      </c>
      <c r="F14" s="17" t="s">
        <v>26</v>
      </c>
      <c r="G14" s="18">
        <v>1</v>
      </c>
      <c r="H14" s="19"/>
      <c r="I14" s="22"/>
      <c r="J14" s="22"/>
    </row>
    <row r="15" spans="1:11" ht="15" customHeight="1" x14ac:dyDescent="0.25">
      <c r="A15" s="12">
        <f t="shared" si="0"/>
        <v>9</v>
      </c>
      <c r="B15" s="13" t="s">
        <v>731</v>
      </c>
      <c r="C15" s="14" t="s">
        <v>18</v>
      </c>
      <c r="D15" s="15" t="s">
        <v>733</v>
      </c>
      <c r="E15" s="16">
        <v>43817</v>
      </c>
      <c r="F15" s="17" t="s">
        <v>26</v>
      </c>
      <c r="G15" s="18">
        <v>1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728</v>
      </c>
      <c r="C16" s="14" t="s">
        <v>18</v>
      </c>
      <c r="D16" s="15" t="s">
        <v>734</v>
      </c>
      <c r="E16" s="16">
        <v>43817</v>
      </c>
      <c r="F16" s="17" t="s">
        <v>26</v>
      </c>
      <c r="G16" s="18">
        <v>1</v>
      </c>
      <c r="H16" s="19"/>
      <c r="I16" s="22"/>
      <c r="J16" s="22"/>
    </row>
    <row r="17" spans="1:10" ht="15" customHeight="1" x14ac:dyDescent="0.25">
      <c r="A17" s="12">
        <f t="shared" si="0"/>
        <v>11</v>
      </c>
      <c r="B17" s="13" t="s">
        <v>730</v>
      </c>
      <c r="C17" s="14" t="s">
        <v>18</v>
      </c>
      <c r="D17" s="15" t="s">
        <v>735</v>
      </c>
      <c r="E17" s="16">
        <v>43817</v>
      </c>
      <c r="F17" s="17" t="s">
        <v>26</v>
      </c>
      <c r="G17" s="18">
        <v>1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758</v>
      </c>
      <c r="C18" s="14" t="s">
        <v>18</v>
      </c>
      <c r="D18" s="15" t="s">
        <v>759</v>
      </c>
      <c r="E18" s="16">
        <v>43817</v>
      </c>
      <c r="F18" s="17" t="s">
        <v>26</v>
      </c>
      <c r="G18" s="18">
        <v>1</v>
      </c>
      <c r="H18" s="23"/>
      <c r="I18" s="22"/>
      <c r="J18" s="22"/>
    </row>
    <row r="19" spans="1:10" ht="15" customHeight="1" x14ac:dyDescent="0.25">
      <c r="A19" s="12">
        <f t="shared" si="0"/>
        <v>13</v>
      </c>
      <c r="B19" s="13" t="s">
        <v>762</v>
      </c>
      <c r="C19" s="14" t="s">
        <v>18</v>
      </c>
      <c r="D19" s="15" t="s">
        <v>763</v>
      </c>
      <c r="E19" s="16">
        <v>43817</v>
      </c>
      <c r="F19" s="17" t="s">
        <v>26</v>
      </c>
      <c r="G19" s="18">
        <v>1</v>
      </c>
      <c r="I19" s="22"/>
      <c r="J19" s="22"/>
    </row>
    <row r="20" spans="1:10" ht="15" customHeight="1" x14ac:dyDescent="0.25">
      <c r="A20" s="12">
        <f t="shared" si="0"/>
        <v>14</v>
      </c>
      <c r="B20" s="13" t="s">
        <v>760</v>
      </c>
      <c r="C20" s="14" t="s">
        <v>18</v>
      </c>
      <c r="D20" s="15" t="s">
        <v>761</v>
      </c>
      <c r="E20" s="16">
        <v>43817</v>
      </c>
      <c r="F20" s="17" t="s">
        <v>26</v>
      </c>
      <c r="G20" s="18">
        <v>1</v>
      </c>
      <c r="I20" s="22"/>
      <c r="J20" s="22"/>
    </row>
    <row r="21" spans="1:10" ht="15" customHeight="1" x14ac:dyDescent="0.25">
      <c r="A21" s="12">
        <f t="shared" si="0"/>
        <v>15</v>
      </c>
      <c r="B21" s="13" t="s">
        <v>766</v>
      </c>
      <c r="C21" s="14" t="s">
        <v>18</v>
      </c>
      <c r="D21" s="15" t="s">
        <v>757</v>
      </c>
      <c r="E21" s="16">
        <v>43817</v>
      </c>
      <c r="F21" s="17" t="s">
        <v>26</v>
      </c>
      <c r="G21" s="18">
        <v>1</v>
      </c>
      <c r="H21" s="4"/>
      <c r="I21" s="22"/>
      <c r="J21" s="22"/>
    </row>
    <row r="22" spans="1:10" ht="15" customHeight="1" x14ac:dyDescent="0.25">
      <c r="A22" s="12">
        <f t="shared" si="0"/>
        <v>16</v>
      </c>
      <c r="B22" s="13" t="s">
        <v>764</v>
      </c>
      <c r="C22" s="14" t="s">
        <v>18</v>
      </c>
      <c r="D22" s="15" t="s">
        <v>765</v>
      </c>
      <c r="E22" s="16">
        <v>43817</v>
      </c>
      <c r="F22" s="17" t="s">
        <v>26</v>
      </c>
      <c r="G22" s="18">
        <v>1</v>
      </c>
      <c r="I22" s="22"/>
      <c r="J22" s="22"/>
    </row>
    <row r="23" spans="1:10" ht="15" customHeight="1" x14ac:dyDescent="0.25">
      <c r="A23" s="12">
        <f t="shared" si="0"/>
        <v>17</v>
      </c>
      <c r="B23" s="13" t="s">
        <v>750</v>
      </c>
      <c r="C23" s="14" t="s">
        <v>18</v>
      </c>
      <c r="D23" s="15" t="s">
        <v>751</v>
      </c>
      <c r="E23" s="16">
        <v>43817</v>
      </c>
      <c r="F23" s="17" t="s">
        <v>26</v>
      </c>
      <c r="G23" s="18">
        <v>1</v>
      </c>
      <c r="I23" s="22"/>
      <c r="J23" s="22"/>
    </row>
    <row r="24" spans="1:10" ht="15" customHeight="1" x14ac:dyDescent="0.25">
      <c r="A24" s="12">
        <f t="shared" si="0"/>
        <v>18</v>
      </c>
      <c r="B24" s="13" t="s">
        <v>744</v>
      </c>
      <c r="C24" s="14" t="s">
        <v>18</v>
      </c>
      <c r="D24" s="15" t="s">
        <v>745</v>
      </c>
      <c r="E24" s="16">
        <v>43817</v>
      </c>
      <c r="F24" s="17" t="s">
        <v>26</v>
      </c>
      <c r="G24" s="18">
        <v>1</v>
      </c>
      <c r="I24" s="22"/>
      <c r="J24" s="22"/>
    </row>
    <row r="25" spans="1:10" x14ac:dyDescent="0.25">
      <c r="A25" s="12">
        <f t="shared" si="0"/>
        <v>19</v>
      </c>
      <c r="B25" s="13" t="s">
        <v>746</v>
      </c>
      <c r="C25" s="14" t="s">
        <v>18</v>
      </c>
      <c r="D25" s="15" t="s">
        <v>747</v>
      </c>
      <c r="E25" s="16">
        <v>43817</v>
      </c>
      <c r="F25" s="17" t="s">
        <v>26</v>
      </c>
      <c r="G25" s="18">
        <v>1</v>
      </c>
    </row>
    <row r="26" spans="1:10" x14ac:dyDescent="0.25">
      <c r="A26" s="12">
        <f t="shared" si="0"/>
        <v>20</v>
      </c>
      <c r="B26" s="13" t="s">
        <v>740</v>
      </c>
      <c r="C26" s="14" t="s">
        <v>18</v>
      </c>
      <c r="D26" s="15" t="s">
        <v>741</v>
      </c>
      <c r="E26" s="16">
        <v>43817</v>
      </c>
      <c r="F26" s="17" t="s">
        <v>26</v>
      </c>
      <c r="G26" s="18">
        <v>1</v>
      </c>
      <c r="H26" s="4"/>
    </row>
    <row r="27" spans="1:10" x14ac:dyDescent="0.25">
      <c r="A27" s="12">
        <f t="shared" si="0"/>
        <v>21</v>
      </c>
      <c r="B27" s="13" t="s">
        <v>742</v>
      </c>
      <c r="C27" s="14" t="s">
        <v>18</v>
      </c>
      <c r="D27" s="15" t="s">
        <v>743</v>
      </c>
      <c r="E27" s="16">
        <v>43817</v>
      </c>
      <c r="F27" s="17" t="s">
        <v>26</v>
      </c>
      <c r="G27" s="18">
        <v>1</v>
      </c>
      <c r="H27" s="4"/>
    </row>
    <row r="28" spans="1:10" x14ac:dyDescent="0.25">
      <c r="A28" s="12">
        <f t="shared" si="0"/>
        <v>22</v>
      </c>
      <c r="B28" s="13" t="s">
        <v>260</v>
      </c>
      <c r="C28" s="14" t="s">
        <v>24</v>
      </c>
      <c r="D28" s="15" t="s">
        <v>770</v>
      </c>
      <c r="E28" s="16">
        <v>43818</v>
      </c>
      <c r="F28" s="17" t="s">
        <v>26</v>
      </c>
      <c r="G28" s="18">
        <v>1</v>
      </c>
      <c r="H28" s="4"/>
    </row>
    <row r="29" spans="1:10" x14ac:dyDescent="0.25">
      <c r="A29" s="12">
        <f t="shared" si="0"/>
        <v>23</v>
      </c>
      <c r="B29" s="13" t="s">
        <v>795</v>
      </c>
      <c r="C29" s="14" t="s">
        <v>24</v>
      </c>
      <c r="D29" s="15" t="s">
        <v>796</v>
      </c>
      <c r="E29" s="16">
        <v>43818</v>
      </c>
      <c r="F29" s="17" t="s">
        <v>26</v>
      </c>
      <c r="G29" s="18">
        <v>1</v>
      </c>
      <c r="H29" s="4"/>
    </row>
    <row r="30" spans="1:10" x14ac:dyDescent="0.25">
      <c r="A30" s="12">
        <f t="shared" si="0"/>
        <v>24</v>
      </c>
      <c r="B30" s="13" t="s">
        <v>809</v>
      </c>
      <c r="C30" s="14">
        <v>30</v>
      </c>
      <c r="D30" s="15" t="s">
        <v>810</v>
      </c>
      <c r="E30" s="16">
        <v>43818</v>
      </c>
      <c r="F30" s="17" t="s">
        <v>26</v>
      </c>
      <c r="G30" s="18">
        <v>1</v>
      </c>
    </row>
    <row r="31" spans="1:10" x14ac:dyDescent="0.25">
      <c r="A31" s="12">
        <f t="shared" si="0"/>
        <v>25</v>
      </c>
      <c r="B31" s="13" t="s">
        <v>799</v>
      </c>
      <c r="C31" s="14" t="s">
        <v>18</v>
      </c>
      <c r="D31" s="15" t="s">
        <v>800</v>
      </c>
      <c r="E31" s="16">
        <v>43818</v>
      </c>
      <c r="F31" s="17" t="s">
        <v>26</v>
      </c>
      <c r="G31" s="18">
        <v>1</v>
      </c>
    </row>
    <row r="32" spans="1:10" x14ac:dyDescent="0.25">
      <c r="A32" s="12">
        <f t="shared" si="0"/>
        <v>26</v>
      </c>
      <c r="B32" s="13" t="s">
        <v>771</v>
      </c>
      <c r="C32" s="14" t="s">
        <v>18</v>
      </c>
      <c r="D32" s="15" t="s">
        <v>772</v>
      </c>
      <c r="E32" s="16">
        <v>43818</v>
      </c>
      <c r="F32" s="17" t="s">
        <v>26</v>
      </c>
      <c r="G32" s="18">
        <v>1</v>
      </c>
    </row>
    <row r="33" spans="1:7" x14ac:dyDescent="0.25">
      <c r="A33" s="12">
        <f t="shared" si="0"/>
        <v>27</v>
      </c>
      <c r="B33" s="13" t="s">
        <v>768</v>
      </c>
      <c r="C33" s="14" t="s">
        <v>18</v>
      </c>
      <c r="D33" s="15" t="s">
        <v>769</v>
      </c>
      <c r="E33" s="16">
        <v>43818</v>
      </c>
      <c r="F33" s="17" t="s">
        <v>26</v>
      </c>
      <c r="G33" s="18">
        <v>1</v>
      </c>
    </row>
    <row r="34" spans="1:7" x14ac:dyDescent="0.25">
      <c r="A34" s="12">
        <f t="shared" si="0"/>
        <v>28</v>
      </c>
      <c r="B34" s="13" t="s">
        <v>805</v>
      </c>
      <c r="C34" s="14" t="s">
        <v>18</v>
      </c>
      <c r="D34" s="15" t="s">
        <v>806</v>
      </c>
      <c r="E34" s="16">
        <v>43818</v>
      </c>
      <c r="F34" s="17" t="s">
        <v>26</v>
      </c>
      <c r="G34" s="18">
        <v>1</v>
      </c>
    </row>
    <row r="35" spans="1:7" x14ac:dyDescent="0.25">
      <c r="A35" s="12">
        <f t="shared" si="0"/>
        <v>29</v>
      </c>
      <c r="B35" s="13" t="s">
        <v>807</v>
      </c>
      <c r="C35" s="14" t="s">
        <v>18</v>
      </c>
      <c r="D35" s="15" t="s">
        <v>808</v>
      </c>
      <c r="E35" s="16">
        <v>43818</v>
      </c>
      <c r="F35" s="17" t="s">
        <v>26</v>
      </c>
      <c r="G35" s="18">
        <v>1</v>
      </c>
    </row>
    <row r="36" spans="1:7" x14ac:dyDescent="0.25">
      <c r="A36" s="12">
        <f t="shared" si="0"/>
        <v>30</v>
      </c>
      <c r="B36" s="13" t="s">
        <v>801</v>
      </c>
      <c r="C36" s="14" t="s">
        <v>18</v>
      </c>
      <c r="D36" s="15" t="s">
        <v>802</v>
      </c>
      <c r="E36" s="16">
        <v>43818</v>
      </c>
      <c r="F36" s="17" t="s">
        <v>26</v>
      </c>
      <c r="G36" s="18">
        <v>1</v>
      </c>
    </row>
    <row r="37" spans="1:7" x14ac:dyDescent="0.25">
      <c r="A37" s="12">
        <f t="shared" si="0"/>
        <v>31</v>
      </c>
      <c r="B37" s="13" t="s">
        <v>787</v>
      </c>
      <c r="C37" s="14" t="s">
        <v>18</v>
      </c>
      <c r="D37" s="15" t="s">
        <v>788</v>
      </c>
      <c r="E37" s="16">
        <v>43818</v>
      </c>
      <c r="F37" s="17" t="s">
        <v>26</v>
      </c>
      <c r="G37" s="18">
        <v>1</v>
      </c>
    </row>
    <row r="38" spans="1:7" x14ac:dyDescent="0.25">
      <c r="A38" s="12">
        <f t="shared" si="0"/>
        <v>32</v>
      </c>
      <c r="B38" s="13" t="s">
        <v>785</v>
      </c>
      <c r="C38" s="14" t="s">
        <v>18</v>
      </c>
      <c r="D38" s="15" t="s">
        <v>786</v>
      </c>
      <c r="E38" s="16">
        <v>43818</v>
      </c>
      <c r="F38" s="17" t="s">
        <v>26</v>
      </c>
      <c r="G38" s="18">
        <v>1</v>
      </c>
    </row>
    <row r="39" spans="1:7" x14ac:dyDescent="0.25">
      <c r="A39" s="12">
        <f t="shared" si="0"/>
        <v>33</v>
      </c>
      <c r="B39" s="13" t="s">
        <v>789</v>
      </c>
      <c r="C39" s="14" t="s">
        <v>18</v>
      </c>
      <c r="D39" s="15" t="s">
        <v>790</v>
      </c>
      <c r="E39" s="16">
        <v>43818</v>
      </c>
      <c r="F39" s="17" t="s">
        <v>26</v>
      </c>
      <c r="G39" s="18">
        <v>1</v>
      </c>
    </row>
    <row r="40" spans="1:7" x14ac:dyDescent="0.25">
      <c r="A40" s="12">
        <f t="shared" si="0"/>
        <v>34</v>
      </c>
      <c r="B40" s="13" t="s">
        <v>791</v>
      </c>
      <c r="C40" s="14" t="s">
        <v>18</v>
      </c>
      <c r="D40" s="15" t="s">
        <v>792</v>
      </c>
      <c r="E40" s="16">
        <v>43818</v>
      </c>
      <c r="F40" s="17" t="s">
        <v>26</v>
      </c>
      <c r="G40" s="18">
        <v>1</v>
      </c>
    </row>
    <row r="41" spans="1:7" x14ac:dyDescent="0.25">
      <c r="A41" s="12">
        <f t="shared" si="0"/>
        <v>35</v>
      </c>
      <c r="B41" s="13" t="s">
        <v>793</v>
      </c>
      <c r="C41" s="14" t="s">
        <v>18</v>
      </c>
      <c r="D41" s="15" t="s">
        <v>794</v>
      </c>
      <c r="E41" s="16">
        <v>43818</v>
      </c>
      <c r="F41" s="17" t="s">
        <v>26</v>
      </c>
      <c r="G41" s="18">
        <v>1</v>
      </c>
    </row>
    <row r="42" spans="1:7" x14ac:dyDescent="0.25">
      <c r="A42" s="12">
        <f t="shared" si="0"/>
        <v>36</v>
      </c>
      <c r="B42" s="13" t="s">
        <v>777</v>
      </c>
      <c r="C42" s="14" t="s">
        <v>18</v>
      </c>
      <c r="D42" s="15" t="s">
        <v>778</v>
      </c>
      <c r="E42" s="16">
        <v>43818</v>
      </c>
      <c r="F42" s="17" t="s">
        <v>26</v>
      </c>
      <c r="G42" s="18">
        <v>1</v>
      </c>
    </row>
    <row r="43" spans="1:7" x14ac:dyDescent="0.25">
      <c r="A43" s="12">
        <f t="shared" si="0"/>
        <v>37</v>
      </c>
      <c r="B43" s="13" t="s">
        <v>775</v>
      </c>
      <c r="C43" s="14" t="s">
        <v>18</v>
      </c>
      <c r="D43" s="15" t="s">
        <v>776</v>
      </c>
      <c r="E43" s="16">
        <v>43818</v>
      </c>
      <c r="F43" s="17" t="s">
        <v>26</v>
      </c>
      <c r="G43" s="18">
        <v>1</v>
      </c>
    </row>
    <row r="44" spans="1:7" x14ac:dyDescent="0.25">
      <c r="A44" s="12">
        <f t="shared" si="0"/>
        <v>38</v>
      </c>
      <c r="B44" s="13" t="s">
        <v>779</v>
      </c>
      <c r="C44" s="14" t="s">
        <v>18</v>
      </c>
      <c r="D44" s="15" t="s">
        <v>780</v>
      </c>
      <c r="E44" s="16">
        <v>43818</v>
      </c>
      <c r="F44" s="17" t="s">
        <v>26</v>
      </c>
      <c r="G44" s="18">
        <v>1</v>
      </c>
    </row>
    <row r="45" spans="1:7" x14ac:dyDescent="0.25">
      <c r="A45" s="12">
        <f t="shared" si="0"/>
        <v>39</v>
      </c>
      <c r="B45" s="13" t="s">
        <v>781</v>
      </c>
      <c r="C45" s="14" t="s">
        <v>18</v>
      </c>
      <c r="D45" s="15" t="s">
        <v>782</v>
      </c>
      <c r="E45" s="16">
        <v>43818</v>
      </c>
      <c r="F45" s="17" t="s">
        <v>26</v>
      </c>
      <c r="G45" s="18">
        <v>1</v>
      </c>
    </row>
    <row r="46" spans="1:7" x14ac:dyDescent="0.25">
      <c r="A46" s="12">
        <f t="shared" si="0"/>
        <v>40</v>
      </c>
      <c r="B46" s="13" t="s">
        <v>783</v>
      </c>
      <c r="C46" s="14" t="s">
        <v>18</v>
      </c>
      <c r="D46" s="15" t="s">
        <v>784</v>
      </c>
      <c r="E46" s="16">
        <v>43818</v>
      </c>
      <c r="F46" s="17" t="s">
        <v>26</v>
      </c>
      <c r="G46" s="18">
        <v>1</v>
      </c>
    </row>
    <row r="47" spans="1:7" x14ac:dyDescent="0.25">
      <c r="A47" s="12">
        <f t="shared" si="0"/>
        <v>41</v>
      </c>
      <c r="B47" s="13" t="s">
        <v>797</v>
      </c>
      <c r="C47" s="14" t="s">
        <v>18</v>
      </c>
      <c r="D47" s="15" t="s">
        <v>798</v>
      </c>
      <c r="E47" s="16">
        <v>43818</v>
      </c>
      <c r="F47" s="17" t="s">
        <v>26</v>
      </c>
      <c r="G47" s="18">
        <v>1</v>
      </c>
    </row>
    <row r="48" spans="1:7" x14ac:dyDescent="0.25">
      <c r="A48" s="12">
        <f t="shared" si="0"/>
        <v>42</v>
      </c>
      <c r="B48" s="13" t="s">
        <v>773</v>
      </c>
      <c r="C48" s="14" t="s">
        <v>18</v>
      </c>
      <c r="D48" s="15" t="s">
        <v>774</v>
      </c>
      <c r="E48" s="16">
        <v>43818</v>
      </c>
      <c r="F48" s="17" t="s">
        <v>26</v>
      </c>
      <c r="G48" s="18">
        <v>1</v>
      </c>
    </row>
    <row r="49" spans="1:8" x14ac:dyDescent="0.25">
      <c r="A49" s="12">
        <f t="shared" si="0"/>
        <v>43</v>
      </c>
      <c r="B49" s="13" t="s">
        <v>908</v>
      </c>
      <c r="C49" s="14" t="s">
        <v>18</v>
      </c>
      <c r="D49" s="15" t="s">
        <v>811</v>
      </c>
      <c r="E49" s="16">
        <v>43821</v>
      </c>
      <c r="F49" s="24" t="s">
        <v>812</v>
      </c>
      <c r="G49" s="18">
        <v>1</v>
      </c>
      <c r="H49" t="s">
        <v>813</v>
      </c>
    </row>
    <row r="50" spans="1:8" x14ac:dyDescent="0.25">
      <c r="A50" s="12">
        <f t="shared" si="0"/>
        <v>44</v>
      </c>
      <c r="B50" s="13" t="s">
        <v>909</v>
      </c>
      <c r="C50" s="14" t="s">
        <v>18</v>
      </c>
      <c r="D50" s="15" t="s">
        <v>814</v>
      </c>
      <c r="E50" s="16">
        <v>43821</v>
      </c>
      <c r="F50" s="24" t="s">
        <v>815</v>
      </c>
      <c r="G50" s="18">
        <v>1</v>
      </c>
      <c r="H50" t="s">
        <v>816</v>
      </c>
    </row>
    <row r="51" spans="1:8" x14ac:dyDescent="0.25">
      <c r="A51" s="12">
        <f t="shared" si="0"/>
        <v>45</v>
      </c>
      <c r="B51" s="13" t="s">
        <v>910</v>
      </c>
      <c r="C51" s="14" t="s">
        <v>18</v>
      </c>
      <c r="D51" s="15" t="s">
        <v>823</v>
      </c>
      <c r="E51" s="16">
        <v>43822</v>
      </c>
      <c r="F51" s="24" t="s">
        <v>824</v>
      </c>
      <c r="G51" s="18">
        <v>1</v>
      </c>
      <c r="H51" t="s">
        <v>825</v>
      </c>
    </row>
    <row r="52" spans="1:8" x14ac:dyDescent="0.25">
      <c r="A52" s="12">
        <f t="shared" si="0"/>
        <v>46</v>
      </c>
      <c r="B52" s="13" t="s">
        <v>911</v>
      </c>
      <c r="C52" s="14" t="s">
        <v>18</v>
      </c>
      <c r="D52" s="15" t="s">
        <v>820</v>
      </c>
      <c r="E52" s="16">
        <v>43823</v>
      </c>
      <c r="F52" s="24" t="s">
        <v>821</v>
      </c>
      <c r="G52" s="18">
        <v>1</v>
      </c>
      <c r="H52" t="s">
        <v>822</v>
      </c>
    </row>
    <row r="53" spans="1:8" x14ac:dyDescent="0.25">
      <c r="A53" s="12">
        <f t="shared" si="0"/>
        <v>47</v>
      </c>
      <c r="B53" s="13" t="s">
        <v>912</v>
      </c>
      <c r="C53" s="14" t="s">
        <v>18</v>
      </c>
      <c r="D53" s="15" t="s">
        <v>817</v>
      </c>
      <c r="E53" s="16">
        <v>43823</v>
      </c>
      <c r="F53" s="24" t="s">
        <v>818</v>
      </c>
      <c r="G53" s="18">
        <v>1</v>
      </c>
      <c r="H53" t="s">
        <v>819</v>
      </c>
    </row>
    <row r="54" spans="1:8" x14ac:dyDescent="0.25">
      <c r="A54" s="12">
        <f t="shared" si="0"/>
        <v>48</v>
      </c>
      <c r="B54" s="13" t="s">
        <v>829</v>
      </c>
      <c r="C54" s="14" t="s">
        <v>18</v>
      </c>
      <c r="D54" s="15" t="s">
        <v>851</v>
      </c>
      <c r="E54" s="16">
        <v>43823</v>
      </c>
      <c r="F54" s="17" t="s">
        <v>26</v>
      </c>
      <c r="G54" s="18">
        <v>1</v>
      </c>
    </row>
    <row r="55" spans="1:8" x14ac:dyDescent="0.25">
      <c r="A55" s="12">
        <f t="shared" si="0"/>
        <v>49</v>
      </c>
      <c r="B55" s="13" t="s">
        <v>913</v>
      </c>
      <c r="C55" s="14" t="s">
        <v>18</v>
      </c>
      <c r="D55" s="15" t="s">
        <v>826</v>
      </c>
      <c r="E55" s="16">
        <v>43824</v>
      </c>
      <c r="F55" s="24" t="s">
        <v>827</v>
      </c>
      <c r="G55" s="18">
        <v>1</v>
      </c>
      <c r="H55" t="s">
        <v>828</v>
      </c>
    </row>
    <row r="56" spans="1:8" x14ac:dyDescent="0.25">
      <c r="A56" s="12">
        <f t="shared" si="0"/>
        <v>50</v>
      </c>
      <c r="B56" s="13" t="s">
        <v>830</v>
      </c>
      <c r="C56" s="14" t="s">
        <v>24</v>
      </c>
      <c r="D56" s="15" t="s">
        <v>831</v>
      </c>
      <c r="E56" s="16">
        <v>43825</v>
      </c>
      <c r="F56" s="17" t="s">
        <v>26</v>
      </c>
      <c r="G56" s="18">
        <v>1</v>
      </c>
    </row>
    <row r="57" spans="1:8" x14ac:dyDescent="0.25">
      <c r="A57" s="12">
        <f t="shared" si="0"/>
        <v>51</v>
      </c>
      <c r="B57" s="13" t="s">
        <v>914</v>
      </c>
      <c r="C57" s="14" t="s">
        <v>18</v>
      </c>
      <c r="D57" s="13">
        <v>2019247774</v>
      </c>
      <c r="E57" s="16">
        <v>43829</v>
      </c>
      <c r="F57" s="24" t="s">
        <v>850</v>
      </c>
      <c r="G57" s="18">
        <v>1</v>
      </c>
      <c r="H57" t="s">
        <v>714</v>
      </c>
    </row>
    <row r="58" spans="1:8" x14ac:dyDescent="0.25">
      <c r="A58" s="12">
        <f t="shared" si="0"/>
        <v>52</v>
      </c>
      <c r="B58" s="13" t="s">
        <v>846</v>
      </c>
      <c r="C58" s="14" t="s">
        <v>18</v>
      </c>
      <c r="D58" s="15" t="s">
        <v>845</v>
      </c>
      <c r="E58" s="16">
        <v>43830</v>
      </c>
      <c r="F58" s="17" t="s">
        <v>26</v>
      </c>
      <c r="G58" s="18">
        <v>1</v>
      </c>
    </row>
    <row r="59" spans="1:8" x14ac:dyDescent="0.25">
      <c r="A59" s="12">
        <f t="shared" si="0"/>
        <v>53</v>
      </c>
      <c r="B59" s="13" t="s">
        <v>854</v>
      </c>
      <c r="C59" s="14" t="s">
        <v>18</v>
      </c>
      <c r="D59" s="13">
        <v>2019247772</v>
      </c>
      <c r="E59" s="16">
        <v>43830</v>
      </c>
      <c r="F59" s="17" t="s">
        <v>26</v>
      </c>
      <c r="G59" s="18">
        <v>1</v>
      </c>
    </row>
    <row r="60" spans="1:8" x14ac:dyDescent="0.25">
      <c r="A60" s="12">
        <f t="shared" si="0"/>
        <v>54</v>
      </c>
      <c r="B60" s="13" t="s">
        <v>915</v>
      </c>
      <c r="C60" s="14" t="s">
        <v>18</v>
      </c>
      <c r="D60" s="15" t="s">
        <v>855</v>
      </c>
      <c r="E60" s="16">
        <v>43830</v>
      </c>
      <c r="F60" s="24" t="s">
        <v>857</v>
      </c>
      <c r="G60" s="18">
        <v>1</v>
      </c>
      <c r="H60" t="s">
        <v>856</v>
      </c>
    </row>
    <row r="61" spans="1:8" x14ac:dyDescent="0.25">
      <c r="A61" s="12">
        <f t="shared" si="0"/>
        <v>55</v>
      </c>
      <c r="B61" s="13" t="s">
        <v>852</v>
      </c>
      <c r="C61" s="14" t="s">
        <v>18</v>
      </c>
      <c r="D61" s="13">
        <v>2019247775</v>
      </c>
      <c r="E61" s="16">
        <v>43830</v>
      </c>
      <c r="F61" s="17" t="s">
        <v>26</v>
      </c>
      <c r="G61" s="18">
        <v>1</v>
      </c>
    </row>
    <row r="62" spans="1:8" x14ac:dyDescent="0.25">
      <c r="A62" s="12">
        <f t="shared" si="0"/>
        <v>56</v>
      </c>
      <c r="B62" s="13" t="s">
        <v>853</v>
      </c>
      <c r="C62" s="14" t="s">
        <v>18</v>
      </c>
      <c r="D62" s="13">
        <v>2019247780</v>
      </c>
      <c r="E62" s="16">
        <v>43830</v>
      </c>
      <c r="F62" s="17" t="s">
        <v>26</v>
      </c>
      <c r="G62" s="18">
        <v>1</v>
      </c>
    </row>
    <row r="63" spans="1:8" x14ac:dyDescent="0.25">
      <c r="A63" s="12">
        <f t="shared" si="0"/>
        <v>57</v>
      </c>
      <c r="B63" s="13" t="s">
        <v>916</v>
      </c>
      <c r="C63" s="14" t="s">
        <v>18</v>
      </c>
      <c r="D63" s="15" t="s">
        <v>847</v>
      </c>
      <c r="E63" s="16">
        <v>43830</v>
      </c>
      <c r="F63" s="24" t="s">
        <v>848</v>
      </c>
      <c r="G63" s="18">
        <v>1</v>
      </c>
      <c r="H63" t="s">
        <v>849</v>
      </c>
    </row>
    <row r="64" spans="1:8" x14ac:dyDescent="0.25">
      <c r="A64" s="12">
        <f t="shared" si="0"/>
        <v>58</v>
      </c>
      <c r="B64" s="13" t="s">
        <v>858</v>
      </c>
      <c r="C64" s="14" t="s">
        <v>24</v>
      </c>
      <c r="D64" s="15">
        <v>2016002386</v>
      </c>
      <c r="E64" s="16">
        <v>43830</v>
      </c>
      <c r="F64" s="24" t="s">
        <v>26</v>
      </c>
      <c r="G64" s="18">
        <v>1</v>
      </c>
    </row>
  </sheetData>
  <sortState ref="B7:H63">
    <sortCondition ref="E7:E63"/>
    <sortCondition ref="D7:D63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23622047244094491" right="0.19685039370078741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2019</vt:lpstr>
      <vt:lpstr>Février 2019</vt:lpstr>
      <vt:lpstr>Mars 2019</vt:lpstr>
      <vt:lpstr>Avril 2019</vt:lpstr>
      <vt:lpstr>Mai 2019</vt:lpstr>
      <vt:lpstr>JUIN 2019</vt:lpstr>
      <vt:lpstr>JUILLET 2019</vt:lpstr>
      <vt:lpstr>AOUT 2019</vt:lpstr>
      <vt:lpstr>SEPTEMBRE 2019</vt:lpstr>
      <vt:lpstr>OCTOBRE 2019</vt:lpstr>
      <vt:lpstr>NOVEMBRE 2019</vt:lpstr>
      <vt:lpstr>DECEMBRE 2019</vt:lpstr>
      <vt:lpstr>'AOUT 2019'!Impression_des_titres</vt:lpstr>
      <vt:lpstr>'Avril 2019'!Impression_des_titres</vt:lpstr>
      <vt:lpstr>'DECEMBRE 2019'!Impression_des_titres</vt:lpstr>
      <vt:lpstr>'Février 2019'!Impression_des_titres</vt:lpstr>
      <vt:lpstr>'Janvier 2019'!Impression_des_titres</vt:lpstr>
      <vt:lpstr>'JUILLET 2019'!Impression_des_titres</vt:lpstr>
      <vt:lpstr>'JUIN 2019'!Impression_des_titres</vt:lpstr>
      <vt:lpstr>'Mai 2019'!Impression_des_titres</vt:lpstr>
      <vt:lpstr>'Mars 2019'!Impression_des_titres</vt:lpstr>
      <vt:lpstr>'NOVEMBRE 2019'!Impression_des_titres</vt:lpstr>
      <vt:lpstr>'OCTOBRE 2019'!Impression_des_titres</vt:lpstr>
      <vt:lpstr>'SEPTEMBRE 2019'!Impression_des_titres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</dc:creator>
  <cp:lastModifiedBy>ADE</cp:lastModifiedBy>
  <cp:lastPrinted>2020-01-06T08:01:16Z</cp:lastPrinted>
  <dcterms:created xsi:type="dcterms:W3CDTF">2019-01-07T07:24:45Z</dcterms:created>
  <dcterms:modified xsi:type="dcterms:W3CDTF">2023-04-18T10:55:12Z</dcterms:modified>
</cp:coreProperties>
</file>