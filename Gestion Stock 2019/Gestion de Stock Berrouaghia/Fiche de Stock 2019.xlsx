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Berrouaghia\"/>
    </mc:Choice>
  </mc:AlternateContent>
  <bookViews>
    <workbookView xWindow="555" yWindow="75" windowWidth="11700" windowHeight="6825" firstSheet="7" activeTab="11"/>
  </bookViews>
  <sheets>
    <sheet name="JANVIER 2019" sheetId="12" r:id="rId1"/>
    <sheet name="FEVRIER 2019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39" i="23" l="1"/>
  <c r="L10" i="23"/>
  <c r="J40" i="22"/>
  <c r="I40" i="22"/>
  <c r="H40" i="22"/>
  <c r="G40" i="22"/>
  <c r="E40" i="22"/>
  <c r="D40" i="22"/>
  <c r="C40" i="22"/>
  <c r="B40" i="22"/>
  <c r="K39" i="22"/>
  <c r="F39" i="22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K9" i="22"/>
  <c r="K40" i="22" s="1"/>
  <c r="F9" i="22"/>
  <c r="L9" i="22" s="1"/>
  <c r="L40" i="23" l="1"/>
  <c r="G46" i="23" s="1"/>
  <c r="G47" i="23" s="1"/>
  <c r="G49" i="23" s="1"/>
  <c r="F40" i="22"/>
  <c r="L39" i="22"/>
  <c r="L10" i="22"/>
  <c r="L40" i="22" s="1"/>
  <c r="G46" i="22" s="1"/>
  <c r="G47" i="22" s="1"/>
  <c r="G49" i="22" s="1"/>
  <c r="G49" i="21"/>
  <c r="J40" i="21" l="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K40" i="19" s="1"/>
  <c r="F10" i="19"/>
  <c r="L10" i="19" s="1"/>
  <c r="K9" i="19"/>
  <c r="F9" i="19"/>
  <c r="F40" i="19" s="1"/>
  <c r="L9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L10" i="18" s="1"/>
  <c r="K9" i="18"/>
  <c r="K40" i="18" s="1"/>
  <c r="F9" i="18"/>
  <c r="L9" i="18" s="1"/>
  <c r="L40" i="18" s="1"/>
  <c r="G46" i="18" s="1"/>
  <c r="G47" i="18" s="1"/>
  <c r="G49" i="18" s="1"/>
  <c r="F40" i="18" l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35" i="17" l="1"/>
  <c r="L1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L10" i="16" s="1"/>
  <c r="K9" i="16"/>
  <c r="K40" i="16" s="1"/>
  <c r="F9" i="16"/>
  <c r="L9" i="16" s="1"/>
  <c r="L40" i="17" l="1"/>
  <c r="G46" i="17" s="1"/>
  <c r="G47" i="17" s="1"/>
  <c r="G49" i="17" s="1"/>
  <c r="L40" i="16"/>
  <c r="G46" i="16" s="1"/>
  <c r="G47" i="16" s="1"/>
  <c r="G49" i="16" s="1"/>
  <c r="F4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K9" i="15"/>
  <c r="K40" i="15" s="1"/>
  <c r="F9" i="15"/>
  <c r="L9" i="15" s="1"/>
  <c r="L31" i="15" l="1"/>
  <c r="F40" i="15"/>
  <c r="L26" i="15"/>
  <c r="L1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40" i="15" l="1"/>
  <c r="G46" i="15" s="1"/>
  <c r="G47" i="15" s="1"/>
  <c r="G49" i="15" s="1"/>
  <c r="L36" i="14"/>
  <c r="L21" i="14"/>
  <c r="L10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K9" i="13"/>
  <c r="F9" i="13"/>
  <c r="L9" i="13" s="1"/>
  <c r="L40" i="14" l="1"/>
  <c r="G46" i="14" s="1"/>
  <c r="G47" i="14" s="1"/>
  <c r="G49" i="14" s="1"/>
  <c r="L29" i="13"/>
  <c r="L21" i="13"/>
  <c r="K40" i="13"/>
  <c r="F40" i="13"/>
  <c r="L40" i="13"/>
  <c r="G46" i="13" s="1"/>
  <c r="G47" i="13" s="1"/>
  <c r="G49" i="13" s="1"/>
  <c r="L10" i="13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K9" i="12"/>
  <c r="K40" i="12" s="1"/>
  <c r="F9" i="12"/>
  <c r="L9" i="12" s="1"/>
  <c r="F40" i="12" l="1"/>
  <c r="L18" i="12"/>
  <c r="L1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<sst xmlns="http://schemas.openxmlformats.org/spreadsheetml/2006/main" count="414" uniqueCount="56">
  <si>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</si>
  <si>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</si>
  <si>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</si>
  <si>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</si>
  <si>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</si>
  <si>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</si>
  <si>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</si>
  <si>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</si>
  <si>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</si>
  <si>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</si>
  <si>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</si>
  <si>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</si>
  <si>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</si>
  <si>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</si>
  <si>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</si>
  <si>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</si>
  <si>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</si>
  <si>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</si>
  <si>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</si>
  <si>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</si>
  <si>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</si>
  <si>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</si>
  <si>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</si>
  <si>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</si>
  <si>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</si>
  <si>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</si>
  <si>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</si>
  <si>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</si>
  <si>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2019</t>
  </si>
  <si>
    <t>02 Compteur Réintégré Antenne Zoubiria</t>
  </si>
  <si>
    <t>Mois de FEVRIER 2019</t>
  </si>
  <si>
    <t>03 Compteur Réintégré Antenne Zoubiria</t>
  </si>
  <si>
    <t>103 Compteur Réintégré Antenne Tlathet douairs</t>
  </si>
  <si>
    <t>20 Compteur Réintégré Antenne Ouled Dheid</t>
  </si>
  <si>
    <t>06 Compteur Réintégré Antenne Seghouane</t>
  </si>
  <si>
    <t>Mois de MARS 2019</t>
  </si>
  <si>
    <t>100 Compteur Réintégré Antenne Tlathet douairs</t>
  </si>
  <si>
    <t>01 Compteur Réintégré Antenne Zoubiria</t>
  </si>
  <si>
    <t>01 Compteur Réintégré Antenne Ouled dheid</t>
  </si>
  <si>
    <t>Mois de AVRIL 2019</t>
  </si>
  <si>
    <t>Mois de MAI 2019</t>
  </si>
  <si>
    <t>Mois de JUIN 2019</t>
  </si>
  <si>
    <t>Mois de JUILLET 2019</t>
  </si>
  <si>
    <t>Mois de AOUT 2019</t>
  </si>
  <si>
    <t>Mois de SEPTEMBRE 2019</t>
  </si>
  <si>
    <t>Mois de OCTOBRE 2019</t>
  </si>
  <si>
    <t>27 Compteur Réintégré Antenne ouled Dhied</t>
  </si>
  <si>
    <t>20 Compteur Réintégré Antenne Seghouane</t>
  </si>
  <si>
    <t>Mois de NOVEMBRE 2019</t>
  </si>
  <si>
    <t>08 Compteur Réintégré Antenne Seghouane</t>
  </si>
  <si>
    <t>01 Compteur Réintégré Antenne Robeia</t>
  </si>
  <si>
    <t>01 Compteur DN 20/27 Réintégré Agence tahtouh</t>
  </si>
  <si>
    <t>20 Compteur Réintégré Antenne Robeia</t>
  </si>
  <si>
    <t>03 Compteur DN 15/21 Réintégré Antenne Seghouane</t>
  </si>
  <si>
    <t>27 Compteur Réintégré Antenne Zoubiria</t>
  </si>
  <si>
    <t>Mois de DECEMBRE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</si>
</sst>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8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1" fillId="2" borderId="0" xfId="3" applyFont="1" applyFill="1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2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6" xfId="3" applyFill="1" applyBorder="1" applyAlignment="1" applyProtection="1">
      <alignment horizontal="center" vertical="center" wrapText="1"/>
      <protection locked="0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1" fillId="2" borderId="15" xfId="3" applyNumberFormat="1" applyFon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1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28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1</v>
      </c>
      <c r="C15" s="22"/>
      <c r="D15" s="22"/>
      <c r="E15" s="23"/>
      <c r="F15" s="17">
        <f t="shared" si="0"/>
        <v>1</v>
      </c>
      <c r="G15" s="30"/>
      <c r="H15" s="22"/>
      <c r="I15" s="22"/>
      <c r="J15" s="22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4"/>
      <c r="F17" s="17">
        <f t="shared" si="0"/>
        <v>0</v>
      </c>
      <c r="G17" s="30">
        <v>1</v>
      </c>
      <c r="H17" s="22"/>
      <c r="I17" s="32"/>
      <c r="J17" s="22"/>
      <c r="K17" s="15">
        <f t="shared" si="1"/>
        <v>1</v>
      </c>
      <c r="L17" s="7">
        <f t="shared" si="2"/>
        <v>1</v>
      </c>
    </row>
    <row r="18" spans="1:12" ht="15.75" thickBot="1" x14ac:dyDescent="0.3">
      <c r="A18" s="8">
        <v>10</v>
      </c>
      <c r="B18" s="21">
        <v>4</v>
      </c>
      <c r="C18" s="22"/>
      <c r="D18" s="22"/>
      <c r="E18" s="23"/>
      <c r="F18" s="17">
        <f t="shared" si="0"/>
        <v>4</v>
      </c>
      <c r="G18" s="32"/>
      <c r="H18" s="22"/>
      <c r="I18" s="22"/>
      <c r="J18" s="22"/>
      <c r="K18" s="15">
        <f t="shared" si="1"/>
        <v>0</v>
      </c>
      <c r="L18" s="7">
        <f t="shared" si="2"/>
        <v>4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>
        <v>1</v>
      </c>
      <c r="H22" s="22"/>
      <c r="I22" s="22"/>
      <c r="J22" s="22"/>
      <c r="K22" s="15">
        <f t="shared" si="1"/>
        <v>1</v>
      </c>
      <c r="L22" s="7">
        <f t="shared" si="2"/>
        <v>1</v>
      </c>
    </row>
    <row r="23" spans="1:12" ht="15.75" thickBot="1" x14ac:dyDescent="0.3">
      <c r="A23" s="8">
        <v>15</v>
      </c>
      <c r="B23" s="21">
        <v>3</v>
      </c>
      <c r="C23" s="22"/>
      <c r="D23" s="22"/>
      <c r="E23" s="23"/>
      <c r="F23" s="17">
        <f t="shared" si="0"/>
        <v>3</v>
      </c>
      <c r="G23" s="30"/>
      <c r="H23" s="22"/>
      <c r="I23" s="22"/>
      <c r="J23" s="22"/>
      <c r="K23" s="15">
        <f t="shared" si="1"/>
        <v>0</v>
      </c>
      <c r="L23" s="7">
        <f t="shared" si="2"/>
        <v>3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>
        <v>1</v>
      </c>
      <c r="I24" s="22"/>
      <c r="J24" s="22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1</v>
      </c>
      <c r="C28" s="22"/>
      <c r="D28" s="22"/>
      <c r="E28" s="23"/>
      <c r="F28" s="17">
        <f t="shared" si="0"/>
        <v>1</v>
      </c>
      <c r="G28" s="30"/>
      <c r="H28" s="22"/>
      <c r="I28" s="22"/>
      <c r="J28" s="22"/>
      <c r="K28" s="15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2"/>
      <c r="E29" s="24">
        <v>1</v>
      </c>
      <c r="F29" s="17">
        <f t="shared" si="0"/>
        <v>1</v>
      </c>
      <c r="G29" s="30">
        <v>1</v>
      </c>
      <c r="H29" s="22"/>
      <c r="I29" s="22"/>
      <c r="J29" s="22"/>
      <c r="K29" s="15">
        <f t="shared" si="1"/>
        <v>1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>
        <v>2</v>
      </c>
      <c r="H30" s="22"/>
      <c r="I30" s="22"/>
      <c r="J30" s="22"/>
      <c r="K30" s="15">
        <f t="shared" si="1"/>
        <v>2</v>
      </c>
      <c r="L30" s="7">
        <f t="shared" si="2"/>
        <v>2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>
        <v>3</v>
      </c>
      <c r="H31" s="22"/>
      <c r="I31" s="22"/>
      <c r="J31" s="22"/>
      <c r="K31" s="15">
        <f t="shared" si="1"/>
        <v>3</v>
      </c>
      <c r="L31" s="7">
        <f t="shared" si="2"/>
        <v>3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5</v>
      </c>
      <c r="H32" s="22"/>
      <c r="I32" s="22"/>
      <c r="J32" s="22"/>
      <c r="K32" s="15">
        <f t="shared" si="1"/>
        <v>5</v>
      </c>
      <c r="L32" s="7">
        <f t="shared" si="2"/>
        <v>5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1</v>
      </c>
      <c r="C36" s="22"/>
      <c r="D36" s="22"/>
      <c r="E36" s="23"/>
      <c r="F36" s="17">
        <f t="shared" si="0"/>
        <v>1</v>
      </c>
      <c r="G36" s="30"/>
      <c r="H36" s="22"/>
      <c r="I36" s="22"/>
      <c r="J36" s="22"/>
      <c r="K36" s="15">
        <f t="shared" si="1"/>
        <v>0</v>
      </c>
      <c r="L36" s="7">
        <f t="shared" si="2"/>
        <v>1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2</v>
      </c>
      <c r="C38" s="22"/>
      <c r="D38" s="22">
        <v>1</v>
      </c>
      <c r="E38" s="23"/>
      <c r="F38" s="17">
        <f t="shared" si="0"/>
        <v>3</v>
      </c>
      <c r="G38" s="30"/>
      <c r="H38" s="22"/>
      <c r="I38" s="22"/>
      <c r="J38" s="22"/>
      <c r="K38" s="15">
        <f t="shared" si="1"/>
        <v>0</v>
      </c>
      <c r="L38" s="7">
        <f t="shared" si="2"/>
        <v>3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12</v>
      </c>
      <c r="C40" s="50">
        <f t="shared" ref="C40:E40" si="3">SUM(C9:C39)</f>
        <v>0</v>
      </c>
      <c r="D40" s="50">
        <f t="shared" si="3"/>
        <v>1</v>
      </c>
      <c r="E40" s="50">
        <f t="shared" si="3"/>
        <v>1</v>
      </c>
      <c r="F40" s="49">
        <f>SUM(F9:F39)</f>
        <v>14</v>
      </c>
      <c r="G40" s="16">
        <f>SUM(G9:G39)</f>
        <v>13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14</v>
      </c>
      <c r="L40" s="16">
        <f t="shared" si="4"/>
        <v>28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10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207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3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31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186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184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2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29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37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30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2</v>
      </c>
      <c r="C14" s="22"/>
      <c r="D14" s="22"/>
      <c r="E14" s="23"/>
      <c r="F14" s="17">
        <f t="shared" si="0"/>
        <v>2</v>
      </c>
      <c r="G14" s="30"/>
      <c r="H14" s="22"/>
      <c r="I14" s="22"/>
      <c r="J14" s="22"/>
      <c r="K14" s="15">
        <f t="shared" si="1"/>
        <v>0</v>
      </c>
      <c r="L14" s="7">
        <f t="shared" si="2"/>
        <v>2</v>
      </c>
    </row>
    <row r="15" spans="1:12" ht="15.75" thickBot="1" x14ac:dyDescent="0.3">
      <c r="A15" s="8">
        <v>7</v>
      </c>
      <c r="B15" s="21">
        <v>1</v>
      </c>
      <c r="C15" s="22"/>
      <c r="D15" s="22"/>
      <c r="E15" s="23"/>
      <c r="F15" s="17">
        <f t="shared" si="0"/>
        <v>1</v>
      </c>
      <c r="G15" s="30"/>
      <c r="H15" s="22"/>
      <c r="I15" s="22"/>
      <c r="J15" s="22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6</v>
      </c>
      <c r="C18" s="22"/>
      <c r="D18" s="22"/>
      <c r="E18" s="23"/>
      <c r="F18" s="17">
        <f t="shared" si="0"/>
        <v>6</v>
      </c>
      <c r="G18" s="32"/>
      <c r="H18" s="22"/>
      <c r="I18" s="22"/>
      <c r="J18" s="22"/>
      <c r="K18" s="15">
        <f t="shared" si="1"/>
        <v>0</v>
      </c>
      <c r="L18" s="7">
        <f t="shared" si="2"/>
        <v>6</v>
      </c>
    </row>
    <row r="19" spans="1:12" ht="15.75" thickBot="1" x14ac:dyDescent="0.3">
      <c r="A19" s="8">
        <v>11</v>
      </c>
      <c r="B19" s="21">
        <v>5</v>
      </c>
      <c r="C19" s="22"/>
      <c r="D19" s="22"/>
      <c r="E19" s="23"/>
      <c r="F19" s="17">
        <f t="shared" si="0"/>
        <v>5</v>
      </c>
      <c r="G19" s="30"/>
      <c r="H19" s="22"/>
      <c r="I19" s="22"/>
      <c r="J19" s="22"/>
      <c r="K19" s="15">
        <f t="shared" si="1"/>
        <v>0</v>
      </c>
      <c r="L19" s="7">
        <f t="shared" si="2"/>
        <v>5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4</v>
      </c>
      <c r="C21" s="22"/>
      <c r="D21" s="22"/>
      <c r="E21" s="23"/>
      <c r="F21" s="17">
        <f t="shared" si="0"/>
        <v>4</v>
      </c>
      <c r="G21" s="34"/>
      <c r="H21" s="22">
        <v>1</v>
      </c>
      <c r="I21" s="22"/>
      <c r="J21" s="22"/>
      <c r="K21" s="15">
        <f t="shared" si="1"/>
        <v>1</v>
      </c>
      <c r="L21" s="7">
        <f t="shared" si="2"/>
        <v>5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1</v>
      </c>
      <c r="H25" s="22"/>
      <c r="I25" s="22"/>
      <c r="J25" s="22"/>
      <c r="K25" s="15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1">
        <v>3</v>
      </c>
      <c r="C26" s="22"/>
      <c r="D26" s="22"/>
      <c r="E26" s="23"/>
      <c r="F26" s="17">
        <f t="shared" si="0"/>
        <v>3</v>
      </c>
      <c r="G26" s="30">
        <v>1</v>
      </c>
      <c r="H26" s="22"/>
      <c r="I26" s="22"/>
      <c r="J26" s="22"/>
      <c r="K26" s="15">
        <f t="shared" si="1"/>
        <v>1</v>
      </c>
      <c r="L26" s="7">
        <f t="shared" si="2"/>
        <v>4</v>
      </c>
    </row>
    <row r="27" spans="1:12" ht="15.75" thickBot="1" x14ac:dyDescent="0.3">
      <c r="A27" s="8">
        <v>19</v>
      </c>
      <c r="B27" s="21">
        <v>1</v>
      </c>
      <c r="C27" s="22"/>
      <c r="D27" s="22"/>
      <c r="E27" s="23"/>
      <c r="F27" s="17">
        <f t="shared" si="0"/>
        <v>1</v>
      </c>
      <c r="G27" s="30">
        <v>2</v>
      </c>
      <c r="H27" s="22">
        <v>1</v>
      </c>
      <c r="I27" s="22"/>
      <c r="J27" s="22"/>
      <c r="K27" s="15">
        <f t="shared" si="1"/>
        <v>3</v>
      </c>
      <c r="L27" s="7">
        <f t="shared" si="2"/>
        <v>4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4</v>
      </c>
      <c r="H28" s="22"/>
      <c r="I28" s="22">
        <v>1</v>
      </c>
      <c r="J28" s="22"/>
      <c r="K28" s="15">
        <f t="shared" si="1"/>
        <v>5</v>
      </c>
      <c r="L28" s="7">
        <f t="shared" si="2"/>
        <v>5</v>
      </c>
    </row>
    <row r="29" spans="1:12" ht="15.75" thickBot="1" x14ac:dyDescent="0.3">
      <c r="A29" s="8">
        <v>21</v>
      </c>
      <c r="B29" s="21"/>
      <c r="C29" s="22"/>
      <c r="D29" s="22"/>
      <c r="E29" s="24"/>
      <c r="F29" s="17">
        <f t="shared" si="0"/>
        <v>0</v>
      </c>
      <c r="G29" s="30">
        <v>2</v>
      </c>
      <c r="H29" s="22"/>
      <c r="I29" s="22">
        <v>1</v>
      </c>
      <c r="J29" s="22"/>
      <c r="K29" s="15">
        <f t="shared" si="1"/>
        <v>3</v>
      </c>
      <c r="L29" s="7">
        <f t="shared" si="2"/>
        <v>3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>
        <v>1</v>
      </c>
      <c r="C35" s="22"/>
      <c r="D35" s="22"/>
      <c r="E35" s="23"/>
      <c r="F35" s="17">
        <f t="shared" si="0"/>
        <v>1</v>
      </c>
      <c r="G35" s="45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23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23</v>
      </c>
      <c r="G40" s="16">
        <f>SUM(G9:G39)</f>
        <v>10</v>
      </c>
      <c r="H40" s="16">
        <f t="shared" ref="H40:L40" si="4">SUM(H9:H39)</f>
        <v>2</v>
      </c>
      <c r="I40" s="16">
        <f t="shared" si="4"/>
        <v>2</v>
      </c>
      <c r="J40" s="16">
        <f t="shared" si="4"/>
        <v>0</v>
      </c>
      <c r="K40" s="16">
        <f t="shared" si="4"/>
        <v>14</v>
      </c>
      <c r="L40" s="16">
        <f t="shared" si="4"/>
        <v>37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184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1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1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38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147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15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132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32</v>
      </c>
    </row>
    <row r="54" spans="1:12" x14ac:dyDescent="0.25">
      <c r="B54" t="s">
        <v>31</v>
      </c>
    </row>
    <row r="55" spans="1:12" x14ac:dyDescent="0.25">
      <c r="B55" t="s">
        <v>33</v>
      </c>
    </row>
    <row r="56" spans="1:12" x14ac:dyDescent="0.25">
      <c r="B56" t="s">
        <v>34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5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35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2</v>
      </c>
      <c r="C12" s="25"/>
      <c r="D12" s="25"/>
      <c r="E12" s="23"/>
      <c r="F12" s="17">
        <f t="shared" si="0"/>
        <v>2</v>
      </c>
      <c r="G12" s="31"/>
      <c r="H12" s="22"/>
      <c r="I12" s="22"/>
      <c r="J12" s="22"/>
      <c r="K12" s="15">
        <f t="shared" si="1"/>
        <v>0</v>
      </c>
      <c r="L12" s="7">
        <f t="shared" si="2"/>
        <v>2</v>
      </c>
    </row>
    <row r="13" spans="1:12" ht="15.75" thickBot="1" x14ac:dyDescent="0.3">
      <c r="A13" s="8">
        <v>5</v>
      </c>
      <c r="B13" s="21">
        <v>3</v>
      </c>
      <c r="C13" s="25"/>
      <c r="D13" s="25"/>
      <c r="E13" s="23"/>
      <c r="F13" s="17">
        <f t="shared" si="0"/>
        <v>3</v>
      </c>
      <c r="G13" s="30"/>
      <c r="H13" s="22"/>
      <c r="I13" s="22"/>
      <c r="J13" s="22"/>
      <c r="K13" s="15">
        <f t="shared" si="1"/>
        <v>0</v>
      </c>
      <c r="L13" s="7">
        <f t="shared" si="2"/>
        <v>3</v>
      </c>
    </row>
    <row r="14" spans="1:12" ht="15.75" thickBot="1" x14ac:dyDescent="0.3">
      <c r="A14" s="8">
        <v>6</v>
      </c>
      <c r="B14" s="21"/>
      <c r="C14" s="25">
        <v>1</v>
      </c>
      <c r="D14" s="25"/>
      <c r="E14" s="23"/>
      <c r="F14" s="17">
        <f t="shared" si="0"/>
        <v>1</v>
      </c>
      <c r="G14" s="30">
        <v>1</v>
      </c>
      <c r="H14" s="22"/>
      <c r="I14" s="22"/>
      <c r="J14" s="22"/>
      <c r="K14" s="15">
        <f t="shared" si="1"/>
        <v>1</v>
      </c>
      <c r="L14" s="7">
        <f t="shared" si="2"/>
        <v>2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3</v>
      </c>
      <c r="C18" s="25"/>
      <c r="D18" s="25"/>
      <c r="E18" s="23"/>
      <c r="F18" s="17">
        <f t="shared" si="0"/>
        <v>3</v>
      </c>
      <c r="G18" s="32"/>
      <c r="H18" s="22"/>
      <c r="I18" s="22"/>
      <c r="J18" s="22"/>
      <c r="K18" s="15">
        <f t="shared" si="1"/>
        <v>0</v>
      </c>
      <c r="L18" s="7">
        <f t="shared" si="2"/>
        <v>3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>
        <v>1</v>
      </c>
      <c r="H19" s="22"/>
      <c r="I19" s="22"/>
      <c r="J19" s="22"/>
      <c r="K19" s="15">
        <f t="shared" si="1"/>
        <v>1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4"/>
      <c r="H22" s="22"/>
      <c r="I22" s="30"/>
      <c r="J22" s="30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2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55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2</v>
      </c>
      <c r="C26" s="25"/>
      <c r="D26" s="25"/>
      <c r="E26" s="23"/>
      <c r="F26" s="17">
        <f t="shared" si="0"/>
        <v>2</v>
      </c>
      <c r="G26" s="30"/>
      <c r="H26" s="25"/>
      <c r="I26" s="30"/>
      <c r="J26" s="30">
        <v>1</v>
      </c>
      <c r="K26" s="15">
        <f t="shared" si="1"/>
        <v>1</v>
      </c>
      <c r="L26" s="7">
        <f t="shared" si="2"/>
        <v>3</v>
      </c>
    </row>
    <row r="27" spans="1:12" ht="15.75" thickBot="1" x14ac:dyDescent="0.3">
      <c r="A27" s="8">
        <v>19</v>
      </c>
      <c r="B27" s="21"/>
      <c r="C27" s="25"/>
      <c r="D27" s="25">
        <v>1</v>
      </c>
      <c r="E27" s="23"/>
      <c r="F27" s="17">
        <f t="shared" si="0"/>
        <v>1</v>
      </c>
      <c r="G27" s="30"/>
      <c r="H27" s="22"/>
      <c r="I27" s="30"/>
      <c r="J27" s="30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5"/>
      <c r="E29" s="24"/>
      <c r="F29" s="17">
        <f t="shared" si="0"/>
        <v>1</v>
      </c>
      <c r="G29" s="30"/>
      <c r="H29" s="22"/>
      <c r="I29" s="30"/>
      <c r="J29" s="30"/>
      <c r="K29" s="15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</v>
      </c>
      <c r="C32" s="22"/>
      <c r="D32" s="25"/>
      <c r="E32" s="23"/>
      <c r="F32" s="17">
        <f t="shared" si="0"/>
        <v>1</v>
      </c>
      <c r="G32" s="30"/>
      <c r="H32" s="22"/>
      <c r="I32" s="30"/>
      <c r="J32" s="30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>
        <v>2</v>
      </c>
      <c r="C33" s="22"/>
      <c r="D33" s="25">
        <v>1</v>
      </c>
      <c r="E33" s="23"/>
      <c r="F33" s="17">
        <f t="shared" si="0"/>
        <v>3</v>
      </c>
      <c r="G33" s="30"/>
      <c r="H33" s="22"/>
      <c r="I33" s="30"/>
      <c r="J33" s="30"/>
      <c r="K33" s="15">
        <f t="shared" si="1"/>
        <v>0</v>
      </c>
      <c r="L33" s="7">
        <f t="shared" si="2"/>
        <v>3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>
        <v>2</v>
      </c>
      <c r="H36" s="22">
        <v>1</v>
      </c>
      <c r="I36" s="22"/>
      <c r="J36" s="22"/>
      <c r="K36" s="15">
        <f t="shared" si="1"/>
        <v>3</v>
      </c>
      <c r="L36" s="7">
        <f t="shared" si="2"/>
        <v>3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8</v>
      </c>
      <c r="H39" s="22"/>
      <c r="I39" s="22"/>
      <c r="J39" s="22"/>
      <c r="K39" s="15">
        <f t="shared" si="1"/>
        <v>8</v>
      </c>
      <c r="L39" s="7">
        <f t="shared" si="2"/>
        <v>8</v>
      </c>
    </row>
    <row r="40" spans="1:12" ht="15.75" thickBot="1" x14ac:dyDescent="0.3">
      <c r="A40" s="10"/>
      <c r="B40" s="54">
        <f>SUM(B9:B39)</f>
        <v>16</v>
      </c>
      <c r="C40" s="54">
        <f t="shared" ref="C40:E40" si="3">SUM(C9:C39)</f>
        <v>1</v>
      </c>
      <c r="D40" s="54">
        <f t="shared" si="3"/>
        <v>2</v>
      </c>
      <c r="E40" s="54">
        <f t="shared" si="3"/>
        <v>0</v>
      </c>
      <c r="F40" s="53">
        <f>SUM(F9:F39)</f>
        <v>19</v>
      </c>
      <c r="G40" s="16">
        <f>SUM(G9:G39)</f>
        <v>12</v>
      </c>
      <c r="H40" s="16">
        <f t="shared" ref="H40:L40" si="4">SUM(H9:H39)</f>
        <v>1</v>
      </c>
      <c r="I40" s="16">
        <f t="shared" si="4"/>
        <v>0</v>
      </c>
      <c r="J40" s="16">
        <f t="shared" si="4"/>
        <v>1</v>
      </c>
      <c r="K40" s="16">
        <f t="shared" si="4"/>
        <v>14</v>
      </c>
      <c r="L40" s="16">
        <f t="shared" si="4"/>
        <v>33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15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260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133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166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109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7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102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29</v>
      </c>
    </row>
    <row r="54" spans="1:12" x14ac:dyDescent="0.25">
      <c r="B54" t="s">
        <v>36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1" workbookViewId="0">
      <selection activeCell="L54" sqref="A1:L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39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>
        <v>1</v>
      </c>
      <c r="I16" s="22"/>
      <c r="J16" s="22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</v>
      </c>
      <c r="C18" s="25"/>
      <c r="D18" s="25"/>
      <c r="E18" s="23"/>
      <c r="F18" s="17">
        <f t="shared" si="0"/>
        <v>1</v>
      </c>
      <c r="G18" s="32">
        <v>1</v>
      </c>
      <c r="H18" s="22"/>
      <c r="I18" s="22"/>
      <c r="J18" s="22"/>
      <c r="K18" s="15">
        <f t="shared" si="1"/>
        <v>1</v>
      </c>
      <c r="L18" s="7">
        <f t="shared" si="2"/>
        <v>2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>
        <v>1</v>
      </c>
      <c r="H22" s="22"/>
      <c r="I22" s="30"/>
      <c r="J22" s="30"/>
      <c r="K22" s="15">
        <f t="shared" si="1"/>
        <v>1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5">
        <v>2</v>
      </c>
      <c r="E23" s="23"/>
      <c r="F23" s="17">
        <f t="shared" si="0"/>
        <v>2</v>
      </c>
      <c r="G23" s="30">
        <v>2</v>
      </c>
      <c r="H23" s="22"/>
      <c r="I23" s="30"/>
      <c r="J23" s="30"/>
      <c r="K23" s="15">
        <f t="shared" si="1"/>
        <v>2</v>
      </c>
      <c r="L23" s="7">
        <f t="shared" si="2"/>
        <v>4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2</v>
      </c>
      <c r="H24" s="22"/>
      <c r="I24" s="30"/>
      <c r="J24" s="30"/>
      <c r="K24" s="15">
        <f t="shared" si="1"/>
        <v>2</v>
      </c>
      <c r="L24" s="7">
        <f t="shared" si="2"/>
        <v>2</v>
      </c>
    </row>
    <row r="25" spans="1:12" ht="15.75" thickBot="1" x14ac:dyDescent="0.3">
      <c r="A25" s="8">
        <v>17</v>
      </c>
      <c r="B25" s="21">
        <v>2</v>
      </c>
      <c r="C25" s="55"/>
      <c r="D25" s="25"/>
      <c r="E25" s="23"/>
      <c r="F25" s="17">
        <f t="shared" si="0"/>
        <v>2</v>
      </c>
      <c r="G25" s="30"/>
      <c r="H25" s="22"/>
      <c r="I25" s="30"/>
      <c r="J25" s="30"/>
      <c r="K25" s="15">
        <f t="shared" si="1"/>
        <v>0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>
        <v>1</v>
      </c>
      <c r="H26" s="25"/>
      <c r="I26" s="30"/>
      <c r="J26" s="30"/>
      <c r="K26" s="15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2</v>
      </c>
      <c r="C29" s="22"/>
      <c r="D29" s="25"/>
      <c r="E29" s="24"/>
      <c r="F29" s="17">
        <f t="shared" si="0"/>
        <v>2</v>
      </c>
      <c r="G29" s="30"/>
      <c r="H29" s="22"/>
      <c r="I29" s="30"/>
      <c r="J29" s="30"/>
      <c r="K29" s="15">
        <f t="shared" si="1"/>
        <v>0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>
        <v>1</v>
      </c>
      <c r="E31" s="23"/>
      <c r="F31" s="17">
        <f t="shared" si="0"/>
        <v>1</v>
      </c>
      <c r="G31" s="30">
        <v>2</v>
      </c>
      <c r="H31" s="22"/>
      <c r="I31" s="30"/>
      <c r="J31" s="30"/>
      <c r="K31" s="15">
        <f t="shared" si="1"/>
        <v>2</v>
      </c>
      <c r="L31" s="7">
        <f t="shared" si="2"/>
        <v>3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>
        <v>1</v>
      </c>
      <c r="H33" s="22">
        <v>1</v>
      </c>
      <c r="I33" s="30"/>
      <c r="J33" s="30"/>
      <c r="K33" s="15">
        <f t="shared" si="1"/>
        <v>2</v>
      </c>
      <c r="L33" s="7">
        <f t="shared" si="2"/>
        <v>2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2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6</v>
      </c>
      <c r="C40" s="57">
        <f t="shared" ref="C40:E40" si="3">SUM(C9:C39)</f>
        <v>0</v>
      </c>
      <c r="D40" s="57">
        <f t="shared" si="3"/>
        <v>3</v>
      </c>
      <c r="E40" s="57">
        <f t="shared" si="3"/>
        <v>0</v>
      </c>
      <c r="F40" s="56">
        <f>SUM(F9:F39)</f>
        <v>9</v>
      </c>
      <c r="G40" s="16">
        <f>SUM(G9:G39)</f>
        <v>10</v>
      </c>
      <c r="H40" s="16">
        <f t="shared" ref="H40:L40" si="4">SUM(H9:H39)</f>
        <v>2</v>
      </c>
      <c r="I40" s="16">
        <f t="shared" si="4"/>
        <v>0</v>
      </c>
      <c r="J40" s="16">
        <f t="shared" si="4"/>
        <v>0</v>
      </c>
      <c r="K40" s="16">
        <f t="shared" si="4"/>
        <v>12</v>
      </c>
      <c r="L40" s="16">
        <f t="shared" si="4"/>
        <v>21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7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21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0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21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7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5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2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37</v>
      </c>
    </row>
    <row r="54" spans="1:12" x14ac:dyDescent="0.25">
      <c r="B54" t="s">
        <v>38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40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</v>
      </c>
      <c r="H24" s="22"/>
      <c r="I24" s="30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55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1</v>
      </c>
      <c r="C28" s="22"/>
      <c r="D28" s="25"/>
      <c r="E28" s="23"/>
      <c r="F28" s="17">
        <f t="shared" si="0"/>
        <v>1</v>
      </c>
      <c r="G28" s="30"/>
      <c r="H28" s="22"/>
      <c r="I28" s="30"/>
      <c r="J28" s="30"/>
      <c r="K28" s="15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1">
        <v>3</v>
      </c>
      <c r="C29" s="22"/>
      <c r="D29" s="25">
        <v>1</v>
      </c>
      <c r="E29" s="24"/>
      <c r="F29" s="17">
        <f t="shared" si="0"/>
        <v>4</v>
      </c>
      <c r="G29" s="30"/>
      <c r="H29" s="22"/>
      <c r="I29" s="30"/>
      <c r="J29" s="30"/>
      <c r="K29" s="15">
        <f t="shared" si="1"/>
        <v>0</v>
      </c>
      <c r="L29" s="7">
        <f t="shared" si="2"/>
        <v>4</v>
      </c>
    </row>
    <row r="30" spans="1:12" ht="15.75" thickBot="1" x14ac:dyDescent="0.3">
      <c r="A30" s="8">
        <v>22</v>
      </c>
      <c r="B30" s="21">
        <v>1</v>
      </c>
      <c r="C30" s="22"/>
      <c r="D30" s="25">
        <v>1</v>
      </c>
      <c r="E30" s="23"/>
      <c r="F30" s="17">
        <f t="shared" si="0"/>
        <v>2</v>
      </c>
      <c r="G30" s="30"/>
      <c r="H30" s="22"/>
      <c r="I30" s="30"/>
      <c r="J30" s="30"/>
      <c r="K30" s="15">
        <f t="shared" si="1"/>
        <v>0</v>
      </c>
      <c r="L30" s="7">
        <f t="shared" si="2"/>
        <v>2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1</v>
      </c>
      <c r="C34" s="22"/>
      <c r="D34" s="25"/>
      <c r="E34" s="23"/>
      <c r="F34" s="17">
        <f t="shared" si="0"/>
        <v>1</v>
      </c>
      <c r="G34" s="30"/>
      <c r="H34" s="22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>
        <v>1</v>
      </c>
      <c r="H35" s="22"/>
      <c r="I35" s="22"/>
      <c r="J35" s="22"/>
      <c r="K35" s="15">
        <f t="shared" si="1"/>
        <v>1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6</v>
      </c>
      <c r="C40" s="59">
        <f t="shared" ref="C40:E40" si="3">SUM(C9:C39)</f>
        <v>0</v>
      </c>
      <c r="D40" s="59">
        <f t="shared" si="3"/>
        <v>2</v>
      </c>
      <c r="E40" s="59">
        <f t="shared" si="3"/>
        <v>0</v>
      </c>
      <c r="F40" s="58">
        <f>SUM(F9:F39)</f>
        <v>8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10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5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20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0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10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15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15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0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41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2</v>
      </c>
      <c r="C10" s="22"/>
      <c r="D10" s="22"/>
      <c r="E10" s="23"/>
      <c r="F10" s="17">
        <f t="shared" ref="F10:F39" si="0">SUM(B10:E10)</f>
        <v>2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2</v>
      </c>
    </row>
    <row r="11" spans="1:12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>
        <v>2</v>
      </c>
      <c r="H11" s="22"/>
      <c r="I11" s="22"/>
      <c r="J11" s="22"/>
      <c r="K11" s="15">
        <f t="shared" si="1"/>
        <v>2</v>
      </c>
      <c r="L11" s="7">
        <f t="shared" si="2"/>
        <v>3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3</v>
      </c>
      <c r="C18" s="25"/>
      <c r="D18" s="25"/>
      <c r="E18" s="23"/>
      <c r="F18" s="17">
        <f t="shared" si="0"/>
        <v>3</v>
      </c>
      <c r="G18" s="32"/>
      <c r="H18" s="22"/>
      <c r="I18" s="22"/>
      <c r="J18" s="22"/>
      <c r="K18" s="15">
        <f t="shared" si="1"/>
        <v>0</v>
      </c>
      <c r="L18" s="7">
        <f t="shared" si="2"/>
        <v>3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>
        <v>1</v>
      </c>
      <c r="J19" s="22"/>
      <c r="K19" s="15">
        <f t="shared" si="1"/>
        <v>1</v>
      </c>
      <c r="L19" s="7">
        <f t="shared" si="2"/>
        <v>1</v>
      </c>
    </row>
    <row r="20" spans="1:12" ht="15.75" thickBot="1" x14ac:dyDescent="0.3">
      <c r="A20" s="8">
        <v>12</v>
      </c>
      <c r="B20" s="21">
        <v>1</v>
      </c>
      <c r="C20" s="25"/>
      <c r="D20" s="25"/>
      <c r="E20" s="23"/>
      <c r="F20" s="17">
        <f t="shared" si="0"/>
        <v>1</v>
      </c>
      <c r="G20" s="30"/>
      <c r="H20" s="33"/>
      <c r="I20" s="30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>
        <v>1</v>
      </c>
      <c r="C21" s="25"/>
      <c r="D21" s="25"/>
      <c r="E21" s="23"/>
      <c r="F21" s="17">
        <f t="shared" si="0"/>
        <v>1</v>
      </c>
      <c r="G21" s="34"/>
      <c r="H21" s="22"/>
      <c r="I21" s="30"/>
      <c r="J21" s="30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>
        <v>1</v>
      </c>
      <c r="I24" s="30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55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8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8</v>
      </c>
      <c r="G40" s="16">
        <f>SUM(G9:G39)</f>
        <v>2</v>
      </c>
      <c r="H40" s="16">
        <f t="shared" ref="H40:L40" si="4">SUM(H9:H39)</f>
        <v>1</v>
      </c>
      <c r="I40" s="16">
        <f t="shared" si="4"/>
        <v>1</v>
      </c>
      <c r="J40" s="16">
        <f t="shared" si="4"/>
        <v>0</v>
      </c>
      <c r="K40" s="16">
        <f t="shared" si="4"/>
        <v>4</v>
      </c>
      <c r="L40" s="16">
        <f t="shared" si="4"/>
        <v>12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15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0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0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12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3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3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0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8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42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55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3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10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0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0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13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13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0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D20" sqref="D2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43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>
        <v>1</v>
      </c>
      <c r="E21" s="23"/>
      <c r="F21" s="17">
        <f t="shared" si="0"/>
        <v>1</v>
      </c>
      <c r="G21" s="34"/>
      <c r="H21" s="22"/>
      <c r="I21" s="30"/>
      <c r="J21" s="30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55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1</v>
      </c>
      <c r="E40" s="65">
        <f t="shared" si="3"/>
        <v>0</v>
      </c>
      <c r="F40" s="64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13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50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49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50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13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13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0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J52" sqref="J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44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>
        <v>1</v>
      </c>
      <c r="D10" s="22"/>
      <c r="E10" s="23"/>
      <c r="F10" s="17">
        <f t="shared" ref="F10:F39" si="0">SUM(B10:E10)</f>
        <v>1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55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1</v>
      </c>
      <c r="D40" s="67">
        <f t="shared" si="3"/>
        <v>0</v>
      </c>
      <c r="E40" s="67">
        <f t="shared" si="3"/>
        <v>0</v>
      </c>
      <c r="F40" s="66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13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0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0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1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12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12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0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7" workbookViewId="0">
      <selection activeCell="B54" sqref="B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45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</v>
      </c>
      <c r="H24" s="25"/>
      <c r="I24" s="30"/>
      <c r="J24" s="30">
        <v>1</v>
      </c>
      <c r="K24" s="15">
        <f t="shared" si="1"/>
        <v>2</v>
      </c>
      <c r="L24" s="7">
        <f t="shared" si="2"/>
        <v>2</v>
      </c>
    </row>
    <row r="25" spans="1:12" ht="15.75" thickBot="1" x14ac:dyDescent="0.3">
      <c r="A25" s="8">
        <v>17</v>
      </c>
      <c r="B25" s="21"/>
      <c r="C25" s="55"/>
      <c r="D25" s="25"/>
      <c r="E25" s="23"/>
      <c r="F25" s="17">
        <f t="shared" si="0"/>
        <v>0</v>
      </c>
      <c r="G25" s="30">
        <v>1</v>
      </c>
      <c r="H25" s="22"/>
      <c r="I25" s="30"/>
      <c r="J25" s="30"/>
      <c r="K25" s="15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>
        <v>1</v>
      </c>
      <c r="H29" s="22"/>
      <c r="I29" s="30"/>
      <c r="J29" s="30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2</v>
      </c>
      <c r="C31" s="22"/>
      <c r="D31" s="25"/>
      <c r="E31" s="23"/>
      <c r="F31" s="17">
        <f t="shared" si="0"/>
        <v>2</v>
      </c>
      <c r="G31" s="30"/>
      <c r="H31" s="22"/>
      <c r="I31" s="30"/>
      <c r="J31" s="30"/>
      <c r="K31" s="15">
        <f t="shared" si="1"/>
        <v>0</v>
      </c>
      <c r="L31" s="7">
        <f t="shared" si="2"/>
        <v>2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1</v>
      </c>
      <c r="C39" s="27"/>
      <c r="D39" s="27"/>
      <c r="E39" s="28"/>
      <c r="F39" s="17">
        <f t="shared" si="0"/>
        <v>1</v>
      </c>
      <c r="G39" s="30">
        <v>1</v>
      </c>
      <c r="H39" s="22"/>
      <c r="I39" s="22"/>
      <c r="J39" s="22"/>
      <c r="K39" s="15">
        <f t="shared" si="1"/>
        <v>1</v>
      </c>
      <c r="L39" s="7">
        <f t="shared" si="2"/>
        <v>2</v>
      </c>
    </row>
    <row r="40" spans="1:12" ht="15.75" thickBot="1" x14ac:dyDescent="0.3">
      <c r="A40" s="10"/>
      <c r="B40" s="69">
        <f>SUM(B9:B39)</f>
        <v>3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3</v>
      </c>
      <c r="G40" s="16">
        <f>SUM(G9:G39)</f>
        <v>4</v>
      </c>
      <c r="H40" s="16">
        <f t="shared" ref="H40:L40" si="4">SUM(H9:H39)</f>
        <v>0</v>
      </c>
      <c r="I40" s="16">
        <f t="shared" si="4"/>
        <v>0</v>
      </c>
      <c r="J40" s="16">
        <f t="shared" si="4"/>
        <v>1</v>
      </c>
      <c r="K40" s="16">
        <f t="shared" si="4"/>
        <v>5</v>
      </c>
      <c r="L40" s="16">
        <f t="shared" si="4"/>
        <v>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12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139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54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62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89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42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47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47</v>
      </c>
    </row>
    <row r="54" spans="1:12" x14ac:dyDescent="0.25">
      <c r="B54" t="s">
        <v>46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4" workbookViewId="0">
      <selection activeCell="B55" sqref="B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48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1</v>
      </c>
      <c r="C12" s="25"/>
      <c r="D12" s="25">
        <v>1</v>
      </c>
      <c r="E12" s="23"/>
      <c r="F12" s="17">
        <f t="shared" si="0"/>
        <v>2</v>
      </c>
      <c r="G12" s="31"/>
      <c r="H12" s="22"/>
      <c r="I12" s="22"/>
      <c r="J12" s="22"/>
      <c r="K12" s="15">
        <f t="shared" si="1"/>
        <v>0</v>
      </c>
      <c r="L12" s="7">
        <f t="shared" si="2"/>
        <v>2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2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3</v>
      </c>
      <c r="C19" s="25"/>
      <c r="D19" s="25"/>
      <c r="E19" s="23"/>
      <c r="F19" s="17">
        <f t="shared" si="0"/>
        <v>3</v>
      </c>
      <c r="G19" s="30"/>
      <c r="H19" s="22"/>
      <c r="I19" s="25"/>
      <c r="J19" s="22"/>
      <c r="K19" s="15">
        <f t="shared" si="1"/>
        <v>0</v>
      </c>
      <c r="L19" s="7">
        <f t="shared" si="2"/>
        <v>3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>
        <v>1</v>
      </c>
      <c r="H20" s="33"/>
      <c r="I20" s="30">
        <v>1</v>
      </c>
      <c r="J20" s="30">
        <v>1</v>
      </c>
      <c r="K20" s="15">
        <f t="shared" si="1"/>
        <v>3</v>
      </c>
      <c r="L20" s="7">
        <f t="shared" si="2"/>
        <v>3</v>
      </c>
    </row>
    <row r="21" spans="1:12" ht="15.75" thickBot="1" x14ac:dyDescent="0.3">
      <c r="A21" s="8">
        <v>13</v>
      </c>
      <c r="B21" s="21">
        <v>2</v>
      </c>
      <c r="C21" s="25"/>
      <c r="D21" s="25"/>
      <c r="E21" s="23"/>
      <c r="F21" s="17">
        <f t="shared" si="0"/>
        <v>2</v>
      </c>
      <c r="G21" s="34"/>
      <c r="H21" s="22"/>
      <c r="I21" s="30"/>
      <c r="J21" s="30"/>
      <c r="K21" s="15">
        <f t="shared" si="1"/>
        <v>0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5"/>
      <c r="D22" s="25">
        <v>1</v>
      </c>
      <c r="E22" s="23"/>
      <c r="F22" s="17">
        <f t="shared" si="0"/>
        <v>1</v>
      </c>
      <c r="G22" s="34"/>
      <c r="H22" s="22"/>
      <c r="I22" s="30"/>
      <c r="J22" s="30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1</v>
      </c>
      <c r="C25" s="55"/>
      <c r="D25" s="25"/>
      <c r="E25" s="23"/>
      <c r="F25" s="17">
        <f t="shared" si="0"/>
        <v>1</v>
      </c>
      <c r="G25" s="30">
        <v>1</v>
      </c>
      <c r="H25" s="22"/>
      <c r="I25" s="30"/>
      <c r="J25" s="30"/>
      <c r="K25" s="15">
        <f t="shared" si="1"/>
        <v>1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2</v>
      </c>
      <c r="C27" s="25"/>
      <c r="D27" s="25"/>
      <c r="E27" s="23"/>
      <c r="F27" s="17">
        <f t="shared" si="0"/>
        <v>2</v>
      </c>
      <c r="G27" s="30">
        <v>2</v>
      </c>
      <c r="H27" s="22"/>
      <c r="I27" s="30"/>
      <c r="J27" s="30"/>
      <c r="K27" s="15">
        <f t="shared" si="1"/>
        <v>2</v>
      </c>
      <c r="L27" s="7">
        <f t="shared" si="2"/>
        <v>4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9</v>
      </c>
      <c r="C40" s="71">
        <f t="shared" ref="C40:E40" si="3">SUM(C9:C39)</f>
        <v>0</v>
      </c>
      <c r="D40" s="71">
        <f t="shared" si="3"/>
        <v>2</v>
      </c>
      <c r="E40" s="71">
        <f t="shared" si="3"/>
        <v>0</v>
      </c>
      <c r="F40" s="70">
        <f>SUM(F9:F39)</f>
        <v>11</v>
      </c>
      <c r="G40" s="16">
        <f>SUM(G9:G39)</f>
        <v>4</v>
      </c>
      <c r="H40" s="16">
        <f t="shared" ref="H40:L40" si="4">SUM(H9:H39)</f>
        <v>0</v>
      </c>
      <c r="I40" s="16">
        <f t="shared" si="4"/>
        <v>1</v>
      </c>
      <c r="J40" s="16">
        <f t="shared" si="4"/>
        <v>1</v>
      </c>
      <c r="K40" s="16">
        <f t="shared" si="4"/>
        <v>6</v>
      </c>
      <c r="L40" s="16">
        <f t="shared" si="4"/>
        <v>17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42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0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0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17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25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14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11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49</v>
      </c>
    </row>
    <row r="54" spans="1:12" x14ac:dyDescent="0.25">
      <c r="B54" t="s">
        <v>29</v>
      </c>
    </row>
    <row r="55" spans="1:12" x14ac:dyDescent="0.25">
      <c r="B55" t="s">
        <v>50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34" workbookViewId="0">
      <selection activeCell="P40" sqref="P4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35"/>
      <c r="F1" s="36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35"/>
      <c r="F2" s="36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75" t="s">
        <v>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5.75" x14ac:dyDescent="0.25">
      <c r="A5" s="76" t="s">
        <v>55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9"/>
      <c r="I6" s="79"/>
      <c r="J6" s="12"/>
      <c r="K6" s="37"/>
      <c r="L6" s="3"/>
    </row>
    <row r="7" spans="1:12" x14ac:dyDescent="0.25">
      <c r="A7" s="80" t="s">
        <v>7</v>
      </c>
      <c r="B7" s="82" t="s">
        <v>8</v>
      </c>
      <c r="C7" s="83"/>
      <c r="D7" s="83"/>
      <c r="E7" s="83"/>
      <c r="F7" s="84"/>
      <c r="G7" s="85" t="s">
        <v>9</v>
      </c>
      <c r="H7" s="83"/>
      <c r="I7" s="83"/>
      <c r="J7" s="83"/>
      <c r="K7" s="84"/>
      <c r="L7" s="86" t="s">
        <v>10</v>
      </c>
    </row>
    <row r="8" spans="1:12" ht="15.75" thickBot="1" x14ac:dyDescent="0.3">
      <c r="A8" s="8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7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>
        <v>1</v>
      </c>
      <c r="I10" s="22"/>
      <c r="J10" s="22"/>
      <c r="K10" s="15">
        <f t="shared" ref="K10:K39" si="1">SUM(G10:J10)</f>
        <v>1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>
        <v>1</v>
      </c>
      <c r="I18" s="22"/>
      <c r="J18" s="22"/>
      <c r="K18" s="15">
        <f t="shared" si="1"/>
        <v>1</v>
      </c>
      <c r="L18" s="7">
        <f t="shared" si="2"/>
        <v>1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55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>
        <v>1</v>
      </c>
      <c r="D26" s="25"/>
      <c r="E26" s="23"/>
      <c r="F26" s="17">
        <f t="shared" si="0"/>
        <v>1</v>
      </c>
      <c r="G26" s="30">
        <v>18</v>
      </c>
      <c r="H26" s="25"/>
      <c r="I26" s="30"/>
      <c r="J26" s="30"/>
      <c r="K26" s="15">
        <f t="shared" si="1"/>
        <v>18</v>
      </c>
      <c r="L26" s="7">
        <f t="shared" si="2"/>
        <v>19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>
        <v>16</v>
      </c>
      <c r="H27" s="25">
        <v>2</v>
      </c>
      <c r="I27" s="30">
        <v>3</v>
      </c>
      <c r="J27" s="30"/>
      <c r="K27" s="15">
        <f t="shared" si="1"/>
        <v>21</v>
      </c>
      <c r="L27" s="7">
        <f t="shared" si="2"/>
        <v>21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2</v>
      </c>
      <c r="C30" s="22"/>
      <c r="D30" s="25"/>
      <c r="E30" s="23"/>
      <c r="F30" s="17">
        <f t="shared" si="0"/>
        <v>2</v>
      </c>
      <c r="G30" s="30"/>
      <c r="H30" s="22"/>
      <c r="I30" s="30"/>
      <c r="J30" s="30"/>
      <c r="K30" s="15">
        <f t="shared" si="1"/>
        <v>0</v>
      </c>
      <c r="L30" s="7">
        <f t="shared" si="2"/>
        <v>2</v>
      </c>
    </row>
    <row r="31" spans="1:12" ht="15.75" thickBot="1" x14ac:dyDescent="0.3">
      <c r="A31" s="8">
        <v>23</v>
      </c>
      <c r="B31" s="21"/>
      <c r="C31" s="22"/>
      <c r="D31" s="25">
        <v>1</v>
      </c>
      <c r="E31" s="23"/>
      <c r="F31" s="17">
        <f t="shared" si="0"/>
        <v>1</v>
      </c>
      <c r="G31" s="30"/>
      <c r="H31" s="22"/>
      <c r="I31" s="30"/>
      <c r="J31" s="30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>
        <v>2</v>
      </c>
      <c r="C32" s="22"/>
      <c r="D32" s="25"/>
      <c r="E32" s="23"/>
      <c r="F32" s="17">
        <f t="shared" si="0"/>
        <v>2</v>
      </c>
      <c r="G32" s="30">
        <v>1</v>
      </c>
      <c r="H32" s="22"/>
      <c r="I32" s="30"/>
      <c r="J32" s="30"/>
      <c r="K32" s="15">
        <f t="shared" si="1"/>
        <v>1</v>
      </c>
      <c r="L32" s="7">
        <f t="shared" si="2"/>
        <v>3</v>
      </c>
    </row>
    <row r="33" spans="1:12" ht="15.75" thickBot="1" x14ac:dyDescent="0.3">
      <c r="A33" s="8">
        <v>25</v>
      </c>
      <c r="B33" s="21"/>
      <c r="C33" s="22"/>
      <c r="D33" s="25">
        <v>1</v>
      </c>
      <c r="E33" s="23"/>
      <c r="F33" s="17">
        <f t="shared" si="0"/>
        <v>1</v>
      </c>
      <c r="G33" s="30"/>
      <c r="H33" s="22"/>
      <c r="I33" s="30"/>
      <c r="J33" s="30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>
        <v>1</v>
      </c>
      <c r="H34" s="22"/>
      <c r="I34" s="22"/>
      <c r="J34" s="22"/>
      <c r="K34" s="15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2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>
        <v>1</v>
      </c>
      <c r="C39" s="74">
        <v>1</v>
      </c>
      <c r="D39" s="27"/>
      <c r="E39" s="28"/>
      <c r="F39" s="17">
        <f t="shared" si="0"/>
        <v>2</v>
      </c>
      <c r="G39" s="30">
        <v>4</v>
      </c>
      <c r="H39" s="22"/>
      <c r="I39" s="22">
        <v>1</v>
      </c>
      <c r="J39" s="22"/>
      <c r="K39" s="15">
        <f t="shared" si="1"/>
        <v>5</v>
      </c>
      <c r="L39" s="7">
        <f t="shared" si="2"/>
        <v>7</v>
      </c>
    </row>
    <row r="40" spans="1:12" ht="15.75" thickBot="1" x14ac:dyDescent="0.3">
      <c r="A40" s="10"/>
      <c r="B40" s="73">
        <f>SUM(B9:B39)</f>
        <v>6</v>
      </c>
      <c r="C40" s="73">
        <f t="shared" ref="C40:E40" si="3">SUM(C9:C39)</f>
        <v>2</v>
      </c>
      <c r="D40" s="73">
        <f t="shared" si="3"/>
        <v>2</v>
      </c>
      <c r="E40" s="73">
        <f t="shared" si="3"/>
        <v>0</v>
      </c>
      <c r="F40" s="72">
        <f>SUM(F9:F39)</f>
        <v>10</v>
      </c>
      <c r="G40" s="16">
        <f>SUM(G9:G39)</f>
        <v>40</v>
      </c>
      <c r="H40" s="16">
        <f t="shared" ref="H40:L40" si="4">SUM(H9:H39)</f>
        <v>4</v>
      </c>
      <c r="I40" s="16">
        <f t="shared" si="4"/>
        <v>4</v>
      </c>
      <c r="J40" s="16">
        <f t="shared" si="4"/>
        <v>0</v>
      </c>
      <c r="K40" s="16">
        <f t="shared" si="4"/>
        <v>48</v>
      </c>
      <c r="L40" s="16">
        <f t="shared" si="4"/>
        <v>58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8"/>
      <c r="B42" s="88"/>
      <c r="C42" s="88"/>
      <c r="D42" s="88"/>
      <c r="E42" s="88"/>
      <c r="F42" s="88"/>
      <c r="G42" s="89" t="s">
        <v>17</v>
      </c>
      <c r="H42" s="90"/>
      <c r="I42" s="90" t="s">
        <v>18</v>
      </c>
      <c r="J42" s="91"/>
      <c r="K42" s="11"/>
      <c r="L42" s="13"/>
    </row>
    <row r="43" spans="1:12" ht="15.75" thickBot="1" x14ac:dyDescent="0.3">
      <c r="A43" s="14"/>
      <c r="B43" s="92" t="s">
        <v>19</v>
      </c>
      <c r="C43" s="93"/>
      <c r="D43" s="93"/>
      <c r="E43" s="93"/>
      <c r="F43" s="93"/>
      <c r="G43" s="94">
        <v>14</v>
      </c>
      <c r="H43" s="95"/>
      <c r="I43" s="96"/>
      <c r="J43" s="97"/>
      <c r="K43" s="11"/>
      <c r="L43" s="13"/>
    </row>
    <row r="44" spans="1:12" ht="15.75" thickBot="1" x14ac:dyDescent="0.3">
      <c r="A44" s="14"/>
      <c r="B44" s="92" t="s">
        <v>20</v>
      </c>
      <c r="C44" s="93"/>
      <c r="D44" s="93"/>
      <c r="E44" s="93"/>
      <c r="F44" s="93"/>
      <c r="G44" s="98">
        <v>101</v>
      </c>
      <c r="H44" s="99"/>
      <c r="I44" s="98"/>
      <c r="J44" s="99"/>
      <c r="K44" s="11"/>
      <c r="L44" s="13"/>
    </row>
    <row r="45" spans="1:12" ht="15.75" thickBot="1" x14ac:dyDescent="0.3">
      <c r="A45" s="14"/>
      <c r="B45" s="100" t="s">
        <v>21</v>
      </c>
      <c r="C45" s="100"/>
      <c r="D45" s="100"/>
      <c r="E45" s="100"/>
      <c r="F45" s="92"/>
      <c r="G45" s="101">
        <v>0</v>
      </c>
      <c r="H45" s="102"/>
      <c r="I45" s="94"/>
      <c r="J45" s="103"/>
      <c r="K45" s="11"/>
      <c r="L45" s="13"/>
    </row>
    <row r="46" spans="1:12" ht="15.75" thickBot="1" x14ac:dyDescent="0.3">
      <c r="A46" s="14"/>
      <c r="B46" s="92" t="s">
        <v>22</v>
      </c>
      <c r="C46" s="93"/>
      <c r="D46" s="93"/>
      <c r="E46" s="93"/>
      <c r="F46" s="93"/>
      <c r="G46" s="104">
        <f>L40+G45</f>
        <v>58</v>
      </c>
      <c r="H46" s="99"/>
      <c r="I46" s="98"/>
      <c r="J46" s="99"/>
      <c r="K46" s="11"/>
      <c r="L46" s="13"/>
    </row>
    <row r="47" spans="1:12" ht="15.75" thickBot="1" x14ac:dyDescent="0.3">
      <c r="A47" s="4"/>
      <c r="B47" s="92" t="s">
        <v>23</v>
      </c>
      <c r="C47" s="93"/>
      <c r="D47" s="93"/>
      <c r="E47" s="93"/>
      <c r="F47" s="93"/>
      <c r="G47" s="104">
        <f>G43+G44-G46</f>
        <v>57</v>
      </c>
      <c r="H47" s="99"/>
      <c r="I47" s="98"/>
      <c r="J47" s="99"/>
      <c r="K47" s="11"/>
      <c r="L47" s="3"/>
    </row>
    <row r="48" spans="1:12" ht="15.75" thickBot="1" x14ac:dyDescent="0.3">
      <c r="A48" s="4"/>
      <c r="B48" s="92" t="s">
        <v>24</v>
      </c>
      <c r="C48" s="93"/>
      <c r="D48" s="93"/>
      <c r="E48" s="93"/>
      <c r="F48" s="93"/>
      <c r="G48" s="98">
        <v>6</v>
      </c>
      <c r="H48" s="99"/>
      <c r="I48" s="98"/>
      <c r="J48" s="99"/>
      <c r="K48" s="11"/>
      <c r="L48" s="3"/>
    </row>
    <row r="49" spans="1:12" ht="15.75" thickBot="1" x14ac:dyDescent="0.3">
      <c r="A49" s="4"/>
      <c r="B49" s="92" t="s">
        <v>25</v>
      </c>
      <c r="C49" s="93"/>
      <c r="D49" s="93"/>
      <c r="E49" s="93"/>
      <c r="F49" s="93"/>
      <c r="G49" s="105">
        <f>G47-G48</f>
        <v>51</v>
      </c>
      <c r="H49" s="106"/>
      <c r="I49" s="107"/>
      <c r="J49" s="106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8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52</v>
      </c>
    </row>
    <row r="54" spans="1:12" x14ac:dyDescent="0.25">
      <c r="B54" t="s">
        <v>54</v>
      </c>
    </row>
    <row r="55" spans="1:12" x14ac:dyDescent="0.25">
      <c r="B55" t="s">
        <v>51</v>
      </c>
    </row>
    <row r="56" spans="1:12" x14ac:dyDescent="0.25">
      <c r="B56" t="s">
        <v>53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2020-01-08T07:42:27Z</cp:lastPrinted>
  <dcterms:created xsi:type="dcterms:W3CDTF">2014-12-31T15:22:06Z</dcterms:created>
  <dcterms:modified xsi:type="dcterms:W3CDTF">2020-01-08T07:42:33Z</dcterms:modified>
</cp:coreProperties>
</file>