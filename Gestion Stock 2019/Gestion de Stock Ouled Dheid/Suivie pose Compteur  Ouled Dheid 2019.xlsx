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Ouled Dheid\"/>
    </mc:Choice>
  </mc:AlternateContent>
  <bookViews>
    <workbookView xWindow="315" yWindow="195" windowWidth="6900" windowHeight="2025" firstSheet="4" activeTab="9"/>
  </bookViews>
  <sheets>
    <sheet name="Janvier 2019" sheetId="1" r:id="rId1"/>
    <sheet name="Février 2019" sheetId="2" r:id="rId2"/>
    <sheet name="Mars 2019" sheetId="3" r:id="rId3"/>
    <sheet name="Avril 2019" sheetId="4" r:id="rId4"/>
    <sheet name="Mai 2019" sheetId="5" r:id="rId5"/>
    <sheet name="Juin 2019" sheetId="6" r:id="rId6"/>
    <sheet name="Juillet 2019" sheetId="7" r:id="rId7"/>
    <sheet name="Aout 2019" sheetId="8" r:id="rId8"/>
    <sheet name="Septembre 2019" sheetId="9" r:id="rId9"/>
    <sheet name="Octobre 2019" sheetId="10" r:id="rId10"/>
    <sheet name="NOVEMBRE 2019" sheetId="11" r:id="rId11"/>
    <sheet name="DECEMBRE 2019" sheetId="12" r:id="rId12"/>
  </sheets>
  <definedNames>
    <definedName name="_xlnm.Print_Titles" localSheetId="7">'Aout 2019'!$1:$6</definedName>
    <definedName name="_xlnm.Print_Titles" localSheetId="3">'Avril 2019'!$1:$6</definedName>
    <definedName name="_xlnm.Print_Titles" localSheetId="11">'DECEMBRE 2019'!$1:$6</definedName>
    <definedName name="_xlnm.Print_Titles" localSheetId="1">'Février 2019'!$1:$6</definedName>
    <definedName name="_xlnm.Print_Titles" localSheetId="0">'Janvier 2019'!$1:$6</definedName>
    <definedName name="_xlnm.Print_Titles" localSheetId="6">'Juillet 2019'!$1:$6</definedName>
    <definedName name="_xlnm.Print_Titles" localSheetId="5">'Juin 2019'!$1:$6</definedName>
    <definedName name="_xlnm.Print_Titles" localSheetId="4">'Mai 2019'!$1:$6</definedName>
    <definedName name="_xlnm.Print_Titles" localSheetId="2">'Mars 2019'!$1:$6</definedName>
    <definedName name="_xlnm.Print_Titles" localSheetId="10">'NOVEMBRE 2019'!$1:$6</definedName>
    <definedName name="_xlnm.Print_Titles" localSheetId="9">'Octobre 2019'!$1:$6</definedName>
    <definedName name="_xlnm.Print_Titles" localSheetId="8">'Septembre 2019'!$1:$6</definedName>
  </definedNames>
  <calcPr calcId="162913"/>
</workbook>
</file>

<file path=xl/calcChain.xml><?xml version="1.0" encoding="utf-8"?>
<calcChain xmlns="http://schemas.openxmlformats.org/spreadsheetml/2006/main">
  <c r="A8" i="12" l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K4" i="12"/>
  <c r="K3" i="12"/>
  <c r="K2" i="12"/>
  <c r="K5" i="12" s="1"/>
  <c r="A8" i="11" l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K4" i="11"/>
  <c r="K3" i="11"/>
  <c r="K2" i="11"/>
  <c r="K5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K4" i="10"/>
  <c r="K3" i="10"/>
  <c r="K2" i="10"/>
  <c r="K5" i="10" l="1"/>
  <c r="A8" i="9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K4" i="9"/>
  <c r="K3" i="9"/>
  <c r="K2" i="9"/>
  <c r="K5" i="9" l="1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K4" i="8"/>
  <c r="K3" i="8"/>
  <c r="K2" i="8"/>
  <c r="K5" i="8" l="1"/>
  <c r="A8" i="7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K4" i="7"/>
  <c r="K3" i="7"/>
  <c r="K2" i="7"/>
  <c r="K5" i="7" l="1"/>
  <c r="A8" i="6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K4" i="6"/>
  <c r="K3" i="6"/>
  <c r="K2" i="6"/>
  <c r="K5" i="6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K4" i="5"/>
  <c r="K3" i="5"/>
  <c r="K2" i="5"/>
  <c r="K5" i="5" l="1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K4" i="4"/>
  <c r="K3" i="4"/>
  <c r="K2" i="4"/>
  <c r="K5" i="4" l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K4" i="3"/>
  <c r="K3" i="3"/>
  <c r="K2" i="3"/>
  <c r="K5" i="3" s="1"/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K4" i="2"/>
  <c r="K3" i="2"/>
  <c r="K2" i="2"/>
  <c r="K5" i="2" l="1"/>
  <c r="A8" i="1" l="1"/>
  <c r="A9" i="1" s="1"/>
  <c r="A10" i="1" s="1"/>
  <c r="A11" i="1" s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K4" i="1"/>
  <c r="K3" i="1"/>
  <c r="A22" i="1" l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K2" i="1"/>
  <c r="K5" i="1" s="1"/>
</calcChain>
</file>

<file path=xl/sharedStrings.xml><?xml version="1.0" encoding="utf-8"?>
<sst xmlns="http://schemas.openxmlformats.org/spreadsheetml/2006/main" count="398" uniqueCount="165">
  <si>
    <t>Algérienne des Eaux</t>
  </si>
  <si>
    <t>Centre de : Berrouaghia</t>
  </si>
  <si>
    <t>Zone d'Alger</t>
  </si>
  <si>
    <r>
      <t>Agence de</t>
    </r>
    <r>
      <rPr>
        <sz val="10"/>
        <rFont val="Arial"/>
        <family val="2"/>
      </rPr>
      <t xml:space="preserve"> : </t>
    </r>
    <r>
      <rPr>
        <b/>
        <sz val="10"/>
        <rFont val="Arial"/>
        <family val="2"/>
      </rPr>
      <t xml:space="preserve">Berrouaghia </t>
    </r>
  </si>
  <si>
    <t>Nbr Elémination de mois</t>
  </si>
  <si>
    <t>Unité de Médéa</t>
  </si>
  <si>
    <t>Nouveau Branchement</t>
  </si>
  <si>
    <t xml:space="preserve">Suivi Pose Compteurs  </t>
  </si>
  <si>
    <t>Vente Compteur</t>
  </si>
  <si>
    <t>Total Compteurs</t>
  </si>
  <si>
    <t>N° d'ordre</t>
  </si>
  <si>
    <t>N° de Concession</t>
  </si>
  <si>
    <t>Diamètre de compteur</t>
  </si>
  <si>
    <t xml:space="preserve">N° de Série de compteur </t>
  </si>
  <si>
    <t>Date d'installation</t>
  </si>
  <si>
    <t>Observation</t>
  </si>
  <si>
    <t>Antenne Ouled Dheid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</si>
  <si>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</si>
  <si>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Février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</si>
  <si>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15/21</t>
  </si>
  <si>
    <t>2018169891</t>
  </si>
  <si>
    <t>NB(N°314/2018)</t>
  </si>
  <si>
    <t>Allali lakhdar</t>
  </si>
  <si>
    <t>2018169892</t>
  </si>
  <si>
    <t>BR 0523</t>
  </si>
  <si>
    <t>BR 0533</t>
  </si>
  <si>
    <t>2018169893</t>
  </si>
  <si>
    <t>BR 0492</t>
  </si>
  <si>
    <t>2018169894</t>
  </si>
  <si>
    <t>BR 0192</t>
  </si>
  <si>
    <t>2018169895</t>
  </si>
  <si>
    <t>BR 0465</t>
  </si>
  <si>
    <t>2018169896</t>
  </si>
  <si>
    <t>BR 0301</t>
  </si>
  <si>
    <t>2018169897</t>
  </si>
  <si>
    <t>BR 0645</t>
  </si>
  <si>
    <t>2018169898</t>
  </si>
  <si>
    <t>2018169899</t>
  </si>
  <si>
    <t>BR 0489</t>
  </si>
  <si>
    <t>Razem mahdi</t>
  </si>
  <si>
    <t>2018169900</t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</si>
  <si>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</si>
  <si>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Elimination Forfait</t>
  </si>
  <si>
    <t>NB(N°0353/2017)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</si>
  <si>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</si>
  <si>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t>2019058148</t>
  </si>
  <si>
    <t>Berraf boualem</t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</si>
  <si>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</si>
  <si>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</si>
  <si>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</si>
  <si>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</si>
  <si>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2019</t>
    </r>
  </si>
  <si>
    <r>
      <t>Mois de Octobre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2019</t>
    </r>
  </si>
  <si>
    <t>2019182281</t>
  </si>
  <si>
    <t>2019182282</t>
  </si>
  <si>
    <t>2019182283</t>
  </si>
  <si>
    <t>2019182284</t>
  </si>
  <si>
    <t>2019182285</t>
  </si>
  <si>
    <t>2019182286</t>
  </si>
  <si>
    <t>2019182287</t>
  </si>
  <si>
    <t>2019182288</t>
  </si>
  <si>
    <t>2019182289</t>
  </si>
  <si>
    <t>2019182290</t>
  </si>
  <si>
    <t>2019182621</t>
  </si>
  <si>
    <t>2019182622</t>
  </si>
  <si>
    <t>2019182623</t>
  </si>
  <si>
    <t>2019182624</t>
  </si>
  <si>
    <t>2019182625</t>
  </si>
  <si>
    <t>2019182626</t>
  </si>
  <si>
    <t>2019182627</t>
  </si>
  <si>
    <t>2019182628</t>
  </si>
  <si>
    <t>2019182629</t>
  </si>
  <si>
    <t>2019182630</t>
  </si>
  <si>
    <t>2019182551</t>
  </si>
  <si>
    <t>2019182552</t>
  </si>
  <si>
    <t>2019182553</t>
  </si>
  <si>
    <t>2019182554</t>
  </si>
  <si>
    <t>2019182555</t>
  </si>
  <si>
    <t>2019182557</t>
  </si>
  <si>
    <t>2019182558</t>
  </si>
  <si>
    <t>NB(N°0081/2019)</t>
  </si>
  <si>
    <t>Hassein mourad</t>
  </si>
  <si>
    <t>NB(N°0055/2019)</t>
  </si>
  <si>
    <t>NB(N°0077/2019)</t>
  </si>
  <si>
    <t>Lamari elhachemi</t>
  </si>
  <si>
    <t>NB(N°0057/2019)</t>
  </si>
  <si>
    <t>Bouteraa brahim</t>
  </si>
  <si>
    <t>NB(N°0048/2019)</t>
  </si>
  <si>
    <t xml:space="preserve">Rahmi lakhdar </t>
  </si>
  <si>
    <t>NB(N°0116/2019)</t>
  </si>
  <si>
    <t>Labidi ahmed</t>
  </si>
  <si>
    <t>NB(N°0084/2019)</t>
  </si>
  <si>
    <t>Benthaya el madani</t>
  </si>
  <si>
    <t>Labidi ali</t>
  </si>
  <si>
    <t>NB(N°0056/2019)</t>
  </si>
  <si>
    <t>Benaissa med</t>
  </si>
  <si>
    <t>NB(N°0063/2019)</t>
  </si>
  <si>
    <t>Benmokla mustapha</t>
  </si>
  <si>
    <t>Bourahla abdelkrim</t>
  </si>
  <si>
    <t>NB(N°0067/2019)</t>
  </si>
  <si>
    <t>Azira abdenacer</t>
  </si>
  <si>
    <t>NB(N°0049/2019)</t>
  </si>
  <si>
    <t>Abdou mourad</t>
  </si>
  <si>
    <t>NB(N°0061/2019)</t>
  </si>
  <si>
    <t>Bengueci abdesslam</t>
  </si>
  <si>
    <t>NB(N°0092/2019)</t>
  </si>
  <si>
    <t>Benthaya houcine</t>
  </si>
  <si>
    <t>NB(N°0053/2019)</t>
  </si>
  <si>
    <t>Benthaya omar</t>
  </si>
  <si>
    <t>NB(N°0051/2019)</t>
  </si>
  <si>
    <t>Bourahla abdelkader</t>
  </si>
  <si>
    <t>NB(N°0059/2019)</t>
  </si>
  <si>
    <t>Bentaia abderahmane</t>
  </si>
  <si>
    <t>NB(N°0050/2019)</t>
  </si>
  <si>
    <t>Bahriou zohra</t>
  </si>
  <si>
    <t>NB(N°0072/2019)</t>
  </si>
  <si>
    <t>Hadjersi rachid -bis</t>
  </si>
  <si>
    <t>Bahmed belkacem</t>
  </si>
  <si>
    <t>NB(N°0380/2017)</t>
  </si>
  <si>
    <t>Boura aissa</t>
  </si>
  <si>
    <t>NB(N°0343/2017)</t>
  </si>
  <si>
    <t>Bennad el hadj</t>
  </si>
  <si>
    <t>NB(N°0372/2017)</t>
  </si>
  <si>
    <t>Boura rabie</t>
  </si>
  <si>
    <t>NB(N°0344/2017)</t>
  </si>
  <si>
    <t>Boukhit lakhdar</t>
  </si>
  <si>
    <t>NB(N°0002/2018)</t>
  </si>
  <si>
    <t>Chaibi djillali</t>
  </si>
  <si>
    <t>NB(N°0074/2019)</t>
  </si>
  <si>
    <t>Bensaidane lakhdar</t>
  </si>
  <si>
    <t>NB(N°0071/2019)</t>
  </si>
  <si>
    <t>Bouchenafa a/rahmane</t>
  </si>
  <si>
    <t>NB(N°0066/2019)</t>
  </si>
  <si>
    <r>
      <t>Mois de NOVEMBRE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2019</t>
    </r>
  </si>
  <si>
    <r>
      <t>Mois de DECEMBRE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2019</t>
    </r>
  </si>
  <si>
    <t>BR0757</t>
  </si>
  <si>
    <t>BR0703</t>
  </si>
  <si>
    <t>BR0760</t>
  </si>
  <si>
    <t>BR0769</t>
  </si>
  <si>
    <t>BR0770</t>
  </si>
  <si>
    <t>BR0763</t>
  </si>
  <si>
    <t>BR0778</t>
  </si>
  <si>
    <t>BR0766</t>
  </si>
  <si>
    <t>BR0768</t>
  </si>
  <si>
    <t>BR0777</t>
  </si>
  <si>
    <t>BR0774</t>
  </si>
  <si>
    <t>BR0775</t>
  </si>
  <si>
    <t>BR0767</t>
  </si>
  <si>
    <t>BR0706</t>
  </si>
  <si>
    <t>BR0759</t>
  </si>
  <si>
    <t>BR0680</t>
  </si>
  <si>
    <t>BR0765</t>
  </si>
  <si>
    <t>BR0782</t>
  </si>
  <si>
    <t>BR0758</t>
  </si>
  <si>
    <t>BR0771</t>
  </si>
  <si>
    <t>BR0761</t>
  </si>
  <si>
    <t>BR0779</t>
  </si>
  <si>
    <t>BR0663</t>
  </si>
  <si>
    <t>BR0781</t>
  </si>
  <si>
    <t>BR0780</t>
  </si>
  <si>
    <t>BR0772</t>
  </si>
  <si>
    <t>BR0762</t>
  </si>
  <si>
    <t>BR0764</t>
  </si>
  <si>
    <t>BR0776</t>
  </si>
  <si>
    <t>BR0773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</si>
</sst>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0"/>
      <color rgb="FFFF0000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1" fillId="0" borderId="0" xfId="1"/>
    <xf numFmtId="0" fontId="1" fillId="0" borderId="0" xfId="1" applyAlignment="1">
      <alignment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" xfId="1" applyBorder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8" fillId="0" borderId="0" xfId="1" applyNumberFormat="1" applyFont="1" applyAlignment="1">
      <alignment vertical="center" wrapText="1"/>
    </xf>
    <xf numFmtId="14" fontId="6" fillId="0" borderId="1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1" xfId="1" applyFont="1" applyBorder="1" applyAlignment="1">
      <alignment horizontal="right" vertical="center" wrapText="1"/>
    </xf>
    <xf numFmtId="0" fontId="2" fillId="2" borderId="1" xfId="1" applyFont="1" applyFill="1" applyBorder="1" applyAlignment="1">
      <alignment horizontal="center"/>
    </xf>
    <xf numFmtId="0" fontId="8" fillId="0" borderId="0" xfId="3" applyAlignment="1">
      <alignment vertical="center"/>
    </xf>
    <xf numFmtId="0" fontId="11" fillId="2" borderId="1" xfId="3" applyFont="1" applyFill="1" applyBorder="1" applyAlignment="1">
      <alignment horizontal="center" vertical="center"/>
    </xf>
    <xf numFmtId="49" fontId="7" fillId="0" borderId="1" xfId="1" applyNumberFormat="1" applyFont="1" applyBorder="1" applyAlignment="1">
      <alignment horizontal="center" vertical="top" wrapText="1"/>
    </xf>
    <xf numFmtId="49" fontId="1" fillId="0" borderId="0" xfId="1" applyNumberFormat="1" applyFont="1" applyAlignment="1">
      <alignment vertical="center" wrapText="1"/>
    </xf>
    <xf numFmtId="49" fontId="6" fillId="0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top" wrapText="1"/>
    </xf>
    <xf numFmtId="0" fontId="9" fillId="0" borderId="1" xfId="1" applyFont="1" applyFill="1" applyBorder="1" applyAlignment="1">
      <alignment horizontal="right" vertical="center" wrapText="1"/>
    </xf>
    <xf numFmtId="0" fontId="1" fillId="0" borderId="0" xfId="1" applyFont="1" applyFill="1" applyAlignment="1">
      <alignment vertical="center" wrapText="1"/>
    </xf>
    <xf numFmtId="0" fontId="8" fillId="0" borderId="0" xfId="1" applyFont="1" applyFill="1" applyAlignment="1">
      <alignment vertical="center" wrapText="1"/>
    </xf>
    <xf numFmtId="49" fontId="8" fillId="0" borderId="0" xfId="1" applyNumberFormat="1" applyFont="1" applyFill="1" applyAlignment="1">
      <alignment vertical="center" wrapText="1"/>
    </xf>
    <xf numFmtId="49" fontId="1" fillId="0" borderId="0" xfId="1" applyNumberFormat="1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4" fillId="0" borderId="0" xfId="1" applyFont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5" fillId="0" borderId="3" xfId="3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6</xdr:row>
      <xdr:rowOff>9525</xdr:rowOff>
    </xdr:from>
    <xdr:to>
      <xdr:col>5</xdr:col>
      <xdr:colOff>1295401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600075" y="1323975"/>
          <a:ext cx="4533901" cy="55054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9527</xdr:colOff>
      <xdr:row>15</xdr:row>
      <xdr:rowOff>38100</xdr:rowOff>
    </xdr:from>
    <xdr:to>
      <xdr:col>7</xdr:col>
      <xdr:colOff>9525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7" y="3067050"/>
          <a:ext cx="4562473" cy="376237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9529</xdr:colOff>
      <xdr:row>7</xdr:row>
      <xdr:rowOff>28575</xdr:rowOff>
    </xdr:from>
    <xdr:to>
      <xdr:col>6</xdr:col>
      <xdr:colOff>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9" y="1533525"/>
          <a:ext cx="4552946" cy="529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9529</xdr:colOff>
      <xdr:row>7</xdr:row>
      <xdr:rowOff>28575</xdr:rowOff>
    </xdr:from>
    <xdr:to>
      <xdr:col>6</xdr:col>
      <xdr:colOff>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600079" y="1533525"/>
          <a:ext cx="4552946" cy="52959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9525</xdr:colOff>
      <xdr:row>34</xdr:row>
      <xdr:rowOff>171450</xdr:rowOff>
    </xdr:to>
    <xdr:cxnSp macro="">
      <xdr:nvCxnSpPr>
        <xdr:cNvPr id="4" name="Connecteur droit 3"/>
        <xdr:cNvCxnSpPr/>
      </xdr:nvCxnSpPr>
      <xdr:spPr>
        <a:xfrm flipH="1">
          <a:off x="581025" y="1333500"/>
          <a:ext cx="4581525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9525</xdr:colOff>
      <xdr:row>34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1333500"/>
          <a:ext cx="4581525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9525</xdr:colOff>
      <xdr:row>34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1333500"/>
          <a:ext cx="4581525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9525</xdr:colOff>
      <xdr:row>34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1333500"/>
          <a:ext cx="4581525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6</xdr:row>
      <xdr:rowOff>19050</xdr:rowOff>
    </xdr:from>
    <xdr:to>
      <xdr:col>7</xdr:col>
      <xdr:colOff>9525</xdr:colOff>
      <xdr:row>34</xdr:row>
      <xdr:rowOff>171450</xdr:rowOff>
    </xdr:to>
    <xdr:cxnSp macro="">
      <xdr:nvCxnSpPr>
        <xdr:cNvPr id="2" name="Connecteur droit 1"/>
        <xdr:cNvCxnSpPr/>
      </xdr:nvCxnSpPr>
      <xdr:spPr>
        <a:xfrm flipH="1">
          <a:off x="581025" y="1333500"/>
          <a:ext cx="4581525" cy="54864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5</xdr:row>
      <xdr:rowOff>247650</xdr:rowOff>
    </xdr:from>
    <xdr:to>
      <xdr:col>5</xdr:col>
      <xdr:colOff>1295400</xdr:colOff>
      <xdr:row>34</xdr:row>
      <xdr:rowOff>180975</xdr:rowOff>
    </xdr:to>
    <xdr:cxnSp macro="">
      <xdr:nvCxnSpPr>
        <xdr:cNvPr id="3" name="Connecteur droit 2"/>
        <xdr:cNvCxnSpPr/>
      </xdr:nvCxnSpPr>
      <xdr:spPr>
        <a:xfrm flipH="1">
          <a:off x="581025" y="1295400"/>
          <a:ext cx="4552950" cy="5534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5</xdr:row>
      <xdr:rowOff>247650</xdr:rowOff>
    </xdr:from>
    <xdr:to>
      <xdr:col>5</xdr:col>
      <xdr:colOff>1295400</xdr:colOff>
      <xdr:row>34</xdr:row>
      <xdr:rowOff>180975</xdr:rowOff>
    </xdr:to>
    <xdr:cxnSp macro="">
      <xdr:nvCxnSpPr>
        <xdr:cNvPr id="2" name="Connecteur droit 1"/>
        <xdr:cNvCxnSpPr/>
      </xdr:nvCxnSpPr>
      <xdr:spPr>
        <a:xfrm flipH="1">
          <a:off x="581025" y="1295400"/>
          <a:ext cx="4552950" cy="55340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13" sqref="F13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2.28515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/>
      <c r="C7" s="10"/>
      <c r="D7" s="9"/>
      <c r="E7" s="12"/>
      <c r="F7" s="21"/>
      <c r="G7" s="17"/>
      <c r="H7" s="31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/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/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/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/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sortState ref="B27:F31">
    <sortCondition ref="C27:C31"/>
  </sortState>
  <mergeCells count="11">
    <mergeCell ref="A4:F4"/>
    <mergeCell ref="I4:J4"/>
    <mergeCell ref="A5:F5"/>
    <mergeCell ref="I5:J5"/>
    <mergeCell ref="A1:C1"/>
    <mergeCell ref="A2:C2"/>
    <mergeCell ref="I2:J2"/>
    <mergeCell ref="A3:C3"/>
    <mergeCell ref="I3:J3"/>
    <mergeCell ref="E2:F2"/>
    <mergeCell ref="E3:F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140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8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9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3" t="s">
        <v>135</v>
      </c>
      <c r="C7" s="10" t="s">
        <v>19</v>
      </c>
      <c r="D7" s="9" t="s">
        <v>20</v>
      </c>
      <c r="E7" s="12">
        <v>43502</v>
      </c>
      <c r="F7" s="21" t="s">
        <v>21</v>
      </c>
      <c r="G7" s="17">
        <v>1</v>
      </c>
      <c r="H7" s="26" t="s">
        <v>22</v>
      </c>
      <c r="I7" s="16"/>
      <c r="J7" s="16"/>
      <c r="K7" s="1"/>
    </row>
    <row r="8" spans="1:11" ht="15" customHeight="1" x14ac:dyDescent="0.25">
      <c r="A8" s="15">
        <f>+A7+1</f>
        <v>2</v>
      </c>
      <c r="B8" s="13" t="s">
        <v>24</v>
      </c>
      <c r="C8" s="13" t="s">
        <v>19</v>
      </c>
      <c r="D8" s="23" t="s">
        <v>23</v>
      </c>
      <c r="E8" s="12">
        <v>43516</v>
      </c>
      <c r="F8" s="21" t="s">
        <v>42</v>
      </c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 t="s">
        <v>25</v>
      </c>
      <c r="C9" s="13" t="s">
        <v>19</v>
      </c>
      <c r="D9" s="23" t="s">
        <v>26</v>
      </c>
      <c r="E9" s="12">
        <v>43516</v>
      </c>
      <c r="F9" s="21" t="s">
        <v>42</v>
      </c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 t="s">
        <v>27</v>
      </c>
      <c r="C10" s="13" t="s">
        <v>19</v>
      </c>
      <c r="D10" s="23" t="s">
        <v>28</v>
      </c>
      <c r="E10" s="12">
        <v>43516</v>
      </c>
      <c r="F10" s="21" t="s">
        <v>42</v>
      </c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 t="s">
        <v>29</v>
      </c>
      <c r="C11" s="13" t="s">
        <v>19</v>
      </c>
      <c r="D11" s="23" t="s">
        <v>30</v>
      </c>
      <c r="E11" s="12">
        <v>43516</v>
      </c>
      <c r="F11" s="21" t="s">
        <v>42</v>
      </c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 t="s">
        <v>31</v>
      </c>
      <c r="C12" s="13" t="s">
        <v>19</v>
      </c>
      <c r="D12" s="23" t="s">
        <v>32</v>
      </c>
      <c r="E12" s="12">
        <v>43516</v>
      </c>
      <c r="F12" s="21" t="s">
        <v>42</v>
      </c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 t="s">
        <v>33</v>
      </c>
      <c r="C13" s="13" t="s">
        <v>19</v>
      </c>
      <c r="D13" s="23" t="s">
        <v>34</v>
      </c>
      <c r="E13" s="12">
        <v>43516</v>
      </c>
      <c r="F13" s="21" t="s">
        <v>42</v>
      </c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 t="s">
        <v>35</v>
      </c>
      <c r="C14" s="13" t="s">
        <v>19</v>
      </c>
      <c r="D14" s="23" t="s">
        <v>36</v>
      </c>
      <c r="E14" s="12">
        <v>43517</v>
      </c>
      <c r="F14" s="21" t="s">
        <v>42</v>
      </c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38</v>
      </c>
      <c r="C15" s="13" t="s">
        <v>19</v>
      </c>
      <c r="D15" s="23" t="s">
        <v>37</v>
      </c>
      <c r="E15" s="12">
        <v>43517</v>
      </c>
      <c r="F15" s="21" t="s">
        <v>42</v>
      </c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/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/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/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/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/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/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/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/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17"/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17"/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17"/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17"/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17"/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17"/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17"/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17"/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17"/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17"/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17"/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17"/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41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136</v>
      </c>
      <c r="C7" s="13" t="s">
        <v>19</v>
      </c>
      <c r="D7" s="23" t="s">
        <v>40</v>
      </c>
      <c r="E7" s="12">
        <v>43527</v>
      </c>
      <c r="F7" s="24" t="s">
        <v>43</v>
      </c>
      <c r="G7" s="25">
        <v>1</v>
      </c>
      <c r="H7" s="30" t="s">
        <v>39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B7" sqref="B7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1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44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1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137</v>
      </c>
      <c r="C7" s="13" t="s">
        <v>19</v>
      </c>
      <c r="D7" s="23" t="s">
        <v>45</v>
      </c>
      <c r="E7" s="12">
        <v>43585</v>
      </c>
      <c r="F7" s="24" t="s">
        <v>43</v>
      </c>
      <c r="G7" s="25">
        <v>1</v>
      </c>
      <c r="H7" s="30" t="s">
        <v>46</v>
      </c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>
        <v>1</v>
      </c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>
        <v>1</v>
      </c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>
        <v>1</v>
      </c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47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/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48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/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opLeftCell="A4"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49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/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50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/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3.57031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51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/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3"/>
      <c r="C8" s="13"/>
      <c r="D8" s="23"/>
      <c r="E8" s="12"/>
      <c r="F8" s="24"/>
      <c r="G8" s="25"/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3"/>
      <c r="C9" s="13"/>
      <c r="D9" s="23"/>
      <c r="E9" s="12"/>
      <c r="F9" s="24"/>
      <c r="G9" s="25"/>
      <c r="H9" s="27"/>
      <c r="I9" s="2"/>
      <c r="J9" s="2"/>
      <c r="K9" s="1"/>
    </row>
    <row r="10" spans="1:11" ht="15" customHeight="1" x14ac:dyDescent="0.25">
      <c r="A10" s="15">
        <f t="shared" si="0"/>
        <v>4</v>
      </c>
      <c r="B10" s="13"/>
      <c r="C10" s="13"/>
      <c r="D10" s="23"/>
      <c r="E10" s="12"/>
      <c r="F10" s="24"/>
      <c r="G10" s="25"/>
      <c r="H10" s="27"/>
      <c r="I10" s="2"/>
      <c r="J10" s="2"/>
      <c r="K10" s="1"/>
    </row>
    <row r="11" spans="1:11" ht="15" customHeight="1" x14ac:dyDescent="0.25">
      <c r="A11" s="15">
        <f t="shared" si="0"/>
        <v>5</v>
      </c>
      <c r="B11" s="13"/>
      <c r="C11" s="13"/>
      <c r="D11" s="23"/>
      <c r="E11" s="12"/>
      <c r="F11" s="24"/>
      <c r="G11" s="25"/>
      <c r="H11" s="27"/>
      <c r="I11" s="2"/>
      <c r="J11" s="2"/>
      <c r="K11" s="1"/>
    </row>
    <row r="12" spans="1:11" ht="15" customHeight="1" x14ac:dyDescent="0.25">
      <c r="A12" s="15">
        <f t="shared" si="0"/>
        <v>6</v>
      </c>
      <c r="B12" s="13"/>
      <c r="C12" s="13"/>
      <c r="D12" s="23"/>
      <c r="E12" s="12"/>
      <c r="F12" s="24"/>
      <c r="G12" s="25">
        <v>1</v>
      </c>
      <c r="H12" s="28"/>
      <c r="I12" s="2"/>
      <c r="J12" s="2"/>
      <c r="K12" s="1"/>
    </row>
    <row r="13" spans="1:11" ht="15" customHeight="1" x14ac:dyDescent="0.25">
      <c r="A13" s="15">
        <f t="shared" si="0"/>
        <v>7</v>
      </c>
      <c r="B13" s="13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3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3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23"/>
      <c r="C19" s="13"/>
      <c r="D19" s="23"/>
      <c r="E19" s="12"/>
      <c r="F19" s="24"/>
      <c r="G19" s="25">
        <v>1</v>
      </c>
      <c r="H19" s="28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8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8"/>
      <c r="I21" s="2"/>
      <c r="J21" s="2"/>
    </row>
    <row r="22" spans="1:10" ht="15" customHeight="1" x14ac:dyDescent="0.25">
      <c r="A22" s="15">
        <f t="shared" si="0"/>
        <v>16</v>
      </c>
      <c r="B22" s="13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0"/>
      <c r="D24" s="9"/>
      <c r="E24" s="12"/>
      <c r="F24" s="21"/>
      <c r="G24" s="25">
        <v>1</v>
      </c>
      <c r="H24" s="11"/>
      <c r="I24" s="2"/>
      <c r="J24" s="2"/>
    </row>
    <row r="25" spans="1:10" ht="15" customHeight="1" x14ac:dyDescent="0.25">
      <c r="A25" s="15">
        <f t="shared" si="0"/>
        <v>19</v>
      </c>
      <c r="B25" s="13"/>
      <c r="C25" s="10"/>
      <c r="D25" s="9"/>
      <c r="E25" s="12"/>
      <c r="F25" s="21"/>
      <c r="G25" s="25">
        <v>1</v>
      </c>
      <c r="H25" s="11"/>
      <c r="I25" s="2"/>
      <c r="J25" s="2"/>
    </row>
    <row r="26" spans="1:10" ht="15" customHeight="1" x14ac:dyDescent="0.25">
      <c r="A26" s="15">
        <f t="shared" si="0"/>
        <v>20</v>
      </c>
      <c r="B26" s="12"/>
      <c r="C26" s="10"/>
      <c r="D26" s="9"/>
      <c r="E26" s="12"/>
      <c r="F26" s="21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0"/>
      <c r="D27" s="9"/>
      <c r="E27" s="12"/>
      <c r="F27" s="21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0"/>
      <c r="D28" s="9"/>
      <c r="E28" s="12"/>
      <c r="F28" s="21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0"/>
      <c r="D29" s="9"/>
      <c r="E29" s="12"/>
      <c r="F29" s="21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0"/>
      <c r="D30" s="9"/>
      <c r="E30" s="12"/>
      <c r="F30" s="21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0"/>
      <c r="D31" s="9"/>
      <c r="E31" s="12"/>
      <c r="F31" s="21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0"/>
      <c r="D32" s="9"/>
      <c r="E32" s="12"/>
      <c r="F32" s="21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0"/>
      <c r="D33" s="9"/>
      <c r="E33" s="12"/>
      <c r="F33" s="21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topLeftCell="A19" workbookViewId="0">
      <selection activeCell="H26" sqref="H26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28515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27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52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27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 t="s">
        <v>138</v>
      </c>
      <c r="C7" s="13" t="s">
        <v>19</v>
      </c>
      <c r="D7" s="23" t="s">
        <v>53</v>
      </c>
      <c r="E7" s="12">
        <v>43769</v>
      </c>
      <c r="F7" s="24" t="s">
        <v>85</v>
      </c>
      <c r="G7" s="25">
        <v>1</v>
      </c>
      <c r="H7" s="30" t="s">
        <v>84</v>
      </c>
      <c r="I7" s="16"/>
      <c r="J7" s="16"/>
      <c r="K7" s="1"/>
    </row>
    <row r="8" spans="1:11" ht="15" customHeight="1" x14ac:dyDescent="0.25">
      <c r="A8" s="15">
        <f>+A7+1</f>
        <v>2</v>
      </c>
      <c r="B8" s="12" t="s">
        <v>139</v>
      </c>
      <c r="C8" s="13" t="s">
        <v>19</v>
      </c>
      <c r="D8" s="23" t="s">
        <v>54</v>
      </c>
      <c r="E8" s="12">
        <v>43769</v>
      </c>
      <c r="F8" s="24" t="s">
        <v>87</v>
      </c>
      <c r="G8" s="25">
        <v>1</v>
      </c>
      <c r="H8" s="26" t="s">
        <v>86</v>
      </c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2" t="s">
        <v>140</v>
      </c>
      <c r="C9" s="13" t="s">
        <v>19</v>
      </c>
      <c r="D9" s="23" t="s">
        <v>55</v>
      </c>
      <c r="E9" s="12">
        <v>43769</v>
      </c>
      <c r="F9" s="24" t="s">
        <v>91</v>
      </c>
      <c r="G9" s="25">
        <v>1</v>
      </c>
      <c r="H9" s="26" t="s">
        <v>90</v>
      </c>
      <c r="I9" s="2"/>
      <c r="J9" s="2"/>
      <c r="K9" s="1"/>
    </row>
    <row r="10" spans="1:11" ht="15" customHeight="1" x14ac:dyDescent="0.25">
      <c r="A10" s="15">
        <f t="shared" si="0"/>
        <v>4</v>
      </c>
      <c r="B10" s="12" t="s">
        <v>141</v>
      </c>
      <c r="C10" s="13" t="s">
        <v>19</v>
      </c>
      <c r="D10" s="23" t="s">
        <v>56</v>
      </c>
      <c r="E10" s="12">
        <v>43769</v>
      </c>
      <c r="F10" s="24" t="s">
        <v>80</v>
      </c>
      <c r="G10" s="25">
        <v>1</v>
      </c>
      <c r="H10" s="26" t="s">
        <v>116</v>
      </c>
      <c r="I10" s="2"/>
      <c r="J10" s="2"/>
      <c r="K10" s="1"/>
    </row>
    <row r="11" spans="1:11" ht="15" customHeight="1" x14ac:dyDescent="0.25">
      <c r="A11" s="15">
        <f t="shared" si="0"/>
        <v>5</v>
      </c>
      <c r="B11" s="12" t="s">
        <v>142</v>
      </c>
      <c r="C11" s="13" t="s">
        <v>19</v>
      </c>
      <c r="D11" s="23" t="s">
        <v>57</v>
      </c>
      <c r="E11" s="12">
        <v>43769</v>
      </c>
      <c r="F11" s="24" t="s">
        <v>82</v>
      </c>
      <c r="G11" s="25">
        <v>1</v>
      </c>
      <c r="H11" s="26" t="s">
        <v>81</v>
      </c>
      <c r="I11" s="2"/>
      <c r="J11" s="2"/>
      <c r="K11" s="1"/>
    </row>
    <row r="12" spans="1:11" ht="15" customHeight="1" x14ac:dyDescent="0.25">
      <c r="A12" s="15">
        <f t="shared" si="0"/>
        <v>6</v>
      </c>
      <c r="B12" s="12" t="s">
        <v>143</v>
      </c>
      <c r="C12" s="13" t="s">
        <v>19</v>
      </c>
      <c r="D12" s="23" t="s">
        <v>58</v>
      </c>
      <c r="E12" s="12">
        <v>43769</v>
      </c>
      <c r="F12" s="24" t="s">
        <v>101</v>
      </c>
      <c r="G12" s="25">
        <v>1</v>
      </c>
      <c r="H12" s="29" t="s">
        <v>100</v>
      </c>
      <c r="I12" s="2"/>
      <c r="J12" s="2"/>
      <c r="K12" s="1"/>
    </row>
    <row r="13" spans="1:11" ht="15" customHeight="1" x14ac:dyDescent="0.25">
      <c r="A13" s="15">
        <f t="shared" si="0"/>
        <v>7</v>
      </c>
      <c r="B13" s="12" t="s">
        <v>144</v>
      </c>
      <c r="C13" s="13" t="s">
        <v>19</v>
      </c>
      <c r="D13" s="23" t="s">
        <v>59</v>
      </c>
      <c r="E13" s="12">
        <v>43769</v>
      </c>
      <c r="F13" s="24" t="s">
        <v>99</v>
      </c>
      <c r="G13" s="25">
        <v>1</v>
      </c>
      <c r="H13" s="29" t="s">
        <v>98</v>
      </c>
      <c r="I13" s="2"/>
      <c r="J13" s="2"/>
      <c r="K13" s="1"/>
    </row>
    <row r="14" spans="1:11" ht="15" customHeight="1" x14ac:dyDescent="0.25">
      <c r="A14" s="15">
        <f t="shared" si="0"/>
        <v>8</v>
      </c>
      <c r="B14" s="12" t="s">
        <v>145</v>
      </c>
      <c r="C14" s="13" t="s">
        <v>19</v>
      </c>
      <c r="D14" s="23" t="s">
        <v>60</v>
      </c>
      <c r="E14" s="12">
        <v>43769</v>
      </c>
      <c r="F14" s="24" t="s">
        <v>80</v>
      </c>
      <c r="G14" s="25">
        <v>1</v>
      </c>
      <c r="H14" s="29" t="s">
        <v>97</v>
      </c>
      <c r="I14" s="2"/>
      <c r="J14" s="2"/>
      <c r="K14" s="1"/>
    </row>
    <row r="15" spans="1:11" ht="15" customHeight="1" x14ac:dyDescent="0.25">
      <c r="A15" s="15">
        <f t="shared" si="0"/>
        <v>9</v>
      </c>
      <c r="B15" s="12" t="s">
        <v>146</v>
      </c>
      <c r="C15" s="13" t="s">
        <v>19</v>
      </c>
      <c r="D15" s="23" t="s">
        <v>61</v>
      </c>
      <c r="E15" s="12">
        <v>43769</v>
      </c>
      <c r="F15" s="24" t="s">
        <v>96</v>
      </c>
      <c r="G15" s="25">
        <v>1</v>
      </c>
      <c r="H15" s="30" t="s">
        <v>95</v>
      </c>
      <c r="I15" s="2"/>
      <c r="J15" s="2"/>
    </row>
    <row r="16" spans="1:11" ht="15" customHeight="1" x14ac:dyDescent="0.25">
      <c r="A16" s="15">
        <f t="shared" si="0"/>
        <v>10</v>
      </c>
      <c r="B16" s="12" t="s">
        <v>147</v>
      </c>
      <c r="C16" s="13" t="s">
        <v>19</v>
      </c>
      <c r="D16" s="23" t="s">
        <v>62</v>
      </c>
      <c r="E16" s="12">
        <v>43769</v>
      </c>
      <c r="F16" s="24" t="s">
        <v>94</v>
      </c>
      <c r="G16" s="25">
        <v>1</v>
      </c>
      <c r="H16" s="30" t="s">
        <v>93</v>
      </c>
      <c r="I16" s="2"/>
      <c r="J16" s="2"/>
    </row>
    <row r="17" spans="1:10" ht="15" customHeight="1" x14ac:dyDescent="0.25">
      <c r="A17" s="15">
        <f t="shared" si="0"/>
        <v>11</v>
      </c>
      <c r="B17" s="12" t="s">
        <v>148</v>
      </c>
      <c r="C17" s="13" t="s">
        <v>19</v>
      </c>
      <c r="D17" s="23" t="s">
        <v>63</v>
      </c>
      <c r="E17" s="12">
        <v>43769</v>
      </c>
      <c r="F17" s="24" t="s">
        <v>118</v>
      </c>
      <c r="G17" s="25">
        <v>1</v>
      </c>
      <c r="H17" s="29" t="s">
        <v>117</v>
      </c>
      <c r="I17" s="2"/>
      <c r="J17" s="2"/>
    </row>
    <row r="18" spans="1:10" ht="15" customHeight="1" x14ac:dyDescent="0.25">
      <c r="A18" s="15">
        <f t="shared" si="0"/>
        <v>12</v>
      </c>
      <c r="B18" s="12" t="s">
        <v>149</v>
      </c>
      <c r="C18" s="13" t="s">
        <v>19</v>
      </c>
      <c r="D18" s="23" t="s">
        <v>64</v>
      </c>
      <c r="E18" s="12">
        <v>43769</v>
      </c>
      <c r="F18" s="24" t="s">
        <v>122</v>
      </c>
      <c r="G18" s="25">
        <v>1</v>
      </c>
      <c r="H18" s="29" t="s">
        <v>121</v>
      </c>
      <c r="I18" s="2"/>
      <c r="J18" s="2"/>
    </row>
    <row r="19" spans="1:10" ht="15" customHeight="1" x14ac:dyDescent="0.25">
      <c r="A19" s="15">
        <f t="shared" si="0"/>
        <v>13</v>
      </c>
      <c r="B19" s="12" t="s">
        <v>150</v>
      </c>
      <c r="C19" s="13" t="s">
        <v>19</v>
      </c>
      <c r="D19" s="23" t="s">
        <v>65</v>
      </c>
      <c r="E19" s="12">
        <v>43769</v>
      </c>
      <c r="F19" s="24" t="s">
        <v>120</v>
      </c>
      <c r="G19" s="25">
        <v>1</v>
      </c>
      <c r="H19" s="29" t="s">
        <v>119</v>
      </c>
      <c r="I19" s="2"/>
      <c r="J19" s="2"/>
    </row>
    <row r="20" spans="1:10" ht="15" customHeight="1" x14ac:dyDescent="0.25">
      <c r="A20" s="15">
        <f t="shared" si="0"/>
        <v>14</v>
      </c>
      <c r="B20" s="12" t="s">
        <v>151</v>
      </c>
      <c r="C20" s="13" t="s">
        <v>19</v>
      </c>
      <c r="D20" s="23" t="s">
        <v>66</v>
      </c>
      <c r="E20" s="12">
        <v>43769</v>
      </c>
      <c r="F20" s="24" t="s">
        <v>83</v>
      </c>
      <c r="G20" s="25">
        <v>1</v>
      </c>
      <c r="H20" s="29" t="s">
        <v>92</v>
      </c>
      <c r="I20" s="2"/>
      <c r="J20" s="2"/>
    </row>
    <row r="21" spans="1:10" ht="15" customHeight="1" x14ac:dyDescent="0.25">
      <c r="A21" s="15">
        <f t="shared" si="0"/>
        <v>15</v>
      </c>
      <c r="B21" s="12" t="s">
        <v>152</v>
      </c>
      <c r="C21" s="13" t="s">
        <v>19</v>
      </c>
      <c r="D21" s="23" t="s">
        <v>67</v>
      </c>
      <c r="E21" s="12">
        <v>43769</v>
      </c>
      <c r="F21" s="24" t="s">
        <v>89</v>
      </c>
      <c r="G21" s="25">
        <v>1</v>
      </c>
      <c r="H21" s="29" t="s">
        <v>88</v>
      </c>
      <c r="I21" s="2"/>
      <c r="J21" s="2"/>
    </row>
    <row r="22" spans="1:10" ht="15" customHeight="1" x14ac:dyDescent="0.25">
      <c r="A22" s="15">
        <f t="shared" si="0"/>
        <v>16</v>
      </c>
      <c r="B22" s="12" t="s">
        <v>153</v>
      </c>
      <c r="C22" s="13" t="s">
        <v>19</v>
      </c>
      <c r="D22" s="23" t="s">
        <v>68</v>
      </c>
      <c r="E22" s="12">
        <v>43769</v>
      </c>
      <c r="F22" s="24" t="s">
        <v>124</v>
      </c>
      <c r="G22" s="25">
        <v>1</v>
      </c>
      <c r="H22" s="29" t="s">
        <v>123</v>
      </c>
      <c r="I22" s="2"/>
      <c r="J22" s="2"/>
    </row>
    <row r="23" spans="1:10" ht="15" customHeight="1" x14ac:dyDescent="0.25">
      <c r="A23" s="15">
        <f t="shared" si="0"/>
        <v>17</v>
      </c>
      <c r="B23" s="12" t="s">
        <v>154</v>
      </c>
      <c r="C23" s="13" t="s">
        <v>19</v>
      </c>
      <c r="D23" s="23" t="s">
        <v>69</v>
      </c>
      <c r="E23" s="12">
        <v>43769</v>
      </c>
      <c r="F23" s="24" t="s">
        <v>130</v>
      </c>
      <c r="G23" s="25">
        <v>1</v>
      </c>
      <c r="H23" s="29" t="s">
        <v>129</v>
      </c>
      <c r="I23" s="2"/>
      <c r="J23" s="2"/>
    </row>
    <row r="24" spans="1:10" ht="15" customHeight="1" x14ac:dyDescent="0.25">
      <c r="A24" s="15">
        <f t="shared" si="0"/>
        <v>18</v>
      </c>
      <c r="B24" s="12" t="s">
        <v>155</v>
      </c>
      <c r="C24" s="13" t="s">
        <v>19</v>
      </c>
      <c r="D24" s="23" t="s">
        <v>70</v>
      </c>
      <c r="E24" s="12">
        <v>43769</v>
      </c>
      <c r="F24" s="24" t="s">
        <v>128</v>
      </c>
      <c r="G24" s="25">
        <v>1</v>
      </c>
      <c r="H24" s="22" t="s">
        <v>127</v>
      </c>
      <c r="I24" s="2"/>
      <c r="J24" s="2"/>
    </row>
    <row r="25" spans="1:10" ht="15" customHeight="1" x14ac:dyDescent="0.25">
      <c r="A25" s="15">
        <f t="shared" si="0"/>
        <v>19</v>
      </c>
      <c r="B25" s="12" t="s">
        <v>156</v>
      </c>
      <c r="C25" s="13" t="s">
        <v>19</v>
      </c>
      <c r="D25" s="23" t="s">
        <v>71</v>
      </c>
      <c r="E25" s="12">
        <v>43769</v>
      </c>
      <c r="F25" s="24" t="s">
        <v>132</v>
      </c>
      <c r="G25" s="25">
        <v>1</v>
      </c>
      <c r="H25" s="22" t="s">
        <v>131</v>
      </c>
      <c r="I25" s="2"/>
      <c r="J25" s="2"/>
    </row>
    <row r="26" spans="1:10" ht="15" customHeight="1" x14ac:dyDescent="0.25">
      <c r="A26" s="15">
        <f t="shared" si="0"/>
        <v>20</v>
      </c>
      <c r="B26" s="12" t="s">
        <v>157</v>
      </c>
      <c r="C26" s="13" t="s">
        <v>19</v>
      </c>
      <c r="D26" s="23" t="s">
        <v>72</v>
      </c>
      <c r="E26" s="12">
        <v>43769</v>
      </c>
      <c r="F26" s="24" t="s">
        <v>126</v>
      </c>
      <c r="G26" s="25">
        <v>1</v>
      </c>
      <c r="H26" s="22" t="s">
        <v>125</v>
      </c>
      <c r="I26" s="2"/>
      <c r="J26" s="2"/>
    </row>
    <row r="27" spans="1:10" ht="15" customHeight="1" x14ac:dyDescent="0.25">
      <c r="A27" s="15">
        <f t="shared" si="0"/>
        <v>21</v>
      </c>
      <c r="B27" s="12" t="s">
        <v>158</v>
      </c>
      <c r="C27" s="13" t="s">
        <v>19</v>
      </c>
      <c r="D27" s="9" t="s">
        <v>73</v>
      </c>
      <c r="E27" s="12">
        <v>43769</v>
      </c>
      <c r="F27" s="24" t="s">
        <v>113</v>
      </c>
      <c r="G27" s="25">
        <v>1</v>
      </c>
      <c r="H27" s="1" t="s">
        <v>112</v>
      </c>
      <c r="I27" s="1"/>
      <c r="J27" s="1"/>
    </row>
    <row r="28" spans="1:10" ht="15" customHeight="1" x14ac:dyDescent="0.25">
      <c r="A28" s="15">
        <f t="shared" si="0"/>
        <v>22</v>
      </c>
      <c r="B28" s="12" t="s">
        <v>159</v>
      </c>
      <c r="C28" s="13" t="s">
        <v>19</v>
      </c>
      <c r="D28" s="9" t="s">
        <v>74</v>
      </c>
      <c r="E28" s="12">
        <v>43769</v>
      </c>
      <c r="F28" s="24" t="s">
        <v>115</v>
      </c>
      <c r="G28" s="25">
        <v>1</v>
      </c>
      <c r="H28" s="1" t="s">
        <v>114</v>
      </c>
      <c r="I28" s="1"/>
      <c r="J28" s="1"/>
    </row>
    <row r="29" spans="1:10" ht="15" customHeight="1" x14ac:dyDescent="0.25">
      <c r="A29" s="15">
        <f t="shared" si="0"/>
        <v>23</v>
      </c>
      <c r="B29" s="12" t="s">
        <v>160</v>
      </c>
      <c r="C29" s="13" t="s">
        <v>19</v>
      </c>
      <c r="D29" s="9" t="s">
        <v>75</v>
      </c>
      <c r="E29" s="12">
        <v>43769</v>
      </c>
      <c r="F29" s="24" t="s">
        <v>111</v>
      </c>
      <c r="G29" s="25">
        <v>1</v>
      </c>
      <c r="H29" s="1" t="s">
        <v>110</v>
      </c>
      <c r="I29" s="1"/>
      <c r="J29" s="1"/>
    </row>
    <row r="30" spans="1:10" ht="15" customHeight="1" x14ac:dyDescent="0.25">
      <c r="A30" s="15">
        <f t="shared" si="0"/>
        <v>24</v>
      </c>
      <c r="B30" s="12" t="s">
        <v>161</v>
      </c>
      <c r="C30" s="13" t="s">
        <v>19</v>
      </c>
      <c r="D30" s="9" t="s">
        <v>76</v>
      </c>
      <c r="E30" s="12">
        <v>43769</v>
      </c>
      <c r="F30" s="24" t="s">
        <v>109</v>
      </c>
      <c r="G30" s="25">
        <v>1</v>
      </c>
      <c r="H30" s="1" t="s">
        <v>108</v>
      </c>
      <c r="I30" s="1"/>
      <c r="J30" s="1"/>
    </row>
    <row r="31" spans="1:10" ht="15" customHeight="1" x14ac:dyDescent="0.25">
      <c r="A31" s="15">
        <f t="shared" si="0"/>
        <v>25</v>
      </c>
      <c r="B31" s="12" t="s">
        <v>162</v>
      </c>
      <c r="C31" s="13" t="s">
        <v>19</v>
      </c>
      <c r="D31" s="9" t="s">
        <v>77</v>
      </c>
      <c r="E31" s="12">
        <v>43769</v>
      </c>
      <c r="F31" s="24" t="s">
        <v>107</v>
      </c>
      <c r="G31" s="25">
        <v>1</v>
      </c>
      <c r="H31" s="1" t="s">
        <v>106</v>
      </c>
      <c r="I31" s="1"/>
      <c r="J31" s="1"/>
    </row>
    <row r="32" spans="1:10" ht="15" customHeight="1" x14ac:dyDescent="0.25">
      <c r="A32" s="15">
        <f t="shared" si="0"/>
        <v>26</v>
      </c>
      <c r="B32" s="12" t="s">
        <v>163</v>
      </c>
      <c r="C32" s="13" t="s">
        <v>19</v>
      </c>
      <c r="D32" s="9" t="s">
        <v>78</v>
      </c>
      <c r="E32" s="12">
        <v>43769</v>
      </c>
      <c r="F32" s="24" t="s">
        <v>105</v>
      </c>
      <c r="G32" s="25">
        <v>1</v>
      </c>
      <c r="H32" s="1" t="s">
        <v>104</v>
      </c>
      <c r="I32" s="1"/>
      <c r="J32" s="1"/>
    </row>
    <row r="33" spans="1:10" ht="15" customHeight="1" x14ac:dyDescent="0.25">
      <c r="A33" s="15">
        <f t="shared" si="0"/>
        <v>27</v>
      </c>
      <c r="B33" s="12" t="s">
        <v>164</v>
      </c>
      <c r="C33" s="13" t="s">
        <v>19</v>
      </c>
      <c r="D33" s="9" t="s">
        <v>79</v>
      </c>
      <c r="E33" s="12">
        <v>43769</v>
      </c>
      <c r="F33" s="24" t="s">
        <v>103</v>
      </c>
      <c r="G33" s="25">
        <v>1</v>
      </c>
      <c r="H33" s="1" t="s">
        <v>102</v>
      </c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28515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133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>
        <v>1</v>
      </c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2"/>
      <c r="C8" s="13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2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2"/>
      <c r="C10" s="13"/>
      <c r="D10" s="23"/>
      <c r="E10" s="12"/>
      <c r="F10" s="24"/>
      <c r="G10" s="25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4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4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2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2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2"/>
      <c r="C19" s="13"/>
      <c r="D19" s="23"/>
      <c r="E19" s="12"/>
      <c r="F19" s="24"/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3"/>
      <c r="D26" s="23"/>
      <c r="E26" s="12"/>
      <c r="F26" s="24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9"/>
      <c r="E27" s="12"/>
      <c r="F27" s="24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3"/>
      <c r="D28" s="9"/>
      <c r="E28" s="12"/>
      <c r="F28" s="24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3"/>
      <c r="D29" s="9"/>
      <c r="E29" s="12"/>
      <c r="F29" s="24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3"/>
      <c r="D30" s="9"/>
      <c r="E30" s="12"/>
      <c r="F30" s="24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9"/>
      <c r="E31" s="12"/>
      <c r="F31" s="24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9"/>
      <c r="E32" s="12"/>
      <c r="F32" s="24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4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workbookViewId="0">
      <selection activeCell="F35" sqref="A1:F35"/>
    </sheetView>
  </sheetViews>
  <sheetFormatPr baseColWidth="10" defaultColWidth="11.42578125" defaultRowHeight="15" x14ac:dyDescent="0.25"/>
  <cols>
    <col min="1" max="1" width="8.85546875" bestFit="1" customWidth="1"/>
    <col min="2" max="2" width="15" bestFit="1" customWidth="1"/>
    <col min="5" max="5" width="10.85546875" customWidth="1"/>
    <col min="6" max="6" width="19.7109375" customWidth="1"/>
    <col min="7" max="7" width="6.28515625" hidden="1" customWidth="1"/>
    <col min="8" max="8" width="29.85546875" customWidth="1"/>
  </cols>
  <sheetData>
    <row r="1" spans="1:11" ht="18" x14ac:dyDescent="0.25">
      <c r="A1" s="32" t="s">
        <v>0</v>
      </c>
      <c r="B1" s="32"/>
      <c r="C1" s="32"/>
      <c r="D1" s="7"/>
      <c r="E1" s="6" t="s">
        <v>1</v>
      </c>
      <c r="F1" s="6"/>
      <c r="G1" s="4"/>
      <c r="H1" s="4"/>
      <c r="I1" s="4"/>
      <c r="J1" s="4"/>
      <c r="K1" s="1"/>
    </row>
    <row r="2" spans="1:11" ht="15.75" x14ac:dyDescent="0.25">
      <c r="A2" s="36" t="s">
        <v>2</v>
      </c>
      <c r="B2" s="36"/>
      <c r="C2" s="36"/>
      <c r="D2" s="6"/>
      <c r="E2" s="37" t="s">
        <v>3</v>
      </c>
      <c r="F2" s="37"/>
      <c r="G2" s="4"/>
      <c r="H2" s="4"/>
      <c r="I2" s="33" t="s">
        <v>4</v>
      </c>
      <c r="J2" s="34"/>
      <c r="K2" s="18">
        <f>SUMIF(F7:F35,"Elimination*",G7:G35)</f>
        <v>0</v>
      </c>
    </row>
    <row r="3" spans="1:11" x14ac:dyDescent="0.25">
      <c r="A3" s="37" t="s">
        <v>5</v>
      </c>
      <c r="B3" s="37"/>
      <c r="C3" s="37"/>
      <c r="D3" s="5"/>
      <c r="E3" s="37" t="s">
        <v>16</v>
      </c>
      <c r="F3" s="37"/>
      <c r="G3" s="4"/>
      <c r="H3" s="4"/>
      <c r="I3" s="33" t="s">
        <v>6</v>
      </c>
      <c r="J3" s="34"/>
      <c r="K3" s="18">
        <f>SUMIF(F7:F35,"NB*",G7:G35)</f>
        <v>0</v>
      </c>
    </row>
    <row r="4" spans="1:11" ht="18" x14ac:dyDescent="0.25">
      <c r="A4" s="32" t="s">
        <v>7</v>
      </c>
      <c r="B4" s="32"/>
      <c r="C4" s="32"/>
      <c r="D4" s="32"/>
      <c r="E4" s="32"/>
      <c r="F4" s="32"/>
      <c r="G4" s="4"/>
      <c r="H4" s="4"/>
      <c r="I4" s="33" t="s">
        <v>8</v>
      </c>
      <c r="J4" s="34"/>
      <c r="K4" s="18">
        <f>SUMIF(F7:F35,"Ve*",G7:G35)</f>
        <v>0</v>
      </c>
    </row>
    <row r="5" spans="1:11" ht="15.75" x14ac:dyDescent="0.25">
      <c r="A5" s="35" t="s">
        <v>134</v>
      </c>
      <c r="B5" s="35"/>
      <c r="C5" s="35"/>
      <c r="D5" s="35"/>
      <c r="E5" s="35"/>
      <c r="F5" s="35"/>
      <c r="G5" s="19"/>
      <c r="H5" s="19"/>
      <c r="I5" s="33" t="s">
        <v>9</v>
      </c>
      <c r="J5" s="34"/>
      <c r="K5" s="20">
        <f>SUM(K2:K4)</f>
        <v>0</v>
      </c>
    </row>
    <row r="6" spans="1:11" ht="21.6" customHeight="1" x14ac:dyDescent="0.25">
      <c r="A6" s="14" t="s">
        <v>10</v>
      </c>
      <c r="B6" s="14" t="s">
        <v>11</v>
      </c>
      <c r="C6" s="14" t="s">
        <v>12</v>
      </c>
      <c r="D6" s="14" t="s">
        <v>13</v>
      </c>
      <c r="E6" s="14" t="s">
        <v>14</v>
      </c>
      <c r="F6" s="14" t="s">
        <v>15</v>
      </c>
      <c r="G6" s="8"/>
      <c r="H6" s="3"/>
      <c r="I6" s="3"/>
      <c r="J6" s="3"/>
      <c r="K6" s="1"/>
    </row>
    <row r="7" spans="1:11" ht="15" customHeight="1" x14ac:dyDescent="0.25">
      <c r="A7" s="15">
        <v>1</v>
      </c>
      <c r="B7" s="12"/>
      <c r="C7" s="13"/>
      <c r="D7" s="23"/>
      <c r="E7" s="12"/>
      <c r="F7" s="24"/>
      <c r="G7" s="25">
        <v>1</v>
      </c>
      <c r="H7" s="30"/>
      <c r="I7" s="16"/>
      <c r="J7" s="16"/>
      <c r="K7" s="1"/>
    </row>
    <row r="8" spans="1:11" ht="15" customHeight="1" x14ac:dyDescent="0.25">
      <c r="A8" s="15">
        <f>+A7+1</f>
        <v>2</v>
      </c>
      <c r="B8" s="12"/>
      <c r="C8" s="13"/>
      <c r="D8" s="23"/>
      <c r="E8" s="12"/>
      <c r="F8" s="24"/>
      <c r="G8" s="25">
        <v>1</v>
      </c>
      <c r="H8" s="26"/>
      <c r="I8" s="2"/>
      <c r="J8" s="2"/>
      <c r="K8" s="1"/>
    </row>
    <row r="9" spans="1:11" ht="15" customHeight="1" x14ac:dyDescent="0.25">
      <c r="A9" s="15">
        <f t="shared" ref="A9:A35" si="0">+A8+1</f>
        <v>3</v>
      </c>
      <c r="B9" s="12"/>
      <c r="C9" s="13"/>
      <c r="D9" s="23"/>
      <c r="E9" s="12"/>
      <c r="F9" s="24"/>
      <c r="G9" s="25">
        <v>1</v>
      </c>
      <c r="H9" s="26"/>
      <c r="I9" s="2"/>
      <c r="J9" s="2"/>
      <c r="K9" s="1"/>
    </row>
    <row r="10" spans="1:11" ht="15" customHeight="1" x14ac:dyDescent="0.25">
      <c r="A10" s="15">
        <f t="shared" si="0"/>
        <v>4</v>
      </c>
      <c r="B10" s="12"/>
      <c r="C10" s="13"/>
      <c r="D10" s="23"/>
      <c r="E10" s="12"/>
      <c r="F10" s="24"/>
      <c r="G10" s="25">
        <v>1</v>
      </c>
      <c r="H10" s="26"/>
      <c r="I10" s="2"/>
      <c r="J10" s="2"/>
      <c r="K10" s="1"/>
    </row>
    <row r="11" spans="1:11" ht="15" customHeight="1" x14ac:dyDescent="0.25">
      <c r="A11" s="15">
        <f t="shared" si="0"/>
        <v>5</v>
      </c>
      <c r="B11" s="12"/>
      <c r="C11" s="13"/>
      <c r="D11" s="23"/>
      <c r="E11" s="12"/>
      <c r="F11" s="24"/>
      <c r="G11" s="25">
        <v>1</v>
      </c>
      <c r="H11" s="26"/>
      <c r="I11" s="2"/>
      <c r="J11" s="2"/>
      <c r="K11" s="1"/>
    </row>
    <row r="12" spans="1:11" ht="15" customHeight="1" x14ac:dyDescent="0.25">
      <c r="A12" s="15">
        <f t="shared" si="0"/>
        <v>6</v>
      </c>
      <c r="B12" s="12"/>
      <c r="C12" s="13"/>
      <c r="D12" s="23"/>
      <c r="E12" s="12"/>
      <c r="F12" s="24"/>
      <c r="G12" s="25">
        <v>1</v>
      </c>
      <c r="H12" s="29"/>
      <c r="I12" s="2"/>
      <c r="J12" s="2"/>
      <c r="K12" s="1"/>
    </row>
    <row r="13" spans="1:11" ht="15" customHeight="1" x14ac:dyDescent="0.25">
      <c r="A13" s="15">
        <f t="shared" si="0"/>
        <v>7</v>
      </c>
      <c r="B13" s="12"/>
      <c r="C13" s="13"/>
      <c r="D13" s="23"/>
      <c r="E13" s="12"/>
      <c r="F13" s="24"/>
      <c r="G13" s="25">
        <v>1</v>
      </c>
      <c r="H13" s="29"/>
      <c r="I13" s="2"/>
      <c r="J13" s="2"/>
      <c r="K13" s="1"/>
    </row>
    <row r="14" spans="1:11" ht="15" customHeight="1" x14ac:dyDescent="0.25">
      <c r="A14" s="15">
        <f t="shared" si="0"/>
        <v>8</v>
      </c>
      <c r="B14" s="12"/>
      <c r="C14" s="13"/>
      <c r="D14" s="23"/>
      <c r="E14" s="12"/>
      <c r="F14" s="24"/>
      <c r="G14" s="25">
        <v>1</v>
      </c>
      <c r="H14" s="29"/>
      <c r="I14" s="2"/>
      <c r="J14" s="2"/>
      <c r="K14" s="1"/>
    </row>
    <row r="15" spans="1:11" ht="15" customHeight="1" x14ac:dyDescent="0.25">
      <c r="A15" s="15">
        <f t="shared" si="0"/>
        <v>9</v>
      </c>
      <c r="B15" s="12"/>
      <c r="C15" s="13"/>
      <c r="D15" s="23"/>
      <c r="E15" s="12"/>
      <c r="F15" s="24"/>
      <c r="G15" s="25">
        <v>1</v>
      </c>
      <c r="H15" s="30"/>
      <c r="I15" s="2"/>
      <c r="J15" s="2"/>
    </row>
    <row r="16" spans="1:11" ht="15" customHeight="1" x14ac:dyDescent="0.25">
      <c r="A16" s="15">
        <f t="shared" si="0"/>
        <v>10</v>
      </c>
      <c r="B16" s="12"/>
      <c r="C16" s="13"/>
      <c r="D16" s="23"/>
      <c r="E16" s="12"/>
      <c r="F16" s="24"/>
      <c r="G16" s="25">
        <v>1</v>
      </c>
      <c r="H16" s="30"/>
      <c r="I16" s="2"/>
      <c r="J16" s="2"/>
    </row>
    <row r="17" spans="1:10" ht="15" customHeight="1" x14ac:dyDescent="0.25">
      <c r="A17" s="15">
        <f t="shared" si="0"/>
        <v>11</v>
      </c>
      <c r="B17" s="12"/>
      <c r="C17" s="13"/>
      <c r="D17" s="23"/>
      <c r="E17" s="12"/>
      <c r="F17" s="24"/>
      <c r="G17" s="25">
        <v>1</v>
      </c>
      <c r="H17" s="29"/>
      <c r="I17" s="2"/>
      <c r="J17" s="2"/>
    </row>
    <row r="18" spans="1:10" ht="15" customHeight="1" x14ac:dyDescent="0.25">
      <c r="A18" s="15">
        <f t="shared" si="0"/>
        <v>12</v>
      </c>
      <c r="B18" s="12"/>
      <c r="C18" s="13"/>
      <c r="D18" s="23"/>
      <c r="E18" s="12"/>
      <c r="F18" s="24"/>
      <c r="G18" s="25">
        <v>1</v>
      </c>
      <c r="H18" s="29"/>
      <c r="I18" s="2"/>
      <c r="J18" s="2"/>
    </row>
    <row r="19" spans="1:10" ht="15" customHeight="1" x14ac:dyDescent="0.25">
      <c r="A19" s="15">
        <f t="shared" si="0"/>
        <v>13</v>
      </c>
      <c r="B19" s="12"/>
      <c r="C19" s="13"/>
      <c r="D19" s="23"/>
      <c r="E19" s="12"/>
      <c r="F19" s="24"/>
      <c r="G19" s="25">
        <v>1</v>
      </c>
      <c r="H19" s="29"/>
      <c r="I19" s="2"/>
      <c r="J19" s="2"/>
    </row>
    <row r="20" spans="1:10" ht="15" customHeight="1" x14ac:dyDescent="0.25">
      <c r="A20" s="15">
        <f t="shared" si="0"/>
        <v>14</v>
      </c>
      <c r="B20" s="12"/>
      <c r="C20" s="13"/>
      <c r="D20" s="23"/>
      <c r="E20" s="12"/>
      <c r="F20" s="24"/>
      <c r="G20" s="25">
        <v>1</v>
      </c>
      <c r="H20" s="29"/>
      <c r="I20" s="2"/>
      <c r="J20" s="2"/>
    </row>
    <row r="21" spans="1:10" ht="15" customHeight="1" x14ac:dyDescent="0.25">
      <c r="A21" s="15">
        <f t="shared" si="0"/>
        <v>15</v>
      </c>
      <c r="B21" s="12"/>
      <c r="C21" s="13"/>
      <c r="D21" s="23"/>
      <c r="E21" s="12"/>
      <c r="F21" s="24"/>
      <c r="G21" s="25">
        <v>1</v>
      </c>
      <c r="H21" s="29"/>
      <c r="I21" s="2"/>
      <c r="J21" s="2"/>
    </row>
    <row r="22" spans="1:10" ht="15" customHeight="1" x14ac:dyDescent="0.25">
      <c r="A22" s="15">
        <f t="shared" si="0"/>
        <v>16</v>
      </c>
      <c r="B22" s="12"/>
      <c r="C22" s="13"/>
      <c r="D22" s="23"/>
      <c r="E22" s="12"/>
      <c r="F22" s="24"/>
      <c r="G22" s="25">
        <v>1</v>
      </c>
      <c r="H22" s="29"/>
      <c r="I22" s="2"/>
      <c r="J22" s="2"/>
    </row>
    <row r="23" spans="1:10" ht="15" customHeight="1" x14ac:dyDescent="0.25">
      <c r="A23" s="15">
        <f t="shared" si="0"/>
        <v>17</v>
      </c>
      <c r="B23" s="12"/>
      <c r="C23" s="13"/>
      <c r="D23" s="23"/>
      <c r="E23" s="12"/>
      <c r="F23" s="24"/>
      <c r="G23" s="25">
        <v>1</v>
      </c>
      <c r="H23" s="29"/>
      <c r="I23" s="2"/>
      <c r="J23" s="2"/>
    </row>
    <row r="24" spans="1:10" ht="15" customHeight="1" x14ac:dyDescent="0.25">
      <c r="A24" s="15">
        <f t="shared" si="0"/>
        <v>18</v>
      </c>
      <c r="B24" s="12"/>
      <c r="C24" s="13"/>
      <c r="D24" s="23"/>
      <c r="E24" s="12"/>
      <c r="F24" s="24"/>
      <c r="G24" s="25">
        <v>1</v>
      </c>
      <c r="H24" s="22"/>
      <c r="I24" s="2"/>
      <c r="J24" s="2"/>
    </row>
    <row r="25" spans="1:10" ht="15" customHeight="1" x14ac:dyDescent="0.25">
      <c r="A25" s="15">
        <f t="shared" si="0"/>
        <v>19</v>
      </c>
      <c r="B25" s="12"/>
      <c r="C25" s="13"/>
      <c r="D25" s="23"/>
      <c r="E25" s="12"/>
      <c r="F25" s="24"/>
      <c r="G25" s="25">
        <v>1</v>
      </c>
      <c r="H25" s="22"/>
      <c r="I25" s="2"/>
      <c r="J25" s="2"/>
    </row>
    <row r="26" spans="1:10" ht="15" customHeight="1" x14ac:dyDescent="0.25">
      <c r="A26" s="15">
        <f t="shared" si="0"/>
        <v>20</v>
      </c>
      <c r="B26" s="12"/>
      <c r="C26" s="13"/>
      <c r="D26" s="23"/>
      <c r="E26" s="12"/>
      <c r="F26" s="24"/>
      <c r="G26" s="25">
        <v>1</v>
      </c>
      <c r="H26" s="22"/>
      <c r="I26" s="2"/>
      <c r="J26" s="2"/>
    </row>
    <row r="27" spans="1:10" ht="15" customHeight="1" x14ac:dyDescent="0.25">
      <c r="A27" s="15">
        <f t="shared" si="0"/>
        <v>21</v>
      </c>
      <c r="B27" s="12"/>
      <c r="C27" s="13"/>
      <c r="D27" s="9"/>
      <c r="E27" s="12"/>
      <c r="F27" s="24"/>
      <c r="G27" s="25">
        <v>1</v>
      </c>
      <c r="H27" s="1"/>
      <c r="I27" s="1"/>
      <c r="J27" s="1"/>
    </row>
    <row r="28" spans="1:10" ht="15" customHeight="1" x14ac:dyDescent="0.25">
      <c r="A28" s="15">
        <f t="shared" si="0"/>
        <v>22</v>
      </c>
      <c r="B28" s="12"/>
      <c r="C28" s="13"/>
      <c r="D28" s="9"/>
      <c r="E28" s="12"/>
      <c r="F28" s="24"/>
      <c r="G28" s="25">
        <v>1</v>
      </c>
      <c r="H28" s="1"/>
      <c r="I28" s="1"/>
      <c r="J28" s="1"/>
    </row>
    <row r="29" spans="1:10" ht="15" customHeight="1" x14ac:dyDescent="0.25">
      <c r="A29" s="15">
        <f t="shared" si="0"/>
        <v>23</v>
      </c>
      <c r="B29" s="12"/>
      <c r="C29" s="13"/>
      <c r="D29" s="9"/>
      <c r="E29" s="12"/>
      <c r="F29" s="24"/>
      <c r="G29" s="25">
        <v>1</v>
      </c>
      <c r="H29" s="1"/>
      <c r="I29" s="1"/>
      <c r="J29" s="1"/>
    </row>
    <row r="30" spans="1:10" ht="15" customHeight="1" x14ac:dyDescent="0.25">
      <c r="A30" s="15">
        <f t="shared" si="0"/>
        <v>24</v>
      </c>
      <c r="B30" s="12"/>
      <c r="C30" s="13"/>
      <c r="D30" s="9"/>
      <c r="E30" s="12"/>
      <c r="F30" s="24"/>
      <c r="G30" s="25">
        <v>1</v>
      </c>
      <c r="H30" s="1"/>
      <c r="I30" s="1"/>
      <c r="J30" s="1"/>
    </row>
    <row r="31" spans="1:10" ht="15" customHeight="1" x14ac:dyDescent="0.25">
      <c r="A31" s="15">
        <f t="shared" si="0"/>
        <v>25</v>
      </c>
      <c r="B31" s="12"/>
      <c r="C31" s="13"/>
      <c r="D31" s="9"/>
      <c r="E31" s="12"/>
      <c r="F31" s="24"/>
      <c r="G31" s="25">
        <v>1</v>
      </c>
      <c r="H31" s="1"/>
      <c r="I31" s="1"/>
      <c r="J31" s="1"/>
    </row>
    <row r="32" spans="1:10" ht="15" customHeight="1" x14ac:dyDescent="0.25">
      <c r="A32" s="15">
        <f t="shared" si="0"/>
        <v>26</v>
      </c>
      <c r="B32" s="12"/>
      <c r="C32" s="13"/>
      <c r="D32" s="9"/>
      <c r="E32" s="12"/>
      <c r="F32" s="24"/>
      <c r="G32" s="25">
        <v>1</v>
      </c>
      <c r="H32" s="1"/>
      <c r="I32" s="1"/>
      <c r="J32" s="1"/>
    </row>
    <row r="33" spans="1:10" ht="15" customHeight="1" x14ac:dyDescent="0.25">
      <c r="A33" s="15">
        <f t="shared" si="0"/>
        <v>27</v>
      </c>
      <c r="B33" s="12"/>
      <c r="C33" s="13"/>
      <c r="D33" s="9"/>
      <c r="E33" s="12"/>
      <c r="F33" s="24"/>
      <c r="G33" s="25">
        <v>1</v>
      </c>
      <c r="H33" s="1"/>
      <c r="I33" s="1"/>
      <c r="J33" s="1"/>
    </row>
    <row r="34" spans="1:10" ht="15" customHeight="1" x14ac:dyDescent="0.25">
      <c r="A34" s="15">
        <f t="shared" si="0"/>
        <v>28</v>
      </c>
      <c r="B34" s="12"/>
      <c r="C34" s="10"/>
      <c r="D34" s="9"/>
      <c r="E34" s="12"/>
      <c r="F34" s="21"/>
      <c r="G34" s="25">
        <v>1</v>
      </c>
      <c r="H34" s="1"/>
      <c r="I34" s="1"/>
      <c r="J34" s="1"/>
    </row>
    <row r="35" spans="1:10" ht="15" customHeight="1" x14ac:dyDescent="0.25">
      <c r="A35" s="15">
        <f t="shared" si="0"/>
        <v>29</v>
      </c>
      <c r="B35" s="12"/>
      <c r="C35" s="10"/>
      <c r="D35" s="9"/>
      <c r="E35" s="12"/>
      <c r="F35" s="21"/>
      <c r="G35" s="25">
        <v>1</v>
      </c>
      <c r="H35" s="1"/>
      <c r="I35" s="1"/>
      <c r="J35" s="1"/>
    </row>
  </sheetData>
  <mergeCells count="11">
    <mergeCell ref="A4:F4"/>
    <mergeCell ref="I4:J4"/>
    <mergeCell ref="A5:F5"/>
    <mergeCell ref="I5:J5"/>
    <mergeCell ref="A1:C1"/>
    <mergeCell ref="A2:C2"/>
    <mergeCell ref="E2:F2"/>
    <mergeCell ref="I2:J2"/>
    <mergeCell ref="A3:C3"/>
    <mergeCell ref="E3:F3"/>
    <mergeCell ref="I3:J3"/>
  </mergeCells>
  <printOptions horizontalCentered="1"/>
  <pageMargins left="0.70866141732283472" right="0.70866141732283472" top="0.74803149606299213" bottom="0.74803149606299213" header="0.31496062992125984" footer="0.31496062992125984"/>
  <pageSetup orientation="portrait" horizontalDpi="360" verticalDpi="180" r:id="rId1"/>
  <headerFoot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12</vt:i4>
      </vt:variant>
      <vt:variant>
        <vt:lpstr>Plages nommées</vt:lpstr>
      </vt:variant>
      <vt:variant>
        <vt:i4>12</vt:i4>
      </vt:variant>
    </vt:vector>
  </HeadingPairs>
  <TitlesOfParts>
    <vt:vector size="24" baseType="lpstr">
      <vt:lpstr>Janvier 2019</vt:lpstr>
      <vt:lpstr>Février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  <vt:lpstr>'Aout 2019'!Impression_des_titres</vt:lpstr>
      <vt:lpstr>'Avril 2019'!Impression_des_titres</vt:lpstr>
      <vt:lpstr>'DECEMBRE 2019'!Impression_des_titres</vt:lpstr>
      <vt:lpstr>'Février 2019'!Impression_des_titres</vt:lpstr>
      <vt:lpstr>'Janvier 2019'!Impression_des_titres</vt:lpstr>
      <vt:lpstr>'Juillet 2019'!Impression_des_titres</vt:lpstr>
      <vt:lpstr>'Juin 2019'!Impression_des_titres</vt:lpstr>
      <vt:lpstr>'Mai 2019'!Impression_des_titres</vt:lpstr>
      <vt:lpstr>'Mars 2019'!Impression_des_titres</vt:lpstr>
      <vt:lpstr>'NOVEMBRE 2019'!Impression_des_titres</vt:lpstr>
      <vt:lpstr>'Octobre 2019'!Impression_des_titres</vt:lpstr>
      <vt:lpstr>'Septembre 2019'!Impression_des_titres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2020-01-06T08:09:15Z</cp:lastPrinted>
  <dcterms:created xsi:type="dcterms:W3CDTF">2014-12-31T15:00:30Z</dcterms:created>
  <dcterms:modified xsi:type="dcterms:W3CDTF">2023-11-19T09:27:15Z</dcterms:modified>
</cp:coreProperties>
</file>