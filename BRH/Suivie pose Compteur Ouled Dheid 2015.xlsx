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60" yWindow="80" windowWidth="11700" windowHeight="6830"/>
  </bookViews>
  <sheets>
    <sheet name="2014" sheetId="1" r:id="rId1"/>
    <sheet name="2015" sheetId="2" r:id="rId2"/>
    <sheet name="Feuil3" sheetId="3" r:id="rId3"/>
  </sheets>
  <definedNames>
    <definedName name="_xlnm.Print_Titles" localSheetId="0">'2014'!$1:$6</definedName>
    <definedName name="_xlnm.Print_Titles" localSheetId="1">'2015'!$1:$1</definedName>
  </definedNames>
  <calcPr calcId="144525"/>
</workbook>
</file>

<file path=xl/calcChain.xml><?xml version="1.0" encoding="utf-8"?>
<calcChain xmlns="http://schemas.openxmlformats.org/spreadsheetml/2006/main">
  <c r="K4" i="2" l="1"/>
  <c r="K3" i="2"/>
  <c r="K2" i="2"/>
  <c r="K5" i="2" l="1"/>
  <c r="K3" i="1"/>
  <c r="K2" i="1"/>
  <c r="K5" i="1" l="1"/>
</calcChain>
</file>

<file path=xl/sharedStrings.xml><?xml version="1.0" encoding="utf-8"?>
<sst xmlns="http://schemas.openxmlformats.org/spreadsheetml/2006/main" count="362" uniqueCount="186">
  <si>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</si>
  <si>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</si>
  <si>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</si>
  <si>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</si>
  <si>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</si>
  <si>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</si>
  <si>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</si>
  <si>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</si>
  <si>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</si>
  <si>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</si>
  <si>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</si>
  <si>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</si>
  <si>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</si>
  <si>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</si>
  <si>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</si>
  <si>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15/21</t>
  </si>
  <si>
    <t>BR 0274</t>
  </si>
  <si>
    <t>Elimination de Forfait</t>
  </si>
  <si>
    <t>161989</t>
  </si>
  <si>
    <t xml:space="preserve">BR </t>
  </si>
  <si>
    <t>268831</t>
  </si>
  <si>
    <t>268832</t>
  </si>
  <si>
    <t>268833</t>
  </si>
  <si>
    <t>268834</t>
  </si>
  <si>
    <t>268835</t>
  </si>
  <si>
    <t>268836</t>
  </si>
  <si>
    <t>268837</t>
  </si>
  <si>
    <t>268838</t>
  </si>
  <si>
    <t>NB (benzid a/rahmane)</t>
  </si>
  <si>
    <t>NB (benzid Ahmed)</t>
  </si>
  <si>
    <t>NB (benzid Rabah)</t>
  </si>
  <si>
    <t>NB (benzid Khaled)</t>
  </si>
  <si>
    <t>NB (benzid Allel)</t>
  </si>
  <si>
    <t>NB (Bensmaya nadhir)</t>
  </si>
  <si>
    <t>NB (Riah Ali)</t>
  </si>
  <si>
    <t>NB (benzid Mohamed)</t>
  </si>
  <si>
    <t>268631</t>
  </si>
  <si>
    <t>268632</t>
  </si>
  <si>
    <t>268633</t>
  </si>
  <si>
    <t>268634</t>
  </si>
  <si>
    <t>268635</t>
  </si>
  <si>
    <t>268636</t>
  </si>
  <si>
    <t>268637</t>
  </si>
  <si>
    <t>268638</t>
  </si>
  <si>
    <t>268639</t>
  </si>
  <si>
    <t>268640</t>
  </si>
  <si>
    <t>NB (Baouah ndadji)</t>
  </si>
  <si>
    <t>NB (Riah A/rahmane)</t>
  </si>
  <si>
    <t>NB (Omrani Hadj)</t>
  </si>
  <si>
    <t>NB (Benaoua Kouider)</t>
  </si>
  <si>
    <t>NB (Baouah Aek)</t>
  </si>
  <si>
    <t>NB (Omrani Nadji)</t>
  </si>
  <si>
    <t>NB (Benaoua Benamar)</t>
  </si>
  <si>
    <t>NB (Benaoua boumediene)</t>
  </si>
  <si>
    <t>NB (benouaa Aek)</t>
  </si>
  <si>
    <t>NB (Ali kara mourad)</t>
  </si>
  <si>
    <t>268211</t>
  </si>
  <si>
    <t>268212</t>
  </si>
  <si>
    <t>268213</t>
  </si>
  <si>
    <t>268214</t>
  </si>
  <si>
    <t>268215</t>
  </si>
  <si>
    <t>NB (Ali kara aissa)</t>
  </si>
  <si>
    <t>NB (Ali kara messaoud)</t>
  </si>
  <si>
    <t>NB (Ali kara med)</t>
  </si>
  <si>
    <t>NB (Ali kara khaled)</t>
  </si>
  <si>
    <t>NB (Ali kara djamel)</t>
  </si>
  <si>
    <t>268840</t>
  </si>
  <si>
    <t>268839</t>
  </si>
  <si>
    <t>NB (Baouah A/rahmane)</t>
  </si>
  <si>
    <t>NB (Attari khaiter)</t>
  </si>
  <si>
    <t>268216</t>
  </si>
  <si>
    <t>NB (Zami med)</t>
  </si>
  <si>
    <t>268471</t>
  </si>
  <si>
    <t>268220</t>
  </si>
  <si>
    <t>NB (Labidi lounes)</t>
  </si>
  <si>
    <t>NB (Labidi yahia)</t>
  </si>
  <si>
    <t>268219</t>
  </si>
  <si>
    <t>268218</t>
  </si>
  <si>
    <t>268217</t>
  </si>
  <si>
    <t>NB (Aek Elakli )</t>
  </si>
  <si>
    <t>NB (Benafou Elakli )</t>
  </si>
  <si>
    <t>NB (Djaoui madjid)</t>
  </si>
  <si>
    <t>268472</t>
  </si>
  <si>
    <t>268473</t>
  </si>
  <si>
    <t>268474</t>
  </si>
  <si>
    <t>268475</t>
  </si>
  <si>
    <t>268476</t>
  </si>
  <si>
    <t>NB (Ammani rafae)</t>
  </si>
  <si>
    <t>NB (ammani benalia)</t>
  </si>
  <si>
    <t>NB (laziri abdellah)</t>
  </si>
  <si>
    <t>NB (Riah lakhdar)</t>
  </si>
  <si>
    <t>NB (Baouah lakhdar)</t>
  </si>
  <si>
    <t>268478</t>
  </si>
  <si>
    <t>NB (Bensaidan lakhdar ben tahar)</t>
  </si>
  <si>
    <t>268477</t>
  </si>
  <si>
    <t>NB (Bensaidan aek)</t>
  </si>
  <si>
    <t>268480</t>
  </si>
  <si>
    <t>NB (Bensaidan rabah)</t>
  </si>
  <si>
    <t>268479</t>
  </si>
  <si>
    <t>NB (Bensaidan miloud)</t>
  </si>
  <si>
    <t>268453</t>
  </si>
  <si>
    <t>268451</t>
  </si>
  <si>
    <t>268452</t>
  </si>
  <si>
    <t>NB (Bensaidan med ben ali)</t>
  </si>
  <si>
    <t>NB (Bensaidan brahim)</t>
  </si>
  <si>
    <t>NB (Bensaidan ali)</t>
  </si>
  <si>
    <t>268454</t>
  </si>
  <si>
    <t>268455</t>
  </si>
  <si>
    <t>NB (Benoua med)</t>
  </si>
  <si>
    <t>NB (Benaissa benyoucef ben achour)</t>
  </si>
  <si>
    <t>268456</t>
  </si>
  <si>
    <t>NB (laziri a/rahmane)</t>
  </si>
  <si>
    <t>268458</t>
  </si>
  <si>
    <t>NB (Bennad a/rahmane)</t>
  </si>
  <si>
    <t>268427</t>
  </si>
  <si>
    <t>NB (Berraf benyoucef)</t>
  </si>
  <si>
    <t>268426</t>
  </si>
  <si>
    <t>NB (Serridj aissa)</t>
  </si>
  <si>
    <t>268460</t>
  </si>
  <si>
    <t>NB (Laidoudi el hadj)</t>
  </si>
  <si>
    <t>268428</t>
  </si>
  <si>
    <t>NB (Laidoudi soufiane)</t>
  </si>
  <si>
    <t>268459</t>
  </si>
  <si>
    <t>NB (Laidoudi aziz)</t>
  </si>
  <si>
    <t>268422</t>
  </si>
  <si>
    <t>268457</t>
  </si>
  <si>
    <t>NB (Med ben aek boulenoir)</t>
  </si>
  <si>
    <t>268429</t>
  </si>
  <si>
    <t>NB (Bouah khaled)</t>
  </si>
  <si>
    <t>NB (Djillali Ramdane)</t>
  </si>
  <si>
    <t>268421</t>
  </si>
  <si>
    <t>NB (Bensada youcef)</t>
  </si>
  <si>
    <t>268430</t>
  </si>
  <si>
    <t>NB (Abdouche yahia)</t>
  </si>
  <si>
    <t>268423</t>
  </si>
  <si>
    <t>NB (Farrani rabie)</t>
  </si>
  <si>
    <t>268424</t>
  </si>
  <si>
    <t>NB (Challane messaoud)</t>
  </si>
  <si>
    <t>E13XH036475U</t>
  </si>
  <si>
    <t>Forage F1</t>
  </si>
  <si>
    <t>Autre</t>
  </si>
  <si>
    <t>Année 2014</t>
  </si>
  <si>
    <t>Antenne Ouled Dheid</t>
  </si>
  <si>
    <t>BR</t>
  </si>
  <si>
    <t>268871</t>
  </si>
  <si>
    <t>268872</t>
  </si>
  <si>
    <t>268873</t>
  </si>
  <si>
    <t>268874</t>
  </si>
  <si>
    <t>268875</t>
  </si>
  <si>
    <t>268876</t>
  </si>
  <si>
    <t>268877</t>
  </si>
  <si>
    <t>268878</t>
  </si>
  <si>
    <t>268879</t>
  </si>
  <si>
    <t>268880</t>
  </si>
  <si>
    <t>NB(BOUAH MED)</t>
  </si>
  <si>
    <t>NB(RIAH LAKHDAR B/AISSA)</t>
  </si>
  <si>
    <t>NB(RIAH LAKHDAR B/AHMED)</t>
  </si>
  <si>
    <t>NB(RIAH FAYCEL)</t>
  </si>
  <si>
    <t>NB(BOUKHIT MUSTAPHA)</t>
  </si>
  <si>
    <t>NB(YALICHANI BERHOUMA)</t>
  </si>
  <si>
    <t>NB(BAHMED SABAH)</t>
  </si>
  <si>
    <t>NB(RIAH MED B/LAKHDAR)</t>
  </si>
  <si>
    <t>NB(RIAH BELKACEM)</t>
  </si>
  <si>
    <t>NB(RIAH MHAMED B/AISSA)</t>
  </si>
  <si>
    <t>218863</t>
  </si>
  <si>
    <t>218864</t>
  </si>
  <si>
    <t>218865</t>
  </si>
  <si>
    <t>218866</t>
  </si>
  <si>
    <t>218867</t>
  </si>
  <si>
    <t>218868</t>
  </si>
  <si>
    <t>218869</t>
  </si>
  <si>
    <t>218870</t>
  </si>
  <si>
    <t>NB(ABBA BOUABKEUR)</t>
  </si>
  <si>
    <t>NB(ABBA ALI B/AHMED)</t>
  </si>
  <si>
    <t>NB(BAOUAH ZINE)</t>
  </si>
  <si>
    <t>NB(LAZIRI BENTAYBA)</t>
  </si>
  <si>
    <t>NB(LAZIRI NADJI)</t>
  </si>
  <si>
    <t>NB(LAZIRI BELKACEM)</t>
  </si>
  <si>
    <t>NB(LAMARI YOUCEF)</t>
  </si>
  <si>
    <t>NB(ABBA MED B/ABDERAHMANE)</t>
  </si>
  <si>
    <t>224959</t>
  </si>
  <si>
    <t>NB(ATTARI MED B/LAKHDAR)</t>
  </si>
  <si>
    <t>268861</t>
  </si>
  <si>
    <t>268862</t>
  </si>
  <si>
    <t>NB(ZAMI HADJ)</t>
  </si>
  <si>
    <t>NB(BAOUAH ABDELKADER)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</si>
</sst>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1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1" fillId="0" borderId="0" xfId="3" applyAlignment="1">
      <alignment vertical="center"/>
    </xf>
    <xf numFmtId="0" fontId="1" fillId="0" borderId="0" xfId="1" applyFont="1" applyAlignment="1">
      <alignment vertical="center" wrapText="1"/>
    </xf>
    <xf numFmtId="0" fontId="9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0" fontId="1" fillId="0" borderId="4" xfId="1" applyBorder="1" applyAlignment="1">
      <alignment vertical="center" wrapText="1"/>
    </xf>
    <xf numFmtId="0" fontId="8" fillId="0" borderId="0" xfId="1" applyFont="1" applyFill="1" applyBorder="1" applyAlignment="1">
      <alignment horizontal="center" vertical="center" wrapText="1"/>
    </xf>
    <xf numFmtId="14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  <xf numFmtId="49" fontId="6" fillId="0" borderId="0" xfId="1" applyNumberFormat="1" applyFont="1" applyBorder="1" applyAlignment="1">
      <alignment horizontal="center" vertical="center" wrapText="1"/>
    </xf>
    <xf numFmtId="14" fontId="6" fillId="0" borderId="0" xfId="1" applyNumberFormat="1" applyFont="1" applyBorder="1" applyAlignment="1">
      <alignment horizontal="center" vertical="center" wrapText="1"/>
    </xf>
    <xf numFmtId="49" fontId="7" fillId="0" borderId="0" xfId="1" applyNumberFormat="1" applyFont="1" applyBorder="1" applyAlignment="1">
      <alignment horizontal="center" vertical="top" wrapText="1"/>
    </xf>
    <xf numFmtId="0" fontId="1" fillId="0" borderId="0" xfId="1" applyBorder="1" applyAlignment="1">
      <alignment vertical="center" wrapText="1"/>
    </xf>
    <xf numFmtId="0" fontId="0" fillId="0" borderId="0" xfId="0" applyBorder="1"/>
    <xf numFmtId="0" fontId="6" fillId="0" borderId="0" xfId="1" applyFont="1" applyFill="1" applyBorder="1" applyAlignment="1">
      <alignment horizontal="center" vertical="center" wrapText="1"/>
    </xf>
    <xf numFmtId="49" fontId="6" fillId="0" borderId="0" xfId="1" applyNumberFormat="1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/>
    </xf>
    <xf numFmtId="49" fontId="6" fillId="0" borderId="0" xfId="1" applyNumberFormat="1" applyFont="1" applyBorder="1" applyAlignment="1">
      <alignment horizontal="center"/>
    </xf>
    <xf numFmtId="14" fontId="6" fillId="0" borderId="0" xfId="1" applyNumberFormat="1" applyFont="1" applyBorder="1" applyAlignment="1">
      <alignment horizontal="center"/>
    </xf>
    <xf numFmtId="0" fontId="7" fillId="0" borderId="0" xfId="1" applyFont="1" applyBorder="1" applyAlignment="1">
      <alignment horizontal="center" vertical="top"/>
    </xf>
    <xf numFmtId="49" fontId="7" fillId="0" borderId="0" xfId="1" applyNumberFormat="1" applyFont="1" applyFill="1" applyBorder="1" applyAlignment="1">
      <alignment horizontal="center" vertical="top" wrapText="1"/>
    </xf>
    <xf numFmtId="0" fontId="6" fillId="0" borderId="0" xfId="1" applyFont="1" applyFill="1" applyBorder="1" applyAlignment="1">
      <alignment horizontal="center"/>
    </xf>
    <xf numFmtId="49" fontId="6" fillId="0" borderId="0" xfId="1" applyNumberFormat="1" applyFont="1" applyFill="1" applyBorder="1" applyAlignment="1">
      <alignment horizontal="center"/>
    </xf>
    <xf numFmtId="14" fontId="10" fillId="0" borderId="0" xfId="1" applyNumberFormat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horizontal="center" vertical="center" wrapText="1"/>
    </xf>
    <xf numFmtId="49" fontId="10" fillId="0" borderId="0" xfId="1" applyNumberFormat="1" applyFont="1" applyFill="1" applyBorder="1" applyAlignment="1">
      <alignment horizontal="center" vertical="center" wrapText="1"/>
    </xf>
    <xf numFmtId="0" fontId="11" fillId="0" borderId="0" xfId="1" applyFont="1" applyFill="1" applyBorder="1" applyAlignment="1">
      <alignment horizontal="center" vertical="top"/>
    </xf>
    <xf numFmtId="0" fontId="7" fillId="0" borderId="0" xfId="1" applyFont="1" applyFill="1" applyBorder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8" fillId="0" borderId="3" xfId="3" applyFont="1" applyBorder="1" applyAlignment="1">
      <alignment horizontal="center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5" xfId="1" applyBorder="1" applyAlignment="1">
      <alignment vertical="center" wrapText="1"/>
    </xf>
    <xf numFmtId="0" fontId="1" fillId="0" borderId="6" xfId="1" applyBorder="1" applyAlignment="1">
      <alignment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tabSelected="1" workbookViewId="0">
      <selection activeCell="E68" sqref="E68"/>
    </sheetView>
  </sheetViews>
  <sheetFormatPr baseColWidth="10" defaultRowHeight="14.5" x14ac:dyDescent="0.35"/>
  <cols>
    <col min="1" max="1" width="5.54296875" customWidth="1"/>
    <col min="2" max="2" width="10.08984375" customWidth="1"/>
    <col min="4" max="4" width="15" customWidth="1"/>
    <col min="5" max="5" width="10.54296875" customWidth="1"/>
    <col min="6" max="6" width="26.1796875" customWidth="1"/>
    <col min="7" max="7" width="4.26953125" hidden="1" customWidth="1"/>
  </cols>
  <sheetData>
    <row r="1" spans="1:11" ht="18" x14ac:dyDescent="0.35">
      <c r="A1" s="49" t="s">
        <v>0</v>
      </c>
      <c r="B1" s="49"/>
      <c r="C1" s="49"/>
      <c r="D1" s="8"/>
      <c r="E1" s="7" t="s">
        <v>1</v>
      </c>
      <c r="F1" s="7"/>
      <c r="G1" s="5"/>
      <c r="H1" s="5"/>
      <c r="I1" s="5"/>
      <c r="J1" s="5"/>
      <c r="K1" s="2"/>
    </row>
    <row r="2" spans="1:11" ht="15.5" x14ac:dyDescent="0.35">
      <c r="A2" s="54" t="s">
        <v>2</v>
      </c>
      <c r="B2" s="54"/>
      <c r="C2" s="54"/>
      <c r="D2" s="7"/>
      <c r="E2" s="6" t="s">
        <v>3</v>
      </c>
      <c r="F2" s="6"/>
      <c r="G2" s="5"/>
      <c r="H2" s="5"/>
      <c r="I2" s="50" t="s">
        <v>4</v>
      </c>
      <c r="J2" s="51"/>
      <c r="K2" s="21">
        <f ca="1">SUMIF(F7:F160,"Elimination*",G7:G110)</f>
        <v>1</v>
      </c>
    </row>
    <row r="3" spans="1:11" x14ac:dyDescent="0.35">
      <c r="A3" s="55" t="s">
        <v>5</v>
      </c>
      <c r="B3" s="55"/>
      <c r="C3" s="55"/>
      <c r="D3" s="6"/>
      <c r="E3" s="6" t="s">
        <v>142</v>
      </c>
      <c r="F3" s="5"/>
      <c r="G3" s="5"/>
      <c r="H3" s="5"/>
      <c r="I3" s="50" t="s">
        <v>6</v>
      </c>
      <c r="J3" s="51"/>
      <c r="K3" s="21">
        <f ca="1">SUMIF(F7:F160,"NB*",G7:G110)</f>
        <v>59</v>
      </c>
    </row>
    <row r="4" spans="1:11" ht="18" x14ac:dyDescent="0.35">
      <c r="A4" s="49" t="s">
        <v>7</v>
      </c>
      <c r="B4" s="49"/>
      <c r="C4" s="49"/>
      <c r="D4" s="49"/>
      <c r="E4" s="49"/>
      <c r="F4" s="49"/>
      <c r="G4" s="5"/>
      <c r="H4" s="5"/>
      <c r="I4" s="50" t="s">
        <v>140</v>
      </c>
      <c r="J4" s="51"/>
      <c r="K4" s="21">
        <v>1</v>
      </c>
    </row>
    <row r="5" spans="1:11" ht="15.5" x14ac:dyDescent="0.35">
      <c r="A5" s="52" t="s">
        <v>141</v>
      </c>
      <c r="B5" s="53"/>
      <c r="C5" s="53"/>
      <c r="D5" s="53"/>
      <c r="E5" s="53"/>
      <c r="F5" s="53"/>
      <c r="G5" s="22"/>
      <c r="H5" s="22"/>
      <c r="I5" s="50" t="s">
        <v>8</v>
      </c>
      <c r="J5" s="51"/>
      <c r="K5" s="24">
        <f ca="1">SUM(K2:K4)</f>
        <v>61</v>
      </c>
    </row>
    <row r="6" spans="1:11" ht="31.5" x14ac:dyDescent="0.35">
      <c r="A6" s="17" t="s">
        <v>9</v>
      </c>
      <c r="B6" s="17" t="s">
        <v>10</v>
      </c>
      <c r="C6" s="17" t="s">
        <v>11</v>
      </c>
      <c r="D6" s="17" t="s">
        <v>12</v>
      </c>
      <c r="E6" s="17" t="s">
        <v>13</v>
      </c>
      <c r="F6" s="17" t="s">
        <v>14</v>
      </c>
      <c r="G6" s="9"/>
      <c r="H6" s="4"/>
      <c r="I6" s="4"/>
      <c r="J6" s="4"/>
      <c r="K6" s="2"/>
    </row>
    <row r="7" spans="1:11" ht="15" customHeight="1" x14ac:dyDescent="0.35">
      <c r="A7" s="18">
        <v>1</v>
      </c>
      <c r="B7" s="16" t="s">
        <v>16</v>
      </c>
      <c r="C7" s="12" t="s">
        <v>15</v>
      </c>
      <c r="D7" s="10" t="s">
        <v>18</v>
      </c>
      <c r="E7" s="15">
        <v>41742</v>
      </c>
      <c r="F7" s="25" t="s">
        <v>17</v>
      </c>
      <c r="G7" s="20">
        <v>1</v>
      </c>
      <c r="H7" s="19"/>
      <c r="I7" s="19"/>
      <c r="J7" s="19"/>
      <c r="K7" s="2"/>
    </row>
    <row r="8" spans="1:11" ht="15" customHeight="1" x14ac:dyDescent="0.35">
      <c r="A8" s="18">
        <v>2</v>
      </c>
      <c r="B8" s="15" t="s">
        <v>19</v>
      </c>
      <c r="C8" s="12" t="s">
        <v>15</v>
      </c>
      <c r="D8" s="10" t="s">
        <v>20</v>
      </c>
      <c r="E8" s="15">
        <v>41771</v>
      </c>
      <c r="F8" s="25" t="s">
        <v>28</v>
      </c>
      <c r="G8" s="20">
        <v>1</v>
      </c>
      <c r="H8" s="23"/>
      <c r="I8" s="3"/>
      <c r="J8" s="3"/>
      <c r="K8" s="2"/>
    </row>
    <row r="9" spans="1:11" ht="15" customHeight="1" x14ac:dyDescent="0.35">
      <c r="A9" s="18">
        <v>3</v>
      </c>
      <c r="B9" s="15" t="s">
        <v>19</v>
      </c>
      <c r="C9" s="12" t="s">
        <v>15</v>
      </c>
      <c r="D9" s="10" t="s">
        <v>21</v>
      </c>
      <c r="E9" s="15">
        <v>41771</v>
      </c>
      <c r="F9" s="25" t="s">
        <v>29</v>
      </c>
      <c r="G9" s="20">
        <v>1</v>
      </c>
      <c r="H9" s="23"/>
      <c r="I9" s="3"/>
      <c r="J9" s="3"/>
      <c r="K9" s="2"/>
    </row>
    <row r="10" spans="1:11" ht="15" customHeight="1" x14ac:dyDescent="0.35">
      <c r="A10" s="18">
        <v>4</v>
      </c>
      <c r="B10" s="15" t="s">
        <v>19</v>
      </c>
      <c r="C10" s="12" t="s">
        <v>15</v>
      </c>
      <c r="D10" s="10" t="s">
        <v>22</v>
      </c>
      <c r="E10" s="15">
        <v>41771</v>
      </c>
      <c r="F10" s="25" t="s">
        <v>30</v>
      </c>
      <c r="G10" s="20">
        <v>1</v>
      </c>
      <c r="H10" s="23"/>
      <c r="I10" s="3"/>
      <c r="J10" s="3"/>
      <c r="K10" s="2"/>
    </row>
    <row r="11" spans="1:11" ht="15" customHeight="1" x14ac:dyDescent="0.35">
      <c r="A11" s="18">
        <v>5</v>
      </c>
      <c r="B11" s="15" t="s">
        <v>19</v>
      </c>
      <c r="C11" s="12" t="s">
        <v>15</v>
      </c>
      <c r="D11" s="10" t="s">
        <v>23</v>
      </c>
      <c r="E11" s="15">
        <v>41771</v>
      </c>
      <c r="F11" s="25" t="s">
        <v>31</v>
      </c>
      <c r="G11" s="20">
        <v>1</v>
      </c>
      <c r="H11" s="23"/>
      <c r="I11" s="3"/>
      <c r="J11" s="3"/>
      <c r="K11" s="2"/>
    </row>
    <row r="12" spans="1:11" ht="15" customHeight="1" x14ac:dyDescent="0.35">
      <c r="A12" s="18">
        <v>6</v>
      </c>
      <c r="B12" s="15" t="s">
        <v>19</v>
      </c>
      <c r="C12" s="12" t="s">
        <v>15</v>
      </c>
      <c r="D12" s="10" t="s">
        <v>24</v>
      </c>
      <c r="E12" s="15">
        <v>41771</v>
      </c>
      <c r="F12" s="25" t="s">
        <v>32</v>
      </c>
      <c r="G12" s="20">
        <v>1</v>
      </c>
      <c r="H12" s="3"/>
      <c r="I12" s="3"/>
      <c r="J12" s="3"/>
      <c r="K12" s="2"/>
    </row>
    <row r="13" spans="1:11" ht="15" customHeight="1" x14ac:dyDescent="0.35">
      <c r="A13" s="18">
        <v>7</v>
      </c>
      <c r="B13" s="15" t="s">
        <v>19</v>
      </c>
      <c r="C13" s="12" t="s">
        <v>15</v>
      </c>
      <c r="D13" s="10" t="s">
        <v>25</v>
      </c>
      <c r="E13" s="15">
        <v>41771</v>
      </c>
      <c r="F13" s="25" t="s">
        <v>33</v>
      </c>
      <c r="G13" s="20">
        <v>1</v>
      </c>
      <c r="H13" s="3"/>
      <c r="I13" s="3"/>
      <c r="J13" s="3"/>
      <c r="K13" s="2"/>
    </row>
    <row r="14" spans="1:11" ht="15" customHeight="1" x14ac:dyDescent="0.35">
      <c r="A14" s="18">
        <v>8</v>
      </c>
      <c r="B14" s="15" t="s">
        <v>19</v>
      </c>
      <c r="C14" s="12" t="s">
        <v>15</v>
      </c>
      <c r="D14" s="10" t="s">
        <v>26</v>
      </c>
      <c r="E14" s="15">
        <v>41771</v>
      </c>
      <c r="F14" s="25" t="s">
        <v>34</v>
      </c>
      <c r="G14" s="13">
        <v>1</v>
      </c>
      <c r="H14" s="14"/>
      <c r="I14" s="3"/>
      <c r="J14" s="3"/>
      <c r="K14" s="2"/>
    </row>
    <row r="15" spans="1:11" ht="15" customHeight="1" x14ac:dyDescent="0.35">
      <c r="A15" s="18">
        <v>9</v>
      </c>
      <c r="B15" s="15" t="s">
        <v>19</v>
      </c>
      <c r="C15" s="12" t="s">
        <v>15</v>
      </c>
      <c r="D15" s="10" t="s">
        <v>27</v>
      </c>
      <c r="E15" s="15">
        <v>41771</v>
      </c>
      <c r="F15" s="25" t="s">
        <v>35</v>
      </c>
      <c r="G15" s="13">
        <v>1</v>
      </c>
      <c r="H15" s="14"/>
      <c r="I15" s="3"/>
      <c r="J15" s="3"/>
      <c r="K15" s="2"/>
    </row>
    <row r="16" spans="1:11" ht="15" customHeight="1" x14ac:dyDescent="0.35">
      <c r="A16" s="18">
        <v>10</v>
      </c>
      <c r="B16" s="15" t="s">
        <v>19</v>
      </c>
      <c r="C16" s="12" t="s">
        <v>15</v>
      </c>
      <c r="D16" s="10" t="s">
        <v>36</v>
      </c>
      <c r="E16" s="15">
        <v>41785</v>
      </c>
      <c r="F16" s="25" t="s">
        <v>50</v>
      </c>
      <c r="G16" s="13">
        <v>1</v>
      </c>
      <c r="H16" s="14"/>
      <c r="I16" s="3"/>
      <c r="J16" s="3"/>
      <c r="K16" s="2"/>
    </row>
    <row r="17" spans="1:10" ht="15" customHeight="1" x14ac:dyDescent="0.35">
      <c r="A17" s="18">
        <v>11</v>
      </c>
      <c r="B17" s="15" t="s">
        <v>19</v>
      </c>
      <c r="C17" s="12" t="s">
        <v>15</v>
      </c>
      <c r="D17" s="10" t="s">
        <v>37</v>
      </c>
      <c r="E17" s="15">
        <v>41785</v>
      </c>
      <c r="F17" s="25" t="s">
        <v>46</v>
      </c>
      <c r="G17" s="13">
        <v>1</v>
      </c>
      <c r="H17" s="14"/>
      <c r="I17" s="3"/>
      <c r="J17" s="3"/>
    </row>
    <row r="18" spans="1:10" ht="15" customHeight="1" x14ac:dyDescent="0.35">
      <c r="A18" s="18">
        <v>12</v>
      </c>
      <c r="B18" s="15" t="s">
        <v>19</v>
      </c>
      <c r="C18" s="12" t="s">
        <v>15</v>
      </c>
      <c r="D18" s="10" t="s">
        <v>38</v>
      </c>
      <c r="E18" s="15">
        <v>41785</v>
      </c>
      <c r="F18" s="25" t="s">
        <v>47</v>
      </c>
      <c r="G18" s="13">
        <v>1</v>
      </c>
      <c r="H18" s="14"/>
      <c r="I18" s="3"/>
      <c r="J18" s="3"/>
    </row>
    <row r="19" spans="1:10" ht="15" customHeight="1" x14ac:dyDescent="0.35">
      <c r="A19" s="18">
        <v>13</v>
      </c>
      <c r="B19" s="15" t="s">
        <v>19</v>
      </c>
      <c r="C19" s="12" t="s">
        <v>15</v>
      </c>
      <c r="D19" s="10" t="s">
        <v>39</v>
      </c>
      <c r="E19" s="15">
        <v>41785</v>
      </c>
      <c r="F19" s="25" t="s">
        <v>51</v>
      </c>
      <c r="G19" s="13">
        <v>1</v>
      </c>
      <c r="H19" s="14"/>
      <c r="I19" s="3"/>
      <c r="J19" s="3"/>
    </row>
    <row r="20" spans="1:10" ht="15" customHeight="1" x14ac:dyDescent="0.35">
      <c r="A20" s="18">
        <v>14</v>
      </c>
      <c r="B20" s="15" t="s">
        <v>19</v>
      </c>
      <c r="C20" s="12" t="s">
        <v>15</v>
      </c>
      <c r="D20" s="10" t="s">
        <v>40</v>
      </c>
      <c r="E20" s="15">
        <v>41785</v>
      </c>
      <c r="F20" s="25" t="s">
        <v>48</v>
      </c>
      <c r="G20" s="13">
        <v>1</v>
      </c>
      <c r="H20" s="14"/>
      <c r="I20" s="3"/>
      <c r="J20" s="3"/>
    </row>
    <row r="21" spans="1:10" ht="15" customHeight="1" x14ac:dyDescent="0.35">
      <c r="A21" s="18">
        <v>15</v>
      </c>
      <c r="B21" s="15" t="s">
        <v>19</v>
      </c>
      <c r="C21" s="12" t="s">
        <v>15</v>
      </c>
      <c r="D21" s="10" t="s">
        <v>41</v>
      </c>
      <c r="E21" s="15">
        <v>41785</v>
      </c>
      <c r="F21" s="25" t="s">
        <v>52</v>
      </c>
      <c r="G21" s="13">
        <v>1</v>
      </c>
      <c r="H21" s="14"/>
      <c r="I21" s="3"/>
      <c r="J21" s="3"/>
    </row>
    <row r="22" spans="1:10" ht="15" customHeight="1" x14ac:dyDescent="0.35">
      <c r="A22" s="18">
        <v>16</v>
      </c>
      <c r="B22" s="15" t="s">
        <v>19</v>
      </c>
      <c r="C22" s="12" t="s">
        <v>15</v>
      </c>
      <c r="D22" s="10" t="s">
        <v>42</v>
      </c>
      <c r="E22" s="15">
        <v>41785</v>
      </c>
      <c r="F22" s="25" t="s">
        <v>49</v>
      </c>
      <c r="G22" s="13">
        <v>1</v>
      </c>
      <c r="H22" s="14"/>
      <c r="I22" s="3"/>
      <c r="J22" s="3"/>
    </row>
    <row r="23" spans="1:10" ht="15" customHeight="1" x14ac:dyDescent="0.35">
      <c r="A23" s="18">
        <v>17</v>
      </c>
      <c r="B23" s="15" t="s">
        <v>19</v>
      </c>
      <c r="C23" s="12" t="s">
        <v>15</v>
      </c>
      <c r="D23" s="10" t="s">
        <v>43</v>
      </c>
      <c r="E23" s="15">
        <v>41785</v>
      </c>
      <c r="F23" s="25" t="s">
        <v>53</v>
      </c>
      <c r="G23" s="13">
        <v>1</v>
      </c>
      <c r="H23" s="14"/>
      <c r="I23" s="3"/>
      <c r="J23" s="3"/>
    </row>
    <row r="24" spans="1:10" ht="15" customHeight="1" x14ac:dyDescent="0.35">
      <c r="A24" s="18">
        <v>18</v>
      </c>
      <c r="B24" s="15" t="s">
        <v>19</v>
      </c>
      <c r="C24" s="12" t="s">
        <v>15</v>
      </c>
      <c r="D24" s="10" t="s">
        <v>44</v>
      </c>
      <c r="E24" s="15">
        <v>41785</v>
      </c>
      <c r="F24" s="25" t="s">
        <v>54</v>
      </c>
      <c r="G24" s="13">
        <v>1</v>
      </c>
      <c r="H24" s="14"/>
      <c r="I24" s="3"/>
      <c r="J24" s="3"/>
    </row>
    <row r="25" spans="1:10" ht="15" customHeight="1" x14ac:dyDescent="0.35">
      <c r="A25" s="18">
        <v>19</v>
      </c>
      <c r="B25" s="15" t="s">
        <v>19</v>
      </c>
      <c r="C25" s="12" t="s">
        <v>15</v>
      </c>
      <c r="D25" s="10" t="s">
        <v>45</v>
      </c>
      <c r="E25" s="15">
        <v>41785</v>
      </c>
      <c r="F25" s="25" t="s">
        <v>55</v>
      </c>
      <c r="G25" s="13">
        <v>1</v>
      </c>
      <c r="H25" s="14"/>
      <c r="I25" s="3"/>
      <c r="J25" s="3"/>
    </row>
    <row r="26" spans="1:10" ht="15" customHeight="1" x14ac:dyDescent="0.35">
      <c r="A26" s="18">
        <v>20</v>
      </c>
      <c r="B26" s="15" t="s">
        <v>19</v>
      </c>
      <c r="C26" s="12" t="s">
        <v>15</v>
      </c>
      <c r="D26" s="10" t="s">
        <v>56</v>
      </c>
      <c r="E26" s="15">
        <v>41785</v>
      </c>
      <c r="F26" s="25" t="s">
        <v>61</v>
      </c>
      <c r="G26" s="13">
        <v>1</v>
      </c>
      <c r="H26" s="14"/>
      <c r="I26" s="3"/>
      <c r="J26" s="3"/>
    </row>
    <row r="27" spans="1:10" ht="15" customHeight="1" x14ac:dyDescent="0.35">
      <c r="A27" s="18">
        <v>21</v>
      </c>
      <c r="B27" s="15" t="s">
        <v>19</v>
      </c>
      <c r="C27" s="12" t="s">
        <v>15</v>
      </c>
      <c r="D27" s="10" t="s">
        <v>57</v>
      </c>
      <c r="E27" s="15">
        <v>41785</v>
      </c>
      <c r="F27" s="25" t="s">
        <v>62</v>
      </c>
      <c r="G27" s="13">
        <v>1</v>
      </c>
      <c r="H27" s="14"/>
      <c r="I27" s="3"/>
      <c r="J27" s="3"/>
    </row>
    <row r="28" spans="1:10" ht="15" customHeight="1" x14ac:dyDescent="0.35">
      <c r="A28" s="18">
        <v>22</v>
      </c>
      <c r="B28" s="15" t="s">
        <v>19</v>
      </c>
      <c r="C28" s="12" t="s">
        <v>15</v>
      </c>
      <c r="D28" s="10" t="s">
        <v>58</v>
      </c>
      <c r="E28" s="15">
        <v>41785</v>
      </c>
      <c r="F28" s="25" t="s">
        <v>63</v>
      </c>
      <c r="G28" s="13">
        <v>1</v>
      </c>
      <c r="H28" s="14"/>
      <c r="I28" s="3"/>
      <c r="J28" s="3"/>
    </row>
    <row r="29" spans="1:10" ht="15" customHeight="1" x14ac:dyDescent="0.35">
      <c r="A29" s="18">
        <v>23</v>
      </c>
      <c r="B29" s="15" t="s">
        <v>19</v>
      </c>
      <c r="C29" s="12" t="s">
        <v>15</v>
      </c>
      <c r="D29" s="10" t="s">
        <v>59</v>
      </c>
      <c r="E29" s="15">
        <v>41785</v>
      </c>
      <c r="F29" s="25" t="s">
        <v>64</v>
      </c>
      <c r="G29" s="13">
        <v>1</v>
      </c>
      <c r="H29" s="14"/>
      <c r="I29" s="3"/>
      <c r="J29" s="3"/>
    </row>
    <row r="30" spans="1:10" ht="15" customHeight="1" x14ac:dyDescent="0.35">
      <c r="A30" s="18">
        <v>24</v>
      </c>
      <c r="B30" s="15" t="s">
        <v>19</v>
      </c>
      <c r="C30" s="12" t="s">
        <v>15</v>
      </c>
      <c r="D30" s="10" t="s">
        <v>60</v>
      </c>
      <c r="E30" s="15">
        <v>41785</v>
      </c>
      <c r="F30" s="25" t="s">
        <v>65</v>
      </c>
      <c r="G30" s="13">
        <v>1</v>
      </c>
      <c r="H30" s="14"/>
      <c r="I30" s="3"/>
      <c r="J30" s="3"/>
    </row>
    <row r="31" spans="1:10" ht="15" customHeight="1" x14ac:dyDescent="0.35">
      <c r="A31" s="18">
        <v>25</v>
      </c>
      <c r="B31" s="15" t="s">
        <v>19</v>
      </c>
      <c r="C31" s="12" t="s">
        <v>15</v>
      </c>
      <c r="D31" s="10" t="s">
        <v>66</v>
      </c>
      <c r="E31" s="15">
        <v>41772</v>
      </c>
      <c r="F31" s="25" t="s">
        <v>68</v>
      </c>
      <c r="G31" s="13">
        <v>1</v>
      </c>
      <c r="H31" s="14"/>
      <c r="I31" s="3"/>
      <c r="J31" s="3"/>
    </row>
    <row r="32" spans="1:10" ht="15" customHeight="1" x14ac:dyDescent="0.35">
      <c r="A32" s="18">
        <v>26</v>
      </c>
      <c r="B32" s="15" t="s">
        <v>19</v>
      </c>
      <c r="C32" s="12" t="s">
        <v>15</v>
      </c>
      <c r="D32" s="10" t="s">
        <v>67</v>
      </c>
      <c r="E32" s="15">
        <v>41772</v>
      </c>
      <c r="F32" s="25" t="s">
        <v>69</v>
      </c>
      <c r="G32" s="13">
        <v>1</v>
      </c>
      <c r="H32" s="14"/>
      <c r="I32" s="3"/>
      <c r="J32" s="3"/>
    </row>
    <row r="33" spans="1:10" ht="15" customHeight="1" x14ac:dyDescent="0.35">
      <c r="A33" s="18">
        <v>27</v>
      </c>
      <c r="B33" s="15" t="s">
        <v>19</v>
      </c>
      <c r="C33" s="12" t="s">
        <v>15</v>
      </c>
      <c r="D33" s="10" t="s">
        <v>70</v>
      </c>
      <c r="E33" s="15">
        <v>41808</v>
      </c>
      <c r="F33" s="25" t="s">
        <v>71</v>
      </c>
      <c r="G33" s="13">
        <v>1</v>
      </c>
      <c r="H33" s="14"/>
      <c r="I33" s="3"/>
      <c r="J33" s="3"/>
    </row>
    <row r="34" spans="1:10" ht="15" customHeight="1" x14ac:dyDescent="0.35">
      <c r="A34" s="18">
        <v>28</v>
      </c>
      <c r="B34" s="15" t="s">
        <v>19</v>
      </c>
      <c r="C34" s="12" t="s">
        <v>15</v>
      </c>
      <c r="D34" s="10" t="s">
        <v>72</v>
      </c>
      <c r="E34" s="15">
        <v>41809</v>
      </c>
      <c r="F34" s="25" t="s">
        <v>75</v>
      </c>
      <c r="G34" s="13">
        <v>1</v>
      </c>
      <c r="H34" s="14"/>
      <c r="I34" s="3"/>
      <c r="J34" s="3"/>
    </row>
    <row r="35" spans="1:10" ht="15" customHeight="1" x14ac:dyDescent="0.35">
      <c r="A35" s="18">
        <v>29</v>
      </c>
      <c r="B35" s="15" t="s">
        <v>19</v>
      </c>
      <c r="C35" s="12" t="s">
        <v>15</v>
      </c>
      <c r="D35" s="10" t="s">
        <v>73</v>
      </c>
      <c r="E35" s="15">
        <v>41809</v>
      </c>
      <c r="F35" s="25" t="s">
        <v>74</v>
      </c>
      <c r="G35" s="13">
        <v>1</v>
      </c>
      <c r="H35" s="14"/>
      <c r="I35" s="3"/>
      <c r="J35" s="3"/>
    </row>
    <row r="36" spans="1:10" ht="15" customHeight="1" x14ac:dyDescent="0.35">
      <c r="A36" s="18">
        <v>30</v>
      </c>
      <c r="B36" s="15" t="s">
        <v>19</v>
      </c>
      <c r="C36" s="12" t="s">
        <v>15</v>
      </c>
      <c r="D36" s="10" t="s">
        <v>76</v>
      </c>
      <c r="E36" s="15">
        <v>41809</v>
      </c>
      <c r="F36" s="25" t="s">
        <v>79</v>
      </c>
      <c r="G36" s="13">
        <v>1</v>
      </c>
      <c r="H36" s="2"/>
      <c r="I36" s="2"/>
      <c r="J36" s="2"/>
    </row>
    <row r="37" spans="1:10" ht="15" customHeight="1" x14ac:dyDescent="0.35">
      <c r="A37" s="18">
        <v>31</v>
      </c>
      <c r="B37" s="15" t="s">
        <v>19</v>
      </c>
      <c r="C37" s="12" t="s">
        <v>15</v>
      </c>
      <c r="D37" s="10" t="s">
        <v>77</v>
      </c>
      <c r="E37" s="15">
        <v>41809</v>
      </c>
      <c r="F37" s="25" t="s">
        <v>80</v>
      </c>
      <c r="G37" s="13">
        <v>1</v>
      </c>
      <c r="H37" s="2"/>
      <c r="I37" s="2"/>
      <c r="J37" s="2"/>
    </row>
    <row r="38" spans="1:10" ht="15" customHeight="1" x14ac:dyDescent="0.35">
      <c r="A38" s="18">
        <v>32</v>
      </c>
      <c r="B38" s="15" t="s">
        <v>19</v>
      </c>
      <c r="C38" s="12" t="s">
        <v>15</v>
      </c>
      <c r="D38" s="10" t="s">
        <v>78</v>
      </c>
      <c r="E38" s="15">
        <v>41809</v>
      </c>
      <c r="F38" s="25" t="s">
        <v>81</v>
      </c>
      <c r="G38" s="13">
        <v>1</v>
      </c>
      <c r="H38" s="2"/>
      <c r="I38" s="2"/>
      <c r="J38" s="2"/>
    </row>
    <row r="39" spans="1:10" ht="15" customHeight="1" x14ac:dyDescent="0.35">
      <c r="A39" s="18">
        <v>33</v>
      </c>
      <c r="B39" s="15" t="s">
        <v>19</v>
      </c>
      <c r="C39" s="12" t="s">
        <v>15</v>
      </c>
      <c r="D39" s="10" t="s">
        <v>82</v>
      </c>
      <c r="E39" s="15">
        <v>41812</v>
      </c>
      <c r="F39" s="25" t="s">
        <v>87</v>
      </c>
      <c r="G39" s="13">
        <v>1</v>
      </c>
      <c r="H39" s="2"/>
      <c r="I39" s="2"/>
      <c r="J39" s="2"/>
    </row>
    <row r="40" spans="1:10" ht="15" customHeight="1" x14ac:dyDescent="0.35">
      <c r="A40" s="18">
        <v>34</v>
      </c>
      <c r="B40" s="15" t="s">
        <v>19</v>
      </c>
      <c r="C40" s="12" t="s">
        <v>15</v>
      </c>
      <c r="D40" s="10" t="s">
        <v>83</v>
      </c>
      <c r="E40" s="15">
        <v>41812</v>
      </c>
      <c r="F40" s="25" t="s">
        <v>88</v>
      </c>
      <c r="G40" s="13">
        <v>1</v>
      </c>
      <c r="H40" s="2"/>
      <c r="I40" s="2"/>
      <c r="J40" s="2"/>
    </row>
    <row r="41" spans="1:10" ht="15" customHeight="1" x14ac:dyDescent="0.35">
      <c r="A41" s="18">
        <v>35</v>
      </c>
      <c r="B41" s="15" t="s">
        <v>19</v>
      </c>
      <c r="C41" s="12" t="s">
        <v>15</v>
      </c>
      <c r="D41" s="10" t="s">
        <v>84</v>
      </c>
      <c r="E41" s="15">
        <v>41812</v>
      </c>
      <c r="F41" s="25" t="s">
        <v>89</v>
      </c>
      <c r="G41" s="13">
        <v>1</v>
      </c>
      <c r="H41" s="2"/>
      <c r="I41" s="2"/>
      <c r="J41" s="2"/>
    </row>
    <row r="42" spans="1:10" ht="15" customHeight="1" x14ac:dyDescent="0.35">
      <c r="A42" s="18">
        <v>36</v>
      </c>
      <c r="B42" s="15" t="s">
        <v>19</v>
      </c>
      <c r="C42" s="12" t="s">
        <v>15</v>
      </c>
      <c r="D42" s="10" t="s">
        <v>85</v>
      </c>
      <c r="E42" s="15">
        <v>41812</v>
      </c>
      <c r="F42" s="25" t="s">
        <v>90</v>
      </c>
      <c r="G42" s="13">
        <v>1</v>
      </c>
      <c r="H42" s="2"/>
      <c r="I42" s="2"/>
      <c r="J42" s="2"/>
    </row>
    <row r="43" spans="1:10" ht="15" customHeight="1" x14ac:dyDescent="0.35">
      <c r="A43" s="18">
        <v>37</v>
      </c>
      <c r="B43" s="15" t="s">
        <v>19</v>
      </c>
      <c r="C43" s="12" t="s">
        <v>15</v>
      </c>
      <c r="D43" s="10" t="s">
        <v>86</v>
      </c>
      <c r="E43" s="15">
        <v>41812</v>
      </c>
      <c r="F43" s="25" t="s">
        <v>91</v>
      </c>
      <c r="G43" s="13">
        <v>1</v>
      </c>
      <c r="H43" s="2"/>
      <c r="I43" s="2"/>
      <c r="J43" s="2"/>
    </row>
    <row r="44" spans="1:10" ht="15" customHeight="1" x14ac:dyDescent="0.35">
      <c r="A44" s="18">
        <v>38</v>
      </c>
      <c r="B44" s="15" t="s">
        <v>19</v>
      </c>
      <c r="C44" s="12" t="s">
        <v>15</v>
      </c>
      <c r="D44" s="10" t="s">
        <v>92</v>
      </c>
      <c r="E44" s="11">
        <v>41813</v>
      </c>
      <c r="F44" s="25" t="s">
        <v>93</v>
      </c>
      <c r="G44" s="13">
        <v>1</v>
      </c>
      <c r="H44" s="2"/>
      <c r="I44" s="2"/>
      <c r="J44" s="2"/>
    </row>
    <row r="45" spans="1:10" ht="15" customHeight="1" x14ac:dyDescent="0.35">
      <c r="A45" s="18">
        <v>39</v>
      </c>
      <c r="B45" s="15" t="s">
        <v>19</v>
      </c>
      <c r="C45" s="12" t="s">
        <v>15</v>
      </c>
      <c r="D45" s="10" t="s">
        <v>94</v>
      </c>
      <c r="E45" s="11">
        <v>41813</v>
      </c>
      <c r="F45" s="25" t="s">
        <v>95</v>
      </c>
      <c r="G45" s="13">
        <v>1</v>
      </c>
      <c r="H45" s="2"/>
      <c r="I45" s="2"/>
      <c r="J45" s="2"/>
    </row>
    <row r="46" spans="1:10" ht="15" customHeight="1" x14ac:dyDescent="0.35">
      <c r="A46" s="18">
        <v>40</v>
      </c>
      <c r="B46" s="15" t="s">
        <v>19</v>
      </c>
      <c r="C46" s="12" t="s">
        <v>15</v>
      </c>
      <c r="D46" s="10" t="s">
        <v>96</v>
      </c>
      <c r="E46" s="11">
        <v>41813</v>
      </c>
      <c r="F46" s="25" t="s">
        <v>97</v>
      </c>
      <c r="G46" s="13">
        <v>1</v>
      </c>
      <c r="H46" s="2"/>
      <c r="I46" s="2"/>
      <c r="J46" s="2"/>
    </row>
    <row r="47" spans="1:10" ht="15" customHeight="1" x14ac:dyDescent="0.35">
      <c r="A47" s="18">
        <v>41</v>
      </c>
      <c r="B47" s="15" t="s">
        <v>19</v>
      </c>
      <c r="C47" s="12" t="s">
        <v>15</v>
      </c>
      <c r="D47" s="10" t="s">
        <v>98</v>
      </c>
      <c r="E47" s="11">
        <v>41813</v>
      </c>
      <c r="F47" s="25" t="s">
        <v>99</v>
      </c>
      <c r="G47" s="13">
        <v>1</v>
      </c>
      <c r="H47" s="2"/>
      <c r="I47" s="2"/>
      <c r="J47" s="2"/>
    </row>
    <row r="48" spans="1:10" ht="15" customHeight="1" x14ac:dyDescent="0.35">
      <c r="A48" s="18">
        <v>42</v>
      </c>
      <c r="B48" s="15" t="s">
        <v>19</v>
      </c>
      <c r="C48" s="12" t="s">
        <v>15</v>
      </c>
      <c r="D48" s="10" t="s">
        <v>100</v>
      </c>
      <c r="E48" s="11">
        <v>41813</v>
      </c>
      <c r="F48" s="25" t="s">
        <v>103</v>
      </c>
      <c r="G48" s="13">
        <v>1</v>
      </c>
      <c r="H48" s="2"/>
      <c r="I48" s="2"/>
      <c r="J48" s="2"/>
    </row>
    <row r="49" spans="1:10" ht="15" customHeight="1" x14ac:dyDescent="0.35">
      <c r="A49" s="18">
        <v>43</v>
      </c>
      <c r="B49" s="15" t="s">
        <v>19</v>
      </c>
      <c r="C49" s="12" t="s">
        <v>15</v>
      </c>
      <c r="D49" s="10" t="s">
        <v>101</v>
      </c>
      <c r="E49" s="11">
        <v>41813</v>
      </c>
      <c r="F49" s="25" t="s">
        <v>104</v>
      </c>
      <c r="G49" s="13">
        <v>1</v>
      </c>
      <c r="H49" s="2"/>
      <c r="I49" s="2"/>
      <c r="J49" s="2"/>
    </row>
    <row r="50" spans="1:10" ht="15" customHeight="1" x14ac:dyDescent="0.35">
      <c r="A50" s="18">
        <v>44</v>
      </c>
      <c r="B50" s="15" t="s">
        <v>19</v>
      </c>
      <c r="C50" s="12" t="s">
        <v>15</v>
      </c>
      <c r="D50" s="10" t="s">
        <v>102</v>
      </c>
      <c r="E50" s="11">
        <v>41813</v>
      </c>
      <c r="F50" s="25" t="s">
        <v>105</v>
      </c>
      <c r="G50" s="13">
        <v>1</v>
      </c>
      <c r="H50" s="1"/>
      <c r="I50" s="1"/>
      <c r="J50" s="1"/>
    </row>
    <row r="51" spans="1:10" ht="15" customHeight="1" x14ac:dyDescent="0.35">
      <c r="A51" s="18">
        <v>45</v>
      </c>
      <c r="B51" s="15" t="s">
        <v>19</v>
      </c>
      <c r="C51" s="12" t="s">
        <v>15</v>
      </c>
      <c r="D51" s="10" t="s">
        <v>107</v>
      </c>
      <c r="E51" s="11">
        <v>41815</v>
      </c>
      <c r="F51" s="25" t="s">
        <v>108</v>
      </c>
      <c r="G51" s="13">
        <v>1</v>
      </c>
      <c r="H51" s="1"/>
      <c r="I51" s="1"/>
      <c r="J51" s="1"/>
    </row>
    <row r="52" spans="1:10" ht="15" customHeight="1" x14ac:dyDescent="0.35">
      <c r="A52" s="18">
        <v>46</v>
      </c>
      <c r="B52" s="15" t="s">
        <v>19</v>
      </c>
      <c r="C52" s="12" t="s">
        <v>15</v>
      </c>
      <c r="D52" s="10" t="s">
        <v>106</v>
      </c>
      <c r="E52" s="11">
        <v>41815</v>
      </c>
      <c r="F52" s="25" t="s">
        <v>109</v>
      </c>
      <c r="G52" s="13">
        <v>1</v>
      </c>
      <c r="H52" s="1"/>
      <c r="I52" s="1"/>
      <c r="J52" s="1"/>
    </row>
    <row r="53" spans="1:10" ht="15" customHeight="1" x14ac:dyDescent="0.35">
      <c r="A53" s="18">
        <v>47</v>
      </c>
      <c r="B53" s="15" t="s">
        <v>19</v>
      </c>
      <c r="C53" s="12" t="s">
        <v>15</v>
      </c>
      <c r="D53" s="10" t="s">
        <v>110</v>
      </c>
      <c r="E53" s="11">
        <v>41815</v>
      </c>
      <c r="F53" s="25" t="s">
        <v>111</v>
      </c>
      <c r="G53" s="13">
        <v>1</v>
      </c>
      <c r="H53" s="1"/>
      <c r="I53" s="1"/>
      <c r="J53" s="1"/>
    </row>
    <row r="54" spans="1:10" ht="15" customHeight="1" x14ac:dyDescent="0.35">
      <c r="A54" s="18">
        <v>48</v>
      </c>
      <c r="B54" s="15" t="s">
        <v>19</v>
      </c>
      <c r="C54" s="12" t="s">
        <v>15</v>
      </c>
      <c r="D54" s="10" t="s">
        <v>112</v>
      </c>
      <c r="E54" s="11">
        <v>41822</v>
      </c>
      <c r="F54" s="25" t="s">
        <v>113</v>
      </c>
      <c r="G54" s="13">
        <v>1</v>
      </c>
      <c r="H54" s="1"/>
      <c r="I54" s="1"/>
      <c r="J54" s="1"/>
    </row>
    <row r="55" spans="1:10" ht="15" customHeight="1" x14ac:dyDescent="0.35">
      <c r="A55" s="18">
        <v>49</v>
      </c>
      <c r="B55" s="15" t="s">
        <v>19</v>
      </c>
      <c r="C55" s="12" t="s">
        <v>15</v>
      </c>
      <c r="D55" s="10" t="s">
        <v>114</v>
      </c>
      <c r="E55" s="11">
        <v>41822</v>
      </c>
      <c r="F55" s="25" t="s">
        <v>115</v>
      </c>
      <c r="G55" s="13">
        <v>1</v>
      </c>
      <c r="H55" s="1"/>
      <c r="I55" s="1"/>
      <c r="J55" s="1"/>
    </row>
    <row r="56" spans="1:10" ht="15" customHeight="1" x14ac:dyDescent="0.35">
      <c r="A56" s="18">
        <v>50</v>
      </c>
      <c r="B56" s="15" t="s">
        <v>19</v>
      </c>
      <c r="C56" s="12" t="s">
        <v>15</v>
      </c>
      <c r="D56" s="10" t="s">
        <v>116</v>
      </c>
      <c r="E56" s="11">
        <v>41822</v>
      </c>
      <c r="F56" s="25" t="s">
        <v>117</v>
      </c>
      <c r="G56" s="13">
        <v>1</v>
      </c>
      <c r="H56" s="1"/>
      <c r="I56" s="1"/>
      <c r="J56" s="1"/>
    </row>
    <row r="57" spans="1:10" ht="15" customHeight="1" x14ac:dyDescent="0.35">
      <c r="A57" s="18">
        <v>51</v>
      </c>
      <c r="B57" s="15" t="s">
        <v>19</v>
      </c>
      <c r="C57" s="12" t="s">
        <v>15</v>
      </c>
      <c r="D57" s="10" t="s">
        <v>118</v>
      </c>
      <c r="E57" s="11">
        <v>41827</v>
      </c>
      <c r="F57" s="25" t="s">
        <v>119</v>
      </c>
      <c r="G57" s="13">
        <v>1</v>
      </c>
      <c r="H57" s="1"/>
      <c r="I57" s="1"/>
      <c r="J57" s="1"/>
    </row>
    <row r="58" spans="1:10" ht="15" customHeight="1" x14ac:dyDescent="0.35">
      <c r="A58" s="18">
        <v>52</v>
      </c>
      <c r="B58" s="15" t="s">
        <v>19</v>
      </c>
      <c r="C58" s="12" t="s">
        <v>15</v>
      </c>
      <c r="D58" s="10" t="s">
        <v>120</v>
      </c>
      <c r="E58" s="11">
        <v>41827</v>
      </c>
      <c r="F58" s="25" t="s">
        <v>121</v>
      </c>
      <c r="G58" s="13">
        <v>1</v>
      </c>
      <c r="H58" s="1"/>
      <c r="I58" s="1"/>
      <c r="J58" s="1"/>
    </row>
    <row r="59" spans="1:10" ht="15" customHeight="1" x14ac:dyDescent="0.35">
      <c r="A59" s="18">
        <v>53</v>
      </c>
      <c r="B59" s="15" t="s">
        <v>19</v>
      </c>
      <c r="C59" s="12" t="s">
        <v>15</v>
      </c>
      <c r="D59" s="10" t="s">
        <v>122</v>
      </c>
      <c r="E59" s="11">
        <v>41827</v>
      </c>
      <c r="F59" s="25" t="s">
        <v>123</v>
      </c>
      <c r="G59" s="13">
        <v>1</v>
      </c>
      <c r="H59" s="1"/>
      <c r="I59" s="1"/>
      <c r="J59" s="1"/>
    </row>
    <row r="60" spans="1:10" ht="15" customHeight="1" x14ac:dyDescent="0.35">
      <c r="A60" s="18">
        <v>54</v>
      </c>
      <c r="B60" s="15" t="s">
        <v>19</v>
      </c>
      <c r="C60" s="12" t="s">
        <v>15</v>
      </c>
      <c r="D60" s="10" t="s">
        <v>125</v>
      </c>
      <c r="E60" s="11">
        <v>41815</v>
      </c>
      <c r="F60" s="25" t="s">
        <v>126</v>
      </c>
      <c r="G60" s="13">
        <v>1</v>
      </c>
      <c r="H60" s="1"/>
      <c r="I60" s="1"/>
      <c r="J60" s="1"/>
    </row>
    <row r="61" spans="1:10" ht="15" customHeight="1" x14ac:dyDescent="0.35">
      <c r="A61" s="18">
        <v>55</v>
      </c>
      <c r="B61" s="15" t="s">
        <v>19</v>
      </c>
      <c r="C61" s="12" t="s">
        <v>15</v>
      </c>
      <c r="D61" s="10" t="s">
        <v>127</v>
      </c>
      <c r="E61" s="11">
        <v>41850</v>
      </c>
      <c r="F61" s="25" t="s">
        <v>128</v>
      </c>
      <c r="G61" s="13">
        <v>1</v>
      </c>
      <c r="H61" s="1"/>
      <c r="I61" s="1"/>
      <c r="J61" s="1"/>
    </row>
    <row r="62" spans="1:10" ht="15" customHeight="1" x14ac:dyDescent="0.35">
      <c r="A62" s="18">
        <v>56</v>
      </c>
      <c r="B62" s="15" t="s">
        <v>19</v>
      </c>
      <c r="C62" s="12" t="s">
        <v>15</v>
      </c>
      <c r="D62" s="10" t="s">
        <v>124</v>
      </c>
      <c r="E62" s="11">
        <v>41889</v>
      </c>
      <c r="F62" s="25" t="s">
        <v>129</v>
      </c>
      <c r="G62" s="13">
        <v>1</v>
      </c>
      <c r="H62" s="1"/>
      <c r="I62" s="1"/>
      <c r="J62" s="1"/>
    </row>
    <row r="63" spans="1:10" ht="15" customHeight="1" x14ac:dyDescent="0.35">
      <c r="A63" s="18">
        <v>57</v>
      </c>
      <c r="B63" s="15" t="s">
        <v>19</v>
      </c>
      <c r="C63" s="12" t="s">
        <v>15</v>
      </c>
      <c r="D63" s="10" t="s">
        <v>130</v>
      </c>
      <c r="E63" s="11">
        <v>41896</v>
      </c>
      <c r="F63" s="25" t="s">
        <v>131</v>
      </c>
      <c r="G63" s="13">
        <v>1</v>
      </c>
      <c r="H63" s="1"/>
      <c r="I63" s="1"/>
      <c r="J63" s="1"/>
    </row>
    <row r="64" spans="1:10" ht="15" customHeight="1" x14ac:dyDescent="0.35">
      <c r="A64" s="18">
        <v>58</v>
      </c>
      <c r="B64" s="15" t="s">
        <v>19</v>
      </c>
      <c r="C64" s="12" t="s">
        <v>15</v>
      </c>
      <c r="D64" s="10" t="s">
        <v>132</v>
      </c>
      <c r="E64" s="11">
        <v>41879</v>
      </c>
      <c r="F64" s="25" t="s">
        <v>133</v>
      </c>
      <c r="G64" s="13">
        <v>1</v>
      </c>
      <c r="H64" s="1"/>
      <c r="I64" s="1"/>
      <c r="J64" s="1"/>
    </row>
    <row r="65" spans="1:7" ht="15" customHeight="1" x14ac:dyDescent="0.35">
      <c r="A65" s="18">
        <v>59</v>
      </c>
      <c r="B65" s="15" t="s">
        <v>19</v>
      </c>
      <c r="C65" s="12" t="s">
        <v>15</v>
      </c>
      <c r="D65" s="10" t="s">
        <v>134</v>
      </c>
      <c r="E65" s="11">
        <v>41911</v>
      </c>
      <c r="F65" s="25" t="s">
        <v>135</v>
      </c>
      <c r="G65" s="13">
        <v>1</v>
      </c>
    </row>
    <row r="66" spans="1:7" ht="15" customHeight="1" x14ac:dyDescent="0.35">
      <c r="A66" s="18">
        <v>60</v>
      </c>
      <c r="B66" s="15" t="s">
        <v>19</v>
      </c>
      <c r="C66" s="12" t="s">
        <v>15</v>
      </c>
      <c r="D66" s="10" t="s">
        <v>136</v>
      </c>
      <c r="E66" s="11">
        <v>41911</v>
      </c>
      <c r="F66" s="25" t="s">
        <v>137</v>
      </c>
      <c r="G66" s="13">
        <v>1</v>
      </c>
    </row>
    <row r="67" spans="1:7" ht="15" customHeight="1" x14ac:dyDescent="0.35">
      <c r="A67" s="18">
        <v>61</v>
      </c>
      <c r="B67" s="15"/>
      <c r="C67" s="12">
        <v>80</v>
      </c>
      <c r="D67" s="10" t="s">
        <v>138</v>
      </c>
      <c r="E67" s="11">
        <v>41995</v>
      </c>
      <c r="F67" s="25" t="s">
        <v>139</v>
      </c>
      <c r="G67" s="26">
        <v>1</v>
      </c>
    </row>
    <row r="68" spans="1:7" s="34" customFormat="1" ht="15" customHeight="1" x14ac:dyDescent="0.35">
      <c r="A68" s="27"/>
      <c r="B68" s="28"/>
      <c r="C68" s="29"/>
      <c r="D68" s="30"/>
      <c r="E68" s="31"/>
      <c r="F68" s="32"/>
      <c r="G68" s="33"/>
    </row>
    <row r="69" spans="1:7" s="34" customFormat="1" ht="15" customHeight="1" x14ac:dyDescent="0.35">
      <c r="A69" s="27"/>
      <c r="B69" s="28"/>
      <c r="C69" s="29"/>
      <c r="D69" s="30"/>
      <c r="E69" s="31"/>
      <c r="F69" s="32"/>
      <c r="G69" s="33"/>
    </row>
    <row r="70" spans="1:7" s="34" customFormat="1" ht="15" customHeight="1" x14ac:dyDescent="0.35">
      <c r="A70" s="27"/>
      <c r="B70" s="28"/>
      <c r="C70" s="35"/>
      <c r="D70" s="36"/>
      <c r="E70" s="31"/>
      <c r="F70" s="32"/>
      <c r="G70" s="33"/>
    </row>
    <row r="71" spans="1:7" s="34" customFormat="1" ht="15" customHeight="1" x14ac:dyDescent="0.35">
      <c r="A71" s="27"/>
      <c r="B71" s="28"/>
      <c r="C71" s="35"/>
      <c r="D71" s="36"/>
      <c r="E71" s="31"/>
      <c r="F71" s="32"/>
      <c r="G71" s="33"/>
    </row>
    <row r="72" spans="1:7" s="34" customFormat="1" ht="15" customHeight="1" x14ac:dyDescent="0.35">
      <c r="A72" s="27"/>
      <c r="B72" s="28"/>
      <c r="C72" s="35"/>
      <c r="D72" s="36"/>
      <c r="E72" s="31"/>
      <c r="F72" s="32"/>
      <c r="G72" s="33"/>
    </row>
    <row r="73" spans="1:7" s="34" customFormat="1" ht="15" customHeight="1" x14ac:dyDescent="0.35">
      <c r="A73" s="27"/>
      <c r="B73" s="28"/>
      <c r="C73" s="35"/>
      <c r="D73" s="36"/>
      <c r="E73" s="31"/>
      <c r="F73" s="32"/>
      <c r="G73" s="33"/>
    </row>
    <row r="74" spans="1:7" s="34" customFormat="1" ht="15" customHeight="1" x14ac:dyDescent="0.35">
      <c r="A74" s="27"/>
      <c r="B74" s="28"/>
      <c r="C74" s="35"/>
      <c r="D74" s="36"/>
      <c r="E74" s="31"/>
      <c r="F74" s="32"/>
      <c r="G74" s="33"/>
    </row>
    <row r="75" spans="1:7" s="34" customFormat="1" ht="15" customHeight="1" x14ac:dyDescent="0.35">
      <c r="A75" s="27"/>
      <c r="B75" s="28"/>
      <c r="C75" s="35"/>
      <c r="D75" s="36"/>
      <c r="E75" s="31"/>
      <c r="F75" s="32"/>
      <c r="G75" s="33"/>
    </row>
    <row r="76" spans="1:7" s="34" customFormat="1" ht="15" customHeight="1" x14ac:dyDescent="0.35">
      <c r="A76" s="27"/>
      <c r="B76" s="28"/>
      <c r="C76" s="35"/>
      <c r="D76" s="36"/>
      <c r="E76" s="31"/>
      <c r="F76" s="32"/>
      <c r="G76" s="33"/>
    </row>
    <row r="77" spans="1:7" s="34" customFormat="1" ht="15" customHeight="1" x14ac:dyDescent="0.35">
      <c r="A77" s="27"/>
      <c r="B77" s="28"/>
      <c r="C77" s="35"/>
      <c r="D77" s="36"/>
      <c r="E77" s="31"/>
      <c r="F77" s="32"/>
      <c r="G77" s="33"/>
    </row>
    <row r="78" spans="1:7" s="34" customFormat="1" ht="15" customHeight="1" x14ac:dyDescent="0.35">
      <c r="A78" s="27"/>
      <c r="B78" s="28"/>
      <c r="C78" s="29"/>
      <c r="D78" s="30"/>
      <c r="E78" s="31"/>
      <c r="F78" s="32"/>
      <c r="G78" s="33"/>
    </row>
    <row r="79" spans="1:7" s="34" customFormat="1" ht="15" customHeight="1" x14ac:dyDescent="0.35">
      <c r="A79" s="27"/>
      <c r="B79" s="37"/>
      <c r="C79" s="37"/>
      <c r="D79" s="30"/>
      <c r="E79" s="31"/>
      <c r="F79" s="32"/>
      <c r="G79" s="33"/>
    </row>
    <row r="80" spans="1:7" s="34" customFormat="1" ht="15" customHeight="1" x14ac:dyDescent="0.35">
      <c r="A80" s="27"/>
      <c r="B80" s="37"/>
      <c r="C80" s="37"/>
      <c r="D80" s="38"/>
      <c r="E80" s="31"/>
      <c r="F80" s="32"/>
      <c r="G80" s="33"/>
    </row>
    <row r="81" spans="1:7" s="34" customFormat="1" ht="15" customHeight="1" x14ac:dyDescent="0.35">
      <c r="A81" s="27"/>
      <c r="B81" s="37"/>
      <c r="C81" s="37"/>
      <c r="D81" s="38"/>
      <c r="E81" s="31"/>
      <c r="F81" s="32"/>
      <c r="G81" s="33"/>
    </row>
    <row r="82" spans="1:7" s="34" customFormat="1" ht="15" customHeight="1" x14ac:dyDescent="0.35">
      <c r="A82" s="27"/>
      <c r="B82" s="37"/>
      <c r="C82" s="37"/>
      <c r="D82" s="38"/>
      <c r="E82" s="39"/>
      <c r="F82" s="40"/>
      <c r="G82" s="33"/>
    </row>
    <row r="83" spans="1:7" s="34" customFormat="1" ht="15" customHeight="1" x14ac:dyDescent="0.35">
      <c r="A83" s="27"/>
      <c r="B83" s="37"/>
      <c r="C83" s="37"/>
      <c r="D83" s="38"/>
      <c r="E83" s="39"/>
      <c r="F83" s="40"/>
      <c r="G83" s="33"/>
    </row>
    <row r="84" spans="1:7" s="34" customFormat="1" ht="15" customHeight="1" x14ac:dyDescent="0.35">
      <c r="A84" s="27"/>
      <c r="B84" s="37"/>
      <c r="C84" s="37"/>
      <c r="D84" s="37"/>
      <c r="E84" s="39"/>
      <c r="F84" s="40"/>
      <c r="G84" s="33"/>
    </row>
    <row r="85" spans="1:7" s="34" customFormat="1" ht="15" customHeight="1" x14ac:dyDescent="0.35">
      <c r="A85" s="27"/>
      <c r="B85" s="28"/>
      <c r="C85" s="35"/>
      <c r="D85" s="36"/>
      <c r="E85" s="28"/>
      <c r="F85" s="41"/>
      <c r="G85" s="33"/>
    </row>
    <row r="86" spans="1:7" s="34" customFormat="1" ht="15" customHeight="1" x14ac:dyDescent="0.35">
      <c r="A86" s="27"/>
      <c r="B86" s="42"/>
      <c r="C86" s="42"/>
      <c r="D86" s="43"/>
      <c r="E86" s="28"/>
      <c r="F86" s="41"/>
      <c r="G86" s="33"/>
    </row>
    <row r="87" spans="1:7" s="34" customFormat="1" ht="15" customHeight="1" x14ac:dyDescent="0.35">
      <c r="A87" s="27"/>
      <c r="B87" s="44"/>
      <c r="C87" s="45"/>
      <c r="D87" s="46"/>
      <c r="E87" s="44"/>
      <c r="F87" s="47"/>
      <c r="G87" s="33"/>
    </row>
    <row r="88" spans="1:7" s="34" customFormat="1" ht="15" customHeight="1" x14ac:dyDescent="0.35">
      <c r="A88" s="27"/>
      <c r="B88" s="42"/>
      <c r="C88" s="42"/>
      <c r="D88" s="43"/>
      <c r="E88" s="28"/>
      <c r="F88" s="48"/>
      <c r="G88" s="33"/>
    </row>
    <row r="89" spans="1:7" s="34" customFormat="1" ht="15" customHeight="1" x14ac:dyDescent="0.35">
      <c r="A89" s="27"/>
      <c r="B89" s="42"/>
      <c r="C89" s="42"/>
      <c r="D89" s="43"/>
      <c r="E89" s="28"/>
      <c r="F89" s="41"/>
      <c r="G89" s="33"/>
    </row>
    <row r="90" spans="1:7" s="34" customFormat="1" ht="15" customHeight="1" x14ac:dyDescent="0.35">
      <c r="A90" s="27"/>
      <c r="B90" s="37"/>
      <c r="C90" s="37"/>
      <c r="D90" s="38"/>
      <c r="E90" s="39"/>
      <c r="F90" s="40"/>
      <c r="G90" s="33"/>
    </row>
    <row r="91" spans="1:7" s="34" customFormat="1" ht="15" customHeight="1" x14ac:dyDescent="0.35">
      <c r="A91" s="27"/>
      <c r="B91" s="37"/>
      <c r="C91" s="37"/>
      <c r="D91" s="38"/>
      <c r="E91" s="39"/>
      <c r="F91" s="40"/>
      <c r="G91" s="33"/>
    </row>
    <row r="92" spans="1:7" s="34" customFormat="1" ht="15" customHeight="1" x14ac:dyDescent="0.35">
      <c r="A92" s="27"/>
      <c r="B92" s="37"/>
      <c r="C92" s="37"/>
      <c r="D92" s="38"/>
      <c r="E92" s="39"/>
      <c r="F92" s="40"/>
      <c r="G92" s="33"/>
    </row>
    <row r="93" spans="1:7" s="34" customFormat="1" ht="15" customHeight="1" x14ac:dyDescent="0.35"/>
    <row r="94" spans="1:7" s="34" customFormat="1" ht="15" customHeight="1" x14ac:dyDescent="0.35"/>
  </sheetData>
  <mergeCells count="9">
    <mergeCell ref="A4:F4"/>
    <mergeCell ref="I4:J4"/>
    <mergeCell ref="A5:F5"/>
    <mergeCell ref="I5:J5"/>
    <mergeCell ref="A1:C1"/>
    <mergeCell ref="A2:C2"/>
    <mergeCell ref="I2:J2"/>
    <mergeCell ref="A3:C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workbookViewId="0">
      <selection activeCell="F31" sqref="F31"/>
    </sheetView>
  </sheetViews>
  <sheetFormatPr baseColWidth="10" defaultRowHeight="14.5" x14ac:dyDescent="0.35"/>
  <cols>
    <col min="1" max="1" width="9.08984375" customWidth="1"/>
    <col min="2" max="2" width="10.08984375" customWidth="1"/>
    <col min="4" max="4" width="15" customWidth="1"/>
    <col min="5" max="5" width="10.54296875" customWidth="1"/>
    <col min="6" max="6" width="27.6328125" customWidth="1"/>
    <col min="7" max="7" width="3.453125" hidden="1" customWidth="1"/>
  </cols>
  <sheetData>
    <row r="1" spans="1:11" ht="18" x14ac:dyDescent="0.35">
      <c r="A1" s="49" t="s">
        <v>0</v>
      </c>
      <c r="B1" s="49"/>
      <c r="C1" s="49"/>
      <c r="D1" s="8"/>
      <c r="E1" s="7" t="s">
        <v>1</v>
      </c>
      <c r="F1" s="7"/>
      <c r="G1" s="5"/>
      <c r="H1" s="5"/>
      <c r="I1" s="5"/>
      <c r="J1" s="5"/>
      <c r="K1" s="2"/>
    </row>
    <row r="2" spans="1:11" ht="15.5" x14ac:dyDescent="0.35">
      <c r="A2" s="54" t="s">
        <v>2</v>
      </c>
      <c r="B2" s="54"/>
      <c r="C2" s="54"/>
      <c r="D2" s="7"/>
      <c r="E2" s="6" t="s">
        <v>3</v>
      </c>
      <c r="F2" s="6"/>
      <c r="G2" s="5"/>
      <c r="H2" s="5"/>
      <c r="I2" s="50" t="s">
        <v>4</v>
      </c>
      <c r="J2" s="51"/>
      <c r="K2" s="21">
        <f ca="1">SUMIF(F7:F160,"Elimination*",G7:G110)</f>
        <v>0</v>
      </c>
    </row>
    <row r="3" spans="1:11" x14ac:dyDescent="0.35">
      <c r="A3" s="55" t="s">
        <v>5</v>
      </c>
      <c r="B3" s="55"/>
      <c r="C3" s="55"/>
      <c r="D3" s="6"/>
      <c r="E3" s="6" t="s">
        <v>142</v>
      </c>
      <c r="F3" s="5"/>
      <c r="G3" s="5"/>
      <c r="H3" s="5"/>
      <c r="I3" s="50" t="s">
        <v>6</v>
      </c>
      <c r="J3" s="51"/>
      <c r="K3" s="21">
        <f ca="1">SUMIF(F7:F160,"NB*",G7:G110)</f>
        <v>21</v>
      </c>
    </row>
    <row r="4" spans="1:11" ht="18" x14ac:dyDescent="0.35">
      <c r="A4" s="49" t="s">
        <v>7</v>
      </c>
      <c r="B4" s="49"/>
      <c r="C4" s="49"/>
      <c r="D4" s="49"/>
      <c r="E4" s="49"/>
      <c r="F4" s="49"/>
      <c r="G4" s="5"/>
      <c r="H4" s="5"/>
      <c r="I4" s="50" t="s">
        <v>140</v>
      </c>
      <c r="J4" s="51"/>
      <c r="K4" s="21">
        <f ca="1">SUMIF(F7:F160,"Vente*",G7:G110)</f>
        <v>0</v>
      </c>
    </row>
    <row r="5" spans="1:11" ht="15.5" x14ac:dyDescent="0.35">
      <c r="A5" s="52" t="s">
        <v>141</v>
      </c>
      <c r="B5" s="53"/>
      <c r="C5" s="53"/>
      <c r="D5" s="53"/>
      <c r="E5" s="53"/>
      <c r="F5" s="53"/>
      <c r="G5" s="22"/>
      <c r="H5" s="22"/>
      <c r="I5" s="50" t="s">
        <v>8</v>
      </c>
      <c r="J5" s="51"/>
      <c r="K5" s="24">
        <f ca="1">SUM(K2:K4)</f>
        <v>21</v>
      </c>
    </row>
    <row r="6" spans="1:11" ht="21" x14ac:dyDescent="0.35">
      <c r="A6" s="17" t="s">
        <v>9</v>
      </c>
      <c r="B6" s="17" t="s">
        <v>10</v>
      </c>
      <c r="C6" s="17" t="s">
        <v>11</v>
      </c>
      <c r="D6" s="17" t="s">
        <v>12</v>
      </c>
      <c r="E6" s="17" t="s">
        <v>13</v>
      </c>
      <c r="F6" s="17" t="s">
        <v>14</v>
      </c>
      <c r="G6" s="9"/>
      <c r="H6" s="4"/>
      <c r="I6" s="4"/>
      <c r="J6" s="4"/>
      <c r="K6" s="2"/>
    </row>
    <row r="7" spans="1:11" x14ac:dyDescent="0.35">
      <c r="A7" s="18">
        <v>1</v>
      </c>
      <c r="B7" s="16" t="s">
        <v>143</v>
      </c>
      <c r="C7" s="12" t="s">
        <v>15</v>
      </c>
      <c r="D7" s="10" t="s">
        <v>144</v>
      </c>
      <c r="E7" s="15">
        <v>42015</v>
      </c>
      <c r="F7" s="25" t="s">
        <v>154</v>
      </c>
      <c r="G7" s="20">
        <v>1</v>
      </c>
      <c r="H7" s="19"/>
      <c r="I7" s="19"/>
      <c r="J7" s="19"/>
      <c r="K7" s="2"/>
    </row>
    <row r="8" spans="1:11" x14ac:dyDescent="0.35">
      <c r="A8" s="18">
        <v>2</v>
      </c>
      <c r="B8" s="16" t="s">
        <v>143</v>
      </c>
      <c r="C8" s="12" t="s">
        <v>15</v>
      </c>
      <c r="D8" s="10" t="s">
        <v>145</v>
      </c>
      <c r="E8" s="15">
        <v>42015</v>
      </c>
      <c r="F8" s="25" t="s">
        <v>155</v>
      </c>
      <c r="G8" s="20">
        <v>1</v>
      </c>
      <c r="H8" s="23"/>
      <c r="I8" s="3"/>
      <c r="J8" s="3"/>
      <c r="K8" s="2"/>
    </row>
    <row r="9" spans="1:11" x14ac:dyDescent="0.35">
      <c r="A9" s="18">
        <v>3</v>
      </c>
      <c r="B9" s="16" t="s">
        <v>143</v>
      </c>
      <c r="C9" s="12" t="s">
        <v>15</v>
      </c>
      <c r="D9" s="10" t="s">
        <v>146</v>
      </c>
      <c r="E9" s="15">
        <v>42015</v>
      </c>
      <c r="F9" s="25" t="s">
        <v>156</v>
      </c>
      <c r="G9" s="20">
        <v>1</v>
      </c>
      <c r="H9" s="23"/>
      <c r="I9" s="3"/>
      <c r="J9" s="3"/>
      <c r="K9" s="2"/>
    </row>
    <row r="10" spans="1:11" x14ac:dyDescent="0.35">
      <c r="A10" s="18">
        <v>4</v>
      </c>
      <c r="B10" s="16" t="s">
        <v>143</v>
      </c>
      <c r="C10" s="12" t="s">
        <v>15</v>
      </c>
      <c r="D10" s="10" t="s">
        <v>147</v>
      </c>
      <c r="E10" s="15">
        <v>42015</v>
      </c>
      <c r="F10" s="25" t="s">
        <v>157</v>
      </c>
      <c r="G10" s="20">
        <v>1</v>
      </c>
      <c r="H10" s="23"/>
      <c r="I10" s="3"/>
      <c r="J10" s="3"/>
      <c r="K10" s="2"/>
    </row>
    <row r="11" spans="1:11" x14ac:dyDescent="0.35">
      <c r="A11" s="18">
        <v>5</v>
      </c>
      <c r="B11" s="16" t="s">
        <v>143</v>
      </c>
      <c r="C11" s="12" t="s">
        <v>15</v>
      </c>
      <c r="D11" s="10" t="s">
        <v>148</v>
      </c>
      <c r="E11" s="15">
        <v>42015</v>
      </c>
      <c r="F11" s="25" t="s">
        <v>158</v>
      </c>
      <c r="G11" s="20">
        <v>1</v>
      </c>
      <c r="H11" s="23"/>
      <c r="I11" s="3"/>
      <c r="J11" s="3"/>
      <c r="K11" s="2"/>
    </row>
    <row r="12" spans="1:11" x14ac:dyDescent="0.35">
      <c r="A12" s="18">
        <v>6</v>
      </c>
      <c r="B12" s="16" t="s">
        <v>143</v>
      </c>
      <c r="C12" s="12" t="s">
        <v>15</v>
      </c>
      <c r="D12" s="10" t="s">
        <v>149</v>
      </c>
      <c r="E12" s="15">
        <v>42015</v>
      </c>
      <c r="F12" s="25" t="s">
        <v>159</v>
      </c>
      <c r="G12" s="20">
        <v>1</v>
      </c>
      <c r="H12" s="3"/>
      <c r="I12" s="3"/>
      <c r="J12" s="3"/>
      <c r="K12" s="2"/>
    </row>
    <row r="13" spans="1:11" x14ac:dyDescent="0.35">
      <c r="A13" s="18">
        <v>7</v>
      </c>
      <c r="B13" s="16" t="s">
        <v>143</v>
      </c>
      <c r="C13" s="12" t="s">
        <v>15</v>
      </c>
      <c r="D13" s="10" t="s">
        <v>150</v>
      </c>
      <c r="E13" s="15">
        <v>42015</v>
      </c>
      <c r="F13" s="25" t="s">
        <v>160</v>
      </c>
      <c r="G13" s="20">
        <v>1</v>
      </c>
      <c r="H13" s="3"/>
      <c r="I13" s="3"/>
      <c r="J13" s="3"/>
      <c r="K13" s="2"/>
    </row>
    <row r="14" spans="1:11" x14ac:dyDescent="0.35">
      <c r="A14" s="18">
        <v>8</v>
      </c>
      <c r="B14" s="16" t="s">
        <v>143</v>
      </c>
      <c r="C14" s="12" t="s">
        <v>15</v>
      </c>
      <c r="D14" s="10" t="s">
        <v>151</v>
      </c>
      <c r="E14" s="15">
        <v>42015</v>
      </c>
      <c r="F14" s="25" t="s">
        <v>161</v>
      </c>
      <c r="G14" s="13">
        <v>1</v>
      </c>
      <c r="H14" s="14"/>
      <c r="I14" s="3"/>
      <c r="J14" s="3"/>
      <c r="K14" s="2"/>
    </row>
    <row r="15" spans="1:11" x14ac:dyDescent="0.35">
      <c r="A15" s="18">
        <v>9</v>
      </c>
      <c r="B15" s="16" t="s">
        <v>143</v>
      </c>
      <c r="C15" s="12" t="s">
        <v>15</v>
      </c>
      <c r="D15" s="10" t="s">
        <v>152</v>
      </c>
      <c r="E15" s="15">
        <v>42015</v>
      </c>
      <c r="F15" s="25" t="s">
        <v>162</v>
      </c>
      <c r="G15" s="13">
        <v>1</v>
      </c>
      <c r="H15" s="14"/>
      <c r="I15" s="3"/>
      <c r="J15" s="3"/>
      <c r="K15" s="2"/>
    </row>
    <row r="16" spans="1:11" x14ac:dyDescent="0.35">
      <c r="A16" s="18">
        <v>10</v>
      </c>
      <c r="B16" s="16" t="s">
        <v>143</v>
      </c>
      <c r="C16" s="12" t="s">
        <v>15</v>
      </c>
      <c r="D16" s="10" t="s">
        <v>153</v>
      </c>
      <c r="E16" s="15">
        <v>42015</v>
      </c>
      <c r="F16" s="25" t="s">
        <v>163</v>
      </c>
      <c r="G16" s="13">
        <v>1</v>
      </c>
      <c r="H16" s="14"/>
      <c r="I16" s="3"/>
      <c r="J16" s="3"/>
      <c r="K16" s="2"/>
    </row>
    <row r="17" spans="1:11" x14ac:dyDescent="0.35">
      <c r="A17" s="18">
        <v>11</v>
      </c>
      <c r="B17" s="16" t="s">
        <v>143</v>
      </c>
      <c r="C17" s="12" t="s">
        <v>15</v>
      </c>
      <c r="D17" s="10" t="s">
        <v>164</v>
      </c>
      <c r="E17" s="15">
        <v>42016</v>
      </c>
      <c r="F17" s="25" t="s">
        <v>172</v>
      </c>
      <c r="G17" s="13">
        <v>1</v>
      </c>
      <c r="H17" s="14"/>
      <c r="I17" s="3"/>
      <c r="J17" s="3"/>
      <c r="K17" s="1"/>
    </row>
    <row r="18" spans="1:11" x14ac:dyDescent="0.35">
      <c r="A18" s="18">
        <v>12</v>
      </c>
      <c r="B18" s="16" t="s">
        <v>143</v>
      </c>
      <c r="C18" s="12" t="s">
        <v>15</v>
      </c>
      <c r="D18" s="10" t="s">
        <v>165</v>
      </c>
      <c r="E18" s="15">
        <v>42016</v>
      </c>
      <c r="F18" s="25" t="s">
        <v>173</v>
      </c>
      <c r="G18" s="13">
        <v>1</v>
      </c>
      <c r="H18" s="14"/>
      <c r="I18" s="3"/>
      <c r="J18" s="3"/>
      <c r="K18" s="1"/>
    </row>
    <row r="19" spans="1:11" x14ac:dyDescent="0.35">
      <c r="A19" s="18">
        <v>13</v>
      </c>
      <c r="B19" s="16" t="s">
        <v>143</v>
      </c>
      <c r="C19" s="12" t="s">
        <v>15</v>
      </c>
      <c r="D19" s="10" t="s">
        <v>166</v>
      </c>
      <c r="E19" s="15">
        <v>42016</v>
      </c>
      <c r="F19" s="25" t="s">
        <v>174</v>
      </c>
      <c r="G19" s="13">
        <v>1</v>
      </c>
      <c r="H19" s="14"/>
      <c r="I19" s="3"/>
      <c r="J19" s="3"/>
      <c r="K19" s="1"/>
    </row>
    <row r="20" spans="1:11" x14ac:dyDescent="0.35">
      <c r="A20" s="18">
        <v>14</v>
      </c>
      <c r="B20" s="16" t="s">
        <v>143</v>
      </c>
      <c r="C20" s="12" t="s">
        <v>15</v>
      </c>
      <c r="D20" s="10" t="s">
        <v>167</v>
      </c>
      <c r="E20" s="15">
        <v>42016</v>
      </c>
      <c r="F20" s="25" t="s">
        <v>175</v>
      </c>
      <c r="G20" s="13">
        <v>1</v>
      </c>
      <c r="H20" s="14"/>
      <c r="I20" s="3"/>
      <c r="J20" s="3"/>
      <c r="K20" s="1"/>
    </row>
    <row r="21" spans="1:11" x14ac:dyDescent="0.35">
      <c r="A21" s="18">
        <v>15</v>
      </c>
      <c r="B21" s="16" t="s">
        <v>143</v>
      </c>
      <c r="C21" s="12" t="s">
        <v>15</v>
      </c>
      <c r="D21" s="10" t="s">
        <v>168</v>
      </c>
      <c r="E21" s="15">
        <v>42016</v>
      </c>
      <c r="F21" s="25" t="s">
        <v>176</v>
      </c>
      <c r="G21" s="13">
        <v>1</v>
      </c>
      <c r="H21" s="14"/>
      <c r="I21" s="3"/>
      <c r="J21" s="3"/>
      <c r="K21" s="1"/>
    </row>
    <row r="22" spans="1:11" x14ac:dyDescent="0.35">
      <c r="A22" s="18">
        <v>16</v>
      </c>
      <c r="B22" s="16" t="s">
        <v>143</v>
      </c>
      <c r="C22" s="12" t="s">
        <v>15</v>
      </c>
      <c r="D22" s="10" t="s">
        <v>169</v>
      </c>
      <c r="E22" s="15">
        <v>42016</v>
      </c>
      <c r="F22" s="25" t="s">
        <v>177</v>
      </c>
      <c r="G22" s="13">
        <v>1</v>
      </c>
      <c r="H22" s="14"/>
      <c r="I22" s="3"/>
      <c r="J22" s="3"/>
      <c r="K22" s="1"/>
    </row>
    <row r="23" spans="1:11" x14ac:dyDescent="0.35">
      <c r="A23" s="18">
        <v>17</v>
      </c>
      <c r="B23" s="16" t="s">
        <v>143</v>
      </c>
      <c r="C23" s="12" t="s">
        <v>15</v>
      </c>
      <c r="D23" s="10" t="s">
        <v>170</v>
      </c>
      <c r="E23" s="15">
        <v>42016</v>
      </c>
      <c r="F23" s="25" t="s">
        <v>178</v>
      </c>
      <c r="G23" s="13">
        <v>1</v>
      </c>
      <c r="H23" s="14"/>
      <c r="I23" s="3"/>
      <c r="J23" s="3"/>
      <c r="K23" s="1"/>
    </row>
    <row r="24" spans="1:11" ht="17" customHeight="1" x14ac:dyDescent="0.35">
      <c r="A24" s="18">
        <v>18</v>
      </c>
      <c r="B24" s="16" t="s">
        <v>143</v>
      </c>
      <c r="C24" s="12" t="s">
        <v>15</v>
      </c>
      <c r="D24" s="10" t="s">
        <v>171</v>
      </c>
      <c r="E24" s="15">
        <v>42016</v>
      </c>
      <c r="F24" s="25" t="s">
        <v>179</v>
      </c>
      <c r="G24" s="13">
        <v>1</v>
      </c>
      <c r="H24" s="14"/>
      <c r="I24" s="3"/>
      <c r="J24" s="3"/>
      <c r="K24" s="1"/>
    </row>
    <row r="25" spans="1:11" x14ac:dyDescent="0.35">
      <c r="A25" s="18">
        <v>19</v>
      </c>
      <c r="B25" s="16" t="s">
        <v>143</v>
      </c>
      <c r="C25" s="12" t="s">
        <v>15</v>
      </c>
      <c r="D25" s="10" t="s">
        <v>180</v>
      </c>
      <c r="E25" s="15">
        <v>42016</v>
      </c>
      <c r="F25" s="25" t="s">
        <v>181</v>
      </c>
      <c r="G25" s="13">
        <v>1</v>
      </c>
      <c r="H25" s="14"/>
      <c r="I25" s="3"/>
      <c r="J25" s="3"/>
      <c r="K25" s="1"/>
    </row>
    <row r="26" spans="1:11" x14ac:dyDescent="0.35">
      <c r="A26" s="18">
        <v>20</v>
      </c>
      <c r="B26" s="15" t="s">
        <v>143</v>
      </c>
      <c r="C26" s="12" t="s">
        <v>15</v>
      </c>
      <c r="D26" s="10" t="s">
        <v>182</v>
      </c>
      <c r="E26" s="15">
        <v>42022</v>
      </c>
      <c r="F26" s="25" t="s">
        <v>184</v>
      </c>
      <c r="G26" s="13">
        <v>1</v>
      </c>
      <c r="H26" s="14"/>
      <c r="I26" s="3"/>
      <c r="J26" s="3"/>
      <c r="K26" s="1"/>
    </row>
    <row r="27" spans="1:11" x14ac:dyDescent="0.35">
      <c r="A27" s="18">
        <v>21</v>
      </c>
      <c r="B27" s="15" t="s">
        <v>143</v>
      </c>
      <c r="C27" s="12" t="s">
        <v>15</v>
      </c>
      <c r="D27" s="10" t="s">
        <v>183</v>
      </c>
      <c r="E27" s="15">
        <v>42022</v>
      </c>
      <c r="F27" s="25" t="s">
        <v>185</v>
      </c>
      <c r="G27" s="13">
        <v>1</v>
      </c>
      <c r="H27" s="14"/>
      <c r="I27" s="3"/>
      <c r="J27" s="3"/>
      <c r="K27" s="1"/>
    </row>
    <row r="28" spans="1:11" x14ac:dyDescent="0.35">
      <c r="A28" s="27"/>
      <c r="B28" s="28"/>
      <c r="C28" s="29"/>
      <c r="D28" s="30"/>
      <c r="E28" s="28"/>
      <c r="F28" s="32"/>
      <c r="G28" s="56">
        <v>1</v>
      </c>
      <c r="H28" s="14"/>
      <c r="I28" s="3"/>
      <c r="J28" s="3"/>
      <c r="K28" s="1"/>
    </row>
    <row r="29" spans="1:11" x14ac:dyDescent="0.35">
      <c r="A29" s="27"/>
      <c r="B29" s="28"/>
      <c r="C29" s="29"/>
      <c r="D29" s="30"/>
      <c r="E29" s="28"/>
      <c r="F29" s="32"/>
      <c r="G29" s="56">
        <v>1</v>
      </c>
      <c r="H29" s="14"/>
      <c r="I29" s="3"/>
      <c r="J29" s="3"/>
      <c r="K29" s="1"/>
    </row>
    <row r="30" spans="1:11" x14ac:dyDescent="0.35">
      <c r="A30" s="27"/>
      <c r="B30" s="28"/>
      <c r="C30" s="29"/>
      <c r="D30" s="30"/>
      <c r="E30" s="28"/>
      <c r="F30" s="32"/>
      <c r="G30" s="56">
        <v>1</v>
      </c>
      <c r="H30" s="14"/>
      <c r="I30" s="3"/>
      <c r="J30" s="3"/>
      <c r="K30" s="1"/>
    </row>
    <row r="31" spans="1:11" x14ac:dyDescent="0.35">
      <c r="A31" s="27"/>
      <c r="B31" s="28"/>
      <c r="C31" s="29"/>
      <c r="D31" s="30"/>
      <c r="E31" s="28"/>
      <c r="F31" s="32"/>
      <c r="G31" s="56">
        <v>1</v>
      </c>
      <c r="H31" s="14"/>
      <c r="I31" s="3"/>
      <c r="J31" s="3"/>
      <c r="K31" s="1"/>
    </row>
    <row r="32" spans="1:11" x14ac:dyDescent="0.35">
      <c r="A32" s="27"/>
      <c r="B32" s="28"/>
      <c r="C32" s="29"/>
      <c r="D32" s="30"/>
      <c r="E32" s="28"/>
      <c r="F32" s="32"/>
      <c r="G32" s="56">
        <v>1</v>
      </c>
      <c r="H32" s="14"/>
      <c r="I32" s="3"/>
      <c r="J32" s="3"/>
      <c r="K32" s="1"/>
    </row>
    <row r="33" spans="1:11" x14ac:dyDescent="0.35">
      <c r="A33" s="27"/>
      <c r="B33" s="28"/>
      <c r="C33" s="29"/>
      <c r="D33" s="30"/>
      <c r="E33" s="28"/>
      <c r="F33" s="32"/>
      <c r="G33" s="56">
        <v>1</v>
      </c>
      <c r="H33" s="14"/>
      <c r="I33" s="3"/>
      <c r="J33" s="3"/>
      <c r="K33" s="1"/>
    </row>
    <row r="34" spans="1:11" x14ac:dyDescent="0.35">
      <c r="A34" s="27"/>
      <c r="B34" s="28"/>
      <c r="C34" s="29"/>
      <c r="D34" s="30"/>
      <c r="E34" s="28"/>
      <c r="F34" s="32"/>
      <c r="G34" s="56">
        <v>1</v>
      </c>
      <c r="H34" s="14"/>
      <c r="I34" s="3"/>
      <c r="J34" s="3"/>
      <c r="K34" s="1"/>
    </row>
    <row r="35" spans="1:11" x14ac:dyDescent="0.35">
      <c r="A35" s="27"/>
      <c r="B35" s="28"/>
      <c r="C35" s="29"/>
      <c r="D35" s="30"/>
      <c r="E35" s="28"/>
      <c r="F35" s="32"/>
      <c r="G35" s="56">
        <v>1</v>
      </c>
      <c r="H35" s="14"/>
      <c r="I35" s="3"/>
      <c r="J35" s="3"/>
      <c r="K35" s="1"/>
    </row>
    <row r="36" spans="1:11" x14ac:dyDescent="0.35">
      <c r="A36" s="27"/>
      <c r="B36" s="28"/>
      <c r="C36" s="29"/>
      <c r="D36" s="30"/>
      <c r="E36" s="28"/>
      <c r="F36" s="32"/>
      <c r="G36" s="56">
        <v>1</v>
      </c>
      <c r="H36" s="2"/>
      <c r="I36" s="2"/>
      <c r="J36" s="2"/>
      <c r="K36" s="1"/>
    </row>
    <row r="37" spans="1:11" x14ac:dyDescent="0.35">
      <c r="A37" s="27"/>
      <c r="B37" s="28"/>
      <c r="C37" s="29"/>
      <c r="D37" s="30"/>
      <c r="E37" s="28"/>
      <c r="F37" s="32"/>
      <c r="G37" s="56">
        <v>1</v>
      </c>
      <c r="H37" s="2"/>
      <c r="I37" s="2"/>
      <c r="J37" s="2"/>
      <c r="K37" s="1"/>
    </row>
    <row r="38" spans="1:11" x14ac:dyDescent="0.35">
      <c r="A38" s="27"/>
      <c r="B38" s="28"/>
      <c r="C38" s="29"/>
      <c r="D38" s="30"/>
      <c r="E38" s="28"/>
      <c r="F38" s="32"/>
      <c r="G38" s="56">
        <v>1</v>
      </c>
      <c r="H38" s="2"/>
      <c r="I38" s="2"/>
      <c r="J38" s="2"/>
      <c r="K38" s="1"/>
    </row>
    <row r="39" spans="1:11" x14ac:dyDescent="0.35">
      <c r="A39" s="27"/>
      <c r="B39" s="28"/>
      <c r="C39" s="29"/>
      <c r="D39" s="30"/>
      <c r="E39" s="28"/>
      <c r="F39" s="32"/>
      <c r="G39" s="56">
        <v>1</v>
      </c>
      <c r="H39" s="2"/>
      <c r="I39" s="2"/>
      <c r="J39" s="2"/>
      <c r="K39" s="1"/>
    </row>
    <row r="40" spans="1:11" x14ac:dyDescent="0.35">
      <c r="A40" s="27"/>
      <c r="B40" s="28"/>
      <c r="C40" s="29"/>
      <c r="D40" s="30"/>
      <c r="E40" s="28"/>
      <c r="F40" s="32"/>
      <c r="G40" s="56">
        <v>1</v>
      </c>
      <c r="H40" s="2"/>
      <c r="I40" s="2"/>
      <c r="J40" s="2"/>
      <c r="K40" s="1"/>
    </row>
    <row r="41" spans="1:11" x14ac:dyDescent="0.35">
      <c r="A41" s="27"/>
      <c r="B41" s="28"/>
      <c r="C41" s="29"/>
      <c r="D41" s="30"/>
      <c r="E41" s="28"/>
      <c r="F41" s="32"/>
      <c r="G41" s="56">
        <v>1</v>
      </c>
      <c r="H41" s="2"/>
      <c r="I41" s="2"/>
      <c r="J41" s="2"/>
      <c r="K41" s="1"/>
    </row>
    <row r="42" spans="1:11" x14ac:dyDescent="0.35">
      <c r="A42" s="27"/>
      <c r="B42" s="28"/>
      <c r="C42" s="29"/>
      <c r="D42" s="30"/>
      <c r="E42" s="28"/>
      <c r="F42" s="32"/>
      <c r="G42" s="56">
        <v>1</v>
      </c>
      <c r="H42" s="2"/>
      <c r="I42" s="2"/>
      <c r="J42" s="2"/>
      <c r="K42" s="1"/>
    </row>
    <row r="43" spans="1:11" x14ac:dyDescent="0.35">
      <c r="A43" s="27"/>
      <c r="B43" s="28"/>
      <c r="C43" s="29"/>
      <c r="D43" s="30"/>
      <c r="E43" s="28"/>
      <c r="F43" s="32"/>
      <c r="G43" s="56">
        <v>1</v>
      </c>
      <c r="H43" s="2"/>
      <c r="I43" s="2"/>
      <c r="J43" s="2"/>
      <c r="K43" s="1"/>
    </row>
    <row r="44" spans="1:11" x14ac:dyDescent="0.35">
      <c r="A44" s="27"/>
      <c r="B44" s="28"/>
      <c r="C44" s="29"/>
      <c r="D44" s="30"/>
      <c r="E44" s="31"/>
      <c r="F44" s="32"/>
      <c r="G44" s="56">
        <v>1</v>
      </c>
      <c r="H44" s="2"/>
      <c r="I44" s="2"/>
      <c r="J44" s="2"/>
      <c r="K44" s="1"/>
    </row>
    <row r="45" spans="1:11" x14ac:dyDescent="0.35">
      <c r="A45" s="27"/>
      <c r="B45" s="28"/>
      <c r="C45" s="29"/>
      <c r="D45" s="30"/>
      <c r="E45" s="31"/>
      <c r="F45" s="32"/>
      <c r="G45" s="56">
        <v>1</v>
      </c>
      <c r="H45" s="2"/>
      <c r="I45" s="2"/>
      <c r="J45" s="2"/>
      <c r="K45" s="1"/>
    </row>
    <row r="46" spans="1:11" x14ac:dyDescent="0.35">
      <c r="A46" s="27"/>
      <c r="B46" s="28"/>
      <c r="C46" s="29"/>
      <c r="D46" s="30"/>
      <c r="E46" s="31"/>
      <c r="F46" s="32"/>
      <c r="G46" s="56">
        <v>1</v>
      </c>
      <c r="H46" s="2"/>
      <c r="I46" s="2"/>
      <c r="J46" s="2"/>
      <c r="K46" s="1"/>
    </row>
    <row r="47" spans="1:11" x14ac:dyDescent="0.35">
      <c r="A47" s="27"/>
      <c r="B47" s="28"/>
      <c r="C47" s="29"/>
      <c r="D47" s="30"/>
      <c r="E47" s="31"/>
      <c r="F47" s="32"/>
      <c r="G47" s="56">
        <v>1</v>
      </c>
      <c r="H47" s="2"/>
      <c r="I47" s="2"/>
      <c r="J47" s="2"/>
      <c r="K47" s="1"/>
    </row>
    <row r="48" spans="1:11" x14ac:dyDescent="0.35">
      <c r="A48" s="27"/>
      <c r="B48" s="28"/>
      <c r="C48" s="29"/>
      <c r="D48" s="30"/>
      <c r="E48" s="31"/>
      <c r="F48" s="32"/>
      <c r="G48" s="56">
        <v>1</v>
      </c>
      <c r="H48" s="2"/>
      <c r="I48" s="2"/>
      <c r="J48" s="2"/>
      <c r="K48" s="1"/>
    </row>
    <row r="49" spans="1:11" x14ac:dyDescent="0.35">
      <c r="A49" s="27"/>
      <c r="B49" s="28"/>
      <c r="C49" s="29"/>
      <c r="D49" s="30"/>
      <c r="E49" s="31"/>
      <c r="F49" s="32"/>
      <c r="G49" s="56">
        <v>1</v>
      </c>
      <c r="H49" s="2"/>
      <c r="I49" s="2"/>
      <c r="J49" s="2"/>
      <c r="K49" s="1"/>
    </row>
    <row r="50" spans="1:11" x14ac:dyDescent="0.35">
      <c r="A50" s="27"/>
      <c r="B50" s="28"/>
      <c r="C50" s="29"/>
      <c r="D50" s="30"/>
      <c r="E50" s="31"/>
      <c r="F50" s="32"/>
      <c r="G50" s="56">
        <v>1</v>
      </c>
      <c r="H50" s="1"/>
      <c r="I50" s="1"/>
      <c r="J50" s="1"/>
      <c r="K50" s="1"/>
    </row>
    <row r="51" spans="1:11" x14ac:dyDescent="0.35">
      <c r="A51" s="27"/>
      <c r="B51" s="28"/>
      <c r="C51" s="29"/>
      <c r="D51" s="30"/>
      <c r="E51" s="31"/>
      <c r="F51" s="32"/>
      <c r="G51" s="56">
        <v>1</v>
      </c>
      <c r="H51" s="1"/>
      <c r="I51" s="1"/>
      <c r="J51" s="1"/>
      <c r="K51" s="1"/>
    </row>
    <row r="52" spans="1:11" x14ac:dyDescent="0.35">
      <c r="A52" s="27"/>
      <c r="B52" s="28"/>
      <c r="C52" s="29"/>
      <c r="D52" s="30"/>
      <c r="E52" s="31"/>
      <c r="F52" s="32"/>
      <c r="G52" s="56">
        <v>1</v>
      </c>
      <c r="H52" s="1"/>
      <c r="I52" s="1"/>
      <c r="J52" s="1"/>
      <c r="K52" s="1"/>
    </row>
    <row r="53" spans="1:11" x14ac:dyDescent="0.35">
      <c r="A53" s="27"/>
      <c r="B53" s="28"/>
      <c r="C53" s="29"/>
      <c r="D53" s="30"/>
      <c r="E53" s="31"/>
      <c r="F53" s="32"/>
      <c r="G53" s="56">
        <v>1</v>
      </c>
      <c r="H53" s="1"/>
      <c r="I53" s="1"/>
      <c r="J53" s="1"/>
      <c r="K53" s="1"/>
    </row>
    <row r="54" spans="1:11" x14ac:dyDescent="0.35">
      <c r="A54" s="27"/>
      <c r="B54" s="28"/>
      <c r="C54" s="29"/>
      <c r="D54" s="30"/>
      <c r="E54" s="31"/>
      <c r="F54" s="32"/>
      <c r="G54" s="56">
        <v>1</v>
      </c>
      <c r="H54" s="1"/>
      <c r="I54" s="1"/>
      <c r="J54" s="1"/>
      <c r="K54" s="1"/>
    </row>
    <row r="55" spans="1:11" x14ac:dyDescent="0.35">
      <c r="A55" s="27"/>
      <c r="B55" s="28"/>
      <c r="C55" s="29"/>
      <c r="D55" s="30"/>
      <c r="E55" s="31"/>
      <c r="F55" s="32"/>
      <c r="G55" s="56">
        <v>1</v>
      </c>
      <c r="H55" s="1"/>
      <c r="I55" s="1"/>
      <c r="J55" s="1"/>
      <c r="K55" s="1"/>
    </row>
    <row r="56" spans="1:11" x14ac:dyDescent="0.35">
      <c r="A56" s="27"/>
      <c r="B56" s="28"/>
      <c r="C56" s="29"/>
      <c r="D56" s="30"/>
      <c r="E56" s="31"/>
      <c r="F56" s="32"/>
      <c r="G56" s="56">
        <v>1</v>
      </c>
      <c r="H56" s="1"/>
      <c r="I56" s="1"/>
      <c r="J56" s="1"/>
      <c r="K56" s="1"/>
    </row>
    <row r="57" spans="1:11" x14ac:dyDescent="0.35">
      <c r="A57" s="27"/>
      <c r="B57" s="28"/>
      <c r="C57" s="29"/>
      <c r="D57" s="30"/>
      <c r="E57" s="31"/>
      <c r="F57" s="32"/>
      <c r="G57" s="56">
        <v>1</v>
      </c>
      <c r="H57" s="1"/>
      <c r="I57" s="1"/>
      <c r="J57" s="1"/>
      <c r="K57" s="1"/>
    </row>
    <row r="58" spans="1:11" x14ac:dyDescent="0.35">
      <c r="A58" s="27"/>
      <c r="B58" s="28"/>
      <c r="C58" s="29"/>
      <c r="D58" s="30"/>
      <c r="E58" s="31"/>
      <c r="F58" s="32"/>
      <c r="G58" s="56">
        <v>1</v>
      </c>
      <c r="H58" s="1"/>
      <c r="I58" s="1"/>
      <c r="J58" s="1"/>
      <c r="K58" s="1"/>
    </row>
    <row r="59" spans="1:11" x14ac:dyDescent="0.35">
      <c r="A59" s="27"/>
      <c r="B59" s="28"/>
      <c r="C59" s="29"/>
      <c r="D59" s="30"/>
      <c r="E59" s="31"/>
      <c r="F59" s="32"/>
      <c r="G59" s="56">
        <v>1</v>
      </c>
      <c r="H59" s="1"/>
      <c r="I59" s="1"/>
      <c r="J59" s="1"/>
      <c r="K59" s="1"/>
    </row>
    <row r="60" spans="1:11" x14ac:dyDescent="0.35">
      <c r="A60" s="27"/>
      <c r="B60" s="28"/>
      <c r="C60" s="29"/>
      <c r="D60" s="30"/>
      <c r="E60" s="31"/>
      <c r="F60" s="32"/>
      <c r="G60" s="56">
        <v>1</v>
      </c>
      <c r="H60" s="1"/>
      <c r="I60" s="1"/>
      <c r="J60" s="1"/>
      <c r="K60" s="1"/>
    </row>
    <row r="61" spans="1:11" x14ac:dyDescent="0.35">
      <c r="A61" s="27"/>
      <c r="B61" s="28"/>
      <c r="C61" s="29"/>
      <c r="D61" s="30"/>
      <c r="E61" s="31"/>
      <c r="F61" s="32"/>
      <c r="G61" s="56">
        <v>1</v>
      </c>
      <c r="H61" s="1"/>
      <c r="I61" s="1"/>
      <c r="J61" s="1"/>
      <c r="K61" s="1"/>
    </row>
    <row r="62" spans="1:11" x14ac:dyDescent="0.35">
      <c r="A62" s="27"/>
      <c r="B62" s="28"/>
      <c r="C62" s="29"/>
      <c r="D62" s="30"/>
      <c r="E62" s="31"/>
      <c r="F62" s="32"/>
      <c r="G62" s="56">
        <v>1</v>
      </c>
      <c r="H62" s="1"/>
      <c r="I62" s="1"/>
      <c r="J62" s="1"/>
      <c r="K62" s="1"/>
    </row>
    <row r="63" spans="1:11" x14ac:dyDescent="0.35">
      <c r="A63" s="27"/>
      <c r="B63" s="28"/>
      <c r="C63" s="29"/>
      <c r="D63" s="30"/>
      <c r="E63" s="31"/>
      <c r="F63" s="32"/>
      <c r="G63" s="56">
        <v>1</v>
      </c>
      <c r="H63" s="1"/>
      <c r="I63" s="1"/>
      <c r="J63" s="1"/>
      <c r="K63" s="1"/>
    </row>
    <row r="64" spans="1:11" x14ac:dyDescent="0.35">
      <c r="A64" s="27"/>
      <c r="B64" s="28"/>
      <c r="C64" s="29"/>
      <c r="D64" s="30"/>
      <c r="E64" s="31"/>
      <c r="F64" s="32"/>
      <c r="G64" s="56">
        <v>1</v>
      </c>
      <c r="H64" s="1"/>
      <c r="I64" s="1"/>
      <c r="J64" s="1"/>
      <c r="K64" s="1"/>
    </row>
    <row r="65" spans="1:11" x14ac:dyDescent="0.35">
      <c r="A65" s="27"/>
      <c r="B65" s="28"/>
      <c r="C65" s="29"/>
      <c r="D65" s="30"/>
      <c r="E65" s="31"/>
      <c r="F65" s="32"/>
      <c r="G65" s="56">
        <v>1</v>
      </c>
      <c r="H65" s="1"/>
      <c r="I65" s="1"/>
      <c r="J65" s="1"/>
      <c r="K65" s="1"/>
    </row>
    <row r="66" spans="1:11" x14ac:dyDescent="0.35">
      <c r="A66" s="27"/>
      <c r="B66" s="28"/>
      <c r="C66" s="29"/>
      <c r="D66" s="30"/>
      <c r="E66" s="31"/>
      <c r="F66" s="32"/>
      <c r="G66" s="56">
        <v>1</v>
      </c>
      <c r="H66" s="1"/>
      <c r="I66" s="1"/>
      <c r="J66" s="1"/>
      <c r="K66" s="1"/>
    </row>
    <row r="67" spans="1:11" x14ac:dyDescent="0.35">
      <c r="A67" s="27"/>
      <c r="B67" s="28"/>
      <c r="C67" s="29"/>
      <c r="D67" s="30"/>
      <c r="E67" s="31"/>
      <c r="F67" s="32"/>
      <c r="G67" s="57">
        <v>1</v>
      </c>
      <c r="H67" s="1"/>
      <c r="I67" s="1"/>
      <c r="J67" s="1"/>
      <c r="K67" s="1"/>
    </row>
    <row r="68" spans="1:11" x14ac:dyDescent="0.35">
      <c r="A68" s="34"/>
      <c r="B68" s="34"/>
      <c r="C68" s="34"/>
      <c r="D68" s="34"/>
      <c r="E68" s="34"/>
      <c r="F68" s="34"/>
    </row>
  </sheetData>
  <mergeCells count="9">
    <mergeCell ref="A5:F5"/>
    <mergeCell ref="I5:J5"/>
    <mergeCell ref="A1:C1"/>
    <mergeCell ref="A2:C2"/>
    <mergeCell ref="I2:J2"/>
    <mergeCell ref="A3:C3"/>
    <mergeCell ref="I3:J3"/>
    <mergeCell ref="A4:F4"/>
    <mergeCell ref="I4:J4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2014</vt:lpstr>
      <vt:lpstr>2015</vt:lpstr>
      <vt:lpstr>Feuil3</vt:lpstr>
      <vt:lpstr>'2014'!Impression_des_titres</vt:lpstr>
      <vt:lpstr>'2015'!Impression_des_titres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 BERROUAGHIA</cp:lastModifiedBy>
  <cp:lastPrinted>2015-02-03T11:58:18Z</cp:lastPrinted>
  <dcterms:created xsi:type="dcterms:W3CDTF">2015-01-07T07:58:17Z</dcterms:created>
  <dcterms:modified xsi:type="dcterms:W3CDTF">2015-02-03T11:58:51Z</dcterms:modified>
</cp:coreProperties>
</file>