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1\Gestion de Stock Zoubiria\"/>
    </mc:Choice>
  </mc:AlternateContent>
  <bookViews>
    <workbookView xWindow="315" yWindow="195" windowWidth="6900" windowHeight="2025" firstSheet="7" activeTab="11"/>
  </bookViews>
  <sheets>
    <sheet name="JANVIER 2021" sheetId="12" r:id="rId1"/>
    <sheet name="FEVRIER 2021" sheetId="13" r:id="rId2"/>
    <sheet name="MARS 2021" sheetId="14" r:id="rId3"/>
    <sheet name="AVRIL 2021" sheetId="15" r:id="rId4"/>
    <sheet name="MAI 2021" sheetId="16" r:id="rId5"/>
    <sheet name="JUIN 2021" sheetId="17" r:id="rId6"/>
    <sheet name="JUILLET 2021" sheetId="18" r:id="rId7"/>
    <sheet name="AOUT 2021" sheetId="19" r:id="rId8"/>
    <sheet name="SEPTEMBRE 2021" sheetId="21" r:id="rId9"/>
    <sheet name="OCTOBRE 2021" sheetId="22" r:id="rId10"/>
    <sheet name="NOVEMBRE 2021" sheetId="23" r:id="rId11"/>
    <sheet name="DECEMBRE 2021" sheetId="24" r:id="rId12"/>
  </sheets>
  <definedNames>
    <definedName name="_xlnm.Print_Titles" localSheetId="7">'AOUT 2021'!$1:$6</definedName>
    <definedName name="_xlnm.Print_Titles" localSheetId="3">'AVRIL 2021'!$1:$6</definedName>
    <definedName name="_xlnm.Print_Titles" localSheetId="11">'DECEMBRE 2021'!$1:$6</definedName>
    <definedName name="_xlnm.Print_Titles" localSheetId="1">'FEVRIER 2021'!$1:$6</definedName>
    <definedName name="_xlnm.Print_Titles" localSheetId="0">'JANVIER 2021'!$1:$6</definedName>
    <definedName name="_xlnm.Print_Titles" localSheetId="6">'JUILLET 2021'!$1:$6</definedName>
    <definedName name="_xlnm.Print_Titles" localSheetId="5">'JUIN 2021'!$1:$6</definedName>
    <definedName name="_xlnm.Print_Titles" localSheetId="4">'MAI 2021'!$1:$6</definedName>
    <definedName name="_xlnm.Print_Titles" localSheetId="2">'MARS 2021'!$1:$6</definedName>
    <definedName name="_xlnm.Print_Titles" localSheetId="10">'NOVEMBRE 2021'!$1:$6</definedName>
    <definedName name="_xlnm.Print_Titles" localSheetId="9">'OCTOBRE 2021'!$1:$6</definedName>
    <definedName name="_xlnm.Print_Titles" localSheetId="8">'SEPTEMBRE 2021'!$1:$6</definedName>
  </definedNames>
  <calcPr calcId="152511"/>
</workbook>
</file>

<file path=xl/calcChain.xml><?xml version="1.0" encoding="utf-8"?>
<calcChain xmlns="http://schemas.openxmlformats.org/spreadsheetml/2006/main">
  <c r="A9" i="24" l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8" i="24"/>
  <c r="K4" i="24"/>
  <c r="K3" i="24"/>
  <c r="K2" i="24"/>
  <c r="K5" i="24" l="1"/>
  <c r="A9" i="23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8" i="23"/>
  <c r="K4" i="23"/>
  <c r="K3" i="23"/>
  <c r="K5" i="23" s="1"/>
  <c r="K2" i="23"/>
  <c r="K2" i="22" l="1"/>
  <c r="K3" i="22"/>
  <c r="K4" i="22"/>
  <c r="K5" i="22"/>
  <c r="A8" i="22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K4" i="21"/>
  <c r="K3" i="21"/>
  <c r="K2" i="21"/>
  <c r="A9" i="19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8" i="19"/>
  <c r="K4" i="19"/>
  <c r="K3" i="19"/>
  <c r="K2" i="19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K4" i="18"/>
  <c r="K3" i="18"/>
  <c r="K2" i="18"/>
  <c r="K5" i="21" l="1"/>
  <c r="K5" i="19"/>
  <c r="K5" i="18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8" i="17"/>
  <c r="K4" i="17"/>
  <c r="K3" i="17"/>
  <c r="K2" i="17"/>
  <c r="K5" i="17" l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K4" i="16"/>
  <c r="K3" i="16"/>
  <c r="K2" i="16"/>
  <c r="K5" i="16" l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K4" i="14"/>
  <c r="K3" i="14"/>
  <c r="K2" i="14"/>
  <c r="K5" i="14" s="1"/>
  <c r="A8" i="13" l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K4" i="13"/>
  <c r="K3" i="13"/>
  <c r="K2" i="13"/>
  <c r="K5" i="13" l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K4" i="12"/>
  <c r="K3" i="12"/>
  <c r="K2" i="12"/>
  <c r="K5" i="12" l="1"/>
</calcChain>
</file>

<file path=xl/sharedStrings.xml><?xml version="1.0" encoding="utf-8"?>
<sst xmlns="http://schemas.openxmlformats.org/spreadsheetml/2006/main" count="345" uniqueCount="96">
  <si>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</si>
  <si>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</si>
  <si>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</si>
  <si>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</si>
  <si>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</si>
  <si>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</si>
  <si>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</si>
  <si>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</si>
  <si>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</si>
  <si>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</si>
  <si>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</si>
  <si>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</si>
  <si>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</si>
  <si>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</si>
  <si>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</si>
  <si>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</si>
  <si>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Zoubiria</t>
  </si>
  <si>
    <t>cc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</si>
  <si>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</si>
  <si>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</si>
  <si>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</si>
  <si>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13</t>
  </si>
  <si>
    <t>15/21</t>
  </si>
  <si>
    <t>2021064536</t>
  </si>
  <si>
    <t>NB(310/2020)</t>
  </si>
  <si>
    <t>Hafid Zebda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</si>
  <si>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</si>
  <si>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cfpa zoubiria</t>
  </si>
  <si>
    <t>2021064255</t>
  </si>
  <si>
    <t>2021064256</t>
  </si>
  <si>
    <t>2021064257</t>
  </si>
  <si>
    <t>2021064258</t>
  </si>
  <si>
    <t>NB(N°170/2017)</t>
  </si>
  <si>
    <t>130031</t>
  </si>
  <si>
    <t>2021064939</t>
  </si>
  <si>
    <t>Elimination Forfait</t>
  </si>
  <si>
    <t>130108</t>
  </si>
  <si>
    <t>2021064940</t>
  </si>
  <si>
    <t>131023</t>
  </si>
  <si>
    <t>14855071</t>
  </si>
  <si>
    <t>2021064984</t>
  </si>
  <si>
    <t>NB(N°094/2021)</t>
  </si>
  <si>
    <t>Belbahi ahmed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</si>
  <si>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</si>
  <si>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</si>
  <si>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2021064519</t>
  </si>
  <si>
    <t>NB(N°132/2021)</t>
  </si>
  <si>
    <t>Salhi abdelhak</t>
  </si>
  <si>
    <t>2021064009</t>
  </si>
  <si>
    <t>NB(N°148/2020)</t>
  </si>
  <si>
    <t>Ferrah ameur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</si>
  <si>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</si>
  <si>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112827</t>
  </si>
  <si>
    <t>NB(N°124/2021)</t>
  </si>
  <si>
    <t>Abrous djillali</t>
  </si>
  <si>
    <t>NB(N°311/2019)</t>
  </si>
  <si>
    <t>Rebbih hadda</t>
  </si>
  <si>
    <t>112828</t>
  </si>
  <si>
    <t>112825</t>
  </si>
  <si>
    <t>NB(N°071/2021)</t>
  </si>
  <si>
    <t>Lamri houcine</t>
  </si>
  <si>
    <t>20/27</t>
  </si>
  <si>
    <t>002836</t>
  </si>
  <si>
    <t>NB(N°099/2021)</t>
  </si>
  <si>
    <t xml:space="preserve">Station naftal 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</si>
  <si>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</si>
  <si>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</si>
  <si>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2021064259</t>
  </si>
  <si>
    <t>2021064260</t>
  </si>
  <si>
    <t>Kerrboubi saad</t>
  </si>
  <si>
    <t>NB(N°229/2020)</t>
  </si>
  <si>
    <t>2021165030</t>
  </si>
  <si>
    <t>Bouchenafa mokhtar</t>
  </si>
  <si>
    <t>NB(N°180/2020)</t>
  </si>
  <si>
    <t>2021165776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</si>
  <si>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</si>
  <si>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</si>
  <si>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2021165026</t>
  </si>
  <si>
    <t>NB(170/2018)</t>
  </si>
  <si>
    <t>Ferrah oussama</t>
  </si>
  <si>
    <t>2021165027</t>
  </si>
  <si>
    <t>NB(169/2018)</t>
  </si>
  <si>
    <t>Ferrah missoum</t>
  </si>
  <si>
    <t>2021165791</t>
  </si>
  <si>
    <t>NB(188/2021)</t>
  </si>
  <si>
    <t>Habib benaissa</t>
  </si>
  <si>
    <t>2021165024</t>
  </si>
  <si>
    <t>2021165025</t>
  </si>
  <si>
    <t>NB(108/2021)</t>
  </si>
  <si>
    <t>Benaissa merouane</t>
  </si>
  <si>
    <t>NB(150/2021)</t>
  </si>
  <si>
    <t>Karbouci a/halim</t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</si>
  <si>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</si>
  <si>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2021165029</t>
  </si>
  <si>
    <t>NB(N°113/2021)</t>
  </si>
  <si>
    <t>Lami daoud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</si>
</sst>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10" fillId="2" borderId="1" xfId="4" applyFont="1" applyFill="1" applyBorder="1" applyAlignment="1">
      <alignment horizontal="center" vertical="center"/>
    </xf>
    <xf numFmtId="0" fontId="1" fillId="0" borderId="0" xfId="4" applyAlignment="1">
      <alignment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3" xfId="4" applyFont="1" applyBorder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6</xdr:row>
      <xdr:rowOff>66675</xdr:rowOff>
    </xdr:from>
    <xdr:to>
      <xdr:col>5</xdr:col>
      <xdr:colOff>1143000</xdr:colOff>
      <xdr:row>36</xdr:row>
      <xdr:rowOff>9525</xdr:rowOff>
    </xdr:to>
    <xdr:cxnSp macro="">
      <xdr:nvCxnSpPr>
        <xdr:cNvPr id="3" name="Connecteur droit 2"/>
        <xdr:cNvCxnSpPr/>
      </xdr:nvCxnSpPr>
      <xdr:spPr>
        <a:xfrm flipH="1">
          <a:off x="628651" y="1381125"/>
          <a:ext cx="4019549" cy="5657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19050</xdr:rowOff>
    </xdr:from>
    <xdr:to>
      <xdr:col>5</xdr:col>
      <xdr:colOff>1171575</xdr:colOff>
      <xdr:row>35</xdr:row>
      <xdr:rowOff>171450</xdr:rowOff>
    </xdr:to>
    <xdr:cxnSp macro="">
      <xdr:nvCxnSpPr>
        <xdr:cNvPr id="3" name="Connecteur droit 2"/>
        <xdr:cNvCxnSpPr/>
      </xdr:nvCxnSpPr>
      <xdr:spPr>
        <a:xfrm flipH="1">
          <a:off x="600075" y="1333500"/>
          <a:ext cx="4076700" cy="5676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19050</xdr:rowOff>
    </xdr:from>
    <xdr:to>
      <xdr:col>5</xdr:col>
      <xdr:colOff>1171575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5" y="1333500"/>
          <a:ext cx="4076700" cy="5676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7</xdr:row>
      <xdr:rowOff>9525</xdr:rowOff>
    </xdr:from>
    <xdr:to>
      <xdr:col>5</xdr:col>
      <xdr:colOff>1162050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6" y="1514475"/>
          <a:ext cx="4067174" cy="5495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14</xdr:row>
      <xdr:rowOff>9525</xdr:rowOff>
    </xdr:from>
    <xdr:to>
      <xdr:col>6</xdr:col>
      <xdr:colOff>0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7" y="2847975"/>
          <a:ext cx="4086223" cy="416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14</xdr:row>
      <xdr:rowOff>9525</xdr:rowOff>
    </xdr:from>
    <xdr:to>
      <xdr:col>6</xdr:col>
      <xdr:colOff>0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7" y="2847975"/>
          <a:ext cx="4086223" cy="416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10</xdr:row>
      <xdr:rowOff>0</xdr:rowOff>
    </xdr:from>
    <xdr:to>
      <xdr:col>7</xdr:col>
      <xdr:colOff>7620</xdr:colOff>
      <xdr:row>35</xdr:row>
      <xdr:rowOff>171450</xdr:rowOff>
    </xdr:to>
    <xdr:cxnSp macro="">
      <xdr:nvCxnSpPr>
        <xdr:cNvPr id="2" name="Connecteur droit 1"/>
        <xdr:cNvCxnSpPr/>
      </xdr:nvCxnSpPr>
      <xdr:spPr>
        <a:xfrm rot="5400000">
          <a:off x="258129" y="2418399"/>
          <a:ext cx="4933950" cy="42119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5</xdr:row>
      <xdr:rowOff>266700</xdr:rowOff>
    </xdr:from>
    <xdr:to>
      <xdr:col>7</xdr:col>
      <xdr:colOff>7620</xdr:colOff>
      <xdr:row>35</xdr:row>
      <xdr:rowOff>171450</xdr:rowOff>
    </xdr:to>
    <xdr:cxnSp macro="">
      <xdr:nvCxnSpPr>
        <xdr:cNvPr id="2" name="Connecteur droit 1"/>
        <xdr:cNvCxnSpPr/>
      </xdr:nvCxnSpPr>
      <xdr:spPr>
        <a:xfrm rot="5400000">
          <a:off x="-126681" y="2033589"/>
          <a:ext cx="5703570" cy="42119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8</xdr:row>
      <xdr:rowOff>0</xdr:rowOff>
    </xdr:from>
    <xdr:to>
      <xdr:col>6</xdr:col>
      <xdr:colOff>0</xdr:colOff>
      <xdr:row>35</xdr:row>
      <xdr:rowOff>171450</xdr:rowOff>
    </xdr:to>
    <xdr:cxnSp macro="">
      <xdr:nvCxnSpPr>
        <xdr:cNvPr id="2" name="Connecteur droit 1"/>
        <xdr:cNvCxnSpPr/>
      </xdr:nvCxnSpPr>
      <xdr:spPr>
        <a:xfrm rot="5400000">
          <a:off x="-14286" y="2309814"/>
          <a:ext cx="5314950" cy="40862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8</xdr:row>
      <xdr:rowOff>0</xdr:rowOff>
    </xdr:from>
    <xdr:to>
      <xdr:col>6</xdr:col>
      <xdr:colOff>0</xdr:colOff>
      <xdr:row>35</xdr:row>
      <xdr:rowOff>171450</xdr:rowOff>
    </xdr:to>
    <xdr:cxnSp macro="">
      <xdr:nvCxnSpPr>
        <xdr:cNvPr id="2" name="Connecteur droit 1"/>
        <xdr:cNvCxnSpPr/>
      </xdr:nvCxnSpPr>
      <xdr:spPr>
        <a:xfrm rot="5400000">
          <a:off x="14289" y="2281239"/>
          <a:ext cx="5314950" cy="380047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9529</xdr:colOff>
      <xdr:row>11</xdr:row>
      <xdr:rowOff>0</xdr:rowOff>
    </xdr:from>
    <xdr:to>
      <xdr:col>5</xdr:col>
      <xdr:colOff>1162050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9" y="2266950"/>
          <a:ext cx="4067171" cy="4743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6</xdr:row>
      <xdr:rowOff>171450</xdr:rowOff>
    </xdr:from>
    <xdr:to>
      <xdr:col>5</xdr:col>
      <xdr:colOff>1143000</xdr:colOff>
      <xdr:row>35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80" y="1485900"/>
          <a:ext cx="4048120" cy="5524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H13" sqref="H13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19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18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H18">
    <sortCondition ref="E7:E18"/>
    <sortCondition ref="D7:D18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20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1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26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23</v>
      </c>
      <c r="E7" s="12">
        <v>44307</v>
      </c>
      <c r="F7" s="20" t="s">
        <v>24</v>
      </c>
      <c r="G7" s="16">
        <v>1</v>
      </c>
      <c r="H7" s="24" t="s">
        <v>25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B7" sqref="B7:H7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3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5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43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8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28</v>
      </c>
      <c r="E7" s="12">
        <v>44318</v>
      </c>
      <c r="F7" s="20" t="s">
        <v>32</v>
      </c>
      <c r="G7" s="16">
        <v>1</v>
      </c>
      <c r="H7" s="24" t="s">
        <v>27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21</v>
      </c>
      <c r="C8" s="13" t="s">
        <v>22</v>
      </c>
      <c r="D8" s="22" t="s">
        <v>29</v>
      </c>
      <c r="E8" s="12">
        <v>44318</v>
      </c>
      <c r="F8" s="20" t="s">
        <v>32</v>
      </c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21</v>
      </c>
      <c r="C9" s="13" t="s">
        <v>22</v>
      </c>
      <c r="D9" s="22" t="s">
        <v>30</v>
      </c>
      <c r="E9" s="12">
        <v>44318</v>
      </c>
      <c r="F9" s="20" t="s">
        <v>32</v>
      </c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21</v>
      </c>
      <c r="C10" s="13" t="s">
        <v>22</v>
      </c>
      <c r="D10" s="22" t="s">
        <v>31</v>
      </c>
      <c r="E10" s="12">
        <v>44318</v>
      </c>
      <c r="F10" s="20" t="s">
        <v>32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33</v>
      </c>
      <c r="C11" s="13" t="s">
        <v>22</v>
      </c>
      <c r="D11" s="22" t="s">
        <v>34</v>
      </c>
      <c r="E11" s="12">
        <v>44322</v>
      </c>
      <c r="F11" s="20" t="s">
        <v>35</v>
      </c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36</v>
      </c>
      <c r="C12" s="13" t="s">
        <v>22</v>
      </c>
      <c r="D12" s="22" t="s">
        <v>37</v>
      </c>
      <c r="E12" s="12">
        <v>44322</v>
      </c>
      <c r="F12" s="20" t="s">
        <v>35</v>
      </c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38</v>
      </c>
      <c r="C13" s="13">
        <v>30</v>
      </c>
      <c r="D13" s="22" t="s">
        <v>39</v>
      </c>
      <c r="E13" s="12">
        <v>44322</v>
      </c>
      <c r="F13" s="20" t="s">
        <v>35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21</v>
      </c>
      <c r="C14" s="13" t="s">
        <v>22</v>
      </c>
      <c r="D14" s="22" t="s">
        <v>40</v>
      </c>
      <c r="E14" s="12">
        <v>44326</v>
      </c>
      <c r="F14" s="20" t="s">
        <v>41</v>
      </c>
      <c r="G14" s="16">
        <v>1</v>
      </c>
      <c r="H14" s="26" t="s">
        <v>42</v>
      </c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2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44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45</v>
      </c>
      <c r="E7" s="12">
        <v>44355</v>
      </c>
      <c r="F7" s="20" t="s">
        <v>46</v>
      </c>
      <c r="G7" s="16">
        <v>1</v>
      </c>
      <c r="H7" s="24" t="s">
        <v>47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21</v>
      </c>
      <c r="C8" s="13" t="s">
        <v>22</v>
      </c>
      <c r="D8" s="22" t="s">
        <v>48</v>
      </c>
      <c r="E8" s="12">
        <v>44361</v>
      </c>
      <c r="F8" s="20" t="s">
        <v>49</v>
      </c>
      <c r="G8" s="16">
        <v>1</v>
      </c>
      <c r="H8" s="24" t="s">
        <v>50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B11" sqref="B1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4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51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4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52</v>
      </c>
      <c r="E7" s="12">
        <v>44388</v>
      </c>
      <c r="F7" s="20" t="s">
        <v>53</v>
      </c>
      <c r="G7" s="16">
        <v>1</v>
      </c>
      <c r="H7" s="24" t="s">
        <v>54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21</v>
      </c>
      <c r="C8" s="13" t="s">
        <v>22</v>
      </c>
      <c r="D8" s="22" t="s">
        <v>57</v>
      </c>
      <c r="E8" s="12">
        <v>44391</v>
      </c>
      <c r="F8" s="20" t="s">
        <v>55</v>
      </c>
      <c r="G8" s="16">
        <v>1</v>
      </c>
      <c r="H8" s="24" t="s">
        <v>56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21</v>
      </c>
      <c r="C9" s="13" t="s">
        <v>22</v>
      </c>
      <c r="D9" s="22" t="s">
        <v>58</v>
      </c>
      <c r="E9" s="12">
        <v>44403</v>
      </c>
      <c r="F9" s="20" t="s">
        <v>59</v>
      </c>
      <c r="G9" s="16">
        <v>1</v>
      </c>
      <c r="H9" s="27" t="s">
        <v>60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21</v>
      </c>
      <c r="C10" s="13" t="s">
        <v>61</v>
      </c>
      <c r="D10" s="22" t="s">
        <v>62</v>
      </c>
      <c r="E10" s="12">
        <v>44404</v>
      </c>
      <c r="F10" s="20" t="s">
        <v>63</v>
      </c>
      <c r="G10" s="16">
        <v>1</v>
      </c>
      <c r="H10" s="24" t="s">
        <v>64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E9" sqref="E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65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0"/>
      <c r="G7" s="16">
        <v>1</v>
      </c>
      <c r="H7" s="24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2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3" t="s">
        <v>66</v>
      </c>
      <c r="B5" s="33"/>
      <c r="C5" s="33"/>
      <c r="D5" s="33"/>
      <c r="E5" s="33"/>
      <c r="F5" s="33"/>
      <c r="G5" s="18"/>
      <c r="H5" s="18"/>
      <c r="I5" s="31" t="s">
        <v>9</v>
      </c>
      <c r="J5" s="32"/>
      <c r="K5" s="19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67</v>
      </c>
      <c r="E7" s="12">
        <v>44461</v>
      </c>
      <c r="F7" s="20" t="s">
        <v>32</v>
      </c>
      <c r="G7" s="16">
        <v>1</v>
      </c>
      <c r="H7" s="24" t="s">
        <v>27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21</v>
      </c>
      <c r="C8" s="13" t="s">
        <v>22</v>
      </c>
      <c r="D8" s="22" t="s">
        <v>68</v>
      </c>
      <c r="E8" s="12">
        <v>44461</v>
      </c>
      <c r="F8" s="20" t="s">
        <v>32</v>
      </c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5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I10" sqref="I10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2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6" t="s">
        <v>75</v>
      </c>
      <c r="B5" s="36"/>
      <c r="C5" s="36"/>
      <c r="D5" s="36"/>
      <c r="E5" s="36"/>
      <c r="F5" s="36"/>
      <c r="G5" s="29"/>
      <c r="H5" s="29"/>
      <c r="I5" s="31" t="s">
        <v>9</v>
      </c>
      <c r="J5" s="32"/>
      <c r="K5" s="28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74</v>
      </c>
      <c r="E7" s="12">
        <v>44482</v>
      </c>
      <c r="F7" s="20" t="s">
        <v>73</v>
      </c>
      <c r="G7" s="16">
        <v>1</v>
      </c>
      <c r="H7" s="24" t="s">
        <v>72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21</v>
      </c>
      <c r="C8" s="13" t="s">
        <v>22</v>
      </c>
      <c r="D8" s="22" t="s">
        <v>71</v>
      </c>
      <c r="E8" s="12">
        <v>44500</v>
      </c>
      <c r="F8" s="20" t="s">
        <v>70</v>
      </c>
      <c r="G8" s="16">
        <v>1</v>
      </c>
      <c r="H8" s="24" t="s">
        <v>69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5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6" t="s">
        <v>76</v>
      </c>
      <c r="B5" s="36"/>
      <c r="C5" s="36"/>
      <c r="D5" s="36"/>
      <c r="E5" s="36"/>
      <c r="F5" s="36"/>
      <c r="G5" s="29"/>
      <c r="H5" s="29"/>
      <c r="I5" s="31" t="s">
        <v>9</v>
      </c>
      <c r="J5" s="32"/>
      <c r="K5" s="28">
        <f>SUM(K2:K4)</f>
        <v>5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77</v>
      </c>
      <c r="E7" s="12">
        <v>44503</v>
      </c>
      <c r="F7" s="20" t="s">
        <v>78</v>
      </c>
      <c r="G7" s="16">
        <v>1</v>
      </c>
      <c r="H7" s="24" t="s">
        <v>79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21</v>
      </c>
      <c r="C8" s="13" t="s">
        <v>22</v>
      </c>
      <c r="D8" s="22" t="s">
        <v>80</v>
      </c>
      <c r="E8" s="12">
        <v>44503</v>
      </c>
      <c r="F8" s="20" t="s">
        <v>81</v>
      </c>
      <c r="G8" s="16">
        <v>1</v>
      </c>
      <c r="H8" s="24" t="s">
        <v>82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21</v>
      </c>
      <c r="C9" s="13" t="s">
        <v>22</v>
      </c>
      <c r="D9" s="22" t="s">
        <v>83</v>
      </c>
      <c r="E9" s="12">
        <v>44503</v>
      </c>
      <c r="F9" s="20" t="s">
        <v>84</v>
      </c>
      <c r="G9" s="16">
        <v>1</v>
      </c>
      <c r="H9" s="27" t="s">
        <v>85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21</v>
      </c>
      <c r="C10" s="13" t="s">
        <v>22</v>
      </c>
      <c r="D10" s="22" t="s">
        <v>86</v>
      </c>
      <c r="E10" s="12">
        <v>44510</v>
      </c>
      <c r="F10" s="20" t="s">
        <v>88</v>
      </c>
      <c r="G10" s="16">
        <v>1</v>
      </c>
      <c r="H10" s="24" t="s">
        <v>89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21</v>
      </c>
      <c r="C11" s="13" t="s">
        <v>22</v>
      </c>
      <c r="D11" s="22" t="s">
        <v>87</v>
      </c>
      <c r="E11" s="12">
        <v>44510</v>
      </c>
      <c r="F11" s="20" t="s">
        <v>90</v>
      </c>
      <c r="G11" s="16">
        <v>1</v>
      </c>
      <c r="H11" s="27" t="s">
        <v>91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E9" sqref="E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7">
        <f>SUMIF(F7:F36,"Elimination*",G7:G36)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7">
        <f>SUMIF(F7:F36,"NB*",G7:G36)</f>
        <v>1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7">
        <f>SUMIF(F7:F36,"Ve*",G7:G36)</f>
        <v>0</v>
      </c>
    </row>
    <row r="5" spans="1:11" ht="15.75" x14ac:dyDescent="0.25">
      <c r="A5" s="36" t="s">
        <v>92</v>
      </c>
      <c r="B5" s="36"/>
      <c r="C5" s="36"/>
      <c r="D5" s="36"/>
      <c r="E5" s="36"/>
      <c r="F5" s="36"/>
      <c r="G5" s="29"/>
      <c r="H5" s="29"/>
      <c r="I5" s="31" t="s">
        <v>9</v>
      </c>
      <c r="J5" s="32"/>
      <c r="K5" s="28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22" t="s">
        <v>93</v>
      </c>
      <c r="E7" s="12">
        <v>44553</v>
      </c>
      <c r="F7" s="20" t="s">
        <v>94</v>
      </c>
      <c r="G7" s="16">
        <v>1</v>
      </c>
      <c r="H7" s="24" t="s">
        <v>95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0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0"/>
      <c r="G9" s="16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0"/>
      <c r="G11" s="16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0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0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0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0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0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6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2021</vt:lpstr>
      <vt:lpstr>FEVRIER 2021</vt:lpstr>
      <vt:lpstr>MARS 2021</vt:lpstr>
      <vt:lpstr>AVRIL 2021</vt:lpstr>
      <vt:lpstr>MAI 2021</vt:lpstr>
      <vt:lpstr>JUIN 2021</vt:lpstr>
      <vt:lpstr>JUILLET 2021</vt:lpstr>
      <vt:lpstr>AOUT 2021</vt:lpstr>
      <vt:lpstr>SEPTEMBRE 2021</vt:lpstr>
      <vt:lpstr>OCTOBRE 2021</vt:lpstr>
      <vt:lpstr>NOVEMBRE 2021</vt:lpstr>
      <vt:lpstr>DECEMBRE 2021</vt:lpstr>
      <vt:lpstr>'AOUT 2021'!Impression_des_titres</vt:lpstr>
      <vt:lpstr>'AVRIL 2021'!Impression_des_titres</vt:lpstr>
      <vt:lpstr>'DECEMBRE 2021'!Impression_des_titres</vt:lpstr>
      <vt:lpstr>'FEVRIER 2021'!Impression_des_titres</vt:lpstr>
      <vt:lpstr>'JANVIER 2021'!Impression_des_titres</vt:lpstr>
      <vt:lpstr>'JUILLET 2021'!Impression_des_titres</vt:lpstr>
      <vt:lpstr>'JUIN 2021'!Impression_des_titres</vt:lpstr>
      <vt:lpstr>'MAI 2021'!Impression_des_titres</vt:lpstr>
      <vt:lpstr>'MARS 2021'!Impression_des_titres</vt:lpstr>
      <vt:lpstr>'NOVEMBRE 2021'!Impression_des_titres</vt:lpstr>
      <vt:lpstr>'OCTOBRE 2021'!Impression_des_titres</vt:lpstr>
      <vt:lpstr>'SEPTEMBRE 2021'!Impression_des_titres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2021-12-01T09:53:16Z</cp:lastPrinted>
  <dcterms:created xsi:type="dcterms:W3CDTF">2014-12-31T15:00:30Z</dcterms:created>
  <dcterms:modified xsi:type="dcterms:W3CDTF">2021-12-27T12:15:59Z</dcterms:modified>
</cp:coreProperties>
</file>