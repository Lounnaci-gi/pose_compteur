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Seghouane\"/>
    </mc:Choice>
  </mc:AlternateContent>
  <bookViews>
    <workbookView xWindow="315" yWindow="195" windowWidth="6900" windowHeight="2025" firstSheet="7" activeTab="11"/>
  </bookViews>
  <sheets>
    <sheet name="JANVIER 2021" sheetId="12" r:id="rId1"/>
    <sheet name="FEVRIER 2021" sheetId="13" r:id="rId2"/>
    <sheet name="MARS 2021" sheetId="14" r:id="rId3"/>
    <sheet name="AVRIL 2021" sheetId="15" r:id="rId4"/>
    <sheet name="MAI 2021" sheetId="16" r:id="rId5"/>
    <sheet name="JUIN 2021" sheetId="17" r:id="rId6"/>
    <sheet name="JUILLET 2021" sheetId="18" r:id="rId7"/>
    <sheet name="AOUT 2021" sheetId="19" r:id="rId8"/>
    <sheet name="SEPTEMBRE 2021" sheetId="20" r:id="rId9"/>
    <sheet name="OCTOBRE 2021" sheetId="21" r:id="rId10"/>
    <sheet name="NOVEMBRE 2021" sheetId="22" r:id="rId11"/>
    <sheet name="DECEMBRE 2021" sheetId="23" r:id="rId12"/>
  </sheets>
  <definedNames>
    <definedName name="_xlnm.Print_Titles" localSheetId="7">'AOUT 2021'!$1:$6</definedName>
    <definedName name="_xlnm.Print_Titles" localSheetId="3">'AVRIL 2021'!$1:$6</definedName>
    <definedName name="_xlnm.Print_Titles" localSheetId="11">'DECEMBRE 2021'!$1:$6</definedName>
    <definedName name="_xlnm.Print_Titles" localSheetId="1">'FEVRIER 2021'!$1:$6</definedName>
    <definedName name="_xlnm.Print_Titles" localSheetId="0">'JANVIER 2021'!$1:$6</definedName>
    <definedName name="_xlnm.Print_Titles" localSheetId="6">'JUILLET 2021'!$1:$6</definedName>
    <definedName name="_xlnm.Print_Titles" localSheetId="5">'JUIN 2021'!$1:$6</definedName>
    <definedName name="_xlnm.Print_Titles" localSheetId="4">'MAI 2021'!$1:$6</definedName>
    <definedName name="_xlnm.Print_Titles" localSheetId="2">'MARS 2021'!$1:$6</definedName>
    <definedName name="_xlnm.Print_Titles" localSheetId="10">'NOVEMBRE 2021'!$1:$6</definedName>
    <definedName name="_xlnm.Print_Titles" localSheetId="9">'OCTOBRE 2021'!$1:$6</definedName>
    <definedName name="_xlnm.Print_Titles" localSheetId="8">'SEPTEMBRE 2021'!$1:$6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8" i="23"/>
  <c r="K4" i="23"/>
  <c r="K3" i="23"/>
  <c r="K2" i="23"/>
  <c r="K5" i="23" l="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8" i="22"/>
  <c r="K4" i="22"/>
  <c r="K3" i="22"/>
  <c r="K2" i="22"/>
  <c r="K5" i="22" l="1"/>
  <c r="K2" i="21"/>
  <c r="K5" i="21" s="1"/>
  <c r="K3" i="21"/>
  <c r="K4" i="2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K4" i="20"/>
  <c r="K3" i="20"/>
  <c r="K2" i="20"/>
  <c r="K5" i="20" s="1"/>
  <c r="A9" i="19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8" i="19"/>
  <c r="K4" i="19"/>
  <c r="K3" i="19"/>
  <c r="K2" i="19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8" i="18"/>
  <c r="K4" i="18"/>
  <c r="K3" i="18"/>
  <c r="K2" i="18"/>
  <c r="K5" i="19" l="1"/>
  <c r="K5" i="18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K4" i="17"/>
  <c r="K3" i="17"/>
  <c r="K2" i="17"/>
  <c r="K5" i="17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K4" i="16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K4" i="12"/>
  <c r="K3" i="12"/>
  <c r="K2" i="12"/>
  <c r="K5" i="12" l="1"/>
</calcChain>
</file>

<file path=xl/sharedStrings.xml><?xml version="1.0" encoding="utf-8"?>
<sst xmlns="http://schemas.openxmlformats.org/spreadsheetml/2006/main" count="408" uniqueCount="133">
  <si>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</si>
  <si>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</si>
  <si>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</si>
  <si>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</si>
  <si>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</si>
  <si>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</si>
  <si>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</si>
  <si>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</si>
  <si>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</si>
  <si>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</si>
  <si>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</si>
  <si>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</si>
  <si>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</si>
  <si>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</si>
  <si>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</si>
  <si>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</si>
  <si>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Anetnne Seghouane</t>
  </si>
  <si>
    <t>CC</t>
  </si>
  <si>
    <t>Mois de FEVRIER 2021</t>
  </si>
  <si>
    <t>Mois de JANVIER 2021</t>
  </si>
  <si>
    <t>Mois de MARS 2021</t>
  </si>
  <si>
    <t>Mois de AVRIL 2021</t>
  </si>
  <si>
    <t>HA</t>
  </si>
  <si>
    <t>15/21</t>
  </si>
  <si>
    <t>2021064535</t>
  </si>
  <si>
    <t>2021064534</t>
  </si>
  <si>
    <t>Bouchenafa lyes</t>
  </si>
  <si>
    <t>Touhami ismail</t>
  </si>
  <si>
    <t>2021064965</t>
  </si>
  <si>
    <t>NB(065/2021)</t>
  </si>
  <si>
    <t>Djerdjour khaled</t>
  </si>
  <si>
    <t>NB(304/2020)</t>
  </si>
  <si>
    <t>NB(030/2021)</t>
  </si>
  <si>
    <t>H20016</t>
  </si>
  <si>
    <t>2021064937</t>
  </si>
  <si>
    <t>Mois de MAI 2021</t>
  </si>
  <si>
    <t>Elimination Forfait</t>
  </si>
  <si>
    <t>H20005</t>
  </si>
  <si>
    <t>H20015</t>
  </si>
  <si>
    <t>14855072</t>
  </si>
  <si>
    <t>2021064932</t>
  </si>
  <si>
    <t>NB (N°313/2019)</t>
  </si>
  <si>
    <t>Semicha belkacem</t>
  </si>
  <si>
    <t>14855070</t>
  </si>
  <si>
    <t>2021064933</t>
  </si>
  <si>
    <t>2021064935</t>
  </si>
  <si>
    <t>NB (N°192/2020)</t>
  </si>
  <si>
    <t>Bouchenafa med samir</t>
  </si>
  <si>
    <t>NB (N°171/2020)</t>
  </si>
  <si>
    <t>Alik youcef</t>
  </si>
  <si>
    <t>Mois de JUIN 2021</t>
  </si>
  <si>
    <t>2021064518</t>
  </si>
  <si>
    <t>NB(N°017/2021)</t>
  </si>
  <si>
    <t>Alik bengarma</t>
  </si>
  <si>
    <t>2021064802</t>
  </si>
  <si>
    <t>NB(N°027/2019)</t>
  </si>
  <si>
    <t>Aouad abdelkader</t>
  </si>
  <si>
    <t>Mois de JUILLET 2021</t>
  </si>
  <si>
    <t>Mois de AOUT 2021</t>
  </si>
  <si>
    <t>113390</t>
  </si>
  <si>
    <t>113389</t>
  </si>
  <si>
    <t>113600</t>
  </si>
  <si>
    <t>113591</t>
  </si>
  <si>
    <t>NB(N°054/2021)</t>
  </si>
  <si>
    <t>Djerdjour rabah</t>
  </si>
  <si>
    <t>NB(N°143/2020)</t>
  </si>
  <si>
    <t>Danane mhamed</t>
  </si>
  <si>
    <t>NB(N°284/2019)</t>
  </si>
  <si>
    <t>Bessadouk cherif</t>
  </si>
  <si>
    <t>NB(N°111/2021)</t>
  </si>
  <si>
    <t>Mennad billel</t>
  </si>
  <si>
    <t>Mois de SEPTEMBRE 2021</t>
  </si>
  <si>
    <t>Mesdoura djillali</t>
  </si>
  <si>
    <t>NB(N°092/2021)</t>
  </si>
  <si>
    <t>2021165793</t>
  </si>
  <si>
    <t>Abidi djamel</t>
  </si>
  <si>
    <t>NB(N°263/2019)</t>
  </si>
  <si>
    <t>2021165800</t>
  </si>
  <si>
    <t>Abdelghani hmaida</t>
  </si>
  <si>
    <t>NB(N°257/2019)</t>
  </si>
  <si>
    <t>2021165799</t>
  </si>
  <si>
    <t>Belkheir Belkheir</t>
  </si>
  <si>
    <t>NB(N°155/2020)</t>
  </si>
  <si>
    <t>2021165797</t>
  </si>
  <si>
    <t>Houti kamel</t>
  </si>
  <si>
    <t>NB(N°273/2020)</t>
  </si>
  <si>
    <t>2021165792</t>
  </si>
  <si>
    <t>Mois de OCTOBRE 2021</t>
  </si>
  <si>
    <t>Mois de NOVEMBRE 2021</t>
  </si>
  <si>
    <t>2021165701</t>
  </si>
  <si>
    <t>2021165702</t>
  </si>
  <si>
    <t>2021165703</t>
  </si>
  <si>
    <t>2021165704</t>
  </si>
  <si>
    <t>2021165705</t>
  </si>
  <si>
    <t>NB(N°116/2021)</t>
  </si>
  <si>
    <t>Logts Fonc cem chergui</t>
  </si>
  <si>
    <t>2021165708</t>
  </si>
  <si>
    <t>2021165709</t>
  </si>
  <si>
    <t>NB(N°179/2021)</t>
  </si>
  <si>
    <t>Hosni azeddine</t>
  </si>
  <si>
    <t>NB(N°098/2021)</t>
  </si>
  <si>
    <t>Zitouni fatma</t>
  </si>
  <si>
    <t>2021165796</t>
  </si>
  <si>
    <t>NB(N°298/2021)</t>
  </si>
  <si>
    <t>Ould ali aek</t>
  </si>
  <si>
    <t>messaoudene bachir</t>
  </si>
  <si>
    <t>2021165706</t>
  </si>
  <si>
    <t>tandjaoui hadda</t>
  </si>
  <si>
    <t>2021165794</t>
  </si>
  <si>
    <t>Ouzri abdeslam</t>
  </si>
  <si>
    <t>2021165795</t>
  </si>
  <si>
    <t>Menad abdenour</t>
  </si>
  <si>
    <t>2021165707</t>
  </si>
  <si>
    <t>2021165908</t>
  </si>
  <si>
    <t>Dilmi dalila ep toumi</t>
  </si>
  <si>
    <t>NB(N°020/2021)</t>
  </si>
  <si>
    <t>NB(N°198/2021)</t>
  </si>
  <si>
    <t>NB(N°115/2021)</t>
  </si>
  <si>
    <t>NB(N°130/2021)</t>
  </si>
  <si>
    <t>NB(N°272/2021)</t>
  </si>
  <si>
    <t>2021165798</t>
  </si>
  <si>
    <t>Sahi med el amine</t>
  </si>
  <si>
    <t>NB(N°218/2021)</t>
  </si>
  <si>
    <t>Mois de DECEMBRE 2021</t>
  </si>
  <si>
    <t>2021165093</t>
  </si>
  <si>
    <t>NB(N°258/2021)</t>
  </si>
  <si>
    <t>Riane med b/menad</t>
  </si>
  <si>
    <t>2021165094</t>
  </si>
  <si>
    <t>Hireche khelil</t>
  </si>
  <si>
    <t>NB(N°095/2021)</t>
  </si>
  <si>
    <t>2021165095</t>
  </si>
  <si>
    <t>NB(N°137/2021)</t>
  </si>
  <si>
    <t>Chergui hamza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</si>
</sst>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0" fillId="0" borderId="1" xfId="0" applyBorder="1"/>
    <xf numFmtId="0" fontId="10" fillId="2" borderId="1" xfId="4" applyFont="1" applyFill="1" applyBorder="1" applyAlignment="1">
      <alignment horizontal="center" vertical="center"/>
    </xf>
    <xf numFmtId="0" fontId="1" fillId="0" borderId="0" xfId="4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3" xfId="4" applyFont="1" applyBorder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8</xdr:row>
      <xdr:rowOff>47625</xdr:rowOff>
    </xdr:from>
    <xdr:to>
      <xdr:col>5</xdr:col>
      <xdr:colOff>1304925</xdr:colOff>
      <xdr:row>38</xdr:row>
      <xdr:rowOff>9525</xdr:rowOff>
    </xdr:to>
    <xdr:cxnSp macro="">
      <xdr:nvCxnSpPr>
        <xdr:cNvPr id="4" name="Connecteur droit 3"/>
        <xdr:cNvCxnSpPr/>
      </xdr:nvCxnSpPr>
      <xdr:spPr>
        <a:xfrm flipH="1">
          <a:off x="581025" y="1743075"/>
          <a:ext cx="4562475" cy="5676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23</xdr:row>
      <xdr:rowOff>171450</xdr:rowOff>
    </xdr:from>
    <xdr:to>
      <xdr:col>7</xdr:col>
      <xdr:colOff>28575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4724400"/>
          <a:ext cx="4600573" cy="2695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581029</xdr:colOff>
      <xdr:row>6</xdr:row>
      <xdr:rowOff>0</xdr:rowOff>
    </xdr:from>
    <xdr:to>
      <xdr:col>5</xdr:col>
      <xdr:colOff>1295400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9" y="1314450"/>
          <a:ext cx="4552946" cy="6105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8</xdr:row>
      <xdr:rowOff>152400</xdr:rowOff>
    </xdr:from>
    <xdr:to>
      <xdr:col>6</xdr:col>
      <xdr:colOff>1</xdr:colOff>
      <xdr:row>37</xdr:row>
      <xdr:rowOff>161925</xdr:rowOff>
    </xdr:to>
    <xdr:cxnSp macro="">
      <xdr:nvCxnSpPr>
        <xdr:cNvPr id="3" name="Connecteur droit 2"/>
        <xdr:cNvCxnSpPr/>
      </xdr:nvCxnSpPr>
      <xdr:spPr>
        <a:xfrm flipH="1">
          <a:off x="609600" y="1847850"/>
          <a:ext cx="4543426" cy="5534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19052</xdr:colOff>
      <xdr:row>11</xdr:row>
      <xdr:rowOff>180975</xdr:rowOff>
    </xdr:from>
    <xdr:to>
      <xdr:col>7</xdr:col>
      <xdr:colOff>38100</xdr:colOff>
      <xdr:row>37</xdr:row>
      <xdr:rowOff>161925</xdr:rowOff>
    </xdr:to>
    <xdr:cxnSp macro="">
      <xdr:nvCxnSpPr>
        <xdr:cNvPr id="3" name="Connecteur droit 2"/>
        <xdr:cNvCxnSpPr/>
      </xdr:nvCxnSpPr>
      <xdr:spPr>
        <a:xfrm flipH="1">
          <a:off x="609602" y="2447925"/>
          <a:ext cx="4581523" cy="4933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19054</xdr:colOff>
      <xdr:row>8</xdr:row>
      <xdr:rowOff>47625</xdr:rowOff>
    </xdr:from>
    <xdr:to>
      <xdr:col>5</xdr:col>
      <xdr:colOff>1304925</xdr:colOff>
      <xdr:row>37</xdr:row>
      <xdr:rowOff>161925</xdr:rowOff>
    </xdr:to>
    <xdr:cxnSp macro="">
      <xdr:nvCxnSpPr>
        <xdr:cNvPr id="3" name="Connecteur droit 2"/>
        <xdr:cNvCxnSpPr/>
      </xdr:nvCxnSpPr>
      <xdr:spPr>
        <a:xfrm flipH="1">
          <a:off x="609604" y="1743075"/>
          <a:ext cx="4533896" cy="5638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19130" y="6429375"/>
          <a:ext cx="469391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19056</xdr:colOff>
      <xdr:row>6</xdr:row>
      <xdr:rowOff>22860</xdr:rowOff>
    </xdr:from>
    <xdr:to>
      <xdr:col>6</xdr:col>
      <xdr:colOff>1</xdr:colOff>
      <xdr:row>37</xdr:row>
      <xdr:rowOff>161925</xdr:rowOff>
    </xdr:to>
    <xdr:cxnSp macro="">
      <xdr:nvCxnSpPr>
        <xdr:cNvPr id="3" name="Connecteur droit 2"/>
        <xdr:cNvCxnSpPr/>
      </xdr:nvCxnSpPr>
      <xdr:spPr>
        <a:xfrm rot="5400000">
          <a:off x="-40954" y="1987870"/>
          <a:ext cx="6014085" cy="46748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19130" y="6429375"/>
          <a:ext cx="469391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19056</xdr:colOff>
      <xdr:row>10</xdr:row>
      <xdr:rowOff>0</xdr:rowOff>
    </xdr:from>
    <xdr:to>
      <xdr:col>5</xdr:col>
      <xdr:colOff>1325880</xdr:colOff>
      <xdr:row>37</xdr:row>
      <xdr:rowOff>161924</xdr:rowOff>
    </xdr:to>
    <xdr:cxnSp macro="">
      <xdr:nvCxnSpPr>
        <xdr:cNvPr id="3" name="Connecteur droit 2"/>
        <xdr:cNvCxnSpPr/>
      </xdr:nvCxnSpPr>
      <xdr:spPr>
        <a:xfrm rot="5400000">
          <a:off x="317186" y="2368870"/>
          <a:ext cx="5274944" cy="465200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19057</xdr:colOff>
      <xdr:row>6</xdr:row>
      <xdr:rowOff>9525</xdr:rowOff>
    </xdr:from>
    <xdr:to>
      <xdr:col>6</xdr:col>
      <xdr:colOff>1</xdr:colOff>
      <xdr:row>37</xdr:row>
      <xdr:rowOff>161924</xdr:rowOff>
    </xdr:to>
    <xdr:cxnSp macro="">
      <xdr:nvCxnSpPr>
        <xdr:cNvPr id="3" name="Connecteur droit 2"/>
        <xdr:cNvCxnSpPr/>
      </xdr:nvCxnSpPr>
      <xdr:spPr>
        <a:xfrm rot="5400000">
          <a:off x="-147633" y="2081215"/>
          <a:ext cx="6057899" cy="45434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771530" y="6276975"/>
          <a:ext cx="457199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19057</xdr:colOff>
      <xdr:row>11</xdr:row>
      <xdr:rowOff>19050</xdr:rowOff>
    </xdr:from>
    <xdr:to>
      <xdr:col>5</xdr:col>
      <xdr:colOff>1295400</xdr:colOff>
      <xdr:row>37</xdr:row>
      <xdr:rowOff>161924</xdr:rowOff>
    </xdr:to>
    <xdr:cxnSp macro="">
      <xdr:nvCxnSpPr>
        <xdr:cNvPr id="3" name="Connecteur droit 2"/>
        <xdr:cNvCxnSpPr/>
      </xdr:nvCxnSpPr>
      <xdr:spPr>
        <a:xfrm flipH="1">
          <a:off x="781057" y="2114550"/>
          <a:ext cx="3790943" cy="50958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19058</xdr:colOff>
      <xdr:row>18</xdr:row>
      <xdr:rowOff>171450</xdr:rowOff>
    </xdr:from>
    <xdr:to>
      <xdr:col>5</xdr:col>
      <xdr:colOff>1295400</xdr:colOff>
      <xdr:row>37</xdr:row>
      <xdr:rowOff>161924</xdr:rowOff>
    </xdr:to>
    <xdr:cxnSp macro="">
      <xdr:nvCxnSpPr>
        <xdr:cNvPr id="3" name="Connecteur droit 2"/>
        <xdr:cNvCxnSpPr/>
      </xdr:nvCxnSpPr>
      <xdr:spPr>
        <a:xfrm flipH="1">
          <a:off x="609608" y="3771900"/>
          <a:ext cx="4524367" cy="36099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19059</xdr:colOff>
      <xdr:row>10</xdr:row>
      <xdr:rowOff>9525</xdr:rowOff>
    </xdr:from>
    <xdr:to>
      <xdr:col>5</xdr:col>
      <xdr:colOff>1285875</xdr:colOff>
      <xdr:row>37</xdr:row>
      <xdr:rowOff>161924</xdr:rowOff>
    </xdr:to>
    <xdr:cxnSp macro="">
      <xdr:nvCxnSpPr>
        <xdr:cNvPr id="3" name="Connecteur droit 2"/>
        <xdr:cNvCxnSpPr/>
      </xdr:nvCxnSpPr>
      <xdr:spPr>
        <a:xfrm flipH="1">
          <a:off x="609609" y="2085975"/>
          <a:ext cx="4514841" cy="52958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19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4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18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F24">
    <sortCondition ref="E7:E24"/>
    <sortCondition ref="D7:D24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20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3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21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22</v>
      </c>
      <c r="C7" s="10" t="s">
        <v>23</v>
      </c>
      <c r="D7" s="23" t="s">
        <v>25</v>
      </c>
      <c r="E7" s="12">
        <v>44305</v>
      </c>
      <c r="F7" s="24" t="s">
        <v>31</v>
      </c>
      <c r="G7" s="17">
        <v>1</v>
      </c>
      <c r="H7" s="1" t="s">
        <v>26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22</v>
      </c>
      <c r="C8" s="10" t="s">
        <v>23</v>
      </c>
      <c r="D8" s="23" t="s">
        <v>24</v>
      </c>
      <c r="E8" s="12">
        <v>44305</v>
      </c>
      <c r="F8" s="24" t="s">
        <v>32</v>
      </c>
      <c r="G8" s="17">
        <v>1</v>
      </c>
      <c r="H8" s="25" t="s">
        <v>27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22</v>
      </c>
      <c r="C9" s="10" t="s">
        <v>23</v>
      </c>
      <c r="D9" s="23" t="s">
        <v>28</v>
      </c>
      <c r="E9" s="12">
        <v>44313</v>
      </c>
      <c r="F9" s="24" t="s">
        <v>29</v>
      </c>
      <c r="G9" s="17">
        <v>1</v>
      </c>
      <c r="H9" s="25" t="s">
        <v>30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C8" sqref="C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3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3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35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33</v>
      </c>
      <c r="C7" s="10" t="s">
        <v>23</v>
      </c>
      <c r="D7" s="23" t="s">
        <v>34</v>
      </c>
      <c r="E7" s="12">
        <v>44322</v>
      </c>
      <c r="F7" s="21" t="s">
        <v>36</v>
      </c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37</v>
      </c>
      <c r="C8" s="10">
        <v>30</v>
      </c>
      <c r="D8" s="23" t="s">
        <v>43</v>
      </c>
      <c r="E8" s="12">
        <v>44322</v>
      </c>
      <c r="F8" s="21" t="s">
        <v>36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38</v>
      </c>
      <c r="C9" s="10">
        <v>30</v>
      </c>
      <c r="D9" s="23" t="s">
        <v>39</v>
      </c>
      <c r="E9" s="12">
        <v>44322</v>
      </c>
      <c r="F9" s="21" t="s">
        <v>36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22</v>
      </c>
      <c r="C10" s="10" t="s">
        <v>23</v>
      </c>
      <c r="D10" s="23" t="s">
        <v>40</v>
      </c>
      <c r="E10" s="12">
        <v>44328</v>
      </c>
      <c r="F10" s="24" t="s">
        <v>41</v>
      </c>
      <c r="G10" s="17">
        <v>1</v>
      </c>
      <c r="H10" s="25" t="s">
        <v>42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22</v>
      </c>
      <c r="C11" s="10" t="s">
        <v>23</v>
      </c>
      <c r="D11" s="23" t="s">
        <v>44</v>
      </c>
      <c r="E11" s="12">
        <v>44343</v>
      </c>
      <c r="F11" s="24" t="s">
        <v>46</v>
      </c>
      <c r="G11" s="17">
        <v>1</v>
      </c>
      <c r="H11" s="25" t="s">
        <v>47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22</v>
      </c>
      <c r="C12" s="10" t="s">
        <v>23</v>
      </c>
      <c r="D12" s="23" t="s">
        <v>45</v>
      </c>
      <c r="E12" s="12">
        <v>44343</v>
      </c>
      <c r="F12" s="24" t="s">
        <v>48</v>
      </c>
      <c r="G12" s="17">
        <v>1</v>
      </c>
      <c r="H12" s="25" t="s">
        <v>49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2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50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22</v>
      </c>
      <c r="C7" s="10" t="s">
        <v>23</v>
      </c>
      <c r="D7" s="23" t="s">
        <v>51</v>
      </c>
      <c r="E7" s="12">
        <v>44355</v>
      </c>
      <c r="F7" s="21" t="s">
        <v>52</v>
      </c>
      <c r="G7" s="17">
        <v>1</v>
      </c>
      <c r="H7" s="1" t="s">
        <v>53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22</v>
      </c>
      <c r="C8" s="10" t="s">
        <v>23</v>
      </c>
      <c r="D8" s="23" t="s">
        <v>54</v>
      </c>
      <c r="E8" s="12">
        <v>44364</v>
      </c>
      <c r="F8" s="21" t="s">
        <v>55</v>
      </c>
      <c r="G8" s="17">
        <v>1</v>
      </c>
      <c r="H8" s="25" t="s">
        <v>56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57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2" workbookViewId="0">
      <selection activeCell="C11" sqref="C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4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58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22</v>
      </c>
      <c r="C7" s="10" t="s">
        <v>23</v>
      </c>
      <c r="D7" s="23" t="s">
        <v>59</v>
      </c>
      <c r="E7" s="12">
        <v>44419</v>
      </c>
      <c r="F7" s="21" t="s">
        <v>63</v>
      </c>
      <c r="G7" s="17">
        <v>1</v>
      </c>
      <c r="H7" s="1" t="s">
        <v>64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22</v>
      </c>
      <c r="C8" s="10" t="s">
        <v>23</v>
      </c>
      <c r="D8" s="23" t="s">
        <v>60</v>
      </c>
      <c r="E8" s="12">
        <v>44419</v>
      </c>
      <c r="F8" s="21" t="s">
        <v>65</v>
      </c>
      <c r="G8" s="17">
        <v>1</v>
      </c>
      <c r="H8" s="25" t="s">
        <v>66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22</v>
      </c>
      <c r="C9" s="10" t="s">
        <v>23</v>
      </c>
      <c r="D9" s="23" t="s">
        <v>61</v>
      </c>
      <c r="E9" s="12">
        <v>44431</v>
      </c>
      <c r="F9" s="21" t="s">
        <v>67</v>
      </c>
      <c r="G9" s="17">
        <v>1</v>
      </c>
      <c r="H9" s="25" t="s">
        <v>68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22</v>
      </c>
      <c r="C10" s="10" t="s">
        <v>23</v>
      </c>
      <c r="D10" s="23" t="s">
        <v>62</v>
      </c>
      <c r="E10" s="12">
        <v>44431</v>
      </c>
      <c r="F10" s="21" t="s">
        <v>69</v>
      </c>
      <c r="G10" s="17">
        <v>1</v>
      </c>
      <c r="H10" s="25" t="s">
        <v>70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2" workbookViewId="0">
      <selection activeCell="E9" sqref="E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71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2"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5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9" t="s">
        <v>87</v>
      </c>
      <c r="B5" s="39"/>
      <c r="C5" s="39"/>
      <c r="D5" s="39"/>
      <c r="E5" s="39"/>
      <c r="F5" s="39"/>
      <c r="G5" s="32"/>
      <c r="H5" s="32"/>
      <c r="I5" s="34" t="s">
        <v>9</v>
      </c>
      <c r="J5" s="35"/>
      <c r="K5" s="31">
        <f>SUM(K2:K4)</f>
        <v>5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22</v>
      </c>
      <c r="C7" s="10" t="s">
        <v>23</v>
      </c>
      <c r="D7" s="23" t="s">
        <v>86</v>
      </c>
      <c r="E7" s="12">
        <v>44497</v>
      </c>
      <c r="F7" s="21" t="s">
        <v>85</v>
      </c>
      <c r="G7" s="17">
        <v>1</v>
      </c>
      <c r="H7" s="25" t="s">
        <v>84</v>
      </c>
      <c r="I7" s="16"/>
      <c r="J7" s="16"/>
      <c r="K7" s="1"/>
    </row>
    <row r="8" spans="1:11" ht="15" customHeight="1" x14ac:dyDescent="0.25">
      <c r="A8" s="15">
        <f t="shared" ref="A8:A38" si="0">+A7+1</f>
        <v>2</v>
      </c>
      <c r="B8" s="13" t="s">
        <v>22</v>
      </c>
      <c r="C8" s="10" t="s">
        <v>23</v>
      </c>
      <c r="D8" s="23" t="s">
        <v>83</v>
      </c>
      <c r="E8" s="12">
        <v>44497</v>
      </c>
      <c r="F8" s="21" t="s">
        <v>82</v>
      </c>
      <c r="G8" s="17">
        <v>1</v>
      </c>
      <c r="H8" s="25" t="s">
        <v>81</v>
      </c>
      <c r="I8" s="2"/>
      <c r="J8" s="2"/>
      <c r="K8" s="1"/>
    </row>
    <row r="9" spans="1:11" ht="15" customHeight="1" x14ac:dyDescent="0.25">
      <c r="A9" s="15">
        <f t="shared" si="0"/>
        <v>3</v>
      </c>
      <c r="B9" s="13" t="s">
        <v>22</v>
      </c>
      <c r="C9" s="10" t="s">
        <v>23</v>
      </c>
      <c r="D9" s="23" t="s">
        <v>80</v>
      </c>
      <c r="E9" s="12">
        <v>44497</v>
      </c>
      <c r="F9" s="21" t="s">
        <v>79</v>
      </c>
      <c r="G9" s="17">
        <v>1</v>
      </c>
      <c r="H9" s="25" t="s">
        <v>78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22</v>
      </c>
      <c r="C10" s="10" t="s">
        <v>23</v>
      </c>
      <c r="D10" s="23" t="s">
        <v>77</v>
      </c>
      <c r="E10" s="12">
        <v>44497</v>
      </c>
      <c r="F10" s="21" t="s">
        <v>76</v>
      </c>
      <c r="G10" s="17">
        <v>1</v>
      </c>
      <c r="H10" s="1" t="s">
        <v>75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22</v>
      </c>
      <c r="C11" s="10" t="s">
        <v>23</v>
      </c>
      <c r="D11" s="23" t="s">
        <v>74</v>
      </c>
      <c r="E11" s="12">
        <v>44500</v>
      </c>
      <c r="F11" s="21" t="s">
        <v>73</v>
      </c>
      <c r="G11" s="17">
        <v>1</v>
      </c>
      <c r="H11" s="25" t="s">
        <v>72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22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13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9" t="s">
        <v>88</v>
      </c>
      <c r="B5" s="39"/>
      <c r="C5" s="39"/>
      <c r="D5" s="39"/>
      <c r="E5" s="39"/>
      <c r="F5" s="39"/>
      <c r="G5" s="32"/>
      <c r="H5" s="32"/>
      <c r="I5" s="34" t="s">
        <v>9</v>
      </c>
      <c r="J5" s="35"/>
      <c r="K5" s="31">
        <f>SUM(K2:K4)</f>
        <v>13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22</v>
      </c>
      <c r="C7" s="10" t="s">
        <v>23</v>
      </c>
      <c r="D7" s="23" t="s">
        <v>89</v>
      </c>
      <c r="E7" s="12">
        <v>44502</v>
      </c>
      <c r="F7" s="21" t="s">
        <v>94</v>
      </c>
      <c r="G7" s="17">
        <v>1</v>
      </c>
      <c r="H7" s="25" t="s">
        <v>95</v>
      </c>
      <c r="I7" s="16"/>
      <c r="J7" s="16"/>
      <c r="K7" s="1"/>
    </row>
    <row r="8" spans="1:11" ht="15" customHeight="1" x14ac:dyDescent="0.25">
      <c r="A8" s="15">
        <f t="shared" ref="A8:A38" si="0">+A7+1</f>
        <v>2</v>
      </c>
      <c r="B8" s="13" t="s">
        <v>22</v>
      </c>
      <c r="C8" s="10" t="s">
        <v>23</v>
      </c>
      <c r="D8" s="23" t="s">
        <v>90</v>
      </c>
      <c r="E8" s="12">
        <v>44502</v>
      </c>
      <c r="F8" s="21" t="s">
        <v>94</v>
      </c>
      <c r="G8" s="17">
        <v>1</v>
      </c>
      <c r="H8" s="25" t="s">
        <v>95</v>
      </c>
      <c r="I8" s="2"/>
      <c r="J8" s="2"/>
      <c r="K8" s="1"/>
    </row>
    <row r="9" spans="1:11" ht="15" customHeight="1" x14ac:dyDescent="0.25">
      <c r="A9" s="15">
        <f t="shared" si="0"/>
        <v>3</v>
      </c>
      <c r="B9" s="13" t="s">
        <v>22</v>
      </c>
      <c r="C9" s="10" t="s">
        <v>23</v>
      </c>
      <c r="D9" s="23" t="s">
        <v>91</v>
      </c>
      <c r="E9" s="12">
        <v>44502</v>
      </c>
      <c r="F9" s="21" t="s">
        <v>94</v>
      </c>
      <c r="G9" s="17">
        <v>1</v>
      </c>
      <c r="H9" s="25" t="s">
        <v>95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22</v>
      </c>
      <c r="C10" s="10" t="s">
        <v>23</v>
      </c>
      <c r="D10" s="23" t="s">
        <v>92</v>
      </c>
      <c r="E10" s="12">
        <v>44502</v>
      </c>
      <c r="F10" s="21" t="s">
        <v>94</v>
      </c>
      <c r="G10" s="17">
        <v>1</v>
      </c>
      <c r="H10" s="25" t="s">
        <v>95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22</v>
      </c>
      <c r="C11" s="10" t="s">
        <v>23</v>
      </c>
      <c r="D11" s="23" t="s">
        <v>93</v>
      </c>
      <c r="E11" s="12">
        <v>44502</v>
      </c>
      <c r="F11" s="21" t="s">
        <v>94</v>
      </c>
      <c r="G11" s="17">
        <v>1</v>
      </c>
      <c r="H11" s="25" t="s">
        <v>95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22</v>
      </c>
      <c r="C12" s="10" t="s">
        <v>23</v>
      </c>
      <c r="D12" s="23" t="s">
        <v>96</v>
      </c>
      <c r="E12" s="12">
        <v>44503</v>
      </c>
      <c r="F12" s="21" t="s">
        <v>98</v>
      </c>
      <c r="G12" s="17">
        <v>1</v>
      </c>
      <c r="H12" s="25" t="s">
        <v>99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22</v>
      </c>
      <c r="C13" s="10" t="s">
        <v>23</v>
      </c>
      <c r="D13" s="23" t="s">
        <v>97</v>
      </c>
      <c r="E13" s="12">
        <v>44503</v>
      </c>
      <c r="F13" s="21" t="s">
        <v>100</v>
      </c>
      <c r="G13" s="17">
        <v>1</v>
      </c>
      <c r="H13" s="28" t="s">
        <v>101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22</v>
      </c>
      <c r="C14" s="10" t="s">
        <v>23</v>
      </c>
      <c r="D14" s="23" t="s">
        <v>102</v>
      </c>
      <c r="E14" s="12">
        <v>44510</v>
      </c>
      <c r="F14" s="21" t="s">
        <v>103</v>
      </c>
      <c r="G14" s="17">
        <v>1</v>
      </c>
      <c r="H14" s="28" t="s">
        <v>104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22</v>
      </c>
      <c r="C15" s="10" t="s">
        <v>23</v>
      </c>
      <c r="D15" s="23" t="s">
        <v>106</v>
      </c>
      <c r="E15" s="12">
        <v>44528</v>
      </c>
      <c r="F15" s="21" t="s">
        <v>115</v>
      </c>
      <c r="G15" s="17">
        <v>1</v>
      </c>
      <c r="H15" s="28" t="s">
        <v>105</v>
      </c>
      <c r="I15" s="2"/>
      <c r="J15" s="2"/>
    </row>
    <row r="16" spans="1:11" ht="15" customHeight="1" x14ac:dyDescent="0.25">
      <c r="A16" s="15">
        <f t="shared" si="0"/>
        <v>10</v>
      </c>
      <c r="B16" s="12" t="s">
        <v>22</v>
      </c>
      <c r="C16" s="10" t="s">
        <v>23</v>
      </c>
      <c r="D16" s="23" t="s">
        <v>108</v>
      </c>
      <c r="E16" s="12">
        <v>44528</v>
      </c>
      <c r="F16" s="21" t="s">
        <v>116</v>
      </c>
      <c r="G16" s="17">
        <v>1</v>
      </c>
      <c r="H16" s="28" t="s">
        <v>107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22</v>
      </c>
      <c r="C17" s="10" t="s">
        <v>23</v>
      </c>
      <c r="D17" s="23" t="s">
        <v>110</v>
      </c>
      <c r="E17" s="12">
        <v>44528</v>
      </c>
      <c r="F17" s="21" t="s">
        <v>117</v>
      </c>
      <c r="G17" s="17">
        <v>1</v>
      </c>
      <c r="H17" s="28" t="s">
        <v>109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22</v>
      </c>
      <c r="C18" s="10" t="s">
        <v>23</v>
      </c>
      <c r="D18" s="23" t="s">
        <v>112</v>
      </c>
      <c r="E18" s="12">
        <v>44528</v>
      </c>
      <c r="F18" s="21" t="s">
        <v>118</v>
      </c>
      <c r="G18" s="17">
        <v>1</v>
      </c>
      <c r="H18" s="28" t="s">
        <v>111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22</v>
      </c>
      <c r="C19" s="10" t="s">
        <v>23</v>
      </c>
      <c r="D19" s="23" t="s">
        <v>113</v>
      </c>
      <c r="E19" s="12">
        <v>44528</v>
      </c>
      <c r="F19" s="21" t="s">
        <v>119</v>
      </c>
      <c r="G19" s="17">
        <v>1</v>
      </c>
      <c r="H19" s="28" t="s">
        <v>114</v>
      </c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17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/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23"/>
      <c r="E22" s="12"/>
      <c r="F22" s="24"/>
      <c r="G22" s="17"/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0"/>
      <c r="D23" s="23"/>
      <c r="E23" s="12"/>
      <c r="F23" s="24"/>
      <c r="G23" s="17"/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22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SUMIF(F7:F33,"NB*",G7:G33)</f>
        <v>4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9" t="s">
        <v>123</v>
      </c>
      <c r="B5" s="39"/>
      <c r="C5" s="39"/>
      <c r="D5" s="39"/>
      <c r="E5" s="39"/>
      <c r="F5" s="39"/>
      <c r="G5" s="32"/>
      <c r="H5" s="32"/>
      <c r="I5" s="34" t="s">
        <v>9</v>
      </c>
      <c r="J5" s="35"/>
      <c r="K5" s="31">
        <f>SUM(K2:K4)</f>
        <v>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22</v>
      </c>
      <c r="C7" s="10" t="s">
        <v>23</v>
      </c>
      <c r="D7" s="23" t="s">
        <v>120</v>
      </c>
      <c r="E7" s="12">
        <v>44508</v>
      </c>
      <c r="F7" s="21" t="s">
        <v>122</v>
      </c>
      <c r="G7" s="17">
        <v>1</v>
      </c>
      <c r="H7" s="25" t="s">
        <v>121</v>
      </c>
      <c r="I7" s="16"/>
      <c r="J7" s="16"/>
      <c r="K7" s="1"/>
    </row>
    <row r="8" spans="1:11" ht="15" customHeight="1" x14ac:dyDescent="0.25">
      <c r="A8" s="15">
        <f t="shared" ref="A8:A38" si="0">+A7+1</f>
        <v>2</v>
      </c>
      <c r="B8" s="13" t="s">
        <v>22</v>
      </c>
      <c r="C8" s="10" t="s">
        <v>23</v>
      </c>
      <c r="D8" s="23" t="s">
        <v>124</v>
      </c>
      <c r="E8" s="12">
        <v>44546</v>
      </c>
      <c r="F8" s="21" t="s">
        <v>125</v>
      </c>
      <c r="G8" s="17">
        <v>1</v>
      </c>
      <c r="H8" s="25" t="s">
        <v>126</v>
      </c>
      <c r="I8" s="2"/>
      <c r="J8" s="2"/>
      <c r="K8" s="1"/>
    </row>
    <row r="9" spans="1:11" ht="15" customHeight="1" x14ac:dyDescent="0.25">
      <c r="A9" s="15">
        <f t="shared" si="0"/>
        <v>3</v>
      </c>
      <c r="B9" s="13" t="s">
        <v>22</v>
      </c>
      <c r="C9" s="10" t="s">
        <v>23</v>
      </c>
      <c r="D9" s="23" t="s">
        <v>127</v>
      </c>
      <c r="E9" s="12">
        <v>44546</v>
      </c>
      <c r="F9" s="21" t="s">
        <v>129</v>
      </c>
      <c r="G9" s="17">
        <v>1</v>
      </c>
      <c r="H9" s="25" t="s">
        <v>128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22</v>
      </c>
      <c r="C10" s="10" t="s">
        <v>23</v>
      </c>
      <c r="D10" s="23" t="s">
        <v>130</v>
      </c>
      <c r="E10" s="12">
        <v>44546</v>
      </c>
      <c r="F10" s="21" t="s">
        <v>131</v>
      </c>
      <c r="G10" s="17">
        <v>1</v>
      </c>
      <c r="H10" s="25" t="s">
        <v>132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10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23"/>
      <c r="E19" s="12"/>
      <c r="F19" s="21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17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/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23"/>
      <c r="E22" s="12"/>
      <c r="F22" s="24"/>
      <c r="G22" s="17"/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0"/>
      <c r="D23" s="23"/>
      <c r="E23" s="12"/>
      <c r="F23" s="24"/>
      <c r="G23" s="17"/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22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2021</vt:lpstr>
      <vt:lpstr>FEVRIER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DECEMBRE 2021</vt:lpstr>
      <vt:lpstr>'AOUT 2021'!Impression_des_titres</vt:lpstr>
      <vt:lpstr>'AVRIL 2021'!Impression_des_titres</vt:lpstr>
      <vt:lpstr>'DECEMBRE 2021'!Impression_des_titres</vt:lpstr>
      <vt:lpstr>'FEVRIER 2021'!Impression_des_titres</vt:lpstr>
      <vt:lpstr>'JANVIER 2021'!Impression_des_titres</vt:lpstr>
      <vt:lpstr>'JUILLET 2021'!Impression_des_titres</vt:lpstr>
      <vt:lpstr>'JUIN 2021'!Impression_des_titres</vt:lpstr>
      <vt:lpstr>'MAI 2021'!Impression_des_titres</vt:lpstr>
      <vt:lpstr>'MARS 2021'!Impression_des_titres</vt:lpstr>
      <vt:lpstr>'NOVEMBRE 2021'!Impression_des_titres</vt:lpstr>
      <vt:lpstr>'OCTOBRE 2021'!Impression_des_titres</vt:lpstr>
      <vt:lpstr>'SEPTEMBRE 2021'!Impression_des_titres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2022-01-11T07:59:53Z</cp:lastPrinted>
  <dcterms:created xsi:type="dcterms:W3CDTF">2014-12-31T15:00:30Z</dcterms:created>
  <dcterms:modified xsi:type="dcterms:W3CDTF">2022-01-11T08:00:05Z</dcterms:modified>
</cp:coreProperties>
</file>