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Berrouaghia\"/>
    </mc:Choice>
  </mc:AlternateContent>
  <bookViews>
    <workbookView xWindow="0" yWindow="0" windowWidth="16530" windowHeight="7755" firstSheet="2" activeTab="8"/>
  </bookViews>
  <sheets>
    <sheet name="Janvier 2021" sheetId="1" r:id="rId1"/>
    <sheet name="Fevrier 2021" sheetId="2" r:id="rId2"/>
    <sheet name="Mars 2021" sheetId="3" r:id="rId3"/>
    <sheet name="Avril 2021" sheetId="5" r:id="rId4"/>
    <sheet name="Mai 2021" sheetId="6" r:id="rId5"/>
    <sheet name="Juin 2021" sheetId="7" r:id="rId6"/>
    <sheet name="Juillet 2021" sheetId="8" r:id="rId7"/>
    <sheet name="Aout 2021" sheetId="9" r:id="rId8"/>
    <sheet name="Septembre 2021" sheetId="10" r:id="rId9"/>
    <sheet name="Octobre 2021" sheetId="12" r:id="rId10"/>
    <sheet name="Novembre 2021" sheetId="13" r:id="rId11"/>
    <sheet name="Décembre 2021" sheetId="14" r:id="rId12"/>
  </sheets>
  <definedNames>
    <definedName name="_xlnm.Print_Titles" localSheetId="7">'Aout 2021'!$1:$6</definedName>
    <definedName name="_xlnm.Print_Titles" localSheetId="3">'Avril 2021'!$1:$6</definedName>
    <definedName name="_xlnm.Print_Titles" localSheetId="11">'Décembre 2021'!$1:$6</definedName>
    <definedName name="_xlnm.Print_Titles" localSheetId="1">'Fevrier 2021'!$1:$6</definedName>
    <definedName name="_xlnm.Print_Titles" localSheetId="0">'Janvier 2021'!$1:$6</definedName>
    <definedName name="_xlnm.Print_Titles" localSheetId="6">'Juillet 2021'!$1:$6</definedName>
    <definedName name="_xlnm.Print_Titles" localSheetId="5">'Juin 2021'!$1:$6</definedName>
    <definedName name="_xlnm.Print_Titles" localSheetId="4">'Mai 2021'!$1:$6</definedName>
    <definedName name="_xlnm.Print_Titles" localSheetId="2">'Mars 2021'!$1:$6</definedName>
    <definedName name="_xlnm.Print_Titles" localSheetId="10">'Novembre 2021'!$1:$6</definedName>
    <definedName name="_xlnm.Print_Titles" localSheetId="9">'Octobre 2021'!$1:$6</definedName>
    <definedName name="_xlnm.Print_Titles" localSheetId="8">'Septembre 2021'!$1:$6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4" l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K4" i="13"/>
  <c r="K3" i="13"/>
  <c r="K2" i="13"/>
  <c r="K5" i="13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K4" i="12"/>
  <c r="K3" i="12"/>
  <c r="K2" i="12"/>
  <c r="K5" i="12" l="1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K4" i="10"/>
  <c r="K3" i="10"/>
  <c r="K2" i="10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K4" i="9"/>
  <c r="K3" i="9"/>
  <c r="K2" i="9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K4" i="8"/>
  <c r="K3" i="8"/>
  <c r="K2" i="8"/>
  <c r="A42" i="10" l="1"/>
  <c r="A43" i="10" s="1"/>
  <c r="A44" i="10" s="1"/>
  <c r="A45" i="10" s="1"/>
  <c r="A46" i="10" s="1"/>
  <c r="A47" i="10" s="1"/>
  <c r="A48" i="10" s="1"/>
  <c r="K5" i="10"/>
  <c r="K5" i="9"/>
  <c r="K5" i="8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K4" i="7"/>
  <c r="K3" i="7"/>
  <c r="K2" i="7"/>
  <c r="K5" i="7" l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K4" i="6"/>
  <c r="K3" i="6"/>
  <c r="K2" i="6"/>
  <c r="K5" i="6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K4" i="5"/>
  <c r="K3" i="5"/>
  <c r="K2" i="5"/>
  <c r="A28" i="5" l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K5" i="5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K4" i="3"/>
  <c r="K3" i="3"/>
  <c r="K2" i="3"/>
  <c r="K5" i="3" l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K4" i="2"/>
  <c r="K3" i="2"/>
  <c r="K2" i="2"/>
  <c r="K5" i="2" l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K4" i="1"/>
  <c r="K3" i="1"/>
  <c r="K2" i="1"/>
  <c r="A39" i="1" l="1"/>
  <c r="A40" i="1" s="1"/>
  <c r="A41" i="1" s="1"/>
  <c r="A42" i="1" s="1"/>
  <c r="A43" i="1" s="1"/>
  <c r="A44" i="1" s="1"/>
  <c r="A45" i="1" s="1"/>
  <c r="K5" i="1"/>
</calcChain>
</file>

<file path=xl/sharedStrings.xml><?xml version="1.0" encoding="utf-8"?>
<sst xmlns="http://schemas.openxmlformats.org/spreadsheetml/2006/main" count="1262" uniqueCount="668">
  <si>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</si>
  <si>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</si>
  <si>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</si>
  <si>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</si>
  <si>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</si>
  <si>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</si>
  <si>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 xml:space="preserve">              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</si>
  <si>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</si>
  <si>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</si>
  <si>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</si>
  <si>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</si>
  <si>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</si>
  <si>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</si>
  <si>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</si>
  <si>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</si>
  <si>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</si>
  <si>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</si>
  <si>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</si>
  <si>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</si>
  <si>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B20068</t>
  </si>
  <si>
    <t>15/21</t>
  </si>
  <si>
    <t>2020171104</t>
  </si>
  <si>
    <t>Elimination Forfait</t>
  </si>
  <si>
    <t>B42130</t>
  </si>
  <si>
    <t>2020171105</t>
  </si>
  <si>
    <t>B1</t>
  </si>
  <si>
    <t>2020171106</t>
  </si>
  <si>
    <t>NB(N°301/2020)</t>
  </si>
  <si>
    <t>2020171107</t>
  </si>
  <si>
    <t>NB(N°265/2020)</t>
  </si>
  <si>
    <t>B40932</t>
  </si>
  <si>
    <t>2020171110</t>
  </si>
  <si>
    <t>B21569</t>
  </si>
  <si>
    <t>2020223478</t>
  </si>
  <si>
    <t>B21543</t>
  </si>
  <si>
    <t>2020171108</t>
  </si>
  <si>
    <t>B3</t>
  </si>
  <si>
    <t>2020223480</t>
  </si>
  <si>
    <t>NB(N°027/2020)</t>
  </si>
  <si>
    <t>Mezlioui ali</t>
  </si>
  <si>
    <t>2020171109</t>
  </si>
  <si>
    <t>NB(N°282/2018)</t>
  </si>
  <si>
    <t>Logts Fonction CFPA</t>
  </si>
  <si>
    <t>2020223476</t>
  </si>
  <si>
    <t>B10467</t>
  </si>
  <si>
    <t>2020223471</t>
  </si>
  <si>
    <t>B10655</t>
  </si>
  <si>
    <t>2020223474</t>
  </si>
  <si>
    <t>B12095</t>
  </si>
  <si>
    <t>2020223473</t>
  </si>
  <si>
    <t>B10733</t>
  </si>
  <si>
    <t>2020223472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</si>
  <si>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</si>
  <si>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NB(N°057/2016)</t>
  </si>
  <si>
    <t>Habib ameur</t>
  </si>
  <si>
    <t>Boulariah belkheir</t>
  </si>
  <si>
    <t>B41566</t>
  </si>
  <si>
    <t>B10045</t>
  </si>
  <si>
    <t>2020223160</t>
  </si>
  <si>
    <t>B10096</t>
  </si>
  <si>
    <t>2020223159</t>
  </si>
  <si>
    <t>2020223158</t>
  </si>
  <si>
    <t>B10005</t>
  </si>
  <si>
    <t>B30188</t>
  </si>
  <si>
    <t>2020223884</t>
  </si>
  <si>
    <t>2020223882</t>
  </si>
  <si>
    <t>B30170</t>
  </si>
  <si>
    <t>B2</t>
  </si>
  <si>
    <t>2020223153</t>
  </si>
  <si>
    <t>NB(N°329/2020)</t>
  </si>
  <si>
    <t>Becherirat hamza</t>
  </si>
  <si>
    <t>B4</t>
  </si>
  <si>
    <t>2020223151</t>
  </si>
  <si>
    <t>Chergui aissa</t>
  </si>
  <si>
    <t>NB(N°335/2020)</t>
  </si>
  <si>
    <t>2020223883</t>
  </si>
  <si>
    <t>NB(N°036/2020)</t>
  </si>
  <si>
    <t>Cafeteria zaoudi kais</t>
  </si>
  <si>
    <t>2020223881</t>
  </si>
  <si>
    <t>NB(N°288/2020)</t>
  </si>
  <si>
    <t>Bellaoui a/krim</t>
  </si>
  <si>
    <t>2020223154</t>
  </si>
  <si>
    <t>NB(N°289/2020)</t>
  </si>
  <si>
    <t>2020223155</t>
  </si>
  <si>
    <t>NB(N°338/2020)</t>
  </si>
  <si>
    <t>Mag aid abdelhamid</t>
  </si>
  <si>
    <t>Bellaoui abubaker</t>
  </si>
  <si>
    <t>VENTE</t>
  </si>
  <si>
    <t>BB0204</t>
  </si>
  <si>
    <t>40/49</t>
  </si>
  <si>
    <t>14855891</t>
  </si>
  <si>
    <t>2021011911</t>
  </si>
  <si>
    <t>2021011912</t>
  </si>
  <si>
    <t>2021011913</t>
  </si>
  <si>
    <t>2021011914</t>
  </si>
  <si>
    <t>2021011915</t>
  </si>
  <si>
    <t>2021011916</t>
  </si>
  <si>
    <t>2021011917</t>
  </si>
  <si>
    <t>2021011918</t>
  </si>
  <si>
    <t>2021011919</t>
  </si>
  <si>
    <t>2021011920</t>
  </si>
  <si>
    <t>B11233</t>
  </si>
  <si>
    <t>2021019667</t>
  </si>
  <si>
    <t>B21311</t>
  </si>
  <si>
    <t>2021019670</t>
  </si>
  <si>
    <t>2020223890</t>
  </si>
  <si>
    <t>NB(N°150/2020)</t>
  </si>
  <si>
    <t>Bakhtaoui khelifa</t>
  </si>
  <si>
    <t>B32766</t>
  </si>
  <si>
    <t>2020223888</t>
  </si>
  <si>
    <t>B32270</t>
  </si>
  <si>
    <t>2020223886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</si>
  <si>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</si>
  <si>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B11020</t>
  </si>
  <si>
    <t>NB(N°022/2021)</t>
  </si>
  <si>
    <t>Derbali mokhtar</t>
  </si>
  <si>
    <t>NB(N°339/2020)</t>
  </si>
  <si>
    <t>Mag gherdine med</t>
  </si>
  <si>
    <t>2021019664</t>
  </si>
  <si>
    <t>NB(N°034/2021)</t>
  </si>
  <si>
    <t>Belladjal salem</t>
  </si>
  <si>
    <t>2021019663</t>
  </si>
  <si>
    <t>NB(N°262/2021)</t>
  </si>
  <si>
    <t>Seghir aissa rachid</t>
  </si>
  <si>
    <t>2021019666</t>
  </si>
  <si>
    <t>NB(N°013/2021)</t>
  </si>
  <si>
    <t>Maddadi khelladi</t>
  </si>
  <si>
    <t>2021019668</t>
  </si>
  <si>
    <t>NB(N°239/2018)</t>
  </si>
  <si>
    <t>Khorchef ahmed</t>
  </si>
  <si>
    <t>2021019662</t>
  </si>
  <si>
    <t>Saidani kamel</t>
  </si>
  <si>
    <t>2021019661</t>
  </si>
  <si>
    <t>Daimi kamel</t>
  </si>
  <si>
    <t>2021019669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</si>
  <si>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</si>
  <si>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NB(N°035/2021)</t>
  </si>
  <si>
    <t>NB(N°021/2021)</t>
  </si>
  <si>
    <t>Djaoui mustapha</t>
  </si>
  <si>
    <t>B10315</t>
  </si>
  <si>
    <t>BC0361</t>
  </si>
  <si>
    <t>B22193</t>
  </si>
  <si>
    <t>B30839</t>
  </si>
  <si>
    <t>2021064941</t>
  </si>
  <si>
    <t>2021020098</t>
  </si>
  <si>
    <t>2021020091</t>
  </si>
  <si>
    <t>2021020093</t>
  </si>
  <si>
    <t>B12425</t>
  </si>
  <si>
    <t>2021064942</t>
  </si>
  <si>
    <t>B21561</t>
  </si>
  <si>
    <t>2021020095</t>
  </si>
  <si>
    <t>BC0425</t>
  </si>
  <si>
    <t>2021020092</t>
  </si>
  <si>
    <t>NB(056/2021)</t>
  </si>
  <si>
    <t>Attab mhamed</t>
  </si>
  <si>
    <t>NB(328/2020)</t>
  </si>
  <si>
    <t>Saidi noureddine</t>
  </si>
  <si>
    <t>NB(038/2021)</t>
  </si>
  <si>
    <t>2021020099</t>
  </si>
  <si>
    <t>B40607</t>
  </si>
  <si>
    <t>2021064944</t>
  </si>
  <si>
    <t>B40818</t>
  </si>
  <si>
    <t>2021064945</t>
  </si>
  <si>
    <t>B40571</t>
  </si>
  <si>
    <t>2021020094</t>
  </si>
  <si>
    <t>B40774</t>
  </si>
  <si>
    <t>2021064943</t>
  </si>
  <si>
    <t>B41703</t>
  </si>
  <si>
    <t>2021064947</t>
  </si>
  <si>
    <t>B41711</t>
  </si>
  <si>
    <t>2021064948</t>
  </si>
  <si>
    <t>B42123</t>
  </si>
  <si>
    <t>2021064950</t>
  </si>
  <si>
    <t>B20702</t>
  </si>
  <si>
    <t>2021064949</t>
  </si>
  <si>
    <t>B10854</t>
  </si>
  <si>
    <t>2021064946</t>
  </si>
  <si>
    <t>BC0111</t>
  </si>
  <si>
    <t>2021064531</t>
  </si>
  <si>
    <t>2021064532</t>
  </si>
  <si>
    <t>NB(331/2020)</t>
  </si>
  <si>
    <t>Arib omar</t>
  </si>
  <si>
    <t>2021064538</t>
  </si>
  <si>
    <t>NB(315/2020)</t>
  </si>
  <si>
    <t>Kefaifi houcine</t>
  </si>
  <si>
    <t>2021064540</t>
  </si>
  <si>
    <t>NB(309/2020)</t>
  </si>
  <si>
    <t>Toumi khaled</t>
  </si>
  <si>
    <t>2021064533</t>
  </si>
  <si>
    <t>NB(293/2020)</t>
  </si>
  <si>
    <t>Mag adda boualem</t>
  </si>
  <si>
    <t>2021064539</t>
  </si>
  <si>
    <t>NB(402/2020)</t>
  </si>
  <si>
    <t>Ouled zemirli</t>
  </si>
  <si>
    <t>2021064537</t>
  </si>
  <si>
    <t>B21534</t>
  </si>
  <si>
    <t>2021064961</t>
  </si>
  <si>
    <t>B21400</t>
  </si>
  <si>
    <t>2021064964</t>
  </si>
  <si>
    <t>Smai Omar</t>
  </si>
  <si>
    <t>2021064963</t>
  </si>
  <si>
    <t>Hasnaoui miloud</t>
  </si>
  <si>
    <t>2021064962</t>
  </si>
  <si>
    <t>NB(0282/2020)</t>
  </si>
  <si>
    <t>Annabi omar</t>
  </si>
  <si>
    <t>NB(0037/2021)</t>
  </si>
  <si>
    <t>NB(0028/2021)</t>
  </si>
  <si>
    <t>Maasmi a/ellah</t>
  </si>
  <si>
    <t>2021064969</t>
  </si>
  <si>
    <t>NB(0032/2021)</t>
  </si>
  <si>
    <t>Mag benahmed boussad</t>
  </si>
  <si>
    <t>2021064966</t>
  </si>
  <si>
    <t>NB(0260/2020)</t>
  </si>
  <si>
    <t>Mag mezaad brahim</t>
  </si>
  <si>
    <t>2021064967</t>
  </si>
  <si>
    <t>2021064968</t>
  </si>
  <si>
    <t>NB(0158/2018)</t>
  </si>
  <si>
    <t>Berdia mourad</t>
  </si>
  <si>
    <t>NB(008/2021)</t>
  </si>
  <si>
    <t>Rahmoune mohamed</t>
  </si>
  <si>
    <t>2021064970</t>
  </si>
  <si>
    <t>NB(302/2020)</t>
  </si>
  <si>
    <t>Saib djamel</t>
  </si>
  <si>
    <t>2021064990</t>
  </si>
  <si>
    <t>NB(271/2019)</t>
  </si>
  <si>
    <t>Laissaoui mokhtar</t>
  </si>
  <si>
    <t>2021064989</t>
  </si>
  <si>
    <t>NB(283/2020)</t>
  </si>
  <si>
    <t>Boukhari toufik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</si>
  <si>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</si>
  <si>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2021064988</t>
  </si>
  <si>
    <t>NB(042/2021)</t>
  </si>
  <si>
    <t>Mag hamadache toufik</t>
  </si>
  <si>
    <t>NB(167/2020)</t>
  </si>
  <si>
    <t>Ammad othmane</t>
  </si>
  <si>
    <t>NB(047/2021)</t>
  </si>
  <si>
    <t>Mag brahimi zehour</t>
  </si>
  <si>
    <t>NB(400/2020)</t>
  </si>
  <si>
    <t>Mag  naimi makarim</t>
  </si>
  <si>
    <t>NB(001/2021)</t>
  </si>
  <si>
    <t>Fergani abderrezak</t>
  </si>
  <si>
    <t>BB0244</t>
  </si>
  <si>
    <t>14855073</t>
  </si>
  <si>
    <t>NB(039/2021)</t>
  </si>
  <si>
    <t>Ghattas djamila</t>
  </si>
  <si>
    <t>B50071</t>
  </si>
  <si>
    <t>2021064936</t>
  </si>
  <si>
    <t>NB(333/2021)</t>
  </si>
  <si>
    <t>Mag lardjoum safia</t>
  </si>
  <si>
    <t>B35078</t>
  </si>
  <si>
    <t>2021064934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</si>
  <si>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</si>
  <si>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B20094</t>
  </si>
  <si>
    <t>2021064931</t>
  </si>
  <si>
    <t>NB(075/2020)</t>
  </si>
  <si>
    <t>Parkin guernina</t>
  </si>
  <si>
    <t>NB(291/2020)</t>
  </si>
  <si>
    <t>Hessam youcef</t>
  </si>
  <si>
    <t>NB(089/2020)</t>
  </si>
  <si>
    <t>B22108</t>
  </si>
  <si>
    <t>B22394</t>
  </si>
  <si>
    <t>B21462</t>
  </si>
  <si>
    <t>Hellali med</t>
  </si>
  <si>
    <t>B21406</t>
  </si>
  <si>
    <t>B21398</t>
  </si>
  <si>
    <t>B21386</t>
  </si>
  <si>
    <t>BC0033</t>
  </si>
  <si>
    <t>B32825</t>
  </si>
  <si>
    <t>B10047</t>
  </si>
  <si>
    <t>Ganoun melkhir</t>
  </si>
  <si>
    <t>NB(089/2021)</t>
  </si>
  <si>
    <t>B21693</t>
  </si>
  <si>
    <t>BC0439</t>
  </si>
  <si>
    <t>B10042</t>
  </si>
  <si>
    <t>B10084</t>
  </si>
  <si>
    <t>B41955</t>
  </si>
  <si>
    <t>B50035</t>
  </si>
  <si>
    <t>BB0033</t>
  </si>
  <si>
    <t>BB0126</t>
  </si>
  <si>
    <t>30/34</t>
  </si>
  <si>
    <t>14855076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</si>
  <si>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</si>
  <si>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B13270</t>
  </si>
  <si>
    <t>NB(N°124/2021)</t>
  </si>
  <si>
    <t>Bouguessa kamel</t>
  </si>
  <si>
    <t>112826</t>
  </si>
  <si>
    <t>NB(N°300/2020)</t>
  </si>
  <si>
    <t>Benboukhari mhamed</t>
  </si>
  <si>
    <t>NB(N°183/2021)</t>
  </si>
  <si>
    <t>Mazari brahim</t>
  </si>
  <si>
    <t>NB(N°160/2020)</t>
  </si>
  <si>
    <t>Chergui mohamed</t>
  </si>
  <si>
    <t>NB(N°159/2021)</t>
  </si>
  <si>
    <t>Boudiaf djillali</t>
  </si>
  <si>
    <t>B21422</t>
  </si>
  <si>
    <t>002831</t>
  </si>
  <si>
    <t>20/27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</si>
  <si>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</si>
  <si>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B10546</t>
  </si>
  <si>
    <t>B10065</t>
  </si>
  <si>
    <t>BB</t>
  </si>
  <si>
    <t>B13263</t>
  </si>
  <si>
    <t>112823</t>
  </si>
  <si>
    <t>113383</t>
  </si>
  <si>
    <t>113598</t>
  </si>
  <si>
    <t>113597</t>
  </si>
  <si>
    <t>113595</t>
  </si>
  <si>
    <t>113594</t>
  </si>
  <si>
    <t>113599</t>
  </si>
  <si>
    <t>113593</t>
  </si>
  <si>
    <t>NB(N°173/2021)</t>
  </si>
  <si>
    <t>Hellal tewfik</t>
  </si>
  <si>
    <t>NB(N°114/2021)</t>
  </si>
  <si>
    <t>Benkhelfa fatma</t>
  </si>
  <si>
    <t>NB(N°132/2021)</t>
  </si>
  <si>
    <t>Laref yagoub</t>
  </si>
  <si>
    <t>NB(N°019/2018)</t>
  </si>
  <si>
    <t>Bouguera rabah</t>
  </si>
  <si>
    <t>NB(N°209/2016)</t>
  </si>
  <si>
    <t>Boutiarar a/rezzak</t>
  </si>
  <si>
    <t>NB(N°201/2021)</t>
  </si>
  <si>
    <t>Lardjoum mustapha</t>
  </si>
  <si>
    <t>NB(N°117/2021)</t>
  </si>
  <si>
    <t>NB(N°140/2021)</t>
  </si>
  <si>
    <t>Mag, Soltani soufiane</t>
  </si>
  <si>
    <t>NB(N°169/2021)</t>
  </si>
  <si>
    <t>Oualha djamel</t>
  </si>
  <si>
    <t>Logts Fonct CFPA</t>
  </si>
  <si>
    <t>NB(N°029/2021)</t>
  </si>
  <si>
    <t>Kara nassira</t>
  </si>
  <si>
    <t>NB(N°120/2021)</t>
  </si>
  <si>
    <t>Mag, Benaferi yasser</t>
  </si>
  <si>
    <t>NB(N°186/2019)</t>
  </si>
  <si>
    <t>Bouriah soufiane</t>
  </si>
  <si>
    <t>NB(N°164/2021)</t>
  </si>
  <si>
    <t>Zerga a/krim</t>
  </si>
  <si>
    <t>NB(N°163/2021)</t>
  </si>
  <si>
    <t>Zerga mourad</t>
  </si>
  <si>
    <t>NB(N°055/2021)</t>
  </si>
  <si>
    <t>Eurl revco</t>
  </si>
  <si>
    <t>NB(N°002/2021)</t>
  </si>
  <si>
    <t>Zoulikha zerrouk</t>
  </si>
  <si>
    <t>NB(N°081/2021)</t>
  </si>
  <si>
    <t>APC ecole 1058</t>
  </si>
  <si>
    <t>NB(N°280/2020)</t>
  </si>
  <si>
    <t>2021064809</t>
  </si>
  <si>
    <t>2021046810</t>
  </si>
  <si>
    <t>2021064808</t>
  </si>
  <si>
    <r>
      <t>Mois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</si>
  <si>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112824</t>
  </si>
  <si>
    <t>NB(N°103/2021)</t>
  </si>
  <si>
    <t>Lakhal sofine</t>
  </si>
  <si>
    <t>NB(N°217/2021)</t>
  </si>
  <si>
    <t>Hannachi fethi</t>
  </si>
  <si>
    <t>B33041</t>
  </si>
  <si>
    <t>NB(N°118/2021)</t>
  </si>
  <si>
    <t>Hosni fatma ep daya</t>
  </si>
  <si>
    <t>NB(N°219/2021)</t>
  </si>
  <si>
    <t>Bedjaoui ahmed</t>
  </si>
  <si>
    <t>113690</t>
  </si>
  <si>
    <t>NB(N°133/2016)</t>
  </si>
  <si>
    <t>Abdi makhlouf</t>
  </si>
  <si>
    <t>NB(N°313/2020)</t>
  </si>
  <si>
    <t>Bouchibane a/rezzak</t>
  </si>
  <si>
    <t>NB(N°314/2020)</t>
  </si>
  <si>
    <t>Bouchibane ibtissam</t>
  </si>
  <si>
    <t>NB(N°312/2020)</t>
  </si>
  <si>
    <t>Bouchibane oussama</t>
  </si>
  <si>
    <t>NB(N°011/2021)</t>
  </si>
  <si>
    <t>Belaissa yahia</t>
  </si>
  <si>
    <t>NB(N°154/2021)</t>
  </si>
  <si>
    <t>Hamzi mohamed</t>
  </si>
  <si>
    <t>NB(N°084/2021)</t>
  </si>
  <si>
    <t>Lazar hafida</t>
  </si>
  <si>
    <t>NB(N°287/2020)</t>
  </si>
  <si>
    <t>Kara mahfoud</t>
  </si>
  <si>
    <t>NB(N°215/2021)</t>
  </si>
  <si>
    <t>Guers abdelkader</t>
  </si>
  <si>
    <t>BB0025</t>
  </si>
  <si>
    <t>BB0151</t>
  </si>
  <si>
    <t>NB(N°052/2021)</t>
  </si>
  <si>
    <t>Ould zemirli ikram</t>
  </si>
  <si>
    <t>NB(N°051/2021)</t>
  </si>
  <si>
    <t>Zemirli bachira</t>
  </si>
  <si>
    <t>NB(N°311/2020)</t>
  </si>
  <si>
    <t>Apc mosque el houda</t>
  </si>
  <si>
    <t>NB(N°303/2020)</t>
  </si>
  <si>
    <t>Allane brahim med</t>
  </si>
  <si>
    <t>NB(N°192/2021)</t>
  </si>
  <si>
    <t>Hasnaoui hadj</t>
  </si>
  <si>
    <t>NB(N°004/2021)</t>
  </si>
  <si>
    <t>Ammad daoud</t>
  </si>
  <si>
    <t>NB(N°050/2021)</t>
  </si>
  <si>
    <t>Henni aicha</t>
  </si>
  <si>
    <t>B31824</t>
  </si>
  <si>
    <t>165632</t>
  </si>
  <si>
    <t>Hasnaoui ali</t>
  </si>
  <si>
    <t>NB(N°191/2021)</t>
  </si>
  <si>
    <t>2021165634</t>
  </si>
  <si>
    <t>NB(N°226/2020)</t>
  </si>
  <si>
    <t>Mag Tahraoui med</t>
  </si>
  <si>
    <r>
      <t>Mois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</si>
  <si>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2021165637</t>
  </si>
  <si>
    <t>NB(N°046/2021)</t>
  </si>
  <si>
    <t>Habib difallah</t>
  </si>
  <si>
    <t>2021165639</t>
  </si>
  <si>
    <t>NB(N°082/2021)</t>
  </si>
  <si>
    <t>Salmi zine elabidine</t>
  </si>
  <si>
    <t>NB(N°165/2021)</t>
  </si>
  <si>
    <t>Ali ali</t>
  </si>
  <si>
    <t>NB(N°318/2020)</t>
  </si>
  <si>
    <t>Hadj ameur mahfoud</t>
  </si>
  <si>
    <t>NB(N°299/2020)</t>
  </si>
  <si>
    <t>Chergui omar</t>
  </si>
  <si>
    <t>NB(N°148/2021)</t>
  </si>
  <si>
    <t>Bendali brahim</t>
  </si>
  <si>
    <t>NB(N°320/2021)</t>
  </si>
  <si>
    <t>Mag khelifa fathi</t>
  </si>
  <si>
    <t>NB(N°316/2021)</t>
  </si>
  <si>
    <t>Laifaoui brahim</t>
  </si>
  <si>
    <t>NB(N°315/2021)</t>
  </si>
  <si>
    <t>Mag chouar zakaria</t>
  </si>
  <si>
    <t>NB(N°319/2021)</t>
  </si>
  <si>
    <t>Allouche abdelhamid</t>
  </si>
  <si>
    <t>NB(N°317/2021)</t>
  </si>
  <si>
    <t>Mag daoud bachir</t>
  </si>
  <si>
    <t>NB(N°166/2021)</t>
  </si>
  <si>
    <t>Allali hakim</t>
  </si>
  <si>
    <t>NB(N°207/2021)</t>
  </si>
  <si>
    <t>Tebbal chams-eddine</t>
  </si>
  <si>
    <t>B34620</t>
  </si>
  <si>
    <t>NB(N°014/2013)</t>
  </si>
  <si>
    <t>Ouail rabah</t>
  </si>
  <si>
    <t>NB(N°153/2021)</t>
  </si>
  <si>
    <t>Gasmi aek</t>
  </si>
  <si>
    <t>NB(N°256/2021)</t>
  </si>
  <si>
    <t>Mag kara rachid</t>
  </si>
  <si>
    <t>NB(N°288/2021)</t>
  </si>
  <si>
    <t>Arbia amir khaled</t>
  </si>
  <si>
    <t>NB(N°287/2021)</t>
  </si>
  <si>
    <t>Arbia med zineddine</t>
  </si>
  <si>
    <t>NB(N°220/2018)</t>
  </si>
  <si>
    <t>Fergani ali</t>
  </si>
  <si>
    <t>NB(N°007/2021)</t>
  </si>
  <si>
    <t>Zoulikha missoum</t>
  </si>
  <si>
    <t>B10386</t>
  </si>
  <si>
    <t>B10923</t>
  </si>
  <si>
    <t>B33089</t>
  </si>
  <si>
    <t>2021165111</t>
  </si>
  <si>
    <t>NB(N°131/2021)</t>
  </si>
  <si>
    <t>Attari Tayeb</t>
  </si>
  <si>
    <t>B21559</t>
  </si>
  <si>
    <r>
      <t>Mois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</si>
  <si>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2021165112</t>
  </si>
  <si>
    <t>NB(282/2021)</t>
  </si>
  <si>
    <t>Azizi kouider</t>
  </si>
  <si>
    <t>2021165113</t>
  </si>
  <si>
    <t>Vente</t>
  </si>
  <si>
    <t>2021165114</t>
  </si>
  <si>
    <t>NB(063/2021)</t>
  </si>
  <si>
    <t>Sahi Belkacem</t>
  </si>
  <si>
    <t>NB(278/2021)</t>
  </si>
  <si>
    <t>Fergani djillali</t>
  </si>
  <si>
    <t>2021165116</t>
  </si>
  <si>
    <t>NB(059/2021)</t>
  </si>
  <si>
    <t>Menasri hakim</t>
  </si>
  <si>
    <t>2021165119</t>
  </si>
  <si>
    <t>2021165117</t>
  </si>
  <si>
    <t>NB(150/2021)</t>
  </si>
  <si>
    <t>Belhadj rachid</t>
  </si>
  <si>
    <t>B41850</t>
  </si>
  <si>
    <t>2021165115</t>
  </si>
  <si>
    <t>NB(155/2021)</t>
  </si>
  <si>
    <t>Saki Soufiane</t>
  </si>
  <si>
    <t>XG0929</t>
  </si>
  <si>
    <t>ETP MOUZA BAT</t>
  </si>
  <si>
    <t>NB(158/2021)</t>
  </si>
  <si>
    <t>Senni benafou</t>
  </si>
  <si>
    <t>NB(261/2021)</t>
  </si>
  <si>
    <t>Mazari hakim</t>
  </si>
  <si>
    <t>NB(304/2021)</t>
  </si>
  <si>
    <t>Bouziane ali</t>
  </si>
  <si>
    <t>NB(330/2021)</t>
  </si>
  <si>
    <t>Bouketab said</t>
  </si>
  <si>
    <t>NB(292/2020)</t>
  </si>
  <si>
    <t>Larbi mahfoud</t>
  </si>
  <si>
    <t>NB(234/2021)</t>
  </si>
  <si>
    <t>Kefaifi med</t>
  </si>
  <si>
    <t>NB(242/2021)</t>
  </si>
  <si>
    <t>Kefaifi ahmed</t>
  </si>
  <si>
    <t>NB(332/2020)</t>
  </si>
  <si>
    <t>Lamri nadji</t>
  </si>
  <si>
    <t>NB(015/2021)</t>
  </si>
  <si>
    <t>Belkhelfa mohamed</t>
  </si>
  <si>
    <t>B32797</t>
  </si>
  <si>
    <t>2021164910</t>
  </si>
  <si>
    <t>NB(N°280/2021)</t>
  </si>
  <si>
    <t>Lami kamel</t>
  </si>
  <si>
    <r>
      <t>Mois Décembre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2021</t>
    </r>
  </si>
  <si>
    <t>2021165456</t>
  </si>
  <si>
    <t>2021165458</t>
  </si>
  <si>
    <t>NB(N°344/2021)</t>
  </si>
  <si>
    <t>NB(N°345/2021)</t>
  </si>
  <si>
    <t>Hazene yacine</t>
  </si>
  <si>
    <t>Hazene rabah</t>
  </si>
  <si>
    <t>2021165459</t>
  </si>
  <si>
    <t>NB(N°306/2021)</t>
  </si>
  <si>
    <t>Belmeliani brahim</t>
  </si>
  <si>
    <t>2021165457</t>
  </si>
  <si>
    <t>Lassar abdelkader</t>
  </si>
  <si>
    <t>NB(N°292/2021)</t>
  </si>
  <si>
    <t>B12056</t>
  </si>
  <si>
    <t>2021165460</t>
  </si>
  <si>
    <t>2021165451</t>
  </si>
  <si>
    <t>NB(N°210/2021)</t>
  </si>
  <si>
    <t>Messaoudi a/cherif</t>
  </si>
  <si>
    <t>2021165452</t>
  </si>
  <si>
    <t>NB(N°223/2021)</t>
  </si>
  <si>
    <t>Maagafi brahim</t>
  </si>
  <si>
    <t>Mouloudj mourad</t>
  </si>
  <si>
    <t>2021165453</t>
  </si>
  <si>
    <t>2021165454</t>
  </si>
  <si>
    <t>NB(N°407/2021)</t>
  </si>
  <si>
    <t>2021165455</t>
  </si>
  <si>
    <t>NB(N°171/2021)</t>
  </si>
  <si>
    <t>Bouchibane souhila</t>
  </si>
  <si>
    <t>2021165092</t>
  </si>
  <si>
    <t>NB(N°277/2021)</t>
  </si>
  <si>
    <t>Soual a/zziz</t>
  </si>
  <si>
    <t>Mizlaoui med</t>
  </si>
  <si>
    <t>NB(N°044/2021)</t>
  </si>
  <si>
    <t>2021165091</t>
  </si>
  <si>
    <t>NB(N°411/2021)</t>
  </si>
  <si>
    <t>Demiche yahia</t>
  </si>
  <si>
    <t>2021165096</t>
  </si>
  <si>
    <t>NB(N°417/2021)</t>
  </si>
  <si>
    <t>Nebbah mustapha</t>
  </si>
  <si>
    <t>2021165097</t>
  </si>
  <si>
    <t>NB(N°068/2021)</t>
  </si>
  <si>
    <t>Benrached yahia</t>
  </si>
  <si>
    <t>B10761</t>
  </si>
  <si>
    <t>B32901</t>
  </si>
  <si>
    <t>2021165098</t>
  </si>
  <si>
    <t>2021165099</t>
  </si>
  <si>
    <t>NB(N°251/2021)</t>
  </si>
  <si>
    <t>Bedjaoui yassine</t>
  </si>
  <si>
    <t>2021165100</t>
  </si>
  <si>
    <t>NB(N°220/2021)</t>
  </si>
  <si>
    <t>Fergani omar</t>
  </si>
  <si>
    <t>B10799</t>
  </si>
  <si>
    <t>B10805</t>
  </si>
  <si>
    <t>B10752</t>
  </si>
  <si>
    <t>B10826</t>
  </si>
  <si>
    <t>B10756</t>
  </si>
  <si>
    <t>B10808</t>
  </si>
  <si>
    <t>2020002840</t>
  </si>
  <si>
    <t>2020002839</t>
  </si>
  <si>
    <t>2020002838</t>
  </si>
  <si>
    <t>BC0677</t>
  </si>
  <si>
    <t>BC0678</t>
  </si>
  <si>
    <t>Voir B40012 le 13/03/2022</t>
  </si>
  <si>
    <t>B13293</t>
  </si>
  <si>
    <t>B13219</t>
  </si>
  <si>
    <t>BC0697</t>
  </si>
  <si>
    <t>BC0698</t>
  </si>
  <si>
    <t>BC0699</t>
  </si>
  <si>
    <t>BC0700</t>
  </si>
  <si>
    <t>BC0701</t>
  </si>
  <si>
    <t>B13245</t>
  </si>
  <si>
    <t>B13244</t>
  </si>
  <si>
    <t>B35758</t>
  </si>
  <si>
    <t>B35786</t>
  </si>
  <si>
    <t>B13834</t>
  </si>
  <si>
    <t>B42286</t>
  </si>
  <si>
    <t>B22786</t>
  </si>
  <si>
    <t>B13242</t>
  </si>
  <si>
    <t>B13243</t>
  </si>
  <si>
    <t>BC0683</t>
  </si>
  <si>
    <t>BC0686</t>
  </si>
  <si>
    <t>B13261</t>
  </si>
  <si>
    <t>BC0684</t>
  </si>
  <si>
    <t>B42277</t>
  </si>
  <si>
    <t>B35830</t>
  </si>
  <si>
    <t>B13238</t>
  </si>
  <si>
    <t>B22789</t>
  </si>
  <si>
    <t>BC0681</t>
  </si>
  <si>
    <t>BC0676</t>
  </si>
  <si>
    <t>B13264</t>
  </si>
  <si>
    <t>B22787</t>
  </si>
  <si>
    <t>B22791</t>
  </si>
  <si>
    <t>BC0680</t>
  </si>
  <si>
    <t>B13248</t>
  </si>
  <si>
    <t>B13268</t>
  </si>
  <si>
    <t>B13247</t>
  </si>
  <si>
    <t>B22785</t>
  </si>
  <si>
    <t>B22793</t>
  </si>
  <si>
    <t>BC0670</t>
  </si>
  <si>
    <t>B22788</t>
  </si>
  <si>
    <t>B22792</t>
  </si>
  <si>
    <t>B13246</t>
  </si>
  <si>
    <t>B13171</t>
  </si>
  <si>
    <t>B42285</t>
  </si>
  <si>
    <t>BC0674</t>
  </si>
  <si>
    <t>B42288</t>
  </si>
  <si>
    <t>BC0694</t>
  </si>
  <si>
    <t>BC0685</t>
  </si>
  <si>
    <t>B22816</t>
  </si>
  <si>
    <t>B13265</t>
  </si>
  <si>
    <t>BC0679</t>
  </si>
  <si>
    <t>BC0687</t>
  </si>
  <si>
    <t>B13260</t>
  </si>
  <si>
    <t>B36855</t>
  </si>
  <si>
    <t>B22802</t>
  </si>
  <si>
    <t>B13288</t>
  </si>
  <si>
    <t>B13291</t>
  </si>
  <si>
    <t>B13269</t>
  </si>
  <si>
    <t>B22804</t>
  </si>
  <si>
    <t>B13285</t>
  </si>
  <si>
    <t>BC0721</t>
  </si>
  <si>
    <t>B42303</t>
  </si>
  <si>
    <t>B22805</t>
  </si>
  <si>
    <t>B22803</t>
  </si>
  <si>
    <t>B21551</t>
  </si>
  <si>
    <t>B13290</t>
  </si>
  <si>
    <t>Saki mahmoud</t>
  </si>
  <si>
    <t>BC0722</t>
  </si>
  <si>
    <t>B42301</t>
  </si>
  <si>
    <t>B36914</t>
  </si>
  <si>
    <t>B36915</t>
  </si>
  <si>
    <t>B36913</t>
  </si>
  <si>
    <t>B36885</t>
  </si>
  <si>
    <t>B36883</t>
  </si>
  <si>
    <t>B36884</t>
  </si>
  <si>
    <t>BC0688</t>
  </si>
  <si>
    <t>BC0725</t>
  </si>
  <si>
    <t>B22806</t>
  </si>
  <si>
    <t>B42290</t>
  </si>
  <si>
    <t>B42289</t>
  </si>
  <si>
    <t>B50075</t>
  </si>
  <si>
    <t>B14337</t>
  </si>
  <si>
    <t>BB0249</t>
  </si>
  <si>
    <t>B13295</t>
  </si>
  <si>
    <t>B22815</t>
  </si>
  <si>
    <t>B36858</t>
  </si>
  <si>
    <t>B36859</t>
  </si>
  <si>
    <t>BC0702</t>
  </si>
  <si>
    <t>B22798</t>
  </si>
  <si>
    <t>B42292</t>
  </si>
  <si>
    <t>B36868</t>
  </si>
  <si>
    <t>B13282</t>
  </si>
  <si>
    <t>BC0726</t>
  </si>
  <si>
    <t>B42291</t>
  </si>
  <si>
    <t>B42300</t>
  </si>
  <si>
    <t>BC0719</t>
  </si>
  <si>
    <t>B13281</t>
  </si>
  <si>
    <t>B22809</t>
  </si>
  <si>
    <t>B10732</t>
  </si>
  <si>
    <t>B13299</t>
  </si>
  <si>
    <t>B36857</t>
  </si>
  <si>
    <t>B22807</t>
  </si>
  <si>
    <t>B22814</t>
  </si>
  <si>
    <t>B33034</t>
  </si>
  <si>
    <t>B13278</t>
  </si>
  <si>
    <t>B13279</t>
  </si>
  <si>
    <t>B13280</t>
  </si>
  <si>
    <t>B42287</t>
  </si>
  <si>
    <t>B13286</t>
  </si>
  <si>
    <t>B13276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</si>
</sst>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b/>
      <i/>
      <sz val="11"/>
      <name val="Arial"/>
      <family val="2"/>
    </font>
    <font>
      <b/>
      <sz val="11"/>
      <name val="Arial"/>
      <family val="2"/>
    </font>
    <font>
      <sz val="9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4" fillId="2" borderId="2" xfId="1" applyFont="1" applyFill="1" applyBorder="1" applyAlignment="1">
      <alignment horizontal="center"/>
    </xf>
    <xf numFmtId="0" fontId="1" fillId="0" borderId="0" xfId="2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49" fontId="8" fillId="0" borderId="2" xfId="1" applyNumberFormat="1" applyFont="1" applyFill="1" applyBorder="1" applyAlignment="1">
      <alignment horizontal="center" vertical="center" wrapText="1"/>
    </xf>
    <xf numFmtId="14" fontId="8" fillId="0" borderId="2" xfId="1" applyNumberFormat="1" applyFont="1" applyFill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top" wrapText="1"/>
    </xf>
    <xf numFmtId="0" fontId="5" fillId="0" borderId="2" xfId="1" applyFont="1" applyFill="1" applyBorder="1" applyAlignment="1">
      <alignment horizontal="right" vertical="center" wrapText="1"/>
    </xf>
    <xf numFmtId="49" fontId="1" fillId="0" borderId="0" xfId="1" applyNumberFormat="1" applyFont="1" applyFill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" fillId="0" borderId="0" xfId="1" applyFont="1" applyFill="1" applyAlignment="1">
      <alignment vertical="center" wrapText="1"/>
    </xf>
    <xf numFmtId="49" fontId="9" fillId="0" borderId="2" xfId="1" applyNumberFormat="1" applyFont="1" applyFill="1" applyBorder="1" applyAlignment="1">
      <alignment horizontal="center" vertical="top" wrapText="1"/>
    </xf>
    <xf numFmtId="0" fontId="1" fillId="0" borderId="0" xfId="1" applyFill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0" fontId="1" fillId="0" borderId="0" xfId="1" applyFill="1"/>
    <xf numFmtId="49" fontId="12" fillId="0" borderId="2" xfId="1" applyNumberFormat="1" applyFont="1" applyBorder="1" applyAlignment="1">
      <alignment horizontal="center" vertical="top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571505</xdr:colOff>
      <xdr:row>20</xdr:row>
      <xdr:rowOff>28575</xdr:rowOff>
    </xdr:from>
    <xdr:to>
      <xdr:col>5</xdr:col>
      <xdr:colOff>1295400</xdr:colOff>
      <xdr:row>45</xdr:row>
      <xdr:rowOff>0</xdr:rowOff>
    </xdr:to>
    <xdr:cxnSp macro="">
      <xdr:nvCxnSpPr>
        <xdr:cNvPr id="3" name="Connecteur droit 2"/>
        <xdr:cNvCxnSpPr/>
      </xdr:nvCxnSpPr>
      <xdr:spPr>
        <a:xfrm flipH="1">
          <a:off x="571505" y="4010025"/>
          <a:ext cx="4562470" cy="4733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571506</xdr:colOff>
      <xdr:row>34</xdr:row>
      <xdr:rowOff>47625</xdr:rowOff>
    </xdr:from>
    <xdr:to>
      <xdr:col>5</xdr:col>
      <xdr:colOff>1257300</xdr:colOff>
      <xdr:row>45</xdr:row>
      <xdr:rowOff>0</xdr:rowOff>
    </xdr:to>
    <xdr:cxnSp macro="">
      <xdr:nvCxnSpPr>
        <xdr:cNvPr id="2" name="Connecteur droit 1"/>
        <xdr:cNvCxnSpPr/>
      </xdr:nvCxnSpPr>
      <xdr:spPr>
        <a:xfrm flipH="1">
          <a:off x="571506" y="6696075"/>
          <a:ext cx="4524369" cy="2047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571507</xdr:colOff>
      <xdr:row>15</xdr:row>
      <xdr:rowOff>0</xdr:rowOff>
    </xdr:from>
    <xdr:to>
      <xdr:col>5</xdr:col>
      <xdr:colOff>1285875</xdr:colOff>
      <xdr:row>45</xdr:row>
      <xdr:rowOff>0</xdr:rowOff>
    </xdr:to>
    <xdr:cxnSp macro="">
      <xdr:nvCxnSpPr>
        <xdr:cNvPr id="2" name="Connecteur droit 1"/>
        <xdr:cNvCxnSpPr/>
      </xdr:nvCxnSpPr>
      <xdr:spPr>
        <a:xfrm flipH="1">
          <a:off x="571507" y="3028950"/>
          <a:ext cx="4552943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43</xdr:row>
      <xdr:rowOff>38100</xdr:rowOff>
    </xdr:from>
    <xdr:to>
      <xdr:col>7</xdr:col>
      <xdr:colOff>28576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28650" y="8401050"/>
          <a:ext cx="4552951" cy="533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43</xdr:row>
      <xdr:rowOff>38100</xdr:rowOff>
    </xdr:from>
    <xdr:to>
      <xdr:col>7</xdr:col>
      <xdr:colOff>28576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28650" y="8401050"/>
          <a:ext cx="4552951" cy="533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15</xdr:row>
      <xdr:rowOff>161925</xdr:rowOff>
    </xdr:from>
    <xdr:to>
      <xdr:col>7</xdr:col>
      <xdr:colOff>9525</xdr:colOff>
      <xdr:row>36</xdr:row>
      <xdr:rowOff>9525</xdr:rowOff>
    </xdr:to>
    <xdr:cxnSp macro="">
      <xdr:nvCxnSpPr>
        <xdr:cNvPr id="4" name="Connecteur droit 3"/>
        <xdr:cNvCxnSpPr/>
      </xdr:nvCxnSpPr>
      <xdr:spPr>
        <a:xfrm flipH="1">
          <a:off x="609600" y="3190875"/>
          <a:ext cx="4552950" cy="384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43</xdr:row>
      <xdr:rowOff>38100</xdr:rowOff>
    </xdr:from>
    <xdr:to>
      <xdr:col>7</xdr:col>
      <xdr:colOff>28576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28650" y="8401050"/>
          <a:ext cx="4552951" cy="533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43</xdr:row>
      <xdr:rowOff>38100</xdr:rowOff>
    </xdr:from>
    <xdr:to>
      <xdr:col>7</xdr:col>
      <xdr:colOff>28576</xdr:colOff>
      <xdr:row>46</xdr:row>
      <xdr:rowOff>0</xdr:rowOff>
    </xdr:to>
    <xdr:cxnSp macro="">
      <xdr:nvCxnSpPr>
        <xdr:cNvPr id="2" name="Connecteur droit 1"/>
        <xdr:cNvCxnSpPr/>
      </xdr:nvCxnSpPr>
      <xdr:spPr>
        <a:xfrm flipH="1">
          <a:off x="647700" y="8336280"/>
          <a:ext cx="4684396" cy="5105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</xdr:colOff>
      <xdr:row>12</xdr:row>
      <xdr:rowOff>7620</xdr:rowOff>
    </xdr:from>
    <xdr:to>
      <xdr:col>5</xdr:col>
      <xdr:colOff>1325880</xdr:colOff>
      <xdr:row>35</xdr:row>
      <xdr:rowOff>175260</xdr:rowOff>
    </xdr:to>
    <xdr:cxnSp macro="">
      <xdr:nvCxnSpPr>
        <xdr:cNvPr id="4" name="Connecteur droit 3"/>
        <xdr:cNvCxnSpPr/>
      </xdr:nvCxnSpPr>
      <xdr:spPr>
        <a:xfrm rot="10800000" flipV="1">
          <a:off x="647700" y="2446020"/>
          <a:ext cx="4632960" cy="45491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7620</xdr:rowOff>
    </xdr:from>
    <xdr:to>
      <xdr:col>6</xdr:col>
      <xdr:colOff>0</xdr:colOff>
      <xdr:row>43</xdr:row>
      <xdr:rowOff>167640</xdr:rowOff>
    </xdr:to>
    <xdr:cxnSp macro="">
      <xdr:nvCxnSpPr>
        <xdr:cNvPr id="3" name="Connecteur droit 2"/>
        <xdr:cNvCxnSpPr/>
      </xdr:nvCxnSpPr>
      <xdr:spPr>
        <a:xfrm rot="10800000" flipV="1">
          <a:off x="647700" y="6256020"/>
          <a:ext cx="4655820" cy="2209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29</xdr:row>
      <xdr:rowOff>180974</xdr:rowOff>
    </xdr:from>
    <xdr:to>
      <xdr:col>5</xdr:col>
      <xdr:colOff>1295400</xdr:colOff>
      <xdr:row>45</xdr:row>
      <xdr:rowOff>167639</xdr:rowOff>
    </xdr:to>
    <xdr:cxnSp macro="">
      <xdr:nvCxnSpPr>
        <xdr:cNvPr id="2" name="Connecteur droit 1"/>
        <xdr:cNvCxnSpPr/>
      </xdr:nvCxnSpPr>
      <xdr:spPr>
        <a:xfrm rot="10800000" flipV="1">
          <a:off x="628651" y="5876924"/>
          <a:ext cx="4505324" cy="30346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38103</xdr:colOff>
      <xdr:row>32</xdr:row>
      <xdr:rowOff>9525</xdr:rowOff>
    </xdr:from>
    <xdr:to>
      <xdr:col>5</xdr:col>
      <xdr:colOff>1285875</xdr:colOff>
      <xdr:row>45</xdr:row>
      <xdr:rowOff>167639</xdr:rowOff>
    </xdr:to>
    <xdr:cxnSp macro="">
      <xdr:nvCxnSpPr>
        <xdr:cNvPr id="2" name="Connecteur droit 1"/>
        <xdr:cNvCxnSpPr/>
      </xdr:nvCxnSpPr>
      <xdr:spPr>
        <a:xfrm flipH="1">
          <a:off x="628653" y="6276975"/>
          <a:ext cx="4495797" cy="26346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38104</xdr:colOff>
      <xdr:row>23</xdr:row>
      <xdr:rowOff>9525</xdr:rowOff>
    </xdr:from>
    <xdr:to>
      <xdr:col>5</xdr:col>
      <xdr:colOff>1285875</xdr:colOff>
      <xdr:row>45</xdr:row>
      <xdr:rowOff>167639</xdr:rowOff>
    </xdr:to>
    <xdr:cxnSp macro="">
      <xdr:nvCxnSpPr>
        <xdr:cNvPr id="2" name="Connecteur droit 1"/>
        <xdr:cNvCxnSpPr/>
      </xdr:nvCxnSpPr>
      <xdr:spPr>
        <a:xfrm flipH="1">
          <a:off x="628654" y="4562475"/>
          <a:ext cx="4495796" cy="43491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28575</xdr:rowOff>
    </xdr:from>
    <xdr:to>
      <xdr:col>5</xdr:col>
      <xdr:colOff>1285877</xdr:colOff>
      <xdr:row>45</xdr:row>
      <xdr:rowOff>180975</xdr:rowOff>
    </xdr:to>
    <xdr:cxnSp macro="">
      <xdr:nvCxnSpPr>
        <xdr:cNvPr id="2" name="Connecteur droit 1"/>
        <xdr:cNvCxnSpPr/>
      </xdr:nvCxnSpPr>
      <xdr:spPr>
        <a:xfrm flipH="1">
          <a:off x="590550" y="6105525"/>
          <a:ext cx="4533902" cy="2819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opLeftCell="A4" workbookViewId="0">
      <selection activeCell="B13" sqref="B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140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SUMIF(F7:F364,"Elimination*",G7:G364)</f>
        <v>9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SUMIF(F7:F364,"NB*",G7:G364)</f>
        <v>5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SUMIF(F7:F364,"Ve*",G7:G364)</f>
        <v>0</v>
      </c>
    </row>
    <row r="5" spans="1:11" ht="15.75" x14ac:dyDescent="0.25">
      <c r="A5" s="30" t="s">
        <v>18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14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19</v>
      </c>
      <c r="C7" s="14" t="s">
        <v>20</v>
      </c>
      <c r="D7" s="15" t="s">
        <v>21</v>
      </c>
      <c r="E7" s="16">
        <v>44199</v>
      </c>
      <c r="F7" s="17" t="s">
        <v>22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23</v>
      </c>
      <c r="C8" s="14" t="s">
        <v>20</v>
      </c>
      <c r="D8" s="15" t="s">
        <v>24</v>
      </c>
      <c r="E8" s="16">
        <v>44201</v>
      </c>
      <c r="F8" s="17" t="s">
        <v>22</v>
      </c>
      <c r="G8" s="18">
        <v>1</v>
      </c>
      <c r="H8" s="20"/>
      <c r="I8" s="22"/>
      <c r="J8" s="22"/>
      <c r="K8" s="4"/>
    </row>
    <row r="9" spans="1:11" ht="15" customHeight="1" x14ac:dyDescent="0.25">
      <c r="A9" s="12">
        <f t="shared" ref="A9:A45" si="0">+A8+1</f>
        <v>3</v>
      </c>
      <c r="B9" s="13" t="s">
        <v>568</v>
      </c>
      <c r="C9" s="14" t="s">
        <v>20</v>
      </c>
      <c r="D9" s="15" t="s">
        <v>26</v>
      </c>
      <c r="E9" s="16">
        <v>44201</v>
      </c>
      <c r="F9" s="17" t="s">
        <v>27</v>
      </c>
      <c r="G9" s="18">
        <v>1</v>
      </c>
      <c r="H9" s="23" t="s">
        <v>54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569</v>
      </c>
      <c r="C10" s="14" t="s">
        <v>20</v>
      </c>
      <c r="D10" s="15" t="s">
        <v>28</v>
      </c>
      <c r="E10" s="16">
        <v>44203</v>
      </c>
      <c r="F10" s="17" t="s">
        <v>29</v>
      </c>
      <c r="G10" s="18">
        <v>1</v>
      </c>
      <c r="H10" s="23" t="s">
        <v>55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30</v>
      </c>
      <c r="C11" s="14" t="s">
        <v>20</v>
      </c>
      <c r="D11" s="21" t="s">
        <v>31</v>
      </c>
      <c r="E11" s="16">
        <v>44220</v>
      </c>
      <c r="F11" s="17" t="s">
        <v>22</v>
      </c>
      <c r="G11" s="18">
        <v>1</v>
      </c>
      <c r="H11" s="23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34</v>
      </c>
      <c r="C12" s="14" t="s">
        <v>20</v>
      </c>
      <c r="D12" s="21" t="s">
        <v>35</v>
      </c>
      <c r="E12" s="16">
        <v>44221</v>
      </c>
      <c r="F12" s="17" t="s">
        <v>22</v>
      </c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6" t="s">
        <v>572</v>
      </c>
      <c r="C13" s="14" t="s">
        <v>20</v>
      </c>
      <c r="D13" s="21" t="s">
        <v>40</v>
      </c>
      <c r="E13" s="16">
        <v>44221</v>
      </c>
      <c r="F13" s="17" t="s">
        <v>41</v>
      </c>
      <c r="G13" s="18">
        <v>1</v>
      </c>
      <c r="H13" s="19" t="s">
        <v>42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32</v>
      </c>
      <c r="C14" s="14" t="s">
        <v>20</v>
      </c>
      <c r="D14" s="21" t="s">
        <v>33</v>
      </c>
      <c r="E14" s="16">
        <v>44221</v>
      </c>
      <c r="F14" s="17" t="s">
        <v>22</v>
      </c>
      <c r="G14" s="18">
        <v>1</v>
      </c>
      <c r="H14" s="23"/>
      <c r="I14" s="22"/>
      <c r="J14" s="22"/>
      <c r="K14" s="4"/>
    </row>
    <row r="15" spans="1:11" ht="15" customHeight="1" x14ac:dyDescent="0.25">
      <c r="A15" s="12">
        <f t="shared" si="0"/>
        <v>9</v>
      </c>
      <c r="B15" s="16" t="s">
        <v>570</v>
      </c>
      <c r="C15" s="14" t="s">
        <v>20</v>
      </c>
      <c r="D15" s="21" t="s">
        <v>43</v>
      </c>
      <c r="E15" s="16">
        <v>44222</v>
      </c>
      <c r="F15" s="17" t="s">
        <v>53</v>
      </c>
      <c r="G15" s="18">
        <v>1</v>
      </c>
      <c r="H15" s="25" t="s">
        <v>207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571</v>
      </c>
      <c r="C16" s="14" t="s">
        <v>20</v>
      </c>
      <c r="D16" s="21" t="s">
        <v>37</v>
      </c>
      <c r="E16" s="16">
        <v>44222</v>
      </c>
      <c r="F16" s="17" t="s">
        <v>38</v>
      </c>
      <c r="G16" s="18">
        <v>1</v>
      </c>
      <c r="H16" s="19" t="s">
        <v>39</v>
      </c>
      <c r="I16" s="22"/>
      <c r="J16" s="22"/>
    </row>
    <row r="17" spans="1:10" ht="15" customHeight="1" x14ac:dyDescent="0.25">
      <c r="A17" s="12">
        <f t="shared" si="0"/>
        <v>11</v>
      </c>
      <c r="B17" s="16" t="s">
        <v>44</v>
      </c>
      <c r="C17" s="14" t="s">
        <v>20</v>
      </c>
      <c r="D17" s="21" t="s">
        <v>45</v>
      </c>
      <c r="E17" s="16">
        <v>44223</v>
      </c>
      <c r="F17" s="17" t="s">
        <v>22</v>
      </c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6" t="s">
        <v>50</v>
      </c>
      <c r="C18" s="14" t="s">
        <v>20</v>
      </c>
      <c r="D18" s="21" t="s">
        <v>51</v>
      </c>
      <c r="E18" s="16">
        <v>44223</v>
      </c>
      <c r="F18" s="17" t="s">
        <v>22</v>
      </c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6" t="s">
        <v>48</v>
      </c>
      <c r="C19" s="14" t="s">
        <v>20</v>
      </c>
      <c r="D19" s="21" t="s">
        <v>49</v>
      </c>
      <c r="E19" s="16">
        <v>44223</v>
      </c>
      <c r="F19" s="17" t="s">
        <v>22</v>
      </c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 t="s">
        <v>46</v>
      </c>
      <c r="C20" s="14" t="s">
        <v>20</v>
      </c>
      <c r="D20" s="21" t="s">
        <v>47</v>
      </c>
      <c r="E20" s="16">
        <v>44223</v>
      </c>
      <c r="F20" s="17" t="s">
        <v>22</v>
      </c>
      <c r="G20" s="18">
        <v>1</v>
      </c>
      <c r="H20" s="25"/>
      <c r="I20" s="22"/>
      <c r="J20" s="22"/>
    </row>
    <row r="21" spans="1:10" ht="15" customHeight="1" x14ac:dyDescent="0.25">
      <c r="A21" s="12">
        <f t="shared" si="0"/>
        <v>15</v>
      </c>
      <c r="B21" s="16"/>
      <c r="C21" s="13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6"/>
      <c r="C22" s="14"/>
      <c r="D22" s="15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3"/>
      <c r="C23" s="14"/>
      <c r="D23" s="15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6"/>
      <c r="C24" s="14"/>
      <c r="D24" s="15"/>
      <c r="E24" s="16"/>
      <c r="F24" s="17"/>
      <c r="G24" s="18">
        <v>1</v>
      </c>
      <c r="H24" s="26"/>
      <c r="I24" s="22"/>
      <c r="J24" s="22"/>
    </row>
    <row r="25" spans="1:10" ht="15" customHeight="1" x14ac:dyDescent="0.25">
      <c r="A25" s="12">
        <f t="shared" si="0"/>
        <v>19</v>
      </c>
      <c r="B25" s="16"/>
      <c r="C25" s="14"/>
      <c r="D25" s="21"/>
      <c r="E25" s="16"/>
      <c r="F25" s="24"/>
      <c r="G25" s="18">
        <v>1</v>
      </c>
      <c r="H25" s="26"/>
      <c r="I25" s="22"/>
      <c r="J25" s="22"/>
    </row>
    <row r="26" spans="1:10" ht="15" customHeight="1" x14ac:dyDescent="0.25">
      <c r="A26" s="12">
        <f t="shared" si="0"/>
        <v>20</v>
      </c>
      <c r="B26" s="16"/>
      <c r="C26" s="14"/>
      <c r="D26" s="21"/>
      <c r="E26" s="16"/>
      <c r="F26" s="24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/>
      <c r="C27" s="14"/>
      <c r="D27" s="15"/>
      <c r="E27" s="16"/>
      <c r="F27" s="24"/>
      <c r="G27" s="18">
        <v>1</v>
      </c>
      <c r="H27" s="26"/>
      <c r="I27" s="22"/>
      <c r="J27" s="22"/>
    </row>
    <row r="28" spans="1:10" ht="15" customHeight="1" x14ac:dyDescent="0.25">
      <c r="A28" s="12">
        <f t="shared" si="0"/>
        <v>22</v>
      </c>
      <c r="B28" s="16"/>
      <c r="C28" s="14"/>
      <c r="D28" s="15"/>
      <c r="E28" s="16"/>
      <c r="F28" s="24"/>
      <c r="G28" s="18">
        <v>1</v>
      </c>
      <c r="H28" s="19"/>
      <c r="I28" s="22"/>
      <c r="J28" s="22"/>
    </row>
    <row r="29" spans="1:10" ht="15" customHeight="1" x14ac:dyDescent="0.25">
      <c r="A29" s="12">
        <f t="shared" si="0"/>
        <v>23</v>
      </c>
      <c r="B29" s="16"/>
      <c r="C29" s="14"/>
      <c r="D29" s="15"/>
      <c r="E29" s="16"/>
      <c r="F29" s="24"/>
      <c r="G29" s="18">
        <v>1</v>
      </c>
      <c r="H29" s="26"/>
      <c r="I29" s="22"/>
      <c r="J29" s="22"/>
    </row>
    <row r="30" spans="1:10" ht="15" customHeight="1" x14ac:dyDescent="0.25">
      <c r="A30" s="12">
        <f t="shared" si="0"/>
        <v>24</v>
      </c>
      <c r="B30" s="13"/>
      <c r="C30" s="14"/>
      <c r="D30" s="15"/>
      <c r="E30" s="16"/>
      <c r="F30" s="24"/>
      <c r="G30" s="18">
        <v>1</v>
      </c>
      <c r="H30" s="26"/>
      <c r="I30" s="4"/>
      <c r="J30" s="4"/>
    </row>
    <row r="31" spans="1:10" ht="15" customHeight="1" x14ac:dyDescent="0.25">
      <c r="A31" s="12">
        <f t="shared" si="0"/>
        <v>25</v>
      </c>
      <c r="B31" s="16"/>
      <c r="C31" s="14"/>
      <c r="D31" s="15"/>
      <c r="E31" s="16"/>
      <c r="F31" s="24"/>
      <c r="G31" s="18">
        <v>1</v>
      </c>
      <c r="H31" s="4"/>
      <c r="I31" s="4"/>
      <c r="J31" s="4"/>
    </row>
    <row r="32" spans="1:10" ht="15" customHeight="1" x14ac:dyDescent="0.25">
      <c r="A32" s="12">
        <f t="shared" si="0"/>
        <v>26</v>
      </c>
      <c r="B32" s="16"/>
      <c r="C32" s="14"/>
      <c r="D32" s="15"/>
      <c r="E32" s="16"/>
      <c r="F32" s="24"/>
      <c r="G32" s="18">
        <v>1</v>
      </c>
      <c r="H32" s="26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/>
      <c r="H33" s="4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3"/>
      <c r="D37" s="21"/>
      <c r="E37" s="16"/>
      <c r="F37" s="17"/>
      <c r="G37" s="18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6"/>
      <c r="C38" s="13"/>
      <c r="D38" s="21"/>
      <c r="E38" s="16"/>
      <c r="F38" s="17"/>
      <c r="G38" s="18">
        <v>1</v>
      </c>
      <c r="H38" s="4"/>
      <c r="I38" s="4"/>
      <c r="J38" s="4"/>
    </row>
    <row r="39" spans="1:10" x14ac:dyDescent="0.25">
      <c r="A39" s="12">
        <f t="shared" si="0"/>
        <v>33</v>
      </c>
      <c r="B39" s="16"/>
      <c r="C39" s="13"/>
      <c r="D39" s="21"/>
      <c r="E39" s="16"/>
      <c r="F39" s="24"/>
      <c r="G39" s="18">
        <v>1</v>
      </c>
    </row>
    <row r="40" spans="1:10" x14ac:dyDescent="0.25">
      <c r="A40" s="12">
        <f>+A39+1</f>
        <v>34</v>
      </c>
      <c r="B40" s="16"/>
      <c r="C40" s="13"/>
      <c r="D40" s="21"/>
      <c r="E40" s="16"/>
      <c r="F40" s="24"/>
      <c r="G40" s="18">
        <v>1</v>
      </c>
    </row>
    <row r="41" spans="1:10" x14ac:dyDescent="0.25">
      <c r="A41" s="12">
        <f t="shared" si="0"/>
        <v>35</v>
      </c>
      <c r="B41" s="16"/>
      <c r="C41" s="13"/>
      <c r="D41" s="21"/>
      <c r="E41" s="16"/>
      <c r="F41" s="24"/>
      <c r="G41" s="18">
        <v>1</v>
      </c>
    </row>
    <row r="42" spans="1:10" x14ac:dyDescent="0.25">
      <c r="A42" s="12">
        <f t="shared" si="0"/>
        <v>36</v>
      </c>
      <c r="B42" s="16"/>
      <c r="C42" s="13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3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3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3"/>
      <c r="D45" s="16"/>
      <c r="E45" s="16"/>
      <c r="F45" s="24"/>
      <c r="G45" s="18">
        <v>1</v>
      </c>
    </row>
  </sheetData>
  <sortState ref="B7:H20">
    <sortCondition ref="E7:E20"/>
    <sortCondition ref="D7:D2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>
      <selection activeCell="B18" sqref="B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SUMIF(F7:F364,"Elimination*",G7:G364)</f>
        <v>10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SUMIF(F7:F364,"NB*",G7:G364)</f>
        <v>7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SUMIF(F7:F364,"Ve*",G7:G364)</f>
        <v>11</v>
      </c>
    </row>
    <row r="5" spans="1:11" ht="15.75" x14ac:dyDescent="0.25">
      <c r="A5" s="30" t="s">
        <v>52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28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56</v>
      </c>
      <c r="C7" s="14" t="s">
        <v>20</v>
      </c>
      <c r="D7" s="14">
        <v>2020223475</v>
      </c>
      <c r="E7" s="16">
        <v>44228</v>
      </c>
      <c r="F7" s="17" t="s">
        <v>22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62</v>
      </c>
      <c r="C8" s="14" t="s">
        <v>20</v>
      </c>
      <c r="D8" s="15" t="s">
        <v>61</v>
      </c>
      <c r="E8" s="16">
        <v>44229</v>
      </c>
      <c r="F8" s="17" t="s">
        <v>22</v>
      </c>
      <c r="G8" s="18">
        <v>1</v>
      </c>
      <c r="H8" s="23"/>
      <c r="I8" s="22"/>
      <c r="J8" s="22"/>
      <c r="K8" s="4"/>
    </row>
    <row r="9" spans="1:11" ht="15" customHeight="1" x14ac:dyDescent="0.25">
      <c r="A9" s="12">
        <f t="shared" ref="A9:A45" si="0">+A8+1</f>
        <v>3</v>
      </c>
      <c r="B9" s="13" t="s">
        <v>59</v>
      </c>
      <c r="C9" s="14" t="s">
        <v>20</v>
      </c>
      <c r="D9" s="15" t="s">
        <v>60</v>
      </c>
      <c r="E9" s="16">
        <v>44229</v>
      </c>
      <c r="F9" s="17" t="s">
        <v>22</v>
      </c>
      <c r="G9" s="18">
        <v>1</v>
      </c>
      <c r="H9" s="23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57</v>
      </c>
      <c r="C10" s="14" t="s">
        <v>20</v>
      </c>
      <c r="D10" s="15" t="s">
        <v>58</v>
      </c>
      <c r="E10" s="16">
        <v>44229</v>
      </c>
      <c r="F10" s="17" t="s">
        <v>22</v>
      </c>
      <c r="G10" s="18">
        <v>1</v>
      </c>
      <c r="H10" s="20"/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573</v>
      </c>
      <c r="C11" s="14" t="s">
        <v>20</v>
      </c>
      <c r="D11" s="21" t="s">
        <v>72</v>
      </c>
      <c r="E11" s="16">
        <v>44231</v>
      </c>
      <c r="F11" s="17" t="s">
        <v>74</v>
      </c>
      <c r="G11" s="18">
        <v>1</v>
      </c>
      <c r="H11" s="23" t="s">
        <v>73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574</v>
      </c>
      <c r="C12" s="14" t="s">
        <v>20</v>
      </c>
      <c r="D12" s="21" t="s">
        <v>68</v>
      </c>
      <c r="E12" s="16">
        <v>44231</v>
      </c>
      <c r="F12" s="17" t="s">
        <v>69</v>
      </c>
      <c r="G12" s="18">
        <v>1</v>
      </c>
      <c r="H12" s="19" t="s">
        <v>70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63</v>
      </c>
      <c r="C13" s="14" t="s">
        <v>20</v>
      </c>
      <c r="D13" s="21" t="s">
        <v>65</v>
      </c>
      <c r="E13" s="16">
        <v>44231</v>
      </c>
      <c r="F13" s="17" t="s">
        <v>22</v>
      </c>
      <c r="G13" s="18">
        <v>1</v>
      </c>
      <c r="H13" s="23"/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66</v>
      </c>
      <c r="C14" s="14" t="s">
        <v>20</v>
      </c>
      <c r="D14" s="21" t="s">
        <v>64</v>
      </c>
      <c r="E14" s="16">
        <v>44231</v>
      </c>
      <c r="F14" s="17" t="s">
        <v>22</v>
      </c>
      <c r="G14" s="18">
        <v>1</v>
      </c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575</v>
      </c>
      <c r="C15" s="14" t="s">
        <v>20</v>
      </c>
      <c r="D15" s="21" t="s">
        <v>81</v>
      </c>
      <c r="E15" s="16">
        <v>44235</v>
      </c>
      <c r="F15" s="17" t="s">
        <v>82</v>
      </c>
      <c r="G15" s="18">
        <v>1</v>
      </c>
      <c r="H15" s="19" t="s">
        <v>86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576</v>
      </c>
      <c r="C16" s="14" t="s">
        <v>20</v>
      </c>
      <c r="D16" s="21" t="s">
        <v>78</v>
      </c>
      <c r="E16" s="16">
        <v>44235</v>
      </c>
      <c r="F16" s="17" t="s">
        <v>79</v>
      </c>
      <c r="G16" s="18">
        <v>1</v>
      </c>
      <c r="H16" s="19" t="s">
        <v>80</v>
      </c>
      <c r="I16" s="22"/>
      <c r="J16" s="22"/>
    </row>
    <row r="17" spans="1:10" ht="15" customHeight="1" x14ac:dyDescent="0.25">
      <c r="A17" s="12">
        <f t="shared" si="0"/>
        <v>11</v>
      </c>
      <c r="B17" s="16" t="s">
        <v>577</v>
      </c>
      <c r="C17" s="14" t="s">
        <v>20</v>
      </c>
      <c r="D17" s="21" t="s">
        <v>75</v>
      </c>
      <c r="E17" s="16">
        <v>44235</v>
      </c>
      <c r="F17" s="17" t="s">
        <v>76</v>
      </c>
      <c r="G17" s="18">
        <v>1</v>
      </c>
      <c r="H17" s="25" t="s">
        <v>77</v>
      </c>
      <c r="I17" s="22"/>
      <c r="J17" s="22"/>
    </row>
    <row r="18" spans="1:10" ht="15" customHeight="1" x14ac:dyDescent="0.25">
      <c r="A18" s="12">
        <f t="shared" si="0"/>
        <v>12</v>
      </c>
      <c r="B18" s="16" t="s">
        <v>578</v>
      </c>
      <c r="C18" s="14" t="s">
        <v>20</v>
      </c>
      <c r="D18" s="21" t="s">
        <v>83</v>
      </c>
      <c r="E18" s="16">
        <v>44237</v>
      </c>
      <c r="F18" s="17" t="s">
        <v>84</v>
      </c>
      <c r="G18" s="18">
        <v>1</v>
      </c>
      <c r="H18" s="19" t="s">
        <v>85</v>
      </c>
      <c r="I18" s="22"/>
      <c r="J18" s="22"/>
    </row>
    <row r="19" spans="1:10" ht="15" customHeight="1" x14ac:dyDescent="0.25">
      <c r="A19" s="12">
        <f t="shared" si="0"/>
        <v>13</v>
      </c>
      <c r="B19" s="16" t="s">
        <v>474</v>
      </c>
      <c r="C19" s="14" t="s">
        <v>20</v>
      </c>
      <c r="D19" s="21" t="s">
        <v>91</v>
      </c>
      <c r="E19" s="16">
        <v>44241</v>
      </c>
      <c r="F19" s="17" t="s">
        <v>87</v>
      </c>
      <c r="G19" s="18">
        <v>1</v>
      </c>
      <c r="H19" s="19" t="s">
        <v>475</v>
      </c>
      <c r="I19" s="22"/>
      <c r="J19" s="22"/>
    </row>
    <row r="20" spans="1:10" ht="15" customHeight="1" x14ac:dyDescent="0.25">
      <c r="A20" s="12">
        <f t="shared" si="0"/>
        <v>14</v>
      </c>
      <c r="B20" s="16" t="s">
        <v>474</v>
      </c>
      <c r="C20" s="14" t="s">
        <v>20</v>
      </c>
      <c r="D20" s="21" t="s">
        <v>92</v>
      </c>
      <c r="E20" s="16">
        <v>44241</v>
      </c>
      <c r="F20" s="17" t="s">
        <v>87</v>
      </c>
      <c r="G20" s="18">
        <v>1</v>
      </c>
      <c r="H20" s="19" t="s">
        <v>475</v>
      </c>
      <c r="I20" s="22"/>
      <c r="J20" s="22"/>
    </row>
    <row r="21" spans="1:10" ht="15" customHeight="1" x14ac:dyDescent="0.25">
      <c r="A21" s="12">
        <f t="shared" si="0"/>
        <v>15</v>
      </c>
      <c r="B21" s="16" t="s">
        <v>474</v>
      </c>
      <c r="C21" s="14" t="s">
        <v>20</v>
      </c>
      <c r="D21" s="21" t="s">
        <v>93</v>
      </c>
      <c r="E21" s="16">
        <v>44241</v>
      </c>
      <c r="F21" s="17" t="s">
        <v>87</v>
      </c>
      <c r="G21" s="18">
        <v>1</v>
      </c>
      <c r="H21" s="19" t="s">
        <v>475</v>
      </c>
      <c r="I21" s="22"/>
      <c r="J21" s="22"/>
    </row>
    <row r="22" spans="1:10" ht="15" customHeight="1" x14ac:dyDescent="0.25">
      <c r="A22" s="12">
        <f t="shared" si="0"/>
        <v>16</v>
      </c>
      <c r="B22" s="16" t="s">
        <v>474</v>
      </c>
      <c r="C22" s="14" t="s">
        <v>20</v>
      </c>
      <c r="D22" s="21" t="s">
        <v>94</v>
      </c>
      <c r="E22" s="16">
        <v>44241</v>
      </c>
      <c r="F22" s="17" t="s">
        <v>87</v>
      </c>
      <c r="G22" s="18">
        <v>1</v>
      </c>
      <c r="H22" s="19" t="s">
        <v>475</v>
      </c>
      <c r="I22" s="22"/>
      <c r="J22" s="22"/>
    </row>
    <row r="23" spans="1:10" ht="15" customHeight="1" x14ac:dyDescent="0.25">
      <c r="A23" s="12">
        <f t="shared" si="0"/>
        <v>17</v>
      </c>
      <c r="B23" s="16" t="s">
        <v>474</v>
      </c>
      <c r="C23" s="14" t="s">
        <v>20</v>
      </c>
      <c r="D23" s="21" t="s">
        <v>95</v>
      </c>
      <c r="E23" s="16">
        <v>44241</v>
      </c>
      <c r="F23" s="17" t="s">
        <v>87</v>
      </c>
      <c r="G23" s="18">
        <v>1</v>
      </c>
      <c r="H23" s="19" t="s">
        <v>475</v>
      </c>
      <c r="I23" s="22"/>
      <c r="J23" s="22"/>
    </row>
    <row r="24" spans="1:10" ht="15" customHeight="1" x14ac:dyDescent="0.25">
      <c r="A24" s="12">
        <f t="shared" si="0"/>
        <v>18</v>
      </c>
      <c r="B24" s="16" t="s">
        <v>474</v>
      </c>
      <c r="C24" s="14" t="s">
        <v>20</v>
      </c>
      <c r="D24" s="21" t="s">
        <v>96</v>
      </c>
      <c r="E24" s="16">
        <v>44241</v>
      </c>
      <c r="F24" s="17" t="s">
        <v>87</v>
      </c>
      <c r="G24" s="18">
        <v>1</v>
      </c>
      <c r="H24" s="19" t="s">
        <v>475</v>
      </c>
      <c r="I24" s="22"/>
      <c r="J24" s="22"/>
    </row>
    <row r="25" spans="1:10" ht="15" customHeight="1" x14ac:dyDescent="0.25">
      <c r="A25" s="12">
        <f t="shared" si="0"/>
        <v>19</v>
      </c>
      <c r="B25" s="16" t="s">
        <v>474</v>
      </c>
      <c r="C25" s="14" t="s">
        <v>20</v>
      </c>
      <c r="D25" s="21" t="s">
        <v>97</v>
      </c>
      <c r="E25" s="16">
        <v>44241</v>
      </c>
      <c r="F25" s="17" t="s">
        <v>87</v>
      </c>
      <c r="G25" s="18">
        <v>1</v>
      </c>
      <c r="H25" s="19" t="s">
        <v>475</v>
      </c>
      <c r="I25" s="22"/>
      <c r="J25" s="22"/>
    </row>
    <row r="26" spans="1:10" ht="15" customHeight="1" x14ac:dyDescent="0.25">
      <c r="A26" s="12">
        <f t="shared" si="0"/>
        <v>20</v>
      </c>
      <c r="B26" s="16" t="s">
        <v>474</v>
      </c>
      <c r="C26" s="14" t="s">
        <v>20</v>
      </c>
      <c r="D26" s="21" t="s">
        <v>98</v>
      </c>
      <c r="E26" s="16">
        <v>44241</v>
      </c>
      <c r="F26" s="17" t="s">
        <v>87</v>
      </c>
      <c r="G26" s="18">
        <v>1</v>
      </c>
      <c r="H26" s="19" t="s">
        <v>475</v>
      </c>
      <c r="I26" s="22"/>
      <c r="J26" s="22"/>
    </row>
    <row r="27" spans="1:10" ht="15" customHeight="1" x14ac:dyDescent="0.25">
      <c r="A27" s="12">
        <f t="shared" si="0"/>
        <v>21</v>
      </c>
      <c r="B27" s="16" t="s">
        <v>474</v>
      </c>
      <c r="C27" s="14" t="s">
        <v>20</v>
      </c>
      <c r="D27" s="21" t="s">
        <v>99</v>
      </c>
      <c r="E27" s="16">
        <v>44241</v>
      </c>
      <c r="F27" s="17" t="s">
        <v>87</v>
      </c>
      <c r="G27" s="18">
        <v>1</v>
      </c>
      <c r="H27" s="19" t="s">
        <v>475</v>
      </c>
      <c r="I27" s="22"/>
      <c r="J27" s="22"/>
    </row>
    <row r="28" spans="1:10" ht="15" customHeight="1" x14ac:dyDescent="0.25">
      <c r="A28" s="12">
        <f t="shared" si="0"/>
        <v>22</v>
      </c>
      <c r="B28" s="16" t="s">
        <v>474</v>
      </c>
      <c r="C28" s="14" t="s">
        <v>20</v>
      </c>
      <c r="D28" s="21" t="s">
        <v>100</v>
      </c>
      <c r="E28" s="16">
        <v>44241</v>
      </c>
      <c r="F28" s="17" t="s">
        <v>87</v>
      </c>
      <c r="G28" s="18">
        <v>1</v>
      </c>
      <c r="H28" s="19" t="s">
        <v>475</v>
      </c>
      <c r="I28" s="22"/>
      <c r="J28" s="22"/>
    </row>
    <row r="29" spans="1:10" ht="15" customHeight="1" x14ac:dyDescent="0.25">
      <c r="A29" s="12">
        <f t="shared" si="0"/>
        <v>23</v>
      </c>
      <c r="B29" s="16" t="s">
        <v>88</v>
      </c>
      <c r="C29" s="14" t="s">
        <v>89</v>
      </c>
      <c r="D29" s="15" t="s">
        <v>90</v>
      </c>
      <c r="E29" s="16">
        <v>44242</v>
      </c>
      <c r="F29" s="17" t="s">
        <v>87</v>
      </c>
      <c r="G29" s="18">
        <v>1</v>
      </c>
      <c r="H29" s="26"/>
      <c r="I29" s="22"/>
      <c r="J29" s="22"/>
    </row>
    <row r="30" spans="1:10" ht="15" customHeight="1" x14ac:dyDescent="0.25">
      <c r="A30" s="12">
        <f t="shared" si="0"/>
        <v>24</v>
      </c>
      <c r="B30" s="13" t="s">
        <v>101</v>
      </c>
      <c r="C30" s="14" t="s">
        <v>20</v>
      </c>
      <c r="D30" s="15" t="s">
        <v>102</v>
      </c>
      <c r="E30" s="16">
        <v>44243</v>
      </c>
      <c r="F30" s="24" t="s">
        <v>22</v>
      </c>
      <c r="G30" s="18">
        <v>1</v>
      </c>
      <c r="H30" s="26"/>
      <c r="I30" s="4"/>
      <c r="J30" s="4"/>
    </row>
    <row r="31" spans="1:10" ht="15" customHeight="1" x14ac:dyDescent="0.25">
      <c r="A31" s="12">
        <f t="shared" si="0"/>
        <v>25</v>
      </c>
      <c r="B31" s="16" t="s">
        <v>103</v>
      </c>
      <c r="C31" s="14" t="s">
        <v>20</v>
      </c>
      <c r="D31" s="15" t="s">
        <v>104</v>
      </c>
      <c r="E31" s="16">
        <v>44243</v>
      </c>
      <c r="F31" s="24" t="s">
        <v>22</v>
      </c>
      <c r="G31" s="18">
        <v>1</v>
      </c>
      <c r="H31" s="4"/>
      <c r="I31" s="4"/>
      <c r="J31" s="4"/>
    </row>
    <row r="32" spans="1:10" ht="15" customHeight="1" x14ac:dyDescent="0.25">
      <c r="A32" s="12">
        <f t="shared" si="0"/>
        <v>26</v>
      </c>
      <c r="B32" s="16" t="s">
        <v>562</v>
      </c>
      <c r="C32" s="14" t="s">
        <v>20</v>
      </c>
      <c r="D32" s="15" t="s">
        <v>105</v>
      </c>
      <c r="E32" s="16">
        <v>44248</v>
      </c>
      <c r="F32" s="17" t="s">
        <v>106</v>
      </c>
      <c r="G32" s="18">
        <v>1</v>
      </c>
      <c r="H32" s="26" t="s">
        <v>107</v>
      </c>
      <c r="I32" s="4"/>
      <c r="J32" s="4"/>
    </row>
    <row r="33" spans="1:10" ht="15" customHeight="1" x14ac:dyDescent="0.25">
      <c r="A33" s="12">
        <f t="shared" si="0"/>
        <v>27</v>
      </c>
      <c r="B33" s="16" t="s">
        <v>108</v>
      </c>
      <c r="C33" s="14" t="s">
        <v>20</v>
      </c>
      <c r="D33" s="21" t="s">
        <v>109</v>
      </c>
      <c r="E33" s="16">
        <v>44249</v>
      </c>
      <c r="F33" s="17" t="s">
        <v>22</v>
      </c>
      <c r="G33" s="18">
        <v>1</v>
      </c>
      <c r="H33" s="4"/>
      <c r="I33" s="4"/>
      <c r="J33" s="4"/>
    </row>
    <row r="34" spans="1:10" ht="15" customHeight="1" x14ac:dyDescent="0.25">
      <c r="A34" s="12">
        <f t="shared" si="0"/>
        <v>28</v>
      </c>
      <c r="B34" s="16" t="s">
        <v>110</v>
      </c>
      <c r="C34" s="14" t="s">
        <v>20</v>
      </c>
      <c r="D34" s="21" t="s">
        <v>111</v>
      </c>
      <c r="E34" s="16">
        <v>44250</v>
      </c>
      <c r="F34" s="17" t="s">
        <v>22</v>
      </c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3"/>
      <c r="D37" s="21"/>
      <c r="E37" s="16"/>
      <c r="F37" s="17"/>
      <c r="G37" s="18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6"/>
      <c r="C38" s="13"/>
      <c r="D38" s="21"/>
      <c r="E38" s="16"/>
      <c r="F38" s="17"/>
      <c r="G38" s="18">
        <v>1</v>
      </c>
      <c r="H38" s="4"/>
      <c r="I38" s="4"/>
      <c r="J38" s="4"/>
    </row>
    <row r="39" spans="1:10" x14ac:dyDescent="0.25">
      <c r="A39" s="12">
        <f t="shared" si="0"/>
        <v>33</v>
      </c>
      <c r="B39" s="16"/>
      <c r="C39" s="13"/>
      <c r="D39" s="21"/>
      <c r="E39" s="16"/>
      <c r="F39" s="24"/>
      <c r="G39" s="18">
        <v>1</v>
      </c>
    </row>
    <row r="40" spans="1:10" x14ac:dyDescent="0.25">
      <c r="A40" s="12">
        <f>+A39+1</f>
        <v>34</v>
      </c>
      <c r="B40" s="16"/>
      <c r="C40" s="13"/>
      <c r="D40" s="21"/>
      <c r="E40" s="16"/>
      <c r="F40" s="24"/>
      <c r="G40" s="18">
        <v>1</v>
      </c>
    </row>
    <row r="41" spans="1:10" x14ac:dyDescent="0.25">
      <c r="A41" s="12">
        <f t="shared" si="0"/>
        <v>35</v>
      </c>
      <c r="B41" s="16"/>
      <c r="C41" s="13"/>
      <c r="D41" s="21"/>
      <c r="E41" s="16"/>
      <c r="F41" s="24"/>
      <c r="G41" s="18">
        <v>1</v>
      </c>
    </row>
    <row r="42" spans="1:10" x14ac:dyDescent="0.25">
      <c r="A42" s="12">
        <f t="shared" si="0"/>
        <v>36</v>
      </c>
      <c r="B42" s="16"/>
      <c r="C42" s="13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3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3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3"/>
      <c r="D45" s="16"/>
      <c r="E45" s="16"/>
      <c r="F45" s="24"/>
      <c r="G45" s="18">
        <v>1</v>
      </c>
    </row>
  </sheetData>
  <sortState ref="B7:H18">
    <sortCondition ref="E7:E18"/>
    <sortCondition ref="D7:D1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>
      <selection activeCell="B15" sqref="B1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SUMIF(F7:F364,"Elimination*",G7:G364)</f>
        <v>1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SUMIF(F7:F364,"NB*",G7:G364)</f>
        <v>8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SUMIF(F7:F364,"Ve*",G7:G364)</f>
        <v>0</v>
      </c>
    </row>
    <row r="5" spans="1:11" ht="15.75" x14ac:dyDescent="0.25">
      <c r="A5" s="30" t="s">
        <v>112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9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113</v>
      </c>
      <c r="C7" s="14" t="s">
        <v>20</v>
      </c>
      <c r="D7" s="14">
        <v>2020223885</v>
      </c>
      <c r="E7" s="16">
        <v>44256</v>
      </c>
      <c r="F7" s="17" t="s">
        <v>22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579</v>
      </c>
      <c r="C8" s="14" t="s">
        <v>20</v>
      </c>
      <c r="D8" s="14">
        <v>2020223887</v>
      </c>
      <c r="E8" s="16">
        <v>44257</v>
      </c>
      <c r="F8" s="17" t="s">
        <v>114</v>
      </c>
      <c r="G8" s="18">
        <v>1</v>
      </c>
      <c r="H8" s="23" t="s">
        <v>115</v>
      </c>
      <c r="I8" s="22"/>
      <c r="J8" s="22"/>
      <c r="K8" s="4"/>
    </row>
    <row r="9" spans="1:11" ht="15" customHeight="1" x14ac:dyDescent="0.25">
      <c r="A9" s="12">
        <f t="shared" ref="A9:A45" si="0">+A8+1</f>
        <v>3</v>
      </c>
      <c r="B9" s="13" t="s">
        <v>558</v>
      </c>
      <c r="C9" s="14" t="s">
        <v>20</v>
      </c>
      <c r="D9" s="14">
        <v>2020223889</v>
      </c>
      <c r="E9" s="16">
        <v>44258</v>
      </c>
      <c r="F9" s="17" t="s">
        <v>116</v>
      </c>
      <c r="G9" s="18">
        <v>1</v>
      </c>
      <c r="H9" s="23" t="s">
        <v>117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580</v>
      </c>
      <c r="C10" s="14" t="s">
        <v>20</v>
      </c>
      <c r="D10" s="15" t="s">
        <v>118</v>
      </c>
      <c r="E10" s="16">
        <v>44263</v>
      </c>
      <c r="F10" s="17" t="s">
        <v>119</v>
      </c>
      <c r="G10" s="18">
        <v>1</v>
      </c>
      <c r="H10" s="23" t="s">
        <v>120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581</v>
      </c>
      <c r="C11" s="14" t="s">
        <v>20</v>
      </c>
      <c r="D11" s="15" t="s">
        <v>121</v>
      </c>
      <c r="E11" s="16">
        <v>44265</v>
      </c>
      <c r="F11" s="17" t="s">
        <v>122</v>
      </c>
      <c r="G11" s="18">
        <v>1</v>
      </c>
      <c r="H11" s="23" t="s">
        <v>123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582</v>
      </c>
      <c r="C12" s="14" t="s">
        <v>20</v>
      </c>
      <c r="D12" s="15" t="s">
        <v>124</v>
      </c>
      <c r="E12" s="16">
        <v>44271</v>
      </c>
      <c r="F12" s="17" t="s">
        <v>125</v>
      </c>
      <c r="G12" s="18">
        <v>1</v>
      </c>
      <c r="H12" s="19" t="s">
        <v>126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583</v>
      </c>
      <c r="C13" s="14" t="s">
        <v>20</v>
      </c>
      <c r="D13" s="15" t="s">
        <v>127</v>
      </c>
      <c r="E13" s="16">
        <v>44271</v>
      </c>
      <c r="F13" s="17" t="s">
        <v>128</v>
      </c>
      <c r="G13" s="18">
        <v>1</v>
      </c>
      <c r="H13" s="23" t="s">
        <v>129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584</v>
      </c>
      <c r="C14" s="14" t="s">
        <v>20</v>
      </c>
      <c r="D14" s="21" t="s">
        <v>130</v>
      </c>
      <c r="E14" s="16">
        <v>44272</v>
      </c>
      <c r="F14" s="17" t="s">
        <v>136</v>
      </c>
      <c r="G14" s="18">
        <v>1</v>
      </c>
      <c r="H14" s="19" t="s">
        <v>131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585</v>
      </c>
      <c r="C15" s="14" t="s">
        <v>20</v>
      </c>
      <c r="D15" s="21" t="s">
        <v>132</v>
      </c>
      <c r="E15" s="16">
        <v>44272</v>
      </c>
      <c r="F15" s="17" t="s">
        <v>137</v>
      </c>
      <c r="G15" s="18">
        <v>1</v>
      </c>
      <c r="H15" s="19" t="s">
        <v>133</v>
      </c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21"/>
      <c r="E16" s="16"/>
      <c r="F16" s="17"/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6"/>
      <c r="C17" s="14"/>
      <c r="D17" s="21"/>
      <c r="E17" s="16"/>
      <c r="F17" s="17"/>
      <c r="G17" s="18">
        <v>1</v>
      </c>
      <c r="H17" s="25"/>
      <c r="I17" s="22"/>
      <c r="J17" s="22"/>
    </row>
    <row r="18" spans="1:10" ht="15" customHeight="1" x14ac:dyDescent="0.25">
      <c r="A18" s="12">
        <f t="shared" si="0"/>
        <v>12</v>
      </c>
      <c r="B18" s="16"/>
      <c r="C18" s="14"/>
      <c r="D18" s="21"/>
      <c r="E18" s="16"/>
      <c r="F18" s="17"/>
      <c r="G18" s="18">
        <v>1</v>
      </c>
      <c r="H18" s="19"/>
      <c r="I18" s="22"/>
      <c r="J18" s="22"/>
    </row>
    <row r="19" spans="1:10" ht="15" customHeight="1" x14ac:dyDescent="0.25">
      <c r="A19" s="12">
        <f t="shared" si="0"/>
        <v>13</v>
      </c>
      <c r="B19" s="16"/>
      <c r="C19" s="14"/>
      <c r="D19" s="21"/>
      <c r="E19" s="16"/>
      <c r="F19" s="17"/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6"/>
      <c r="C20" s="14"/>
      <c r="D20" s="21"/>
      <c r="E20" s="16"/>
      <c r="F20" s="17"/>
      <c r="G20" s="18">
        <v>1</v>
      </c>
      <c r="H20" s="25"/>
      <c r="I20" s="22"/>
      <c r="J20" s="22"/>
    </row>
    <row r="21" spans="1:10" ht="15" customHeight="1" x14ac:dyDescent="0.25">
      <c r="A21" s="12">
        <f t="shared" si="0"/>
        <v>15</v>
      </c>
      <c r="B21" s="16"/>
      <c r="C21" s="14"/>
      <c r="D21" s="21"/>
      <c r="E21" s="16"/>
      <c r="F21" s="17"/>
      <c r="G21" s="18">
        <v>1</v>
      </c>
      <c r="H21" s="4"/>
      <c r="I21" s="22"/>
      <c r="J21" s="22"/>
    </row>
    <row r="22" spans="1:10" ht="15" customHeight="1" x14ac:dyDescent="0.25">
      <c r="A22" s="12">
        <f t="shared" si="0"/>
        <v>16</v>
      </c>
      <c r="B22" s="16"/>
      <c r="C22" s="14"/>
      <c r="D22" s="21"/>
      <c r="E22" s="16"/>
      <c r="F22" s="17"/>
      <c r="G22" s="18">
        <v>1</v>
      </c>
      <c r="H22" s="19"/>
      <c r="I22" s="22"/>
      <c r="J22" s="22"/>
    </row>
    <row r="23" spans="1:10" ht="15" customHeight="1" x14ac:dyDescent="0.25">
      <c r="A23" s="12">
        <f t="shared" si="0"/>
        <v>17</v>
      </c>
      <c r="B23" s="16"/>
      <c r="C23" s="14"/>
      <c r="D23" s="21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6"/>
      <c r="C24" s="14"/>
      <c r="D24" s="21"/>
      <c r="E24" s="16"/>
      <c r="F24" s="17"/>
      <c r="G24" s="18">
        <v>1</v>
      </c>
      <c r="H24" s="26"/>
      <c r="I24" s="22"/>
      <c r="J24" s="22"/>
    </row>
    <row r="25" spans="1:10" ht="15" customHeight="1" x14ac:dyDescent="0.25">
      <c r="A25" s="12">
        <f t="shared" si="0"/>
        <v>19</v>
      </c>
      <c r="B25" s="16"/>
      <c r="C25" s="14"/>
      <c r="D25" s="21"/>
      <c r="E25" s="16"/>
      <c r="F25" s="17"/>
      <c r="G25" s="18">
        <v>1</v>
      </c>
      <c r="H25" s="26"/>
      <c r="I25" s="22"/>
      <c r="J25" s="22"/>
    </row>
    <row r="26" spans="1:10" ht="15" customHeight="1" x14ac:dyDescent="0.25">
      <c r="A26" s="12">
        <f t="shared" si="0"/>
        <v>20</v>
      </c>
      <c r="B26" s="16"/>
      <c r="C26" s="14"/>
      <c r="D26" s="21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/>
      <c r="C27" s="14"/>
      <c r="D27" s="21"/>
      <c r="E27" s="16"/>
      <c r="F27" s="17"/>
      <c r="G27" s="18">
        <v>1</v>
      </c>
      <c r="H27" s="26"/>
      <c r="I27" s="22"/>
      <c r="J27" s="22"/>
    </row>
    <row r="28" spans="1:10" ht="15" customHeight="1" x14ac:dyDescent="0.25">
      <c r="A28" s="12">
        <f t="shared" si="0"/>
        <v>22</v>
      </c>
      <c r="B28" s="16"/>
      <c r="C28" s="14"/>
      <c r="D28" s="21"/>
      <c r="E28" s="16"/>
      <c r="F28" s="17"/>
      <c r="G28" s="18">
        <v>1</v>
      </c>
      <c r="H28" s="19"/>
      <c r="I28" s="22"/>
      <c r="J28" s="22"/>
    </row>
    <row r="29" spans="1:10" ht="15" customHeight="1" x14ac:dyDescent="0.25">
      <c r="A29" s="12">
        <f t="shared" si="0"/>
        <v>23</v>
      </c>
      <c r="B29" s="16"/>
      <c r="C29" s="14"/>
      <c r="D29" s="15"/>
      <c r="E29" s="16"/>
      <c r="F29" s="17"/>
      <c r="G29" s="18">
        <v>1</v>
      </c>
      <c r="H29" s="26"/>
      <c r="I29" s="22"/>
      <c r="J29" s="22"/>
    </row>
    <row r="30" spans="1:10" ht="15" customHeight="1" x14ac:dyDescent="0.25">
      <c r="A30" s="12">
        <f t="shared" si="0"/>
        <v>24</v>
      </c>
      <c r="B30" s="13"/>
      <c r="C30" s="14"/>
      <c r="D30" s="15"/>
      <c r="E30" s="16"/>
      <c r="F30" s="24"/>
      <c r="G30" s="18">
        <v>1</v>
      </c>
      <c r="H30" s="26"/>
      <c r="I30" s="4"/>
      <c r="J30" s="4"/>
    </row>
    <row r="31" spans="1:10" ht="15" customHeight="1" x14ac:dyDescent="0.25">
      <c r="A31" s="12">
        <f t="shared" si="0"/>
        <v>25</v>
      </c>
      <c r="B31" s="16"/>
      <c r="C31" s="14"/>
      <c r="D31" s="15"/>
      <c r="E31" s="16"/>
      <c r="F31" s="24"/>
      <c r="G31" s="18">
        <v>1</v>
      </c>
      <c r="H31" s="4"/>
      <c r="I31" s="4"/>
      <c r="J31" s="4"/>
    </row>
    <row r="32" spans="1:10" ht="15" customHeight="1" x14ac:dyDescent="0.25">
      <c r="A32" s="12">
        <f t="shared" si="0"/>
        <v>26</v>
      </c>
      <c r="B32" s="16"/>
      <c r="C32" s="14"/>
      <c r="D32" s="15"/>
      <c r="E32" s="16"/>
      <c r="F32" s="17"/>
      <c r="G32" s="18">
        <v>1</v>
      </c>
      <c r="H32" s="26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H33" s="4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3"/>
      <c r="D37" s="21"/>
      <c r="E37" s="16"/>
      <c r="F37" s="17"/>
      <c r="G37" s="18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6"/>
      <c r="C38" s="13"/>
      <c r="D38" s="21"/>
      <c r="E38" s="16"/>
      <c r="F38" s="17"/>
      <c r="G38" s="18">
        <v>1</v>
      </c>
      <c r="H38" s="4"/>
      <c r="I38" s="4"/>
      <c r="J38" s="4"/>
    </row>
    <row r="39" spans="1:10" x14ac:dyDescent="0.25">
      <c r="A39" s="12">
        <f t="shared" si="0"/>
        <v>33</v>
      </c>
      <c r="B39" s="16"/>
      <c r="C39" s="13"/>
      <c r="D39" s="21"/>
      <c r="E39" s="16"/>
      <c r="F39" s="24"/>
      <c r="G39" s="18">
        <v>1</v>
      </c>
    </row>
    <row r="40" spans="1:10" x14ac:dyDescent="0.25">
      <c r="A40" s="12">
        <f>+A39+1</f>
        <v>34</v>
      </c>
      <c r="B40" s="16"/>
      <c r="C40" s="13"/>
      <c r="D40" s="21"/>
      <c r="E40" s="16"/>
      <c r="F40" s="24"/>
      <c r="G40" s="18">
        <v>1</v>
      </c>
    </row>
    <row r="41" spans="1:10" x14ac:dyDescent="0.25">
      <c r="A41" s="12">
        <f t="shared" si="0"/>
        <v>35</v>
      </c>
      <c r="B41" s="16"/>
      <c r="C41" s="13"/>
      <c r="D41" s="21"/>
      <c r="E41" s="16"/>
      <c r="F41" s="24"/>
      <c r="G41" s="18">
        <v>1</v>
      </c>
    </row>
    <row r="42" spans="1:10" x14ac:dyDescent="0.25">
      <c r="A42" s="12">
        <f t="shared" si="0"/>
        <v>36</v>
      </c>
      <c r="B42" s="16"/>
      <c r="C42" s="13"/>
      <c r="D42" s="21"/>
      <c r="E42" s="16"/>
      <c r="F42" s="24"/>
      <c r="G42" s="18">
        <v>1</v>
      </c>
    </row>
    <row r="43" spans="1:10" x14ac:dyDescent="0.25">
      <c r="A43" s="12">
        <f t="shared" si="0"/>
        <v>37</v>
      </c>
      <c r="B43" s="16"/>
      <c r="C43" s="13"/>
      <c r="D43" s="21"/>
      <c r="E43" s="16"/>
      <c r="F43" s="24"/>
      <c r="G43" s="18">
        <v>1</v>
      </c>
    </row>
    <row r="44" spans="1:10" x14ac:dyDescent="0.25">
      <c r="A44" s="12">
        <f t="shared" si="0"/>
        <v>38</v>
      </c>
      <c r="B44" s="16"/>
      <c r="C44" s="13"/>
      <c r="D44" s="21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3"/>
      <c r="D45" s="16"/>
      <c r="E45" s="16"/>
      <c r="F45" s="24"/>
      <c r="G45" s="18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B43" sqref="B4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SUMIF(F7:F362,"Elimination*",G7:G362)</f>
        <v>19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SUMIF(F7:F362,"NB*",G7:G362)</f>
        <v>18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SUMIF(F7:F362,"Ve*",G7:G362)</f>
        <v>0</v>
      </c>
    </row>
    <row r="5" spans="1:11" ht="15.75" x14ac:dyDescent="0.25">
      <c r="A5" s="30" t="s">
        <v>135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37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586</v>
      </c>
      <c r="C7" s="14" t="s">
        <v>20</v>
      </c>
      <c r="D7" s="21" t="s">
        <v>134</v>
      </c>
      <c r="E7" s="16">
        <v>44287</v>
      </c>
      <c r="F7" s="17" t="s">
        <v>153</v>
      </c>
      <c r="G7" s="18">
        <v>1</v>
      </c>
      <c r="H7" s="19" t="s">
        <v>138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587</v>
      </c>
      <c r="C8" s="14" t="s">
        <v>20</v>
      </c>
      <c r="D8" s="14">
        <v>2021020100</v>
      </c>
      <c r="E8" s="16">
        <v>44290</v>
      </c>
      <c r="F8" s="17" t="s">
        <v>157</v>
      </c>
      <c r="G8" s="18">
        <v>1</v>
      </c>
      <c r="H8" s="23" t="s">
        <v>156</v>
      </c>
      <c r="I8" s="22"/>
      <c r="J8" s="22"/>
      <c r="K8" s="4"/>
    </row>
    <row r="9" spans="1:11" ht="15" customHeight="1" x14ac:dyDescent="0.25">
      <c r="A9" s="12">
        <f t="shared" ref="A9:A46" si="0">+A8+1</f>
        <v>3</v>
      </c>
      <c r="B9" s="13" t="s">
        <v>139</v>
      </c>
      <c r="C9" s="14" t="s">
        <v>20</v>
      </c>
      <c r="D9" s="15" t="s">
        <v>158</v>
      </c>
      <c r="E9" s="16">
        <v>44293</v>
      </c>
      <c r="F9" s="17" t="s">
        <v>22</v>
      </c>
      <c r="G9" s="18">
        <v>1</v>
      </c>
      <c r="H9" s="23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588</v>
      </c>
      <c r="C10" s="14" t="s">
        <v>20</v>
      </c>
      <c r="D10" s="15" t="s">
        <v>144</v>
      </c>
      <c r="E10" s="16">
        <v>44294</v>
      </c>
      <c r="F10" s="17" t="s">
        <v>155</v>
      </c>
      <c r="G10" s="18">
        <v>1</v>
      </c>
      <c r="H10" s="23" t="s">
        <v>154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140</v>
      </c>
      <c r="C11" s="14" t="s">
        <v>20</v>
      </c>
      <c r="D11" s="15" t="s">
        <v>145</v>
      </c>
      <c r="E11" s="16">
        <v>44300</v>
      </c>
      <c r="F11" s="17" t="s">
        <v>22</v>
      </c>
      <c r="G11" s="18">
        <v>1</v>
      </c>
      <c r="H11" s="23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151</v>
      </c>
      <c r="C12" s="14" t="s">
        <v>20</v>
      </c>
      <c r="D12" s="15" t="s">
        <v>152</v>
      </c>
      <c r="E12" s="16">
        <v>44300</v>
      </c>
      <c r="F12" s="17" t="s">
        <v>22</v>
      </c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141</v>
      </c>
      <c r="C13" s="14" t="s">
        <v>20</v>
      </c>
      <c r="D13" s="15" t="s">
        <v>146</v>
      </c>
      <c r="E13" s="16">
        <v>44300</v>
      </c>
      <c r="F13" s="17" t="s">
        <v>22</v>
      </c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149</v>
      </c>
      <c r="C14" s="14" t="s">
        <v>20</v>
      </c>
      <c r="D14" s="15" t="s">
        <v>150</v>
      </c>
      <c r="E14" s="16">
        <v>44300</v>
      </c>
      <c r="F14" s="17" t="s">
        <v>22</v>
      </c>
      <c r="G14" s="18">
        <v>1</v>
      </c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142</v>
      </c>
      <c r="C15" s="14" t="s">
        <v>20</v>
      </c>
      <c r="D15" s="15" t="s">
        <v>143</v>
      </c>
      <c r="E15" s="16">
        <v>44300</v>
      </c>
      <c r="F15" s="17" t="s">
        <v>22</v>
      </c>
      <c r="G15" s="18">
        <v>1</v>
      </c>
      <c r="H15" s="23"/>
      <c r="I15" s="22"/>
      <c r="J15" s="22"/>
    </row>
    <row r="16" spans="1:11" ht="15" customHeight="1" x14ac:dyDescent="0.25">
      <c r="A16" s="12">
        <f t="shared" si="0"/>
        <v>10</v>
      </c>
      <c r="B16" s="13" t="s">
        <v>147</v>
      </c>
      <c r="C16" s="14" t="s">
        <v>20</v>
      </c>
      <c r="D16" s="15" t="s">
        <v>148</v>
      </c>
      <c r="E16" s="16">
        <v>44300</v>
      </c>
      <c r="F16" s="17" t="s">
        <v>22</v>
      </c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6" t="s">
        <v>163</v>
      </c>
      <c r="C17" s="14" t="s">
        <v>20</v>
      </c>
      <c r="D17" s="15" t="s">
        <v>164</v>
      </c>
      <c r="E17" s="16">
        <v>44301</v>
      </c>
      <c r="F17" s="17" t="s">
        <v>22</v>
      </c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6" t="s">
        <v>165</v>
      </c>
      <c r="C18" s="14" t="s">
        <v>20</v>
      </c>
      <c r="D18" s="15" t="s">
        <v>166</v>
      </c>
      <c r="E18" s="16">
        <v>44301</v>
      </c>
      <c r="F18" s="17" t="s">
        <v>22</v>
      </c>
      <c r="G18" s="18">
        <v>1</v>
      </c>
      <c r="H18" s="25"/>
      <c r="I18" s="22"/>
      <c r="J18" s="22"/>
    </row>
    <row r="19" spans="1:10" ht="15" customHeight="1" x14ac:dyDescent="0.25">
      <c r="A19" s="12">
        <f t="shared" si="0"/>
        <v>13</v>
      </c>
      <c r="B19" s="16" t="s">
        <v>159</v>
      </c>
      <c r="C19" s="14" t="s">
        <v>20</v>
      </c>
      <c r="D19" s="15" t="s">
        <v>160</v>
      </c>
      <c r="E19" s="16">
        <v>44301</v>
      </c>
      <c r="F19" s="17" t="s">
        <v>22</v>
      </c>
      <c r="G19" s="18">
        <v>1</v>
      </c>
      <c r="H19" s="25"/>
      <c r="I19" s="22"/>
      <c r="J19" s="22"/>
    </row>
    <row r="20" spans="1:10" ht="15" customHeight="1" x14ac:dyDescent="0.25">
      <c r="A20" s="12">
        <f t="shared" si="0"/>
        <v>14</v>
      </c>
      <c r="B20" s="16" t="s">
        <v>161</v>
      </c>
      <c r="C20" s="14" t="s">
        <v>20</v>
      </c>
      <c r="D20" s="15" t="s">
        <v>162</v>
      </c>
      <c r="E20" s="16">
        <v>44301</v>
      </c>
      <c r="F20" s="17" t="s">
        <v>22</v>
      </c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6" t="s">
        <v>175</v>
      </c>
      <c r="C21" s="14" t="s">
        <v>20</v>
      </c>
      <c r="D21" s="21" t="s">
        <v>176</v>
      </c>
      <c r="E21" s="16">
        <v>44304</v>
      </c>
      <c r="F21" s="17" t="s">
        <v>22</v>
      </c>
      <c r="G21" s="18">
        <v>1</v>
      </c>
      <c r="H21" s="26"/>
      <c r="I21" s="22"/>
      <c r="J21" s="22"/>
    </row>
    <row r="22" spans="1:10" ht="15" customHeight="1" x14ac:dyDescent="0.25">
      <c r="A22" s="12">
        <f t="shared" si="0"/>
        <v>16</v>
      </c>
      <c r="B22" s="16" t="s">
        <v>167</v>
      </c>
      <c r="C22" s="14" t="s">
        <v>20</v>
      </c>
      <c r="D22" s="21" t="s">
        <v>168</v>
      </c>
      <c r="E22" s="16">
        <v>44304</v>
      </c>
      <c r="F22" s="17" t="s">
        <v>22</v>
      </c>
      <c r="G22" s="18">
        <v>1</v>
      </c>
      <c r="H22" s="4"/>
      <c r="I22" s="22"/>
      <c r="J22" s="22"/>
    </row>
    <row r="23" spans="1:10" ht="15" customHeight="1" x14ac:dyDescent="0.25">
      <c r="A23" s="12">
        <f t="shared" si="0"/>
        <v>17</v>
      </c>
      <c r="B23" s="16" t="s">
        <v>169</v>
      </c>
      <c r="C23" s="14" t="s">
        <v>20</v>
      </c>
      <c r="D23" s="21" t="s">
        <v>170</v>
      </c>
      <c r="E23" s="16">
        <v>44304</v>
      </c>
      <c r="F23" s="17" t="s">
        <v>22</v>
      </c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6" t="s">
        <v>173</v>
      </c>
      <c r="C24" s="14" t="s">
        <v>20</v>
      </c>
      <c r="D24" s="21" t="s">
        <v>174</v>
      </c>
      <c r="E24" s="16">
        <v>44304</v>
      </c>
      <c r="F24" s="17" t="s">
        <v>22</v>
      </c>
      <c r="G24" s="18">
        <v>1</v>
      </c>
      <c r="H24" s="26"/>
      <c r="I24" s="22"/>
      <c r="J24" s="22"/>
    </row>
    <row r="25" spans="1:10" ht="15" customHeight="1" x14ac:dyDescent="0.25">
      <c r="A25" s="12">
        <f t="shared" si="0"/>
        <v>19</v>
      </c>
      <c r="B25" s="16" t="s">
        <v>171</v>
      </c>
      <c r="C25" s="14" t="s">
        <v>20</v>
      </c>
      <c r="D25" s="21" t="s">
        <v>172</v>
      </c>
      <c r="E25" s="16">
        <v>44304</v>
      </c>
      <c r="F25" s="17" t="s">
        <v>22</v>
      </c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6" t="s">
        <v>177</v>
      </c>
      <c r="C26" s="14" t="s">
        <v>20</v>
      </c>
      <c r="D26" s="21" t="s">
        <v>178</v>
      </c>
      <c r="E26" s="16">
        <v>44305</v>
      </c>
      <c r="F26" s="17" t="s">
        <v>22</v>
      </c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 t="s">
        <v>589</v>
      </c>
      <c r="C27" s="14" t="s">
        <v>20</v>
      </c>
      <c r="D27" s="21" t="s">
        <v>179</v>
      </c>
      <c r="E27" s="16">
        <v>44305</v>
      </c>
      <c r="F27" s="17" t="s">
        <v>180</v>
      </c>
      <c r="G27" s="18">
        <v>1</v>
      </c>
      <c r="H27" s="26" t="s">
        <v>181</v>
      </c>
      <c r="I27" s="22"/>
      <c r="J27" s="22"/>
    </row>
    <row r="28" spans="1:10" ht="15" customHeight="1" x14ac:dyDescent="0.25">
      <c r="A28" s="12">
        <f t="shared" si="0"/>
        <v>22</v>
      </c>
      <c r="B28" s="13" t="s">
        <v>590</v>
      </c>
      <c r="C28" s="14" t="s">
        <v>20</v>
      </c>
      <c r="D28" s="21" t="s">
        <v>188</v>
      </c>
      <c r="E28" s="16">
        <v>44306</v>
      </c>
      <c r="F28" s="17" t="s">
        <v>189</v>
      </c>
      <c r="G28" s="18">
        <v>1</v>
      </c>
      <c r="H28" s="26" t="s">
        <v>190</v>
      </c>
      <c r="I28" s="22"/>
      <c r="J28" s="22"/>
    </row>
    <row r="29" spans="1:10" ht="15" customHeight="1" x14ac:dyDescent="0.25">
      <c r="A29" s="12">
        <f t="shared" si="0"/>
        <v>23</v>
      </c>
      <c r="B29" s="16" t="s">
        <v>591</v>
      </c>
      <c r="C29" s="14" t="s">
        <v>20</v>
      </c>
      <c r="D29" s="21" t="s">
        <v>182</v>
      </c>
      <c r="E29" s="16">
        <v>44306</v>
      </c>
      <c r="F29" s="17" t="s">
        <v>183</v>
      </c>
      <c r="G29" s="18">
        <v>1</v>
      </c>
      <c r="H29" s="19" t="s">
        <v>184</v>
      </c>
      <c r="I29" s="4"/>
      <c r="J29" s="4"/>
    </row>
    <row r="30" spans="1:10" ht="15" customHeight="1" x14ac:dyDescent="0.25">
      <c r="A30" s="12">
        <f t="shared" si="0"/>
        <v>24</v>
      </c>
      <c r="B30" s="16" t="s">
        <v>592</v>
      </c>
      <c r="C30" s="14" t="s">
        <v>20</v>
      </c>
      <c r="D30" s="21" t="s">
        <v>191</v>
      </c>
      <c r="E30" s="16">
        <v>44306</v>
      </c>
      <c r="F30" s="17" t="s">
        <v>192</v>
      </c>
      <c r="G30" s="18">
        <v>1</v>
      </c>
      <c r="H30" s="4" t="s">
        <v>193</v>
      </c>
      <c r="I30" s="4"/>
      <c r="J30" s="4"/>
    </row>
    <row r="31" spans="1:10" ht="15" customHeight="1" x14ac:dyDescent="0.25">
      <c r="A31" s="12">
        <f t="shared" si="0"/>
        <v>25</v>
      </c>
      <c r="B31" s="16" t="s">
        <v>593</v>
      </c>
      <c r="C31" s="14" t="s">
        <v>20</v>
      </c>
      <c r="D31" s="21" t="s">
        <v>185</v>
      </c>
      <c r="E31" s="16">
        <v>44306</v>
      </c>
      <c r="F31" s="17" t="s">
        <v>186</v>
      </c>
      <c r="G31" s="18">
        <v>1</v>
      </c>
      <c r="H31" s="26" t="s">
        <v>187</v>
      </c>
      <c r="I31" s="4"/>
      <c r="J31" s="4"/>
    </row>
    <row r="32" spans="1:10" ht="15" customHeight="1" x14ac:dyDescent="0.25">
      <c r="A32" s="12">
        <f t="shared" si="0"/>
        <v>26</v>
      </c>
      <c r="B32" s="16" t="s">
        <v>197</v>
      </c>
      <c r="C32" s="14" t="s">
        <v>20</v>
      </c>
      <c r="D32" s="21" t="s">
        <v>194</v>
      </c>
      <c r="E32" s="16">
        <v>44307</v>
      </c>
      <c r="F32" s="17" t="s">
        <v>22</v>
      </c>
      <c r="G32" s="18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6" t="s">
        <v>195</v>
      </c>
      <c r="C33" s="14" t="s">
        <v>20</v>
      </c>
      <c r="D33" s="21" t="s">
        <v>196</v>
      </c>
      <c r="E33" s="16">
        <v>44307</v>
      </c>
      <c r="F33" s="17" t="s">
        <v>22</v>
      </c>
      <c r="G33" s="18">
        <v>1</v>
      </c>
      <c r="H33" s="4"/>
      <c r="I33" s="4"/>
      <c r="J33" s="4"/>
    </row>
    <row r="34" spans="1:10" ht="15" customHeight="1" x14ac:dyDescent="0.25">
      <c r="A34" s="12">
        <f t="shared" si="0"/>
        <v>28</v>
      </c>
      <c r="B34" s="16" t="s">
        <v>594</v>
      </c>
      <c r="C34" s="14" t="s">
        <v>20</v>
      </c>
      <c r="D34" s="21" t="s">
        <v>202</v>
      </c>
      <c r="E34" s="16">
        <v>44307</v>
      </c>
      <c r="F34" s="17" t="s">
        <v>203</v>
      </c>
      <c r="G34" s="18">
        <v>1</v>
      </c>
      <c r="H34" s="4" t="s">
        <v>204</v>
      </c>
      <c r="I34" s="4"/>
      <c r="J34" s="4"/>
    </row>
    <row r="35" spans="1:10" ht="15" customHeight="1" x14ac:dyDescent="0.25">
      <c r="A35" s="12">
        <f t="shared" si="0"/>
        <v>29</v>
      </c>
      <c r="B35" s="16" t="s">
        <v>595</v>
      </c>
      <c r="C35" s="14" t="s">
        <v>20</v>
      </c>
      <c r="D35" s="21" t="s">
        <v>200</v>
      </c>
      <c r="E35" s="16">
        <v>44307</v>
      </c>
      <c r="F35" s="17" t="s">
        <v>205</v>
      </c>
      <c r="G35" s="18">
        <v>1</v>
      </c>
      <c r="H35" s="4" t="s">
        <v>201</v>
      </c>
      <c r="I35" s="4"/>
      <c r="J35" s="4"/>
    </row>
    <row r="36" spans="1:10" ht="15" customHeight="1" x14ac:dyDescent="0.25">
      <c r="A36" s="12">
        <f t="shared" si="0"/>
        <v>30</v>
      </c>
      <c r="B36" s="29">
        <v>131882</v>
      </c>
      <c r="C36" s="14" t="s">
        <v>20</v>
      </c>
      <c r="D36" s="21" t="s">
        <v>198</v>
      </c>
      <c r="E36" s="16">
        <v>44308</v>
      </c>
      <c r="F36" s="17" t="s">
        <v>206</v>
      </c>
      <c r="G36" s="18">
        <v>1</v>
      </c>
      <c r="H36" s="4" t="s">
        <v>199</v>
      </c>
      <c r="I36" s="4"/>
      <c r="J36" s="4"/>
    </row>
    <row r="37" spans="1:10" ht="15" customHeight="1" x14ac:dyDescent="0.25">
      <c r="A37" s="12">
        <f t="shared" si="0"/>
        <v>31</v>
      </c>
      <c r="B37" s="16" t="s">
        <v>559</v>
      </c>
      <c r="C37" s="14" t="s">
        <v>20</v>
      </c>
      <c r="D37" s="21" t="s">
        <v>208</v>
      </c>
      <c r="E37" s="16">
        <v>44311</v>
      </c>
      <c r="F37" s="17" t="s">
        <v>209</v>
      </c>
      <c r="G37" s="18">
        <v>1</v>
      </c>
      <c r="H37" s="4" t="s">
        <v>210</v>
      </c>
      <c r="I37" s="4"/>
      <c r="J37" s="4"/>
    </row>
    <row r="38" spans="1:10" x14ac:dyDescent="0.25">
      <c r="A38" s="12">
        <f t="shared" si="0"/>
        <v>32</v>
      </c>
      <c r="B38" s="16" t="s">
        <v>596</v>
      </c>
      <c r="C38" s="14" t="s">
        <v>20</v>
      </c>
      <c r="D38" s="21" t="s">
        <v>211</v>
      </c>
      <c r="E38" s="16">
        <v>44312</v>
      </c>
      <c r="F38" s="17" t="s">
        <v>212</v>
      </c>
      <c r="G38" s="18">
        <v>1</v>
      </c>
      <c r="H38" s="27" t="s">
        <v>213</v>
      </c>
    </row>
    <row r="39" spans="1:10" x14ac:dyDescent="0.25">
      <c r="A39" s="12">
        <f t="shared" si="0"/>
        <v>33</v>
      </c>
      <c r="B39" s="16" t="s">
        <v>597</v>
      </c>
      <c r="C39" s="14" t="s">
        <v>20</v>
      </c>
      <c r="D39" s="21" t="s">
        <v>214</v>
      </c>
      <c r="E39" s="16">
        <v>44313</v>
      </c>
      <c r="F39" s="17" t="s">
        <v>216</v>
      </c>
      <c r="G39" s="18">
        <v>1</v>
      </c>
      <c r="H39" s="27" t="s">
        <v>217</v>
      </c>
    </row>
    <row r="40" spans="1:10" x14ac:dyDescent="0.25">
      <c r="A40" s="12">
        <f t="shared" si="0"/>
        <v>34</v>
      </c>
      <c r="B40" s="16" t="s">
        <v>598</v>
      </c>
      <c r="C40" s="14" t="s">
        <v>20</v>
      </c>
      <c r="D40" s="21" t="s">
        <v>215</v>
      </c>
      <c r="E40" s="16">
        <v>44313</v>
      </c>
      <c r="F40" s="17" t="s">
        <v>218</v>
      </c>
      <c r="G40" s="18">
        <v>1</v>
      </c>
      <c r="H40" s="27" t="s">
        <v>219</v>
      </c>
    </row>
    <row r="41" spans="1:10" x14ac:dyDescent="0.25">
      <c r="A41" s="12">
        <f t="shared" si="0"/>
        <v>35</v>
      </c>
      <c r="B41" s="16" t="s">
        <v>599</v>
      </c>
      <c r="C41" s="14" t="s">
        <v>20</v>
      </c>
      <c r="D41" s="21" t="s">
        <v>220</v>
      </c>
      <c r="E41" s="16">
        <v>44314</v>
      </c>
      <c r="F41" s="17" t="s">
        <v>221</v>
      </c>
      <c r="G41" s="18">
        <v>1</v>
      </c>
      <c r="H41" s="27" t="s">
        <v>222</v>
      </c>
    </row>
    <row r="42" spans="1:10" x14ac:dyDescent="0.25">
      <c r="A42" s="12">
        <f t="shared" si="0"/>
        <v>36</v>
      </c>
      <c r="B42" s="16" t="s">
        <v>600</v>
      </c>
      <c r="C42" s="14" t="s">
        <v>20</v>
      </c>
      <c r="D42" s="21" t="s">
        <v>223</v>
      </c>
      <c r="E42" s="16">
        <v>44314</v>
      </c>
      <c r="F42" s="17" t="s">
        <v>224</v>
      </c>
      <c r="G42" s="18">
        <v>1</v>
      </c>
      <c r="H42" s="27" t="s">
        <v>225</v>
      </c>
    </row>
    <row r="43" spans="1:10" x14ac:dyDescent="0.25">
      <c r="A43" s="12">
        <f t="shared" si="0"/>
        <v>37</v>
      </c>
      <c r="B43" s="16" t="s">
        <v>601</v>
      </c>
      <c r="C43" s="14" t="s">
        <v>20</v>
      </c>
      <c r="D43" s="21" t="s">
        <v>226</v>
      </c>
      <c r="E43" s="16">
        <v>44315</v>
      </c>
      <c r="F43" s="17" t="s">
        <v>227</v>
      </c>
      <c r="G43" s="18">
        <v>1</v>
      </c>
      <c r="H43" s="27" t="s">
        <v>228</v>
      </c>
    </row>
    <row r="44" spans="1:10" x14ac:dyDescent="0.25">
      <c r="A44" s="12">
        <f t="shared" si="0"/>
        <v>38</v>
      </c>
      <c r="B44" s="16"/>
      <c r="C44" s="13"/>
      <c r="D44" s="16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3"/>
      <c r="D45" s="16"/>
      <c r="E45" s="16"/>
      <c r="F45" s="24"/>
    </row>
    <row r="46" spans="1:10" x14ac:dyDescent="0.25">
      <c r="A46" s="12">
        <f t="shared" si="0"/>
        <v>40</v>
      </c>
      <c r="B46" s="16"/>
      <c r="C46" s="13"/>
      <c r="D46" s="16"/>
      <c r="E46" s="16"/>
      <c r="F46" s="24"/>
    </row>
  </sheetData>
  <sortState ref="B7:H36">
    <sortCondition ref="E7:E36"/>
    <sortCondition ref="D7:D36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B15" sqref="B1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SUMIF(F7:F362,"Elimination*",G7:G362)</f>
        <v>3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SUMIF(F7:F362,"NB*",G7:G362)</f>
        <v>7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SUMIF(F7:F362,"Ve*",G7:G362)</f>
        <v>0</v>
      </c>
    </row>
    <row r="5" spans="1:11" ht="15.75" x14ac:dyDescent="0.25">
      <c r="A5" s="30" t="s">
        <v>229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10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602</v>
      </c>
      <c r="C7" s="14" t="s">
        <v>20</v>
      </c>
      <c r="D7" s="21" t="s">
        <v>230</v>
      </c>
      <c r="E7" s="16">
        <v>44320</v>
      </c>
      <c r="F7" s="17" t="s">
        <v>231</v>
      </c>
      <c r="G7" s="18">
        <v>1</v>
      </c>
      <c r="H7" s="19" t="s">
        <v>232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603</v>
      </c>
      <c r="C8" s="14" t="s">
        <v>20</v>
      </c>
      <c r="D8" s="14">
        <v>2021064987</v>
      </c>
      <c r="E8" s="16">
        <v>44321</v>
      </c>
      <c r="F8" s="17" t="s">
        <v>233</v>
      </c>
      <c r="G8" s="18">
        <v>1</v>
      </c>
      <c r="H8" s="23" t="s">
        <v>234</v>
      </c>
      <c r="I8" s="22"/>
      <c r="J8" s="22"/>
      <c r="K8" s="4"/>
    </row>
    <row r="9" spans="1:11" ht="15" customHeight="1" x14ac:dyDescent="0.25">
      <c r="A9" s="12">
        <f t="shared" ref="A9:A46" si="0">+A8+1</f>
        <v>3</v>
      </c>
      <c r="B9" s="13" t="s">
        <v>604</v>
      </c>
      <c r="C9" s="14" t="s">
        <v>20</v>
      </c>
      <c r="D9" s="14">
        <v>2021064981</v>
      </c>
      <c r="E9" s="16">
        <v>44325</v>
      </c>
      <c r="F9" s="17" t="s">
        <v>235</v>
      </c>
      <c r="G9" s="18">
        <v>1</v>
      </c>
      <c r="H9" s="23" t="s">
        <v>236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605</v>
      </c>
      <c r="C10" s="14" t="s">
        <v>20</v>
      </c>
      <c r="D10" s="14">
        <v>2021064982</v>
      </c>
      <c r="E10" s="16">
        <v>44325</v>
      </c>
      <c r="F10" s="17" t="s">
        <v>237</v>
      </c>
      <c r="G10" s="18">
        <v>1</v>
      </c>
      <c r="H10" s="23" t="s">
        <v>238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606</v>
      </c>
      <c r="C11" s="14" t="s">
        <v>20</v>
      </c>
      <c r="D11" s="14">
        <v>2021064983</v>
      </c>
      <c r="E11" s="16">
        <v>44325</v>
      </c>
      <c r="F11" s="17" t="s">
        <v>239</v>
      </c>
      <c r="G11" s="18">
        <v>1</v>
      </c>
      <c r="H11" s="23" t="s">
        <v>240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241</v>
      </c>
      <c r="C12" s="14">
        <v>30</v>
      </c>
      <c r="D12" s="15" t="s">
        <v>242</v>
      </c>
      <c r="E12" s="16">
        <v>44326</v>
      </c>
      <c r="F12" s="17" t="s">
        <v>22</v>
      </c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607</v>
      </c>
      <c r="C13" s="14" t="s">
        <v>20</v>
      </c>
      <c r="D13" s="14">
        <v>2021064985</v>
      </c>
      <c r="E13" s="16">
        <v>44326</v>
      </c>
      <c r="F13" s="17" t="s">
        <v>243</v>
      </c>
      <c r="G13" s="18">
        <v>1</v>
      </c>
      <c r="H13" s="19" t="s">
        <v>244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245</v>
      </c>
      <c r="C14" s="14" t="s">
        <v>20</v>
      </c>
      <c r="D14" s="15" t="s">
        <v>246</v>
      </c>
      <c r="E14" s="16">
        <v>44327</v>
      </c>
      <c r="F14" s="17" t="s">
        <v>22</v>
      </c>
      <c r="G14" s="18">
        <v>1</v>
      </c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608</v>
      </c>
      <c r="C15" s="14" t="s">
        <v>20</v>
      </c>
      <c r="D15" s="14">
        <v>2021064986</v>
      </c>
      <c r="E15" s="16">
        <v>44327</v>
      </c>
      <c r="F15" s="17" t="s">
        <v>247</v>
      </c>
      <c r="G15" s="18">
        <v>1</v>
      </c>
      <c r="H15" s="23" t="s">
        <v>248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249</v>
      </c>
      <c r="C16" s="14" t="s">
        <v>20</v>
      </c>
      <c r="D16" s="15" t="s">
        <v>250</v>
      </c>
      <c r="E16" s="16">
        <v>44332</v>
      </c>
      <c r="F16" s="17" t="s">
        <v>22</v>
      </c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6"/>
      <c r="C17" s="14"/>
      <c r="D17" s="15"/>
      <c r="E17" s="16"/>
      <c r="F17" s="17"/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6"/>
      <c r="C18" s="14"/>
      <c r="D18" s="15"/>
      <c r="E18" s="16"/>
      <c r="F18" s="17"/>
      <c r="G18" s="18">
        <v>1</v>
      </c>
      <c r="H18" s="25"/>
      <c r="I18" s="22"/>
      <c r="J18" s="22"/>
    </row>
    <row r="19" spans="1:10" ht="15" customHeight="1" x14ac:dyDescent="0.25">
      <c r="A19" s="12">
        <f t="shared" si="0"/>
        <v>13</v>
      </c>
      <c r="B19" s="16"/>
      <c r="C19" s="14"/>
      <c r="D19" s="15"/>
      <c r="E19" s="16"/>
      <c r="F19" s="17"/>
      <c r="G19" s="18">
        <v>1</v>
      </c>
      <c r="H19" s="25"/>
      <c r="I19" s="22"/>
      <c r="J19" s="22"/>
    </row>
    <row r="20" spans="1:10" ht="15" customHeight="1" x14ac:dyDescent="0.25">
      <c r="A20" s="12">
        <f t="shared" si="0"/>
        <v>14</v>
      </c>
      <c r="B20" s="16"/>
      <c r="C20" s="14"/>
      <c r="D20" s="15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6"/>
      <c r="C21" s="14"/>
      <c r="D21" s="21"/>
      <c r="E21" s="16"/>
      <c r="F21" s="17"/>
      <c r="G21" s="18">
        <v>1</v>
      </c>
      <c r="H21" s="26"/>
      <c r="I21" s="22"/>
      <c r="J21" s="22"/>
    </row>
    <row r="22" spans="1:10" ht="15" customHeight="1" x14ac:dyDescent="0.25">
      <c r="A22" s="12">
        <f t="shared" si="0"/>
        <v>16</v>
      </c>
      <c r="B22" s="16"/>
      <c r="C22" s="14"/>
      <c r="D22" s="21"/>
      <c r="E22" s="16"/>
      <c r="F22" s="17"/>
      <c r="G22" s="18">
        <v>1</v>
      </c>
      <c r="H22" s="4"/>
      <c r="I22" s="22"/>
      <c r="J22" s="22"/>
    </row>
    <row r="23" spans="1:10" ht="15" customHeight="1" x14ac:dyDescent="0.25">
      <c r="A23" s="12">
        <f t="shared" si="0"/>
        <v>17</v>
      </c>
      <c r="B23" s="16"/>
      <c r="C23" s="14"/>
      <c r="D23" s="21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6"/>
      <c r="C24" s="14"/>
      <c r="D24" s="21"/>
      <c r="E24" s="16"/>
      <c r="F24" s="17"/>
      <c r="G24" s="18">
        <v>1</v>
      </c>
      <c r="H24" s="26"/>
      <c r="I24" s="22"/>
      <c r="J24" s="22"/>
    </row>
    <row r="25" spans="1:10" ht="15" customHeight="1" x14ac:dyDescent="0.25">
      <c r="A25" s="12">
        <f t="shared" si="0"/>
        <v>19</v>
      </c>
      <c r="B25" s="16"/>
      <c r="C25" s="14"/>
      <c r="D25" s="21"/>
      <c r="E25" s="16"/>
      <c r="F25" s="17"/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6"/>
      <c r="C26" s="14"/>
      <c r="D26" s="21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/>
      <c r="C27" s="14"/>
      <c r="D27" s="21"/>
      <c r="E27" s="16"/>
      <c r="F27" s="17"/>
      <c r="G27" s="18">
        <v>1</v>
      </c>
      <c r="H27" s="26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21"/>
      <c r="E28" s="16"/>
      <c r="F28" s="17"/>
      <c r="G28" s="18">
        <v>1</v>
      </c>
      <c r="H28" s="26"/>
      <c r="I28" s="22"/>
      <c r="J28" s="22"/>
    </row>
    <row r="29" spans="1:10" ht="15" customHeight="1" x14ac:dyDescent="0.25">
      <c r="A29" s="12">
        <f t="shared" si="0"/>
        <v>23</v>
      </c>
      <c r="B29" s="16"/>
      <c r="C29" s="14"/>
      <c r="D29" s="21"/>
      <c r="E29" s="16"/>
      <c r="F29" s="17"/>
      <c r="G29" s="18">
        <v>1</v>
      </c>
      <c r="H29" s="19"/>
      <c r="I29" s="4"/>
      <c r="J29" s="4"/>
    </row>
    <row r="30" spans="1:10" ht="15" customHeight="1" x14ac:dyDescent="0.25">
      <c r="A30" s="12">
        <f t="shared" si="0"/>
        <v>24</v>
      </c>
      <c r="B30" s="16"/>
      <c r="C30" s="14"/>
      <c r="D30" s="21"/>
      <c r="E30" s="16"/>
      <c r="F30" s="17"/>
      <c r="G30" s="18">
        <v>1</v>
      </c>
      <c r="H30" s="4"/>
      <c r="I30" s="4"/>
      <c r="J30" s="4"/>
    </row>
    <row r="31" spans="1:10" ht="15" customHeight="1" x14ac:dyDescent="0.25">
      <c r="A31" s="12">
        <f t="shared" si="0"/>
        <v>25</v>
      </c>
      <c r="B31" s="16"/>
      <c r="C31" s="14"/>
      <c r="D31" s="21"/>
      <c r="E31" s="16"/>
      <c r="F31" s="17"/>
      <c r="G31" s="18">
        <v>1</v>
      </c>
      <c r="H31" s="26"/>
      <c r="I31" s="4"/>
      <c r="J31" s="4"/>
    </row>
    <row r="32" spans="1:10" ht="15" customHeight="1" x14ac:dyDescent="0.25">
      <c r="A32" s="12">
        <f t="shared" si="0"/>
        <v>26</v>
      </c>
      <c r="B32" s="16"/>
      <c r="C32" s="14"/>
      <c r="D32" s="21"/>
      <c r="E32" s="16"/>
      <c r="F32" s="17"/>
      <c r="G32" s="18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H33" s="4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21"/>
      <c r="E37" s="16"/>
      <c r="F37" s="17"/>
      <c r="G37" s="18">
        <v>1</v>
      </c>
      <c r="H37" s="4"/>
      <c r="I37" s="4"/>
      <c r="J37" s="4"/>
    </row>
    <row r="38" spans="1:10" x14ac:dyDescent="0.25">
      <c r="A38" s="12">
        <f t="shared" si="0"/>
        <v>32</v>
      </c>
      <c r="B38" s="16"/>
      <c r="C38" s="14"/>
      <c r="D38" s="21"/>
      <c r="E38" s="16"/>
      <c r="F38" s="17"/>
      <c r="G38" s="18">
        <v>1</v>
      </c>
      <c r="H38" s="27"/>
    </row>
    <row r="39" spans="1:10" x14ac:dyDescent="0.25">
      <c r="A39" s="12">
        <f t="shared" si="0"/>
        <v>33</v>
      </c>
      <c r="B39" s="16"/>
      <c r="C39" s="14"/>
      <c r="D39" s="21"/>
      <c r="E39" s="16"/>
      <c r="F39" s="17"/>
      <c r="G39" s="18">
        <v>1</v>
      </c>
      <c r="H39" s="27"/>
    </row>
    <row r="40" spans="1:10" x14ac:dyDescent="0.25">
      <c r="A40" s="12">
        <f t="shared" si="0"/>
        <v>34</v>
      </c>
      <c r="B40" s="16"/>
      <c r="C40" s="14"/>
      <c r="D40" s="21"/>
      <c r="E40" s="16"/>
      <c r="F40" s="17"/>
      <c r="G40" s="18">
        <v>1</v>
      </c>
      <c r="H40" s="27"/>
    </row>
    <row r="41" spans="1:10" x14ac:dyDescent="0.25">
      <c r="A41" s="12">
        <f t="shared" si="0"/>
        <v>35</v>
      </c>
      <c r="B41" s="16"/>
      <c r="C41" s="14"/>
      <c r="D41" s="21"/>
      <c r="E41" s="16"/>
      <c r="F41" s="17"/>
      <c r="G41" s="18">
        <v>1</v>
      </c>
      <c r="H41" s="27"/>
    </row>
    <row r="42" spans="1:10" x14ac:dyDescent="0.25">
      <c r="A42" s="12">
        <f t="shared" si="0"/>
        <v>36</v>
      </c>
      <c r="B42" s="16"/>
      <c r="C42" s="14"/>
      <c r="D42" s="21"/>
      <c r="E42" s="16"/>
      <c r="F42" s="17"/>
      <c r="G42" s="18">
        <v>1</v>
      </c>
      <c r="H42" s="27"/>
    </row>
    <row r="43" spans="1:10" x14ac:dyDescent="0.25">
      <c r="A43" s="12">
        <f t="shared" si="0"/>
        <v>37</v>
      </c>
      <c r="B43" s="16"/>
      <c r="C43" s="14"/>
      <c r="D43" s="21"/>
      <c r="E43" s="16"/>
      <c r="F43" s="17"/>
      <c r="G43" s="18">
        <v>1</v>
      </c>
      <c r="H43" s="27"/>
    </row>
    <row r="44" spans="1:10" x14ac:dyDescent="0.25">
      <c r="A44" s="12">
        <f t="shared" si="0"/>
        <v>38</v>
      </c>
      <c r="B44" s="16"/>
      <c r="C44" s="13"/>
      <c r="D44" s="16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3"/>
      <c r="D45" s="16"/>
      <c r="E45" s="16"/>
      <c r="F45" s="24"/>
    </row>
    <row r="46" spans="1:10" x14ac:dyDescent="0.25">
      <c r="A46" s="12">
        <f t="shared" si="0"/>
        <v>40</v>
      </c>
      <c r="B46" s="16"/>
      <c r="C46" s="13"/>
      <c r="D46" s="16"/>
      <c r="E46" s="16"/>
      <c r="F46" s="2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B21" sqref="B2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SUMIF(F7:F362,"Elimination*",G7:G362)</f>
        <v>20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SUMIF(F7:F362,"NB*",G7:G362)</f>
        <v>4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SUMIF(F7:F362,"Ve*",G7:G362)</f>
        <v>0</v>
      </c>
    </row>
    <row r="5" spans="1:11" ht="15.75" x14ac:dyDescent="0.25">
      <c r="A5" s="30" t="s">
        <v>251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24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252</v>
      </c>
      <c r="C7" s="14" t="s">
        <v>20</v>
      </c>
      <c r="D7" s="21" t="s">
        <v>253</v>
      </c>
      <c r="E7" s="16">
        <v>44350</v>
      </c>
      <c r="F7" s="17" t="s">
        <v>22</v>
      </c>
      <c r="G7" s="18">
        <v>1</v>
      </c>
      <c r="H7" s="19"/>
      <c r="I7" s="20"/>
      <c r="J7" s="20"/>
      <c r="K7" s="4"/>
    </row>
    <row r="8" spans="1:11" ht="15" customHeight="1" x14ac:dyDescent="0.25">
      <c r="A8" s="12">
        <f>+A7+1</f>
        <v>2</v>
      </c>
      <c r="B8" s="13" t="s">
        <v>609</v>
      </c>
      <c r="C8" s="14" t="s">
        <v>20</v>
      </c>
      <c r="D8" s="14">
        <v>2021064520</v>
      </c>
      <c r="E8" s="16">
        <v>44354</v>
      </c>
      <c r="F8" s="17" t="s">
        <v>254</v>
      </c>
      <c r="G8" s="18">
        <v>1</v>
      </c>
      <c r="H8" s="23" t="s">
        <v>255</v>
      </c>
      <c r="I8" s="22"/>
      <c r="J8" s="22"/>
      <c r="K8" s="4"/>
    </row>
    <row r="9" spans="1:11" ht="15" customHeight="1" x14ac:dyDescent="0.25">
      <c r="A9" s="12">
        <f t="shared" ref="A9:A46" si="0">+A8+1</f>
        <v>3</v>
      </c>
      <c r="B9" s="13" t="s">
        <v>610</v>
      </c>
      <c r="C9" s="14" t="s">
        <v>20</v>
      </c>
      <c r="D9" s="14">
        <v>2021064516</v>
      </c>
      <c r="E9" s="16">
        <v>44360</v>
      </c>
      <c r="F9" s="17" t="s">
        <v>256</v>
      </c>
      <c r="G9" s="18">
        <v>1</v>
      </c>
      <c r="H9" s="23" t="s">
        <v>257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611</v>
      </c>
      <c r="C10" s="14" t="s">
        <v>20</v>
      </c>
      <c r="D10" s="14">
        <v>2021064004</v>
      </c>
      <c r="E10" s="16">
        <v>44361</v>
      </c>
      <c r="F10" s="17" t="s">
        <v>258</v>
      </c>
      <c r="G10" s="18">
        <v>1</v>
      </c>
      <c r="H10" s="23" t="s">
        <v>262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259</v>
      </c>
      <c r="C11" s="14" t="s">
        <v>20</v>
      </c>
      <c r="D11" s="14">
        <v>2021064511</v>
      </c>
      <c r="E11" s="16">
        <v>44361</v>
      </c>
      <c r="F11" s="17" t="s">
        <v>22</v>
      </c>
      <c r="G11" s="18">
        <v>1</v>
      </c>
      <c r="H11" s="23"/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260</v>
      </c>
      <c r="C12" s="14" t="s">
        <v>20</v>
      </c>
      <c r="D12" s="14">
        <v>2021064512</v>
      </c>
      <c r="E12" s="16">
        <v>44361</v>
      </c>
      <c r="F12" s="17" t="s">
        <v>22</v>
      </c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261</v>
      </c>
      <c r="C13" s="14" t="s">
        <v>20</v>
      </c>
      <c r="D13" s="14">
        <v>2021064513</v>
      </c>
      <c r="E13" s="16">
        <v>44361</v>
      </c>
      <c r="F13" s="17" t="s">
        <v>22</v>
      </c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263</v>
      </c>
      <c r="C14" s="14" t="s">
        <v>20</v>
      </c>
      <c r="D14" s="14">
        <v>2021064514</v>
      </c>
      <c r="E14" s="16">
        <v>44361</v>
      </c>
      <c r="F14" s="17" t="s">
        <v>22</v>
      </c>
      <c r="G14" s="18">
        <v>1</v>
      </c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264</v>
      </c>
      <c r="C15" s="14" t="s">
        <v>20</v>
      </c>
      <c r="D15" s="14">
        <v>2021064002</v>
      </c>
      <c r="E15" s="16">
        <v>44361</v>
      </c>
      <c r="F15" s="17" t="s">
        <v>22</v>
      </c>
      <c r="G15" s="18">
        <v>1</v>
      </c>
      <c r="H15" s="23"/>
      <c r="I15" s="22"/>
      <c r="J15" s="22"/>
    </row>
    <row r="16" spans="1:11" ht="15" customHeight="1" x14ac:dyDescent="0.25">
      <c r="A16" s="12">
        <f t="shared" si="0"/>
        <v>10</v>
      </c>
      <c r="B16" s="13" t="s">
        <v>265</v>
      </c>
      <c r="C16" s="14" t="s">
        <v>20</v>
      </c>
      <c r="D16" s="14">
        <v>2021064515</v>
      </c>
      <c r="E16" s="16">
        <v>44361</v>
      </c>
      <c r="F16" s="17" t="s">
        <v>22</v>
      </c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6" t="s">
        <v>266</v>
      </c>
      <c r="C17" s="14" t="s">
        <v>20</v>
      </c>
      <c r="D17" s="14">
        <v>2021064010</v>
      </c>
      <c r="E17" s="16">
        <v>44362</v>
      </c>
      <c r="F17" s="17" t="s">
        <v>22</v>
      </c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6" t="s">
        <v>59</v>
      </c>
      <c r="C18" s="14" t="s">
        <v>20</v>
      </c>
      <c r="D18" s="14">
        <v>2021064008</v>
      </c>
      <c r="E18" s="16">
        <v>44362</v>
      </c>
      <c r="F18" s="17" t="s">
        <v>22</v>
      </c>
      <c r="G18" s="18">
        <v>1</v>
      </c>
      <c r="H18" s="25"/>
      <c r="I18" s="22"/>
      <c r="J18" s="22"/>
    </row>
    <row r="19" spans="1:10" ht="15" customHeight="1" x14ac:dyDescent="0.25">
      <c r="A19" s="12">
        <f t="shared" si="0"/>
        <v>13</v>
      </c>
      <c r="B19" s="16" t="s">
        <v>267</v>
      </c>
      <c r="C19" s="14" t="s">
        <v>20</v>
      </c>
      <c r="D19" s="14">
        <v>2021064803</v>
      </c>
      <c r="E19" s="16">
        <v>44363</v>
      </c>
      <c r="F19" s="17" t="s">
        <v>22</v>
      </c>
      <c r="G19" s="18">
        <v>1</v>
      </c>
      <c r="H19" s="25"/>
      <c r="I19" s="22"/>
      <c r="J19" s="22"/>
    </row>
    <row r="20" spans="1:10" ht="15" customHeight="1" x14ac:dyDescent="0.25">
      <c r="A20" s="12">
        <f t="shared" si="0"/>
        <v>14</v>
      </c>
      <c r="B20" s="16" t="s">
        <v>268</v>
      </c>
      <c r="C20" s="14" t="s">
        <v>20</v>
      </c>
      <c r="D20" s="14">
        <v>2021064006</v>
      </c>
      <c r="E20" s="16">
        <v>44363</v>
      </c>
      <c r="F20" s="17" t="s">
        <v>22</v>
      </c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6" t="s">
        <v>612</v>
      </c>
      <c r="C21" s="14" t="s">
        <v>20</v>
      </c>
      <c r="D21" s="14">
        <v>2021064007</v>
      </c>
      <c r="E21" s="16">
        <v>44364</v>
      </c>
      <c r="F21" s="17" t="s">
        <v>270</v>
      </c>
      <c r="G21" s="18">
        <v>1</v>
      </c>
      <c r="H21" s="26" t="s">
        <v>269</v>
      </c>
      <c r="I21" s="22"/>
      <c r="J21" s="22"/>
    </row>
    <row r="22" spans="1:10" ht="15" customHeight="1" x14ac:dyDescent="0.25">
      <c r="A22" s="12">
        <f t="shared" si="0"/>
        <v>16</v>
      </c>
      <c r="B22" s="16" t="s">
        <v>271</v>
      </c>
      <c r="C22" s="14" t="s">
        <v>20</v>
      </c>
      <c r="D22" s="14">
        <v>2021064806</v>
      </c>
      <c r="E22" s="16">
        <v>44364</v>
      </c>
      <c r="F22" s="17" t="s">
        <v>22</v>
      </c>
      <c r="G22" s="18">
        <v>1</v>
      </c>
      <c r="H22" s="4"/>
      <c r="I22" s="22"/>
      <c r="J22" s="22"/>
    </row>
    <row r="23" spans="1:10" ht="15" customHeight="1" x14ac:dyDescent="0.25">
      <c r="A23" s="12">
        <f t="shared" si="0"/>
        <v>17</v>
      </c>
      <c r="B23" s="16" t="s">
        <v>272</v>
      </c>
      <c r="C23" s="14" t="s">
        <v>20</v>
      </c>
      <c r="D23" s="14">
        <v>2021064805</v>
      </c>
      <c r="E23" s="16">
        <v>44364</v>
      </c>
      <c r="F23" s="17" t="s">
        <v>22</v>
      </c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6" t="s">
        <v>273</v>
      </c>
      <c r="C24" s="14" t="s">
        <v>20</v>
      </c>
      <c r="D24" s="14">
        <v>2021064801</v>
      </c>
      <c r="E24" s="16">
        <v>44364</v>
      </c>
      <c r="F24" s="17" t="s">
        <v>22</v>
      </c>
      <c r="G24" s="18">
        <v>1</v>
      </c>
      <c r="H24" s="26"/>
      <c r="I24" s="22"/>
      <c r="J24" s="22"/>
    </row>
    <row r="25" spans="1:10" ht="15" customHeight="1" x14ac:dyDescent="0.25">
      <c r="A25" s="12">
        <f t="shared" si="0"/>
        <v>19</v>
      </c>
      <c r="B25" s="16" t="s">
        <v>274</v>
      </c>
      <c r="C25" s="14" t="s">
        <v>20</v>
      </c>
      <c r="D25" s="14">
        <v>2021064804</v>
      </c>
      <c r="E25" s="16">
        <v>44364</v>
      </c>
      <c r="F25" s="17" t="s">
        <v>22</v>
      </c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6" t="s">
        <v>275</v>
      </c>
      <c r="C26" s="14" t="s">
        <v>20</v>
      </c>
      <c r="D26" s="14">
        <v>2021064807</v>
      </c>
      <c r="E26" s="16">
        <v>44364</v>
      </c>
      <c r="F26" s="17" t="s">
        <v>22</v>
      </c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 t="s">
        <v>276</v>
      </c>
      <c r="C27" s="14" t="s">
        <v>20</v>
      </c>
      <c r="D27" s="21" t="s">
        <v>345</v>
      </c>
      <c r="E27" s="16">
        <v>44371</v>
      </c>
      <c r="F27" s="17" t="s">
        <v>22</v>
      </c>
      <c r="G27" s="18">
        <v>1</v>
      </c>
      <c r="H27" s="26"/>
      <c r="I27" s="22"/>
      <c r="J27" s="22"/>
    </row>
    <row r="28" spans="1:10" ht="15" customHeight="1" x14ac:dyDescent="0.25">
      <c r="A28" s="12">
        <f t="shared" si="0"/>
        <v>22</v>
      </c>
      <c r="B28" s="13" t="s">
        <v>277</v>
      </c>
      <c r="C28" s="14" t="s">
        <v>20</v>
      </c>
      <c r="D28" s="21" t="s">
        <v>346</v>
      </c>
      <c r="E28" s="16">
        <v>44371</v>
      </c>
      <c r="F28" s="17" t="s">
        <v>22</v>
      </c>
      <c r="G28" s="18">
        <v>1</v>
      </c>
      <c r="H28" s="26"/>
      <c r="I28" s="22"/>
      <c r="J28" s="22"/>
    </row>
    <row r="29" spans="1:10" ht="15" customHeight="1" x14ac:dyDescent="0.25">
      <c r="A29" s="12">
        <f t="shared" si="0"/>
        <v>23</v>
      </c>
      <c r="B29" s="16" t="s">
        <v>378</v>
      </c>
      <c r="C29" s="14" t="s">
        <v>20</v>
      </c>
      <c r="D29" s="21" t="s">
        <v>347</v>
      </c>
      <c r="E29" s="16">
        <v>44371</v>
      </c>
      <c r="F29" s="17" t="s">
        <v>22</v>
      </c>
      <c r="G29" s="18">
        <v>1</v>
      </c>
      <c r="H29" s="19"/>
      <c r="I29" s="4"/>
      <c r="J29" s="4"/>
    </row>
    <row r="30" spans="1:10" ht="15" customHeight="1" x14ac:dyDescent="0.25">
      <c r="A30" s="12">
        <f t="shared" si="0"/>
        <v>24</v>
      </c>
      <c r="B30" s="16" t="s">
        <v>278</v>
      </c>
      <c r="C30" s="14" t="s">
        <v>279</v>
      </c>
      <c r="D30" s="21" t="s">
        <v>280</v>
      </c>
      <c r="E30" s="16">
        <v>44377</v>
      </c>
      <c r="F30" s="17" t="s">
        <v>22</v>
      </c>
      <c r="G30" s="18">
        <v>1</v>
      </c>
      <c r="H30" s="4"/>
      <c r="I30" s="4"/>
      <c r="J30" s="4"/>
    </row>
    <row r="31" spans="1:10" ht="15" customHeight="1" x14ac:dyDescent="0.25">
      <c r="A31" s="12">
        <f t="shared" si="0"/>
        <v>25</v>
      </c>
      <c r="B31" s="16"/>
      <c r="C31" s="14"/>
      <c r="D31" s="21"/>
      <c r="E31" s="16"/>
      <c r="F31" s="17"/>
      <c r="G31" s="18">
        <v>1</v>
      </c>
      <c r="H31" s="26"/>
      <c r="I31" s="4"/>
      <c r="J31" s="4"/>
    </row>
    <row r="32" spans="1:10" ht="15" customHeight="1" x14ac:dyDescent="0.25">
      <c r="A32" s="12">
        <f t="shared" si="0"/>
        <v>26</v>
      </c>
      <c r="B32" s="16"/>
      <c r="C32" s="14"/>
      <c r="D32" s="21"/>
      <c r="E32" s="16"/>
      <c r="F32" s="17"/>
      <c r="G32" s="18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H33" s="4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21"/>
      <c r="E37" s="16"/>
      <c r="F37" s="17"/>
      <c r="G37" s="18">
        <v>1</v>
      </c>
      <c r="H37" s="4"/>
      <c r="I37" s="4"/>
      <c r="J37" s="4"/>
    </row>
    <row r="38" spans="1:10" x14ac:dyDescent="0.25">
      <c r="A38" s="12">
        <f t="shared" si="0"/>
        <v>32</v>
      </c>
      <c r="B38" s="16"/>
      <c r="C38" s="14"/>
      <c r="D38" s="21"/>
      <c r="E38" s="16"/>
      <c r="F38" s="17"/>
      <c r="G38" s="18">
        <v>1</v>
      </c>
      <c r="H38" s="27"/>
    </row>
    <row r="39" spans="1:10" x14ac:dyDescent="0.25">
      <c r="A39" s="12">
        <f t="shared" si="0"/>
        <v>33</v>
      </c>
      <c r="B39" s="16"/>
      <c r="C39" s="14"/>
      <c r="D39" s="21"/>
      <c r="E39" s="16"/>
      <c r="F39" s="17"/>
      <c r="G39" s="18">
        <v>1</v>
      </c>
      <c r="H39" s="27"/>
    </row>
    <row r="40" spans="1:10" x14ac:dyDescent="0.25">
      <c r="A40" s="12">
        <f t="shared" si="0"/>
        <v>34</v>
      </c>
      <c r="B40" s="16"/>
      <c r="C40" s="14"/>
      <c r="D40" s="21"/>
      <c r="E40" s="16"/>
      <c r="F40" s="17"/>
      <c r="G40" s="18">
        <v>1</v>
      </c>
      <c r="H40" s="27"/>
    </row>
    <row r="41" spans="1:10" x14ac:dyDescent="0.25">
      <c r="A41" s="12">
        <f t="shared" si="0"/>
        <v>35</v>
      </c>
      <c r="B41" s="16"/>
      <c r="C41" s="14"/>
      <c r="D41" s="21"/>
      <c r="E41" s="16"/>
      <c r="F41" s="17"/>
      <c r="G41" s="18">
        <v>1</v>
      </c>
      <c r="H41" s="27"/>
    </row>
    <row r="42" spans="1:10" x14ac:dyDescent="0.25">
      <c r="A42" s="12">
        <f t="shared" si="0"/>
        <v>36</v>
      </c>
      <c r="B42" s="16"/>
      <c r="C42" s="14"/>
      <c r="D42" s="21"/>
      <c r="E42" s="16"/>
      <c r="F42" s="17"/>
      <c r="G42" s="18">
        <v>1</v>
      </c>
      <c r="H42" s="27"/>
    </row>
    <row r="43" spans="1:10" x14ac:dyDescent="0.25">
      <c r="A43" s="12">
        <f t="shared" si="0"/>
        <v>37</v>
      </c>
      <c r="B43" s="16"/>
      <c r="C43" s="14"/>
      <c r="D43" s="21"/>
      <c r="E43" s="16"/>
      <c r="F43" s="17"/>
      <c r="G43" s="18">
        <v>1</v>
      </c>
      <c r="H43" s="27"/>
    </row>
    <row r="44" spans="1:10" x14ac:dyDescent="0.25">
      <c r="A44" s="12">
        <f t="shared" si="0"/>
        <v>38</v>
      </c>
      <c r="B44" s="16"/>
      <c r="C44" s="13"/>
      <c r="D44" s="16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3"/>
      <c r="D45" s="16"/>
      <c r="E45" s="16"/>
      <c r="F45" s="24"/>
    </row>
    <row r="46" spans="1:10" x14ac:dyDescent="0.25">
      <c r="A46" s="12">
        <f t="shared" si="0"/>
        <v>40</v>
      </c>
      <c r="B46" s="16"/>
      <c r="C46" s="13"/>
      <c r="D46" s="16"/>
      <c r="E46" s="16"/>
      <c r="F46" s="2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B11" sqref="B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SUMIF(F7:F362,"Elimination*",G7:G362)</f>
        <v>1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SUMIF(F7:F362,"NB*",G7:G362)</f>
        <v>5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SUMIF(F7:F362,"Ve*",G7:G362)</f>
        <v>0</v>
      </c>
    </row>
    <row r="5" spans="1:11" ht="15.75" x14ac:dyDescent="0.25">
      <c r="A5" s="30" t="s">
        <v>281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6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282</v>
      </c>
      <c r="C7" s="14" t="s">
        <v>20</v>
      </c>
      <c r="D7" s="21" t="s">
        <v>285</v>
      </c>
      <c r="E7" s="16">
        <v>44388</v>
      </c>
      <c r="F7" s="17" t="s">
        <v>283</v>
      </c>
      <c r="G7" s="18">
        <v>1</v>
      </c>
      <c r="H7" s="19" t="s">
        <v>284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613</v>
      </c>
      <c r="C8" s="14" t="s">
        <v>20</v>
      </c>
      <c r="D8" s="14">
        <v>112830</v>
      </c>
      <c r="E8" s="16">
        <v>44388</v>
      </c>
      <c r="F8" s="17" t="s">
        <v>286</v>
      </c>
      <c r="G8" s="18">
        <v>1</v>
      </c>
      <c r="H8" s="23" t="s">
        <v>287</v>
      </c>
      <c r="I8" s="22"/>
      <c r="J8" s="22"/>
      <c r="K8" s="4"/>
    </row>
    <row r="9" spans="1:11" ht="15" customHeight="1" x14ac:dyDescent="0.25">
      <c r="A9" s="12">
        <f t="shared" ref="A9:A46" si="0">+A8+1</f>
        <v>3</v>
      </c>
      <c r="B9" s="13" t="s">
        <v>614</v>
      </c>
      <c r="C9" s="14" t="s">
        <v>20</v>
      </c>
      <c r="D9" s="14">
        <v>112829</v>
      </c>
      <c r="E9" s="16">
        <v>44395</v>
      </c>
      <c r="F9" s="17" t="s">
        <v>288</v>
      </c>
      <c r="G9" s="18">
        <v>1</v>
      </c>
      <c r="H9" s="23" t="s">
        <v>289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615</v>
      </c>
      <c r="C10" s="14" t="s">
        <v>20</v>
      </c>
      <c r="D10" s="14">
        <v>112822</v>
      </c>
      <c r="E10" s="16">
        <v>44395</v>
      </c>
      <c r="F10" s="17" t="s">
        <v>290</v>
      </c>
      <c r="G10" s="18">
        <v>1</v>
      </c>
      <c r="H10" s="23" t="s">
        <v>291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616</v>
      </c>
      <c r="C11" s="14" t="s">
        <v>20</v>
      </c>
      <c r="D11" s="14">
        <v>112821</v>
      </c>
      <c r="E11" s="16">
        <v>44403</v>
      </c>
      <c r="F11" s="17" t="s">
        <v>292</v>
      </c>
      <c r="G11" s="18">
        <v>1</v>
      </c>
      <c r="H11" s="23" t="s">
        <v>293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294</v>
      </c>
      <c r="C12" s="14" t="s">
        <v>296</v>
      </c>
      <c r="D12" s="21" t="s">
        <v>295</v>
      </c>
      <c r="E12" s="16">
        <v>44406</v>
      </c>
      <c r="F12" s="17" t="s">
        <v>22</v>
      </c>
      <c r="G12" s="18">
        <v>1</v>
      </c>
      <c r="H12" s="19"/>
      <c r="I12" s="22"/>
      <c r="J12" s="22"/>
      <c r="K12" s="4"/>
    </row>
    <row r="13" spans="1:11" ht="15" customHeight="1" x14ac:dyDescent="0.25">
      <c r="A13" s="12">
        <f t="shared" si="0"/>
        <v>7</v>
      </c>
      <c r="B13" s="13"/>
      <c r="C13" s="14"/>
      <c r="D13" s="14"/>
      <c r="E13" s="16"/>
      <c r="F13" s="17"/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3"/>
      <c r="C14" s="14"/>
      <c r="D14" s="14"/>
      <c r="E14" s="16"/>
      <c r="F14" s="17"/>
      <c r="G14" s="18">
        <v>1</v>
      </c>
      <c r="H14" s="19"/>
      <c r="I14" s="22"/>
      <c r="J14" s="22"/>
      <c r="K14" s="4"/>
    </row>
    <row r="15" spans="1:11" ht="15" customHeight="1" x14ac:dyDescent="0.25">
      <c r="A15" s="12">
        <f t="shared" si="0"/>
        <v>9</v>
      </c>
      <c r="B15" s="13"/>
      <c r="C15" s="14"/>
      <c r="D15" s="14"/>
      <c r="E15" s="16"/>
      <c r="F15" s="17"/>
      <c r="G15" s="18">
        <v>1</v>
      </c>
      <c r="H15" s="23"/>
      <c r="I15" s="22"/>
      <c r="J15" s="22"/>
    </row>
    <row r="16" spans="1:11" ht="15" customHeight="1" x14ac:dyDescent="0.25">
      <c r="A16" s="12">
        <f t="shared" si="0"/>
        <v>10</v>
      </c>
      <c r="B16" s="13"/>
      <c r="C16" s="14"/>
      <c r="D16" s="14"/>
      <c r="E16" s="16"/>
      <c r="F16" s="17"/>
      <c r="G16" s="18">
        <v>1</v>
      </c>
      <c r="H16" s="19"/>
      <c r="I16" s="22"/>
      <c r="J16" s="22"/>
    </row>
    <row r="17" spans="1:10" ht="15" customHeight="1" x14ac:dyDescent="0.25">
      <c r="A17" s="12">
        <f t="shared" si="0"/>
        <v>11</v>
      </c>
      <c r="B17" s="16"/>
      <c r="C17" s="14"/>
      <c r="D17" s="14"/>
      <c r="E17" s="16"/>
      <c r="F17" s="17"/>
      <c r="G17" s="18">
        <v>1</v>
      </c>
      <c r="H17" s="19"/>
      <c r="I17" s="22"/>
      <c r="J17" s="22"/>
    </row>
    <row r="18" spans="1:10" ht="15" customHeight="1" x14ac:dyDescent="0.25">
      <c r="A18" s="12">
        <f t="shared" si="0"/>
        <v>12</v>
      </c>
      <c r="B18" s="16"/>
      <c r="C18" s="14"/>
      <c r="D18" s="14"/>
      <c r="E18" s="16"/>
      <c r="F18" s="17"/>
      <c r="G18" s="18">
        <v>1</v>
      </c>
      <c r="H18" s="25"/>
      <c r="I18" s="22"/>
      <c r="J18" s="22"/>
    </row>
    <row r="19" spans="1:10" ht="15" customHeight="1" x14ac:dyDescent="0.25">
      <c r="A19" s="12">
        <f t="shared" si="0"/>
        <v>13</v>
      </c>
      <c r="B19" s="16"/>
      <c r="C19" s="14"/>
      <c r="D19" s="14"/>
      <c r="E19" s="16"/>
      <c r="F19" s="17"/>
      <c r="G19" s="18">
        <v>1</v>
      </c>
      <c r="H19" s="25"/>
      <c r="I19" s="22"/>
      <c r="J19" s="22"/>
    </row>
    <row r="20" spans="1:10" ht="15" customHeight="1" x14ac:dyDescent="0.25">
      <c r="A20" s="12">
        <f t="shared" si="0"/>
        <v>14</v>
      </c>
      <c r="B20" s="16"/>
      <c r="C20" s="14"/>
      <c r="D20" s="14"/>
      <c r="E20" s="16"/>
      <c r="F20" s="17"/>
      <c r="G20" s="18">
        <v>1</v>
      </c>
      <c r="H20" s="19"/>
      <c r="I20" s="22"/>
      <c r="J20" s="22"/>
    </row>
    <row r="21" spans="1:10" ht="15" customHeight="1" x14ac:dyDescent="0.25">
      <c r="A21" s="12">
        <f t="shared" si="0"/>
        <v>15</v>
      </c>
      <c r="B21" s="16"/>
      <c r="C21" s="14"/>
      <c r="D21" s="14"/>
      <c r="E21" s="16"/>
      <c r="F21" s="17"/>
      <c r="G21" s="18">
        <v>1</v>
      </c>
      <c r="H21" s="26"/>
      <c r="I21" s="22"/>
      <c r="J21" s="22"/>
    </row>
    <row r="22" spans="1:10" ht="15" customHeight="1" x14ac:dyDescent="0.25">
      <c r="A22" s="12">
        <f t="shared" si="0"/>
        <v>16</v>
      </c>
      <c r="B22" s="16"/>
      <c r="C22" s="14"/>
      <c r="D22" s="14"/>
      <c r="E22" s="16"/>
      <c r="F22" s="17"/>
      <c r="G22" s="18">
        <v>1</v>
      </c>
      <c r="H22" s="4"/>
      <c r="I22" s="22"/>
      <c r="J22" s="22"/>
    </row>
    <row r="23" spans="1:10" ht="15" customHeight="1" x14ac:dyDescent="0.25">
      <c r="A23" s="12">
        <f t="shared" si="0"/>
        <v>17</v>
      </c>
      <c r="B23" s="16"/>
      <c r="C23" s="14"/>
      <c r="D23" s="14"/>
      <c r="E23" s="16"/>
      <c r="F23" s="17"/>
      <c r="G23" s="18">
        <v>1</v>
      </c>
      <c r="H23" s="19"/>
      <c r="I23" s="22"/>
      <c r="J23" s="22"/>
    </row>
    <row r="24" spans="1:10" ht="15" customHeight="1" x14ac:dyDescent="0.25">
      <c r="A24" s="12">
        <f t="shared" si="0"/>
        <v>18</v>
      </c>
      <c r="B24" s="16"/>
      <c r="C24" s="14"/>
      <c r="D24" s="14"/>
      <c r="E24" s="16"/>
      <c r="F24" s="17"/>
      <c r="G24" s="18">
        <v>1</v>
      </c>
      <c r="H24" s="26"/>
      <c r="I24" s="22"/>
      <c r="J24" s="22"/>
    </row>
    <row r="25" spans="1:10" ht="15" customHeight="1" x14ac:dyDescent="0.25">
      <c r="A25" s="12">
        <f t="shared" si="0"/>
        <v>19</v>
      </c>
      <c r="B25" s="16"/>
      <c r="C25" s="14"/>
      <c r="D25" s="14"/>
      <c r="E25" s="16"/>
      <c r="F25" s="17"/>
      <c r="G25" s="18">
        <v>1</v>
      </c>
      <c r="H25" s="19"/>
      <c r="I25" s="22"/>
      <c r="J25" s="22"/>
    </row>
    <row r="26" spans="1:10" ht="15" customHeight="1" x14ac:dyDescent="0.25">
      <c r="A26" s="12">
        <f t="shared" si="0"/>
        <v>20</v>
      </c>
      <c r="B26" s="16"/>
      <c r="C26" s="14"/>
      <c r="D26" s="14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/>
      <c r="C27" s="14"/>
      <c r="D27" s="21"/>
      <c r="E27" s="16"/>
      <c r="F27" s="17"/>
      <c r="G27" s="18">
        <v>1</v>
      </c>
      <c r="H27" s="26"/>
      <c r="I27" s="22"/>
      <c r="J27" s="22"/>
    </row>
    <row r="28" spans="1:10" ht="15" customHeight="1" x14ac:dyDescent="0.25">
      <c r="A28" s="12">
        <f t="shared" si="0"/>
        <v>22</v>
      </c>
      <c r="B28" s="13"/>
      <c r="C28" s="14"/>
      <c r="D28" s="21"/>
      <c r="E28" s="16"/>
      <c r="F28" s="17"/>
      <c r="G28" s="18">
        <v>1</v>
      </c>
      <c r="H28" s="26"/>
      <c r="I28" s="22"/>
      <c r="J28" s="22"/>
    </row>
    <row r="29" spans="1:10" ht="15" customHeight="1" x14ac:dyDescent="0.25">
      <c r="A29" s="12">
        <f t="shared" si="0"/>
        <v>23</v>
      </c>
      <c r="B29" s="16"/>
      <c r="C29" s="14"/>
      <c r="D29" s="21"/>
      <c r="E29" s="16"/>
      <c r="F29" s="17"/>
      <c r="G29" s="18">
        <v>1</v>
      </c>
      <c r="H29" s="19"/>
      <c r="I29" s="4"/>
      <c r="J29" s="4"/>
    </row>
    <row r="30" spans="1:10" ht="15" customHeight="1" x14ac:dyDescent="0.25">
      <c r="A30" s="12">
        <f t="shared" si="0"/>
        <v>24</v>
      </c>
      <c r="B30" s="16"/>
      <c r="C30" s="14"/>
      <c r="D30" s="21"/>
      <c r="E30" s="16"/>
      <c r="F30" s="17"/>
      <c r="G30" s="18">
        <v>1</v>
      </c>
      <c r="H30" s="4"/>
      <c r="I30" s="4"/>
      <c r="J30" s="4"/>
    </row>
    <row r="31" spans="1:10" ht="15" customHeight="1" x14ac:dyDescent="0.25">
      <c r="A31" s="12">
        <f t="shared" si="0"/>
        <v>25</v>
      </c>
      <c r="B31" s="16"/>
      <c r="C31" s="14"/>
      <c r="D31" s="21"/>
      <c r="E31" s="16"/>
      <c r="F31" s="17"/>
      <c r="G31" s="18">
        <v>1</v>
      </c>
      <c r="H31" s="26"/>
      <c r="I31" s="4"/>
      <c r="J31" s="4"/>
    </row>
    <row r="32" spans="1:10" ht="15" customHeight="1" x14ac:dyDescent="0.25">
      <c r="A32" s="12">
        <f t="shared" si="0"/>
        <v>26</v>
      </c>
      <c r="B32" s="16"/>
      <c r="C32" s="14"/>
      <c r="D32" s="21"/>
      <c r="E32" s="16"/>
      <c r="F32" s="17"/>
      <c r="G32" s="18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H33" s="4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21"/>
      <c r="E37" s="16"/>
      <c r="F37" s="17"/>
      <c r="G37" s="18">
        <v>1</v>
      </c>
      <c r="H37" s="4"/>
      <c r="I37" s="4"/>
      <c r="J37" s="4"/>
    </row>
    <row r="38" spans="1:10" x14ac:dyDescent="0.25">
      <c r="A38" s="12">
        <f t="shared" si="0"/>
        <v>32</v>
      </c>
      <c r="B38" s="16"/>
      <c r="C38" s="14"/>
      <c r="D38" s="21"/>
      <c r="E38" s="16"/>
      <c r="F38" s="17"/>
      <c r="G38" s="18">
        <v>1</v>
      </c>
      <c r="H38" s="27"/>
    </row>
    <row r="39" spans="1:10" x14ac:dyDescent="0.25">
      <c r="A39" s="12">
        <f t="shared" si="0"/>
        <v>33</v>
      </c>
      <c r="B39" s="16"/>
      <c r="C39" s="14"/>
      <c r="D39" s="21"/>
      <c r="E39" s="16"/>
      <c r="F39" s="17"/>
      <c r="G39" s="18">
        <v>1</v>
      </c>
      <c r="H39" s="27"/>
    </row>
    <row r="40" spans="1:10" x14ac:dyDescent="0.25">
      <c r="A40" s="12">
        <f t="shared" si="0"/>
        <v>34</v>
      </c>
      <c r="B40" s="16"/>
      <c r="C40" s="14"/>
      <c r="D40" s="21"/>
      <c r="E40" s="16"/>
      <c r="F40" s="17"/>
      <c r="G40" s="18">
        <v>1</v>
      </c>
      <c r="H40" s="27"/>
    </row>
    <row r="41" spans="1:10" x14ac:dyDescent="0.25">
      <c r="A41" s="12">
        <f t="shared" si="0"/>
        <v>35</v>
      </c>
      <c r="B41" s="16"/>
      <c r="C41" s="14"/>
      <c r="D41" s="21"/>
      <c r="E41" s="16"/>
      <c r="F41" s="17"/>
      <c r="G41" s="18">
        <v>1</v>
      </c>
      <c r="H41" s="27"/>
    </row>
    <row r="42" spans="1:10" x14ac:dyDescent="0.25">
      <c r="A42" s="12">
        <f t="shared" si="0"/>
        <v>36</v>
      </c>
      <c r="B42" s="16"/>
      <c r="C42" s="14"/>
      <c r="D42" s="21"/>
      <c r="E42" s="16"/>
      <c r="F42" s="17"/>
      <c r="G42" s="18">
        <v>1</v>
      </c>
      <c r="H42" s="27"/>
    </row>
    <row r="43" spans="1:10" x14ac:dyDescent="0.25">
      <c r="A43" s="12">
        <f t="shared" si="0"/>
        <v>37</v>
      </c>
      <c r="B43" s="16"/>
      <c r="C43" s="14"/>
      <c r="D43" s="21"/>
      <c r="E43" s="16"/>
      <c r="F43" s="17"/>
      <c r="G43" s="18">
        <v>1</v>
      </c>
      <c r="H43" s="27"/>
    </row>
    <row r="44" spans="1:10" x14ac:dyDescent="0.25">
      <c r="A44" s="12">
        <f t="shared" si="0"/>
        <v>38</v>
      </c>
      <c r="B44" s="16"/>
      <c r="C44" s="13"/>
      <c r="D44" s="16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3"/>
      <c r="D45" s="16"/>
      <c r="E45" s="16"/>
      <c r="F45" s="24"/>
    </row>
    <row r="46" spans="1:10" x14ac:dyDescent="0.25">
      <c r="A46" s="12">
        <f t="shared" si="0"/>
        <v>40</v>
      </c>
      <c r="B46" s="16"/>
      <c r="C46" s="13"/>
      <c r="D46" s="16"/>
      <c r="E46" s="16"/>
      <c r="F46" s="2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16" workbookViewId="0">
      <selection activeCell="E31" sqref="E3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5.285156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SUMIF(F7:F362,"Elimination*",G7:G362)</f>
        <v>2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SUMIF(F7:F362,"NB*",G7:G362)</f>
        <v>24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SUMIF(F7:F362,"Ve*",G7:G362)</f>
        <v>0</v>
      </c>
    </row>
    <row r="5" spans="1:11" ht="15.75" x14ac:dyDescent="0.25">
      <c r="A5" s="30" t="s">
        <v>297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26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617</v>
      </c>
      <c r="C7" s="14" t="s">
        <v>20</v>
      </c>
      <c r="D7" s="21" t="s">
        <v>302</v>
      </c>
      <c r="E7" s="16">
        <v>44409</v>
      </c>
      <c r="F7" s="17" t="s">
        <v>310</v>
      </c>
      <c r="G7" s="18">
        <v>1</v>
      </c>
      <c r="H7" s="19" t="s">
        <v>311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618</v>
      </c>
      <c r="C8" s="14" t="s">
        <v>20</v>
      </c>
      <c r="D8" s="14">
        <v>113381</v>
      </c>
      <c r="E8" s="16">
        <v>44411</v>
      </c>
      <c r="F8" s="17" t="s">
        <v>312</v>
      </c>
      <c r="G8" s="18">
        <v>1</v>
      </c>
      <c r="H8" s="23" t="s">
        <v>313</v>
      </c>
      <c r="I8" s="22"/>
      <c r="J8" s="22"/>
      <c r="K8" s="4"/>
    </row>
    <row r="9" spans="1:11" ht="15" customHeight="1" x14ac:dyDescent="0.25">
      <c r="A9" s="12">
        <f t="shared" ref="A9:A46" si="0">+A8+1</f>
        <v>3</v>
      </c>
      <c r="B9" s="13" t="s">
        <v>619</v>
      </c>
      <c r="C9" s="14" t="s">
        <v>20</v>
      </c>
      <c r="D9" s="14">
        <v>113382</v>
      </c>
      <c r="E9" s="16">
        <v>44412</v>
      </c>
      <c r="F9" s="17" t="s">
        <v>314</v>
      </c>
      <c r="G9" s="18">
        <v>1</v>
      </c>
      <c r="H9" s="23" t="s">
        <v>315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620</v>
      </c>
      <c r="C10" s="14" t="s">
        <v>20</v>
      </c>
      <c r="D10" s="14">
        <v>113384</v>
      </c>
      <c r="E10" s="16">
        <v>44413</v>
      </c>
      <c r="F10" s="17" t="s">
        <v>316</v>
      </c>
      <c r="G10" s="18">
        <v>1</v>
      </c>
      <c r="H10" s="23" t="s">
        <v>317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621</v>
      </c>
      <c r="C11" s="14" t="s">
        <v>20</v>
      </c>
      <c r="D11" s="14">
        <v>113386</v>
      </c>
      <c r="E11" s="16">
        <v>44413</v>
      </c>
      <c r="F11" s="17" t="s">
        <v>318</v>
      </c>
      <c r="G11" s="18">
        <v>1</v>
      </c>
      <c r="H11" s="23" t="s">
        <v>319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622</v>
      </c>
      <c r="C12" s="14" t="s">
        <v>20</v>
      </c>
      <c r="D12" s="21" t="s">
        <v>303</v>
      </c>
      <c r="E12" s="16">
        <v>44413</v>
      </c>
      <c r="F12" s="17" t="s">
        <v>320</v>
      </c>
      <c r="G12" s="18">
        <v>1</v>
      </c>
      <c r="H12" s="19" t="s">
        <v>321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623</v>
      </c>
      <c r="C13" s="14" t="s">
        <v>20</v>
      </c>
      <c r="D13" s="14">
        <v>113385</v>
      </c>
      <c r="E13" s="16">
        <v>44413</v>
      </c>
      <c r="F13" s="17" t="s">
        <v>322</v>
      </c>
      <c r="G13" s="18">
        <v>1</v>
      </c>
      <c r="H13" s="19" t="s">
        <v>624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625</v>
      </c>
      <c r="C14" s="14" t="s">
        <v>20</v>
      </c>
      <c r="D14" s="14">
        <v>113387</v>
      </c>
      <c r="E14" s="16">
        <v>44417</v>
      </c>
      <c r="F14" s="17" t="s">
        <v>323</v>
      </c>
      <c r="G14" s="18">
        <v>1</v>
      </c>
      <c r="H14" s="19" t="s">
        <v>324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626</v>
      </c>
      <c r="C15" s="14" t="s">
        <v>20</v>
      </c>
      <c r="D15" s="14">
        <v>113388</v>
      </c>
      <c r="E15" s="16">
        <v>44417</v>
      </c>
      <c r="F15" s="17" t="s">
        <v>325</v>
      </c>
      <c r="G15" s="18">
        <v>1</v>
      </c>
      <c r="H15" s="23" t="s">
        <v>326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627</v>
      </c>
      <c r="C16" s="14" t="s">
        <v>20</v>
      </c>
      <c r="D16" s="14">
        <v>113181</v>
      </c>
      <c r="E16" s="16">
        <v>44420</v>
      </c>
      <c r="F16" s="17" t="s">
        <v>41</v>
      </c>
      <c r="G16" s="18">
        <v>1</v>
      </c>
      <c r="H16" s="19" t="s">
        <v>327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630</v>
      </c>
      <c r="C17" s="14" t="s">
        <v>20</v>
      </c>
      <c r="D17" s="14">
        <v>113182</v>
      </c>
      <c r="E17" s="16">
        <v>44420</v>
      </c>
      <c r="F17" s="17" t="s">
        <v>41</v>
      </c>
      <c r="G17" s="18">
        <v>1</v>
      </c>
      <c r="H17" s="19" t="s">
        <v>327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631</v>
      </c>
      <c r="C18" s="14" t="s">
        <v>20</v>
      </c>
      <c r="D18" s="14">
        <v>113183</v>
      </c>
      <c r="E18" s="16">
        <v>44420</v>
      </c>
      <c r="F18" s="17" t="s">
        <v>41</v>
      </c>
      <c r="G18" s="18">
        <v>1</v>
      </c>
      <c r="H18" s="19" t="s">
        <v>327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628</v>
      </c>
      <c r="C19" s="14" t="s">
        <v>20</v>
      </c>
      <c r="D19" s="14">
        <v>113184</v>
      </c>
      <c r="E19" s="16">
        <v>44420</v>
      </c>
      <c r="F19" s="17" t="s">
        <v>41</v>
      </c>
      <c r="G19" s="18">
        <v>1</v>
      </c>
      <c r="H19" s="19" t="s">
        <v>327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629</v>
      </c>
      <c r="C20" s="14" t="s">
        <v>20</v>
      </c>
      <c r="D20" s="14">
        <v>113185</v>
      </c>
      <c r="E20" s="16">
        <v>44420</v>
      </c>
      <c r="F20" s="17" t="s">
        <v>41</v>
      </c>
      <c r="G20" s="18">
        <v>1</v>
      </c>
      <c r="H20" s="19" t="s">
        <v>327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632</v>
      </c>
      <c r="C21" s="14" t="s">
        <v>20</v>
      </c>
      <c r="D21" s="14">
        <v>113186</v>
      </c>
      <c r="E21" s="16">
        <v>44420</v>
      </c>
      <c r="F21" s="17" t="s">
        <v>41</v>
      </c>
      <c r="G21" s="18">
        <v>1</v>
      </c>
      <c r="H21" s="19" t="s">
        <v>327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633</v>
      </c>
      <c r="C22" s="14" t="s">
        <v>20</v>
      </c>
      <c r="D22" s="14">
        <v>113187</v>
      </c>
      <c r="E22" s="16">
        <v>44420</v>
      </c>
      <c r="F22" s="17" t="s">
        <v>328</v>
      </c>
      <c r="G22" s="18">
        <v>1</v>
      </c>
      <c r="H22" s="4" t="s">
        <v>329</v>
      </c>
      <c r="I22" s="22"/>
      <c r="J22" s="22"/>
    </row>
    <row r="23" spans="1:10" ht="15" customHeight="1" x14ac:dyDescent="0.25">
      <c r="A23" s="12">
        <f t="shared" si="0"/>
        <v>17</v>
      </c>
      <c r="B23" s="16" t="s">
        <v>298</v>
      </c>
      <c r="C23" s="14" t="s">
        <v>20</v>
      </c>
      <c r="D23" s="14">
        <v>113189</v>
      </c>
      <c r="E23" s="16">
        <v>44424</v>
      </c>
      <c r="F23" s="28" t="s">
        <v>22</v>
      </c>
      <c r="G23" s="18">
        <v>1</v>
      </c>
      <c r="H23" s="19" t="s">
        <v>560</v>
      </c>
      <c r="I23" s="22"/>
      <c r="J23" s="22"/>
    </row>
    <row r="24" spans="1:10" ht="15" customHeight="1" x14ac:dyDescent="0.25">
      <c r="A24" s="12">
        <f t="shared" si="0"/>
        <v>18</v>
      </c>
      <c r="B24" s="16" t="s">
        <v>634</v>
      </c>
      <c r="C24" s="14" t="s">
        <v>20</v>
      </c>
      <c r="D24" s="14">
        <v>113188</v>
      </c>
      <c r="E24" s="16">
        <v>44426</v>
      </c>
      <c r="F24" s="17" t="s">
        <v>330</v>
      </c>
      <c r="G24" s="18">
        <v>1</v>
      </c>
      <c r="H24" s="26" t="s">
        <v>331</v>
      </c>
      <c r="I24" s="22"/>
      <c r="J24" s="22"/>
    </row>
    <row r="25" spans="1:10" ht="15" customHeight="1" x14ac:dyDescent="0.25">
      <c r="A25" s="12">
        <f t="shared" si="0"/>
        <v>19</v>
      </c>
      <c r="B25" s="16" t="s">
        <v>635</v>
      </c>
      <c r="C25" s="14" t="s">
        <v>20</v>
      </c>
      <c r="D25" s="14">
        <v>113190</v>
      </c>
      <c r="E25" s="16">
        <v>44426</v>
      </c>
      <c r="F25" s="17" t="s">
        <v>332</v>
      </c>
      <c r="G25" s="18">
        <v>1</v>
      </c>
      <c r="H25" s="19" t="s">
        <v>333</v>
      </c>
      <c r="I25" s="22"/>
      <c r="J25" s="22"/>
    </row>
    <row r="26" spans="1:10" ht="15" customHeight="1" x14ac:dyDescent="0.25">
      <c r="A26" s="12">
        <f t="shared" si="0"/>
        <v>20</v>
      </c>
      <c r="B26" s="16" t="s">
        <v>637</v>
      </c>
      <c r="C26" s="14" t="s">
        <v>20</v>
      </c>
      <c r="D26" s="14">
        <v>113596</v>
      </c>
      <c r="E26" s="16">
        <v>44431</v>
      </c>
      <c r="F26" s="17" t="s">
        <v>334</v>
      </c>
      <c r="G26" s="18">
        <v>1</v>
      </c>
      <c r="H26" s="19" t="s">
        <v>335</v>
      </c>
      <c r="I26" s="22"/>
      <c r="J26" s="22"/>
    </row>
    <row r="27" spans="1:10" ht="15" customHeight="1" x14ac:dyDescent="0.25">
      <c r="A27" s="12">
        <f t="shared" si="0"/>
        <v>21</v>
      </c>
      <c r="B27" s="16" t="s">
        <v>636</v>
      </c>
      <c r="C27" s="14" t="s">
        <v>20</v>
      </c>
      <c r="D27" s="21" t="s">
        <v>304</v>
      </c>
      <c r="E27" s="16">
        <v>44431</v>
      </c>
      <c r="F27" s="17" t="s">
        <v>336</v>
      </c>
      <c r="G27" s="18">
        <v>1</v>
      </c>
      <c r="H27" s="26" t="s">
        <v>337</v>
      </c>
      <c r="I27" s="22"/>
      <c r="J27" s="22"/>
    </row>
    <row r="28" spans="1:10" ht="15" customHeight="1" x14ac:dyDescent="0.25">
      <c r="A28" s="12">
        <f t="shared" si="0"/>
        <v>22</v>
      </c>
      <c r="B28" s="13" t="s">
        <v>638</v>
      </c>
      <c r="C28" s="14" t="s">
        <v>20</v>
      </c>
      <c r="D28" s="21" t="s">
        <v>305</v>
      </c>
      <c r="E28" s="16">
        <v>44431</v>
      </c>
      <c r="F28" s="17" t="s">
        <v>338</v>
      </c>
      <c r="G28" s="18">
        <v>1</v>
      </c>
      <c r="H28" s="26" t="s">
        <v>339</v>
      </c>
      <c r="I28" s="22"/>
      <c r="J28" s="22"/>
    </row>
    <row r="29" spans="1:10" ht="15" customHeight="1" x14ac:dyDescent="0.25">
      <c r="A29" s="12">
        <f t="shared" si="0"/>
        <v>23</v>
      </c>
      <c r="B29" s="16" t="s">
        <v>639</v>
      </c>
      <c r="C29" s="14" t="s">
        <v>20</v>
      </c>
      <c r="D29" s="21" t="s">
        <v>306</v>
      </c>
      <c r="E29" s="16">
        <v>44432</v>
      </c>
      <c r="F29" s="17" t="s">
        <v>340</v>
      </c>
      <c r="G29" s="18">
        <v>1</v>
      </c>
      <c r="H29" s="19" t="s">
        <v>341</v>
      </c>
      <c r="I29" s="4"/>
      <c r="J29" s="4"/>
    </row>
    <row r="30" spans="1:10" ht="15" customHeight="1" x14ac:dyDescent="0.25">
      <c r="A30" s="12">
        <f t="shared" si="0"/>
        <v>24</v>
      </c>
      <c r="B30" s="16" t="s">
        <v>299</v>
      </c>
      <c r="C30" s="14" t="s">
        <v>20</v>
      </c>
      <c r="D30" s="21" t="s">
        <v>307</v>
      </c>
      <c r="E30" s="16">
        <v>44432</v>
      </c>
      <c r="F30" s="17" t="s">
        <v>22</v>
      </c>
      <c r="G30" s="18">
        <v>1</v>
      </c>
      <c r="H30" s="4"/>
      <c r="I30" s="4"/>
      <c r="J30" s="4"/>
    </row>
    <row r="31" spans="1:10" ht="15" customHeight="1" x14ac:dyDescent="0.25">
      <c r="A31" s="12">
        <f t="shared" si="0"/>
        <v>25</v>
      </c>
      <c r="B31" s="16" t="s">
        <v>300</v>
      </c>
      <c r="C31" s="14" t="s">
        <v>20</v>
      </c>
      <c r="D31" s="21" t="s">
        <v>308</v>
      </c>
      <c r="E31" s="16">
        <v>44432</v>
      </c>
      <c r="F31" s="17" t="s">
        <v>342</v>
      </c>
      <c r="G31" s="18">
        <v>1</v>
      </c>
      <c r="H31" s="26" t="s">
        <v>343</v>
      </c>
      <c r="I31" s="4"/>
      <c r="J31" s="4"/>
    </row>
    <row r="32" spans="1:10" ht="15" customHeight="1" x14ac:dyDescent="0.25">
      <c r="A32" s="12">
        <f t="shared" si="0"/>
        <v>26</v>
      </c>
      <c r="B32" s="16" t="s">
        <v>301</v>
      </c>
      <c r="C32" s="14" t="s">
        <v>20</v>
      </c>
      <c r="D32" s="21" t="s">
        <v>309</v>
      </c>
      <c r="E32" s="16">
        <v>44433</v>
      </c>
      <c r="F32" s="17" t="s">
        <v>344</v>
      </c>
      <c r="G32" s="18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H33" s="4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21"/>
      <c r="E37" s="16"/>
      <c r="F37" s="17"/>
      <c r="G37" s="18">
        <v>1</v>
      </c>
      <c r="H37" s="4"/>
      <c r="I37" s="4"/>
      <c r="J37" s="4"/>
    </row>
    <row r="38" spans="1:10" x14ac:dyDescent="0.25">
      <c r="A38" s="12">
        <f t="shared" si="0"/>
        <v>32</v>
      </c>
      <c r="B38" s="16"/>
      <c r="C38" s="14"/>
      <c r="D38" s="21"/>
      <c r="E38" s="16"/>
      <c r="F38" s="17"/>
      <c r="G38" s="18">
        <v>1</v>
      </c>
      <c r="H38" s="27"/>
    </row>
    <row r="39" spans="1:10" x14ac:dyDescent="0.25">
      <c r="A39" s="12">
        <f t="shared" si="0"/>
        <v>33</v>
      </c>
      <c r="B39" s="16"/>
      <c r="C39" s="14"/>
      <c r="D39" s="21"/>
      <c r="E39" s="16"/>
      <c r="F39" s="17"/>
      <c r="G39" s="18">
        <v>1</v>
      </c>
      <c r="H39" s="27"/>
    </row>
    <row r="40" spans="1:10" x14ac:dyDescent="0.25">
      <c r="A40" s="12">
        <f t="shared" si="0"/>
        <v>34</v>
      </c>
      <c r="B40" s="16"/>
      <c r="C40" s="14"/>
      <c r="D40" s="21"/>
      <c r="E40" s="16"/>
      <c r="F40" s="17"/>
      <c r="G40" s="18">
        <v>1</v>
      </c>
      <c r="H40" s="27"/>
    </row>
    <row r="41" spans="1:10" x14ac:dyDescent="0.25">
      <c r="A41" s="12">
        <f t="shared" si="0"/>
        <v>35</v>
      </c>
      <c r="B41" s="16"/>
      <c r="C41" s="14"/>
      <c r="D41" s="21"/>
      <c r="E41" s="16"/>
      <c r="F41" s="17"/>
      <c r="G41" s="18">
        <v>1</v>
      </c>
      <c r="H41" s="27"/>
    </row>
    <row r="42" spans="1:10" x14ac:dyDescent="0.25">
      <c r="A42" s="12">
        <f t="shared" si="0"/>
        <v>36</v>
      </c>
      <c r="B42" s="16"/>
      <c r="C42" s="14"/>
      <c r="D42" s="21"/>
      <c r="E42" s="16"/>
      <c r="F42" s="17"/>
      <c r="G42" s="18">
        <v>1</v>
      </c>
      <c r="H42" s="27"/>
    </row>
    <row r="43" spans="1:10" x14ac:dyDescent="0.25">
      <c r="A43" s="12">
        <f t="shared" si="0"/>
        <v>37</v>
      </c>
      <c r="B43" s="16"/>
      <c r="C43" s="14"/>
      <c r="D43" s="21"/>
      <c r="E43" s="16"/>
      <c r="F43" s="17"/>
      <c r="G43" s="18">
        <v>1</v>
      </c>
      <c r="H43" s="27"/>
    </row>
    <row r="44" spans="1:10" x14ac:dyDescent="0.25">
      <c r="A44" s="12">
        <f t="shared" si="0"/>
        <v>38</v>
      </c>
      <c r="B44" s="16"/>
      <c r="C44" s="13"/>
      <c r="D44" s="16"/>
      <c r="E44" s="16"/>
      <c r="F44" s="24"/>
      <c r="G44" s="18">
        <v>1</v>
      </c>
    </row>
    <row r="45" spans="1:10" x14ac:dyDescent="0.25">
      <c r="A45" s="12">
        <f t="shared" si="0"/>
        <v>39</v>
      </c>
      <c r="B45" s="16"/>
      <c r="C45" s="13"/>
      <c r="D45" s="16"/>
      <c r="E45" s="16"/>
      <c r="F45" s="24"/>
      <c r="G45" s="18">
        <v>1</v>
      </c>
    </row>
    <row r="46" spans="1:10" x14ac:dyDescent="0.25">
      <c r="A46" s="12">
        <f t="shared" si="0"/>
        <v>40</v>
      </c>
      <c r="B46" s="16"/>
      <c r="C46" s="13"/>
      <c r="D46" s="16"/>
      <c r="E46" s="16"/>
      <c r="F46" s="24"/>
      <c r="G46" s="18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topLeftCell="A9" workbookViewId="0">
      <selection activeCell="D12" sqref="D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855468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SUMIF(F7:F364,"Elimination*",G7:G364)</f>
        <v>3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SUMIF(F7:F364,"NB*",G7:G364)</f>
        <v>21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SUMIF(F7:F364,"Ve*",G7:G364)</f>
        <v>0</v>
      </c>
    </row>
    <row r="5" spans="1:11" ht="15.75" x14ac:dyDescent="0.25">
      <c r="A5" s="30" t="s">
        <v>348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24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657</v>
      </c>
      <c r="C7" s="14" t="s">
        <v>20</v>
      </c>
      <c r="D7" s="21" t="s">
        <v>349</v>
      </c>
      <c r="E7" s="16">
        <v>44444</v>
      </c>
      <c r="F7" s="17" t="s">
        <v>350</v>
      </c>
      <c r="G7" s="18">
        <v>1</v>
      </c>
      <c r="H7" s="19" t="s">
        <v>351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658</v>
      </c>
      <c r="C8" s="14" t="s">
        <v>20</v>
      </c>
      <c r="D8" s="14">
        <v>113686</v>
      </c>
      <c r="E8" s="16">
        <v>44445</v>
      </c>
      <c r="F8" s="17" t="s">
        <v>352</v>
      </c>
      <c r="G8" s="18">
        <v>1</v>
      </c>
      <c r="H8" s="23" t="s">
        <v>353</v>
      </c>
      <c r="I8" s="22"/>
      <c r="J8" s="22"/>
      <c r="K8" s="4"/>
    </row>
    <row r="9" spans="1:11" ht="15" customHeight="1" x14ac:dyDescent="0.25">
      <c r="A9" s="12">
        <f t="shared" ref="A9:A48" si="0">+A8+1</f>
        <v>3</v>
      </c>
      <c r="B9" s="13" t="s">
        <v>354</v>
      </c>
      <c r="C9" s="14" t="s">
        <v>20</v>
      </c>
      <c r="D9" s="14">
        <v>113687</v>
      </c>
      <c r="E9" s="16">
        <v>44445</v>
      </c>
      <c r="F9" s="17" t="s">
        <v>22</v>
      </c>
      <c r="G9" s="18">
        <v>1</v>
      </c>
      <c r="H9" s="23"/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659</v>
      </c>
      <c r="C10" s="14" t="s">
        <v>20</v>
      </c>
      <c r="D10" s="14">
        <v>113688</v>
      </c>
      <c r="E10" s="16">
        <v>44451</v>
      </c>
      <c r="F10" s="17" t="s">
        <v>355</v>
      </c>
      <c r="G10" s="18">
        <v>1</v>
      </c>
      <c r="H10" s="23" t="s">
        <v>356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660</v>
      </c>
      <c r="C11" s="14" t="s">
        <v>20</v>
      </c>
      <c r="D11" s="14">
        <v>113689</v>
      </c>
      <c r="E11" s="16">
        <v>44451</v>
      </c>
      <c r="F11" s="17" t="s">
        <v>357</v>
      </c>
      <c r="G11" s="18">
        <v>1</v>
      </c>
      <c r="H11" s="23" t="s">
        <v>358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661</v>
      </c>
      <c r="C12" s="14" t="s">
        <v>20</v>
      </c>
      <c r="D12" s="21" t="s">
        <v>359</v>
      </c>
      <c r="E12" s="16">
        <v>44452</v>
      </c>
      <c r="F12" s="17" t="s">
        <v>360</v>
      </c>
      <c r="G12" s="18">
        <v>1</v>
      </c>
      <c r="H12" s="19" t="s">
        <v>361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662</v>
      </c>
      <c r="C13" s="14" t="s">
        <v>20</v>
      </c>
      <c r="D13" s="14">
        <v>113683</v>
      </c>
      <c r="E13" s="16">
        <v>44453</v>
      </c>
      <c r="F13" s="17" t="s">
        <v>362</v>
      </c>
      <c r="G13" s="18">
        <v>1</v>
      </c>
      <c r="H13" s="19" t="s">
        <v>363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663</v>
      </c>
      <c r="C14" s="14" t="s">
        <v>20</v>
      </c>
      <c r="D14" s="14">
        <v>113685</v>
      </c>
      <c r="E14" s="16">
        <v>44453</v>
      </c>
      <c r="F14" s="17" t="s">
        <v>364</v>
      </c>
      <c r="G14" s="18">
        <v>1</v>
      </c>
      <c r="H14" s="19" t="s">
        <v>365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664</v>
      </c>
      <c r="C15" s="14" t="s">
        <v>20</v>
      </c>
      <c r="D15" s="14">
        <v>113684</v>
      </c>
      <c r="E15" s="16">
        <v>44453</v>
      </c>
      <c r="F15" s="17" t="s">
        <v>366</v>
      </c>
      <c r="G15" s="18">
        <v>1</v>
      </c>
      <c r="H15" s="19" t="s">
        <v>367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665</v>
      </c>
      <c r="C16" s="14" t="s">
        <v>20</v>
      </c>
      <c r="D16" s="14">
        <v>113681</v>
      </c>
      <c r="E16" s="16">
        <v>44454</v>
      </c>
      <c r="F16" s="17" t="s">
        <v>368</v>
      </c>
      <c r="G16" s="18">
        <v>1</v>
      </c>
      <c r="H16" s="19" t="s">
        <v>369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666</v>
      </c>
      <c r="C17" s="14" t="s">
        <v>20</v>
      </c>
      <c r="D17" s="14">
        <v>113682</v>
      </c>
      <c r="E17" s="16">
        <v>44454</v>
      </c>
      <c r="F17" s="17" t="s">
        <v>370</v>
      </c>
      <c r="G17" s="18">
        <v>1</v>
      </c>
      <c r="H17" s="19" t="s">
        <v>371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667</v>
      </c>
      <c r="C18" s="14" t="s">
        <v>20</v>
      </c>
      <c r="D18" s="14">
        <v>112927</v>
      </c>
      <c r="E18" s="16">
        <v>44460</v>
      </c>
      <c r="F18" s="17" t="s">
        <v>372</v>
      </c>
      <c r="G18" s="18">
        <v>1</v>
      </c>
      <c r="H18" s="19" t="s">
        <v>373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379</v>
      </c>
      <c r="C19" s="14">
        <v>65</v>
      </c>
      <c r="D19" s="14">
        <v>18022377</v>
      </c>
      <c r="E19" s="16">
        <v>44460</v>
      </c>
      <c r="F19" s="17" t="s">
        <v>22</v>
      </c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 t="s">
        <v>25</v>
      </c>
      <c r="C20" s="14" t="s">
        <v>20</v>
      </c>
      <c r="D20" s="14">
        <v>112926</v>
      </c>
      <c r="E20" s="16">
        <v>44461</v>
      </c>
      <c r="F20" s="17" t="s">
        <v>376</v>
      </c>
      <c r="G20" s="18">
        <v>1</v>
      </c>
      <c r="H20" s="19" t="s">
        <v>377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67</v>
      </c>
      <c r="C21" s="14" t="s">
        <v>20</v>
      </c>
      <c r="D21" s="14">
        <v>112928</v>
      </c>
      <c r="E21" s="16">
        <v>44461</v>
      </c>
      <c r="F21" s="17" t="s">
        <v>374</v>
      </c>
      <c r="G21" s="18">
        <v>1</v>
      </c>
      <c r="H21" s="19" t="s">
        <v>375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25</v>
      </c>
      <c r="C22" s="14" t="s">
        <v>20</v>
      </c>
      <c r="D22" s="14">
        <v>112930</v>
      </c>
      <c r="E22" s="16">
        <v>44462</v>
      </c>
      <c r="F22" s="17" t="s">
        <v>380</v>
      </c>
      <c r="G22" s="18">
        <v>1</v>
      </c>
      <c r="H22" s="19" t="s">
        <v>381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25</v>
      </c>
      <c r="C23" s="14" t="s">
        <v>20</v>
      </c>
      <c r="D23" s="14">
        <v>112929</v>
      </c>
      <c r="E23" s="16">
        <v>44462</v>
      </c>
      <c r="F23" s="17" t="s">
        <v>382</v>
      </c>
      <c r="G23" s="18">
        <v>1</v>
      </c>
      <c r="H23" s="4" t="s">
        <v>383</v>
      </c>
      <c r="I23" s="22"/>
      <c r="J23" s="22"/>
    </row>
    <row r="24" spans="1:10" ht="15" customHeight="1" x14ac:dyDescent="0.25">
      <c r="A24" s="12">
        <f t="shared" si="0"/>
        <v>18</v>
      </c>
      <c r="B24" s="16" t="s">
        <v>640</v>
      </c>
      <c r="C24" s="14" t="s">
        <v>296</v>
      </c>
      <c r="D24" s="21" t="s">
        <v>556</v>
      </c>
      <c r="E24" s="16">
        <v>44465</v>
      </c>
      <c r="F24" s="17" t="s">
        <v>384</v>
      </c>
      <c r="G24" s="18">
        <v>1</v>
      </c>
      <c r="H24" s="19" t="s">
        <v>385</v>
      </c>
      <c r="I24" s="22"/>
      <c r="J24" s="22"/>
    </row>
    <row r="25" spans="1:10" ht="15" customHeight="1" x14ac:dyDescent="0.25">
      <c r="A25" s="12">
        <f t="shared" si="0"/>
        <v>19</v>
      </c>
      <c r="B25" s="16" t="s">
        <v>71</v>
      </c>
      <c r="C25" s="14" t="s">
        <v>20</v>
      </c>
      <c r="D25" s="14">
        <v>112922</v>
      </c>
      <c r="E25" s="16">
        <v>44465</v>
      </c>
      <c r="F25" s="17" t="s">
        <v>386</v>
      </c>
      <c r="G25" s="18">
        <v>1</v>
      </c>
      <c r="H25" s="26" t="s">
        <v>387</v>
      </c>
      <c r="I25" s="22"/>
      <c r="J25" s="22"/>
    </row>
    <row r="26" spans="1:10" ht="15" customHeight="1" x14ac:dyDescent="0.25">
      <c r="A26" s="12">
        <f t="shared" si="0"/>
        <v>20</v>
      </c>
      <c r="B26" s="16" t="s">
        <v>25</v>
      </c>
      <c r="C26" s="14" t="s">
        <v>20</v>
      </c>
      <c r="D26" s="14">
        <v>112923</v>
      </c>
      <c r="E26" s="16">
        <v>44465</v>
      </c>
      <c r="F26" s="17" t="s">
        <v>388</v>
      </c>
      <c r="G26" s="18">
        <v>1</v>
      </c>
      <c r="H26" s="19" t="s">
        <v>389</v>
      </c>
      <c r="I26" s="22"/>
      <c r="J26" s="22"/>
    </row>
    <row r="27" spans="1:10" ht="15" customHeight="1" x14ac:dyDescent="0.25">
      <c r="A27" s="12">
        <f t="shared" si="0"/>
        <v>21</v>
      </c>
      <c r="B27" s="16" t="s">
        <v>25</v>
      </c>
      <c r="C27" s="14" t="s">
        <v>20</v>
      </c>
      <c r="D27" s="14">
        <v>112924</v>
      </c>
      <c r="E27" s="16">
        <v>44465</v>
      </c>
      <c r="F27" s="17" t="s">
        <v>397</v>
      </c>
      <c r="G27" s="18">
        <v>1</v>
      </c>
      <c r="H27" s="19" t="s">
        <v>396</v>
      </c>
      <c r="I27" s="22"/>
      <c r="J27" s="22"/>
    </row>
    <row r="28" spans="1:10" ht="15" customHeight="1" x14ac:dyDescent="0.25">
      <c r="A28" s="12">
        <f t="shared" si="0"/>
        <v>22</v>
      </c>
      <c r="B28" s="16" t="s">
        <v>561</v>
      </c>
      <c r="C28" s="14" t="s">
        <v>20</v>
      </c>
      <c r="D28" s="14">
        <v>165631</v>
      </c>
      <c r="E28" s="16">
        <v>44466</v>
      </c>
      <c r="F28" s="17" t="s">
        <v>390</v>
      </c>
      <c r="G28" s="18">
        <v>1</v>
      </c>
      <c r="H28" s="19" t="s">
        <v>391</v>
      </c>
      <c r="I28" s="22"/>
      <c r="J28" s="22"/>
    </row>
    <row r="29" spans="1:10" ht="15" customHeight="1" x14ac:dyDescent="0.25">
      <c r="A29" s="12">
        <f t="shared" si="0"/>
        <v>23</v>
      </c>
      <c r="B29" s="16" t="s">
        <v>25</v>
      </c>
      <c r="C29" s="14" t="s">
        <v>20</v>
      </c>
      <c r="D29" s="14">
        <v>165633</v>
      </c>
      <c r="E29" s="16">
        <v>44467</v>
      </c>
      <c r="F29" s="17" t="s">
        <v>392</v>
      </c>
      <c r="G29" s="18">
        <v>1</v>
      </c>
      <c r="H29" s="26" t="s">
        <v>393</v>
      </c>
      <c r="I29" s="22"/>
      <c r="J29" s="22"/>
    </row>
    <row r="30" spans="1:10" ht="15" customHeight="1" x14ac:dyDescent="0.25">
      <c r="A30" s="12">
        <f t="shared" si="0"/>
        <v>24</v>
      </c>
      <c r="B30" s="13" t="s">
        <v>394</v>
      </c>
      <c r="C30" s="14" t="s">
        <v>20</v>
      </c>
      <c r="D30" s="21" t="s">
        <v>395</v>
      </c>
      <c r="E30" s="16">
        <v>44467</v>
      </c>
      <c r="F30" s="17" t="s">
        <v>22</v>
      </c>
      <c r="G30" s="18">
        <v>1</v>
      </c>
      <c r="H30" s="26"/>
      <c r="I30" s="22"/>
      <c r="J30" s="22"/>
    </row>
    <row r="31" spans="1:10" ht="15" customHeight="1" x14ac:dyDescent="0.25">
      <c r="A31" s="12">
        <f t="shared" si="0"/>
        <v>25</v>
      </c>
      <c r="B31" s="16"/>
      <c r="C31" s="14"/>
      <c r="D31" s="21"/>
      <c r="E31" s="16"/>
      <c r="F31" s="17"/>
      <c r="G31" s="18">
        <v>1</v>
      </c>
      <c r="H31" s="19"/>
      <c r="I31" s="4"/>
      <c r="J31" s="4"/>
    </row>
    <row r="32" spans="1:10" ht="15" customHeight="1" x14ac:dyDescent="0.25">
      <c r="A32" s="12">
        <f t="shared" si="0"/>
        <v>26</v>
      </c>
      <c r="B32" s="16"/>
      <c r="C32" s="14"/>
      <c r="D32" s="21"/>
      <c r="E32" s="16"/>
      <c r="F32" s="17"/>
      <c r="G32" s="18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H33" s="26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21"/>
      <c r="E37" s="16"/>
      <c r="F37" s="17"/>
      <c r="G37" s="18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21"/>
      <c r="E38" s="16"/>
      <c r="F38" s="17"/>
      <c r="G38" s="18">
        <v>1</v>
      </c>
      <c r="H38" s="4"/>
      <c r="I38" s="4"/>
      <c r="J38" s="4"/>
    </row>
    <row r="39" spans="1:10" ht="15" customHeight="1" x14ac:dyDescent="0.25">
      <c r="A39" s="12">
        <f t="shared" si="0"/>
        <v>33</v>
      </c>
      <c r="B39" s="16"/>
      <c r="C39" s="14"/>
      <c r="D39" s="21"/>
      <c r="E39" s="16"/>
      <c r="F39" s="17"/>
      <c r="G39" s="18">
        <v>1</v>
      </c>
      <c r="H39" s="4"/>
      <c r="I39" s="4"/>
      <c r="J39" s="4"/>
    </row>
    <row r="40" spans="1:10" x14ac:dyDescent="0.25">
      <c r="A40" s="12">
        <f t="shared" si="0"/>
        <v>34</v>
      </c>
      <c r="B40" s="16"/>
      <c r="C40" s="14"/>
      <c r="D40" s="21"/>
      <c r="E40" s="16"/>
      <c r="F40" s="17"/>
      <c r="G40" s="18">
        <v>1</v>
      </c>
      <c r="H40" s="27"/>
    </row>
    <row r="41" spans="1:10" x14ac:dyDescent="0.25">
      <c r="A41" s="12">
        <f t="shared" si="0"/>
        <v>35</v>
      </c>
      <c r="B41" s="16"/>
      <c r="C41" s="14"/>
      <c r="D41" s="21"/>
      <c r="E41" s="16"/>
      <c r="F41" s="17"/>
      <c r="G41" s="18">
        <v>1</v>
      </c>
      <c r="H41" s="27"/>
    </row>
    <row r="42" spans="1:10" x14ac:dyDescent="0.25">
      <c r="A42" s="12">
        <f t="shared" si="0"/>
        <v>36</v>
      </c>
      <c r="B42" s="16"/>
      <c r="C42" s="14"/>
      <c r="D42" s="21"/>
      <c r="E42" s="16"/>
      <c r="F42" s="17"/>
      <c r="G42" s="18">
        <v>1</v>
      </c>
      <c r="H42" s="27"/>
    </row>
    <row r="43" spans="1:10" x14ac:dyDescent="0.25">
      <c r="A43" s="12">
        <f t="shared" si="0"/>
        <v>37</v>
      </c>
      <c r="B43" s="16"/>
      <c r="C43" s="14"/>
      <c r="D43" s="21"/>
      <c r="E43" s="16"/>
      <c r="F43" s="17"/>
      <c r="G43" s="18">
        <v>1</v>
      </c>
      <c r="H43" s="27"/>
    </row>
    <row r="44" spans="1:10" x14ac:dyDescent="0.25">
      <c r="A44" s="12">
        <f t="shared" si="0"/>
        <v>38</v>
      </c>
      <c r="B44" s="16"/>
      <c r="C44" s="14"/>
      <c r="D44" s="21"/>
      <c r="E44" s="16"/>
      <c r="F44" s="17"/>
      <c r="G44" s="18">
        <v>1</v>
      </c>
      <c r="H44" s="27"/>
    </row>
    <row r="45" spans="1:10" x14ac:dyDescent="0.25">
      <c r="A45" s="12">
        <f t="shared" si="0"/>
        <v>39</v>
      </c>
      <c r="B45" s="16"/>
      <c r="C45" s="14"/>
      <c r="D45" s="21"/>
      <c r="E45" s="16"/>
      <c r="F45" s="17"/>
      <c r="G45" s="18">
        <v>1</v>
      </c>
      <c r="H45" s="27"/>
    </row>
    <row r="46" spans="1:10" x14ac:dyDescent="0.25">
      <c r="A46" s="12">
        <f t="shared" si="0"/>
        <v>40</v>
      </c>
      <c r="B46" s="16"/>
      <c r="C46" s="13"/>
      <c r="D46" s="16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3"/>
      <c r="D47" s="16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3"/>
      <c r="D48" s="16"/>
      <c r="E48" s="16"/>
      <c r="F48" s="24"/>
      <c r="G48" s="18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B10" sqref="B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855468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SUMIF(F7:F364,"Elimination*",G7:G364)</f>
        <v>4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SUMIF(F7:F364,"NB*",G7:G364)</f>
        <v>22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SUMIF(F7:F364,"Ve*",G7:G364)</f>
        <v>0</v>
      </c>
    </row>
    <row r="5" spans="1:11" ht="15.75" x14ac:dyDescent="0.25">
      <c r="A5" s="30" t="s">
        <v>401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26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653</v>
      </c>
      <c r="C7" s="14" t="s">
        <v>20</v>
      </c>
      <c r="D7" s="21" t="s">
        <v>398</v>
      </c>
      <c r="E7" s="16">
        <v>44473</v>
      </c>
      <c r="F7" s="17" t="s">
        <v>399</v>
      </c>
      <c r="G7" s="18">
        <v>1</v>
      </c>
      <c r="H7" s="19" t="s">
        <v>400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654</v>
      </c>
      <c r="C8" s="14" t="s">
        <v>20</v>
      </c>
      <c r="D8" s="21" t="s">
        <v>402</v>
      </c>
      <c r="E8" s="16">
        <v>44475</v>
      </c>
      <c r="F8" s="17" t="s">
        <v>403</v>
      </c>
      <c r="G8" s="18">
        <v>1</v>
      </c>
      <c r="H8" s="23" t="s">
        <v>404</v>
      </c>
      <c r="I8" s="22"/>
      <c r="J8" s="22"/>
      <c r="K8" s="4"/>
    </row>
    <row r="9" spans="1:11" ht="15" customHeight="1" x14ac:dyDescent="0.25">
      <c r="A9" s="12">
        <f t="shared" ref="A9:A48" si="0">+A8+1</f>
        <v>3</v>
      </c>
      <c r="B9" s="13" t="s">
        <v>655</v>
      </c>
      <c r="C9" s="14" t="s">
        <v>20</v>
      </c>
      <c r="D9" s="21" t="s">
        <v>405</v>
      </c>
      <c r="E9" s="16">
        <v>44480</v>
      </c>
      <c r="F9" s="17" t="s">
        <v>406</v>
      </c>
      <c r="G9" s="18">
        <v>1</v>
      </c>
      <c r="H9" s="23" t="s">
        <v>407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656</v>
      </c>
      <c r="C10" s="14" t="s">
        <v>20</v>
      </c>
      <c r="D10" s="14">
        <v>2021165771</v>
      </c>
      <c r="E10" s="16">
        <v>44481</v>
      </c>
      <c r="F10" s="17" t="s">
        <v>408</v>
      </c>
      <c r="G10" s="18">
        <v>1</v>
      </c>
      <c r="H10" s="23" t="s">
        <v>409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567</v>
      </c>
      <c r="C11" s="14" t="s">
        <v>20</v>
      </c>
      <c r="D11" s="14">
        <v>2021165772</v>
      </c>
      <c r="E11" s="16">
        <v>44482</v>
      </c>
      <c r="F11" s="17" t="s">
        <v>410</v>
      </c>
      <c r="G11" s="18">
        <v>1</v>
      </c>
      <c r="H11" s="23" t="s">
        <v>411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652</v>
      </c>
      <c r="C12" s="14" t="s">
        <v>20</v>
      </c>
      <c r="D12" s="14">
        <v>2021165773</v>
      </c>
      <c r="E12" s="16">
        <v>44482</v>
      </c>
      <c r="F12" s="17" t="s">
        <v>412</v>
      </c>
      <c r="G12" s="18">
        <v>1</v>
      </c>
      <c r="H12" s="23" t="s">
        <v>413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651</v>
      </c>
      <c r="C13" s="14" t="s">
        <v>20</v>
      </c>
      <c r="D13" s="14">
        <v>2021165774</v>
      </c>
      <c r="E13" s="16">
        <v>44482</v>
      </c>
      <c r="F13" s="17" t="s">
        <v>414</v>
      </c>
      <c r="G13" s="18">
        <v>1</v>
      </c>
      <c r="H13" s="19" t="s">
        <v>415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564</v>
      </c>
      <c r="C14" s="14" t="s">
        <v>20</v>
      </c>
      <c r="D14" s="14">
        <v>2021165775</v>
      </c>
      <c r="E14" s="16">
        <v>44482</v>
      </c>
      <c r="F14" s="17" t="s">
        <v>416</v>
      </c>
      <c r="G14" s="18">
        <v>1</v>
      </c>
      <c r="H14" s="19" t="s">
        <v>417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650</v>
      </c>
      <c r="C15" s="14" t="s">
        <v>20</v>
      </c>
      <c r="D15" s="14">
        <v>2021165777</v>
      </c>
      <c r="E15" s="16">
        <v>44482</v>
      </c>
      <c r="F15" s="17" t="s">
        <v>418</v>
      </c>
      <c r="G15" s="18">
        <v>1</v>
      </c>
      <c r="H15" s="19" t="s">
        <v>419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566</v>
      </c>
      <c r="C16" s="14" t="s">
        <v>20</v>
      </c>
      <c r="D16" s="14">
        <v>2021165778</v>
      </c>
      <c r="E16" s="16">
        <v>44482</v>
      </c>
      <c r="F16" s="17" t="s">
        <v>420</v>
      </c>
      <c r="G16" s="18">
        <v>1</v>
      </c>
      <c r="H16" s="19" t="s">
        <v>421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565</v>
      </c>
      <c r="C17" s="14" t="s">
        <v>20</v>
      </c>
      <c r="D17" s="14">
        <v>2021165779</v>
      </c>
      <c r="E17" s="16">
        <v>44482</v>
      </c>
      <c r="F17" s="17" t="s">
        <v>422</v>
      </c>
      <c r="G17" s="18">
        <v>1</v>
      </c>
      <c r="H17" s="19" t="s">
        <v>423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563</v>
      </c>
      <c r="C18" s="14" t="s">
        <v>20</v>
      </c>
      <c r="D18" s="14">
        <v>2021165780</v>
      </c>
      <c r="E18" s="16">
        <v>44482</v>
      </c>
      <c r="F18" s="17" t="s">
        <v>424</v>
      </c>
      <c r="G18" s="18">
        <v>1</v>
      </c>
      <c r="H18" s="19" t="s">
        <v>425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648</v>
      </c>
      <c r="C19" s="14" t="s">
        <v>20</v>
      </c>
      <c r="D19" s="14">
        <v>2021165762</v>
      </c>
      <c r="E19" s="16">
        <v>44483</v>
      </c>
      <c r="F19" s="17" t="s">
        <v>426</v>
      </c>
      <c r="G19" s="18">
        <v>1</v>
      </c>
      <c r="H19" s="19" t="s">
        <v>427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649</v>
      </c>
      <c r="C20" s="14" t="s">
        <v>20</v>
      </c>
      <c r="D20" s="14">
        <v>2021165763</v>
      </c>
      <c r="E20" s="16">
        <v>44483</v>
      </c>
      <c r="F20" s="17" t="s">
        <v>428</v>
      </c>
      <c r="G20" s="18">
        <v>1</v>
      </c>
      <c r="H20" s="19" t="s">
        <v>429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430</v>
      </c>
      <c r="C21" s="14" t="s">
        <v>20</v>
      </c>
      <c r="D21" s="14">
        <v>2021165767</v>
      </c>
      <c r="E21" s="16">
        <v>44483</v>
      </c>
      <c r="F21" s="17" t="s">
        <v>431</v>
      </c>
      <c r="G21" s="18">
        <v>1</v>
      </c>
      <c r="H21" s="19" t="s">
        <v>432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646</v>
      </c>
      <c r="C22" s="14" t="s">
        <v>20</v>
      </c>
      <c r="D22" s="14">
        <v>2021165770</v>
      </c>
      <c r="E22" s="16">
        <v>44483</v>
      </c>
      <c r="F22" s="17" t="s">
        <v>433</v>
      </c>
      <c r="G22" s="18">
        <v>1</v>
      </c>
      <c r="H22" s="19" t="s">
        <v>434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645</v>
      </c>
      <c r="C23" s="14" t="s">
        <v>20</v>
      </c>
      <c r="D23" s="14">
        <v>2021165765</v>
      </c>
      <c r="E23" s="16">
        <v>44486</v>
      </c>
      <c r="F23" s="17" t="s">
        <v>435</v>
      </c>
      <c r="G23" s="18">
        <v>1</v>
      </c>
      <c r="H23" s="4" t="s">
        <v>436</v>
      </c>
      <c r="I23" s="22"/>
      <c r="J23" s="22"/>
    </row>
    <row r="24" spans="1:10" ht="15" customHeight="1" x14ac:dyDescent="0.25">
      <c r="A24" s="12">
        <f t="shared" si="0"/>
        <v>18</v>
      </c>
      <c r="B24" s="16" t="s">
        <v>644</v>
      </c>
      <c r="C24" s="14" t="s">
        <v>20</v>
      </c>
      <c r="D24" s="14">
        <v>2021165761</v>
      </c>
      <c r="E24" s="16">
        <v>44493</v>
      </c>
      <c r="F24" s="17" t="s">
        <v>437</v>
      </c>
      <c r="G24" s="18">
        <v>1</v>
      </c>
      <c r="H24" s="19" t="s">
        <v>438</v>
      </c>
      <c r="I24" s="22"/>
      <c r="J24" s="22"/>
    </row>
    <row r="25" spans="1:10" ht="15" customHeight="1" x14ac:dyDescent="0.25">
      <c r="A25" s="12">
        <f t="shared" si="0"/>
        <v>19</v>
      </c>
      <c r="B25" s="16" t="s">
        <v>643</v>
      </c>
      <c r="C25" s="14" t="s">
        <v>20</v>
      </c>
      <c r="D25" s="14">
        <v>2021165764</v>
      </c>
      <c r="E25" s="16">
        <v>44493</v>
      </c>
      <c r="F25" s="17" t="s">
        <v>439</v>
      </c>
      <c r="G25" s="18">
        <v>1</v>
      </c>
      <c r="H25" s="26" t="s">
        <v>440</v>
      </c>
      <c r="I25" s="22"/>
      <c r="J25" s="22"/>
    </row>
    <row r="26" spans="1:10" ht="15" customHeight="1" x14ac:dyDescent="0.25">
      <c r="A26" s="12">
        <f t="shared" si="0"/>
        <v>20</v>
      </c>
      <c r="B26" s="16" t="s">
        <v>642</v>
      </c>
      <c r="C26" s="14" t="s">
        <v>20</v>
      </c>
      <c r="D26" s="14">
        <v>2021165768</v>
      </c>
      <c r="E26" s="16">
        <v>44495</v>
      </c>
      <c r="F26" s="17" t="s">
        <v>441</v>
      </c>
      <c r="G26" s="18">
        <v>1</v>
      </c>
      <c r="H26" s="19" t="s">
        <v>442</v>
      </c>
      <c r="I26" s="22"/>
      <c r="J26" s="22"/>
    </row>
    <row r="27" spans="1:10" ht="15" customHeight="1" x14ac:dyDescent="0.25">
      <c r="A27" s="12">
        <f t="shared" si="0"/>
        <v>21</v>
      </c>
      <c r="B27" s="16" t="s">
        <v>641</v>
      </c>
      <c r="C27" s="14" t="s">
        <v>20</v>
      </c>
      <c r="D27" s="14">
        <v>2021165769</v>
      </c>
      <c r="E27" s="16">
        <v>44495</v>
      </c>
      <c r="F27" s="17" t="s">
        <v>443</v>
      </c>
      <c r="G27" s="18">
        <v>1</v>
      </c>
      <c r="H27" s="19" t="s">
        <v>444</v>
      </c>
      <c r="I27" s="22"/>
      <c r="J27" s="22"/>
    </row>
    <row r="28" spans="1:10" ht="15" customHeight="1" x14ac:dyDescent="0.25">
      <c r="A28" s="12">
        <f t="shared" si="0"/>
        <v>22</v>
      </c>
      <c r="B28" s="16" t="s">
        <v>445</v>
      </c>
      <c r="C28" s="14" t="s">
        <v>20</v>
      </c>
      <c r="D28" s="14">
        <v>2021165021</v>
      </c>
      <c r="E28" s="16">
        <v>44496</v>
      </c>
      <c r="F28" s="17" t="s">
        <v>22</v>
      </c>
      <c r="G28" s="18">
        <v>1</v>
      </c>
      <c r="H28" s="19"/>
      <c r="I28" s="22"/>
      <c r="J28" s="22"/>
    </row>
    <row r="29" spans="1:10" ht="15" customHeight="1" x14ac:dyDescent="0.25">
      <c r="A29" s="12">
        <f t="shared" si="0"/>
        <v>23</v>
      </c>
      <c r="B29" s="16" t="s">
        <v>446</v>
      </c>
      <c r="C29" s="14" t="s">
        <v>20</v>
      </c>
      <c r="D29" s="14">
        <v>2021165022</v>
      </c>
      <c r="E29" s="16">
        <v>44496</v>
      </c>
      <c r="F29" s="17" t="s">
        <v>22</v>
      </c>
      <c r="G29" s="18">
        <v>1</v>
      </c>
      <c r="H29" s="26"/>
      <c r="I29" s="22"/>
      <c r="J29" s="22"/>
    </row>
    <row r="30" spans="1:10" ht="15" customHeight="1" x14ac:dyDescent="0.25">
      <c r="A30" s="12">
        <f t="shared" si="0"/>
        <v>24</v>
      </c>
      <c r="B30" s="13" t="s">
        <v>447</v>
      </c>
      <c r="C30" s="14" t="s">
        <v>20</v>
      </c>
      <c r="D30" s="14">
        <v>2021165028</v>
      </c>
      <c r="E30" s="16">
        <v>44496</v>
      </c>
      <c r="F30" s="17" t="s">
        <v>22</v>
      </c>
      <c r="G30" s="18">
        <v>1</v>
      </c>
      <c r="H30" s="26"/>
      <c r="I30" s="22"/>
      <c r="J30" s="22"/>
    </row>
    <row r="31" spans="1:10" ht="15" customHeight="1" x14ac:dyDescent="0.25">
      <c r="A31" s="12">
        <f t="shared" si="0"/>
        <v>25</v>
      </c>
      <c r="B31" s="16" t="s">
        <v>647</v>
      </c>
      <c r="C31" s="14" t="s">
        <v>20</v>
      </c>
      <c r="D31" s="21" t="s">
        <v>448</v>
      </c>
      <c r="E31" s="16">
        <v>44497</v>
      </c>
      <c r="F31" s="17" t="s">
        <v>449</v>
      </c>
      <c r="G31" s="18">
        <v>1</v>
      </c>
      <c r="H31" s="19" t="s">
        <v>450</v>
      </c>
      <c r="I31" s="4"/>
      <c r="J31" s="4"/>
    </row>
    <row r="32" spans="1:10" ht="15" customHeight="1" x14ac:dyDescent="0.25">
      <c r="A32" s="12">
        <f t="shared" si="0"/>
        <v>26</v>
      </c>
      <c r="B32" s="16" t="s">
        <v>451</v>
      </c>
      <c r="C32" s="14" t="s">
        <v>296</v>
      </c>
      <c r="D32" s="21" t="s">
        <v>555</v>
      </c>
      <c r="E32" s="16">
        <v>44497</v>
      </c>
      <c r="F32" s="17" t="s">
        <v>22</v>
      </c>
      <c r="G32" s="18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H33" s="26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21"/>
      <c r="E37" s="16"/>
      <c r="F37" s="17"/>
      <c r="G37" s="18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21"/>
      <c r="E38" s="16"/>
      <c r="F38" s="17"/>
      <c r="G38" s="18">
        <v>1</v>
      </c>
      <c r="H38" s="4"/>
      <c r="I38" s="4"/>
      <c r="J38" s="4"/>
    </row>
    <row r="39" spans="1:10" ht="15" customHeight="1" x14ac:dyDescent="0.25">
      <c r="A39" s="12">
        <f t="shared" si="0"/>
        <v>33</v>
      </c>
      <c r="B39" s="16"/>
      <c r="C39" s="14"/>
      <c r="D39" s="21"/>
      <c r="E39" s="16"/>
      <c r="F39" s="17"/>
      <c r="G39" s="18">
        <v>1</v>
      </c>
      <c r="H39" s="4"/>
      <c r="I39" s="4"/>
      <c r="J39" s="4"/>
    </row>
    <row r="40" spans="1:10" x14ac:dyDescent="0.25">
      <c r="A40" s="12">
        <f t="shared" si="0"/>
        <v>34</v>
      </c>
      <c r="B40" s="16"/>
      <c r="C40" s="14"/>
      <c r="D40" s="21"/>
      <c r="E40" s="16"/>
      <c r="F40" s="17"/>
      <c r="G40" s="18">
        <v>1</v>
      </c>
      <c r="H40" s="27"/>
    </row>
    <row r="41" spans="1:10" x14ac:dyDescent="0.25">
      <c r="A41" s="12">
        <f t="shared" si="0"/>
        <v>35</v>
      </c>
      <c r="B41" s="16"/>
      <c r="C41" s="14"/>
      <c r="D41" s="21"/>
      <c r="E41" s="16"/>
      <c r="F41" s="17"/>
      <c r="G41" s="18">
        <v>1</v>
      </c>
      <c r="H41" s="27"/>
    </row>
    <row r="42" spans="1:10" x14ac:dyDescent="0.25">
      <c r="A42" s="12">
        <f t="shared" si="0"/>
        <v>36</v>
      </c>
      <c r="B42" s="16"/>
      <c r="C42" s="14"/>
      <c r="D42" s="21"/>
      <c r="E42" s="16"/>
      <c r="F42" s="17"/>
      <c r="G42" s="18">
        <v>1</v>
      </c>
      <c r="H42" s="27"/>
    </row>
    <row r="43" spans="1:10" x14ac:dyDescent="0.25">
      <c r="A43" s="12">
        <f t="shared" si="0"/>
        <v>37</v>
      </c>
      <c r="B43" s="16"/>
      <c r="C43" s="14"/>
      <c r="D43" s="21"/>
      <c r="E43" s="16"/>
      <c r="F43" s="17"/>
      <c r="G43" s="18">
        <v>1</v>
      </c>
      <c r="H43" s="27"/>
    </row>
    <row r="44" spans="1:10" x14ac:dyDescent="0.25">
      <c r="A44" s="12">
        <f t="shared" si="0"/>
        <v>38</v>
      </c>
      <c r="B44" s="16"/>
      <c r="C44" s="14"/>
      <c r="D44" s="21"/>
      <c r="E44" s="16"/>
      <c r="F44" s="17"/>
      <c r="G44" s="18">
        <v>1</v>
      </c>
      <c r="H44" s="27"/>
    </row>
    <row r="45" spans="1:10" x14ac:dyDescent="0.25">
      <c r="A45" s="12">
        <f t="shared" si="0"/>
        <v>39</v>
      </c>
      <c r="B45" s="16"/>
      <c r="C45" s="14"/>
      <c r="D45" s="21"/>
      <c r="E45" s="16"/>
      <c r="F45" s="17"/>
      <c r="G45" s="18">
        <v>1</v>
      </c>
      <c r="H45" s="27"/>
    </row>
    <row r="46" spans="1:10" x14ac:dyDescent="0.25">
      <c r="A46" s="12">
        <f t="shared" si="0"/>
        <v>40</v>
      </c>
      <c r="B46" s="16"/>
      <c r="C46" s="13"/>
      <c r="D46" s="16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3"/>
      <c r="D47" s="16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3"/>
      <c r="D48" s="16"/>
      <c r="E48" s="16"/>
      <c r="F48" s="24"/>
      <c r="G48" s="18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opLeftCell="A4" workbookViewId="0">
      <selection activeCell="A4" sqref="A4:F4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855468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SUMIF(F7:F364,"Elimination*",G7:G364)</f>
        <v>0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SUMIF(F7:F364,"NB*",G7:G364)</f>
        <v>15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SUMIF(F7:F364,"Ve*",G7:G364)</f>
        <v>2</v>
      </c>
    </row>
    <row r="5" spans="1:11" ht="15.75" x14ac:dyDescent="0.25">
      <c r="A5" s="30" t="s">
        <v>452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17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36</v>
      </c>
      <c r="C7" s="14" t="s">
        <v>20</v>
      </c>
      <c r="D7" s="21" t="s">
        <v>453</v>
      </c>
      <c r="E7" s="16">
        <v>44502</v>
      </c>
      <c r="F7" s="17" t="s">
        <v>454</v>
      </c>
      <c r="G7" s="18">
        <v>1</v>
      </c>
      <c r="H7" s="19" t="s">
        <v>455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494</v>
      </c>
      <c r="C8" s="14" t="s">
        <v>20</v>
      </c>
      <c r="D8" s="21" t="s">
        <v>456</v>
      </c>
      <c r="E8" s="16">
        <v>44502</v>
      </c>
      <c r="F8" s="17" t="s">
        <v>457</v>
      </c>
      <c r="G8" s="18">
        <v>1</v>
      </c>
      <c r="H8" s="23"/>
      <c r="I8" s="22"/>
      <c r="J8" s="22"/>
      <c r="K8" s="4"/>
    </row>
    <row r="9" spans="1:11" ht="15" customHeight="1" x14ac:dyDescent="0.25">
      <c r="A9" s="12">
        <f t="shared" ref="A9:A48" si="0">+A8+1</f>
        <v>3</v>
      </c>
      <c r="B9" s="13" t="s">
        <v>36</v>
      </c>
      <c r="C9" s="14" t="s">
        <v>20</v>
      </c>
      <c r="D9" s="21" t="s">
        <v>458</v>
      </c>
      <c r="E9" s="16">
        <v>44507</v>
      </c>
      <c r="F9" s="17" t="s">
        <v>461</v>
      </c>
      <c r="G9" s="18">
        <v>1</v>
      </c>
      <c r="H9" s="23" t="s">
        <v>462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25</v>
      </c>
      <c r="C10" s="14" t="s">
        <v>20</v>
      </c>
      <c r="D10" s="21" t="s">
        <v>471</v>
      </c>
      <c r="E10" s="16">
        <v>44508</v>
      </c>
      <c r="F10" s="17" t="s">
        <v>459</v>
      </c>
      <c r="G10" s="18">
        <v>1</v>
      </c>
      <c r="H10" s="23" t="s">
        <v>460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36</v>
      </c>
      <c r="C11" s="14" t="s">
        <v>20</v>
      </c>
      <c r="D11" s="21" t="s">
        <v>466</v>
      </c>
      <c r="E11" s="16">
        <v>44510</v>
      </c>
      <c r="F11" s="17" t="s">
        <v>464</v>
      </c>
      <c r="G11" s="18">
        <v>1</v>
      </c>
      <c r="H11" s="23" t="s">
        <v>465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25</v>
      </c>
      <c r="C12" s="14" t="s">
        <v>20</v>
      </c>
      <c r="D12" s="21" t="s">
        <v>467</v>
      </c>
      <c r="E12" s="16">
        <v>44510</v>
      </c>
      <c r="F12" s="17" t="s">
        <v>468</v>
      </c>
      <c r="G12" s="18">
        <v>1</v>
      </c>
      <c r="H12" s="23" t="s">
        <v>469</v>
      </c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470</v>
      </c>
      <c r="C13" s="14" t="s">
        <v>20</v>
      </c>
      <c r="D13" s="21" t="s">
        <v>463</v>
      </c>
      <c r="E13" s="16">
        <v>44514</v>
      </c>
      <c r="F13" s="17" t="s">
        <v>457</v>
      </c>
      <c r="G13" s="18">
        <v>1</v>
      </c>
      <c r="H13" s="19"/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67</v>
      </c>
      <c r="C14" s="14" t="s">
        <v>20</v>
      </c>
      <c r="D14" s="14">
        <v>2021116118</v>
      </c>
      <c r="E14" s="16">
        <v>44517</v>
      </c>
      <c r="F14" s="17" t="s">
        <v>472</v>
      </c>
      <c r="G14" s="18">
        <v>1</v>
      </c>
      <c r="H14" s="19" t="s">
        <v>473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67</v>
      </c>
      <c r="C15" s="14" t="s">
        <v>20</v>
      </c>
      <c r="D15" s="14">
        <v>2021116120</v>
      </c>
      <c r="E15" s="16">
        <v>44518</v>
      </c>
      <c r="F15" s="17" t="s">
        <v>476</v>
      </c>
      <c r="G15" s="18">
        <v>1</v>
      </c>
      <c r="H15" s="19" t="s">
        <v>477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25</v>
      </c>
      <c r="C16" s="14" t="s">
        <v>20</v>
      </c>
      <c r="D16" s="14">
        <v>2021164901</v>
      </c>
      <c r="E16" s="16">
        <v>44518</v>
      </c>
      <c r="F16" s="17" t="s">
        <v>478</v>
      </c>
      <c r="G16" s="18">
        <v>1</v>
      </c>
      <c r="H16" s="19" t="s">
        <v>479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67</v>
      </c>
      <c r="C17" s="14" t="s">
        <v>20</v>
      </c>
      <c r="D17" s="14">
        <v>2021164902</v>
      </c>
      <c r="E17" s="16">
        <v>44523</v>
      </c>
      <c r="F17" s="17" t="s">
        <v>480</v>
      </c>
      <c r="G17" s="18">
        <v>1</v>
      </c>
      <c r="H17" s="19" t="s">
        <v>481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25</v>
      </c>
      <c r="C18" s="14" t="s">
        <v>20</v>
      </c>
      <c r="D18" s="14">
        <v>2021164903</v>
      </c>
      <c r="E18" s="16">
        <v>44523</v>
      </c>
      <c r="F18" s="17" t="s">
        <v>482</v>
      </c>
      <c r="G18" s="18">
        <v>1</v>
      </c>
      <c r="H18" s="19" t="s">
        <v>483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25</v>
      </c>
      <c r="C19" s="14" t="s">
        <v>20</v>
      </c>
      <c r="D19" s="14">
        <v>2021164904</v>
      </c>
      <c r="E19" s="16">
        <v>44524</v>
      </c>
      <c r="F19" s="17" t="s">
        <v>484</v>
      </c>
      <c r="G19" s="18">
        <v>1</v>
      </c>
      <c r="H19" s="19" t="s">
        <v>485</v>
      </c>
      <c r="I19" s="22"/>
      <c r="J19" s="22"/>
    </row>
    <row r="20" spans="1:10" ht="15" customHeight="1" x14ac:dyDescent="0.25">
      <c r="A20" s="12">
        <f t="shared" si="0"/>
        <v>14</v>
      </c>
      <c r="B20" s="13" t="s">
        <v>67</v>
      </c>
      <c r="C20" s="14" t="s">
        <v>20</v>
      </c>
      <c r="D20" s="14">
        <v>2021164905</v>
      </c>
      <c r="E20" s="16">
        <v>44525</v>
      </c>
      <c r="F20" s="17" t="s">
        <v>486</v>
      </c>
      <c r="G20" s="18">
        <v>1</v>
      </c>
      <c r="H20" s="19" t="s">
        <v>487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67</v>
      </c>
      <c r="C21" s="14" t="s">
        <v>20</v>
      </c>
      <c r="D21" s="14">
        <v>2021164906</v>
      </c>
      <c r="E21" s="16">
        <v>44528</v>
      </c>
      <c r="F21" s="17" t="s">
        <v>488</v>
      </c>
      <c r="G21" s="18">
        <v>1</v>
      </c>
      <c r="H21" s="19" t="s">
        <v>489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67</v>
      </c>
      <c r="C22" s="14" t="s">
        <v>20</v>
      </c>
      <c r="D22" s="14">
        <v>2021164907</v>
      </c>
      <c r="E22" s="16">
        <v>44528</v>
      </c>
      <c r="F22" s="17" t="s">
        <v>490</v>
      </c>
      <c r="G22" s="18">
        <v>1</v>
      </c>
      <c r="H22" s="19" t="s">
        <v>491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71</v>
      </c>
      <c r="C23" s="14" t="s">
        <v>20</v>
      </c>
      <c r="D23" s="14">
        <v>2021164909</v>
      </c>
      <c r="E23" s="16">
        <v>44529</v>
      </c>
      <c r="F23" s="17" t="s">
        <v>492</v>
      </c>
      <c r="G23" s="18">
        <v>1</v>
      </c>
      <c r="H23" s="4" t="s">
        <v>493</v>
      </c>
      <c r="I23" s="22"/>
      <c r="J23" s="22"/>
    </row>
    <row r="24" spans="1:10" ht="15" customHeight="1" x14ac:dyDescent="0.25">
      <c r="A24" s="12">
        <f t="shared" si="0"/>
        <v>18</v>
      </c>
      <c r="B24" s="16"/>
      <c r="C24" s="14"/>
      <c r="D24" s="14"/>
      <c r="E24" s="16"/>
      <c r="F24" s="17"/>
      <c r="G24" s="18">
        <v>1</v>
      </c>
      <c r="H24" s="19"/>
      <c r="I24" s="22"/>
      <c r="J24" s="22"/>
    </row>
    <row r="25" spans="1:10" ht="15" customHeight="1" x14ac:dyDescent="0.25">
      <c r="A25" s="12">
        <f t="shared" si="0"/>
        <v>19</v>
      </c>
      <c r="B25" s="16"/>
      <c r="C25" s="14"/>
      <c r="D25" s="14"/>
      <c r="E25" s="16"/>
      <c r="F25" s="17"/>
      <c r="G25" s="18">
        <v>1</v>
      </c>
      <c r="H25" s="26"/>
      <c r="I25" s="22"/>
      <c r="J25" s="22"/>
    </row>
    <row r="26" spans="1:10" ht="15" customHeight="1" x14ac:dyDescent="0.25">
      <c r="A26" s="12">
        <f t="shared" si="0"/>
        <v>20</v>
      </c>
      <c r="B26" s="16"/>
      <c r="C26" s="14"/>
      <c r="D26" s="14"/>
      <c r="E26" s="16"/>
      <c r="F26" s="17"/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/>
      <c r="C27" s="14"/>
      <c r="D27" s="14"/>
      <c r="E27" s="16"/>
      <c r="F27" s="17"/>
      <c r="G27" s="18">
        <v>1</v>
      </c>
      <c r="H27" s="19"/>
      <c r="I27" s="22"/>
      <c r="J27" s="22"/>
    </row>
    <row r="28" spans="1:10" ht="15" customHeight="1" x14ac:dyDescent="0.25">
      <c r="A28" s="12">
        <f t="shared" si="0"/>
        <v>22</v>
      </c>
      <c r="B28" s="16"/>
      <c r="C28" s="14"/>
      <c r="D28" s="14"/>
      <c r="E28" s="16"/>
      <c r="F28" s="17"/>
      <c r="G28" s="18">
        <v>1</v>
      </c>
      <c r="H28" s="19"/>
      <c r="I28" s="22"/>
      <c r="J28" s="22"/>
    </row>
    <row r="29" spans="1:10" ht="15" customHeight="1" x14ac:dyDescent="0.25">
      <c r="A29" s="12">
        <f t="shared" si="0"/>
        <v>23</v>
      </c>
      <c r="B29" s="16"/>
      <c r="C29" s="14"/>
      <c r="D29" s="14"/>
      <c r="E29" s="16"/>
      <c r="F29" s="17"/>
      <c r="G29" s="18">
        <v>1</v>
      </c>
      <c r="H29" s="26"/>
      <c r="I29" s="22"/>
      <c r="J29" s="22"/>
    </row>
    <row r="30" spans="1:10" ht="15" customHeight="1" x14ac:dyDescent="0.25">
      <c r="A30" s="12">
        <f t="shared" si="0"/>
        <v>24</v>
      </c>
      <c r="B30" s="13"/>
      <c r="C30" s="14"/>
      <c r="D30" s="14"/>
      <c r="E30" s="16"/>
      <c r="F30" s="17"/>
      <c r="G30" s="18">
        <v>1</v>
      </c>
      <c r="H30" s="26"/>
      <c r="I30" s="22"/>
      <c r="J30" s="22"/>
    </row>
    <row r="31" spans="1:10" ht="15" customHeight="1" x14ac:dyDescent="0.25">
      <c r="A31" s="12">
        <f t="shared" si="0"/>
        <v>25</v>
      </c>
      <c r="B31" s="16"/>
      <c r="C31" s="14"/>
      <c r="D31" s="21"/>
      <c r="E31" s="16"/>
      <c r="F31" s="17"/>
      <c r="G31" s="18">
        <v>1</v>
      </c>
      <c r="H31" s="19"/>
      <c r="I31" s="4"/>
      <c r="J31" s="4"/>
    </row>
    <row r="32" spans="1:10" ht="15" customHeight="1" x14ac:dyDescent="0.25">
      <c r="A32" s="12">
        <f t="shared" si="0"/>
        <v>26</v>
      </c>
      <c r="B32" s="16"/>
      <c r="C32" s="14"/>
      <c r="D32" s="21"/>
      <c r="E32" s="16"/>
      <c r="F32" s="17"/>
      <c r="G32" s="18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H33" s="26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21"/>
      <c r="E37" s="16"/>
      <c r="F37" s="17"/>
      <c r="G37" s="18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21"/>
      <c r="E38" s="16"/>
      <c r="F38" s="17"/>
      <c r="G38" s="18">
        <v>1</v>
      </c>
      <c r="H38" s="4"/>
      <c r="I38" s="4"/>
      <c r="J38" s="4"/>
    </row>
    <row r="39" spans="1:10" ht="15" customHeight="1" x14ac:dyDescent="0.25">
      <c r="A39" s="12">
        <f t="shared" si="0"/>
        <v>33</v>
      </c>
      <c r="B39" s="16"/>
      <c r="C39" s="14"/>
      <c r="D39" s="21"/>
      <c r="E39" s="16"/>
      <c r="F39" s="17"/>
      <c r="G39" s="18">
        <v>1</v>
      </c>
      <c r="H39" s="4"/>
      <c r="I39" s="4"/>
      <c r="J39" s="4"/>
    </row>
    <row r="40" spans="1:10" x14ac:dyDescent="0.25">
      <c r="A40" s="12">
        <f t="shared" si="0"/>
        <v>34</v>
      </c>
      <c r="B40" s="16"/>
      <c r="C40" s="14"/>
      <c r="D40" s="21"/>
      <c r="E40" s="16"/>
      <c r="F40" s="17"/>
      <c r="G40" s="18">
        <v>1</v>
      </c>
      <c r="H40" s="27"/>
    </row>
    <row r="41" spans="1:10" x14ac:dyDescent="0.25">
      <c r="A41" s="12">
        <f t="shared" si="0"/>
        <v>35</v>
      </c>
      <c r="B41" s="16"/>
      <c r="C41" s="14"/>
      <c r="D41" s="21"/>
      <c r="E41" s="16"/>
      <c r="F41" s="17"/>
      <c r="G41" s="18">
        <v>1</v>
      </c>
      <c r="H41" s="27"/>
    </row>
    <row r="42" spans="1:10" x14ac:dyDescent="0.25">
      <c r="A42" s="12">
        <f t="shared" si="0"/>
        <v>36</v>
      </c>
      <c r="B42" s="16"/>
      <c r="C42" s="14"/>
      <c r="D42" s="21"/>
      <c r="E42" s="16"/>
      <c r="F42" s="17"/>
      <c r="G42" s="18">
        <v>1</v>
      </c>
      <c r="H42" s="27"/>
    </row>
    <row r="43" spans="1:10" x14ac:dyDescent="0.25">
      <c r="A43" s="12">
        <f t="shared" si="0"/>
        <v>37</v>
      </c>
      <c r="B43" s="16"/>
      <c r="C43" s="14"/>
      <c r="D43" s="21"/>
      <c r="E43" s="16"/>
      <c r="F43" s="17"/>
      <c r="G43" s="18">
        <v>1</v>
      </c>
      <c r="H43" s="27"/>
    </row>
    <row r="44" spans="1:10" x14ac:dyDescent="0.25">
      <c r="A44" s="12">
        <f t="shared" si="0"/>
        <v>38</v>
      </c>
      <c r="B44" s="16"/>
      <c r="C44" s="14"/>
      <c r="D44" s="21"/>
      <c r="E44" s="16"/>
      <c r="F44" s="17"/>
      <c r="G44" s="18">
        <v>1</v>
      </c>
      <c r="H44" s="27"/>
    </row>
    <row r="45" spans="1:10" x14ac:dyDescent="0.25">
      <c r="A45" s="12">
        <f t="shared" si="0"/>
        <v>39</v>
      </c>
      <c r="B45" s="16"/>
      <c r="C45" s="14"/>
      <c r="D45" s="21"/>
      <c r="E45" s="16"/>
      <c r="F45" s="17"/>
      <c r="G45" s="18">
        <v>1</v>
      </c>
      <c r="H45" s="27"/>
    </row>
    <row r="46" spans="1:10" x14ac:dyDescent="0.25">
      <c r="A46" s="12">
        <f t="shared" si="0"/>
        <v>40</v>
      </c>
      <c r="B46" s="16"/>
      <c r="C46" s="13"/>
      <c r="D46" s="16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3"/>
      <c r="D47" s="16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3"/>
      <c r="D48" s="16"/>
      <c r="E48" s="16"/>
      <c r="F48" s="24"/>
      <c r="G48" s="18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opLeftCell="A17" workbookViewId="0">
      <selection activeCell="F19" sqref="F19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8554687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1"/>
      <c r="E1" s="2" t="s">
        <v>1</v>
      </c>
      <c r="F1" s="2"/>
      <c r="G1" s="3"/>
      <c r="H1" s="3"/>
      <c r="I1" s="3"/>
      <c r="J1" s="3"/>
      <c r="K1" s="4"/>
    </row>
    <row r="2" spans="1:11" ht="15.75" x14ac:dyDescent="0.25">
      <c r="A2" s="34" t="s">
        <v>2</v>
      </c>
      <c r="B2" s="34"/>
      <c r="C2" s="34"/>
      <c r="D2" s="2"/>
      <c r="E2" s="5" t="s">
        <v>3</v>
      </c>
      <c r="F2" s="5"/>
      <c r="G2" s="3"/>
      <c r="H2" s="3"/>
      <c r="I2" s="31" t="s">
        <v>4</v>
      </c>
      <c r="J2" s="32"/>
      <c r="K2" s="6">
        <f>SUMIF(F7:F364,"Elimination*",G7:G364)</f>
        <v>9</v>
      </c>
    </row>
    <row r="3" spans="1:11" x14ac:dyDescent="0.25">
      <c r="A3" s="35" t="s">
        <v>5</v>
      </c>
      <c r="B3" s="35"/>
      <c r="C3" s="35"/>
      <c r="D3" s="5"/>
      <c r="E3" s="3" t="s">
        <v>6</v>
      </c>
      <c r="F3" s="3"/>
      <c r="G3" s="3"/>
      <c r="H3" s="3"/>
      <c r="I3" s="31" t="s">
        <v>7</v>
      </c>
      <c r="J3" s="32"/>
      <c r="K3" s="6">
        <f>SUMIF(F7:F364,"NB*",G7:G364)</f>
        <v>16</v>
      </c>
    </row>
    <row r="4" spans="1:11" ht="18" x14ac:dyDescent="0.25">
      <c r="A4" s="33" t="s">
        <v>8</v>
      </c>
      <c r="B4" s="33"/>
      <c r="C4" s="33"/>
      <c r="D4" s="33"/>
      <c r="E4" s="33"/>
      <c r="F4" s="33"/>
      <c r="G4" s="3"/>
      <c r="H4" s="3"/>
      <c r="I4" s="31" t="s">
        <v>9</v>
      </c>
      <c r="J4" s="32"/>
      <c r="K4" s="6">
        <f>SUMIF(F7:F364,"Ve*",G7:G364)</f>
        <v>0</v>
      </c>
    </row>
    <row r="5" spans="1:11" ht="15.75" x14ac:dyDescent="0.25">
      <c r="A5" s="30" t="s">
        <v>498</v>
      </c>
      <c r="B5" s="30"/>
      <c r="C5" s="30"/>
      <c r="D5" s="30"/>
      <c r="E5" s="30"/>
      <c r="F5" s="30"/>
      <c r="G5" s="7"/>
      <c r="H5" s="7"/>
      <c r="I5" s="31" t="s">
        <v>10</v>
      </c>
      <c r="J5" s="32"/>
      <c r="K5" s="8">
        <f>SUM(K2:K4)</f>
        <v>25</v>
      </c>
    </row>
    <row r="6" spans="1:11" ht="21.6" customHeight="1" x14ac:dyDescent="0.25">
      <c r="A6" s="9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/>
      <c r="H6" s="11" t="s">
        <v>17</v>
      </c>
      <c r="I6" s="11"/>
      <c r="J6" s="11"/>
      <c r="K6" s="4"/>
    </row>
    <row r="7" spans="1:11" ht="15" customHeight="1" x14ac:dyDescent="0.25">
      <c r="A7" s="12">
        <v>1</v>
      </c>
      <c r="B7" s="13" t="s">
        <v>25</v>
      </c>
      <c r="C7" s="14" t="s">
        <v>20</v>
      </c>
      <c r="D7" s="21" t="s">
        <v>495</v>
      </c>
      <c r="E7" s="16">
        <v>44536</v>
      </c>
      <c r="F7" s="17" t="s">
        <v>496</v>
      </c>
      <c r="G7" s="18">
        <v>1</v>
      </c>
      <c r="H7" s="19" t="s">
        <v>497</v>
      </c>
      <c r="I7" s="20"/>
      <c r="J7" s="20"/>
      <c r="K7" s="4"/>
    </row>
    <row r="8" spans="1:11" ht="15" customHeight="1" x14ac:dyDescent="0.25">
      <c r="A8" s="12">
        <f>+A7+1</f>
        <v>2</v>
      </c>
      <c r="B8" s="13" t="s">
        <v>25</v>
      </c>
      <c r="C8" s="14" t="s">
        <v>20</v>
      </c>
      <c r="D8" s="21" t="s">
        <v>499</v>
      </c>
      <c r="E8" s="16">
        <v>44537</v>
      </c>
      <c r="F8" s="17" t="s">
        <v>501</v>
      </c>
      <c r="G8" s="18">
        <v>1</v>
      </c>
      <c r="H8" s="23" t="s">
        <v>503</v>
      </c>
      <c r="I8" s="22"/>
      <c r="J8" s="22"/>
      <c r="K8" s="4"/>
    </row>
    <row r="9" spans="1:11" ht="15" customHeight="1" x14ac:dyDescent="0.25">
      <c r="A9" s="12">
        <f t="shared" ref="A9:A48" si="0">+A8+1</f>
        <v>3</v>
      </c>
      <c r="B9" s="13" t="s">
        <v>25</v>
      </c>
      <c r="C9" s="14" t="s">
        <v>20</v>
      </c>
      <c r="D9" s="21" t="s">
        <v>500</v>
      </c>
      <c r="E9" s="16">
        <v>44537</v>
      </c>
      <c r="F9" s="17" t="s">
        <v>502</v>
      </c>
      <c r="G9" s="18">
        <v>1</v>
      </c>
      <c r="H9" s="23" t="s">
        <v>504</v>
      </c>
      <c r="I9" s="22"/>
      <c r="J9" s="22"/>
      <c r="K9" s="4"/>
    </row>
    <row r="10" spans="1:11" ht="15" customHeight="1" x14ac:dyDescent="0.25">
      <c r="A10" s="12">
        <f t="shared" si="0"/>
        <v>4</v>
      </c>
      <c r="B10" s="13" t="s">
        <v>25</v>
      </c>
      <c r="C10" s="14" t="s">
        <v>20</v>
      </c>
      <c r="D10" s="21" t="s">
        <v>505</v>
      </c>
      <c r="E10" s="16">
        <v>44538</v>
      </c>
      <c r="F10" s="17" t="s">
        <v>506</v>
      </c>
      <c r="G10" s="18">
        <v>1</v>
      </c>
      <c r="H10" s="23" t="s">
        <v>507</v>
      </c>
      <c r="I10" s="22"/>
      <c r="J10" s="22"/>
      <c r="K10" s="4"/>
    </row>
    <row r="11" spans="1:11" ht="15" customHeight="1" x14ac:dyDescent="0.25">
      <c r="A11" s="12">
        <f t="shared" si="0"/>
        <v>5</v>
      </c>
      <c r="B11" s="13" t="s">
        <v>67</v>
      </c>
      <c r="C11" s="14" t="s">
        <v>20</v>
      </c>
      <c r="D11" s="21" t="s">
        <v>508</v>
      </c>
      <c r="E11" s="16">
        <v>44538</v>
      </c>
      <c r="F11" s="17" t="s">
        <v>510</v>
      </c>
      <c r="G11" s="18">
        <v>1</v>
      </c>
      <c r="H11" s="23" t="s">
        <v>509</v>
      </c>
      <c r="I11" s="22"/>
      <c r="J11" s="22"/>
      <c r="K11" s="4"/>
    </row>
    <row r="12" spans="1:11" ht="15" customHeight="1" x14ac:dyDescent="0.25">
      <c r="A12" s="12">
        <f t="shared" si="0"/>
        <v>6</v>
      </c>
      <c r="B12" s="13" t="s">
        <v>511</v>
      </c>
      <c r="C12" s="14" t="s">
        <v>20</v>
      </c>
      <c r="D12" s="21" t="s">
        <v>512</v>
      </c>
      <c r="E12" s="16">
        <v>44539</v>
      </c>
      <c r="F12" s="17" t="s">
        <v>22</v>
      </c>
      <c r="G12" s="18">
        <v>1</v>
      </c>
      <c r="H12" s="23"/>
      <c r="I12" s="22"/>
      <c r="J12" s="22"/>
      <c r="K12" s="4"/>
    </row>
    <row r="13" spans="1:11" ht="15" customHeight="1" x14ac:dyDescent="0.25">
      <c r="A13" s="12">
        <f t="shared" si="0"/>
        <v>7</v>
      </c>
      <c r="B13" s="13" t="s">
        <v>36</v>
      </c>
      <c r="C13" s="14" t="s">
        <v>20</v>
      </c>
      <c r="D13" s="21" t="s">
        <v>513</v>
      </c>
      <c r="E13" s="16">
        <v>44542</v>
      </c>
      <c r="F13" s="17" t="s">
        <v>514</v>
      </c>
      <c r="G13" s="18">
        <v>1</v>
      </c>
      <c r="H13" s="19" t="s">
        <v>515</v>
      </c>
      <c r="I13" s="22"/>
      <c r="J13" s="22"/>
      <c r="K13" s="4"/>
    </row>
    <row r="14" spans="1:11" ht="15" customHeight="1" x14ac:dyDescent="0.25">
      <c r="A14" s="12">
        <f t="shared" si="0"/>
        <v>8</v>
      </c>
      <c r="B14" s="13" t="s">
        <v>36</v>
      </c>
      <c r="C14" s="14" t="s">
        <v>20</v>
      </c>
      <c r="D14" s="21" t="s">
        <v>516</v>
      </c>
      <c r="E14" s="16">
        <v>44542</v>
      </c>
      <c r="F14" s="17" t="s">
        <v>517</v>
      </c>
      <c r="G14" s="18">
        <v>1</v>
      </c>
      <c r="H14" s="19" t="s">
        <v>519</v>
      </c>
      <c r="I14" s="22"/>
      <c r="J14" s="22"/>
      <c r="K14" s="4"/>
    </row>
    <row r="15" spans="1:11" ht="15" customHeight="1" x14ac:dyDescent="0.25">
      <c r="A15" s="12">
        <f t="shared" si="0"/>
        <v>9</v>
      </c>
      <c r="B15" s="13" t="s">
        <v>36</v>
      </c>
      <c r="C15" s="14" t="s">
        <v>20</v>
      </c>
      <c r="D15" s="21" t="s">
        <v>520</v>
      </c>
      <c r="E15" s="16">
        <v>44543</v>
      </c>
      <c r="F15" s="17" t="s">
        <v>530</v>
      </c>
      <c r="G15" s="18">
        <v>1</v>
      </c>
      <c r="H15" s="19" t="s">
        <v>529</v>
      </c>
      <c r="I15" s="22"/>
      <c r="J15" s="22"/>
    </row>
    <row r="16" spans="1:11" ht="15" customHeight="1" x14ac:dyDescent="0.25">
      <c r="A16" s="12">
        <f t="shared" si="0"/>
        <v>10</v>
      </c>
      <c r="B16" s="13" t="s">
        <v>67</v>
      </c>
      <c r="C16" s="14" t="s">
        <v>20</v>
      </c>
      <c r="D16" s="21" t="s">
        <v>521</v>
      </c>
      <c r="E16" s="16">
        <v>44544</v>
      </c>
      <c r="F16" s="17" t="s">
        <v>522</v>
      </c>
      <c r="G16" s="18">
        <v>1</v>
      </c>
      <c r="H16" s="19" t="s">
        <v>518</v>
      </c>
      <c r="I16" s="22"/>
      <c r="J16" s="22"/>
    </row>
    <row r="17" spans="1:10" ht="15" customHeight="1" x14ac:dyDescent="0.25">
      <c r="A17" s="12">
        <f t="shared" si="0"/>
        <v>11</v>
      </c>
      <c r="B17" s="13" t="s">
        <v>25</v>
      </c>
      <c r="C17" s="14" t="s">
        <v>20</v>
      </c>
      <c r="D17" s="21" t="s">
        <v>523</v>
      </c>
      <c r="E17" s="16">
        <v>44545</v>
      </c>
      <c r="F17" s="17" t="s">
        <v>524</v>
      </c>
      <c r="G17" s="18">
        <v>1</v>
      </c>
      <c r="H17" s="19" t="s">
        <v>525</v>
      </c>
      <c r="I17" s="22"/>
      <c r="J17" s="22"/>
    </row>
    <row r="18" spans="1:10" ht="15" customHeight="1" x14ac:dyDescent="0.25">
      <c r="A18" s="12">
        <f t="shared" si="0"/>
        <v>12</v>
      </c>
      <c r="B18" s="13" t="s">
        <v>25</v>
      </c>
      <c r="C18" s="14" t="s">
        <v>20</v>
      </c>
      <c r="D18" s="21" t="s">
        <v>526</v>
      </c>
      <c r="E18" s="16">
        <v>44546</v>
      </c>
      <c r="F18" s="17" t="s">
        <v>527</v>
      </c>
      <c r="G18" s="18">
        <v>1</v>
      </c>
      <c r="H18" s="19" t="s">
        <v>528</v>
      </c>
      <c r="I18" s="22"/>
      <c r="J18" s="22"/>
    </row>
    <row r="19" spans="1:10" ht="15" customHeight="1" x14ac:dyDescent="0.25">
      <c r="A19" s="12">
        <f t="shared" si="0"/>
        <v>13</v>
      </c>
      <c r="B19" s="13" t="s">
        <v>540</v>
      </c>
      <c r="C19" s="14" t="s">
        <v>20</v>
      </c>
      <c r="D19" s="14">
        <v>2021165023</v>
      </c>
      <c r="E19" s="16">
        <v>44548</v>
      </c>
      <c r="F19" s="17" t="s">
        <v>22</v>
      </c>
      <c r="G19" s="18">
        <v>1</v>
      </c>
      <c r="H19" s="19"/>
      <c r="I19" s="22"/>
      <c r="J19" s="22"/>
    </row>
    <row r="20" spans="1:10" ht="15" customHeight="1" x14ac:dyDescent="0.25">
      <c r="A20" s="12">
        <f t="shared" si="0"/>
        <v>14</v>
      </c>
      <c r="B20" s="13" t="s">
        <v>25</v>
      </c>
      <c r="C20" s="14" t="s">
        <v>20</v>
      </c>
      <c r="D20" s="21" t="s">
        <v>531</v>
      </c>
      <c r="E20" s="16">
        <v>44549</v>
      </c>
      <c r="F20" s="17" t="s">
        <v>532</v>
      </c>
      <c r="G20" s="18">
        <v>1</v>
      </c>
      <c r="H20" s="19" t="s">
        <v>533</v>
      </c>
      <c r="I20" s="22"/>
      <c r="J20" s="22"/>
    </row>
    <row r="21" spans="1:10" ht="15" customHeight="1" x14ac:dyDescent="0.25">
      <c r="A21" s="12">
        <f t="shared" si="0"/>
        <v>15</v>
      </c>
      <c r="B21" s="13" t="s">
        <v>25</v>
      </c>
      <c r="C21" s="14" t="s">
        <v>20</v>
      </c>
      <c r="D21" s="21" t="s">
        <v>534</v>
      </c>
      <c r="E21" s="16">
        <v>44549</v>
      </c>
      <c r="F21" s="17" t="s">
        <v>535</v>
      </c>
      <c r="G21" s="18">
        <v>1</v>
      </c>
      <c r="H21" s="19" t="s">
        <v>536</v>
      </c>
      <c r="I21" s="22"/>
      <c r="J21" s="22"/>
    </row>
    <row r="22" spans="1:10" ht="15" customHeight="1" x14ac:dyDescent="0.25">
      <c r="A22" s="12">
        <f t="shared" si="0"/>
        <v>16</v>
      </c>
      <c r="B22" s="13" t="s">
        <v>25</v>
      </c>
      <c r="C22" s="14" t="s">
        <v>20</v>
      </c>
      <c r="D22" s="21" t="s">
        <v>537</v>
      </c>
      <c r="E22" s="16">
        <v>44549</v>
      </c>
      <c r="F22" s="17" t="s">
        <v>538</v>
      </c>
      <c r="G22" s="18">
        <v>1</v>
      </c>
      <c r="H22" s="19" t="s">
        <v>539</v>
      </c>
      <c r="I22" s="22"/>
      <c r="J22" s="22"/>
    </row>
    <row r="23" spans="1:10" ht="15" customHeight="1" x14ac:dyDescent="0.25">
      <c r="A23" s="12">
        <f t="shared" si="0"/>
        <v>17</v>
      </c>
      <c r="B23" s="13" t="s">
        <v>541</v>
      </c>
      <c r="C23" s="14" t="s">
        <v>20</v>
      </c>
      <c r="D23" s="21" t="s">
        <v>542</v>
      </c>
      <c r="E23" s="16">
        <v>44549</v>
      </c>
      <c r="F23" s="17" t="s">
        <v>22</v>
      </c>
      <c r="G23" s="18">
        <v>1</v>
      </c>
      <c r="H23" s="4"/>
      <c r="I23" s="22"/>
      <c r="J23" s="22"/>
    </row>
    <row r="24" spans="1:10" ht="15" customHeight="1" x14ac:dyDescent="0.25">
      <c r="A24" s="12">
        <f t="shared" si="0"/>
        <v>18</v>
      </c>
      <c r="B24" s="16" t="s">
        <v>67</v>
      </c>
      <c r="C24" s="14" t="s">
        <v>20</v>
      </c>
      <c r="D24" s="21" t="s">
        <v>543</v>
      </c>
      <c r="E24" s="16">
        <v>44555</v>
      </c>
      <c r="F24" s="17" t="s">
        <v>544</v>
      </c>
      <c r="G24" s="18">
        <v>1</v>
      </c>
      <c r="H24" s="19" t="s">
        <v>545</v>
      </c>
      <c r="I24" s="22"/>
      <c r="J24" s="22"/>
    </row>
    <row r="25" spans="1:10" ht="15" customHeight="1" x14ac:dyDescent="0.25">
      <c r="A25" s="12">
        <f t="shared" si="0"/>
        <v>19</v>
      </c>
      <c r="B25" s="16" t="s">
        <v>67</v>
      </c>
      <c r="C25" s="14" t="s">
        <v>20</v>
      </c>
      <c r="D25" s="21" t="s">
        <v>546</v>
      </c>
      <c r="E25" s="16">
        <v>44555</v>
      </c>
      <c r="F25" s="17" t="s">
        <v>547</v>
      </c>
      <c r="G25" s="18">
        <v>1</v>
      </c>
      <c r="H25" s="26" t="s">
        <v>548</v>
      </c>
      <c r="I25" s="22"/>
      <c r="J25" s="22"/>
    </row>
    <row r="26" spans="1:10" ht="15" customHeight="1" x14ac:dyDescent="0.25">
      <c r="A26" s="12">
        <f t="shared" si="0"/>
        <v>20</v>
      </c>
      <c r="B26" s="16" t="s">
        <v>549</v>
      </c>
      <c r="C26" s="14" t="s">
        <v>296</v>
      </c>
      <c r="D26" s="14">
        <v>2020002832</v>
      </c>
      <c r="E26" s="16">
        <v>44558</v>
      </c>
      <c r="F26" s="17" t="s">
        <v>22</v>
      </c>
      <c r="G26" s="18">
        <v>1</v>
      </c>
      <c r="H26" s="19"/>
      <c r="I26" s="22"/>
      <c r="J26" s="22"/>
    </row>
    <row r="27" spans="1:10" ht="15" customHeight="1" x14ac:dyDescent="0.25">
      <c r="A27" s="12">
        <f t="shared" si="0"/>
        <v>21</v>
      </c>
      <c r="B27" s="16" t="s">
        <v>550</v>
      </c>
      <c r="C27" s="14" t="s">
        <v>296</v>
      </c>
      <c r="D27" s="14">
        <v>2020002834</v>
      </c>
      <c r="E27" s="16">
        <v>44558</v>
      </c>
      <c r="F27" s="17" t="s">
        <v>22</v>
      </c>
      <c r="G27" s="18">
        <v>1</v>
      </c>
      <c r="H27" s="19"/>
      <c r="I27" s="22"/>
      <c r="J27" s="22"/>
    </row>
    <row r="28" spans="1:10" ht="15" customHeight="1" x14ac:dyDescent="0.25">
      <c r="A28" s="12">
        <f t="shared" si="0"/>
        <v>22</v>
      </c>
      <c r="B28" s="16" t="s">
        <v>551</v>
      </c>
      <c r="C28" s="14" t="s">
        <v>296</v>
      </c>
      <c r="D28" s="14">
        <v>2020002833</v>
      </c>
      <c r="E28" s="16">
        <v>44558</v>
      </c>
      <c r="F28" s="17" t="s">
        <v>22</v>
      </c>
      <c r="G28" s="18">
        <v>1</v>
      </c>
      <c r="H28" s="19"/>
      <c r="I28" s="22"/>
      <c r="J28" s="22"/>
    </row>
    <row r="29" spans="1:10" ht="15" customHeight="1" x14ac:dyDescent="0.25">
      <c r="A29" s="12">
        <f t="shared" si="0"/>
        <v>23</v>
      </c>
      <c r="B29" s="16" t="s">
        <v>552</v>
      </c>
      <c r="C29" s="14" t="s">
        <v>296</v>
      </c>
      <c r="D29" s="14">
        <v>2020002837</v>
      </c>
      <c r="E29" s="16">
        <v>44558</v>
      </c>
      <c r="F29" s="17" t="s">
        <v>22</v>
      </c>
      <c r="G29" s="18">
        <v>1</v>
      </c>
      <c r="H29" s="26"/>
      <c r="I29" s="22"/>
      <c r="J29" s="22"/>
    </row>
    <row r="30" spans="1:10" ht="15" customHeight="1" x14ac:dyDescent="0.25">
      <c r="A30" s="12">
        <f t="shared" si="0"/>
        <v>24</v>
      </c>
      <c r="B30" s="13" t="s">
        <v>553</v>
      </c>
      <c r="C30" s="14" t="s">
        <v>296</v>
      </c>
      <c r="D30" s="14">
        <v>2020002835</v>
      </c>
      <c r="E30" s="16">
        <v>44558</v>
      </c>
      <c r="F30" s="17" t="s">
        <v>22</v>
      </c>
      <c r="G30" s="18">
        <v>1</v>
      </c>
      <c r="H30" s="26"/>
      <c r="I30" s="22"/>
      <c r="J30" s="22"/>
    </row>
    <row r="31" spans="1:10" ht="15" customHeight="1" x14ac:dyDescent="0.25">
      <c r="A31" s="12">
        <f t="shared" si="0"/>
        <v>25</v>
      </c>
      <c r="B31" s="16" t="s">
        <v>554</v>
      </c>
      <c r="C31" s="14" t="s">
        <v>296</v>
      </c>
      <c r="D31" s="21" t="s">
        <v>557</v>
      </c>
      <c r="E31" s="16">
        <v>44558</v>
      </c>
      <c r="F31" s="17" t="s">
        <v>22</v>
      </c>
      <c r="G31" s="18">
        <v>1</v>
      </c>
      <c r="H31" s="19"/>
      <c r="I31" s="4"/>
      <c r="J31" s="4"/>
    </row>
    <row r="32" spans="1:10" ht="15" customHeight="1" x14ac:dyDescent="0.25">
      <c r="A32" s="12">
        <f t="shared" si="0"/>
        <v>26</v>
      </c>
      <c r="B32" s="16"/>
      <c r="C32" s="14"/>
      <c r="D32" s="21"/>
      <c r="E32" s="16"/>
      <c r="F32" s="17"/>
      <c r="G32" s="18">
        <v>1</v>
      </c>
      <c r="H32" s="4"/>
      <c r="I32" s="4"/>
      <c r="J32" s="4"/>
    </row>
    <row r="33" spans="1:10" ht="15" customHeight="1" x14ac:dyDescent="0.25">
      <c r="A33" s="12">
        <f t="shared" si="0"/>
        <v>27</v>
      </c>
      <c r="B33" s="16"/>
      <c r="C33" s="14"/>
      <c r="D33" s="21"/>
      <c r="E33" s="16"/>
      <c r="F33" s="17"/>
      <c r="G33" s="18">
        <v>1</v>
      </c>
      <c r="H33" s="26"/>
      <c r="I33" s="4"/>
      <c r="J33" s="4"/>
    </row>
    <row r="34" spans="1:10" ht="15" customHeight="1" x14ac:dyDescent="0.25">
      <c r="A34" s="12">
        <f t="shared" si="0"/>
        <v>28</v>
      </c>
      <c r="B34" s="16"/>
      <c r="C34" s="14"/>
      <c r="D34" s="21"/>
      <c r="E34" s="16"/>
      <c r="F34" s="17"/>
      <c r="G34" s="18">
        <v>1</v>
      </c>
      <c r="H34" s="4"/>
      <c r="I34" s="4"/>
      <c r="J34" s="4"/>
    </row>
    <row r="35" spans="1:10" ht="15" customHeight="1" x14ac:dyDescent="0.25">
      <c r="A35" s="12">
        <f t="shared" si="0"/>
        <v>29</v>
      </c>
      <c r="B35" s="16"/>
      <c r="C35" s="14"/>
      <c r="D35" s="21"/>
      <c r="E35" s="16"/>
      <c r="F35" s="17"/>
      <c r="G35" s="18">
        <v>1</v>
      </c>
      <c r="H35" s="4"/>
      <c r="I35" s="4"/>
      <c r="J35" s="4"/>
    </row>
    <row r="36" spans="1:10" ht="15" customHeight="1" x14ac:dyDescent="0.25">
      <c r="A36" s="12">
        <f t="shared" si="0"/>
        <v>30</v>
      </c>
      <c r="B36" s="16"/>
      <c r="C36" s="14"/>
      <c r="D36" s="21"/>
      <c r="E36" s="16"/>
      <c r="F36" s="17"/>
      <c r="G36" s="18">
        <v>1</v>
      </c>
      <c r="H36" s="4"/>
      <c r="I36" s="4"/>
      <c r="J36" s="4"/>
    </row>
    <row r="37" spans="1:10" ht="15" customHeight="1" x14ac:dyDescent="0.25">
      <c r="A37" s="12">
        <f t="shared" si="0"/>
        <v>31</v>
      </c>
      <c r="B37" s="16"/>
      <c r="C37" s="14"/>
      <c r="D37" s="21"/>
      <c r="E37" s="16"/>
      <c r="F37" s="17"/>
      <c r="G37" s="18">
        <v>1</v>
      </c>
      <c r="H37" s="4"/>
      <c r="I37" s="4"/>
      <c r="J37" s="4"/>
    </row>
    <row r="38" spans="1:10" ht="15" customHeight="1" x14ac:dyDescent="0.25">
      <c r="A38" s="12">
        <f t="shared" si="0"/>
        <v>32</v>
      </c>
      <c r="B38" s="16"/>
      <c r="C38" s="14"/>
      <c r="D38" s="21"/>
      <c r="E38" s="16"/>
      <c r="F38" s="17"/>
      <c r="G38" s="18">
        <v>1</v>
      </c>
      <c r="H38" s="4"/>
      <c r="I38" s="4"/>
      <c r="J38" s="4"/>
    </row>
    <row r="39" spans="1:10" ht="15" customHeight="1" x14ac:dyDescent="0.25">
      <c r="A39" s="12">
        <f t="shared" si="0"/>
        <v>33</v>
      </c>
      <c r="B39" s="16"/>
      <c r="C39" s="14"/>
      <c r="D39" s="21"/>
      <c r="E39" s="16"/>
      <c r="F39" s="17"/>
      <c r="G39" s="18">
        <v>1</v>
      </c>
      <c r="H39" s="4"/>
      <c r="I39" s="4"/>
      <c r="J39" s="4"/>
    </row>
    <row r="40" spans="1:10" x14ac:dyDescent="0.25">
      <c r="A40" s="12">
        <f t="shared" si="0"/>
        <v>34</v>
      </c>
      <c r="B40" s="16"/>
      <c r="C40" s="14"/>
      <c r="D40" s="21"/>
      <c r="E40" s="16"/>
      <c r="F40" s="17"/>
      <c r="G40" s="18">
        <v>1</v>
      </c>
      <c r="H40" s="27"/>
    </row>
    <row r="41" spans="1:10" x14ac:dyDescent="0.25">
      <c r="A41" s="12">
        <f t="shared" si="0"/>
        <v>35</v>
      </c>
      <c r="B41" s="16"/>
      <c r="C41" s="14"/>
      <c r="D41" s="21"/>
      <c r="E41" s="16"/>
      <c r="F41" s="17"/>
      <c r="G41" s="18">
        <v>1</v>
      </c>
      <c r="H41" s="27"/>
    </row>
    <row r="42" spans="1:10" x14ac:dyDescent="0.25">
      <c r="A42" s="12">
        <f t="shared" si="0"/>
        <v>36</v>
      </c>
      <c r="B42" s="16"/>
      <c r="C42" s="14"/>
      <c r="D42" s="21"/>
      <c r="E42" s="16"/>
      <c r="F42" s="17"/>
      <c r="G42" s="18">
        <v>1</v>
      </c>
      <c r="H42" s="27"/>
    </row>
    <row r="43" spans="1:10" x14ac:dyDescent="0.25">
      <c r="A43" s="12">
        <f t="shared" si="0"/>
        <v>37</v>
      </c>
      <c r="B43" s="16"/>
      <c r="C43" s="14"/>
      <c r="D43" s="21"/>
      <c r="E43" s="16"/>
      <c r="F43" s="17"/>
      <c r="G43" s="18">
        <v>1</v>
      </c>
      <c r="H43" s="27"/>
    </row>
    <row r="44" spans="1:10" x14ac:dyDescent="0.25">
      <c r="A44" s="12">
        <f t="shared" si="0"/>
        <v>38</v>
      </c>
      <c r="B44" s="16"/>
      <c r="C44" s="14"/>
      <c r="D44" s="21"/>
      <c r="E44" s="16"/>
      <c r="F44" s="17"/>
      <c r="G44" s="18">
        <v>1</v>
      </c>
      <c r="H44" s="27"/>
    </row>
    <row r="45" spans="1:10" x14ac:dyDescent="0.25">
      <c r="A45" s="12">
        <f t="shared" si="0"/>
        <v>39</v>
      </c>
      <c r="B45" s="16"/>
      <c r="C45" s="14"/>
      <c r="D45" s="21"/>
      <c r="E45" s="16"/>
      <c r="F45" s="17"/>
      <c r="G45" s="18">
        <v>1</v>
      </c>
      <c r="H45" s="27"/>
    </row>
    <row r="46" spans="1:10" x14ac:dyDescent="0.25">
      <c r="A46" s="12">
        <f t="shared" si="0"/>
        <v>40</v>
      </c>
      <c r="B46" s="16"/>
      <c r="C46" s="13"/>
      <c r="D46" s="16"/>
      <c r="E46" s="16"/>
      <c r="F46" s="24"/>
      <c r="G46" s="18">
        <v>1</v>
      </c>
    </row>
    <row r="47" spans="1:10" x14ac:dyDescent="0.25">
      <c r="A47" s="12">
        <f t="shared" si="0"/>
        <v>41</v>
      </c>
      <c r="B47" s="16"/>
      <c r="C47" s="13"/>
      <c r="D47" s="16"/>
      <c r="E47" s="16"/>
      <c r="F47" s="24"/>
      <c r="G47" s="18">
        <v>1</v>
      </c>
    </row>
    <row r="48" spans="1:10" x14ac:dyDescent="0.25">
      <c r="A48" s="12">
        <f t="shared" si="0"/>
        <v>42</v>
      </c>
      <c r="B48" s="16"/>
      <c r="C48" s="13"/>
      <c r="D48" s="16"/>
      <c r="E48" s="16"/>
      <c r="F48" s="24"/>
      <c r="G48" s="18">
        <v>1</v>
      </c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2021</vt:lpstr>
      <vt:lpstr>Fevrier 2021</vt:lpstr>
      <vt:lpstr>Mars 2021</vt:lpstr>
      <vt:lpstr>Avril 2021</vt:lpstr>
      <vt:lpstr>Mai 2021</vt:lpstr>
      <vt:lpstr>Juin 2021</vt:lpstr>
      <vt:lpstr>Juillet 2021</vt:lpstr>
      <vt:lpstr>Aout 2021</vt:lpstr>
      <vt:lpstr>Septembre 2021</vt:lpstr>
      <vt:lpstr>Octobre 2021</vt:lpstr>
      <vt:lpstr>Novembre 2021</vt:lpstr>
      <vt:lpstr>Décembre 2021</vt:lpstr>
      <vt:lpstr>'Aout 2021'!Impression_des_titres</vt:lpstr>
      <vt:lpstr>'Avril 2021'!Impression_des_titres</vt:lpstr>
      <vt:lpstr>'Décembre 2021'!Impression_des_titres</vt:lpstr>
      <vt:lpstr>'Fevrier 2021'!Impression_des_titres</vt:lpstr>
      <vt:lpstr>'Janvier 2021'!Impression_des_titres</vt:lpstr>
      <vt:lpstr>'Juillet 2021'!Impression_des_titres</vt:lpstr>
      <vt:lpstr>'Juin 2021'!Impression_des_titres</vt:lpstr>
      <vt:lpstr>'Mai 2021'!Impression_des_titres</vt:lpstr>
      <vt:lpstr>'Mars 2021'!Impression_des_titres</vt:lpstr>
      <vt:lpstr>'Novembre 2021'!Impression_des_titres</vt:lpstr>
      <vt:lpstr>'Octobre 2021'!Impression_des_titres</vt:lpstr>
      <vt:lpstr>'Septembre 2021'!Impression_des_titres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Lounnaci</cp:lastModifiedBy>
  <cp:lastPrinted>2022-01-11T07:49:31Z</cp:lastPrinted>
  <dcterms:created xsi:type="dcterms:W3CDTF">2019-01-07T07:24:45Z</dcterms:created>
  <dcterms:modified xsi:type="dcterms:W3CDTF">2025-05-07T10:11:31Z</dcterms:modified>
</cp:coreProperties>
</file>