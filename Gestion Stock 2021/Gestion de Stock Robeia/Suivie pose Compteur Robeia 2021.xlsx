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Robeia\"/>
    </mc:Choice>
  </mc:AlternateContent>
  <bookViews>
    <workbookView xWindow="315" yWindow="195" windowWidth="6900" windowHeight="2025" firstSheet="7" activeTab="11"/>
  </bookViews>
  <sheets>
    <sheet name="JANVIER 2020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7" r:id="rId6"/>
    <sheet name="JUILLET 2021" sheetId="18" r:id="rId7"/>
    <sheet name="AOUT 2021" sheetId="19" r:id="rId8"/>
    <sheet name="SEPTEMBRE 2021" sheetId="20" r:id="rId9"/>
    <sheet name="OCTOBRE 2021" sheetId="21" r:id="rId10"/>
    <sheet name="NOVEMBRE 2021" sheetId="22" r:id="rId11"/>
    <sheet name="DECEMBRE 2021" sheetId="23" r:id="rId12"/>
  </sheets>
  <definedNames>
    <definedName name="_xlnm.Print_Titles" localSheetId="7">'AOUT 2021'!$1:$6</definedName>
    <definedName name="_xlnm.Print_Titles" localSheetId="3">'AVRIL 2021'!$1:$6</definedName>
    <definedName name="_xlnm.Print_Titles" localSheetId="11">'DECEMBRE 2021'!$1:$6</definedName>
    <definedName name="_xlnm.Print_Titles" localSheetId="1">'FEVRIER 2021'!$1:$6</definedName>
    <definedName name="_xlnm.Print_Titles" localSheetId="0">'JANVIER 2020'!$1:$6</definedName>
    <definedName name="_xlnm.Print_Titles" localSheetId="6">'JUILLET 2021'!$1:$6</definedName>
    <definedName name="_xlnm.Print_Titles" localSheetId="5">'JUIN 2021'!$1:$6</definedName>
    <definedName name="_xlnm.Print_Titles" localSheetId="4">'MAI 2021'!$1:$6</definedName>
    <definedName name="_xlnm.Print_Titles" localSheetId="2">'MARS 2021'!$1:$6</definedName>
    <definedName name="_xlnm.Print_Titles" localSheetId="10">'NOVEMBRE 2021'!$1:$6</definedName>
    <definedName name="_xlnm.Print_Titles" localSheetId="9">'OCTOBRE 2021'!$1:$6</definedName>
    <definedName name="_xlnm.Print_Titles" localSheetId="8">'SEPTEMBRE 2021'!$1:$6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8" i="23"/>
  <c r="K4" i="23"/>
  <c r="K3" i="23"/>
  <c r="K5" i="23" s="1"/>
  <c r="K2" i="23"/>
  <c r="A9" i="22" l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8" i="22"/>
  <c r="K4" i="22"/>
  <c r="K3" i="22"/>
  <c r="K5" i="22" s="1"/>
  <c r="K2" i="22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K4" i="21"/>
  <c r="K3" i="21"/>
  <c r="K2" i="21"/>
  <c r="K5" i="21" s="1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8" i="20"/>
  <c r="K4" i="20"/>
  <c r="K3" i="20"/>
  <c r="K2" i="20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K4" i="19"/>
  <c r="K3" i="19"/>
  <c r="K2" i="19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8" i="18"/>
  <c r="K4" i="18"/>
  <c r="K3" i="18"/>
  <c r="K2" i="18"/>
  <c r="K5" i="18" s="1"/>
  <c r="K5" i="20" l="1"/>
  <c r="K5" i="19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K4" i="17"/>
  <c r="K3" i="17"/>
  <c r="K2" i="17"/>
  <c r="K5" i="17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K4" i="14"/>
  <c r="K3" i="14"/>
  <c r="K2" i="14"/>
  <c r="K5" i="14" l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8" i="13"/>
  <c r="K4" i="13"/>
  <c r="K3" i="13"/>
  <c r="K2" i="13"/>
  <c r="K5" i="13" l="1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<sst xmlns="http://schemas.openxmlformats.org/spreadsheetml/2006/main" count="295" uniqueCount="68">
  <si>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</si>
  <si>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</si>
  <si>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</si>
  <si>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</si>
  <si>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</si>
  <si>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</si>
  <si>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</si>
  <si>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</si>
  <si>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</si>
  <si>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</si>
  <si>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</si>
  <si>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</si>
  <si>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</si>
  <si>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</si>
  <si>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</si>
  <si>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</si>
  <si>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Robeia</t>
  </si>
  <si>
    <t>cc</t>
  </si>
  <si>
    <t>Mois de FEVRIER  2021</t>
  </si>
  <si>
    <t>Mois de JANVIER  2021</t>
  </si>
  <si>
    <t>Mois de MARS  2021</t>
  </si>
  <si>
    <t>Mois de AVRIL  2021</t>
  </si>
  <si>
    <t>Mois de MAI  2021</t>
  </si>
  <si>
    <t>Mois de JUIN  2021</t>
  </si>
  <si>
    <t>15/21</t>
  </si>
  <si>
    <t>2021064001</t>
  </si>
  <si>
    <t>Elimination Forfait</t>
  </si>
  <si>
    <t>BO0613</t>
  </si>
  <si>
    <t>2021064003</t>
  </si>
  <si>
    <t>BO0629</t>
  </si>
  <si>
    <t>2021064005</t>
  </si>
  <si>
    <t>BO0553</t>
  </si>
  <si>
    <t>Mois de JUILLET  2021</t>
  </si>
  <si>
    <t>BO0576</t>
  </si>
  <si>
    <t>112931</t>
  </si>
  <si>
    <t>BO0601</t>
  </si>
  <si>
    <t>112932</t>
  </si>
  <si>
    <t>BO0600</t>
  </si>
  <si>
    <t>112933</t>
  </si>
  <si>
    <t>BO0620</t>
  </si>
  <si>
    <t>112934</t>
  </si>
  <si>
    <t>BO0628</t>
  </si>
  <si>
    <t>112935</t>
  </si>
  <si>
    <t>BO0548</t>
  </si>
  <si>
    <t>112936</t>
  </si>
  <si>
    <t>BO0546</t>
  </si>
  <si>
    <t>112937</t>
  </si>
  <si>
    <t>BO0381</t>
  </si>
  <si>
    <t>112938</t>
  </si>
  <si>
    <t>BO0367</t>
  </si>
  <si>
    <t>112939</t>
  </si>
  <si>
    <t>BO0584</t>
  </si>
  <si>
    <t>112940</t>
  </si>
  <si>
    <t>Mois de AOUT  2021</t>
  </si>
  <si>
    <t>BO</t>
  </si>
  <si>
    <t>113592</t>
  </si>
  <si>
    <t>NB(N°336/2020)</t>
  </si>
  <si>
    <t>Hacene laid</t>
  </si>
  <si>
    <t>Mois de SEPTEMBRE  2021</t>
  </si>
  <si>
    <t>112921</t>
  </si>
  <si>
    <t>NB(N°249/2021)</t>
  </si>
  <si>
    <t>Merrah messouda</t>
  </si>
  <si>
    <t>Mois de OCTOBRE  2021</t>
  </si>
  <si>
    <t>Mois de NOVEMBRE  2021</t>
  </si>
  <si>
    <t>2021165766</t>
  </si>
  <si>
    <t>NB(274/2020)</t>
  </si>
  <si>
    <t>Makhlouf aek</t>
  </si>
  <si>
    <t>Mois de DECEMBRE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</si>
</sst>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3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4" applyAlignment="1">
      <alignment vertical="center"/>
    </xf>
    <xf numFmtId="0" fontId="10" fillId="2" borderId="1" xfId="4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3" xfId="4" applyFont="1" applyBorder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6</xdr:row>
      <xdr:rowOff>28575</xdr:rowOff>
    </xdr:from>
    <xdr:to>
      <xdr:col>5</xdr:col>
      <xdr:colOff>1304925</xdr:colOff>
      <xdr:row>37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00084" y="1343025"/>
          <a:ext cx="4543416" cy="6038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3" name="Connecteur droit 2"/>
        <xdr:cNvCxnSpPr/>
      </xdr:nvCxnSpPr>
      <xdr:spPr>
        <a:xfrm flipH="1">
          <a:off x="600076" y="1362075"/>
          <a:ext cx="4543424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6" y="1362075"/>
          <a:ext cx="4543424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6" y="1362075"/>
          <a:ext cx="4543424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6</xdr:row>
      <xdr:rowOff>47625</xdr:rowOff>
    </xdr:from>
    <xdr:to>
      <xdr:col>5</xdr:col>
      <xdr:colOff>1304925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6" y="1362075"/>
          <a:ext cx="4543424" cy="6048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10</xdr:row>
      <xdr:rowOff>28575</xdr:rowOff>
    </xdr:from>
    <xdr:to>
      <xdr:col>7</xdr:col>
      <xdr:colOff>28575</xdr:colOff>
      <xdr:row>38</xdr:row>
      <xdr:rowOff>0</xdr:rowOff>
    </xdr:to>
    <xdr:cxnSp macro="">
      <xdr:nvCxnSpPr>
        <xdr:cNvPr id="2" name="Connecteur droit 1"/>
        <xdr:cNvCxnSpPr/>
      </xdr:nvCxnSpPr>
      <xdr:spPr>
        <a:xfrm flipH="1">
          <a:off x="600076" y="2105025"/>
          <a:ext cx="4581524" cy="5305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6</xdr:row>
      <xdr:rowOff>7621</xdr:rowOff>
    </xdr:from>
    <xdr:to>
      <xdr:col>6</xdr:col>
      <xdr:colOff>0</xdr:colOff>
      <xdr:row>38</xdr:row>
      <xdr:rowOff>1</xdr:rowOff>
    </xdr:to>
    <xdr:cxnSp macro="">
      <xdr:nvCxnSpPr>
        <xdr:cNvPr id="2" name="Connecteur droit 1"/>
        <xdr:cNvCxnSpPr/>
      </xdr:nvCxnSpPr>
      <xdr:spPr>
        <a:xfrm rot="5400000">
          <a:off x="-82866" y="2005014"/>
          <a:ext cx="6088380" cy="46843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16</xdr:row>
      <xdr:rowOff>182880</xdr:rowOff>
    </xdr:from>
    <xdr:to>
      <xdr:col>5</xdr:col>
      <xdr:colOff>1341120</xdr:colOff>
      <xdr:row>38</xdr:row>
      <xdr:rowOff>15240</xdr:rowOff>
    </xdr:to>
    <xdr:cxnSp macro="">
      <xdr:nvCxnSpPr>
        <xdr:cNvPr id="4" name="Connecteur droit 3"/>
        <xdr:cNvCxnSpPr/>
      </xdr:nvCxnSpPr>
      <xdr:spPr>
        <a:xfrm rot="10800000" flipV="1">
          <a:off x="647700" y="3383280"/>
          <a:ext cx="4648200" cy="40233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7</xdr:row>
      <xdr:rowOff>9524</xdr:rowOff>
    </xdr:from>
    <xdr:to>
      <xdr:col>5</xdr:col>
      <xdr:colOff>1304926</xdr:colOff>
      <xdr:row>38</xdr:row>
      <xdr:rowOff>15239</xdr:rowOff>
    </xdr:to>
    <xdr:cxnSp macro="">
      <xdr:nvCxnSpPr>
        <xdr:cNvPr id="2" name="Connecteur droit 1"/>
        <xdr:cNvCxnSpPr/>
      </xdr:nvCxnSpPr>
      <xdr:spPr>
        <a:xfrm rot="5400000">
          <a:off x="-69532" y="2212657"/>
          <a:ext cx="5911215" cy="4514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7</xdr:row>
      <xdr:rowOff>9524</xdr:rowOff>
    </xdr:from>
    <xdr:to>
      <xdr:col>5</xdr:col>
      <xdr:colOff>1304926</xdr:colOff>
      <xdr:row>38</xdr:row>
      <xdr:rowOff>15239</xdr:rowOff>
    </xdr:to>
    <xdr:cxnSp macro="">
      <xdr:nvCxnSpPr>
        <xdr:cNvPr id="2" name="Connecteur droit 1"/>
        <xdr:cNvCxnSpPr/>
      </xdr:nvCxnSpPr>
      <xdr:spPr>
        <a:xfrm rot="5400000">
          <a:off x="-69532" y="2212657"/>
          <a:ext cx="5911215" cy="4514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7</xdr:row>
      <xdr:rowOff>9524</xdr:rowOff>
    </xdr:from>
    <xdr:to>
      <xdr:col>5</xdr:col>
      <xdr:colOff>1304926</xdr:colOff>
      <xdr:row>38</xdr:row>
      <xdr:rowOff>15239</xdr:rowOff>
    </xdr:to>
    <xdr:cxnSp macro="">
      <xdr:nvCxnSpPr>
        <xdr:cNvPr id="2" name="Connecteur droit 1"/>
        <xdr:cNvCxnSpPr/>
      </xdr:nvCxnSpPr>
      <xdr:spPr>
        <a:xfrm rot="5400000">
          <a:off x="-69532" y="2212657"/>
          <a:ext cx="5911215" cy="4514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6</xdr:row>
      <xdr:rowOff>19050</xdr:rowOff>
    </xdr:from>
    <xdr:to>
      <xdr:col>5</xdr:col>
      <xdr:colOff>1285875</xdr:colOff>
      <xdr:row>38</xdr:row>
      <xdr:rowOff>15239</xdr:rowOff>
    </xdr:to>
    <xdr:cxnSp macro="">
      <xdr:nvCxnSpPr>
        <xdr:cNvPr id="2" name="Connecteur droit 1"/>
        <xdr:cNvCxnSpPr/>
      </xdr:nvCxnSpPr>
      <xdr:spPr>
        <a:xfrm flipH="1">
          <a:off x="628651" y="1333500"/>
          <a:ext cx="4495799" cy="60921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42578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19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7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9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9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9"/>
      <c r="E11" s="12"/>
      <c r="F11" s="21"/>
      <c r="G11" s="17">
        <v>1</v>
      </c>
      <c r="H11" s="25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9"/>
      <c r="E12" s="12"/>
      <c r="F12" s="21"/>
      <c r="G12" s="17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9"/>
      <c r="E13" s="12"/>
      <c r="F13" s="21"/>
      <c r="G13" s="17"/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17">
        <v>1</v>
      </c>
      <c r="H14" s="27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17">
        <v>1</v>
      </c>
      <c r="H16" s="28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17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18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sortState ref="B7:H17">
    <sortCondition ref="E7:E17"/>
    <sortCondition ref="D7:D1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20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21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22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3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23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3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31</v>
      </c>
      <c r="C7" s="10" t="s">
        <v>24</v>
      </c>
      <c r="D7" s="23" t="s">
        <v>25</v>
      </c>
      <c r="E7" s="12">
        <v>44362</v>
      </c>
      <c r="F7" s="21" t="s">
        <v>26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27</v>
      </c>
      <c r="C8" s="10" t="s">
        <v>24</v>
      </c>
      <c r="D8" s="23" t="s">
        <v>28</v>
      </c>
      <c r="E8" s="12">
        <v>44362</v>
      </c>
      <c r="F8" s="21" t="s">
        <v>26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29</v>
      </c>
      <c r="C9" s="10" t="s">
        <v>24</v>
      </c>
      <c r="D9" s="23" t="s">
        <v>30</v>
      </c>
      <c r="E9" s="12">
        <v>44362</v>
      </c>
      <c r="F9" s="21" t="s">
        <v>26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B7" sqref="B7:F10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32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3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8" workbookViewId="0">
      <selection activeCell="H18" sqref="H1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10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53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33</v>
      </c>
      <c r="C7" s="10" t="s">
        <v>24</v>
      </c>
      <c r="D7" s="23" t="s">
        <v>34</v>
      </c>
      <c r="E7" s="12">
        <v>44417</v>
      </c>
      <c r="F7" s="21" t="s">
        <v>26</v>
      </c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 t="s">
        <v>35</v>
      </c>
      <c r="C8" s="10" t="s">
        <v>24</v>
      </c>
      <c r="D8" s="23" t="s">
        <v>36</v>
      </c>
      <c r="E8" s="12">
        <v>44417</v>
      </c>
      <c r="F8" s="21" t="s">
        <v>26</v>
      </c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 t="s">
        <v>37</v>
      </c>
      <c r="C9" s="10" t="s">
        <v>24</v>
      </c>
      <c r="D9" s="23" t="s">
        <v>38</v>
      </c>
      <c r="E9" s="12">
        <v>44417</v>
      </c>
      <c r="F9" s="21" t="s">
        <v>26</v>
      </c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39</v>
      </c>
      <c r="C10" s="10" t="s">
        <v>24</v>
      </c>
      <c r="D10" s="23" t="s">
        <v>40</v>
      </c>
      <c r="E10" s="12">
        <v>44417</v>
      </c>
      <c r="F10" s="21" t="s">
        <v>26</v>
      </c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41</v>
      </c>
      <c r="C11" s="10" t="s">
        <v>24</v>
      </c>
      <c r="D11" s="23" t="s">
        <v>42</v>
      </c>
      <c r="E11" s="12">
        <v>44417</v>
      </c>
      <c r="F11" s="21" t="s">
        <v>26</v>
      </c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43</v>
      </c>
      <c r="C12" s="10" t="s">
        <v>24</v>
      </c>
      <c r="D12" s="23" t="s">
        <v>44</v>
      </c>
      <c r="E12" s="12">
        <v>44417</v>
      </c>
      <c r="F12" s="21" t="s">
        <v>26</v>
      </c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45</v>
      </c>
      <c r="C13" s="10" t="s">
        <v>24</v>
      </c>
      <c r="D13" s="23" t="s">
        <v>46</v>
      </c>
      <c r="E13" s="12">
        <v>44417</v>
      </c>
      <c r="F13" s="21" t="s">
        <v>26</v>
      </c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47</v>
      </c>
      <c r="C14" s="10" t="s">
        <v>24</v>
      </c>
      <c r="D14" s="23" t="s">
        <v>48</v>
      </c>
      <c r="E14" s="12">
        <v>44417</v>
      </c>
      <c r="F14" s="21" t="s">
        <v>26</v>
      </c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49</v>
      </c>
      <c r="C15" s="10" t="s">
        <v>24</v>
      </c>
      <c r="D15" s="23" t="s">
        <v>50</v>
      </c>
      <c r="E15" s="12">
        <v>44417</v>
      </c>
      <c r="F15" s="21" t="s">
        <v>26</v>
      </c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 t="s">
        <v>51</v>
      </c>
      <c r="C16" s="10" t="s">
        <v>24</v>
      </c>
      <c r="D16" s="23" t="s">
        <v>52</v>
      </c>
      <c r="E16" s="12">
        <v>44417</v>
      </c>
      <c r="F16" s="21" t="s">
        <v>26</v>
      </c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 t="s">
        <v>54</v>
      </c>
      <c r="C17" s="10" t="s">
        <v>24</v>
      </c>
      <c r="D17" s="23" t="s">
        <v>55</v>
      </c>
      <c r="E17" s="12">
        <v>44431</v>
      </c>
      <c r="F17" s="21" t="s">
        <v>56</v>
      </c>
      <c r="G17" s="17">
        <v>1</v>
      </c>
      <c r="H17" s="25" t="s">
        <v>57</v>
      </c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D11" sqref="D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6" t="s">
        <v>58</v>
      </c>
      <c r="B5" s="36"/>
      <c r="C5" s="36"/>
      <c r="D5" s="36"/>
      <c r="E5" s="36"/>
      <c r="F5" s="36"/>
      <c r="G5" s="19"/>
      <c r="H5" s="19"/>
      <c r="I5" s="34" t="s">
        <v>9</v>
      </c>
      <c r="J5" s="35"/>
      <c r="K5" s="20">
        <f>SUM(K2:K4)</f>
        <v>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54</v>
      </c>
      <c r="C7" s="10" t="s">
        <v>24</v>
      </c>
      <c r="D7" s="23" t="s">
        <v>59</v>
      </c>
      <c r="E7" s="12">
        <v>44462</v>
      </c>
      <c r="F7" s="21" t="s">
        <v>60</v>
      </c>
      <c r="G7" s="17">
        <v>1</v>
      </c>
      <c r="H7" s="27" t="s">
        <v>61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6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11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9" t="s">
        <v>62</v>
      </c>
      <c r="B5" s="39"/>
      <c r="C5" s="39"/>
      <c r="D5" s="39"/>
      <c r="E5" s="39"/>
      <c r="F5" s="39"/>
      <c r="G5" s="31"/>
      <c r="H5" s="31"/>
      <c r="I5" s="34" t="s">
        <v>9</v>
      </c>
      <c r="J5" s="35"/>
      <c r="K5" s="32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22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1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9" t="s">
        <v>63</v>
      </c>
      <c r="B5" s="39"/>
      <c r="C5" s="39"/>
      <c r="D5" s="39"/>
      <c r="E5" s="39"/>
      <c r="F5" s="39"/>
      <c r="G5" s="31"/>
      <c r="H5" s="31"/>
      <c r="I5" s="34" t="s">
        <v>9</v>
      </c>
      <c r="J5" s="35"/>
      <c r="K5" s="32">
        <f>SUM(K2:K4)</f>
        <v>1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 t="s">
        <v>54</v>
      </c>
      <c r="C7" s="10" t="s">
        <v>24</v>
      </c>
      <c r="D7" s="23" t="s">
        <v>64</v>
      </c>
      <c r="E7" s="12">
        <v>44503</v>
      </c>
      <c r="F7" s="21" t="s">
        <v>65</v>
      </c>
      <c r="G7" s="17">
        <v>1</v>
      </c>
      <c r="H7" s="27" t="s">
        <v>66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22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F38" sqref="A1:F3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5703125" hidden="1" customWidth="1"/>
    <col min="8" max="8" width="29.85546875" customWidth="1"/>
  </cols>
  <sheetData>
    <row r="1" spans="1:11" ht="18" x14ac:dyDescent="0.25">
      <c r="A1" s="33" t="s">
        <v>0</v>
      </c>
      <c r="B1" s="33"/>
      <c r="C1" s="33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7" t="s">
        <v>2</v>
      </c>
      <c r="B2" s="37"/>
      <c r="C2" s="37"/>
      <c r="D2" s="6"/>
      <c r="E2" s="38" t="s">
        <v>3</v>
      </c>
      <c r="F2" s="38"/>
      <c r="G2" s="4"/>
      <c r="H2" s="4"/>
      <c r="I2" s="34" t="s">
        <v>4</v>
      </c>
      <c r="J2" s="35"/>
      <c r="K2" s="18">
        <f>SUMIF(F7:F38,"Elimination*",G7:G38)</f>
        <v>0</v>
      </c>
    </row>
    <row r="3" spans="1:11" x14ac:dyDescent="0.25">
      <c r="A3" s="38" t="s">
        <v>5</v>
      </c>
      <c r="B3" s="38"/>
      <c r="C3" s="38"/>
      <c r="D3" s="5"/>
      <c r="E3" s="38" t="s">
        <v>16</v>
      </c>
      <c r="F3" s="38"/>
      <c r="G3" s="4"/>
      <c r="H3" s="4"/>
      <c r="I3" s="34" t="s">
        <v>6</v>
      </c>
      <c r="J3" s="35"/>
      <c r="K3" s="18">
        <f>SUMIF(F7:F38,"NB*",G7:G38)</f>
        <v>0</v>
      </c>
    </row>
    <row r="4" spans="1:11" ht="18" x14ac:dyDescent="0.25">
      <c r="A4" s="33" t="s">
        <v>7</v>
      </c>
      <c r="B4" s="33"/>
      <c r="C4" s="33"/>
      <c r="D4" s="33"/>
      <c r="E4" s="33"/>
      <c r="F4" s="33"/>
      <c r="G4" s="4"/>
      <c r="H4" s="4"/>
      <c r="I4" s="34" t="s">
        <v>8</v>
      </c>
      <c r="J4" s="35"/>
      <c r="K4" s="18">
        <f>SUMIF(F7:F38,"Ve*",G7:G38)</f>
        <v>0</v>
      </c>
    </row>
    <row r="5" spans="1:11" ht="15.75" x14ac:dyDescent="0.25">
      <c r="A5" s="39" t="s">
        <v>67</v>
      </c>
      <c r="B5" s="39"/>
      <c r="C5" s="39"/>
      <c r="D5" s="39"/>
      <c r="E5" s="39"/>
      <c r="F5" s="39"/>
      <c r="G5" s="31"/>
      <c r="H5" s="31"/>
      <c r="I5" s="34" t="s">
        <v>9</v>
      </c>
      <c r="J5" s="35"/>
      <c r="K5" s="32">
        <f>SUM(K2:K4)</f>
        <v>0</v>
      </c>
    </row>
    <row r="6" spans="1:11" ht="21.6" customHeight="1" x14ac:dyDescent="0.25">
      <c r="A6" s="29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0" t="s">
        <v>17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3"/>
      <c r="E7" s="12"/>
      <c r="F7" s="21"/>
      <c r="G7" s="17">
        <v>1</v>
      </c>
      <c r="H7" s="27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0"/>
      <c r="D8" s="23"/>
      <c r="E8" s="12"/>
      <c r="F8" s="21"/>
      <c r="G8" s="17">
        <v>1</v>
      </c>
      <c r="H8" s="25"/>
      <c r="I8" s="2"/>
      <c r="J8" s="2"/>
      <c r="K8" s="1"/>
    </row>
    <row r="9" spans="1:11" ht="15" customHeight="1" x14ac:dyDescent="0.25">
      <c r="A9" s="15">
        <f t="shared" ref="A9:A38" si="0">+A8+1</f>
        <v>3</v>
      </c>
      <c r="B9" s="13"/>
      <c r="C9" s="10"/>
      <c r="D9" s="23"/>
      <c r="E9" s="12"/>
      <c r="F9" s="21"/>
      <c r="G9" s="17">
        <v>1</v>
      </c>
      <c r="H9" s="25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0"/>
      <c r="D10" s="23"/>
      <c r="E10" s="12"/>
      <c r="F10" s="21"/>
      <c r="G10" s="17">
        <v>1</v>
      </c>
      <c r="H10" s="25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0"/>
      <c r="D11" s="23"/>
      <c r="E11" s="12"/>
      <c r="F11" s="21"/>
      <c r="G11" s="17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0"/>
      <c r="D12" s="23"/>
      <c r="E12" s="12"/>
      <c r="F12" s="21"/>
      <c r="G12" s="17">
        <v>1</v>
      </c>
      <c r="H12" s="27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0"/>
      <c r="D13" s="23"/>
      <c r="E13" s="12"/>
      <c r="F13" s="21"/>
      <c r="G13" s="17">
        <v>1</v>
      </c>
      <c r="H13" s="25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0"/>
      <c r="D14" s="23"/>
      <c r="E14" s="12"/>
      <c r="F14" s="21"/>
      <c r="G14" s="17">
        <v>1</v>
      </c>
      <c r="H14" s="28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0"/>
      <c r="D15" s="23"/>
      <c r="E15" s="12"/>
      <c r="F15" s="21"/>
      <c r="G15" s="17">
        <v>1</v>
      </c>
      <c r="H15" s="28"/>
      <c r="I15" s="2"/>
      <c r="J15" s="2"/>
    </row>
    <row r="16" spans="1:11" ht="15" customHeight="1" x14ac:dyDescent="0.25">
      <c r="A16" s="15">
        <f t="shared" si="0"/>
        <v>10</v>
      </c>
      <c r="B16" s="13"/>
      <c r="C16" s="10"/>
      <c r="D16" s="23"/>
      <c r="E16" s="12"/>
      <c r="F16" s="21"/>
      <c r="G16" s="17">
        <v>1</v>
      </c>
      <c r="H16" s="27"/>
      <c r="I16" s="2"/>
      <c r="J16" s="2"/>
    </row>
    <row r="17" spans="1:10" ht="15" customHeight="1" x14ac:dyDescent="0.25">
      <c r="A17" s="15">
        <f t="shared" si="0"/>
        <v>11</v>
      </c>
      <c r="B17" s="13"/>
      <c r="C17" s="10"/>
      <c r="D17" s="23"/>
      <c r="E17" s="12"/>
      <c r="F17" s="21"/>
      <c r="G17" s="17">
        <v>1</v>
      </c>
      <c r="H17" s="25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17">
        <v>1</v>
      </c>
      <c r="H18" s="27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17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17">
        <v>1</v>
      </c>
      <c r="H20" s="27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17">
        <v>1</v>
      </c>
      <c r="H21" s="27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17">
        <v>1</v>
      </c>
      <c r="H22" s="27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17">
        <v>1</v>
      </c>
      <c r="H23" s="27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>
        <v>1</v>
      </c>
      <c r="H27" s="22"/>
      <c r="I27" s="2"/>
      <c r="J27" s="2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>
        <v>1</v>
      </c>
      <c r="H28" s="22"/>
      <c r="I28" s="2"/>
      <c r="J28" s="2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>
        <v>1</v>
      </c>
      <c r="H29" s="22"/>
      <c r="I29" s="2"/>
      <c r="J29" s="2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  <row r="36" spans="1:10" ht="15" customHeight="1" x14ac:dyDescent="0.25">
      <c r="A36" s="15">
        <f t="shared" si="0"/>
        <v>30</v>
      </c>
      <c r="B36" s="12"/>
      <c r="C36" s="10"/>
      <c r="D36" s="9"/>
      <c r="E36" s="12"/>
      <c r="F36" s="21"/>
      <c r="G36" s="17"/>
      <c r="H36" s="1"/>
      <c r="I36" s="1"/>
      <c r="J36" s="1"/>
    </row>
    <row r="37" spans="1:10" ht="15" customHeight="1" x14ac:dyDescent="0.25">
      <c r="A37" s="15">
        <f t="shared" si="0"/>
        <v>31</v>
      </c>
      <c r="B37" s="12"/>
      <c r="C37" s="10"/>
      <c r="D37" s="9"/>
      <c r="E37" s="12"/>
      <c r="F37" s="21"/>
      <c r="G37" s="17"/>
      <c r="H37" s="1"/>
      <c r="I37" s="1"/>
      <c r="J37" s="1"/>
    </row>
    <row r="38" spans="1:10" ht="15" customHeight="1" x14ac:dyDescent="0.25">
      <c r="A38" s="15">
        <f t="shared" si="0"/>
        <v>32</v>
      </c>
      <c r="B38" s="12"/>
      <c r="C38" s="10"/>
      <c r="D38" s="9"/>
      <c r="E38" s="12"/>
      <c r="F38" s="21"/>
      <c r="G38" s="17"/>
      <c r="H38" s="1"/>
      <c r="I38" s="1"/>
      <c r="J38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2020</vt:lpstr>
      <vt:lpstr>FEVRIER 2021</vt:lpstr>
      <vt:lpstr>MARS 2021</vt:lpstr>
      <vt:lpstr>AVRIL 2021</vt:lpstr>
      <vt:lpstr>MAI 2021</vt:lpstr>
      <vt:lpstr>JUIN 2021</vt:lpstr>
      <vt:lpstr>JUILLET 2021</vt:lpstr>
      <vt:lpstr>AOUT 2021</vt:lpstr>
      <vt:lpstr>SEPTEMBRE 2021</vt:lpstr>
      <vt:lpstr>OCTOBRE 2021</vt:lpstr>
      <vt:lpstr>NOVEMBRE 2021</vt:lpstr>
      <vt:lpstr>DECEMBRE 2021</vt:lpstr>
      <vt:lpstr>'AOUT 2021'!Impression_des_titres</vt:lpstr>
      <vt:lpstr>'AVRIL 2021'!Impression_des_titres</vt:lpstr>
      <vt:lpstr>'DECEMBRE 2021'!Impression_des_titres</vt:lpstr>
      <vt:lpstr>'FEVRIER 2021'!Impression_des_titres</vt:lpstr>
      <vt:lpstr>'JANVIER 2020'!Impression_des_titres</vt:lpstr>
      <vt:lpstr>'JUILLET 2021'!Impression_des_titres</vt:lpstr>
      <vt:lpstr>'JUIN 2021'!Impression_des_titres</vt:lpstr>
      <vt:lpstr>'MAI 2021'!Impression_des_titres</vt:lpstr>
      <vt:lpstr>'MARS 2021'!Impression_des_titres</vt:lpstr>
      <vt:lpstr>'NOVEMBRE 2021'!Impression_des_titres</vt:lpstr>
      <vt:lpstr>'OCTOBRE 2021'!Impression_des_titres</vt:lpstr>
      <vt:lpstr>'SEPTEMBRE 2021'!Impression_des_titres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2022-01-11T07:58:50Z</cp:lastPrinted>
  <dcterms:created xsi:type="dcterms:W3CDTF">2014-12-31T15:00:30Z</dcterms:created>
  <dcterms:modified xsi:type="dcterms:W3CDTF">2022-01-11T07:58:51Z</dcterms:modified>
</cp:coreProperties>
</file>