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1\Gestion de Stock Ouled Dheid\"/>
    </mc:Choice>
  </mc:AlternateContent>
  <bookViews>
    <workbookView xWindow="315" yWindow="195" windowWidth="6900" windowHeight="2025" firstSheet="7" activeTab="11"/>
  </bookViews>
  <sheets>
    <sheet name="Janvier 2021" sheetId="1" r:id="rId1"/>
    <sheet name="Février 2021" sheetId="2" r:id="rId2"/>
    <sheet name="Mars 2021" sheetId="3" r:id="rId3"/>
    <sheet name="Avril 2021" sheetId="4" r:id="rId4"/>
    <sheet name="Mai 2021" sheetId="5" r:id="rId5"/>
    <sheet name="Juin 2021" sheetId="6" r:id="rId6"/>
    <sheet name="Juillet 2021" sheetId="7" r:id="rId7"/>
    <sheet name="Aout 2021" sheetId="8" r:id="rId8"/>
    <sheet name="Septembre 2021" sheetId="9" r:id="rId9"/>
    <sheet name="Octobre 2021" sheetId="10" r:id="rId10"/>
    <sheet name="Novembre 2021" sheetId="11" r:id="rId11"/>
    <sheet name="Decembre 2021" sheetId="12" r:id="rId12"/>
  </sheets>
  <definedNames>
    <definedName name="_xlnm.Print_Titles" localSheetId="7">'Aout 2021'!$1:$6</definedName>
    <definedName name="_xlnm.Print_Titles" localSheetId="3">'Avril 2021'!$1:$6</definedName>
    <definedName name="_xlnm.Print_Titles" localSheetId="11">'Decembre 2021'!$1:$6</definedName>
    <definedName name="_xlnm.Print_Titles" localSheetId="1">'Février 2021'!$1:$6</definedName>
    <definedName name="_xlnm.Print_Titles" localSheetId="0">'Janvier 2021'!$1:$6</definedName>
    <definedName name="_xlnm.Print_Titles" localSheetId="6">'Juillet 2021'!$1:$6</definedName>
    <definedName name="_xlnm.Print_Titles" localSheetId="5">'Juin 2021'!$1:$6</definedName>
    <definedName name="_xlnm.Print_Titles" localSheetId="4">'Mai 2021'!$1:$6</definedName>
    <definedName name="_xlnm.Print_Titles" localSheetId="2">'Mars 2021'!$1:$6</definedName>
    <definedName name="_xlnm.Print_Titles" localSheetId="10">'Novembre 2021'!$1:$6</definedName>
    <definedName name="_xlnm.Print_Titles" localSheetId="9">'Octobre 2021'!$1:$6</definedName>
    <definedName name="_xlnm.Print_Titles" localSheetId="8">'Septembre 2021'!$1:$6</definedName>
  </definedNames>
  <calcPr calcId="152511"/>
</workbook>
</file>

<file path=xl/calcChain.xml><?xml version="1.0" encoding="utf-8"?>
<calcChain xmlns="http://schemas.openxmlformats.org/spreadsheetml/2006/main">
  <c r="A8" i="12" l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K4" i="12"/>
  <c r="K3" i="12"/>
  <c r="K2" i="12"/>
  <c r="K5" i="12" s="1"/>
  <c r="A8" i="11" l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K4" i="11"/>
  <c r="K3" i="11"/>
  <c r="K2" i="11"/>
  <c r="K5" i="11" s="1"/>
  <c r="A9" i="10" l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8" i="10"/>
  <c r="K4" i="10"/>
  <c r="K3" i="10"/>
  <c r="K5" i="10" s="1"/>
  <c r="K2" i="10"/>
  <c r="A8" i="9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K4" i="9"/>
  <c r="K3" i="9"/>
  <c r="K2" i="9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K4" i="8"/>
  <c r="K3" i="8"/>
  <c r="K2" i="8"/>
  <c r="A8" i="7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K4" i="7"/>
  <c r="K3" i="7"/>
  <c r="K2" i="7"/>
  <c r="K5" i="9" l="1"/>
  <c r="K5" i="8"/>
  <c r="K5" i="7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K4" i="6"/>
  <c r="K3" i="6"/>
  <c r="K2" i="6"/>
  <c r="K5" i="6" l="1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K4" i="5"/>
  <c r="K3" i="5"/>
  <c r="K2" i="5"/>
  <c r="K5" i="5" l="1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K4" i="4"/>
  <c r="K3" i="4"/>
  <c r="K2" i="4"/>
  <c r="K5" i="4" l="1"/>
  <c r="A8" i="3" l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K4" i="3"/>
  <c r="K3" i="3"/>
  <c r="K2" i="3"/>
  <c r="K5" i="3" s="1"/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K4" i="2"/>
  <c r="K3" i="2"/>
  <c r="K2" i="2"/>
  <c r="K5" i="2" s="1"/>
  <c r="A8" i="1" l="1"/>
  <c r="A9" i="1" s="1"/>
  <c r="A10" i="1" s="1"/>
  <c r="A11" i="1" s="1"/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K4" i="1"/>
  <c r="K3" i="1"/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K2" i="1"/>
  <c r="K5" i="1" s="1"/>
</calcChain>
</file>

<file path=xl/sharedStrings.xml><?xml version="1.0" encoding="utf-8"?>
<sst xmlns="http://schemas.openxmlformats.org/spreadsheetml/2006/main" count="447" uniqueCount="153">
  <si>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</si>
  <si>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</si>
  <si>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</si>
  <si>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</si>
  <si>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</si>
  <si>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</si>
  <si>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</si>
  <si>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</si>
  <si>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</si>
  <si>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</si>
  <si>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</si>
  <si>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</si>
  <si>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</si>
  <si>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</si>
  <si>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</si>
  <si>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</si>
  <si>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Antenne Ouled Dheid</t>
  </si>
  <si>
    <r>
      <t>Mois de Janvier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</si>
  <si>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t>BR0350</t>
  </si>
  <si>
    <t>BR0355</t>
  </si>
  <si>
    <t>15/21</t>
  </si>
  <si>
    <t>2020223479</t>
  </si>
  <si>
    <t>2020223156</t>
  </si>
  <si>
    <t>Elimination Forfait</t>
  </si>
  <si>
    <r>
      <t>Mois de Février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</si>
  <si>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t>BR0213</t>
  </si>
  <si>
    <t>BR0051</t>
  </si>
  <si>
    <t>2020223157</t>
  </si>
  <si>
    <t>2020223447</t>
  </si>
  <si>
    <t>BR</t>
  </si>
  <si>
    <t>2020223152</t>
  </si>
  <si>
    <t>NB(N°023/2021)</t>
  </si>
  <si>
    <t>Berraf Abderhamane</t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</si>
  <si>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</si>
  <si>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t>2021019665</t>
  </si>
  <si>
    <t>NB(N°294/2020)</t>
  </si>
  <si>
    <t>Boutak mustapha</t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</si>
  <si>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</si>
  <si>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t>2021020097</t>
  </si>
  <si>
    <t>Menasri nadji</t>
  </si>
  <si>
    <t>2021020096</t>
  </si>
  <si>
    <t>Boura nacera</t>
  </si>
  <si>
    <t>NB(334/2020)</t>
  </si>
  <si>
    <t>NB(075/2019)</t>
  </si>
  <si>
    <r>
      <t>Mois de Mai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</si>
  <si>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t>2021064938</t>
  </si>
  <si>
    <t>Dehili tefaha</t>
  </si>
  <si>
    <t>NB(074/2021)</t>
  </si>
  <si>
    <t>2021064517</t>
  </si>
  <si>
    <t>NB(112/2021)</t>
  </si>
  <si>
    <t>Benaissa aek</t>
  </si>
  <si>
    <r>
      <t>Mois de Juin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</si>
  <si>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r>
      <t>Mois de Juillet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</si>
  <si>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t>BR0823</t>
  </si>
  <si>
    <t>BR0849</t>
  </si>
  <si>
    <t>BR0847</t>
  </si>
  <si>
    <t>BR0846</t>
  </si>
  <si>
    <t>BR0845</t>
  </si>
  <si>
    <t>BR0843</t>
  </si>
  <si>
    <t>BR0800</t>
  </si>
  <si>
    <t>BR0814</t>
  </si>
  <si>
    <t>BR0799</t>
  </si>
  <si>
    <t>BR0798</t>
  </si>
  <si>
    <t>BR0804</t>
  </si>
  <si>
    <t>BR0810</t>
  </si>
  <si>
    <t>BR0833</t>
  </si>
  <si>
    <t>BR0809</t>
  </si>
  <si>
    <t>BR0807</t>
  </si>
  <si>
    <t>BR0821</t>
  </si>
  <si>
    <t>BR0842</t>
  </si>
  <si>
    <t>BR0832</t>
  </si>
  <si>
    <t>BR0820</t>
  </si>
  <si>
    <t>BR0822</t>
  </si>
  <si>
    <t>BR0836</t>
  </si>
  <si>
    <t>BR0831</t>
  </si>
  <si>
    <t>BR0830</t>
  </si>
  <si>
    <t>112911</t>
  </si>
  <si>
    <t>112912</t>
  </si>
  <si>
    <t>112913</t>
  </si>
  <si>
    <t>112914</t>
  </si>
  <si>
    <t>112915</t>
  </si>
  <si>
    <t>112916</t>
  </si>
  <si>
    <t>112917</t>
  </si>
  <si>
    <t>112918</t>
  </si>
  <si>
    <t>112919</t>
  </si>
  <si>
    <t>112920</t>
  </si>
  <si>
    <t>112761</t>
  </si>
  <si>
    <t>112762</t>
  </si>
  <si>
    <t>112763</t>
  </si>
  <si>
    <t>112764</t>
  </si>
  <si>
    <t>112765</t>
  </si>
  <si>
    <t>112766</t>
  </si>
  <si>
    <t>112767</t>
  </si>
  <si>
    <t>112768</t>
  </si>
  <si>
    <t>112769</t>
  </si>
  <si>
    <t>112770</t>
  </si>
  <si>
    <t>113122</t>
  </si>
  <si>
    <t>113123</t>
  </si>
  <si>
    <t>113124</t>
  </si>
  <si>
    <r>
      <t>Mois de Aout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</si>
  <si>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t>BR0848</t>
  </si>
  <si>
    <t>BR0840</t>
  </si>
  <si>
    <t>BR0841</t>
  </si>
  <si>
    <t>BR0839</t>
  </si>
  <si>
    <t>BR0808</t>
  </si>
  <si>
    <t>BR0827</t>
  </si>
  <si>
    <t>BR0811</t>
  </si>
  <si>
    <t>BR0816</t>
  </si>
  <si>
    <t>BR0813</t>
  </si>
  <si>
    <t>BR0802</t>
  </si>
  <si>
    <t>BR0803</t>
  </si>
  <si>
    <t>BR0812</t>
  </si>
  <si>
    <t>BR0837</t>
  </si>
  <si>
    <t>BR0838</t>
  </si>
  <si>
    <t>BR0819</t>
  </si>
  <si>
    <t>BR0815</t>
  </si>
  <si>
    <t>BR0805</t>
  </si>
  <si>
    <t>112786</t>
  </si>
  <si>
    <t>112787</t>
  </si>
  <si>
    <t>112788</t>
  </si>
  <si>
    <t>112789</t>
  </si>
  <si>
    <t>113125</t>
  </si>
  <si>
    <t>113126</t>
  </si>
  <si>
    <t>113127</t>
  </si>
  <si>
    <t>113128</t>
  </si>
  <si>
    <t>113129</t>
  </si>
  <si>
    <t>113130</t>
  </si>
  <si>
    <t>112781</t>
  </si>
  <si>
    <t>112782</t>
  </si>
  <si>
    <t>112783</t>
  </si>
  <si>
    <t>112784</t>
  </si>
  <si>
    <t>112785</t>
  </si>
  <si>
    <t>112790</t>
  </si>
  <si>
    <t>113121</t>
  </si>
  <si>
    <t>112925</t>
  </si>
  <si>
    <t>NB(N°141/2021)</t>
  </si>
  <si>
    <t>Boukhit lakhdar</t>
  </si>
  <si>
    <r>
      <t>Mois de Septembre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</si>
  <si>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r>
      <t>Mois de Octobre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</si>
  <si>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t>2021165635</t>
  </si>
  <si>
    <t>NB(N°11/2020)</t>
  </si>
  <si>
    <t>Abdouche cherif</t>
  </si>
  <si>
    <t>2021165636</t>
  </si>
  <si>
    <t>NB(N°109/2018)</t>
  </si>
  <si>
    <t>Abba lakhdar</t>
  </si>
  <si>
    <t>2021165638</t>
  </si>
  <si>
    <t>NB(N°208/2020)</t>
  </si>
  <si>
    <t>Barraf ahmed</t>
  </si>
  <si>
    <t>2021165640</t>
  </si>
  <si>
    <t>NB(N°220/2020)</t>
  </si>
  <si>
    <t>Barraf rabah</t>
  </si>
  <si>
    <r>
      <t>Mois de Novembre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</si>
  <si>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r>
      <t>Mois de Décembre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</si>
</sst>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  <xf numFmtId="0" fontId="1" fillId="0" borderId="0"/>
  </cellStyleXfs>
  <cellXfs count="41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9" fillId="0" borderId="1" xfId="1" applyFont="1" applyFill="1" applyBorder="1" applyAlignment="1">
      <alignment horizontal="right" vertical="center" wrapText="1"/>
    </xf>
    <xf numFmtId="0" fontId="1" fillId="0" borderId="0" xfId="1" applyFont="1" applyFill="1" applyAlignment="1">
      <alignment vertical="center" wrapText="1"/>
    </xf>
    <xf numFmtId="0" fontId="8" fillId="0" borderId="0" xfId="1" applyFont="1" applyFill="1" applyAlignment="1">
      <alignment vertical="center" wrapText="1"/>
    </xf>
    <xf numFmtId="49" fontId="8" fillId="0" borderId="0" xfId="1" applyNumberFormat="1" applyFont="1" applyFill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0" fontId="9" fillId="0" borderId="0" xfId="1" applyFont="1" applyAlignment="1">
      <alignment horizontal="left" vertical="center" wrapText="1"/>
    </xf>
    <xf numFmtId="0" fontId="1" fillId="0" borderId="0" xfId="4" applyAlignment="1">
      <alignment vertical="center"/>
    </xf>
    <xf numFmtId="0" fontId="10" fillId="2" borderId="1" xfId="4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5" fillId="0" borderId="3" xfId="4" applyFont="1" applyBorder="1" applyAlignment="1">
      <alignment horizontal="center" vertical="center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8</xdr:row>
      <xdr:rowOff>0</xdr:rowOff>
    </xdr:from>
    <xdr:to>
      <xdr:col>5</xdr:col>
      <xdr:colOff>1295400</xdr:colOff>
      <xdr:row>34</xdr:row>
      <xdr:rowOff>180975</xdr:rowOff>
    </xdr:to>
    <xdr:cxnSp macro="">
      <xdr:nvCxnSpPr>
        <xdr:cNvPr id="3" name="Connecteur droit 2"/>
        <xdr:cNvCxnSpPr/>
      </xdr:nvCxnSpPr>
      <xdr:spPr>
        <a:xfrm flipH="1">
          <a:off x="600076" y="1695450"/>
          <a:ext cx="4533899" cy="51339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9527</xdr:colOff>
      <xdr:row>9</xdr:row>
      <xdr:rowOff>19050</xdr:rowOff>
    </xdr:from>
    <xdr:to>
      <xdr:col>7</xdr:col>
      <xdr:colOff>9525</xdr:colOff>
      <xdr:row>34</xdr:row>
      <xdr:rowOff>180975</xdr:rowOff>
    </xdr:to>
    <xdr:cxnSp macro="">
      <xdr:nvCxnSpPr>
        <xdr:cNvPr id="2" name="Connecteur droit 1"/>
        <xdr:cNvCxnSpPr/>
      </xdr:nvCxnSpPr>
      <xdr:spPr>
        <a:xfrm flipH="1">
          <a:off x="600077" y="1905000"/>
          <a:ext cx="4562473" cy="4924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19050</xdr:rowOff>
    </xdr:from>
    <xdr:to>
      <xdr:col>7</xdr:col>
      <xdr:colOff>9526</xdr:colOff>
      <xdr:row>42</xdr:row>
      <xdr:rowOff>171450</xdr:rowOff>
    </xdr:to>
    <xdr:cxnSp macro="">
      <xdr:nvCxnSpPr>
        <xdr:cNvPr id="2" name="Connecteur droit 1"/>
        <xdr:cNvCxnSpPr/>
      </xdr:nvCxnSpPr>
      <xdr:spPr>
        <a:xfrm flipH="1">
          <a:off x="590550" y="1905000"/>
          <a:ext cx="4572001" cy="6438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7</xdr:row>
      <xdr:rowOff>180975</xdr:rowOff>
    </xdr:from>
    <xdr:to>
      <xdr:col>5</xdr:col>
      <xdr:colOff>1295400</xdr:colOff>
      <xdr:row>42</xdr:row>
      <xdr:rowOff>171450</xdr:rowOff>
    </xdr:to>
    <xdr:cxnSp macro="">
      <xdr:nvCxnSpPr>
        <xdr:cNvPr id="2" name="Connecteur droit 1"/>
        <xdr:cNvCxnSpPr/>
      </xdr:nvCxnSpPr>
      <xdr:spPr>
        <a:xfrm flipH="1">
          <a:off x="590551" y="1685925"/>
          <a:ext cx="4543424" cy="66579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7</xdr:row>
      <xdr:rowOff>28575</xdr:rowOff>
    </xdr:from>
    <xdr:to>
      <xdr:col>5</xdr:col>
      <xdr:colOff>1285875</xdr:colOff>
      <xdr:row>42</xdr:row>
      <xdr:rowOff>171450</xdr:rowOff>
    </xdr:to>
    <xdr:cxnSp macro="">
      <xdr:nvCxnSpPr>
        <xdr:cNvPr id="2" name="Connecteur droit 1"/>
        <xdr:cNvCxnSpPr/>
      </xdr:nvCxnSpPr>
      <xdr:spPr>
        <a:xfrm flipH="1">
          <a:off x="590551" y="1533525"/>
          <a:ext cx="4533899" cy="6810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7</xdr:row>
      <xdr:rowOff>28575</xdr:rowOff>
    </xdr:from>
    <xdr:to>
      <xdr:col>5</xdr:col>
      <xdr:colOff>1285875</xdr:colOff>
      <xdr:row>42</xdr:row>
      <xdr:rowOff>171450</xdr:rowOff>
    </xdr:to>
    <xdr:cxnSp macro="">
      <xdr:nvCxnSpPr>
        <xdr:cNvPr id="2" name="Connecteur droit 1"/>
        <xdr:cNvCxnSpPr/>
      </xdr:nvCxnSpPr>
      <xdr:spPr>
        <a:xfrm flipH="1">
          <a:off x="590551" y="1533525"/>
          <a:ext cx="4533899" cy="6810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</xdr:colOff>
      <xdr:row>29</xdr:row>
      <xdr:rowOff>7619</xdr:rowOff>
    </xdr:from>
    <xdr:to>
      <xdr:col>7</xdr:col>
      <xdr:colOff>15240</xdr:colOff>
      <xdr:row>42</xdr:row>
      <xdr:rowOff>171450</xdr:rowOff>
    </xdr:to>
    <xdr:cxnSp macro="">
      <xdr:nvCxnSpPr>
        <xdr:cNvPr id="2" name="Connecteur droit 1"/>
        <xdr:cNvCxnSpPr/>
      </xdr:nvCxnSpPr>
      <xdr:spPr>
        <a:xfrm rot="10800000" flipV="1">
          <a:off x="609602" y="5684519"/>
          <a:ext cx="4709158" cy="25869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</xdr:colOff>
      <xdr:row>23</xdr:row>
      <xdr:rowOff>0</xdr:rowOff>
    </xdr:from>
    <xdr:to>
      <xdr:col>6</xdr:col>
      <xdr:colOff>0</xdr:colOff>
      <xdr:row>42</xdr:row>
      <xdr:rowOff>171450</xdr:rowOff>
    </xdr:to>
    <xdr:cxnSp macro="">
      <xdr:nvCxnSpPr>
        <xdr:cNvPr id="2" name="Connecteur droit 1"/>
        <xdr:cNvCxnSpPr/>
      </xdr:nvCxnSpPr>
      <xdr:spPr>
        <a:xfrm rot="10800000" flipV="1">
          <a:off x="609602" y="4533900"/>
          <a:ext cx="4693918" cy="37376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</xdr:colOff>
      <xdr:row>7</xdr:row>
      <xdr:rowOff>47624</xdr:rowOff>
    </xdr:from>
    <xdr:to>
      <xdr:col>5</xdr:col>
      <xdr:colOff>1295401</xdr:colOff>
      <xdr:row>42</xdr:row>
      <xdr:rowOff>171449</xdr:rowOff>
    </xdr:to>
    <xdr:cxnSp macro="">
      <xdr:nvCxnSpPr>
        <xdr:cNvPr id="2" name="Connecteur droit 1"/>
        <xdr:cNvCxnSpPr/>
      </xdr:nvCxnSpPr>
      <xdr:spPr>
        <a:xfrm rot="5400000">
          <a:off x="-533398" y="2676526"/>
          <a:ext cx="6791325" cy="454342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10</xdr:row>
      <xdr:rowOff>9525</xdr:rowOff>
    </xdr:from>
    <xdr:to>
      <xdr:col>5</xdr:col>
      <xdr:colOff>1285875</xdr:colOff>
      <xdr:row>40</xdr:row>
      <xdr:rowOff>161925</xdr:rowOff>
    </xdr:to>
    <xdr:cxnSp macro="">
      <xdr:nvCxnSpPr>
        <xdr:cNvPr id="2" name="Connecteur droit 1"/>
        <xdr:cNvCxnSpPr/>
      </xdr:nvCxnSpPr>
      <xdr:spPr>
        <a:xfrm flipH="1">
          <a:off x="561975" y="2085975"/>
          <a:ext cx="4562475" cy="5867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6</xdr:row>
      <xdr:rowOff>28575</xdr:rowOff>
    </xdr:from>
    <xdr:to>
      <xdr:col>5</xdr:col>
      <xdr:colOff>1285875</xdr:colOff>
      <xdr:row>42</xdr:row>
      <xdr:rowOff>161925</xdr:rowOff>
    </xdr:to>
    <xdr:cxnSp macro="">
      <xdr:nvCxnSpPr>
        <xdr:cNvPr id="2" name="Connecteur droit 1"/>
        <xdr:cNvCxnSpPr/>
      </xdr:nvCxnSpPr>
      <xdr:spPr>
        <a:xfrm flipH="1">
          <a:off x="619125" y="1343025"/>
          <a:ext cx="4505325" cy="6991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6</xdr:row>
      <xdr:rowOff>28575</xdr:rowOff>
    </xdr:from>
    <xdr:to>
      <xdr:col>5</xdr:col>
      <xdr:colOff>1285875</xdr:colOff>
      <xdr:row>42</xdr:row>
      <xdr:rowOff>161925</xdr:rowOff>
    </xdr:to>
    <xdr:cxnSp macro="">
      <xdr:nvCxnSpPr>
        <xdr:cNvPr id="2" name="Connecteur droit 1"/>
        <xdr:cNvCxnSpPr/>
      </xdr:nvCxnSpPr>
      <xdr:spPr>
        <a:xfrm flipH="1">
          <a:off x="619125" y="1343025"/>
          <a:ext cx="4505325" cy="6991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C12" sqref="C12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4" t="s">
        <v>0</v>
      </c>
      <c r="B1" s="34"/>
      <c r="C1" s="3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8" t="s">
        <v>2</v>
      </c>
      <c r="B2" s="38"/>
      <c r="C2" s="38"/>
      <c r="D2" s="6"/>
      <c r="E2" s="39" t="s">
        <v>3</v>
      </c>
      <c r="F2" s="39"/>
      <c r="G2" s="4"/>
      <c r="H2" s="4"/>
      <c r="I2" s="35" t="s">
        <v>4</v>
      </c>
      <c r="J2" s="36"/>
      <c r="K2" s="18">
        <f>SUMIF(F7:F35,"Elimination*",G7:G35)</f>
        <v>2</v>
      </c>
    </row>
    <row r="3" spans="1:11" x14ac:dyDescent="0.25">
      <c r="A3" s="39" t="s">
        <v>5</v>
      </c>
      <c r="B3" s="39"/>
      <c r="C3" s="39"/>
      <c r="D3" s="5"/>
      <c r="E3" s="39" t="s">
        <v>16</v>
      </c>
      <c r="F3" s="39"/>
      <c r="G3" s="4"/>
      <c r="H3" s="4"/>
      <c r="I3" s="35" t="s">
        <v>6</v>
      </c>
      <c r="J3" s="36"/>
      <c r="K3" s="18">
        <f>SUMIF(F7:F35,"NB*",G7:G35)</f>
        <v>0</v>
      </c>
    </row>
    <row r="4" spans="1:11" ht="18" x14ac:dyDescent="0.25">
      <c r="A4" s="34" t="s">
        <v>7</v>
      </c>
      <c r="B4" s="34"/>
      <c r="C4" s="34"/>
      <c r="D4" s="34"/>
      <c r="E4" s="34"/>
      <c r="F4" s="34"/>
      <c r="G4" s="4"/>
      <c r="H4" s="4"/>
      <c r="I4" s="35" t="s">
        <v>8</v>
      </c>
      <c r="J4" s="36"/>
      <c r="K4" s="18">
        <f>SUMIF(F7:F35,"Ve*",G7:G35)</f>
        <v>0</v>
      </c>
    </row>
    <row r="5" spans="1:11" ht="15.75" x14ac:dyDescent="0.25">
      <c r="A5" s="37" t="s">
        <v>17</v>
      </c>
      <c r="B5" s="37"/>
      <c r="C5" s="37"/>
      <c r="D5" s="37"/>
      <c r="E5" s="37"/>
      <c r="F5" s="37"/>
      <c r="G5" s="19"/>
      <c r="H5" s="19"/>
      <c r="I5" s="35" t="s">
        <v>9</v>
      </c>
      <c r="J5" s="36"/>
      <c r="K5" s="20">
        <f>SUM(K2:K4)</f>
        <v>2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18</v>
      </c>
      <c r="C7" s="10" t="s">
        <v>20</v>
      </c>
      <c r="D7" s="9" t="s">
        <v>21</v>
      </c>
      <c r="E7" s="12">
        <v>44227</v>
      </c>
      <c r="F7" s="21" t="s">
        <v>23</v>
      </c>
      <c r="G7" s="17">
        <v>1</v>
      </c>
      <c r="H7" s="31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19</v>
      </c>
      <c r="C8" s="13" t="s">
        <v>20</v>
      </c>
      <c r="D8" s="23" t="s">
        <v>22</v>
      </c>
      <c r="E8" s="12">
        <v>44227</v>
      </c>
      <c r="F8" s="21" t="s">
        <v>23</v>
      </c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/>
      <c r="C9" s="13"/>
      <c r="D9" s="23"/>
      <c r="E9" s="12"/>
      <c r="F9" s="24"/>
      <c r="G9" s="17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3"/>
      <c r="D10" s="23"/>
      <c r="E10" s="12"/>
      <c r="F10" s="24"/>
      <c r="G10" s="25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3"/>
      <c r="D11" s="23"/>
      <c r="E11" s="12"/>
      <c r="F11" s="24"/>
      <c r="G11" s="17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3"/>
      <c r="D12" s="23"/>
      <c r="E12" s="12"/>
      <c r="F12" s="24"/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3"/>
      <c r="D13" s="23"/>
      <c r="E13" s="12"/>
      <c r="F13" s="24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</sheetData>
  <sortState ref="B27:F31">
    <sortCondition ref="C27:C31"/>
  </sortState>
  <mergeCells count="11">
    <mergeCell ref="A4:F4"/>
    <mergeCell ref="I4:J4"/>
    <mergeCell ref="A5:F5"/>
    <mergeCell ref="I5:J5"/>
    <mergeCell ref="A1:C1"/>
    <mergeCell ref="A2:C2"/>
    <mergeCell ref="I2:J2"/>
    <mergeCell ref="A3:C3"/>
    <mergeCell ref="I3:J3"/>
    <mergeCell ref="E2:F2"/>
    <mergeCell ref="E3:F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F7" sqref="F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5.140625" hidden="1" customWidth="1"/>
    <col min="8" max="8" width="29.85546875" customWidth="1"/>
  </cols>
  <sheetData>
    <row r="1" spans="1:11" ht="18" x14ac:dyDescent="0.25">
      <c r="A1" s="34" t="s">
        <v>0</v>
      </c>
      <c r="B1" s="34"/>
      <c r="C1" s="3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8" t="s">
        <v>2</v>
      </c>
      <c r="B2" s="38"/>
      <c r="C2" s="38"/>
      <c r="D2" s="6"/>
      <c r="E2" s="39" t="s">
        <v>3</v>
      </c>
      <c r="F2" s="39"/>
      <c r="G2" s="4"/>
      <c r="H2" s="4"/>
      <c r="I2" s="35" t="s">
        <v>4</v>
      </c>
      <c r="J2" s="36"/>
      <c r="K2" s="18">
        <f>SUMIF(F7:F35,"Elimination*",G7:G35)</f>
        <v>2</v>
      </c>
    </row>
    <row r="3" spans="1:11" x14ac:dyDescent="0.25">
      <c r="A3" s="39" t="s">
        <v>5</v>
      </c>
      <c r="B3" s="39"/>
      <c r="C3" s="39"/>
      <c r="D3" s="5"/>
      <c r="E3" s="39" t="s">
        <v>16</v>
      </c>
      <c r="F3" s="39"/>
      <c r="G3" s="4"/>
      <c r="H3" s="4"/>
      <c r="I3" s="35" t="s">
        <v>6</v>
      </c>
      <c r="J3" s="36"/>
      <c r="K3" s="18">
        <f>SUMIF(F7:F35,"NB*",G7:G35)</f>
        <v>1</v>
      </c>
    </row>
    <row r="4" spans="1:11" ht="18" x14ac:dyDescent="0.25">
      <c r="A4" s="34" t="s">
        <v>7</v>
      </c>
      <c r="B4" s="34"/>
      <c r="C4" s="34"/>
      <c r="D4" s="34"/>
      <c r="E4" s="34"/>
      <c r="F4" s="34"/>
      <c r="G4" s="4"/>
      <c r="H4" s="4"/>
      <c r="I4" s="35" t="s">
        <v>8</v>
      </c>
      <c r="J4" s="36"/>
      <c r="K4" s="18">
        <f>SUMIF(F7:F35,"Ve*",G7:G35)</f>
        <v>0</v>
      </c>
    </row>
    <row r="5" spans="1:11" ht="15.75" x14ac:dyDescent="0.25">
      <c r="A5" s="37" t="s">
        <v>24</v>
      </c>
      <c r="B5" s="37"/>
      <c r="C5" s="37"/>
      <c r="D5" s="37"/>
      <c r="E5" s="37"/>
      <c r="F5" s="37"/>
      <c r="G5" s="19"/>
      <c r="H5" s="19"/>
      <c r="I5" s="35" t="s">
        <v>9</v>
      </c>
      <c r="J5" s="36"/>
      <c r="K5" s="20">
        <f>SUM(K2:K4)</f>
        <v>3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25</v>
      </c>
      <c r="C7" s="10" t="s">
        <v>20</v>
      </c>
      <c r="D7" s="9" t="s">
        <v>27</v>
      </c>
      <c r="E7" s="12">
        <v>44228</v>
      </c>
      <c r="F7" s="21" t="s">
        <v>23</v>
      </c>
      <c r="G7" s="17">
        <v>1</v>
      </c>
      <c r="H7" s="31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26</v>
      </c>
      <c r="C8" s="13" t="s">
        <v>20</v>
      </c>
      <c r="D8" s="23" t="s">
        <v>28</v>
      </c>
      <c r="E8" s="12">
        <v>44228</v>
      </c>
      <c r="F8" s="21" t="s">
        <v>23</v>
      </c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 t="s">
        <v>29</v>
      </c>
      <c r="C9" s="13" t="s">
        <v>20</v>
      </c>
      <c r="D9" s="23" t="s">
        <v>30</v>
      </c>
      <c r="E9" s="12">
        <v>44235</v>
      </c>
      <c r="F9" s="24" t="s">
        <v>31</v>
      </c>
      <c r="G9" s="25">
        <v>1</v>
      </c>
      <c r="H9" s="26" t="s">
        <v>32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3"/>
      <c r="D10" s="23"/>
      <c r="E10" s="12"/>
      <c r="F10" s="24"/>
      <c r="G10" s="25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3"/>
      <c r="D11" s="23"/>
      <c r="E11" s="12"/>
      <c r="F11" s="24"/>
      <c r="G11" s="25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3"/>
      <c r="D12" s="23"/>
      <c r="E12" s="12"/>
      <c r="F12" s="24"/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3"/>
      <c r="D13" s="23"/>
      <c r="E13" s="12"/>
      <c r="F13" s="24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25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25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>
      <selection activeCell="D15" sqref="D15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5.140625" hidden="1" customWidth="1"/>
    <col min="8" max="8" width="29.85546875" customWidth="1"/>
  </cols>
  <sheetData>
    <row r="1" spans="1:11" ht="18" x14ac:dyDescent="0.25">
      <c r="A1" s="34" t="s">
        <v>0</v>
      </c>
      <c r="B1" s="34"/>
      <c r="C1" s="3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8" t="s">
        <v>2</v>
      </c>
      <c r="B2" s="38"/>
      <c r="C2" s="38"/>
      <c r="D2" s="6"/>
      <c r="E2" s="39" t="s">
        <v>3</v>
      </c>
      <c r="F2" s="39"/>
      <c r="G2" s="4"/>
      <c r="H2" s="4"/>
      <c r="I2" s="35" t="s">
        <v>4</v>
      </c>
      <c r="J2" s="36"/>
      <c r="K2" s="18">
        <f>SUMIF(F7:F35,"Elimination*",G7:G35)</f>
        <v>0</v>
      </c>
    </row>
    <row r="3" spans="1:11" x14ac:dyDescent="0.25">
      <c r="A3" s="39" t="s">
        <v>5</v>
      </c>
      <c r="B3" s="39"/>
      <c r="C3" s="39"/>
      <c r="D3" s="5"/>
      <c r="E3" s="39" t="s">
        <v>16</v>
      </c>
      <c r="F3" s="39"/>
      <c r="G3" s="4"/>
      <c r="H3" s="4"/>
      <c r="I3" s="35" t="s">
        <v>6</v>
      </c>
      <c r="J3" s="36"/>
      <c r="K3" s="18">
        <f>SUMIF(F7:F35,"NB*",G7:G35)</f>
        <v>1</v>
      </c>
    </row>
    <row r="4" spans="1:11" ht="18" x14ac:dyDescent="0.25">
      <c r="A4" s="34" t="s">
        <v>7</v>
      </c>
      <c r="B4" s="34"/>
      <c r="C4" s="34"/>
      <c r="D4" s="34"/>
      <c r="E4" s="34"/>
      <c r="F4" s="34"/>
      <c r="G4" s="4"/>
      <c r="H4" s="4"/>
      <c r="I4" s="35" t="s">
        <v>8</v>
      </c>
      <c r="J4" s="36"/>
      <c r="K4" s="18">
        <f>SUMIF(F7:F35,"Ve*",G7:G35)</f>
        <v>0</v>
      </c>
    </row>
    <row r="5" spans="1:11" ht="15.75" x14ac:dyDescent="0.25">
      <c r="A5" s="37" t="s">
        <v>33</v>
      </c>
      <c r="B5" s="37"/>
      <c r="C5" s="37"/>
      <c r="D5" s="37"/>
      <c r="E5" s="37"/>
      <c r="F5" s="37"/>
      <c r="G5" s="19"/>
      <c r="H5" s="19"/>
      <c r="I5" s="35" t="s">
        <v>9</v>
      </c>
      <c r="J5" s="36"/>
      <c r="K5" s="20">
        <f>SUM(K2:K4)</f>
        <v>1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29</v>
      </c>
      <c r="C7" s="10" t="s">
        <v>20</v>
      </c>
      <c r="D7" s="9" t="s">
        <v>34</v>
      </c>
      <c r="E7" s="12">
        <v>44262</v>
      </c>
      <c r="F7" s="21" t="s">
        <v>35</v>
      </c>
      <c r="G7" s="17">
        <v>1</v>
      </c>
      <c r="H7" s="31" t="s">
        <v>36</v>
      </c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3"/>
      <c r="D8" s="23"/>
      <c r="E8" s="12"/>
      <c r="F8" s="21"/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43" si="0">+A8+1</f>
        <v>3</v>
      </c>
      <c r="B9" s="13"/>
      <c r="C9" s="13"/>
      <c r="D9" s="23"/>
      <c r="E9" s="12"/>
      <c r="F9" s="24"/>
      <c r="G9" s="25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3"/>
      <c r="D10" s="23"/>
      <c r="E10" s="12"/>
      <c r="F10" s="24"/>
      <c r="G10" s="25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3"/>
      <c r="D11" s="23"/>
      <c r="E11" s="12"/>
      <c r="F11" s="24"/>
      <c r="G11" s="25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3"/>
      <c r="D12" s="23"/>
      <c r="E12" s="12"/>
      <c r="F12" s="24"/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3"/>
      <c r="D13" s="23"/>
      <c r="E13" s="12"/>
      <c r="F13" s="24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25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25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>
      <selection activeCell="F43" sqref="A1:F43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5.140625" hidden="1" customWidth="1"/>
    <col min="8" max="8" width="29.85546875" customWidth="1"/>
  </cols>
  <sheetData>
    <row r="1" spans="1:11" ht="18" x14ac:dyDescent="0.25">
      <c r="A1" s="34" t="s">
        <v>0</v>
      </c>
      <c r="B1" s="34"/>
      <c r="C1" s="3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8" t="s">
        <v>2</v>
      </c>
      <c r="B2" s="38"/>
      <c r="C2" s="38"/>
      <c r="D2" s="6"/>
      <c r="E2" s="39" t="s">
        <v>3</v>
      </c>
      <c r="F2" s="39"/>
      <c r="G2" s="4"/>
      <c r="H2" s="4"/>
      <c r="I2" s="35" t="s">
        <v>4</v>
      </c>
      <c r="J2" s="36"/>
      <c r="K2" s="18">
        <f>SUMIF(F7:F35,"Elimination*",G7:G35)</f>
        <v>0</v>
      </c>
    </row>
    <row r="3" spans="1:11" x14ac:dyDescent="0.25">
      <c r="A3" s="39" t="s">
        <v>5</v>
      </c>
      <c r="B3" s="39"/>
      <c r="C3" s="39"/>
      <c r="D3" s="5"/>
      <c r="E3" s="39" t="s">
        <v>16</v>
      </c>
      <c r="F3" s="39"/>
      <c r="G3" s="4"/>
      <c r="H3" s="4"/>
      <c r="I3" s="35" t="s">
        <v>6</v>
      </c>
      <c r="J3" s="36"/>
      <c r="K3" s="18">
        <f>SUMIF(F7:F35,"NB*",G7:G35)</f>
        <v>2</v>
      </c>
    </row>
    <row r="4" spans="1:11" ht="18" x14ac:dyDescent="0.25">
      <c r="A4" s="34" t="s">
        <v>7</v>
      </c>
      <c r="B4" s="34"/>
      <c r="C4" s="34"/>
      <c r="D4" s="34"/>
      <c r="E4" s="34"/>
      <c r="F4" s="34"/>
      <c r="G4" s="4"/>
      <c r="H4" s="4"/>
      <c r="I4" s="35" t="s">
        <v>8</v>
      </c>
      <c r="J4" s="36"/>
      <c r="K4" s="18">
        <f>SUMIF(F7:F35,"Ve*",G7:G35)</f>
        <v>0</v>
      </c>
    </row>
    <row r="5" spans="1:11" ht="15.75" x14ac:dyDescent="0.25">
      <c r="A5" s="37" t="s">
        <v>37</v>
      </c>
      <c r="B5" s="37"/>
      <c r="C5" s="37"/>
      <c r="D5" s="37"/>
      <c r="E5" s="37"/>
      <c r="F5" s="37"/>
      <c r="G5" s="19"/>
      <c r="H5" s="19"/>
      <c r="I5" s="35" t="s">
        <v>9</v>
      </c>
      <c r="J5" s="36"/>
      <c r="K5" s="20">
        <f>SUM(K2:K4)</f>
        <v>2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29</v>
      </c>
      <c r="C7" s="10" t="s">
        <v>20</v>
      </c>
      <c r="D7" s="23" t="s">
        <v>38</v>
      </c>
      <c r="E7" s="12">
        <v>44292</v>
      </c>
      <c r="F7" s="21" t="s">
        <v>42</v>
      </c>
      <c r="G7" s="17">
        <v>1</v>
      </c>
      <c r="H7" s="31" t="s">
        <v>39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29</v>
      </c>
      <c r="C8" s="10" t="s">
        <v>20</v>
      </c>
      <c r="D8" s="23" t="s">
        <v>40</v>
      </c>
      <c r="E8" s="12">
        <v>44299</v>
      </c>
      <c r="F8" s="21" t="s">
        <v>43</v>
      </c>
      <c r="G8" s="25">
        <v>1</v>
      </c>
      <c r="H8" s="26" t="s">
        <v>41</v>
      </c>
      <c r="I8" s="2"/>
      <c r="J8" s="2"/>
      <c r="K8" s="1"/>
    </row>
    <row r="9" spans="1:11" ht="15" customHeight="1" x14ac:dyDescent="0.25">
      <c r="A9" s="15">
        <f t="shared" ref="A9:A43" si="0">+A8+1</f>
        <v>3</v>
      </c>
      <c r="B9" s="13"/>
      <c r="C9" s="13"/>
      <c r="D9" s="23"/>
      <c r="E9" s="12"/>
      <c r="F9" s="24"/>
      <c r="G9" s="25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3"/>
      <c r="D10" s="23"/>
      <c r="E10" s="12"/>
      <c r="F10" s="24"/>
      <c r="G10" s="25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3"/>
      <c r="D11" s="23"/>
      <c r="E11" s="12"/>
      <c r="F11" s="24"/>
      <c r="G11" s="25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3"/>
      <c r="D12" s="23"/>
      <c r="E12" s="12"/>
      <c r="F12" s="24"/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3"/>
      <c r="D13" s="23"/>
      <c r="E13" s="12"/>
      <c r="F13" s="24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25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25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>
      <selection activeCell="B7" sqref="B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5.140625" hidden="1" customWidth="1"/>
    <col min="8" max="8" width="29.85546875" customWidth="1"/>
  </cols>
  <sheetData>
    <row r="1" spans="1:11" ht="18" x14ac:dyDescent="0.25">
      <c r="A1" s="34" t="s">
        <v>0</v>
      </c>
      <c r="B1" s="34"/>
      <c r="C1" s="3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8" t="s">
        <v>2</v>
      </c>
      <c r="B2" s="38"/>
      <c r="C2" s="38"/>
      <c r="D2" s="6"/>
      <c r="E2" s="39" t="s">
        <v>3</v>
      </c>
      <c r="F2" s="39"/>
      <c r="G2" s="4"/>
      <c r="H2" s="4"/>
      <c r="I2" s="35" t="s">
        <v>4</v>
      </c>
      <c r="J2" s="36"/>
      <c r="K2" s="18">
        <f>SUMIF(F7:F35,"Elimination*",G7:G35)</f>
        <v>0</v>
      </c>
    </row>
    <row r="3" spans="1:11" x14ac:dyDescent="0.25">
      <c r="A3" s="39" t="s">
        <v>5</v>
      </c>
      <c r="B3" s="39"/>
      <c r="C3" s="39"/>
      <c r="D3" s="5"/>
      <c r="E3" s="39" t="s">
        <v>16</v>
      </c>
      <c r="F3" s="39"/>
      <c r="G3" s="4"/>
      <c r="H3" s="4"/>
      <c r="I3" s="35" t="s">
        <v>6</v>
      </c>
      <c r="J3" s="36"/>
      <c r="K3" s="18">
        <f>SUMIF(F7:F35,"NB*",G7:G35)</f>
        <v>1</v>
      </c>
    </row>
    <row r="4" spans="1:11" ht="18" x14ac:dyDescent="0.25">
      <c r="A4" s="34" t="s">
        <v>7</v>
      </c>
      <c r="B4" s="34"/>
      <c r="C4" s="34"/>
      <c r="D4" s="34"/>
      <c r="E4" s="34"/>
      <c r="F4" s="34"/>
      <c r="G4" s="4"/>
      <c r="H4" s="4"/>
      <c r="I4" s="35" t="s">
        <v>8</v>
      </c>
      <c r="J4" s="36"/>
      <c r="K4" s="18">
        <f>SUMIF(F7:F35,"Ve*",G7:G35)</f>
        <v>0</v>
      </c>
    </row>
    <row r="5" spans="1:11" ht="15.75" x14ac:dyDescent="0.25">
      <c r="A5" s="37" t="s">
        <v>44</v>
      </c>
      <c r="B5" s="37"/>
      <c r="C5" s="37"/>
      <c r="D5" s="37"/>
      <c r="E5" s="37"/>
      <c r="F5" s="37"/>
      <c r="G5" s="19"/>
      <c r="H5" s="19"/>
      <c r="I5" s="35" t="s">
        <v>9</v>
      </c>
      <c r="J5" s="36"/>
      <c r="K5" s="20">
        <f>SUM(K2:K4)</f>
        <v>1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29</v>
      </c>
      <c r="C7" s="10" t="s">
        <v>20</v>
      </c>
      <c r="D7" s="23" t="s">
        <v>45</v>
      </c>
      <c r="E7" s="12">
        <v>44339</v>
      </c>
      <c r="F7" s="21" t="s">
        <v>47</v>
      </c>
      <c r="G7" s="17">
        <v>1</v>
      </c>
      <c r="H7" s="31" t="s">
        <v>46</v>
      </c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43" si="0">+A8+1</f>
        <v>3</v>
      </c>
      <c r="B9" s="13"/>
      <c r="C9" s="13"/>
      <c r="D9" s="23"/>
      <c r="E9" s="12"/>
      <c r="F9" s="24"/>
      <c r="G9" s="25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3"/>
      <c r="D10" s="23"/>
      <c r="E10" s="12"/>
      <c r="F10" s="24"/>
      <c r="G10" s="25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3"/>
      <c r="D11" s="23"/>
      <c r="E11" s="12"/>
      <c r="F11" s="24"/>
      <c r="G11" s="25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3"/>
      <c r="D12" s="23"/>
      <c r="E12" s="12"/>
      <c r="F12" s="24"/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3"/>
      <c r="D13" s="23"/>
      <c r="E13" s="12"/>
      <c r="F13" s="24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25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25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5.140625" hidden="1" customWidth="1"/>
    <col min="8" max="8" width="29.85546875" customWidth="1"/>
  </cols>
  <sheetData>
    <row r="1" spans="1:11" ht="18" x14ac:dyDescent="0.25">
      <c r="A1" s="34" t="s">
        <v>0</v>
      </c>
      <c r="B1" s="34"/>
      <c r="C1" s="3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8" t="s">
        <v>2</v>
      </c>
      <c r="B2" s="38"/>
      <c r="C2" s="38"/>
      <c r="D2" s="6"/>
      <c r="E2" s="39" t="s">
        <v>3</v>
      </c>
      <c r="F2" s="39"/>
      <c r="G2" s="4"/>
      <c r="H2" s="4"/>
      <c r="I2" s="35" t="s">
        <v>4</v>
      </c>
      <c r="J2" s="36"/>
      <c r="K2" s="18">
        <f>SUMIF(F7:F35,"Elimination*",G7:G35)</f>
        <v>0</v>
      </c>
    </row>
    <row r="3" spans="1:11" x14ac:dyDescent="0.25">
      <c r="A3" s="39" t="s">
        <v>5</v>
      </c>
      <c r="B3" s="39"/>
      <c r="C3" s="39"/>
      <c r="D3" s="5"/>
      <c r="E3" s="39" t="s">
        <v>16</v>
      </c>
      <c r="F3" s="39"/>
      <c r="G3" s="4"/>
      <c r="H3" s="4"/>
      <c r="I3" s="35" t="s">
        <v>6</v>
      </c>
      <c r="J3" s="36"/>
      <c r="K3" s="18">
        <f>SUMIF(F7:F35,"NB*",G7:G35)</f>
        <v>1</v>
      </c>
    </row>
    <row r="4" spans="1:11" ht="18" x14ac:dyDescent="0.25">
      <c r="A4" s="34" t="s">
        <v>7</v>
      </c>
      <c r="B4" s="34"/>
      <c r="C4" s="34"/>
      <c r="D4" s="34"/>
      <c r="E4" s="34"/>
      <c r="F4" s="34"/>
      <c r="G4" s="4"/>
      <c r="H4" s="4"/>
      <c r="I4" s="35" t="s">
        <v>8</v>
      </c>
      <c r="J4" s="36"/>
      <c r="K4" s="18">
        <f>SUMIF(F7:F35,"Ve*",G7:G35)</f>
        <v>0</v>
      </c>
    </row>
    <row r="5" spans="1:11" ht="15.75" x14ac:dyDescent="0.25">
      <c r="A5" s="37" t="s">
        <v>51</v>
      </c>
      <c r="B5" s="37"/>
      <c r="C5" s="37"/>
      <c r="D5" s="37"/>
      <c r="E5" s="37"/>
      <c r="F5" s="37"/>
      <c r="G5" s="19"/>
      <c r="H5" s="19"/>
      <c r="I5" s="35" t="s">
        <v>9</v>
      </c>
      <c r="J5" s="36"/>
      <c r="K5" s="20">
        <f>SUM(K2:K4)</f>
        <v>1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29</v>
      </c>
      <c r="C7" s="10" t="s">
        <v>20</v>
      </c>
      <c r="D7" s="23" t="s">
        <v>48</v>
      </c>
      <c r="E7" s="12">
        <v>44356</v>
      </c>
      <c r="F7" s="21" t="s">
        <v>49</v>
      </c>
      <c r="G7" s="17">
        <v>1</v>
      </c>
      <c r="H7" s="31" t="s">
        <v>50</v>
      </c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43" si="0">+A8+1</f>
        <v>3</v>
      </c>
      <c r="B9" s="13"/>
      <c r="C9" s="13"/>
      <c r="D9" s="23"/>
      <c r="E9" s="12"/>
      <c r="F9" s="24"/>
      <c r="G9" s="25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3"/>
      <c r="D10" s="23"/>
      <c r="E10" s="12"/>
      <c r="F10" s="24"/>
      <c r="G10" s="25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3"/>
      <c r="D11" s="23"/>
      <c r="E11" s="12"/>
      <c r="F11" s="24"/>
      <c r="G11" s="25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3"/>
      <c r="D12" s="23"/>
      <c r="E12" s="12"/>
      <c r="F12" s="24"/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3"/>
      <c r="D13" s="23"/>
      <c r="E13" s="12"/>
      <c r="F13" s="24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25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25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opLeftCell="A15" workbookViewId="0">
      <selection activeCell="F24" sqref="F24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5.140625" hidden="1" customWidth="1"/>
    <col min="8" max="8" width="29.85546875" customWidth="1"/>
  </cols>
  <sheetData>
    <row r="1" spans="1:11" ht="18" x14ac:dyDescent="0.25">
      <c r="A1" s="34" t="s">
        <v>0</v>
      </c>
      <c r="B1" s="34"/>
      <c r="C1" s="3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8" t="s">
        <v>2</v>
      </c>
      <c r="B2" s="38"/>
      <c r="C2" s="38"/>
      <c r="D2" s="6"/>
      <c r="E2" s="39" t="s">
        <v>3</v>
      </c>
      <c r="F2" s="39"/>
      <c r="G2" s="4"/>
      <c r="H2" s="4"/>
      <c r="I2" s="35" t="s">
        <v>4</v>
      </c>
      <c r="J2" s="36"/>
      <c r="K2" s="18">
        <f>SUMIF(F7:F35,"Elimination*",G7:G35)</f>
        <v>23</v>
      </c>
    </row>
    <row r="3" spans="1:11" x14ac:dyDescent="0.25">
      <c r="A3" s="39" t="s">
        <v>5</v>
      </c>
      <c r="B3" s="39"/>
      <c r="C3" s="39"/>
      <c r="D3" s="5"/>
      <c r="E3" s="39" t="s">
        <v>16</v>
      </c>
      <c r="F3" s="39"/>
      <c r="G3" s="4"/>
      <c r="H3" s="4"/>
      <c r="I3" s="35" t="s">
        <v>6</v>
      </c>
      <c r="J3" s="36"/>
      <c r="K3" s="18">
        <f>SUMIF(F7:F35,"NB*",G7:G35)</f>
        <v>0</v>
      </c>
    </row>
    <row r="4" spans="1:11" ht="18" x14ac:dyDescent="0.25">
      <c r="A4" s="34" t="s">
        <v>7</v>
      </c>
      <c r="B4" s="34"/>
      <c r="C4" s="34"/>
      <c r="D4" s="34"/>
      <c r="E4" s="34"/>
      <c r="F4" s="34"/>
      <c r="G4" s="4"/>
      <c r="H4" s="4"/>
      <c r="I4" s="35" t="s">
        <v>8</v>
      </c>
      <c r="J4" s="36"/>
      <c r="K4" s="18">
        <f>SUMIF(F7:F35,"Ve*",G7:G35)</f>
        <v>0</v>
      </c>
    </row>
    <row r="5" spans="1:11" ht="15.75" x14ac:dyDescent="0.25">
      <c r="A5" s="37" t="s">
        <v>52</v>
      </c>
      <c r="B5" s="37"/>
      <c r="C5" s="37"/>
      <c r="D5" s="37"/>
      <c r="E5" s="37"/>
      <c r="F5" s="37"/>
      <c r="G5" s="19"/>
      <c r="H5" s="19"/>
      <c r="I5" s="35" t="s">
        <v>9</v>
      </c>
      <c r="J5" s="36"/>
      <c r="K5" s="20">
        <f>SUM(K2:K4)</f>
        <v>23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53</v>
      </c>
      <c r="C7" s="10" t="s">
        <v>20</v>
      </c>
      <c r="D7" s="23" t="s">
        <v>76</v>
      </c>
      <c r="E7" s="12">
        <v>44390</v>
      </c>
      <c r="F7" s="21" t="s">
        <v>23</v>
      </c>
      <c r="G7" s="17">
        <v>1</v>
      </c>
      <c r="H7" s="31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54</v>
      </c>
      <c r="C8" s="10" t="s">
        <v>20</v>
      </c>
      <c r="D8" s="23" t="s">
        <v>77</v>
      </c>
      <c r="E8" s="12">
        <v>44390</v>
      </c>
      <c r="F8" s="21" t="s">
        <v>23</v>
      </c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43" si="0">+A8+1</f>
        <v>3</v>
      </c>
      <c r="B9" s="13" t="s">
        <v>55</v>
      </c>
      <c r="C9" s="10" t="s">
        <v>20</v>
      </c>
      <c r="D9" s="23" t="s">
        <v>78</v>
      </c>
      <c r="E9" s="12">
        <v>44390</v>
      </c>
      <c r="F9" s="21" t="s">
        <v>23</v>
      </c>
      <c r="G9" s="25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56</v>
      </c>
      <c r="C10" s="10" t="s">
        <v>20</v>
      </c>
      <c r="D10" s="23" t="s">
        <v>79</v>
      </c>
      <c r="E10" s="12">
        <v>44390</v>
      </c>
      <c r="F10" s="21" t="s">
        <v>23</v>
      </c>
      <c r="G10" s="25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57</v>
      </c>
      <c r="C11" s="10" t="s">
        <v>20</v>
      </c>
      <c r="D11" s="23" t="s">
        <v>80</v>
      </c>
      <c r="E11" s="12">
        <v>44390</v>
      </c>
      <c r="F11" s="21" t="s">
        <v>23</v>
      </c>
      <c r="G11" s="25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58</v>
      </c>
      <c r="C12" s="10" t="s">
        <v>20</v>
      </c>
      <c r="D12" s="23" t="s">
        <v>81</v>
      </c>
      <c r="E12" s="12">
        <v>44390</v>
      </c>
      <c r="F12" s="21" t="s">
        <v>23</v>
      </c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59</v>
      </c>
      <c r="C13" s="10" t="s">
        <v>20</v>
      </c>
      <c r="D13" s="23" t="s">
        <v>82</v>
      </c>
      <c r="E13" s="12">
        <v>44390</v>
      </c>
      <c r="F13" s="21" t="s">
        <v>23</v>
      </c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60</v>
      </c>
      <c r="C14" s="10" t="s">
        <v>20</v>
      </c>
      <c r="D14" s="23" t="s">
        <v>83</v>
      </c>
      <c r="E14" s="12">
        <v>44390</v>
      </c>
      <c r="F14" s="21" t="s">
        <v>23</v>
      </c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 t="s">
        <v>61</v>
      </c>
      <c r="C15" s="10" t="s">
        <v>20</v>
      </c>
      <c r="D15" s="23" t="s">
        <v>84</v>
      </c>
      <c r="E15" s="12">
        <v>44390</v>
      </c>
      <c r="F15" s="21" t="s">
        <v>23</v>
      </c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 t="s">
        <v>62</v>
      </c>
      <c r="C16" s="10" t="s">
        <v>20</v>
      </c>
      <c r="D16" s="23" t="s">
        <v>85</v>
      </c>
      <c r="E16" s="12">
        <v>44390</v>
      </c>
      <c r="F16" s="21" t="s">
        <v>23</v>
      </c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 t="s">
        <v>63</v>
      </c>
      <c r="C17" s="10" t="s">
        <v>20</v>
      </c>
      <c r="D17" s="23" t="s">
        <v>86</v>
      </c>
      <c r="E17" s="12">
        <v>44390</v>
      </c>
      <c r="F17" s="21" t="s">
        <v>23</v>
      </c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 t="s">
        <v>64</v>
      </c>
      <c r="C18" s="10" t="s">
        <v>20</v>
      </c>
      <c r="D18" s="23" t="s">
        <v>87</v>
      </c>
      <c r="E18" s="12">
        <v>44390</v>
      </c>
      <c r="F18" s="21" t="s">
        <v>23</v>
      </c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 t="s">
        <v>65</v>
      </c>
      <c r="C19" s="10" t="s">
        <v>20</v>
      </c>
      <c r="D19" s="23" t="s">
        <v>88</v>
      </c>
      <c r="E19" s="12">
        <v>44390</v>
      </c>
      <c r="F19" s="21" t="s">
        <v>23</v>
      </c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 t="s">
        <v>66</v>
      </c>
      <c r="C20" s="10" t="s">
        <v>20</v>
      </c>
      <c r="D20" s="23" t="s">
        <v>89</v>
      </c>
      <c r="E20" s="12">
        <v>44390</v>
      </c>
      <c r="F20" s="21" t="s">
        <v>23</v>
      </c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 t="s">
        <v>67</v>
      </c>
      <c r="C21" s="10" t="s">
        <v>20</v>
      </c>
      <c r="D21" s="23" t="s">
        <v>90</v>
      </c>
      <c r="E21" s="12">
        <v>44390</v>
      </c>
      <c r="F21" s="21" t="s">
        <v>23</v>
      </c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 t="s">
        <v>68</v>
      </c>
      <c r="C22" s="10" t="s">
        <v>20</v>
      </c>
      <c r="D22" s="23" t="s">
        <v>91</v>
      </c>
      <c r="E22" s="12">
        <v>44390</v>
      </c>
      <c r="F22" s="21" t="s">
        <v>23</v>
      </c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 t="s">
        <v>69</v>
      </c>
      <c r="C23" s="10" t="s">
        <v>20</v>
      </c>
      <c r="D23" s="23" t="s">
        <v>92</v>
      </c>
      <c r="E23" s="12">
        <v>44390</v>
      </c>
      <c r="F23" s="21" t="s">
        <v>23</v>
      </c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 t="s">
        <v>70</v>
      </c>
      <c r="C24" s="10" t="s">
        <v>20</v>
      </c>
      <c r="D24" s="23" t="s">
        <v>93</v>
      </c>
      <c r="E24" s="12">
        <v>44390</v>
      </c>
      <c r="F24" s="21" t="s">
        <v>23</v>
      </c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 t="s">
        <v>71</v>
      </c>
      <c r="C25" s="10" t="s">
        <v>20</v>
      </c>
      <c r="D25" s="23" t="s">
        <v>94</v>
      </c>
      <c r="E25" s="12">
        <v>44390</v>
      </c>
      <c r="F25" s="21" t="s">
        <v>23</v>
      </c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 t="s">
        <v>72</v>
      </c>
      <c r="C26" s="10" t="s">
        <v>20</v>
      </c>
      <c r="D26" s="23" t="s">
        <v>95</v>
      </c>
      <c r="E26" s="12">
        <v>44390</v>
      </c>
      <c r="F26" s="21" t="s">
        <v>23</v>
      </c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 t="s">
        <v>73</v>
      </c>
      <c r="C27" s="10" t="s">
        <v>20</v>
      </c>
      <c r="D27" s="23" t="s">
        <v>96</v>
      </c>
      <c r="E27" s="12">
        <v>44390</v>
      </c>
      <c r="F27" s="21" t="s">
        <v>23</v>
      </c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 t="s">
        <v>74</v>
      </c>
      <c r="C28" s="10" t="s">
        <v>20</v>
      </c>
      <c r="D28" s="23" t="s">
        <v>97</v>
      </c>
      <c r="E28" s="12">
        <v>44390</v>
      </c>
      <c r="F28" s="21" t="s">
        <v>23</v>
      </c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 t="s">
        <v>75</v>
      </c>
      <c r="C29" s="10" t="s">
        <v>20</v>
      </c>
      <c r="D29" s="23" t="s">
        <v>98</v>
      </c>
      <c r="E29" s="12">
        <v>44390</v>
      </c>
      <c r="F29" s="21" t="s">
        <v>23</v>
      </c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25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25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opLeftCell="A19" workbookViewId="0">
      <selection activeCell="F28" sqref="F2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5.140625" hidden="1" customWidth="1"/>
    <col min="8" max="8" width="29.85546875" customWidth="1"/>
  </cols>
  <sheetData>
    <row r="1" spans="1:11" ht="18" x14ac:dyDescent="0.25">
      <c r="A1" s="34" t="s">
        <v>0</v>
      </c>
      <c r="B1" s="34"/>
      <c r="C1" s="3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8" t="s">
        <v>2</v>
      </c>
      <c r="B2" s="38"/>
      <c r="C2" s="38"/>
      <c r="D2" s="6"/>
      <c r="E2" s="39" t="s">
        <v>3</v>
      </c>
      <c r="F2" s="39"/>
      <c r="G2" s="4"/>
      <c r="H2" s="4"/>
      <c r="I2" s="35" t="s">
        <v>4</v>
      </c>
      <c r="J2" s="36"/>
      <c r="K2" s="18">
        <f>SUMIF(F7:F35,"Elimination*",G7:G35)</f>
        <v>17</v>
      </c>
    </row>
    <row r="3" spans="1:11" x14ac:dyDescent="0.25">
      <c r="A3" s="39" t="s">
        <v>5</v>
      </c>
      <c r="B3" s="39"/>
      <c r="C3" s="39"/>
      <c r="D3" s="5"/>
      <c r="E3" s="39" t="s">
        <v>16</v>
      </c>
      <c r="F3" s="39"/>
      <c r="G3" s="4"/>
      <c r="H3" s="4"/>
      <c r="I3" s="35" t="s">
        <v>6</v>
      </c>
      <c r="J3" s="36"/>
      <c r="K3" s="18">
        <f>SUMIF(F7:F35,"NB*",G7:G35)</f>
        <v>0</v>
      </c>
    </row>
    <row r="4" spans="1:11" ht="18" x14ac:dyDescent="0.25">
      <c r="A4" s="34" t="s">
        <v>7</v>
      </c>
      <c r="B4" s="34"/>
      <c r="C4" s="34"/>
      <c r="D4" s="34"/>
      <c r="E4" s="34"/>
      <c r="F4" s="34"/>
      <c r="G4" s="4"/>
      <c r="H4" s="4"/>
      <c r="I4" s="35" t="s">
        <v>8</v>
      </c>
      <c r="J4" s="36"/>
      <c r="K4" s="18">
        <f>SUMIF(F7:F35,"Ve*",G7:G35)</f>
        <v>0</v>
      </c>
    </row>
    <row r="5" spans="1:11" ht="15.75" x14ac:dyDescent="0.25">
      <c r="A5" s="37" t="s">
        <v>99</v>
      </c>
      <c r="B5" s="37"/>
      <c r="C5" s="37"/>
      <c r="D5" s="37"/>
      <c r="E5" s="37"/>
      <c r="F5" s="37"/>
      <c r="G5" s="19"/>
      <c r="H5" s="19"/>
      <c r="I5" s="35" t="s">
        <v>9</v>
      </c>
      <c r="J5" s="36"/>
      <c r="K5" s="20">
        <f>SUM(K2:K4)</f>
        <v>17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100</v>
      </c>
      <c r="C7" s="10" t="s">
        <v>20</v>
      </c>
      <c r="D7" s="23" t="s">
        <v>117</v>
      </c>
      <c r="E7" s="12">
        <v>44416</v>
      </c>
      <c r="F7" s="21" t="s">
        <v>23</v>
      </c>
      <c r="G7" s="17">
        <v>1</v>
      </c>
      <c r="H7" s="31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101</v>
      </c>
      <c r="C8" s="10" t="s">
        <v>20</v>
      </c>
      <c r="D8" s="23" t="s">
        <v>118</v>
      </c>
      <c r="E8" s="12">
        <v>44416</v>
      </c>
      <c r="F8" s="21" t="s">
        <v>23</v>
      </c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43" si="0">+A8+1</f>
        <v>3</v>
      </c>
      <c r="B9" s="13" t="s">
        <v>102</v>
      </c>
      <c r="C9" s="10" t="s">
        <v>20</v>
      </c>
      <c r="D9" s="23" t="s">
        <v>119</v>
      </c>
      <c r="E9" s="12">
        <v>44416</v>
      </c>
      <c r="F9" s="21" t="s">
        <v>23</v>
      </c>
      <c r="G9" s="25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103</v>
      </c>
      <c r="C10" s="10" t="s">
        <v>20</v>
      </c>
      <c r="D10" s="23" t="s">
        <v>120</v>
      </c>
      <c r="E10" s="12">
        <v>44416</v>
      </c>
      <c r="F10" s="21" t="s">
        <v>23</v>
      </c>
      <c r="G10" s="25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104</v>
      </c>
      <c r="C11" s="10" t="s">
        <v>20</v>
      </c>
      <c r="D11" s="23" t="s">
        <v>121</v>
      </c>
      <c r="E11" s="12">
        <v>44416</v>
      </c>
      <c r="F11" s="21" t="s">
        <v>23</v>
      </c>
      <c r="G11" s="25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105</v>
      </c>
      <c r="C12" s="10" t="s">
        <v>20</v>
      </c>
      <c r="D12" s="23" t="s">
        <v>122</v>
      </c>
      <c r="E12" s="12">
        <v>44416</v>
      </c>
      <c r="F12" s="21" t="s">
        <v>23</v>
      </c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106</v>
      </c>
      <c r="C13" s="10" t="s">
        <v>20</v>
      </c>
      <c r="D13" s="23" t="s">
        <v>123</v>
      </c>
      <c r="E13" s="12">
        <v>44416</v>
      </c>
      <c r="F13" s="21" t="s">
        <v>23</v>
      </c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107</v>
      </c>
      <c r="C14" s="10" t="s">
        <v>20</v>
      </c>
      <c r="D14" s="23" t="s">
        <v>124</v>
      </c>
      <c r="E14" s="12">
        <v>44416</v>
      </c>
      <c r="F14" s="21" t="s">
        <v>23</v>
      </c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 t="s">
        <v>108</v>
      </c>
      <c r="C15" s="10" t="s">
        <v>20</v>
      </c>
      <c r="D15" s="23" t="s">
        <v>125</v>
      </c>
      <c r="E15" s="12">
        <v>44416</v>
      </c>
      <c r="F15" s="21" t="s">
        <v>23</v>
      </c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 t="s">
        <v>109</v>
      </c>
      <c r="C16" s="10" t="s">
        <v>20</v>
      </c>
      <c r="D16" s="23" t="s">
        <v>126</v>
      </c>
      <c r="E16" s="12">
        <v>44416</v>
      </c>
      <c r="F16" s="21" t="s">
        <v>23</v>
      </c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 t="s">
        <v>110</v>
      </c>
      <c r="C17" s="10" t="s">
        <v>20</v>
      </c>
      <c r="D17" s="23" t="s">
        <v>127</v>
      </c>
      <c r="E17" s="12">
        <v>44432</v>
      </c>
      <c r="F17" s="21" t="s">
        <v>23</v>
      </c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 t="s">
        <v>111</v>
      </c>
      <c r="C18" s="10" t="s">
        <v>20</v>
      </c>
      <c r="D18" s="23" t="s">
        <v>128</v>
      </c>
      <c r="E18" s="12">
        <v>44432</v>
      </c>
      <c r="F18" s="21" t="s">
        <v>23</v>
      </c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 t="s">
        <v>112</v>
      </c>
      <c r="C19" s="10" t="s">
        <v>20</v>
      </c>
      <c r="D19" s="23" t="s">
        <v>129</v>
      </c>
      <c r="E19" s="12">
        <v>44432</v>
      </c>
      <c r="F19" s="21" t="s">
        <v>23</v>
      </c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 t="s">
        <v>113</v>
      </c>
      <c r="C20" s="10" t="s">
        <v>20</v>
      </c>
      <c r="D20" s="23" t="s">
        <v>130</v>
      </c>
      <c r="E20" s="12">
        <v>44432</v>
      </c>
      <c r="F20" s="21" t="s">
        <v>23</v>
      </c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 t="s">
        <v>114</v>
      </c>
      <c r="C21" s="10" t="s">
        <v>20</v>
      </c>
      <c r="D21" s="23" t="s">
        <v>131</v>
      </c>
      <c r="E21" s="12">
        <v>44432</v>
      </c>
      <c r="F21" s="21" t="s">
        <v>23</v>
      </c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 t="s">
        <v>115</v>
      </c>
      <c r="C22" s="10" t="s">
        <v>20</v>
      </c>
      <c r="D22" s="23" t="s">
        <v>132</v>
      </c>
      <c r="E22" s="12">
        <v>44432</v>
      </c>
      <c r="F22" s="21" t="s">
        <v>23</v>
      </c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 t="s">
        <v>116</v>
      </c>
      <c r="C23" s="10" t="s">
        <v>20</v>
      </c>
      <c r="D23" s="23" t="s">
        <v>133</v>
      </c>
      <c r="E23" s="12">
        <v>44432</v>
      </c>
      <c r="F23" s="21" t="s">
        <v>23</v>
      </c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23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23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23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23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23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23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25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25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>
      <selection activeCell="F43" sqref="A1:F43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5.140625" hidden="1" customWidth="1"/>
    <col min="8" max="8" width="29.85546875" customWidth="1"/>
  </cols>
  <sheetData>
    <row r="1" spans="1:11" ht="18" x14ac:dyDescent="0.25">
      <c r="A1" s="34" t="s">
        <v>0</v>
      </c>
      <c r="B1" s="34"/>
      <c r="C1" s="3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8" t="s">
        <v>2</v>
      </c>
      <c r="B2" s="38"/>
      <c r="C2" s="38"/>
      <c r="D2" s="6"/>
      <c r="E2" s="39" t="s">
        <v>3</v>
      </c>
      <c r="F2" s="39"/>
      <c r="G2" s="4"/>
      <c r="H2" s="4"/>
      <c r="I2" s="35" t="s">
        <v>4</v>
      </c>
      <c r="J2" s="36"/>
      <c r="K2" s="18">
        <f>SUMIF(F7:F35,"Elimination*",G7:G35)</f>
        <v>0</v>
      </c>
    </row>
    <row r="3" spans="1:11" x14ac:dyDescent="0.25">
      <c r="A3" s="39" t="s">
        <v>5</v>
      </c>
      <c r="B3" s="39"/>
      <c r="C3" s="39"/>
      <c r="D3" s="5"/>
      <c r="E3" s="39" t="s">
        <v>16</v>
      </c>
      <c r="F3" s="39"/>
      <c r="G3" s="4"/>
      <c r="H3" s="4"/>
      <c r="I3" s="35" t="s">
        <v>6</v>
      </c>
      <c r="J3" s="36"/>
      <c r="K3" s="18">
        <f>SUMIF(F7:F35,"NB*",G7:G35)</f>
        <v>1</v>
      </c>
    </row>
    <row r="4" spans="1:11" ht="18" x14ac:dyDescent="0.25">
      <c r="A4" s="34" t="s">
        <v>7</v>
      </c>
      <c r="B4" s="34"/>
      <c r="C4" s="34"/>
      <c r="D4" s="34"/>
      <c r="E4" s="34"/>
      <c r="F4" s="34"/>
      <c r="G4" s="4"/>
      <c r="H4" s="4"/>
      <c r="I4" s="35" t="s">
        <v>8</v>
      </c>
      <c r="J4" s="36"/>
      <c r="K4" s="18">
        <f>SUMIF(F7:F35,"Ve*",G7:G35)</f>
        <v>0</v>
      </c>
    </row>
    <row r="5" spans="1:11" ht="15.75" x14ac:dyDescent="0.25">
      <c r="A5" s="37" t="s">
        <v>137</v>
      </c>
      <c r="B5" s="37"/>
      <c r="C5" s="37"/>
      <c r="D5" s="37"/>
      <c r="E5" s="37"/>
      <c r="F5" s="37"/>
      <c r="G5" s="19"/>
      <c r="H5" s="19"/>
      <c r="I5" s="35" t="s">
        <v>9</v>
      </c>
      <c r="J5" s="36"/>
      <c r="K5" s="20">
        <f>SUM(K2:K4)</f>
        <v>1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29</v>
      </c>
      <c r="C7" s="10" t="s">
        <v>20</v>
      </c>
      <c r="D7" s="23" t="s">
        <v>134</v>
      </c>
      <c r="E7" s="12">
        <v>44465</v>
      </c>
      <c r="F7" s="21" t="s">
        <v>135</v>
      </c>
      <c r="G7" s="17">
        <v>1</v>
      </c>
      <c r="H7" s="31" t="s">
        <v>136</v>
      </c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43" si="0">+A8+1</f>
        <v>3</v>
      </c>
      <c r="B9" s="13"/>
      <c r="C9" s="10"/>
      <c r="D9" s="23"/>
      <c r="E9" s="12"/>
      <c r="F9" s="21"/>
      <c r="G9" s="25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25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25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23"/>
      <c r="E17" s="12"/>
      <c r="F17" s="21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23"/>
      <c r="E18" s="12"/>
      <c r="F18" s="21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23"/>
      <c r="E19" s="12"/>
      <c r="F19" s="21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0"/>
      <c r="D20" s="23"/>
      <c r="E20" s="12"/>
      <c r="F20" s="21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1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0"/>
      <c r="D22" s="23"/>
      <c r="E22" s="12"/>
      <c r="F22" s="21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0"/>
      <c r="D23" s="23"/>
      <c r="E23" s="12"/>
      <c r="F23" s="21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23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23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23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23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23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23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25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25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>
      <selection activeCell="F14" sqref="F14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5.140625" hidden="1" customWidth="1"/>
    <col min="8" max="8" width="29.85546875" customWidth="1"/>
  </cols>
  <sheetData>
    <row r="1" spans="1:11" ht="18" x14ac:dyDescent="0.25">
      <c r="A1" s="34" t="s">
        <v>0</v>
      </c>
      <c r="B1" s="34"/>
      <c r="C1" s="3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8" t="s">
        <v>2</v>
      </c>
      <c r="B2" s="38"/>
      <c r="C2" s="38"/>
      <c r="D2" s="6"/>
      <c r="E2" s="39" t="s">
        <v>3</v>
      </c>
      <c r="F2" s="39"/>
      <c r="G2" s="4"/>
      <c r="H2" s="4"/>
      <c r="I2" s="35" t="s">
        <v>4</v>
      </c>
      <c r="J2" s="36"/>
      <c r="K2" s="18">
        <f>SUMIF(F7:F35,"Elimination*",G7:G35)</f>
        <v>0</v>
      </c>
    </row>
    <row r="3" spans="1:11" x14ac:dyDescent="0.25">
      <c r="A3" s="39" t="s">
        <v>5</v>
      </c>
      <c r="B3" s="39"/>
      <c r="C3" s="39"/>
      <c r="D3" s="5"/>
      <c r="E3" s="39" t="s">
        <v>16</v>
      </c>
      <c r="F3" s="39"/>
      <c r="G3" s="4"/>
      <c r="H3" s="4"/>
      <c r="I3" s="35" t="s">
        <v>6</v>
      </c>
      <c r="J3" s="36"/>
      <c r="K3" s="18">
        <f>SUMIF(F7:F35,"NB*",G7:G35)</f>
        <v>4</v>
      </c>
    </row>
    <row r="4" spans="1:11" ht="18" x14ac:dyDescent="0.25">
      <c r="A4" s="34" t="s">
        <v>7</v>
      </c>
      <c r="B4" s="34"/>
      <c r="C4" s="34"/>
      <c r="D4" s="34"/>
      <c r="E4" s="34"/>
      <c r="F4" s="34"/>
      <c r="G4" s="4"/>
      <c r="H4" s="4"/>
      <c r="I4" s="35" t="s">
        <v>8</v>
      </c>
      <c r="J4" s="36"/>
      <c r="K4" s="18">
        <f>SUMIF(F7:F35,"Ve*",G7:G35)</f>
        <v>0</v>
      </c>
    </row>
    <row r="5" spans="1:11" ht="15.75" x14ac:dyDescent="0.25">
      <c r="A5" s="40" t="s">
        <v>138</v>
      </c>
      <c r="B5" s="40"/>
      <c r="C5" s="40"/>
      <c r="D5" s="40"/>
      <c r="E5" s="40"/>
      <c r="F5" s="40"/>
      <c r="G5" s="32"/>
      <c r="H5" s="32"/>
      <c r="I5" s="35" t="s">
        <v>9</v>
      </c>
      <c r="J5" s="36"/>
      <c r="K5" s="33">
        <f>SUM(K2:K4)</f>
        <v>4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29</v>
      </c>
      <c r="C7" s="10" t="s">
        <v>20</v>
      </c>
      <c r="D7" s="23" t="s">
        <v>139</v>
      </c>
      <c r="E7" s="12">
        <v>44476</v>
      </c>
      <c r="F7" s="21" t="s">
        <v>140</v>
      </c>
      <c r="G7" s="17">
        <v>1</v>
      </c>
      <c r="H7" s="31" t="s">
        <v>141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29</v>
      </c>
      <c r="C8" s="10" t="s">
        <v>20</v>
      </c>
      <c r="D8" s="23" t="s">
        <v>142</v>
      </c>
      <c r="E8" s="12">
        <v>44476</v>
      </c>
      <c r="F8" s="21" t="s">
        <v>143</v>
      </c>
      <c r="G8" s="25">
        <v>1</v>
      </c>
      <c r="H8" s="26" t="s">
        <v>144</v>
      </c>
      <c r="I8" s="2"/>
      <c r="J8" s="2"/>
      <c r="K8" s="1"/>
    </row>
    <row r="9" spans="1:11" ht="15" customHeight="1" x14ac:dyDescent="0.25">
      <c r="A9" s="15">
        <f t="shared" ref="A9:A43" si="0">+A8+1</f>
        <v>3</v>
      </c>
      <c r="B9" s="13" t="s">
        <v>29</v>
      </c>
      <c r="C9" s="10" t="s">
        <v>20</v>
      </c>
      <c r="D9" s="23" t="s">
        <v>145</v>
      </c>
      <c r="E9" s="12">
        <v>44476</v>
      </c>
      <c r="F9" s="21" t="s">
        <v>146</v>
      </c>
      <c r="G9" s="25">
        <v>1</v>
      </c>
      <c r="H9" s="26" t="s">
        <v>147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29</v>
      </c>
      <c r="C10" s="10" t="s">
        <v>20</v>
      </c>
      <c r="D10" s="23" t="s">
        <v>148</v>
      </c>
      <c r="E10" s="12">
        <v>44476</v>
      </c>
      <c r="F10" s="21" t="s">
        <v>149</v>
      </c>
      <c r="G10" s="25">
        <v>1</v>
      </c>
      <c r="H10" s="26" t="s">
        <v>150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25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25">
        <v>1</v>
      </c>
      <c r="H12" s="29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23"/>
      <c r="E17" s="12"/>
      <c r="F17" s="21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23"/>
      <c r="E18" s="12"/>
      <c r="F18" s="21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23"/>
      <c r="E19" s="12"/>
      <c r="F19" s="21"/>
      <c r="G19" s="25">
        <v>1</v>
      </c>
      <c r="H19" s="29"/>
      <c r="I19" s="2"/>
      <c r="J19" s="2"/>
    </row>
    <row r="20" spans="1:10" ht="15" customHeight="1" x14ac:dyDescent="0.25">
      <c r="A20" s="15">
        <f t="shared" si="0"/>
        <v>14</v>
      </c>
      <c r="B20" s="12"/>
      <c r="C20" s="10"/>
      <c r="D20" s="23"/>
      <c r="E20" s="12"/>
      <c r="F20" s="21"/>
      <c r="G20" s="25">
        <v>1</v>
      </c>
      <c r="H20" s="29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1"/>
      <c r="G21" s="25">
        <v>1</v>
      </c>
      <c r="H21" s="29"/>
      <c r="I21" s="2"/>
      <c r="J21" s="2"/>
    </row>
    <row r="22" spans="1:10" ht="15" customHeight="1" x14ac:dyDescent="0.25">
      <c r="A22" s="15">
        <f t="shared" si="0"/>
        <v>16</v>
      </c>
      <c r="B22" s="13"/>
      <c r="C22" s="10"/>
      <c r="D22" s="23"/>
      <c r="E22" s="12"/>
      <c r="F22" s="21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0"/>
      <c r="D23" s="23"/>
      <c r="E23" s="12"/>
      <c r="F23" s="21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23"/>
      <c r="E24" s="12"/>
      <c r="F24" s="21"/>
      <c r="G24" s="25">
        <v>1</v>
      </c>
      <c r="H24" s="22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23"/>
      <c r="E25" s="12"/>
      <c r="F25" s="21"/>
      <c r="G25" s="25">
        <v>1</v>
      </c>
      <c r="H25" s="22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23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23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23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23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25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25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>
      <selection activeCell="F8" sqref="F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5.140625" hidden="1" customWidth="1"/>
    <col min="8" max="8" width="29.85546875" customWidth="1"/>
  </cols>
  <sheetData>
    <row r="1" spans="1:11" ht="18" x14ac:dyDescent="0.25">
      <c r="A1" s="34" t="s">
        <v>0</v>
      </c>
      <c r="B1" s="34"/>
      <c r="C1" s="3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8" t="s">
        <v>2</v>
      </c>
      <c r="B2" s="38"/>
      <c r="C2" s="38"/>
      <c r="D2" s="6"/>
      <c r="E2" s="39" t="s">
        <v>3</v>
      </c>
      <c r="F2" s="39"/>
      <c r="G2" s="4"/>
      <c r="H2" s="4"/>
      <c r="I2" s="35" t="s">
        <v>4</v>
      </c>
      <c r="J2" s="36"/>
      <c r="K2" s="18">
        <f>SUMIF(F7:F35,"Elimination*",G7:G35)</f>
        <v>0</v>
      </c>
    </row>
    <row r="3" spans="1:11" x14ac:dyDescent="0.25">
      <c r="A3" s="39" t="s">
        <v>5</v>
      </c>
      <c r="B3" s="39"/>
      <c r="C3" s="39"/>
      <c r="D3" s="5"/>
      <c r="E3" s="39" t="s">
        <v>16</v>
      </c>
      <c r="F3" s="39"/>
      <c r="G3" s="4"/>
      <c r="H3" s="4"/>
      <c r="I3" s="35" t="s">
        <v>6</v>
      </c>
      <c r="J3" s="36"/>
      <c r="K3" s="18">
        <f>SUMIF(F7:F35,"NB*",G7:G35)</f>
        <v>0</v>
      </c>
    </row>
    <row r="4" spans="1:11" ht="18" x14ac:dyDescent="0.25">
      <c r="A4" s="34" t="s">
        <v>7</v>
      </c>
      <c r="B4" s="34"/>
      <c r="C4" s="34"/>
      <c r="D4" s="34"/>
      <c r="E4" s="34"/>
      <c r="F4" s="34"/>
      <c r="G4" s="4"/>
      <c r="H4" s="4"/>
      <c r="I4" s="35" t="s">
        <v>8</v>
      </c>
      <c r="J4" s="36"/>
      <c r="K4" s="18">
        <f>SUMIF(F7:F35,"Ve*",G7:G35)</f>
        <v>0</v>
      </c>
    </row>
    <row r="5" spans="1:11" ht="15.75" x14ac:dyDescent="0.25">
      <c r="A5" s="40" t="s">
        <v>151</v>
      </c>
      <c r="B5" s="40"/>
      <c r="C5" s="40"/>
      <c r="D5" s="40"/>
      <c r="E5" s="40"/>
      <c r="F5" s="40"/>
      <c r="G5" s="32"/>
      <c r="H5" s="32"/>
      <c r="I5" s="35" t="s">
        <v>9</v>
      </c>
      <c r="J5" s="36"/>
      <c r="K5" s="33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31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43" si="0">+A8+1</f>
        <v>3</v>
      </c>
      <c r="B9" s="13"/>
      <c r="C9" s="10"/>
      <c r="D9" s="23"/>
      <c r="E9" s="12"/>
      <c r="F9" s="21"/>
      <c r="G9" s="25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25">
        <v>1</v>
      </c>
      <c r="H10" s="26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25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25">
        <v>1</v>
      </c>
      <c r="H12" s="29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23"/>
      <c r="E17" s="12"/>
      <c r="F17" s="21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23"/>
      <c r="E18" s="12"/>
      <c r="F18" s="21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23"/>
      <c r="E19" s="12"/>
      <c r="F19" s="21"/>
      <c r="G19" s="25">
        <v>1</v>
      </c>
      <c r="H19" s="29"/>
      <c r="I19" s="2"/>
      <c r="J19" s="2"/>
    </row>
    <row r="20" spans="1:10" ht="15" customHeight="1" x14ac:dyDescent="0.25">
      <c r="A20" s="15">
        <f t="shared" si="0"/>
        <v>14</v>
      </c>
      <c r="B20" s="12"/>
      <c r="C20" s="10"/>
      <c r="D20" s="23"/>
      <c r="E20" s="12"/>
      <c r="F20" s="21"/>
      <c r="G20" s="25">
        <v>1</v>
      </c>
      <c r="H20" s="29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1"/>
      <c r="G21" s="25">
        <v>1</v>
      </c>
      <c r="H21" s="29"/>
      <c r="I21" s="2"/>
      <c r="J21" s="2"/>
    </row>
    <row r="22" spans="1:10" ht="15" customHeight="1" x14ac:dyDescent="0.25">
      <c r="A22" s="15">
        <f t="shared" si="0"/>
        <v>16</v>
      </c>
      <c r="B22" s="13"/>
      <c r="C22" s="10"/>
      <c r="D22" s="23"/>
      <c r="E22" s="12"/>
      <c r="F22" s="21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0"/>
      <c r="D23" s="23"/>
      <c r="E23" s="12"/>
      <c r="F23" s="21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23"/>
      <c r="E24" s="12"/>
      <c r="F24" s="21"/>
      <c r="G24" s="25">
        <v>1</v>
      </c>
      <c r="H24" s="22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23"/>
      <c r="E25" s="12"/>
      <c r="F25" s="21"/>
      <c r="G25" s="25">
        <v>1</v>
      </c>
      <c r="H25" s="22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23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23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23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23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25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25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abSelected="1"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5.140625" hidden="1" customWidth="1"/>
    <col min="8" max="8" width="29.85546875" customWidth="1"/>
  </cols>
  <sheetData>
    <row r="1" spans="1:11" ht="18" x14ac:dyDescent="0.25">
      <c r="A1" s="34" t="s">
        <v>0</v>
      </c>
      <c r="B1" s="34"/>
      <c r="C1" s="3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8" t="s">
        <v>2</v>
      </c>
      <c r="B2" s="38"/>
      <c r="C2" s="38"/>
      <c r="D2" s="6"/>
      <c r="E2" s="39" t="s">
        <v>3</v>
      </c>
      <c r="F2" s="39"/>
      <c r="G2" s="4"/>
      <c r="H2" s="4"/>
      <c r="I2" s="35" t="s">
        <v>4</v>
      </c>
      <c r="J2" s="36"/>
      <c r="K2" s="18">
        <f>SUMIF(F7:F35,"Elimination*",G7:G35)</f>
        <v>0</v>
      </c>
    </row>
    <row r="3" spans="1:11" x14ac:dyDescent="0.25">
      <c r="A3" s="39" t="s">
        <v>5</v>
      </c>
      <c r="B3" s="39"/>
      <c r="C3" s="39"/>
      <c r="D3" s="5"/>
      <c r="E3" s="39" t="s">
        <v>16</v>
      </c>
      <c r="F3" s="39"/>
      <c r="G3" s="4"/>
      <c r="H3" s="4"/>
      <c r="I3" s="35" t="s">
        <v>6</v>
      </c>
      <c r="J3" s="36"/>
      <c r="K3" s="18">
        <f>SUMIF(F7:F35,"NB*",G7:G35)</f>
        <v>0</v>
      </c>
    </row>
    <row r="4" spans="1:11" ht="18" x14ac:dyDescent="0.25">
      <c r="A4" s="34" t="s">
        <v>7</v>
      </c>
      <c r="B4" s="34"/>
      <c r="C4" s="34"/>
      <c r="D4" s="34"/>
      <c r="E4" s="34"/>
      <c r="F4" s="34"/>
      <c r="G4" s="4"/>
      <c r="H4" s="4"/>
      <c r="I4" s="35" t="s">
        <v>8</v>
      </c>
      <c r="J4" s="36"/>
      <c r="K4" s="18">
        <f>SUMIF(F7:F35,"Ve*",G7:G35)</f>
        <v>0</v>
      </c>
    </row>
    <row r="5" spans="1:11" ht="15.75" x14ac:dyDescent="0.25">
      <c r="A5" s="40" t="s">
        <v>152</v>
      </c>
      <c r="B5" s="40"/>
      <c r="C5" s="40"/>
      <c r="D5" s="40"/>
      <c r="E5" s="40"/>
      <c r="F5" s="40"/>
      <c r="G5" s="32"/>
      <c r="H5" s="32"/>
      <c r="I5" s="35" t="s">
        <v>9</v>
      </c>
      <c r="J5" s="36"/>
      <c r="K5" s="33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31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43" si="0">+A8+1</f>
        <v>3</v>
      </c>
      <c r="B9" s="13"/>
      <c r="C9" s="10"/>
      <c r="D9" s="23"/>
      <c r="E9" s="12"/>
      <c r="F9" s="21"/>
      <c r="G9" s="25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25">
        <v>1</v>
      </c>
      <c r="H10" s="26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25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25">
        <v>1</v>
      </c>
      <c r="H12" s="29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23"/>
      <c r="E17" s="12"/>
      <c r="F17" s="21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23"/>
      <c r="E18" s="12"/>
      <c r="F18" s="21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23"/>
      <c r="E19" s="12"/>
      <c r="F19" s="21"/>
      <c r="G19" s="25">
        <v>1</v>
      </c>
      <c r="H19" s="29"/>
      <c r="I19" s="2"/>
      <c r="J19" s="2"/>
    </row>
    <row r="20" spans="1:10" ht="15" customHeight="1" x14ac:dyDescent="0.25">
      <c r="A20" s="15">
        <f t="shared" si="0"/>
        <v>14</v>
      </c>
      <c r="B20" s="12"/>
      <c r="C20" s="10"/>
      <c r="D20" s="23"/>
      <c r="E20" s="12"/>
      <c r="F20" s="21"/>
      <c r="G20" s="25">
        <v>1</v>
      </c>
      <c r="H20" s="29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1"/>
      <c r="G21" s="25">
        <v>1</v>
      </c>
      <c r="H21" s="29"/>
      <c r="I21" s="2"/>
      <c r="J21" s="2"/>
    </row>
    <row r="22" spans="1:10" ht="15" customHeight="1" x14ac:dyDescent="0.25">
      <c r="A22" s="15">
        <f t="shared" si="0"/>
        <v>16</v>
      </c>
      <c r="B22" s="13"/>
      <c r="C22" s="10"/>
      <c r="D22" s="23"/>
      <c r="E22" s="12"/>
      <c r="F22" s="21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0"/>
      <c r="D23" s="23"/>
      <c r="E23" s="12"/>
      <c r="F23" s="21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23"/>
      <c r="E24" s="12"/>
      <c r="F24" s="21"/>
      <c r="G24" s="25">
        <v>1</v>
      </c>
      <c r="H24" s="22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23"/>
      <c r="E25" s="12"/>
      <c r="F25" s="21"/>
      <c r="G25" s="25">
        <v>1</v>
      </c>
      <c r="H25" s="22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23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23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23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23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25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25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2021</vt:lpstr>
      <vt:lpstr>Février 2021</vt:lpstr>
      <vt:lpstr>Mars 2021</vt:lpstr>
      <vt:lpstr>Avril 2021</vt:lpstr>
      <vt:lpstr>Mai 2021</vt:lpstr>
      <vt:lpstr>Juin 2021</vt:lpstr>
      <vt:lpstr>Juillet 2021</vt:lpstr>
      <vt:lpstr>Aout 2021</vt:lpstr>
      <vt:lpstr>Septembre 2021</vt:lpstr>
      <vt:lpstr>Octobre 2021</vt:lpstr>
      <vt:lpstr>Novembre 2021</vt:lpstr>
      <vt:lpstr>Decembre 2021</vt:lpstr>
      <vt:lpstr>'Aout 2021'!Impression_des_titres</vt:lpstr>
      <vt:lpstr>'Avril 2021'!Impression_des_titres</vt:lpstr>
      <vt:lpstr>'Decembre 2021'!Impression_des_titres</vt:lpstr>
      <vt:lpstr>'Février 2021'!Impression_des_titres</vt:lpstr>
      <vt:lpstr>'Janvier 2021'!Impression_des_titres</vt:lpstr>
      <vt:lpstr>'Juillet 2021'!Impression_des_titres</vt:lpstr>
      <vt:lpstr>'Juin 2021'!Impression_des_titres</vt:lpstr>
      <vt:lpstr>'Mai 2021'!Impression_des_titres</vt:lpstr>
      <vt:lpstr>'Mars 2021'!Impression_des_titres</vt:lpstr>
      <vt:lpstr>'Novembre 2021'!Impression_des_titres</vt:lpstr>
      <vt:lpstr>'Octobre 2021'!Impression_des_titres</vt:lpstr>
      <vt:lpstr>'Septembre 2021'!Impression_des_titres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2021-12-01T09:34:53Z</cp:lastPrinted>
  <dcterms:created xsi:type="dcterms:W3CDTF">2014-12-31T15:00:30Z</dcterms:created>
  <dcterms:modified xsi:type="dcterms:W3CDTF">2022-01-11T07:55:39Z</dcterms:modified>
</cp:coreProperties>
</file>