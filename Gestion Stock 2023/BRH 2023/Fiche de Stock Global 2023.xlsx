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BRH 2023\"/>
    </mc:Choice>
  </mc:AlternateContent>
  <bookViews>
    <workbookView xWindow="555" yWindow="75" windowWidth="11700" windowHeight="6825" firstSheet="7" activeTab="11"/>
  </bookViews>
  <sheets>
    <sheet name="JANVIER 2023" sheetId="13" r:id="rId1"/>
    <sheet name="FEVRIER 2023" sheetId="14" r:id="rId2"/>
    <sheet name="MARS 2023" sheetId="15" r:id="rId3"/>
    <sheet name="AVRIL 2023" sheetId="16" r:id="rId4"/>
    <sheet name="MAI 2023" sheetId="17" r:id="rId5"/>
    <sheet name="JUIN 2023" sheetId="18" r:id="rId6"/>
    <sheet name="JUILLET 2023" sheetId="19" r:id="rId7"/>
    <sheet name="AOUT 2023" sheetId="20" r:id="rId8"/>
    <sheet name="SEPTEMBRE 2023" sheetId="21" r:id="rId9"/>
    <sheet name="OCTOBRE 2023" sheetId="22" r:id="rId10"/>
    <sheet name="NOVEMBRE 2023" sheetId="23" r:id="rId11"/>
    <sheet name="DECEMBRE 2023" sheetId="24" r:id="rId12"/>
  </sheets>
  <calcPr calcId="162913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L36" i="24"/>
  <c r="K36" i="24"/>
  <c r="F36" i="24"/>
  <c r="K35" i="24"/>
  <c r="F35" i="24"/>
  <c r="K34" i="24"/>
  <c r="F34" i="24"/>
  <c r="K33" i="24"/>
  <c r="F33" i="24"/>
  <c r="L33" i="24" s="1"/>
  <c r="L32" i="24"/>
  <c r="K32" i="24"/>
  <c r="F32" i="24"/>
  <c r="K31" i="24"/>
  <c r="F31" i="24"/>
  <c r="K30" i="24"/>
  <c r="F30" i="24"/>
  <c r="L30" i="24" s="1"/>
  <c r="K29" i="24"/>
  <c r="F29" i="24"/>
  <c r="L29" i="24" s="1"/>
  <c r="K28" i="24"/>
  <c r="F28" i="24"/>
  <c r="K27" i="24"/>
  <c r="F27" i="24"/>
  <c r="K26" i="24"/>
  <c r="F26" i="24"/>
  <c r="K25" i="24"/>
  <c r="F25" i="24"/>
  <c r="L25" i="24" s="1"/>
  <c r="K24" i="24"/>
  <c r="F24" i="24"/>
  <c r="L24" i="24" s="1"/>
  <c r="K23" i="24"/>
  <c r="F23" i="24"/>
  <c r="K22" i="24"/>
  <c r="F22" i="24"/>
  <c r="L22" i="24" s="1"/>
  <c r="K21" i="24"/>
  <c r="F21" i="24"/>
  <c r="L21" i="24" s="1"/>
  <c r="K20" i="24"/>
  <c r="F20" i="24"/>
  <c r="L20" i="24" s="1"/>
  <c r="K19" i="24"/>
  <c r="F19" i="24"/>
  <c r="K18" i="24"/>
  <c r="F18" i="24"/>
  <c r="K17" i="24"/>
  <c r="F17" i="24"/>
  <c r="L17" i="24" s="1"/>
  <c r="K16" i="24"/>
  <c r="F16" i="24"/>
  <c r="L16" i="24" s="1"/>
  <c r="K15" i="24"/>
  <c r="F15" i="24"/>
  <c r="K14" i="24"/>
  <c r="F14" i="24"/>
  <c r="K13" i="24"/>
  <c r="F13" i="24"/>
  <c r="L13" i="24" s="1"/>
  <c r="K12" i="24"/>
  <c r="F12" i="24"/>
  <c r="K11" i="24"/>
  <c r="L11" i="24" s="1"/>
  <c r="F11" i="24"/>
  <c r="K10" i="24"/>
  <c r="F10" i="24"/>
  <c r="L10" i="24" s="1"/>
  <c r="K9" i="24"/>
  <c r="F9" i="24"/>
  <c r="L9" i="24" s="1"/>
  <c r="L18" i="24" l="1"/>
  <c r="L28" i="24"/>
  <c r="L26" i="24"/>
  <c r="K40" i="24"/>
  <c r="L14" i="24"/>
  <c r="L12" i="24"/>
  <c r="L34" i="24"/>
  <c r="L35" i="24"/>
  <c r="L27" i="24"/>
  <c r="L31" i="24"/>
  <c r="L15" i="24"/>
  <c r="L19" i="24"/>
  <c r="L23" i="24"/>
  <c r="F40" i="24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K35" i="23"/>
  <c r="F35" i="23"/>
  <c r="L35" i="23" s="1"/>
  <c r="K34" i="23"/>
  <c r="F34" i="23"/>
  <c r="L34" i="23" s="1"/>
  <c r="K33" i="23"/>
  <c r="F33" i="23"/>
  <c r="L33" i="23" s="1"/>
  <c r="K32" i="23"/>
  <c r="L32" i="23" s="1"/>
  <c r="F32" i="23"/>
  <c r="K31" i="23"/>
  <c r="F31" i="23"/>
  <c r="K30" i="23"/>
  <c r="F30" i="23"/>
  <c r="L30" i="23" s="1"/>
  <c r="K29" i="23"/>
  <c r="F29" i="23"/>
  <c r="L29" i="23" s="1"/>
  <c r="K28" i="23"/>
  <c r="F28" i="23"/>
  <c r="K27" i="23"/>
  <c r="F27" i="23"/>
  <c r="K26" i="23"/>
  <c r="F26" i="23"/>
  <c r="L26" i="23" s="1"/>
  <c r="L25" i="23"/>
  <c r="K25" i="23"/>
  <c r="F25" i="23"/>
  <c r="K24" i="23"/>
  <c r="F24" i="23"/>
  <c r="K23" i="23"/>
  <c r="F23" i="23"/>
  <c r="K22" i="23"/>
  <c r="F22" i="23"/>
  <c r="K21" i="23"/>
  <c r="F21" i="23"/>
  <c r="K20" i="23"/>
  <c r="L20" i="23" s="1"/>
  <c r="F20" i="23"/>
  <c r="K19" i="23"/>
  <c r="F19" i="23"/>
  <c r="L19" i="23" s="1"/>
  <c r="K18" i="23"/>
  <c r="F18" i="23"/>
  <c r="L18" i="23" s="1"/>
  <c r="K17" i="23"/>
  <c r="F17" i="23"/>
  <c r="L17" i="23" s="1"/>
  <c r="K16" i="23"/>
  <c r="F16" i="23"/>
  <c r="K15" i="23"/>
  <c r="F15" i="23"/>
  <c r="L15" i="23" s="1"/>
  <c r="K14" i="23"/>
  <c r="F14" i="23"/>
  <c r="L14" i="23" s="1"/>
  <c r="K13" i="23"/>
  <c r="L13" i="23" s="1"/>
  <c r="F13" i="23"/>
  <c r="K12" i="23"/>
  <c r="F12" i="23"/>
  <c r="K11" i="23"/>
  <c r="F11" i="23"/>
  <c r="L11" i="23" s="1"/>
  <c r="K10" i="23"/>
  <c r="F10" i="23"/>
  <c r="L9" i="23"/>
  <c r="K9" i="23"/>
  <c r="F9" i="23"/>
  <c r="L40" i="24" l="1"/>
  <c r="G46" i="24" s="1"/>
  <c r="G47" i="24" s="1"/>
  <c r="G49" i="24" s="1"/>
  <c r="L23" i="23"/>
  <c r="L22" i="23"/>
  <c r="L36" i="23"/>
  <c r="L31" i="23"/>
  <c r="L27" i="23"/>
  <c r="L28" i="23"/>
  <c r="L21" i="23"/>
  <c r="L10" i="23"/>
  <c r="L24" i="23"/>
  <c r="F40" i="23"/>
  <c r="L12" i="23"/>
  <c r="L16" i="23"/>
  <c r="K40" i="23"/>
  <c r="J40" i="22"/>
  <c r="I40" i="22"/>
  <c r="H40" i="22"/>
  <c r="G40" i="22"/>
  <c r="E40" i="22"/>
  <c r="D40" i="22"/>
  <c r="C40" i="22"/>
  <c r="B40" i="22"/>
  <c r="L39" i="22"/>
  <c r="K39" i="22"/>
  <c r="F39" i="22"/>
  <c r="K38" i="22"/>
  <c r="F38" i="22"/>
  <c r="L38" i="22" s="1"/>
  <c r="K37" i="22"/>
  <c r="F37" i="22"/>
  <c r="L37" i="22" s="1"/>
  <c r="L36" i="22"/>
  <c r="K36" i="22"/>
  <c r="F36" i="22"/>
  <c r="K35" i="22"/>
  <c r="F35" i="22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K20" i="22"/>
  <c r="F20" i="22"/>
  <c r="K19" i="22"/>
  <c r="F19" i="22"/>
  <c r="K18" i="22"/>
  <c r="F18" i="22"/>
  <c r="K17" i="22"/>
  <c r="F17" i="22"/>
  <c r="K16" i="22"/>
  <c r="F16" i="22"/>
  <c r="L16" i="22" s="1"/>
  <c r="K15" i="22"/>
  <c r="F15" i="22"/>
  <c r="K14" i="22"/>
  <c r="F14" i="22"/>
  <c r="L14" i="22" s="1"/>
  <c r="K13" i="22"/>
  <c r="F13" i="22"/>
  <c r="K12" i="22"/>
  <c r="F12" i="22"/>
  <c r="K11" i="22"/>
  <c r="F11" i="22"/>
  <c r="K10" i="22"/>
  <c r="F10" i="22"/>
  <c r="K9" i="22"/>
  <c r="F9" i="22"/>
  <c r="L9" i="22" s="1"/>
  <c r="L40" i="23" l="1"/>
  <c r="G46" i="23" s="1"/>
  <c r="G47" i="23" s="1"/>
  <c r="G49" i="23" s="1"/>
  <c r="L18" i="22"/>
  <c r="L20" i="22"/>
  <c r="L35" i="22"/>
  <c r="L28" i="22"/>
  <c r="L13" i="22"/>
  <c r="L15" i="22"/>
  <c r="L17" i="22"/>
  <c r="L21" i="22"/>
  <c r="L12" i="22"/>
  <c r="L19" i="22"/>
  <c r="L11" i="22"/>
  <c r="L10" i="22"/>
  <c r="K40" i="22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K35" i="21"/>
  <c r="F35" i="21"/>
  <c r="L35" i="21" s="1"/>
  <c r="K34" i="21"/>
  <c r="F34" i="21"/>
  <c r="K33" i="21"/>
  <c r="F33" i="21"/>
  <c r="K32" i="21"/>
  <c r="F32" i="21"/>
  <c r="L32" i="21" s="1"/>
  <c r="K31" i="21"/>
  <c r="F31" i="21"/>
  <c r="L31" i="21" s="1"/>
  <c r="K30" i="21"/>
  <c r="F30" i="21"/>
  <c r="L30" i="21" s="1"/>
  <c r="K29" i="21"/>
  <c r="F29" i="21"/>
  <c r="K28" i="21"/>
  <c r="L28" i="21" s="1"/>
  <c r="F28" i="21"/>
  <c r="K27" i="21"/>
  <c r="F27" i="21"/>
  <c r="K26" i="21"/>
  <c r="F26" i="21"/>
  <c r="K25" i="21"/>
  <c r="F25" i="21"/>
  <c r="K24" i="21"/>
  <c r="F24" i="21"/>
  <c r="K23" i="21"/>
  <c r="F23" i="21"/>
  <c r="K22" i="21"/>
  <c r="F22" i="21"/>
  <c r="K21" i="21"/>
  <c r="F21" i="21"/>
  <c r="K20" i="21"/>
  <c r="F20" i="21"/>
  <c r="K19" i="21"/>
  <c r="F19" i="21"/>
  <c r="K18" i="21"/>
  <c r="F18" i="21"/>
  <c r="K17" i="21"/>
  <c r="F17" i="21"/>
  <c r="K16" i="21"/>
  <c r="F16" i="21"/>
  <c r="K15" i="21"/>
  <c r="F15" i="21"/>
  <c r="K14" i="21"/>
  <c r="F14" i="21"/>
  <c r="K13" i="21"/>
  <c r="F13" i="21"/>
  <c r="K12" i="21"/>
  <c r="L12" i="21" s="1"/>
  <c r="F12" i="21"/>
  <c r="K11" i="21"/>
  <c r="F11" i="21"/>
  <c r="K10" i="21"/>
  <c r="F10" i="21"/>
  <c r="L10" i="21" s="1"/>
  <c r="L9" i="21"/>
  <c r="K9" i="21"/>
  <c r="F9" i="21"/>
  <c r="J40" i="20"/>
  <c r="I40" i="20"/>
  <c r="H40" i="20"/>
  <c r="G40" i="20"/>
  <c r="E40" i="20"/>
  <c r="D40" i="20"/>
  <c r="C40" i="20"/>
  <c r="B40" i="20"/>
  <c r="K39" i="20"/>
  <c r="F39" i="20"/>
  <c r="K38" i="20"/>
  <c r="F38" i="20"/>
  <c r="L38" i="20" s="1"/>
  <c r="K37" i="20"/>
  <c r="F37" i="20"/>
  <c r="K36" i="20"/>
  <c r="F36" i="20"/>
  <c r="L36" i="20" s="1"/>
  <c r="K35" i="20"/>
  <c r="F35" i="20"/>
  <c r="K34" i="20"/>
  <c r="F34" i="20"/>
  <c r="L34" i="20" s="1"/>
  <c r="K33" i="20"/>
  <c r="F33" i="20"/>
  <c r="L33" i="20" s="1"/>
  <c r="K32" i="20"/>
  <c r="F32" i="20"/>
  <c r="L32" i="20" s="1"/>
  <c r="K31" i="20"/>
  <c r="F31" i="20"/>
  <c r="K30" i="20"/>
  <c r="F30" i="20"/>
  <c r="L30" i="20" s="1"/>
  <c r="K29" i="20"/>
  <c r="F29" i="20"/>
  <c r="L29" i="20" s="1"/>
  <c r="L28" i="20"/>
  <c r="K28" i="20"/>
  <c r="F28" i="20"/>
  <c r="K27" i="20"/>
  <c r="F27" i="20"/>
  <c r="K26" i="20"/>
  <c r="F26" i="20"/>
  <c r="L26" i="20" s="1"/>
  <c r="K25" i="20"/>
  <c r="F25" i="20"/>
  <c r="K24" i="20"/>
  <c r="F24" i="20"/>
  <c r="K23" i="20"/>
  <c r="F23" i="20"/>
  <c r="K22" i="20"/>
  <c r="F22" i="20"/>
  <c r="L22" i="20" s="1"/>
  <c r="K21" i="20"/>
  <c r="F21" i="20"/>
  <c r="K20" i="20"/>
  <c r="L20" i="20" s="1"/>
  <c r="F20" i="20"/>
  <c r="K19" i="20"/>
  <c r="F19" i="20"/>
  <c r="K18" i="20"/>
  <c r="F18" i="20"/>
  <c r="K17" i="20"/>
  <c r="F17" i="20"/>
  <c r="L17" i="20" s="1"/>
  <c r="L16" i="20"/>
  <c r="K16" i="20"/>
  <c r="F16" i="20"/>
  <c r="K15" i="20"/>
  <c r="F15" i="20"/>
  <c r="K14" i="20"/>
  <c r="F14" i="20"/>
  <c r="K13" i="20"/>
  <c r="F13" i="20"/>
  <c r="L13" i="20" s="1"/>
  <c r="K12" i="20"/>
  <c r="F12" i="20"/>
  <c r="K11" i="20"/>
  <c r="L11" i="20" s="1"/>
  <c r="F11" i="20"/>
  <c r="K10" i="20"/>
  <c r="F10" i="20"/>
  <c r="L10" i="20" s="1"/>
  <c r="K9" i="20"/>
  <c r="F9" i="20"/>
  <c r="L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L38" i="19" s="1"/>
  <c r="F38" i="19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K32" i="19"/>
  <c r="F32" i="19"/>
  <c r="L32" i="19" s="1"/>
  <c r="K31" i="19"/>
  <c r="F31" i="19"/>
  <c r="K30" i="19"/>
  <c r="F30" i="19"/>
  <c r="L29" i="19"/>
  <c r="K29" i="19"/>
  <c r="F29" i="19"/>
  <c r="K28" i="19"/>
  <c r="F28" i="19"/>
  <c r="L28" i="19" s="1"/>
  <c r="K27" i="19"/>
  <c r="F27" i="19"/>
  <c r="L27" i="19" s="1"/>
  <c r="K26" i="19"/>
  <c r="L26" i="19" s="1"/>
  <c r="F26" i="19"/>
  <c r="K25" i="19"/>
  <c r="F25" i="19"/>
  <c r="L25" i="19" s="1"/>
  <c r="K24" i="19"/>
  <c r="F24" i="19"/>
  <c r="K23" i="19"/>
  <c r="F23" i="19"/>
  <c r="L23" i="19" s="1"/>
  <c r="K22" i="19"/>
  <c r="F22" i="19"/>
  <c r="K21" i="19"/>
  <c r="F21" i="19"/>
  <c r="L21" i="19" s="1"/>
  <c r="K20" i="19"/>
  <c r="F20" i="19"/>
  <c r="K19" i="19"/>
  <c r="F19" i="19"/>
  <c r="L19" i="19" s="1"/>
  <c r="K18" i="19"/>
  <c r="F18" i="19"/>
  <c r="L18" i="19" s="1"/>
  <c r="K17" i="19"/>
  <c r="F17" i="19"/>
  <c r="K16" i="19"/>
  <c r="F16" i="19"/>
  <c r="L16" i="19" s="1"/>
  <c r="K15" i="19"/>
  <c r="F15" i="19"/>
  <c r="K14" i="19"/>
  <c r="F14" i="19"/>
  <c r="L14" i="19" s="1"/>
  <c r="L13" i="19"/>
  <c r="K13" i="19"/>
  <c r="F13" i="19"/>
  <c r="K12" i="19"/>
  <c r="F12" i="19"/>
  <c r="K11" i="19"/>
  <c r="F11" i="19"/>
  <c r="K10" i="19"/>
  <c r="L10" i="19" s="1"/>
  <c r="F10" i="19"/>
  <c r="K9" i="19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K38" i="18"/>
  <c r="F38" i="18"/>
  <c r="L37" i="18"/>
  <c r="K37" i="18"/>
  <c r="F37" i="18"/>
  <c r="K36" i="18"/>
  <c r="F36" i="18"/>
  <c r="L36" i="18" s="1"/>
  <c r="K35" i="18"/>
  <c r="F35" i="18"/>
  <c r="K34" i="18"/>
  <c r="F34" i="18"/>
  <c r="K33" i="18"/>
  <c r="F33" i="18"/>
  <c r="K32" i="18"/>
  <c r="F32" i="18"/>
  <c r="K31" i="18"/>
  <c r="F31" i="18"/>
  <c r="K30" i="18"/>
  <c r="F30" i="18"/>
  <c r="K29" i="18"/>
  <c r="F29" i="18"/>
  <c r="K28" i="18"/>
  <c r="F28" i="18"/>
  <c r="K27" i="18"/>
  <c r="F27" i="18"/>
  <c r="L27" i="18" s="1"/>
  <c r="K26" i="18"/>
  <c r="L26" i="18" s="1"/>
  <c r="F26" i="18"/>
  <c r="K25" i="18"/>
  <c r="F25" i="18"/>
  <c r="K24" i="18"/>
  <c r="F24" i="18"/>
  <c r="K23" i="18"/>
  <c r="F23" i="18"/>
  <c r="K22" i="18"/>
  <c r="F22" i="18"/>
  <c r="K21" i="18"/>
  <c r="F21" i="18"/>
  <c r="L21" i="18" s="1"/>
  <c r="K20" i="18"/>
  <c r="F20" i="18"/>
  <c r="L20" i="18" s="1"/>
  <c r="K19" i="18"/>
  <c r="F19" i="18"/>
  <c r="K18" i="18"/>
  <c r="F18" i="18"/>
  <c r="K17" i="18"/>
  <c r="F17" i="18"/>
  <c r="K16" i="18"/>
  <c r="F16" i="18"/>
  <c r="K15" i="18"/>
  <c r="F15" i="18"/>
  <c r="K14" i="18"/>
  <c r="F14" i="18"/>
  <c r="K13" i="18"/>
  <c r="F13" i="18"/>
  <c r="K12" i="18"/>
  <c r="F12" i="18"/>
  <c r="K11" i="18"/>
  <c r="F11" i="18"/>
  <c r="L11" i="18" s="1"/>
  <c r="K10" i="18"/>
  <c r="F10" i="18"/>
  <c r="L10" i="18" s="1"/>
  <c r="K9" i="18"/>
  <c r="F9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K37" i="17"/>
  <c r="F37" i="17"/>
  <c r="K36" i="17"/>
  <c r="F36" i="17"/>
  <c r="K35" i="17"/>
  <c r="F35" i="17"/>
  <c r="K34" i="17"/>
  <c r="F34" i="17"/>
  <c r="K33" i="17"/>
  <c r="F33" i="17"/>
  <c r="L33" i="17" s="1"/>
  <c r="K32" i="17"/>
  <c r="F32" i="17"/>
  <c r="K31" i="17"/>
  <c r="F31" i="17"/>
  <c r="L31" i="17" s="1"/>
  <c r="K30" i="17"/>
  <c r="F30" i="17"/>
  <c r="K29" i="17"/>
  <c r="F29" i="17"/>
  <c r="K28" i="17"/>
  <c r="F28" i="17"/>
  <c r="K27" i="17"/>
  <c r="F27" i="17"/>
  <c r="K26" i="17"/>
  <c r="F26" i="17"/>
  <c r="K25" i="17"/>
  <c r="F25" i="17"/>
  <c r="K24" i="17"/>
  <c r="F24" i="17"/>
  <c r="K23" i="17"/>
  <c r="F23" i="17"/>
  <c r="K22" i="17"/>
  <c r="F22" i="17"/>
  <c r="K21" i="17"/>
  <c r="F21" i="17"/>
  <c r="K20" i="17"/>
  <c r="F20" i="17"/>
  <c r="K19" i="17"/>
  <c r="F19" i="17"/>
  <c r="K18" i="17"/>
  <c r="F18" i="17"/>
  <c r="K17" i="17"/>
  <c r="F17" i="17"/>
  <c r="K16" i="17"/>
  <c r="F16" i="17"/>
  <c r="K15" i="17"/>
  <c r="F15" i="17"/>
  <c r="L15" i="17" s="1"/>
  <c r="L14" i="17"/>
  <c r="K14" i="17"/>
  <c r="F14" i="17"/>
  <c r="K13" i="17"/>
  <c r="F13" i="17"/>
  <c r="L13" i="17" s="1"/>
  <c r="K12" i="17"/>
  <c r="F12" i="17"/>
  <c r="K11" i="17"/>
  <c r="F11" i="17"/>
  <c r="K10" i="17"/>
  <c r="F10" i="17"/>
  <c r="L10" i="17" s="1"/>
  <c r="K9" i="17"/>
  <c r="L9" i="17" s="1"/>
  <c r="F9" i="17"/>
  <c r="L40" i="22" l="1"/>
  <c r="G46" i="22" s="1"/>
  <c r="G47" i="22" s="1"/>
  <c r="G49" i="22" s="1"/>
  <c r="L13" i="21"/>
  <c r="L19" i="21"/>
  <c r="L21" i="21"/>
  <c r="L23" i="21"/>
  <c r="L27" i="21"/>
  <c r="L29" i="21"/>
  <c r="L36" i="21"/>
  <c r="L33" i="21"/>
  <c r="L17" i="21"/>
  <c r="L14" i="21"/>
  <c r="L16" i="21"/>
  <c r="L18" i="21"/>
  <c r="L20" i="21"/>
  <c r="L22" i="21"/>
  <c r="L24" i="21"/>
  <c r="L25" i="21"/>
  <c r="L15" i="21"/>
  <c r="L26" i="21"/>
  <c r="L34" i="21"/>
  <c r="K40" i="21"/>
  <c r="L11" i="21"/>
  <c r="F40" i="21"/>
  <c r="L37" i="20"/>
  <c r="L23" i="20"/>
  <c r="L27" i="20"/>
  <c r="L39" i="20"/>
  <c r="L35" i="20"/>
  <c r="L24" i="20"/>
  <c r="L31" i="20"/>
  <c r="K40" i="20"/>
  <c r="L21" i="20"/>
  <c r="L18" i="20"/>
  <c r="L25" i="20"/>
  <c r="L15" i="20"/>
  <c r="L19" i="20"/>
  <c r="L12" i="20"/>
  <c r="L14" i="20"/>
  <c r="F40" i="20"/>
  <c r="L34" i="18"/>
  <c r="L25" i="17"/>
  <c r="L29" i="17"/>
  <c r="L24" i="17"/>
  <c r="L36" i="17"/>
  <c r="L9" i="18"/>
  <c r="L18" i="18"/>
  <c r="L29" i="18"/>
  <c r="L39" i="18"/>
  <c r="L15" i="19"/>
  <c r="L17" i="19"/>
  <c r="L22" i="19"/>
  <c r="L31" i="19"/>
  <c r="L33" i="19"/>
  <c r="L24" i="19"/>
  <c r="L20" i="19"/>
  <c r="L12" i="19"/>
  <c r="K40" i="19"/>
  <c r="L30" i="19"/>
  <c r="F40" i="19"/>
  <c r="L11" i="19"/>
  <c r="L13" i="18"/>
  <c r="L14" i="18"/>
  <c r="L23" i="18"/>
  <c r="L25" i="18"/>
  <c r="L30" i="18"/>
  <c r="L32" i="18"/>
  <c r="L12" i="18"/>
  <c r="L19" i="18"/>
  <c r="L28" i="18"/>
  <c r="L35" i="18"/>
  <c r="K40" i="18"/>
  <c r="L16" i="18"/>
  <c r="L15" i="18"/>
  <c r="L17" i="18"/>
  <c r="L22" i="18"/>
  <c r="L24" i="18"/>
  <c r="L31" i="18"/>
  <c r="L33" i="18"/>
  <c r="L38" i="18"/>
  <c r="F40" i="18"/>
  <c r="L38" i="17"/>
  <c r="L17" i="17"/>
  <c r="L37" i="17"/>
  <c r="L32" i="17"/>
  <c r="L30" i="17"/>
  <c r="L12" i="17"/>
  <c r="L11" i="17"/>
  <c r="L22" i="17"/>
  <c r="L34" i="17"/>
  <c r="L35" i="17"/>
  <c r="L18" i="17"/>
  <c r="L20" i="17"/>
  <c r="L27" i="17"/>
  <c r="K40" i="17"/>
  <c r="L16" i="17"/>
  <c r="L23" i="17"/>
  <c r="L19" i="17"/>
  <c r="L21" i="17"/>
  <c r="L26" i="17"/>
  <c r="L28" i="17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K35" i="16"/>
  <c r="F35" i="16"/>
  <c r="L35" i="16" s="1"/>
  <c r="K34" i="16"/>
  <c r="F34" i="16"/>
  <c r="K33" i="16"/>
  <c r="F33" i="16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L10" i="16" s="1"/>
  <c r="K9" i="16"/>
  <c r="F9" i="16"/>
  <c r="L40" i="21" l="1"/>
  <c r="G46" i="21" s="1"/>
  <c r="G47" i="21" s="1"/>
  <c r="G49" i="21" s="1"/>
  <c r="L40" i="20"/>
  <c r="G46" i="20" s="1"/>
  <c r="G47" i="20" s="1"/>
  <c r="G49" i="20" s="1"/>
  <c r="L40" i="19"/>
  <c r="G46" i="19" s="1"/>
  <c r="G47" i="19" s="1"/>
  <c r="G49" i="19" s="1"/>
  <c r="K40" i="16"/>
  <c r="L40" i="18"/>
  <c r="G46" i="18" s="1"/>
  <c r="G47" i="18" s="1"/>
  <c r="G49" i="18" s="1"/>
  <c r="L40" i="17"/>
  <c r="G46" i="17" s="1"/>
  <c r="G47" i="17" s="1"/>
  <c r="G49" i="17" s="1"/>
  <c r="F40" i="16"/>
  <c r="L34" i="16"/>
  <c r="L33" i="16"/>
  <c r="L25" i="16"/>
  <c r="L20" i="16"/>
  <c r="L36" i="16"/>
  <c r="L9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L10" i="15" s="1"/>
  <c r="K9" i="15"/>
  <c r="F9" i="15"/>
  <c r="F40" i="15" s="1"/>
  <c r="K40" i="15" l="1"/>
  <c r="L40" i="16"/>
  <c r="G46" i="16" s="1"/>
  <c r="G47" i="16" s="1"/>
  <c r="G49" i="16" s="1"/>
  <c r="L23" i="15"/>
  <c r="L9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L10" i="14" s="1"/>
  <c r="K9" i="14"/>
  <c r="K40" i="14" s="1"/>
  <c r="F9" i="14"/>
  <c r="L9" i="14" s="1"/>
  <c r="L40" i="15" l="1"/>
  <c r="G46" i="15" s="1"/>
  <c r="G47" i="15" s="1"/>
  <c r="G49" i="15" s="1"/>
  <c r="L23" i="14"/>
  <c r="L40" i="14" s="1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F40" i="13" l="1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<sst xmlns="http://schemas.openxmlformats.org/spreadsheetml/2006/main" count="396" uniqueCount="40">
  <si>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</si>
  <si>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</si>
  <si>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</si>
  <si>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</si>
  <si>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</si>
  <si>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</si>
  <si>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</si>
  <si>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</si>
  <si>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</si>
  <si>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</si>
  <si>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</si>
  <si>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</si>
  <si>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</si>
  <si>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</si>
  <si>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</si>
  <si>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</si>
  <si>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</si>
  <si>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</si>
  <si>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</si>
  <si>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</si>
  <si>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</si>
  <si>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</si>
  <si>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</si>
  <si>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</si>
  <si>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</si>
  <si>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</si>
  <si>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</si>
  <si>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</si>
  <si>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</si>
  <si>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</si>
  <si>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</si>
  <si>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</si>
  <si>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</si>
  <si>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</si>
  <si>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</si>
  <si>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</si>
  <si>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SEPTMBRE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</si>
  <si>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</si>
  <si>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</si>
  <si>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DEEMBRE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</si>
</sst>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19">
    <xf numFmtId="0" fontId="0" fillId="0" borderId="0" xfId="0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0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0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9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20" xfId="4" applyFill="1" applyBorder="1" applyAlignment="1" applyProtection="1">
      <alignment horizontal="center" vertical="center" wrapText="1"/>
      <protection locked="0"/>
    </xf>
    <xf numFmtId="0" fontId="7" fillId="2" borderId="19" xfId="3" applyFill="1" applyBorder="1" applyAlignment="1" applyProtection="1">
      <alignment horizontal="center" vertical="center" wrapText="1"/>
      <protection locked="0"/>
    </xf>
    <xf numFmtId="0" fontId="7" fillId="2" borderId="14" xfId="3" applyFill="1" applyBorder="1" applyAlignment="1" applyProtection="1">
      <alignment horizontal="center"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4" fillId="2" borderId="7" xfId="4" applyFont="1" applyFill="1" applyBorder="1" applyAlignment="1" applyProtection="1">
      <alignment horizontal="center" vertical="center" wrapText="1"/>
      <protection locked="0"/>
    </xf>
    <xf numFmtId="0" fontId="1" fillId="2" borderId="13" xfId="4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 applyProtection="1">
      <alignment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1" fillId="2" borderId="21" xfId="4" applyFill="1" applyBorder="1" applyAlignment="1" applyProtection="1">
      <alignment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L52"/>
  <sheetViews>
    <sheetView topLeftCell="A3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28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>
        <v>2</v>
      </c>
      <c r="D34" s="36"/>
      <c r="E34" s="37"/>
      <c r="F34" s="13">
        <f t="shared" si="0"/>
        <v>2</v>
      </c>
      <c r="G34" s="19"/>
      <c r="H34" s="38"/>
      <c r="I34" s="14"/>
      <c r="J34" s="14"/>
      <c r="K34" s="11">
        <f t="shared" si="1"/>
        <v>0</v>
      </c>
      <c r="L34" s="5">
        <f t="shared" si="2"/>
        <v>2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4">
        <f>SUM(B9:B39)</f>
        <v>0</v>
      </c>
      <c r="C40" s="54">
        <f t="shared" ref="C40:E40" si="3">SUM(C9:C39)</f>
        <v>2</v>
      </c>
      <c r="D40" s="54">
        <f t="shared" si="3"/>
        <v>0</v>
      </c>
      <c r="E40" s="54">
        <f t="shared" si="3"/>
        <v>0</v>
      </c>
      <c r="F40" s="53">
        <f>SUM(F9:F39)</f>
        <v>2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12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2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10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10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0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29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43"/>
      <c r="D11" s="43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43"/>
      <c r="D12" s="43"/>
      <c r="E12" s="39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43"/>
      <c r="D13" s="43"/>
      <c r="E13" s="39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43"/>
      <c r="D14" s="43"/>
      <c r="E14" s="39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43"/>
      <c r="D15" s="43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43"/>
      <c r="D16" s="43"/>
      <c r="E16" s="39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43"/>
      <c r="D17" s="43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43"/>
      <c r="D18" s="43"/>
      <c r="E18" s="39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43"/>
      <c r="D19" s="43"/>
      <c r="E19" s="39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43"/>
      <c r="D20" s="43"/>
      <c r="E20" s="39"/>
      <c r="F20" s="13">
        <f t="shared" si="0"/>
        <v>0</v>
      </c>
      <c r="G20" s="19"/>
      <c r="H20" s="38"/>
      <c r="I20" s="59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/>
      <c r="E21" s="39"/>
      <c r="F21" s="13">
        <f t="shared" si="0"/>
        <v>0</v>
      </c>
      <c r="G21" s="21"/>
      <c r="H21" s="42"/>
      <c r="I21" s="60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60"/>
      <c r="I22" s="60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60">
        <v>1</v>
      </c>
      <c r="I23" s="60"/>
      <c r="J23" s="14"/>
      <c r="K23" s="11">
        <f t="shared" si="1"/>
        <v>1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/>
      <c r="H24" s="60"/>
      <c r="I24" s="60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60"/>
      <c r="I25" s="60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60"/>
      <c r="I26" s="60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>
        <v>16</v>
      </c>
      <c r="C27" s="43"/>
      <c r="D27" s="43"/>
      <c r="E27" s="39"/>
      <c r="F27" s="13">
        <f t="shared" si="0"/>
        <v>16</v>
      </c>
      <c r="G27" s="19"/>
      <c r="H27" s="60"/>
      <c r="I27" s="60"/>
      <c r="J27" s="14"/>
      <c r="K27" s="11">
        <f t="shared" si="1"/>
        <v>0</v>
      </c>
      <c r="L27" s="5">
        <f t="shared" si="2"/>
        <v>16</v>
      </c>
    </row>
    <row r="28" spans="1:12" ht="15" customHeight="1" thickBot="1" x14ac:dyDescent="0.3">
      <c r="A28" s="49">
        <v>20</v>
      </c>
      <c r="B28" s="44">
        <v>8</v>
      </c>
      <c r="C28" s="43">
        <v>1</v>
      </c>
      <c r="D28" s="43"/>
      <c r="E28" s="39"/>
      <c r="F28" s="13">
        <f t="shared" si="0"/>
        <v>9</v>
      </c>
      <c r="G28" s="19"/>
      <c r="H28" s="60"/>
      <c r="I28" s="60"/>
      <c r="J28" s="14"/>
      <c r="K28" s="11">
        <f t="shared" si="1"/>
        <v>0</v>
      </c>
      <c r="L28" s="5">
        <f t="shared" si="2"/>
        <v>9</v>
      </c>
    </row>
    <row r="29" spans="1:12" ht="15" customHeight="1" thickBot="1" x14ac:dyDescent="0.3">
      <c r="A29" s="49">
        <v>21</v>
      </c>
      <c r="B29" s="44">
        <v>2</v>
      </c>
      <c r="C29" s="43"/>
      <c r="D29" s="43"/>
      <c r="E29" s="39">
        <v>1</v>
      </c>
      <c r="F29" s="13">
        <f t="shared" si="0"/>
        <v>3</v>
      </c>
      <c r="G29" s="19"/>
      <c r="H29" s="60"/>
      <c r="I29" s="60"/>
      <c r="J29" s="14"/>
      <c r="K29" s="11">
        <f t="shared" si="1"/>
        <v>0</v>
      </c>
      <c r="L29" s="5">
        <f t="shared" si="2"/>
        <v>3</v>
      </c>
    </row>
    <row r="30" spans="1:12" ht="15" customHeight="1" thickBot="1" x14ac:dyDescent="0.3">
      <c r="A30" s="49">
        <v>22</v>
      </c>
      <c r="B30" s="44">
        <v>3</v>
      </c>
      <c r="C30" s="43"/>
      <c r="D30" s="43"/>
      <c r="E30" s="39"/>
      <c r="F30" s="13">
        <f t="shared" si="0"/>
        <v>3</v>
      </c>
      <c r="G30" s="19"/>
      <c r="H30" s="60"/>
      <c r="I30" s="60"/>
      <c r="J30" s="14"/>
      <c r="K30" s="11">
        <f t="shared" si="1"/>
        <v>0</v>
      </c>
      <c r="L30" s="5">
        <f t="shared" si="2"/>
        <v>3</v>
      </c>
    </row>
    <row r="31" spans="1:12" ht="15" customHeight="1" thickBot="1" x14ac:dyDescent="0.3">
      <c r="A31" s="49">
        <v>23</v>
      </c>
      <c r="B31" s="44">
        <v>7</v>
      </c>
      <c r="C31" s="43"/>
      <c r="D31" s="43">
        <v>1</v>
      </c>
      <c r="E31" s="39"/>
      <c r="F31" s="13">
        <f t="shared" si="0"/>
        <v>8</v>
      </c>
      <c r="G31" s="19"/>
      <c r="H31" s="14"/>
      <c r="I31" s="14"/>
      <c r="J31" s="14"/>
      <c r="K31" s="11">
        <f t="shared" si="1"/>
        <v>0</v>
      </c>
      <c r="L31" s="5">
        <f t="shared" si="2"/>
        <v>8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13</v>
      </c>
      <c r="C34" s="43"/>
      <c r="D34" s="43"/>
      <c r="E34" s="39"/>
      <c r="F34" s="13">
        <f t="shared" si="0"/>
        <v>13</v>
      </c>
      <c r="G34" s="19"/>
      <c r="H34" s="38"/>
      <c r="I34" s="14"/>
      <c r="J34" s="14"/>
      <c r="K34" s="11">
        <f t="shared" si="1"/>
        <v>0</v>
      </c>
      <c r="L34" s="5">
        <f t="shared" si="2"/>
        <v>13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>
        <v>12</v>
      </c>
      <c r="C36" s="60"/>
      <c r="D36" s="60">
        <v>1</v>
      </c>
      <c r="E36" s="63"/>
      <c r="F36" s="13">
        <f t="shared" si="0"/>
        <v>13</v>
      </c>
      <c r="G36" s="19"/>
      <c r="H36" s="14"/>
      <c r="I36" s="14"/>
      <c r="J36" s="14"/>
      <c r="K36" s="11">
        <f t="shared" si="1"/>
        <v>0</v>
      </c>
      <c r="L36" s="5">
        <f t="shared" si="2"/>
        <v>13</v>
      </c>
    </row>
    <row r="37" spans="1:12" ht="15" customHeight="1" thickBot="1" x14ac:dyDescent="0.3">
      <c r="A37" s="49">
        <v>29</v>
      </c>
      <c r="B37" s="46"/>
      <c r="C37" s="60"/>
      <c r="D37" s="60"/>
      <c r="E37" s="63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0"/>
      <c r="D38" s="60"/>
      <c r="E38" s="63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64"/>
      <c r="D39" s="47"/>
      <c r="E39" s="65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6">
        <f>SUM(B9:B39)</f>
        <v>61</v>
      </c>
      <c r="C40" s="56">
        <f t="shared" ref="C40:E40" si="3">SUM(C9:C39)</f>
        <v>1</v>
      </c>
      <c r="D40" s="56">
        <f t="shared" si="3"/>
        <v>2</v>
      </c>
      <c r="E40" s="56">
        <f t="shared" si="3"/>
        <v>1</v>
      </c>
      <c r="F40" s="55">
        <f>SUM(F9:F39)</f>
        <v>65</v>
      </c>
      <c r="G40" s="12">
        <f>SUM(G9:G39)</f>
        <v>0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66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10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101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66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45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45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B21" sqref="B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30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43"/>
      <c r="D11" s="43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43"/>
      <c r="D12" s="43"/>
      <c r="E12" s="39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8">
        <v>5</v>
      </c>
      <c r="C13" s="43"/>
      <c r="D13" s="43"/>
      <c r="E13" s="39"/>
      <c r="F13" s="13">
        <f t="shared" si="0"/>
        <v>5</v>
      </c>
      <c r="G13" s="38"/>
      <c r="H13" s="38"/>
      <c r="I13" s="14"/>
      <c r="J13" s="14"/>
      <c r="K13" s="11">
        <f t="shared" si="1"/>
        <v>0</v>
      </c>
      <c r="L13" s="5">
        <f t="shared" si="2"/>
        <v>5</v>
      </c>
    </row>
    <row r="14" spans="1:12" ht="15" customHeight="1" thickBot="1" x14ac:dyDescent="0.3">
      <c r="A14" s="49">
        <v>6</v>
      </c>
      <c r="B14" s="68">
        <v>4</v>
      </c>
      <c r="C14" s="43"/>
      <c r="D14" s="43"/>
      <c r="E14" s="39"/>
      <c r="F14" s="13">
        <f t="shared" si="0"/>
        <v>4</v>
      </c>
      <c r="G14" s="38"/>
      <c r="H14" s="38"/>
      <c r="I14" s="14"/>
      <c r="J14" s="14"/>
      <c r="K14" s="11">
        <f t="shared" si="1"/>
        <v>0</v>
      </c>
      <c r="L14" s="5">
        <f t="shared" si="2"/>
        <v>4</v>
      </c>
    </row>
    <row r="15" spans="1:12" ht="15" customHeight="1" thickBot="1" x14ac:dyDescent="0.3">
      <c r="A15" s="49">
        <v>7</v>
      </c>
      <c r="B15" s="68">
        <v>6</v>
      </c>
      <c r="C15" s="43"/>
      <c r="D15" s="43"/>
      <c r="E15" s="39"/>
      <c r="F15" s="13">
        <f t="shared" si="0"/>
        <v>6</v>
      </c>
      <c r="G15" s="38"/>
      <c r="H15" s="38"/>
      <c r="I15" s="14"/>
      <c r="J15" s="14"/>
      <c r="K15" s="11">
        <f t="shared" si="1"/>
        <v>0</v>
      </c>
      <c r="L15" s="5">
        <f t="shared" si="2"/>
        <v>6</v>
      </c>
    </row>
    <row r="16" spans="1:12" ht="15" customHeight="1" thickBot="1" x14ac:dyDescent="0.3">
      <c r="A16" s="49">
        <v>8</v>
      </c>
      <c r="B16" s="68">
        <v>2</v>
      </c>
      <c r="C16" s="43"/>
      <c r="D16" s="43">
        <v>1</v>
      </c>
      <c r="E16" s="39"/>
      <c r="F16" s="13">
        <f t="shared" si="0"/>
        <v>3</v>
      </c>
      <c r="G16" s="38"/>
      <c r="H16" s="38"/>
      <c r="I16" s="14"/>
      <c r="J16" s="14"/>
      <c r="K16" s="11">
        <f t="shared" si="1"/>
        <v>0</v>
      </c>
      <c r="L16" s="5">
        <f t="shared" si="2"/>
        <v>3</v>
      </c>
    </row>
    <row r="17" spans="1:12" ht="15" customHeight="1" thickBot="1" x14ac:dyDescent="0.3">
      <c r="A17" s="49">
        <v>9</v>
      </c>
      <c r="B17" s="68">
        <v>2</v>
      </c>
      <c r="C17" s="43"/>
      <c r="D17" s="43"/>
      <c r="E17" s="39"/>
      <c r="F17" s="13">
        <f t="shared" si="0"/>
        <v>2</v>
      </c>
      <c r="G17" s="38"/>
      <c r="H17" s="38"/>
      <c r="I17" s="14"/>
      <c r="J17" s="14"/>
      <c r="K17" s="11">
        <f t="shared" si="1"/>
        <v>0</v>
      </c>
      <c r="L17" s="5">
        <f t="shared" si="2"/>
        <v>2</v>
      </c>
    </row>
    <row r="18" spans="1:12" ht="15" customHeight="1" thickBot="1" x14ac:dyDescent="0.3">
      <c r="A18" s="49">
        <v>10</v>
      </c>
      <c r="B18" s="68"/>
      <c r="C18" s="43"/>
      <c r="D18" s="43"/>
      <c r="E18" s="39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8"/>
      <c r="C19" s="43"/>
      <c r="D19" s="43"/>
      <c r="E19" s="39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8">
        <v>31</v>
      </c>
      <c r="C20" s="43"/>
      <c r="D20" s="43"/>
      <c r="E20" s="39"/>
      <c r="F20" s="13">
        <f t="shared" si="0"/>
        <v>31</v>
      </c>
      <c r="G20" s="19"/>
      <c r="H20" s="38"/>
      <c r="I20" s="59"/>
      <c r="J20" s="20"/>
      <c r="K20" s="11">
        <f t="shared" si="1"/>
        <v>0</v>
      </c>
      <c r="L20" s="5">
        <f t="shared" si="2"/>
        <v>31</v>
      </c>
    </row>
    <row r="21" spans="1:12" ht="15" customHeight="1" thickBot="1" x14ac:dyDescent="0.3">
      <c r="A21" s="49">
        <v>13</v>
      </c>
      <c r="B21" s="68">
        <v>42</v>
      </c>
      <c r="C21" s="43"/>
      <c r="D21" s="43">
        <v>1</v>
      </c>
      <c r="E21" s="39"/>
      <c r="F21" s="13">
        <f t="shared" si="0"/>
        <v>43</v>
      </c>
      <c r="G21" s="21"/>
      <c r="H21" s="42"/>
      <c r="I21" s="60"/>
      <c r="J21" s="14"/>
      <c r="K21" s="11">
        <f t="shared" si="1"/>
        <v>0</v>
      </c>
      <c r="L21" s="5">
        <f t="shared" si="2"/>
        <v>43</v>
      </c>
    </row>
    <row r="22" spans="1:12" ht="15" customHeight="1" thickBot="1" x14ac:dyDescent="0.3">
      <c r="A22" s="49">
        <v>14</v>
      </c>
      <c r="B22" s="68">
        <v>20</v>
      </c>
      <c r="C22" s="43"/>
      <c r="D22" s="43"/>
      <c r="E22" s="39"/>
      <c r="F22" s="13">
        <f t="shared" si="0"/>
        <v>20</v>
      </c>
      <c r="G22" s="21"/>
      <c r="H22" s="60"/>
      <c r="I22" s="60"/>
      <c r="J22" s="14"/>
      <c r="K22" s="11">
        <f t="shared" si="1"/>
        <v>0</v>
      </c>
      <c r="L22" s="5">
        <f t="shared" si="2"/>
        <v>20</v>
      </c>
    </row>
    <row r="23" spans="1:12" ht="15" customHeight="1" thickBot="1" x14ac:dyDescent="0.3">
      <c r="A23" s="49">
        <v>15</v>
      </c>
      <c r="B23" s="68">
        <v>21</v>
      </c>
      <c r="C23" s="36"/>
      <c r="D23" s="43"/>
      <c r="E23" s="39"/>
      <c r="F23" s="13">
        <f t="shared" si="0"/>
        <v>21</v>
      </c>
      <c r="G23" s="19"/>
      <c r="H23" s="60"/>
      <c r="I23" s="60"/>
      <c r="J23" s="14"/>
      <c r="K23" s="11">
        <f t="shared" si="1"/>
        <v>0</v>
      </c>
      <c r="L23" s="5">
        <f t="shared" si="2"/>
        <v>21</v>
      </c>
    </row>
    <row r="24" spans="1:12" ht="15" customHeight="1" thickBot="1" x14ac:dyDescent="0.3">
      <c r="A24" s="49">
        <v>16</v>
      </c>
      <c r="B24" s="68">
        <v>20</v>
      </c>
      <c r="C24" s="36"/>
      <c r="D24" s="43"/>
      <c r="E24" s="39"/>
      <c r="F24" s="13">
        <f t="shared" si="0"/>
        <v>20</v>
      </c>
      <c r="G24" s="19"/>
      <c r="H24" s="60"/>
      <c r="I24" s="60"/>
      <c r="J24" s="14"/>
      <c r="K24" s="11">
        <f t="shared" si="1"/>
        <v>0</v>
      </c>
      <c r="L24" s="5">
        <f t="shared" si="2"/>
        <v>20</v>
      </c>
    </row>
    <row r="25" spans="1:12" ht="15" customHeight="1" thickBot="1" x14ac:dyDescent="0.3">
      <c r="A25" s="49">
        <v>17</v>
      </c>
      <c r="B25" s="68">
        <v>1</v>
      </c>
      <c r="C25" s="69"/>
      <c r="D25" s="43"/>
      <c r="E25" s="39"/>
      <c r="F25" s="13">
        <f t="shared" si="0"/>
        <v>1</v>
      </c>
      <c r="G25" s="19"/>
      <c r="H25" s="60"/>
      <c r="I25" s="60"/>
      <c r="J25" s="14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9">
        <v>18</v>
      </c>
      <c r="B26" s="68"/>
      <c r="C26" s="43"/>
      <c r="D26" s="43"/>
      <c r="E26" s="39"/>
      <c r="F26" s="13">
        <f t="shared" si="0"/>
        <v>0</v>
      </c>
      <c r="G26" s="19"/>
      <c r="H26" s="60"/>
      <c r="I26" s="60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8"/>
      <c r="C27" s="43"/>
      <c r="D27" s="43"/>
      <c r="E27" s="39"/>
      <c r="F27" s="13">
        <f t="shared" si="0"/>
        <v>0</v>
      </c>
      <c r="G27" s="19"/>
      <c r="H27" s="60"/>
      <c r="I27" s="60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8">
        <v>19</v>
      </c>
      <c r="C28" s="36"/>
      <c r="D28" s="43"/>
      <c r="E28" s="39"/>
      <c r="F28" s="13">
        <f t="shared" si="0"/>
        <v>19</v>
      </c>
      <c r="G28" s="19"/>
      <c r="H28" s="60"/>
      <c r="I28" s="60"/>
      <c r="J28" s="14"/>
      <c r="K28" s="11">
        <f t="shared" si="1"/>
        <v>0</v>
      </c>
      <c r="L28" s="5">
        <f t="shared" si="2"/>
        <v>19</v>
      </c>
    </row>
    <row r="29" spans="1:12" ht="15" customHeight="1" thickBot="1" x14ac:dyDescent="0.3">
      <c r="A29" s="49">
        <v>21</v>
      </c>
      <c r="B29" s="68">
        <v>22</v>
      </c>
      <c r="C29" s="36"/>
      <c r="D29" s="43"/>
      <c r="E29" s="39"/>
      <c r="F29" s="13">
        <f t="shared" si="0"/>
        <v>22</v>
      </c>
      <c r="G29" s="19"/>
      <c r="H29" s="60"/>
      <c r="I29" s="60"/>
      <c r="J29" s="14"/>
      <c r="K29" s="11">
        <f t="shared" si="1"/>
        <v>0</v>
      </c>
      <c r="L29" s="5">
        <f t="shared" si="2"/>
        <v>22</v>
      </c>
    </row>
    <row r="30" spans="1:12" ht="15" customHeight="1" thickBot="1" x14ac:dyDescent="0.3">
      <c r="A30" s="49">
        <v>22</v>
      </c>
      <c r="B30" s="68">
        <v>25</v>
      </c>
      <c r="C30" s="36"/>
      <c r="D30" s="43">
        <v>1</v>
      </c>
      <c r="E30" s="39"/>
      <c r="F30" s="13">
        <f t="shared" si="0"/>
        <v>26</v>
      </c>
      <c r="G30" s="19"/>
      <c r="H30" s="60"/>
      <c r="I30" s="60"/>
      <c r="J30" s="14"/>
      <c r="K30" s="11">
        <f t="shared" si="1"/>
        <v>0</v>
      </c>
      <c r="L30" s="5">
        <f t="shared" si="2"/>
        <v>26</v>
      </c>
    </row>
    <row r="31" spans="1:12" ht="15" customHeight="1" thickBot="1" x14ac:dyDescent="0.3">
      <c r="A31" s="49">
        <v>23</v>
      </c>
      <c r="B31" s="68">
        <v>20</v>
      </c>
      <c r="C31" s="36"/>
      <c r="D31" s="43"/>
      <c r="E31" s="39"/>
      <c r="F31" s="13">
        <f t="shared" si="0"/>
        <v>20</v>
      </c>
      <c r="G31" s="19"/>
      <c r="H31" s="14"/>
      <c r="I31" s="14"/>
      <c r="J31" s="14"/>
      <c r="K31" s="11">
        <f t="shared" si="1"/>
        <v>0</v>
      </c>
      <c r="L31" s="5">
        <f t="shared" si="2"/>
        <v>20</v>
      </c>
    </row>
    <row r="32" spans="1:12" ht="15" customHeight="1" thickBot="1" x14ac:dyDescent="0.3">
      <c r="A32" s="49">
        <v>24</v>
      </c>
      <c r="B32" s="68"/>
      <c r="C32" s="36"/>
      <c r="D32" s="43"/>
      <c r="E32" s="39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8"/>
      <c r="C33" s="36"/>
      <c r="D33" s="43"/>
      <c r="E33" s="39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8">
        <v>30</v>
      </c>
      <c r="C34" s="43"/>
      <c r="D34" s="43">
        <v>1</v>
      </c>
      <c r="E34" s="39"/>
      <c r="F34" s="13">
        <f t="shared" si="0"/>
        <v>31</v>
      </c>
      <c r="G34" s="19"/>
      <c r="H34" s="38"/>
      <c r="I34" s="14"/>
      <c r="J34" s="14"/>
      <c r="K34" s="11">
        <f t="shared" si="1"/>
        <v>0</v>
      </c>
      <c r="L34" s="5">
        <f t="shared" si="2"/>
        <v>31</v>
      </c>
    </row>
    <row r="35" spans="1:12" ht="15" customHeight="1" thickBot="1" x14ac:dyDescent="0.3">
      <c r="A35" s="49">
        <v>27</v>
      </c>
      <c r="B35" s="68">
        <v>32</v>
      </c>
      <c r="C35" s="36"/>
      <c r="D35" s="43"/>
      <c r="E35" s="39"/>
      <c r="F35" s="13">
        <f t="shared" si="0"/>
        <v>32</v>
      </c>
      <c r="G35" s="30"/>
      <c r="H35" s="38"/>
      <c r="I35" s="14"/>
      <c r="J35" s="14"/>
      <c r="K35" s="11">
        <f t="shared" si="1"/>
        <v>0</v>
      </c>
      <c r="L35" s="5">
        <f t="shared" si="2"/>
        <v>32</v>
      </c>
    </row>
    <row r="36" spans="1:12" ht="15" customHeight="1" thickBot="1" x14ac:dyDescent="0.3">
      <c r="A36" s="49">
        <v>28</v>
      </c>
      <c r="B36" s="68">
        <v>22</v>
      </c>
      <c r="C36" s="36"/>
      <c r="D36" s="43"/>
      <c r="E36" s="63"/>
      <c r="F36" s="13">
        <f t="shared" si="0"/>
        <v>22</v>
      </c>
      <c r="G36" s="19"/>
      <c r="H36" s="60">
        <v>1</v>
      </c>
      <c r="I36" s="14"/>
      <c r="J36" s="14"/>
      <c r="K36" s="11">
        <f t="shared" si="1"/>
        <v>1</v>
      </c>
      <c r="L36" s="5">
        <f t="shared" si="2"/>
        <v>23</v>
      </c>
    </row>
    <row r="37" spans="1:12" ht="15" customHeight="1" thickBot="1" x14ac:dyDescent="0.3">
      <c r="A37" s="49">
        <v>29</v>
      </c>
      <c r="B37" s="68"/>
      <c r="C37" s="36"/>
      <c r="D37" s="36"/>
      <c r="E37" s="63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68">
        <v>21</v>
      </c>
      <c r="C38" s="36"/>
      <c r="D38" s="36"/>
      <c r="E38" s="63"/>
      <c r="F38" s="13">
        <f t="shared" si="0"/>
        <v>21</v>
      </c>
      <c r="G38" s="19"/>
      <c r="H38" s="14"/>
      <c r="I38" s="14"/>
      <c r="J38" s="14"/>
      <c r="K38" s="11">
        <f t="shared" si="1"/>
        <v>0</v>
      </c>
      <c r="L38" s="5">
        <f t="shared" si="2"/>
        <v>21</v>
      </c>
    </row>
    <row r="39" spans="1:12" ht="15" customHeight="1" thickBot="1" x14ac:dyDescent="0.3">
      <c r="A39" s="51">
        <v>31</v>
      </c>
      <c r="B39" s="70"/>
      <c r="C39" s="71"/>
      <c r="D39" s="72"/>
      <c r="E39" s="65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8">
        <f>SUM(B9:B39)</f>
        <v>345</v>
      </c>
      <c r="C40" s="58">
        <f t="shared" ref="C40:E40" si="3">SUM(C9:C39)</f>
        <v>0</v>
      </c>
      <c r="D40" s="58">
        <f t="shared" si="3"/>
        <v>4</v>
      </c>
      <c r="E40" s="58">
        <f t="shared" si="3"/>
        <v>0</v>
      </c>
      <c r="F40" s="57">
        <f>SUM(F9:F39)</f>
        <v>349</v>
      </c>
      <c r="G40" s="12">
        <f>SUM(G9:G39)</f>
        <v>0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350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45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400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350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95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95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B21" sqref="B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31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20</v>
      </c>
      <c r="C10" s="43"/>
      <c r="D10" s="43"/>
      <c r="E10" s="39"/>
      <c r="F10" s="13">
        <f t="shared" ref="F10:F39" si="0">SUM(B10:E10)</f>
        <v>20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20</v>
      </c>
    </row>
    <row r="11" spans="1:12" ht="15" customHeight="1" thickBot="1" x14ac:dyDescent="0.3">
      <c r="A11" s="49">
        <v>3</v>
      </c>
      <c r="B11" s="44">
        <v>14</v>
      </c>
      <c r="C11" s="43"/>
      <c r="D11" s="43"/>
      <c r="E11" s="39"/>
      <c r="F11" s="13">
        <f t="shared" si="0"/>
        <v>14</v>
      </c>
      <c r="G11" s="19"/>
      <c r="H11" s="38"/>
      <c r="I11" s="14"/>
      <c r="J11" s="14"/>
      <c r="K11" s="11">
        <f t="shared" si="1"/>
        <v>0</v>
      </c>
      <c r="L11" s="5">
        <f t="shared" si="2"/>
        <v>14</v>
      </c>
    </row>
    <row r="12" spans="1:12" ht="15" customHeight="1" thickBot="1" x14ac:dyDescent="0.3">
      <c r="A12" s="49">
        <v>4</v>
      </c>
      <c r="B12" s="44"/>
      <c r="C12" s="43"/>
      <c r="D12" s="43"/>
      <c r="E12" s="39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8">
        <v>25</v>
      </c>
      <c r="C13" s="43"/>
      <c r="D13" s="43"/>
      <c r="E13" s="39"/>
      <c r="F13" s="13">
        <f t="shared" si="0"/>
        <v>25</v>
      </c>
      <c r="G13" s="38"/>
      <c r="H13" s="38"/>
      <c r="I13" s="14"/>
      <c r="J13" s="14"/>
      <c r="K13" s="11">
        <f t="shared" si="1"/>
        <v>0</v>
      </c>
      <c r="L13" s="5">
        <f t="shared" si="2"/>
        <v>25</v>
      </c>
    </row>
    <row r="14" spans="1:12" ht="15" customHeight="1" thickBot="1" x14ac:dyDescent="0.3">
      <c r="A14" s="49">
        <v>6</v>
      </c>
      <c r="B14" s="68"/>
      <c r="C14" s="43"/>
      <c r="D14" s="43">
        <v>1</v>
      </c>
      <c r="E14" s="39"/>
      <c r="F14" s="13">
        <f t="shared" si="0"/>
        <v>1</v>
      </c>
      <c r="G14" s="38"/>
      <c r="H14" s="38"/>
      <c r="I14" s="14"/>
      <c r="J14" s="14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9">
        <v>7</v>
      </c>
      <c r="B15" s="68"/>
      <c r="C15" s="43"/>
      <c r="D15" s="43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8"/>
      <c r="C16" s="43"/>
      <c r="D16" s="43"/>
      <c r="E16" s="39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8"/>
      <c r="C17" s="43"/>
      <c r="D17" s="43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8">
        <v>3</v>
      </c>
      <c r="C18" s="43"/>
      <c r="D18" s="43"/>
      <c r="E18" s="39"/>
      <c r="F18" s="13">
        <f t="shared" si="0"/>
        <v>3</v>
      </c>
      <c r="G18" s="41"/>
      <c r="H18" s="41"/>
      <c r="I18" s="14"/>
      <c r="J18" s="14"/>
      <c r="K18" s="11">
        <f t="shared" si="1"/>
        <v>0</v>
      </c>
      <c r="L18" s="5">
        <f t="shared" si="2"/>
        <v>3</v>
      </c>
    </row>
    <row r="19" spans="1:12" ht="15" customHeight="1" thickBot="1" x14ac:dyDescent="0.3">
      <c r="A19" s="49">
        <v>11</v>
      </c>
      <c r="B19" s="68"/>
      <c r="C19" s="43"/>
      <c r="D19" s="43"/>
      <c r="E19" s="39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8">
        <v>5</v>
      </c>
      <c r="C20" s="43"/>
      <c r="D20" s="43"/>
      <c r="E20" s="39"/>
      <c r="F20" s="13">
        <f t="shared" si="0"/>
        <v>5</v>
      </c>
      <c r="G20" s="19"/>
      <c r="H20" s="38">
        <v>4</v>
      </c>
      <c r="I20" s="59">
        <v>1</v>
      </c>
      <c r="J20" s="20"/>
      <c r="K20" s="11">
        <f t="shared" si="1"/>
        <v>5</v>
      </c>
      <c r="L20" s="5">
        <f t="shared" si="2"/>
        <v>10</v>
      </c>
    </row>
    <row r="21" spans="1:12" ht="15" customHeight="1" thickBot="1" x14ac:dyDescent="0.3">
      <c r="A21" s="49">
        <v>13</v>
      </c>
      <c r="B21" s="68">
        <v>4</v>
      </c>
      <c r="C21" s="43"/>
      <c r="D21" s="43"/>
      <c r="E21" s="39"/>
      <c r="F21" s="13">
        <f t="shared" si="0"/>
        <v>4</v>
      </c>
      <c r="G21" s="21"/>
      <c r="H21" s="42"/>
      <c r="I21" s="60"/>
      <c r="J21" s="14"/>
      <c r="K21" s="11">
        <f t="shared" si="1"/>
        <v>0</v>
      </c>
      <c r="L21" s="5">
        <f t="shared" si="2"/>
        <v>4</v>
      </c>
    </row>
    <row r="22" spans="1:12" ht="15" customHeight="1" thickBot="1" x14ac:dyDescent="0.3">
      <c r="A22" s="49">
        <v>14</v>
      </c>
      <c r="B22" s="68"/>
      <c r="C22" s="43"/>
      <c r="D22" s="43"/>
      <c r="E22" s="39"/>
      <c r="F22" s="13">
        <f t="shared" si="0"/>
        <v>0</v>
      </c>
      <c r="G22" s="21"/>
      <c r="H22" s="60"/>
      <c r="I22" s="60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8"/>
      <c r="C23" s="36"/>
      <c r="D23" s="43"/>
      <c r="E23" s="39"/>
      <c r="F23" s="13">
        <f t="shared" si="0"/>
        <v>0</v>
      </c>
      <c r="G23" s="19"/>
      <c r="H23" s="60"/>
      <c r="I23" s="60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8"/>
      <c r="C24" s="36"/>
      <c r="D24" s="43"/>
      <c r="E24" s="39"/>
      <c r="F24" s="13">
        <f t="shared" si="0"/>
        <v>0</v>
      </c>
      <c r="G24" s="19"/>
      <c r="H24" s="60"/>
      <c r="I24" s="60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8"/>
      <c r="C25" s="69"/>
      <c r="D25" s="43"/>
      <c r="E25" s="39"/>
      <c r="F25" s="13">
        <f t="shared" si="0"/>
        <v>0</v>
      </c>
      <c r="G25" s="19">
        <v>7</v>
      </c>
      <c r="H25" s="60">
        <v>1</v>
      </c>
      <c r="I25" s="60"/>
      <c r="J25" s="14"/>
      <c r="K25" s="11">
        <f t="shared" si="1"/>
        <v>8</v>
      </c>
      <c r="L25" s="5">
        <f t="shared" si="2"/>
        <v>8</v>
      </c>
    </row>
    <row r="26" spans="1:12" ht="15" customHeight="1" thickBot="1" x14ac:dyDescent="0.3">
      <c r="A26" s="49">
        <v>18</v>
      </c>
      <c r="B26" s="68">
        <v>5</v>
      </c>
      <c r="C26" s="43"/>
      <c r="D26" s="43"/>
      <c r="E26" s="39"/>
      <c r="F26" s="13">
        <f t="shared" si="0"/>
        <v>5</v>
      </c>
      <c r="G26" s="19"/>
      <c r="H26" s="60"/>
      <c r="I26" s="60"/>
      <c r="J26" s="14"/>
      <c r="K26" s="11">
        <f t="shared" si="1"/>
        <v>0</v>
      </c>
      <c r="L26" s="5">
        <f t="shared" si="2"/>
        <v>5</v>
      </c>
    </row>
    <row r="27" spans="1:12" ht="15" customHeight="1" thickBot="1" x14ac:dyDescent="0.3">
      <c r="A27" s="49">
        <v>19</v>
      </c>
      <c r="B27" s="68"/>
      <c r="C27" s="43"/>
      <c r="D27" s="43"/>
      <c r="E27" s="39"/>
      <c r="F27" s="13">
        <f t="shared" si="0"/>
        <v>0</v>
      </c>
      <c r="G27" s="19"/>
      <c r="H27" s="60"/>
      <c r="I27" s="60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8"/>
      <c r="C28" s="36"/>
      <c r="D28" s="43"/>
      <c r="E28" s="39"/>
      <c r="F28" s="13">
        <f t="shared" si="0"/>
        <v>0</v>
      </c>
      <c r="G28" s="19"/>
      <c r="H28" s="60"/>
      <c r="I28" s="60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8"/>
      <c r="C29" s="36"/>
      <c r="D29" s="43"/>
      <c r="E29" s="39"/>
      <c r="F29" s="13">
        <f t="shared" si="0"/>
        <v>0</v>
      </c>
      <c r="G29" s="19"/>
      <c r="H29" s="60"/>
      <c r="I29" s="60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8"/>
      <c r="C30" s="36"/>
      <c r="D30" s="43"/>
      <c r="E30" s="39"/>
      <c r="F30" s="13">
        <f t="shared" si="0"/>
        <v>0</v>
      </c>
      <c r="G30" s="19"/>
      <c r="H30" s="60"/>
      <c r="I30" s="60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8"/>
      <c r="C31" s="36"/>
      <c r="D31" s="43"/>
      <c r="E31" s="39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8"/>
      <c r="C32" s="36"/>
      <c r="D32" s="43"/>
      <c r="E32" s="39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8">
        <v>2</v>
      </c>
      <c r="C33" s="36"/>
      <c r="D33" s="43"/>
      <c r="E33" s="39"/>
      <c r="F33" s="13">
        <f t="shared" si="0"/>
        <v>2</v>
      </c>
      <c r="G33" s="19">
        <v>1</v>
      </c>
      <c r="H33" s="14"/>
      <c r="I33" s="14"/>
      <c r="J33" s="14"/>
      <c r="K33" s="11">
        <f t="shared" si="1"/>
        <v>1</v>
      </c>
      <c r="L33" s="5">
        <f t="shared" si="2"/>
        <v>3</v>
      </c>
    </row>
    <row r="34" spans="1:12" ht="15" customHeight="1" thickBot="1" x14ac:dyDescent="0.3">
      <c r="A34" s="49">
        <v>26</v>
      </c>
      <c r="B34" s="68"/>
      <c r="C34" s="43"/>
      <c r="D34" s="43"/>
      <c r="E34" s="39"/>
      <c r="F34" s="13">
        <f t="shared" si="0"/>
        <v>0</v>
      </c>
      <c r="G34" s="19">
        <v>5</v>
      </c>
      <c r="H34" s="38"/>
      <c r="I34" s="14"/>
      <c r="J34" s="14"/>
      <c r="K34" s="11">
        <f t="shared" si="1"/>
        <v>5</v>
      </c>
      <c r="L34" s="5">
        <f t="shared" si="2"/>
        <v>5</v>
      </c>
    </row>
    <row r="35" spans="1:12" ht="15" customHeight="1" thickBot="1" x14ac:dyDescent="0.3">
      <c r="A35" s="49">
        <v>27</v>
      </c>
      <c r="B35" s="68">
        <v>1</v>
      </c>
      <c r="C35" s="36"/>
      <c r="D35" s="43"/>
      <c r="E35" s="39"/>
      <c r="F35" s="13">
        <f t="shared" si="0"/>
        <v>1</v>
      </c>
      <c r="G35" s="30"/>
      <c r="H35" s="38"/>
      <c r="I35" s="14"/>
      <c r="J35" s="14"/>
      <c r="K35" s="11">
        <f t="shared" si="1"/>
        <v>0</v>
      </c>
      <c r="L35" s="5">
        <f t="shared" si="2"/>
        <v>1</v>
      </c>
    </row>
    <row r="36" spans="1:12" ht="15" customHeight="1" thickBot="1" x14ac:dyDescent="0.3">
      <c r="A36" s="49">
        <v>28</v>
      </c>
      <c r="B36" s="68"/>
      <c r="C36" s="36"/>
      <c r="D36" s="43"/>
      <c r="E36" s="63"/>
      <c r="F36" s="13">
        <f t="shared" si="0"/>
        <v>0</v>
      </c>
      <c r="G36" s="19"/>
      <c r="H36" s="60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68"/>
      <c r="C37" s="36"/>
      <c r="D37" s="36"/>
      <c r="E37" s="63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68"/>
      <c r="C38" s="36"/>
      <c r="D38" s="36"/>
      <c r="E38" s="63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70"/>
      <c r="C39" s="71"/>
      <c r="D39" s="72"/>
      <c r="E39" s="65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7">
        <f>SUM(B9:B39)</f>
        <v>79</v>
      </c>
      <c r="C40" s="67">
        <f t="shared" ref="C40:E40" si="3">SUM(C9:C39)</f>
        <v>0</v>
      </c>
      <c r="D40" s="67">
        <f t="shared" si="3"/>
        <v>1</v>
      </c>
      <c r="E40" s="67">
        <f t="shared" si="3"/>
        <v>0</v>
      </c>
      <c r="F40" s="66">
        <f>SUM(F9:F39)</f>
        <v>80</v>
      </c>
      <c r="G40" s="12">
        <f>SUM(G9:G39)</f>
        <v>13</v>
      </c>
      <c r="H40" s="12">
        <f t="shared" ref="H40:L40" si="4">SUM(H9:H39)</f>
        <v>5</v>
      </c>
      <c r="I40" s="12">
        <f t="shared" si="4"/>
        <v>1</v>
      </c>
      <c r="J40" s="12">
        <f t="shared" si="4"/>
        <v>0</v>
      </c>
      <c r="K40" s="12">
        <f t="shared" si="4"/>
        <v>19</v>
      </c>
      <c r="L40" s="12">
        <f t="shared" si="4"/>
        <v>99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95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101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99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97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97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0" workbookViewId="0">
      <selection activeCell="F40" sqref="F4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32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4</v>
      </c>
      <c r="C10" s="43"/>
      <c r="D10" s="43"/>
      <c r="E10" s="39"/>
      <c r="F10" s="13">
        <f t="shared" ref="F10:F39" si="0">SUM(B10:E10)</f>
        <v>4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4</v>
      </c>
    </row>
    <row r="11" spans="1:12" ht="15" customHeight="1" thickBot="1" x14ac:dyDescent="0.3">
      <c r="A11" s="49">
        <v>3</v>
      </c>
      <c r="B11" s="44">
        <v>3</v>
      </c>
      <c r="C11" s="43"/>
      <c r="D11" s="43"/>
      <c r="E11" s="39"/>
      <c r="F11" s="13">
        <f t="shared" si="0"/>
        <v>3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4</v>
      </c>
    </row>
    <row r="12" spans="1:12" ht="15" customHeight="1" thickBot="1" x14ac:dyDescent="0.3">
      <c r="A12" s="49">
        <v>4</v>
      </c>
      <c r="B12" s="44"/>
      <c r="C12" s="43"/>
      <c r="D12" s="43"/>
      <c r="E12" s="39"/>
      <c r="F12" s="13">
        <f t="shared" si="0"/>
        <v>0</v>
      </c>
      <c r="G12" s="32">
        <v>1</v>
      </c>
      <c r="H12" s="40"/>
      <c r="I12" s="14"/>
      <c r="J12" s="14"/>
      <c r="K12" s="11">
        <f t="shared" si="1"/>
        <v>1</v>
      </c>
      <c r="L12" s="5">
        <f t="shared" si="2"/>
        <v>1</v>
      </c>
    </row>
    <row r="13" spans="1:12" ht="15" customHeight="1" thickBot="1" x14ac:dyDescent="0.3">
      <c r="A13" s="49">
        <v>5</v>
      </c>
      <c r="B13" s="68"/>
      <c r="C13" s="43"/>
      <c r="D13" s="43"/>
      <c r="E13" s="39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8"/>
      <c r="C14" s="43"/>
      <c r="D14" s="43"/>
      <c r="E14" s="39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8">
        <v>4</v>
      </c>
      <c r="C15" s="43"/>
      <c r="D15" s="43"/>
      <c r="E15" s="39"/>
      <c r="F15" s="13">
        <f t="shared" si="0"/>
        <v>4</v>
      </c>
      <c r="G15" s="38"/>
      <c r="H15" s="38"/>
      <c r="I15" s="14"/>
      <c r="J15" s="14"/>
      <c r="K15" s="11">
        <f t="shared" si="1"/>
        <v>0</v>
      </c>
      <c r="L15" s="5">
        <f t="shared" si="2"/>
        <v>4</v>
      </c>
    </row>
    <row r="16" spans="1:12" ht="15" customHeight="1" thickBot="1" x14ac:dyDescent="0.3">
      <c r="A16" s="49">
        <v>8</v>
      </c>
      <c r="B16" s="68">
        <v>5</v>
      </c>
      <c r="C16" s="43"/>
      <c r="D16" s="43"/>
      <c r="E16" s="39"/>
      <c r="F16" s="13">
        <f t="shared" si="0"/>
        <v>5</v>
      </c>
      <c r="G16" s="38">
        <v>5</v>
      </c>
      <c r="H16" s="38"/>
      <c r="I16" s="14"/>
      <c r="J16" s="14"/>
      <c r="K16" s="11">
        <f t="shared" si="1"/>
        <v>5</v>
      </c>
      <c r="L16" s="5">
        <f t="shared" si="2"/>
        <v>10</v>
      </c>
    </row>
    <row r="17" spans="1:12" ht="15" customHeight="1" thickBot="1" x14ac:dyDescent="0.3">
      <c r="A17" s="49">
        <v>9</v>
      </c>
      <c r="B17" s="68">
        <v>5</v>
      </c>
      <c r="C17" s="43"/>
      <c r="D17" s="43"/>
      <c r="E17" s="39"/>
      <c r="F17" s="13">
        <f t="shared" si="0"/>
        <v>5</v>
      </c>
      <c r="G17" s="38">
        <v>1</v>
      </c>
      <c r="H17" s="38">
        <v>2</v>
      </c>
      <c r="I17" s="14"/>
      <c r="J17" s="14"/>
      <c r="K17" s="11">
        <f t="shared" si="1"/>
        <v>3</v>
      </c>
      <c r="L17" s="5">
        <f t="shared" si="2"/>
        <v>8</v>
      </c>
    </row>
    <row r="18" spans="1:12" ht="15" customHeight="1" thickBot="1" x14ac:dyDescent="0.3">
      <c r="A18" s="49">
        <v>10</v>
      </c>
      <c r="B18" s="68">
        <v>10</v>
      </c>
      <c r="C18" s="43"/>
      <c r="D18" s="43"/>
      <c r="E18" s="39"/>
      <c r="F18" s="13">
        <f t="shared" si="0"/>
        <v>10</v>
      </c>
      <c r="G18" s="41">
        <v>2</v>
      </c>
      <c r="H18" s="41"/>
      <c r="I18" s="14"/>
      <c r="J18" s="14"/>
      <c r="K18" s="11">
        <f t="shared" si="1"/>
        <v>2</v>
      </c>
      <c r="L18" s="5">
        <f t="shared" si="2"/>
        <v>12</v>
      </c>
    </row>
    <row r="19" spans="1:12" ht="15" customHeight="1" thickBot="1" x14ac:dyDescent="0.3">
      <c r="A19" s="49">
        <v>11</v>
      </c>
      <c r="B19" s="68">
        <v>3</v>
      </c>
      <c r="C19" s="43"/>
      <c r="D19" s="43"/>
      <c r="E19" s="39"/>
      <c r="F19" s="13">
        <f t="shared" si="0"/>
        <v>3</v>
      </c>
      <c r="G19" s="19"/>
      <c r="H19" s="38">
        <v>3</v>
      </c>
      <c r="I19" s="14"/>
      <c r="J19" s="60">
        <v>1</v>
      </c>
      <c r="K19" s="11">
        <f t="shared" si="1"/>
        <v>4</v>
      </c>
      <c r="L19" s="5">
        <f t="shared" si="2"/>
        <v>7</v>
      </c>
    </row>
    <row r="20" spans="1:12" ht="15" customHeight="1" thickBot="1" x14ac:dyDescent="0.3">
      <c r="A20" s="49">
        <v>12</v>
      </c>
      <c r="B20" s="68"/>
      <c r="C20" s="43"/>
      <c r="D20" s="43"/>
      <c r="E20" s="39"/>
      <c r="F20" s="13">
        <f t="shared" si="0"/>
        <v>0</v>
      </c>
      <c r="G20" s="19"/>
      <c r="H20" s="38"/>
      <c r="I20" s="59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8"/>
      <c r="C21" s="43"/>
      <c r="D21" s="43"/>
      <c r="E21" s="39"/>
      <c r="F21" s="13">
        <f t="shared" si="0"/>
        <v>0</v>
      </c>
      <c r="G21" s="21"/>
      <c r="H21" s="42"/>
      <c r="I21" s="60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8">
        <v>1</v>
      </c>
      <c r="C22" s="43"/>
      <c r="D22" s="43"/>
      <c r="E22" s="39"/>
      <c r="F22" s="13">
        <f t="shared" si="0"/>
        <v>1</v>
      </c>
      <c r="G22" s="21"/>
      <c r="H22" s="60"/>
      <c r="I22" s="60">
        <v>1</v>
      </c>
      <c r="J22" s="14"/>
      <c r="K22" s="11">
        <f t="shared" si="1"/>
        <v>1</v>
      </c>
      <c r="L22" s="5">
        <f t="shared" si="2"/>
        <v>2</v>
      </c>
    </row>
    <row r="23" spans="1:12" ht="15" customHeight="1" thickBot="1" x14ac:dyDescent="0.3">
      <c r="A23" s="49">
        <v>15</v>
      </c>
      <c r="B23" s="68">
        <v>1</v>
      </c>
      <c r="C23" s="36"/>
      <c r="D23" s="43"/>
      <c r="E23" s="39"/>
      <c r="F23" s="13">
        <f t="shared" si="0"/>
        <v>1</v>
      </c>
      <c r="G23" s="19">
        <v>1</v>
      </c>
      <c r="H23" s="60"/>
      <c r="I23" s="60"/>
      <c r="J23" s="14"/>
      <c r="K23" s="11">
        <f t="shared" si="1"/>
        <v>1</v>
      </c>
      <c r="L23" s="5">
        <f t="shared" si="2"/>
        <v>2</v>
      </c>
    </row>
    <row r="24" spans="1:12" ht="15" customHeight="1" thickBot="1" x14ac:dyDescent="0.3">
      <c r="A24" s="49">
        <v>16</v>
      </c>
      <c r="B24" s="68">
        <v>3</v>
      </c>
      <c r="C24" s="36"/>
      <c r="D24" s="43"/>
      <c r="E24" s="39"/>
      <c r="F24" s="13">
        <f t="shared" si="0"/>
        <v>3</v>
      </c>
      <c r="G24" s="19"/>
      <c r="H24" s="60"/>
      <c r="I24" s="60"/>
      <c r="J24" s="14"/>
      <c r="K24" s="11">
        <f t="shared" si="1"/>
        <v>0</v>
      </c>
      <c r="L24" s="5">
        <f t="shared" si="2"/>
        <v>3</v>
      </c>
    </row>
    <row r="25" spans="1:12" ht="15" customHeight="1" thickBot="1" x14ac:dyDescent="0.3">
      <c r="A25" s="49">
        <v>17</v>
      </c>
      <c r="B25" s="68"/>
      <c r="C25" s="69"/>
      <c r="D25" s="43"/>
      <c r="E25" s="39"/>
      <c r="F25" s="13">
        <f t="shared" si="0"/>
        <v>0</v>
      </c>
      <c r="G25" s="19">
        <v>1</v>
      </c>
      <c r="H25" s="60">
        <v>3</v>
      </c>
      <c r="I25" s="60"/>
      <c r="J25" s="14"/>
      <c r="K25" s="11">
        <f t="shared" si="1"/>
        <v>4</v>
      </c>
      <c r="L25" s="5">
        <f t="shared" si="2"/>
        <v>4</v>
      </c>
    </row>
    <row r="26" spans="1:12" ht="15" customHeight="1" thickBot="1" x14ac:dyDescent="0.3">
      <c r="A26" s="49">
        <v>18</v>
      </c>
      <c r="B26" s="68"/>
      <c r="C26" s="43"/>
      <c r="D26" s="43"/>
      <c r="E26" s="39"/>
      <c r="F26" s="13">
        <f t="shared" si="0"/>
        <v>0</v>
      </c>
      <c r="G26" s="19"/>
      <c r="H26" s="60"/>
      <c r="I26" s="60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8"/>
      <c r="C27" s="43"/>
      <c r="D27" s="43"/>
      <c r="E27" s="39"/>
      <c r="F27" s="13">
        <f t="shared" si="0"/>
        <v>0</v>
      </c>
      <c r="G27" s="19"/>
      <c r="H27" s="60"/>
      <c r="I27" s="60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8"/>
      <c r="C28" s="36"/>
      <c r="D28" s="43"/>
      <c r="E28" s="39"/>
      <c r="F28" s="13">
        <f t="shared" si="0"/>
        <v>0</v>
      </c>
      <c r="G28" s="19"/>
      <c r="H28" s="60"/>
      <c r="I28" s="60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8">
        <v>1</v>
      </c>
      <c r="C29" s="36"/>
      <c r="D29" s="43"/>
      <c r="E29" s="39"/>
      <c r="F29" s="13">
        <f t="shared" si="0"/>
        <v>1</v>
      </c>
      <c r="G29" s="19"/>
      <c r="H29" s="60"/>
      <c r="I29" s="60"/>
      <c r="J29" s="14"/>
      <c r="K29" s="11">
        <f t="shared" si="1"/>
        <v>0</v>
      </c>
      <c r="L29" s="5">
        <f t="shared" si="2"/>
        <v>1</v>
      </c>
    </row>
    <row r="30" spans="1:12" ht="15" customHeight="1" thickBot="1" x14ac:dyDescent="0.3">
      <c r="A30" s="49">
        <v>22</v>
      </c>
      <c r="B30" s="68">
        <v>2</v>
      </c>
      <c r="C30" s="36"/>
      <c r="D30" s="43"/>
      <c r="E30" s="39"/>
      <c r="F30" s="13">
        <f t="shared" si="0"/>
        <v>2</v>
      </c>
      <c r="G30" s="19">
        <v>1</v>
      </c>
      <c r="H30" s="60"/>
      <c r="I30" s="60"/>
      <c r="J30" s="14"/>
      <c r="K30" s="11">
        <f t="shared" si="1"/>
        <v>1</v>
      </c>
      <c r="L30" s="5">
        <f t="shared" si="2"/>
        <v>3</v>
      </c>
    </row>
    <row r="31" spans="1:12" ht="15" customHeight="1" thickBot="1" x14ac:dyDescent="0.3">
      <c r="A31" s="49">
        <v>23</v>
      </c>
      <c r="B31" s="68">
        <v>5</v>
      </c>
      <c r="C31" s="36"/>
      <c r="D31" s="43"/>
      <c r="E31" s="39"/>
      <c r="F31" s="13">
        <f t="shared" si="0"/>
        <v>5</v>
      </c>
      <c r="G31" s="19"/>
      <c r="H31" s="14"/>
      <c r="I31" s="14"/>
      <c r="J31" s="14"/>
      <c r="K31" s="11">
        <f t="shared" si="1"/>
        <v>0</v>
      </c>
      <c r="L31" s="5">
        <f t="shared" si="2"/>
        <v>5</v>
      </c>
    </row>
    <row r="32" spans="1:12" ht="15" customHeight="1" thickBot="1" x14ac:dyDescent="0.3">
      <c r="A32" s="49">
        <v>24</v>
      </c>
      <c r="B32" s="68">
        <v>6</v>
      </c>
      <c r="C32" s="36"/>
      <c r="D32" s="43"/>
      <c r="E32" s="39"/>
      <c r="F32" s="13">
        <f t="shared" si="0"/>
        <v>6</v>
      </c>
      <c r="G32" s="19">
        <v>1</v>
      </c>
      <c r="H32" s="60">
        <v>1</v>
      </c>
      <c r="I32" s="14"/>
      <c r="J32" s="14"/>
      <c r="K32" s="11">
        <f t="shared" si="1"/>
        <v>2</v>
      </c>
      <c r="L32" s="5">
        <f t="shared" si="2"/>
        <v>8</v>
      </c>
    </row>
    <row r="33" spans="1:12" ht="15" customHeight="1" thickBot="1" x14ac:dyDescent="0.3">
      <c r="A33" s="49">
        <v>25</v>
      </c>
      <c r="B33" s="68">
        <v>4</v>
      </c>
      <c r="C33" s="36"/>
      <c r="D33" s="43"/>
      <c r="E33" s="39"/>
      <c r="F33" s="13">
        <f t="shared" si="0"/>
        <v>4</v>
      </c>
      <c r="G33" s="19"/>
      <c r="H33" s="14"/>
      <c r="I33" s="14"/>
      <c r="J33" s="14"/>
      <c r="K33" s="11">
        <f t="shared" si="1"/>
        <v>0</v>
      </c>
      <c r="L33" s="5">
        <f t="shared" si="2"/>
        <v>4</v>
      </c>
    </row>
    <row r="34" spans="1:12" ht="15" customHeight="1" thickBot="1" x14ac:dyDescent="0.3">
      <c r="A34" s="49">
        <v>26</v>
      </c>
      <c r="B34" s="68"/>
      <c r="C34" s="43"/>
      <c r="D34" s="43"/>
      <c r="E34" s="39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68"/>
      <c r="C35" s="36"/>
      <c r="D35" s="43"/>
      <c r="E35" s="39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68"/>
      <c r="C36" s="36"/>
      <c r="D36" s="43"/>
      <c r="E36" s="63"/>
      <c r="F36" s="13">
        <f t="shared" si="0"/>
        <v>0</v>
      </c>
      <c r="G36" s="19"/>
      <c r="H36" s="60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68">
        <v>1</v>
      </c>
      <c r="C37" s="36"/>
      <c r="D37" s="36"/>
      <c r="E37" s="63"/>
      <c r="F37" s="13">
        <f t="shared" si="0"/>
        <v>1</v>
      </c>
      <c r="G37" s="19"/>
      <c r="H37" s="60">
        <v>1</v>
      </c>
      <c r="I37" s="14"/>
      <c r="J37" s="14"/>
      <c r="K37" s="11">
        <f t="shared" si="1"/>
        <v>1</v>
      </c>
      <c r="L37" s="5">
        <f t="shared" si="2"/>
        <v>2</v>
      </c>
    </row>
    <row r="38" spans="1:12" ht="15" customHeight="1" thickBot="1" x14ac:dyDescent="0.3">
      <c r="A38" s="49">
        <v>30</v>
      </c>
      <c r="B38" s="68">
        <v>1</v>
      </c>
      <c r="C38" s="36"/>
      <c r="D38" s="36"/>
      <c r="E38" s="63"/>
      <c r="F38" s="13">
        <f t="shared" si="0"/>
        <v>1</v>
      </c>
      <c r="G38" s="19">
        <v>1</v>
      </c>
      <c r="H38" s="14"/>
      <c r="I38" s="14"/>
      <c r="J38" s="60">
        <v>1</v>
      </c>
      <c r="K38" s="11">
        <f t="shared" si="1"/>
        <v>2</v>
      </c>
      <c r="L38" s="5">
        <f t="shared" si="2"/>
        <v>3</v>
      </c>
    </row>
    <row r="39" spans="1:12" ht="15" customHeight="1" thickBot="1" x14ac:dyDescent="0.3">
      <c r="A39" s="51">
        <v>31</v>
      </c>
      <c r="B39" s="70">
        <v>3</v>
      </c>
      <c r="C39" s="71"/>
      <c r="D39" s="72"/>
      <c r="E39" s="65"/>
      <c r="F39" s="13">
        <f t="shared" si="0"/>
        <v>3</v>
      </c>
      <c r="G39" s="19"/>
      <c r="H39" s="14"/>
      <c r="I39" s="14"/>
      <c r="J39" s="14"/>
      <c r="K39" s="11">
        <f t="shared" si="1"/>
        <v>0</v>
      </c>
      <c r="L39" s="5">
        <f t="shared" si="2"/>
        <v>3</v>
      </c>
    </row>
    <row r="40" spans="1:12" ht="15.75" thickBot="1" x14ac:dyDescent="0.3">
      <c r="A40" s="50"/>
      <c r="B40" s="74">
        <f>SUM(B9:B39)</f>
        <v>62</v>
      </c>
      <c r="C40" s="74">
        <f t="shared" ref="C40:E40" si="3">SUM(C9:C39)</f>
        <v>0</v>
      </c>
      <c r="D40" s="74">
        <f t="shared" si="3"/>
        <v>0</v>
      </c>
      <c r="E40" s="74">
        <f t="shared" si="3"/>
        <v>0</v>
      </c>
      <c r="F40" s="73">
        <f>SUM(F9:F39)</f>
        <v>62</v>
      </c>
      <c r="G40" s="12">
        <f>SUM(G9:G39)</f>
        <v>15</v>
      </c>
      <c r="H40" s="12">
        <f t="shared" ref="H40:L40" si="4">SUM(H9:H39)</f>
        <v>10</v>
      </c>
      <c r="I40" s="12">
        <f t="shared" si="4"/>
        <v>1</v>
      </c>
      <c r="J40" s="12">
        <f t="shared" si="4"/>
        <v>2</v>
      </c>
      <c r="K40" s="12">
        <f t="shared" si="4"/>
        <v>28</v>
      </c>
      <c r="L40" s="12">
        <f t="shared" si="4"/>
        <v>90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97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18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90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25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25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K53" sqref="K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33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>
        <v>2</v>
      </c>
      <c r="C9" s="61"/>
      <c r="D9" s="61"/>
      <c r="E9" s="62"/>
      <c r="F9" s="13">
        <f>SUM(B9:E9)</f>
        <v>2</v>
      </c>
      <c r="G9" s="31"/>
      <c r="H9" s="35"/>
      <c r="I9" s="18"/>
      <c r="J9" s="18"/>
      <c r="K9" s="11">
        <f>SUM(G9:J9)</f>
        <v>0</v>
      </c>
      <c r="L9" s="5">
        <f>SUM(F9+K9)</f>
        <v>2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43"/>
      <c r="D11" s="43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43"/>
      <c r="D12" s="43"/>
      <c r="E12" s="39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38">
        <v>1</v>
      </c>
      <c r="C13" s="38"/>
      <c r="D13" s="60">
        <v>1</v>
      </c>
      <c r="E13" s="39"/>
      <c r="F13" s="13">
        <f t="shared" si="0"/>
        <v>2</v>
      </c>
      <c r="G13" s="38"/>
      <c r="H13" s="38"/>
      <c r="I13" s="60"/>
      <c r="J13" s="14"/>
      <c r="K13" s="11">
        <f t="shared" si="1"/>
        <v>0</v>
      </c>
      <c r="L13" s="5">
        <f t="shared" si="2"/>
        <v>2</v>
      </c>
    </row>
    <row r="14" spans="1:12" ht="15" customHeight="1" thickBot="1" x14ac:dyDescent="0.3">
      <c r="A14" s="49">
        <v>6</v>
      </c>
      <c r="B14" s="68"/>
      <c r="C14" s="43"/>
      <c r="D14" s="43"/>
      <c r="E14" s="39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8"/>
      <c r="C15" s="43"/>
      <c r="D15" s="43"/>
      <c r="E15" s="39"/>
      <c r="F15" s="13">
        <f t="shared" si="0"/>
        <v>0</v>
      </c>
      <c r="G15" s="38"/>
      <c r="H15" s="38"/>
      <c r="I15" s="60">
        <v>2</v>
      </c>
      <c r="J15" s="14"/>
      <c r="K15" s="11">
        <f t="shared" si="1"/>
        <v>2</v>
      </c>
      <c r="L15" s="5">
        <f t="shared" si="2"/>
        <v>2</v>
      </c>
    </row>
    <row r="16" spans="1:12" ht="15" customHeight="1" thickBot="1" x14ac:dyDescent="0.3">
      <c r="A16" s="49">
        <v>8</v>
      </c>
      <c r="B16" s="68">
        <v>2</v>
      </c>
      <c r="C16" s="43"/>
      <c r="D16" s="43"/>
      <c r="E16" s="39"/>
      <c r="F16" s="13">
        <f t="shared" si="0"/>
        <v>2</v>
      </c>
      <c r="G16" s="38"/>
      <c r="H16" s="38"/>
      <c r="I16" s="14"/>
      <c r="J16" s="14"/>
      <c r="K16" s="11">
        <f t="shared" si="1"/>
        <v>0</v>
      </c>
      <c r="L16" s="5">
        <f t="shared" si="2"/>
        <v>2</v>
      </c>
    </row>
    <row r="17" spans="1:12" ht="15" customHeight="1" thickBot="1" x14ac:dyDescent="0.3">
      <c r="A17" s="49">
        <v>9</v>
      </c>
      <c r="B17" s="68"/>
      <c r="C17" s="43"/>
      <c r="D17" s="43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8"/>
      <c r="C18" s="43"/>
      <c r="D18" s="43"/>
      <c r="E18" s="39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8"/>
      <c r="C19" s="43"/>
      <c r="D19" s="43"/>
      <c r="E19" s="39"/>
      <c r="F19" s="13">
        <f t="shared" si="0"/>
        <v>0</v>
      </c>
      <c r="G19" s="19"/>
      <c r="H19" s="38"/>
      <c r="I19" s="14"/>
      <c r="J19" s="60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8"/>
      <c r="C20" s="43"/>
      <c r="D20" s="43"/>
      <c r="E20" s="39"/>
      <c r="F20" s="13">
        <f t="shared" si="0"/>
        <v>0</v>
      </c>
      <c r="G20" s="19"/>
      <c r="H20" s="38"/>
      <c r="I20" s="59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8"/>
      <c r="C21" s="43"/>
      <c r="D21" s="43"/>
      <c r="E21" s="39"/>
      <c r="F21" s="13">
        <f t="shared" si="0"/>
        <v>0</v>
      </c>
      <c r="G21" s="21"/>
      <c r="H21" s="42"/>
      <c r="I21" s="60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8">
        <v>2</v>
      </c>
      <c r="C22" s="43"/>
      <c r="D22" s="43"/>
      <c r="E22" s="39"/>
      <c r="F22" s="13">
        <f t="shared" si="0"/>
        <v>2</v>
      </c>
      <c r="G22" s="21"/>
      <c r="H22" s="60"/>
      <c r="I22" s="60"/>
      <c r="J22" s="14"/>
      <c r="K22" s="11">
        <f t="shared" si="1"/>
        <v>0</v>
      </c>
      <c r="L22" s="5">
        <f t="shared" si="2"/>
        <v>2</v>
      </c>
    </row>
    <row r="23" spans="1:12" ht="15" customHeight="1" thickBot="1" x14ac:dyDescent="0.3">
      <c r="A23" s="49">
        <v>15</v>
      </c>
      <c r="B23" s="68">
        <v>1</v>
      </c>
      <c r="C23" s="36"/>
      <c r="D23" s="43"/>
      <c r="E23" s="39"/>
      <c r="F23" s="13">
        <f t="shared" si="0"/>
        <v>1</v>
      </c>
      <c r="G23" s="19"/>
      <c r="H23" s="60"/>
      <c r="I23" s="60"/>
      <c r="J23" s="14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9">
        <v>16</v>
      </c>
      <c r="B24" s="68"/>
      <c r="C24" s="36"/>
      <c r="D24" s="43"/>
      <c r="E24" s="39"/>
      <c r="F24" s="13">
        <f t="shared" si="0"/>
        <v>0</v>
      </c>
      <c r="G24" s="19"/>
      <c r="H24" s="60"/>
      <c r="I24" s="60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8"/>
      <c r="C25" s="69"/>
      <c r="D25" s="43"/>
      <c r="E25" s="39"/>
      <c r="F25" s="13">
        <f t="shared" si="0"/>
        <v>0</v>
      </c>
      <c r="G25" s="19"/>
      <c r="H25" s="60"/>
      <c r="I25" s="60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8"/>
      <c r="C26" s="43"/>
      <c r="D26" s="43"/>
      <c r="E26" s="39"/>
      <c r="F26" s="13">
        <f t="shared" si="0"/>
        <v>0</v>
      </c>
      <c r="G26" s="19"/>
      <c r="H26" s="60"/>
      <c r="I26" s="60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8">
        <v>1</v>
      </c>
      <c r="C27" s="43"/>
      <c r="D27" s="43"/>
      <c r="E27" s="39"/>
      <c r="F27" s="13">
        <f t="shared" si="0"/>
        <v>1</v>
      </c>
      <c r="G27" s="19"/>
      <c r="H27" s="60"/>
      <c r="I27" s="60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68"/>
      <c r="C28" s="36"/>
      <c r="D28" s="43"/>
      <c r="E28" s="39"/>
      <c r="F28" s="13">
        <f t="shared" si="0"/>
        <v>0</v>
      </c>
      <c r="G28" s="19"/>
      <c r="H28" s="60"/>
      <c r="I28" s="60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8"/>
      <c r="C29" s="36"/>
      <c r="D29" s="43"/>
      <c r="E29" s="39"/>
      <c r="F29" s="13">
        <f t="shared" si="0"/>
        <v>0</v>
      </c>
      <c r="G29" s="19">
        <v>1</v>
      </c>
      <c r="H29" s="60"/>
      <c r="I29" s="60"/>
      <c r="J29" s="14"/>
      <c r="K29" s="11">
        <f t="shared" si="1"/>
        <v>1</v>
      </c>
      <c r="L29" s="5">
        <f t="shared" si="2"/>
        <v>1</v>
      </c>
    </row>
    <row r="30" spans="1:12" ht="15" customHeight="1" thickBot="1" x14ac:dyDescent="0.3">
      <c r="A30" s="49">
        <v>22</v>
      </c>
      <c r="B30" s="68"/>
      <c r="C30" s="36"/>
      <c r="D30" s="43"/>
      <c r="E30" s="39"/>
      <c r="F30" s="13">
        <f t="shared" si="0"/>
        <v>0</v>
      </c>
      <c r="G30" s="19">
        <v>1</v>
      </c>
      <c r="H30" s="60"/>
      <c r="I30" s="60">
        <v>4</v>
      </c>
      <c r="J30" s="14"/>
      <c r="K30" s="11">
        <f t="shared" si="1"/>
        <v>5</v>
      </c>
      <c r="L30" s="5">
        <f t="shared" si="2"/>
        <v>5</v>
      </c>
    </row>
    <row r="31" spans="1:12" ht="15" customHeight="1" thickBot="1" x14ac:dyDescent="0.3">
      <c r="A31" s="49">
        <v>23</v>
      </c>
      <c r="B31" s="68"/>
      <c r="C31" s="36"/>
      <c r="D31" s="43"/>
      <c r="E31" s="39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8"/>
      <c r="C32" s="36"/>
      <c r="D32" s="43"/>
      <c r="E32" s="39"/>
      <c r="F32" s="13">
        <f t="shared" si="0"/>
        <v>0</v>
      </c>
      <c r="G32" s="19"/>
      <c r="H32" s="60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8"/>
      <c r="C33" s="36"/>
      <c r="D33" s="43"/>
      <c r="E33" s="39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8"/>
      <c r="C34" s="43"/>
      <c r="D34" s="43"/>
      <c r="E34" s="39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68"/>
      <c r="C35" s="36"/>
      <c r="D35" s="43"/>
      <c r="E35" s="39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68"/>
      <c r="C36" s="36"/>
      <c r="D36" s="43"/>
      <c r="E36" s="63"/>
      <c r="F36" s="13">
        <f t="shared" si="0"/>
        <v>0</v>
      </c>
      <c r="G36" s="19"/>
      <c r="H36" s="60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68"/>
      <c r="C37" s="36"/>
      <c r="D37" s="36"/>
      <c r="E37" s="63"/>
      <c r="F37" s="13">
        <f t="shared" si="0"/>
        <v>0</v>
      </c>
      <c r="G37" s="19"/>
      <c r="H37" s="60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68"/>
      <c r="C38" s="36"/>
      <c r="D38" s="36"/>
      <c r="E38" s="63"/>
      <c r="F38" s="13">
        <f t="shared" si="0"/>
        <v>0</v>
      </c>
      <c r="G38" s="19"/>
      <c r="H38" s="14"/>
      <c r="I38" s="14"/>
      <c r="J38" s="60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70"/>
      <c r="C39" s="71"/>
      <c r="D39" s="72"/>
      <c r="E39" s="65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6">
        <f>SUM(B9:B39)</f>
        <v>9</v>
      </c>
      <c r="C40" s="76">
        <f t="shared" ref="C40:E40" si="3">SUM(C9:C39)</f>
        <v>0</v>
      </c>
      <c r="D40" s="76">
        <f t="shared" si="3"/>
        <v>1</v>
      </c>
      <c r="E40" s="76">
        <f t="shared" si="3"/>
        <v>0</v>
      </c>
      <c r="F40" s="75">
        <f>SUM(F9:F39)</f>
        <v>10</v>
      </c>
      <c r="G40" s="12">
        <f>SUM(G9:G39)</f>
        <v>2</v>
      </c>
      <c r="H40" s="12">
        <f t="shared" ref="H40:L40" si="4">SUM(H9:H39)</f>
        <v>0</v>
      </c>
      <c r="I40" s="12">
        <f t="shared" si="4"/>
        <v>6</v>
      </c>
      <c r="J40" s="12">
        <f t="shared" si="4"/>
        <v>0</v>
      </c>
      <c r="K40" s="12">
        <f t="shared" si="4"/>
        <v>8</v>
      </c>
      <c r="L40" s="12">
        <f t="shared" si="4"/>
        <v>18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25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51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18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58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58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3" workbookViewId="0">
      <selection activeCell="G32" sqref="G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43"/>
      <c r="D11" s="43"/>
      <c r="E11" s="39"/>
      <c r="F11" s="13">
        <f t="shared" si="0"/>
        <v>0</v>
      </c>
      <c r="G11" s="19">
        <v>1</v>
      </c>
      <c r="H11" s="38">
        <v>2</v>
      </c>
      <c r="I11" s="14"/>
      <c r="J11" s="14"/>
      <c r="K11" s="11">
        <f t="shared" si="1"/>
        <v>3</v>
      </c>
      <c r="L11" s="5">
        <f t="shared" si="2"/>
        <v>3</v>
      </c>
    </row>
    <row r="12" spans="1:12" ht="15" customHeight="1" thickBot="1" x14ac:dyDescent="0.3">
      <c r="A12" s="49">
        <v>4</v>
      </c>
      <c r="B12" s="44">
        <v>4</v>
      </c>
      <c r="C12" s="43"/>
      <c r="D12" s="43"/>
      <c r="E12" s="39"/>
      <c r="F12" s="13">
        <f t="shared" si="0"/>
        <v>4</v>
      </c>
      <c r="G12" s="32">
        <v>2</v>
      </c>
      <c r="H12" s="40"/>
      <c r="I12" s="14"/>
      <c r="J12" s="14"/>
      <c r="K12" s="11">
        <f t="shared" si="1"/>
        <v>2</v>
      </c>
      <c r="L12" s="5">
        <f t="shared" si="2"/>
        <v>6</v>
      </c>
    </row>
    <row r="13" spans="1:12" ht="15" customHeight="1" thickBot="1" x14ac:dyDescent="0.3">
      <c r="A13" s="49">
        <v>5</v>
      </c>
      <c r="B13" s="38"/>
      <c r="C13" s="38"/>
      <c r="D13" s="60"/>
      <c r="E13" s="39"/>
      <c r="F13" s="13">
        <f t="shared" si="0"/>
        <v>0</v>
      </c>
      <c r="G13" s="38"/>
      <c r="H13" s="38"/>
      <c r="I13" s="60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8">
        <v>3</v>
      </c>
      <c r="C14" s="43"/>
      <c r="D14" s="43"/>
      <c r="E14" s="39"/>
      <c r="F14" s="13">
        <f t="shared" si="0"/>
        <v>3</v>
      </c>
      <c r="G14" s="38"/>
      <c r="H14" s="38"/>
      <c r="I14" s="14"/>
      <c r="J14" s="14"/>
      <c r="K14" s="11">
        <f t="shared" si="1"/>
        <v>0</v>
      </c>
      <c r="L14" s="5">
        <f t="shared" si="2"/>
        <v>3</v>
      </c>
    </row>
    <row r="15" spans="1:12" ht="15" customHeight="1" thickBot="1" x14ac:dyDescent="0.3">
      <c r="A15" s="49">
        <v>7</v>
      </c>
      <c r="B15" s="68"/>
      <c r="C15" s="43"/>
      <c r="D15" s="43"/>
      <c r="E15" s="39"/>
      <c r="F15" s="13">
        <f t="shared" si="0"/>
        <v>0</v>
      </c>
      <c r="G15" s="38"/>
      <c r="H15" s="38"/>
      <c r="I15" s="60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8"/>
      <c r="C16" s="43"/>
      <c r="D16" s="43"/>
      <c r="E16" s="39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8"/>
      <c r="C17" s="43"/>
      <c r="D17" s="43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8"/>
      <c r="C18" s="43"/>
      <c r="D18" s="43"/>
      <c r="E18" s="39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8">
        <v>1</v>
      </c>
      <c r="C19" s="43"/>
      <c r="D19" s="43"/>
      <c r="E19" s="39"/>
      <c r="F19" s="13">
        <f t="shared" si="0"/>
        <v>1</v>
      </c>
      <c r="G19" s="19"/>
      <c r="H19" s="38"/>
      <c r="I19" s="14"/>
      <c r="J19" s="60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9">
        <v>12</v>
      </c>
      <c r="B20" s="68">
        <v>8</v>
      </c>
      <c r="C20" s="43"/>
      <c r="D20" s="43"/>
      <c r="E20" s="39"/>
      <c r="F20" s="13">
        <f t="shared" si="0"/>
        <v>8</v>
      </c>
      <c r="G20" s="19">
        <v>1</v>
      </c>
      <c r="H20" s="38"/>
      <c r="I20" s="59"/>
      <c r="J20" s="20"/>
      <c r="K20" s="11">
        <f t="shared" si="1"/>
        <v>1</v>
      </c>
      <c r="L20" s="5">
        <f t="shared" si="2"/>
        <v>9</v>
      </c>
    </row>
    <row r="21" spans="1:12" ht="15" customHeight="1" thickBot="1" x14ac:dyDescent="0.3">
      <c r="A21" s="49">
        <v>13</v>
      </c>
      <c r="B21" s="68"/>
      <c r="C21" s="43"/>
      <c r="D21" s="43"/>
      <c r="E21" s="39"/>
      <c r="F21" s="13">
        <f t="shared" si="0"/>
        <v>0</v>
      </c>
      <c r="G21" s="21"/>
      <c r="H21" s="42"/>
      <c r="I21" s="60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8"/>
      <c r="C22" s="43"/>
      <c r="D22" s="43"/>
      <c r="E22" s="39"/>
      <c r="F22" s="13">
        <f t="shared" si="0"/>
        <v>0</v>
      </c>
      <c r="G22" s="21"/>
      <c r="H22" s="60"/>
      <c r="I22" s="60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8"/>
      <c r="C23" s="36"/>
      <c r="D23" s="43"/>
      <c r="E23" s="39"/>
      <c r="F23" s="13">
        <f t="shared" si="0"/>
        <v>0</v>
      </c>
      <c r="G23" s="19"/>
      <c r="H23" s="60"/>
      <c r="I23" s="60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8"/>
      <c r="C24" s="36"/>
      <c r="D24" s="43"/>
      <c r="E24" s="39"/>
      <c r="F24" s="13">
        <f t="shared" si="0"/>
        <v>0</v>
      </c>
      <c r="G24" s="19">
        <v>1</v>
      </c>
      <c r="H24" s="60"/>
      <c r="I24" s="60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68"/>
      <c r="C25" s="69"/>
      <c r="D25" s="43"/>
      <c r="E25" s="39"/>
      <c r="F25" s="13">
        <f t="shared" si="0"/>
        <v>0</v>
      </c>
      <c r="G25" s="19"/>
      <c r="H25" s="60"/>
      <c r="I25" s="60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8"/>
      <c r="C26" s="43"/>
      <c r="D26" s="43"/>
      <c r="E26" s="39"/>
      <c r="F26" s="13">
        <f t="shared" si="0"/>
        <v>0</v>
      </c>
      <c r="G26" s="19"/>
      <c r="H26" s="60"/>
      <c r="I26" s="60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8"/>
      <c r="C27" s="43"/>
      <c r="D27" s="43"/>
      <c r="E27" s="39"/>
      <c r="F27" s="13">
        <f t="shared" si="0"/>
        <v>0</v>
      </c>
      <c r="G27" s="19"/>
      <c r="H27" s="60"/>
      <c r="I27" s="60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8"/>
      <c r="C28" s="36"/>
      <c r="D28" s="43"/>
      <c r="E28" s="39"/>
      <c r="F28" s="13">
        <f t="shared" si="0"/>
        <v>0</v>
      </c>
      <c r="G28" s="19"/>
      <c r="H28" s="60"/>
      <c r="I28" s="60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8"/>
      <c r="C29" s="36"/>
      <c r="D29" s="43"/>
      <c r="E29" s="39"/>
      <c r="F29" s="13">
        <f t="shared" si="0"/>
        <v>0</v>
      </c>
      <c r="G29" s="19"/>
      <c r="H29" s="60"/>
      <c r="I29" s="60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8"/>
      <c r="C30" s="36"/>
      <c r="D30" s="43"/>
      <c r="E30" s="39"/>
      <c r="F30" s="13">
        <f t="shared" si="0"/>
        <v>0</v>
      </c>
      <c r="G30" s="19"/>
      <c r="H30" s="60"/>
      <c r="I30" s="60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8">
        <v>14</v>
      </c>
      <c r="C31" s="36"/>
      <c r="D31" s="43"/>
      <c r="E31" s="39"/>
      <c r="F31" s="13">
        <f t="shared" si="0"/>
        <v>14</v>
      </c>
      <c r="G31" s="19">
        <v>1</v>
      </c>
      <c r="H31" s="14"/>
      <c r="I31" s="14"/>
      <c r="J31" s="14"/>
      <c r="K31" s="11">
        <f t="shared" si="1"/>
        <v>1</v>
      </c>
      <c r="L31" s="5">
        <f t="shared" si="2"/>
        <v>15</v>
      </c>
    </row>
    <row r="32" spans="1:12" ht="15" customHeight="1" thickBot="1" x14ac:dyDescent="0.3">
      <c r="A32" s="49">
        <v>24</v>
      </c>
      <c r="B32" s="68"/>
      <c r="C32" s="36"/>
      <c r="D32" s="43"/>
      <c r="E32" s="39"/>
      <c r="F32" s="13">
        <f t="shared" si="0"/>
        <v>0</v>
      </c>
      <c r="G32" s="19"/>
      <c r="H32" s="60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8"/>
      <c r="C33" s="36"/>
      <c r="D33" s="43"/>
      <c r="E33" s="39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8"/>
      <c r="C34" s="43"/>
      <c r="D34" s="43"/>
      <c r="E34" s="39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68"/>
      <c r="C35" s="36"/>
      <c r="D35" s="43"/>
      <c r="E35" s="39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68"/>
      <c r="C36" s="36"/>
      <c r="D36" s="43"/>
      <c r="E36" s="63"/>
      <c r="F36" s="13">
        <f t="shared" si="0"/>
        <v>0</v>
      </c>
      <c r="G36" s="19"/>
      <c r="H36" s="60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68"/>
      <c r="C37" s="36"/>
      <c r="D37" s="36"/>
      <c r="E37" s="63"/>
      <c r="F37" s="13">
        <f t="shared" si="0"/>
        <v>0</v>
      </c>
      <c r="G37" s="19"/>
      <c r="H37" s="60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68"/>
      <c r="C38" s="36"/>
      <c r="D38" s="36"/>
      <c r="E38" s="63"/>
      <c r="F38" s="13">
        <f t="shared" si="0"/>
        <v>0</v>
      </c>
      <c r="G38" s="19"/>
      <c r="H38" s="14"/>
      <c r="I38" s="14"/>
      <c r="J38" s="60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70"/>
      <c r="C39" s="71"/>
      <c r="D39" s="72"/>
      <c r="E39" s="65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8">
        <f>SUM(B9:B39)</f>
        <v>30</v>
      </c>
      <c r="C40" s="78">
        <f t="shared" ref="C40:E40" si="3">SUM(C9:C39)</f>
        <v>0</v>
      </c>
      <c r="D40" s="78">
        <f t="shared" si="3"/>
        <v>0</v>
      </c>
      <c r="E40" s="78">
        <f t="shared" si="3"/>
        <v>0</v>
      </c>
      <c r="F40" s="77">
        <f>SUM(F9:F39)</f>
        <v>30</v>
      </c>
      <c r="G40" s="12">
        <f>SUM(G9:G39)</f>
        <v>6</v>
      </c>
      <c r="H40" s="12">
        <f t="shared" ref="H40:L40" si="4">SUM(H9:H39)</f>
        <v>2</v>
      </c>
      <c r="I40" s="12">
        <f t="shared" si="4"/>
        <v>0</v>
      </c>
      <c r="J40" s="12">
        <f t="shared" si="4"/>
        <v>0</v>
      </c>
      <c r="K40" s="12">
        <f t="shared" si="4"/>
        <v>8</v>
      </c>
      <c r="L40" s="12">
        <f t="shared" si="4"/>
        <v>38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58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38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20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20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D25" sqref="D2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43"/>
      <c r="D11" s="43"/>
      <c r="E11" s="39"/>
      <c r="F11" s="13">
        <f t="shared" si="0"/>
        <v>0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1</v>
      </c>
    </row>
    <row r="12" spans="1:12" ht="15" customHeight="1" thickBot="1" x14ac:dyDescent="0.3">
      <c r="A12" s="49">
        <v>4</v>
      </c>
      <c r="B12" s="44"/>
      <c r="C12" s="43"/>
      <c r="D12" s="43"/>
      <c r="E12" s="39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38"/>
      <c r="C13" s="38"/>
      <c r="D13" s="60"/>
      <c r="E13" s="39"/>
      <c r="F13" s="13">
        <f t="shared" si="0"/>
        <v>0</v>
      </c>
      <c r="G13" s="38"/>
      <c r="H13" s="38"/>
      <c r="I13" s="60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8"/>
      <c r="C14" s="43"/>
      <c r="D14" s="43"/>
      <c r="E14" s="39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8"/>
      <c r="C15" s="43"/>
      <c r="D15" s="43"/>
      <c r="E15" s="39"/>
      <c r="F15" s="13">
        <f t="shared" si="0"/>
        <v>0</v>
      </c>
      <c r="G15" s="38"/>
      <c r="H15" s="38"/>
      <c r="I15" s="60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8"/>
      <c r="C16" s="43"/>
      <c r="D16" s="43"/>
      <c r="E16" s="39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8">
        <v>6</v>
      </c>
      <c r="C17" s="43"/>
      <c r="D17" s="43"/>
      <c r="E17" s="39"/>
      <c r="F17" s="13">
        <f t="shared" si="0"/>
        <v>6</v>
      </c>
      <c r="G17" s="38"/>
      <c r="H17" s="38"/>
      <c r="I17" s="14"/>
      <c r="J17" s="14"/>
      <c r="K17" s="11">
        <f t="shared" si="1"/>
        <v>0</v>
      </c>
      <c r="L17" s="5">
        <f t="shared" si="2"/>
        <v>6</v>
      </c>
    </row>
    <row r="18" spans="1:12" ht="15" customHeight="1" thickBot="1" x14ac:dyDescent="0.3">
      <c r="A18" s="49">
        <v>10</v>
      </c>
      <c r="B18" s="68"/>
      <c r="C18" s="43"/>
      <c r="D18" s="43"/>
      <c r="E18" s="39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8"/>
      <c r="C19" s="43"/>
      <c r="D19" s="43"/>
      <c r="E19" s="39"/>
      <c r="F19" s="13">
        <f t="shared" si="0"/>
        <v>0</v>
      </c>
      <c r="G19" s="19"/>
      <c r="H19" s="38"/>
      <c r="I19" s="14"/>
      <c r="J19" s="60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8"/>
      <c r="C20" s="43"/>
      <c r="D20" s="43"/>
      <c r="E20" s="39"/>
      <c r="F20" s="13">
        <f t="shared" si="0"/>
        <v>0</v>
      </c>
      <c r="G20" s="19"/>
      <c r="H20" s="38"/>
      <c r="I20" s="59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8"/>
      <c r="C21" s="43"/>
      <c r="D21" s="43"/>
      <c r="E21" s="39"/>
      <c r="F21" s="13">
        <f t="shared" si="0"/>
        <v>0</v>
      </c>
      <c r="G21" s="21"/>
      <c r="H21" s="42"/>
      <c r="I21" s="60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8">
        <v>13</v>
      </c>
      <c r="C22" s="43"/>
      <c r="D22" s="43"/>
      <c r="E22" s="39"/>
      <c r="F22" s="13">
        <f t="shared" si="0"/>
        <v>13</v>
      </c>
      <c r="G22" s="21"/>
      <c r="H22" s="60"/>
      <c r="I22" s="60"/>
      <c r="J22" s="14"/>
      <c r="K22" s="11">
        <f t="shared" si="1"/>
        <v>0</v>
      </c>
      <c r="L22" s="5">
        <f t="shared" si="2"/>
        <v>13</v>
      </c>
    </row>
    <row r="23" spans="1:12" ht="15" customHeight="1" thickBot="1" x14ac:dyDescent="0.3">
      <c r="A23" s="49">
        <v>15</v>
      </c>
      <c r="B23" s="68">
        <v>4</v>
      </c>
      <c r="C23" s="43"/>
      <c r="D23" s="43"/>
      <c r="E23" s="39"/>
      <c r="F23" s="13">
        <f t="shared" si="0"/>
        <v>4</v>
      </c>
      <c r="G23" s="19"/>
      <c r="H23" s="60"/>
      <c r="I23" s="60"/>
      <c r="J23" s="14"/>
      <c r="K23" s="11">
        <f t="shared" si="1"/>
        <v>0</v>
      </c>
      <c r="L23" s="5">
        <f t="shared" si="2"/>
        <v>4</v>
      </c>
    </row>
    <row r="24" spans="1:12" ht="15" customHeight="1" thickBot="1" x14ac:dyDescent="0.3">
      <c r="A24" s="49">
        <v>16</v>
      </c>
      <c r="B24" s="68">
        <v>1</v>
      </c>
      <c r="C24" s="43"/>
      <c r="D24" s="43">
        <v>2</v>
      </c>
      <c r="E24" s="39"/>
      <c r="F24" s="13">
        <f t="shared" si="0"/>
        <v>3</v>
      </c>
      <c r="G24" s="19"/>
      <c r="H24" s="60"/>
      <c r="I24" s="60"/>
      <c r="J24" s="14"/>
      <c r="K24" s="11">
        <f t="shared" si="1"/>
        <v>0</v>
      </c>
      <c r="L24" s="5">
        <f t="shared" si="2"/>
        <v>3</v>
      </c>
    </row>
    <row r="25" spans="1:12" ht="15" customHeight="1" thickBot="1" x14ac:dyDescent="0.3">
      <c r="A25" s="49">
        <v>17</v>
      </c>
      <c r="B25" s="68"/>
      <c r="C25" s="43"/>
      <c r="D25" s="43"/>
      <c r="E25" s="39"/>
      <c r="F25" s="13">
        <f t="shared" si="0"/>
        <v>0</v>
      </c>
      <c r="G25" s="19"/>
      <c r="H25" s="60"/>
      <c r="I25" s="60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8"/>
      <c r="C26" s="43"/>
      <c r="D26" s="43"/>
      <c r="E26" s="39"/>
      <c r="F26" s="13">
        <f t="shared" si="0"/>
        <v>0</v>
      </c>
      <c r="G26" s="19"/>
      <c r="H26" s="60"/>
      <c r="I26" s="60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8"/>
      <c r="C27" s="43"/>
      <c r="D27" s="43"/>
      <c r="E27" s="39"/>
      <c r="F27" s="13">
        <f t="shared" si="0"/>
        <v>0</v>
      </c>
      <c r="G27" s="19"/>
      <c r="H27" s="60"/>
      <c r="I27" s="60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8"/>
      <c r="C28" s="43"/>
      <c r="D28" s="43"/>
      <c r="E28" s="39"/>
      <c r="F28" s="13">
        <f t="shared" si="0"/>
        <v>0</v>
      </c>
      <c r="G28" s="19"/>
      <c r="H28" s="60"/>
      <c r="I28" s="60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8">
        <v>14</v>
      </c>
      <c r="C29" s="43"/>
      <c r="D29" s="43"/>
      <c r="E29" s="39"/>
      <c r="F29" s="13">
        <f t="shared" si="0"/>
        <v>14</v>
      </c>
      <c r="G29" s="19">
        <v>1</v>
      </c>
      <c r="H29" s="60"/>
      <c r="I29" s="60"/>
      <c r="J29" s="14"/>
      <c r="K29" s="11">
        <f t="shared" si="1"/>
        <v>1</v>
      </c>
      <c r="L29" s="5">
        <f t="shared" si="2"/>
        <v>15</v>
      </c>
    </row>
    <row r="30" spans="1:12" ht="15" customHeight="1" thickBot="1" x14ac:dyDescent="0.3">
      <c r="A30" s="49">
        <v>22</v>
      </c>
      <c r="B30" s="68"/>
      <c r="C30" s="43"/>
      <c r="D30" s="43"/>
      <c r="E30" s="39"/>
      <c r="F30" s="13">
        <f t="shared" si="0"/>
        <v>0</v>
      </c>
      <c r="G30" s="19"/>
      <c r="H30" s="60"/>
      <c r="I30" s="60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8">
        <v>3</v>
      </c>
      <c r="C31" s="43"/>
      <c r="D31" s="43"/>
      <c r="E31" s="39"/>
      <c r="F31" s="13">
        <f t="shared" si="0"/>
        <v>3</v>
      </c>
      <c r="G31" s="19"/>
      <c r="H31" s="14"/>
      <c r="I31" s="14"/>
      <c r="J31" s="14"/>
      <c r="K31" s="11">
        <f t="shared" si="1"/>
        <v>0</v>
      </c>
      <c r="L31" s="5">
        <f t="shared" si="2"/>
        <v>3</v>
      </c>
    </row>
    <row r="32" spans="1:12" ht="15" customHeight="1" thickBot="1" x14ac:dyDescent="0.3">
      <c r="A32" s="49">
        <v>24</v>
      </c>
      <c r="B32" s="68"/>
      <c r="C32" s="43"/>
      <c r="D32" s="43"/>
      <c r="E32" s="39"/>
      <c r="F32" s="13">
        <f t="shared" si="0"/>
        <v>0</v>
      </c>
      <c r="G32" s="19"/>
      <c r="H32" s="60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8"/>
      <c r="C33" s="43"/>
      <c r="D33" s="43"/>
      <c r="E33" s="39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8">
        <v>4</v>
      </c>
      <c r="C34" s="43"/>
      <c r="D34" s="43"/>
      <c r="E34" s="39"/>
      <c r="F34" s="13">
        <f t="shared" si="0"/>
        <v>4</v>
      </c>
      <c r="G34" s="19"/>
      <c r="H34" s="38"/>
      <c r="I34" s="14"/>
      <c r="J34" s="14"/>
      <c r="K34" s="11">
        <f t="shared" si="1"/>
        <v>0</v>
      </c>
      <c r="L34" s="5">
        <f t="shared" si="2"/>
        <v>4</v>
      </c>
    </row>
    <row r="35" spans="1:12" ht="15" customHeight="1" thickBot="1" x14ac:dyDescent="0.3">
      <c r="A35" s="49">
        <v>27</v>
      </c>
      <c r="B35" s="68">
        <v>14</v>
      </c>
      <c r="C35" s="43">
        <v>1</v>
      </c>
      <c r="D35" s="43"/>
      <c r="E35" s="39"/>
      <c r="F35" s="13">
        <f t="shared" si="0"/>
        <v>15</v>
      </c>
      <c r="G35" s="30"/>
      <c r="H35" s="38"/>
      <c r="I35" s="14"/>
      <c r="J35" s="14"/>
      <c r="K35" s="11">
        <f t="shared" si="1"/>
        <v>0</v>
      </c>
      <c r="L35" s="5">
        <f t="shared" si="2"/>
        <v>15</v>
      </c>
    </row>
    <row r="36" spans="1:12" ht="15" customHeight="1" thickBot="1" x14ac:dyDescent="0.3">
      <c r="A36" s="49">
        <v>28</v>
      </c>
      <c r="B36" s="68">
        <v>18</v>
      </c>
      <c r="C36" s="43"/>
      <c r="D36" s="43"/>
      <c r="E36" s="63"/>
      <c r="F36" s="13">
        <f t="shared" si="0"/>
        <v>18</v>
      </c>
      <c r="G36" s="19">
        <v>2</v>
      </c>
      <c r="H36" s="60"/>
      <c r="I36" s="60">
        <v>1</v>
      </c>
      <c r="J36" s="14"/>
      <c r="K36" s="11">
        <f t="shared" si="1"/>
        <v>3</v>
      </c>
      <c r="L36" s="5">
        <f t="shared" si="2"/>
        <v>21</v>
      </c>
    </row>
    <row r="37" spans="1:12" ht="15" customHeight="1" thickBot="1" x14ac:dyDescent="0.3">
      <c r="A37" s="49">
        <v>29</v>
      </c>
      <c r="B37" s="68">
        <v>6</v>
      </c>
      <c r="C37" s="43"/>
      <c r="D37" s="43"/>
      <c r="E37" s="63"/>
      <c r="F37" s="13">
        <f t="shared" si="0"/>
        <v>6</v>
      </c>
      <c r="G37" s="19"/>
      <c r="H37" s="60">
        <v>2</v>
      </c>
      <c r="I37" s="14"/>
      <c r="J37" s="14"/>
      <c r="K37" s="11">
        <f t="shared" si="1"/>
        <v>2</v>
      </c>
      <c r="L37" s="5">
        <f t="shared" si="2"/>
        <v>8</v>
      </c>
    </row>
    <row r="38" spans="1:12" ht="15" customHeight="1" thickBot="1" x14ac:dyDescent="0.3">
      <c r="A38" s="49">
        <v>30</v>
      </c>
      <c r="B38" s="68">
        <v>2</v>
      </c>
      <c r="C38" s="43"/>
      <c r="D38" s="43"/>
      <c r="E38" s="63"/>
      <c r="F38" s="13">
        <f t="shared" si="0"/>
        <v>2</v>
      </c>
      <c r="G38" s="19"/>
      <c r="H38" s="14"/>
      <c r="I38" s="14"/>
      <c r="J38" s="60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51">
        <v>31</v>
      </c>
      <c r="B39" s="70">
        <v>2</v>
      </c>
      <c r="C39" s="43"/>
      <c r="D39" s="43"/>
      <c r="E39" s="65"/>
      <c r="F39" s="13">
        <f t="shared" si="0"/>
        <v>2</v>
      </c>
      <c r="G39" s="19"/>
      <c r="H39" s="14"/>
      <c r="I39" s="14"/>
      <c r="J39" s="14"/>
      <c r="K39" s="11">
        <f t="shared" si="1"/>
        <v>0</v>
      </c>
      <c r="L39" s="5">
        <f t="shared" si="2"/>
        <v>2</v>
      </c>
    </row>
    <row r="40" spans="1:12" ht="15.75" thickBot="1" x14ac:dyDescent="0.3">
      <c r="A40" s="50"/>
      <c r="B40" s="80">
        <f>SUM(B9:B39)</f>
        <v>87</v>
      </c>
      <c r="C40" s="80">
        <f t="shared" ref="C40:E40" si="3">SUM(C9:C39)</f>
        <v>1</v>
      </c>
      <c r="D40" s="80">
        <f t="shared" si="3"/>
        <v>2</v>
      </c>
      <c r="E40" s="80">
        <f t="shared" si="3"/>
        <v>0</v>
      </c>
      <c r="F40" s="79">
        <f>SUM(F9:F39)</f>
        <v>90</v>
      </c>
      <c r="G40" s="12">
        <f>SUM(G9:G39)</f>
        <v>5</v>
      </c>
      <c r="H40" s="12">
        <f t="shared" ref="H40:L40" si="4">SUM(H9:H39)</f>
        <v>2</v>
      </c>
      <c r="I40" s="12">
        <f t="shared" si="4"/>
        <v>1</v>
      </c>
      <c r="J40" s="12">
        <f t="shared" si="4"/>
        <v>0</v>
      </c>
      <c r="K40" s="12">
        <f t="shared" si="4"/>
        <v>8</v>
      </c>
      <c r="L40" s="12">
        <f t="shared" si="4"/>
        <v>98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20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200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98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122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122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36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8">
        <v>2</v>
      </c>
      <c r="C11" s="36"/>
      <c r="D11" s="36"/>
      <c r="E11" s="39"/>
      <c r="F11" s="13">
        <f t="shared" si="0"/>
        <v>2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3</v>
      </c>
    </row>
    <row r="12" spans="1:12" ht="15" customHeight="1" thickBot="1" x14ac:dyDescent="0.3">
      <c r="A12" s="49">
        <v>4</v>
      </c>
      <c r="B12" s="68">
        <v>5</v>
      </c>
      <c r="C12" s="43"/>
      <c r="D12" s="43"/>
      <c r="E12" s="37"/>
      <c r="F12" s="13">
        <f t="shared" si="0"/>
        <v>5</v>
      </c>
      <c r="G12" s="40"/>
      <c r="H12" s="43">
        <v>2</v>
      </c>
      <c r="I12" s="43">
        <v>3</v>
      </c>
      <c r="J12" s="36"/>
      <c r="K12" s="11">
        <f t="shared" si="1"/>
        <v>5</v>
      </c>
      <c r="L12" s="5">
        <f t="shared" si="2"/>
        <v>10</v>
      </c>
    </row>
    <row r="13" spans="1:12" ht="15" customHeight="1" thickBot="1" x14ac:dyDescent="0.3">
      <c r="A13" s="49">
        <v>5</v>
      </c>
      <c r="B13" s="68">
        <v>1</v>
      </c>
      <c r="C13" s="43"/>
      <c r="D13" s="43"/>
      <c r="E13" s="37"/>
      <c r="F13" s="13">
        <f t="shared" si="0"/>
        <v>1</v>
      </c>
      <c r="G13" s="38"/>
      <c r="H13" s="43"/>
      <c r="I13" s="43">
        <v>1</v>
      </c>
      <c r="J13" s="36"/>
      <c r="K13" s="11">
        <f t="shared" si="1"/>
        <v>1</v>
      </c>
      <c r="L13" s="5">
        <f t="shared" si="2"/>
        <v>2</v>
      </c>
    </row>
    <row r="14" spans="1:12" ht="15" customHeight="1" thickBot="1" x14ac:dyDescent="0.3">
      <c r="A14" s="49">
        <v>6</v>
      </c>
      <c r="B14" s="68">
        <v>6</v>
      </c>
      <c r="C14" s="43"/>
      <c r="D14" s="43"/>
      <c r="E14" s="37"/>
      <c r="F14" s="13">
        <f t="shared" si="0"/>
        <v>6</v>
      </c>
      <c r="G14" s="38"/>
      <c r="H14" s="43"/>
      <c r="I14" s="43"/>
      <c r="J14" s="38"/>
      <c r="K14" s="11">
        <f t="shared" si="1"/>
        <v>0</v>
      </c>
      <c r="L14" s="5">
        <f t="shared" si="2"/>
        <v>6</v>
      </c>
    </row>
    <row r="15" spans="1:12" ht="15" customHeight="1" thickBot="1" x14ac:dyDescent="0.3">
      <c r="A15" s="49">
        <v>7</v>
      </c>
      <c r="B15" s="68">
        <v>9</v>
      </c>
      <c r="C15" s="43"/>
      <c r="D15" s="43">
        <v>1</v>
      </c>
      <c r="E15" s="37"/>
      <c r="F15" s="13">
        <f t="shared" si="0"/>
        <v>10</v>
      </c>
      <c r="G15" s="38"/>
      <c r="H15" s="43"/>
      <c r="I15" s="43"/>
      <c r="J15" s="38"/>
      <c r="K15" s="11">
        <f t="shared" si="1"/>
        <v>0</v>
      </c>
      <c r="L15" s="5">
        <f t="shared" si="2"/>
        <v>10</v>
      </c>
    </row>
    <row r="16" spans="1:12" ht="15" customHeight="1" thickBot="1" x14ac:dyDescent="0.3">
      <c r="A16" s="49">
        <v>8</v>
      </c>
      <c r="B16" s="68"/>
      <c r="C16" s="43"/>
      <c r="D16" s="43"/>
      <c r="E16" s="37"/>
      <c r="F16" s="13">
        <f t="shared" si="0"/>
        <v>0</v>
      </c>
      <c r="G16" s="38"/>
      <c r="H16" s="43"/>
      <c r="I16" s="43"/>
      <c r="J16" s="38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8"/>
      <c r="C17" s="43"/>
      <c r="D17" s="43"/>
      <c r="E17" s="39"/>
      <c r="F17" s="13">
        <f t="shared" si="0"/>
        <v>0</v>
      </c>
      <c r="G17" s="38"/>
      <c r="H17" s="43"/>
      <c r="I17" s="43"/>
      <c r="J17" s="38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8">
        <v>2</v>
      </c>
      <c r="C18" s="43"/>
      <c r="D18" s="43">
        <v>1</v>
      </c>
      <c r="E18" s="37"/>
      <c r="F18" s="13">
        <f t="shared" si="0"/>
        <v>3</v>
      </c>
      <c r="G18" s="38"/>
      <c r="H18" s="43"/>
      <c r="I18" s="43"/>
      <c r="J18" s="38"/>
      <c r="K18" s="11">
        <f t="shared" si="1"/>
        <v>0</v>
      </c>
      <c r="L18" s="5">
        <f t="shared" si="2"/>
        <v>3</v>
      </c>
    </row>
    <row r="19" spans="1:12" ht="15" customHeight="1" thickBot="1" x14ac:dyDescent="0.3">
      <c r="A19" s="49">
        <v>11</v>
      </c>
      <c r="B19" s="68">
        <v>4</v>
      </c>
      <c r="C19" s="43"/>
      <c r="D19" s="43"/>
      <c r="E19" s="37"/>
      <c r="F19" s="13">
        <f t="shared" si="0"/>
        <v>4</v>
      </c>
      <c r="G19" s="38"/>
      <c r="H19" s="43"/>
      <c r="I19" s="43"/>
      <c r="J19" s="38"/>
      <c r="K19" s="11">
        <f t="shared" si="1"/>
        <v>0</v>
      </c>
      <c r="L19" s="5">
        <f t="shared" si="2"/>
        <v>4</v>
      </c>
    </row>
    <row r="20" spans="1:12" ht="15" customHeight="1" thickBot="1" x14ac:dyDescent="0.3">
      <c r="A20" s="49">
        <v>12</v>
      </c>
      <c r="B20" s="68">
        <v>2</v>
      </c>
      <c r="C20" s="43"/>
      <c r="D20" s="43"/>
      <c r="E20" s="37"/>
      <c r="F20" s="13">
        <f t="shared" si="0"/>
        <v>2</v>
      </c>
      <c r="G20" s="38"/>
      <c r="H20" s="43"/>
      <c r="I20" s="43"/>
      <c r="J20" s="38"/>
      <c r="K20" s="11">
        <f t="shared" si="1"/>
        <v>0</v>
      </c>
      <c r="L20" s="5">
        <f t="shared" si="2"/>
        <v>2</v>
      </c>
    </row>
    <row r="21" spans="1:12" ht="15" customHeight="1" thickBot="1" x14ac:dyDescent="0.3">
      <c r="A21" s="49">
        <v>13</v>
      </c>
      <c r="B21" s="68">
        <v>8</v>
      </c>
      <c r="C21" s="43"/>
      <c r="D21" s="43"/>
      <c r="E21" s="37"/>
      <c r="F21" s="13">
        <f t="shared" si="0"/>
        <v>8</v>
      </c>
      <c r="G21" s="38"/>
      <c r="H21" s="43"/>
      <c r="I21" s="43"/>
      <c r="J21" s="38"/>
      <c r="K21" s="11">
        <f t="shared" si="1"/>
        <v>0</v>
      </c>
      <c r="L21" s="5">
        <f t="shared" si="2"/>
        <v>8</v>
      </c>
    </row>
    <row r="22" spans="1:12" ht="15" customHeight="1" thickBot="1" x14ac:dyDescent="0.3">
      <c r="A22" s="49">
        <v>14</v>
      </c>
      <c r="B22" s="68">
        <v>11</v>
      </c>
      <c r="C22" s="43"/>
      <c r="D22" s="43"/>
      <c r="E22" s="37"/>
      <c r="F22" s="13">
        <f t="shared" si="0"/>
        <v>11</v>
      </c>
      <c r="G22" s="38">
        <v>1</v>
      </c>
      <c r="H22" s="43"/>
      <c r="I22" s="43"/>
      <c r="J22" s="38"/>
      <c r="K22" s="11">
        <f t="shared" si="1"/>
        <v>1</v>
      </c>
      <c r="L22" s="5">
        <f t="shared" si="2"/>
        <v>12</v>
      </c>
    </row>
    <row r="23" spans="1:12" ht="15" customHeight="1" thickBot="1" x14ac:dyDescent="0.3">
      <c r="A23" s="49">
        <v>15</v>
      </c>
      <c r="B23" s="68"/>
      <c r="C23" s="36"/>
      <c r="D23" s="43"/>
      <c r="E23" s="37"/>
      <c r="F23" s="13">
        <f t="shared" si="0"/>
        <v>0</v>
      </c>
      <c r="G23" s="38"/>
      <c r="H23" s="43"/>
      <c r="I23" s="43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8"/>
      <c r="C24" s="36"/>
      <c r="D24" s="43"/>
      <c r="E24" s="37"/>
      <c r="F24" s="13">
        <f t="shared" si="0"/>
        <v>0</v>
      </c>
      <c r="G24" s="38"/>
      <c r="H24" s="43"/>
      <c r="I24" s="43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8">
        <v>2</v>
      </c>
      <c r="C25" s="69"/>
      <c r="D25" s="43"/>
      <c r="E25" s="37"/>
      <c r="F25" s="13">
        <f t="shared" si="0"/>
        <v>2</v>
      </c>
      <c r="G25" s="38"/>
      <c r="H25" s="43"/>
      <c r="I25" s="43"/>
      <c r="J25" s="38"/>
      <c r="K25" s="11">
        <f t="shared" si="1"/>
        <v>0</v>
      </c>
      <c r="L25" s="5">
        <f t="shared" si="2"/>
        <v>2</v>
      </c>
    </row>
    <row r="26" spans="1:12" ht="15" customHeight="1" thickBot="1" x14ac:dyDescent="0.3">
      <c r="A26" s="49">
        <v>18</v>
      </c>
      <c r="B26" s="68">
        <v>5</v>
      </c>
      <c r="C26" s="43"/>
      <c r="D26" s="43"/>
      <c r="E26" s="37"/>
      <c r="F26" s="13">
        <f t="shared" si="0"/>
        <v>5</v>
      </c>
      <c r="G26" s="38">
        <v>11</v>
      </c>
      <c r="H26" s="43"/>
      <c r="I26" s="43"/>
      <c r="J26" s="38"/>
      <c r="K26" s="11">
        <f t="shared" si="1"/>
        <v>11</v>
      </c>
      <c r="L26" s="5">
        <f t="shared" si="2"/>
        <v>16</v>
      </c>
    </row>
    <row r="27" spans="1:12" ht="15" customHeight="1" thickBot="1" x14ac:dyDescent="0.3">
      <c r="A27" s="49">
        <v>19</v>
      </c>
      <c r="B27" s="68">
        <v>3</v>
      </c>
      <c r="C27" s="43"/>
      <c r="D27" s="43"/>
      <c r="E27" s="37"/>
      <c r="F27" s="13">
        <f t="shared" si="0"/>
        <v>3</v>
      </c>
      <c r="G27" s="38">
        <v>10</v>
      </c>
      <c r="H27" s="43"/>
      <c r="I27" s="43"/>
      <c r="J27" s="38"/>
      <c r="K27" s="11">
        <f t="shared" si="1"/>
        <v>10</v>
      </c>
      <c r="L27" s="5">
        <f t="shared" si="2"/>
        <v>13</v>
      </c>
    </row>
    <row r="28" spans="1:12" ht="15" customHeight="1" thickBot="1" x14ac:dyDescent="0.3">
      <c r="A28" s="49">
        <v>20</v>
      </c>
      <c r="B28" s="68"/>
      <c r="C28" s="36"/>
      <c r="D28" s="43"/>
      <c r="E28" s="37"/>
      <c r="F28" s="13">
        <f t="shared" si="0"/>
        <v>0</v>
      </c>
      <c r="G28" s="38">
        <v>11</v>
      </c>
      <c r="H28" s="43"/>
      <c r="I28" s="43"/>
      <c r="J28" s="38"/>
      <c r="K28" s="11">
        <f t="shared" si="1"/>
        <v>11</v>
      </c>
      <c r="L28" s="5">
        <f t="shared" si="2"/>
        <v>11</v>
      </c>
    </row>
    <row r="29" spans="1:12" ht="15" customHeight="1" thickBot="1" x14ac:dyDescent="0.3">
      <c r="A29" s="49">
        <v>21</v>
      </c>
      <c r="B29" s="68">
        <v>4</v>
      </c>
      <c r="C29" s="36"/>
      <c r="D29" s="43"/>
      <c r="E29" s="39"/>
      <c r="F29" s="13">
        <f t="shared" si="0"/>
        <v>4</v>
      </c>
      <c r="G29" s="38">
        <v>10</v>
      </c>
      <c r="H29" s="43"/>
      <c r="I29" s="43"/>
      <c r="J29" s="38"/>
      <c r="K29" s="11">
        <f t="shared" si="1"/>
        <v>10</v>
      </c>
      <c r="L29" s="5">
        <f t="shared" si="2"/>
        <v>14</v>
      </c>
    </row>
    <row r="30" spans="1:12" ht="15" customHeight="1" thickBot="1" x14ac:dyDescent="0.3">
      <c r="A30" s="49">
        <v>22</v>
      </c>
      <c r="B30" s="68"/>
      <c r="C30" s="36"/>
      <c r="D30" s="43"/>
      <c r="E30" s="37"/>
      <c r="F30" s="13">
        <f t="shared" si="0"/>
        <v>0</v>
      </c>
      <c r="G30" s="19"/>
      <c r="H30" s="60"/>
      <c r="I30" s="60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8"/>
      <c r="C31" s="36"/>
      <c r="D31" s="43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8">
        <v>6</v>
      </c>
      <c r="C32" s="36"/>
      <c r="D32" s="43"/>
      <c r="E32" s="37"/>
      <c r="F32" s="13">
        <f t="shared" si="0"/>
        <v>6</v>
      </c>
      <c r="G32" s="19"/>
      <c r="H32" s="60"/>
      <c r="I32" s="14"/>
      <c r="J32" s="14"/>
      <c r="K32" s="11">
        <f t="shared" si="1"/>
        <v>0</v>
      </c>
      <c r="L32" s="5">
        <f t="shared" si="2"/>
        <v>6</v>
      </c>
    </row>
    <row r="33" spans="1:12" ht="15" customHeight="1" thickBot="1" x14ac:dyDescent="0.3">
      <c r="A33" s="49">
        <v>25</v>
      </c>
      <c r="B33" s="68">
        <v>3</v>
      </c>
      <c r="C33" s="36"/>
      <c r="D33" s="43"/>
      <c r="E33" s="37"/>
      <c r="F33" s="13">
        <f t="shared" si="0"/>
        <v>3</v>
      </c>
      <c r="G33" s="19"/>
      <c r="H33" s="14"/>
      <c r="I33" s="14"/>
      <c r="J33" s="14"/>
      <c r="K33" s="11">
        <f t="shared" si="1"/>
        <v>0</v>
      </c>
      <c r="L33" s="5">
        <f t="shared" si="2"/>
        <v>3</v>
      </c>
    </row>
    <row r="34" spans="1:12" ht="15" customHeight="1" thickBot="1" x14ac:dyDescent="0.3">
      <c r="A34" s="49">
        <v>26</v>
      </c>
      <c r="B34" s="68">
        <v>5</v>
      </c>
      <c r="C34" s="43"/>
      <c r="D34" s="43">
        <v>2</v>
      </c>
      <c r="E34" s="37"/>
      <c r="F34" s="13">
        <f t="shared" si="0"/>
        <v>7</v>
      </c>
      <c r="G34" s="19">
        <v>10</v>
      </c>
      <c r="H34" s="38"/>
      <c r="I34" s="14"/>
      <c r="J34" s="14"/>
      <c r="K34" s="11">
        <f t="shared" si="1"/>
        <v>10</v>
      </c>
      <c r="L34" s="5">
        <f t="shared" si="2"/>
        <v>17</v>
      </c>
    </row>
    <row r="35" spans="1:12" ht="15" customHeight="1" thickBot="1" x14ac:dyDescent="0.3">
      <c r="A35" s="49">
        <v>27</v>
      </c>
      <c r="B35" s="68">
        <v>2</v>
      </c>
      <c r="C35" s="43"/>
      <c r="D35" s="43"/>
      <c r="E35" s="37"/>
      <c r="F35" s="13">
        <f t="shared" si="0"/>
        <v>2</v>
      </c>
      <c r="G35" s="30"/>
      <c r="H35" s="38"/>
      <c r="I35" s="14"/>
      <c r="J35" s="14"/>
      <c r="K35" s="11">
        <f t="shared" si="1"/>
        <v>0</v>
      </c>
      <c r="L35" s="5">
        <f t="shared" si="2"/>
        <v>2</v>
      </c>
    </row>
    <row r="36" spans="1:12" ht="15" customHeight="1" thickBot="1" x14ac:dyDescent="0.3">
      <c r="A36" s="49">
        <v>28</v>
      </c>
      <c r="B36" s="68"/>
      <c r="C36" s="36"/>
      <c r="D36" s="43"/>
      <c r="E36" s="37"/>
      <c r="F36" s="13">
        <f t="shared" si="0"/>
        <v>0</v>
      </c>
      <c r="G36" s="19"/>
      <c r="H36" s="60"/>
      <c r="I36" s="60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68"/>
      <c r="C37" s="36"/>
      <c r="D37" s="36"/>
      <c r="E37" s="37"/>
      <c r="F37" s="13">
        <f t="shared" si="0"/>
        <v>0</v>
      </c>
      <c r="G37" s="19"/>
      <c r="H37" s="60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68"/>
      <c r="C38" s="36"/>
      <c r="D38" s="36"/>
      <c r="E38" s="37"/>
      <c r="F38" s="13">
        <f t="shared" si="0"/>
        <v>0</v>
      </c>
      <c r="G38" s="19"/>
      <c r="H38" s="14"/>
      <c r="I38" s="14"/>
      <c r="J38" s="60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70"/>
      <c r="C39" s="71"/>
      <c r="D39" s="72"/>
      <c r="E39" s="83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80">
        <f>SUM(B9:B39)</f>
        <v>80</v>
      </c>
      <c r="C40" s="80">
        <f t="shared" ref="C40:E40" si="3">SUM(C9:C39)</f>
        <v>0</v>
      </c>
      <c r="D40" s="80">
        <f t="shared" si="3"/>
        <v>4</v>
      </c>
      <c r="E40" s="80">
        <f t="shared" si="3"/>
        <v>0</v>
      </c>
      <c r="F40" s="79">
        <f>SUM(F9:F39)</f>
        <v>84</v>
      </c>
      <c r="G40" s="12">
        <f>SUM(G9:G39)</f>
        <v>54</v>
      </c>
      <c r="H40" s="12">
        <f t="shared" ref="H40:L40" si="4">SUM(H9:H39)</f>
        <v>2</v>
      </c>
      <c r="I40" s="12">
        <f t="shared" si="4"/>
        <v>4</v>
      </c>
      <c r="J40" s="12">
        <f t="shared" si="4"/>
        <v>0</v>
      </c>
      <c r="K40" s="12">
        <f t="shared" si="4"/>
        <v>60</v>
      </c>
      <c r="L40" s="12">
        <f t="shared" si="4"/>
        <v>144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122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104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144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82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82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M8" sqref="M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37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5</v>
      </c>
      <c r="C10" s="43"/>
      <c r="D10" s="43"/>
      <c r="E10" s="39"/>
      <c r="F10" s="13">
        <f t="shared" ref="F10:F39" si="0">SUM(B10:E10)</f>
        <v>5</v>
      </c>
      <c r="G10" s="19">
        <v>20</v>
      </c>
      <c r="H10" s="38"/>
      <c r="I10" s="14"/>
      <c r="J10" s="60">
        <v>1</v>
      </c>
      <c r="K10" s="11">
        <f t="shared" ref="K10:K39" si="1">SUM(G10:J10)</f>
        <v>21</v>
      </c>
      <c r="L10" s="5">
        <f t="shared" ref="L10:L39" si="2">SUM(F10+K10)</f>
        <v>26</v>
      </c>
    </row>
    <row r="11" spans="1:12" ht="15" customHeight="1" thickBot="1" x14ac:dyDescent="0.3">
      <c r="A11" s="49">
        <v>3</v>
      </c>
      <c r="B11" s="68">
        <v>5</v>
      </c>
      <c r="C11" s="36"/>
      <c r="D11" s="36"/>
      <c r="E11" s="39"/>
      <c r="F11" s="13">
        <f t="shared" si="0"/>
        <v>5</v>
      </c>
      <c r="G11" s="19">
        <v>11</v>
      </c>
      <c r="H11" s="38"/>
      <c r="I11" s="14"/>
      <c r="J11" s="14"/>
      <c r="K11" s="11">
        <f t="shared" si="1"/>
        <v>11</v>
      </c>
      <c r="L11" s="5">
        <f t="shared" si="2"/>
        <v>16</v>
      </c>
    </row>
    <row r="12" spans="1:12" ht="15" customHeight="1" thickBot="1" x14ac:dyDescent="0.3">
      <c r="A12" s="49">
        <v>4</v>
      </c>
      <c r="B12" s="68"/>
      <c r="C12" s="43"/>
      <c r="D12" s="43"/>
      <c r="E12" s="37"/>
      <c r="F12" s="13">
        <f t="shared" si="0"/>
        <v>0</v>
      </c>
      <c r="G12" s="40"/>
      <c r="H12" s="43"/>
      <c r="I12" s="43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8">
        <v>1</v>
      </c>
      <c r="C13" s="43"/>
      <c r="D13" s="43"/>
      <c r="E13" s="37"/>
      <c r="F13" s="13">
        <f t="shared" si="0"/>
        <v>1</v>
      </c>
      <c r="G13" s="38"/>
      <c r="H13" s="43"/>
      <c r="I13" s="43"/>
      <c r="J13" s="36"/>
      <c r="K13" s="11">
        <f t="shared" si="1"/>
        <v>0</v>
      </c>
      <c r="L13" s="5">
        <f t="shared" si="2"/>
        <v>1</v>
      </c>
    </row>
    <row r="14" spans="1:12" ht="15" customHeight="1" thickBot="1" x14ac:dyDescent="0.3">
      <c r="A14" s="49">
        <v>6</v>
      </c>
      <c r="B14" s="68"/>
      <c r="C14" s="43"/>
      <c r="D14" s="43"/>
      <c r="E14" s="37"/>
      <c r="F14" s="13">
        <f t="shared" si="0"/>
        <v>0</v>
      </c>
      <c r="G14" s="38"/>
      <c r="H14" s="43"/>
      <c r="I14" s="43"/>
      <c r="J14" s="38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8"/>
      <c r="C15" s="43"/>
      <c r="D15" s="43"/>
      <c r="E15" s="37"/>
      <c r="F15" s="13">
        <f t="shared" si="0"/>
        <v>0</v>
      </c>
      <c r="G15" s="38"/>
      <c r="H15" s="43"/>
      <c r="I15" s="43"/>
      <c r="J15" s="38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8"/>
      <c r="C16" s="43"/>
      <c r="D16" s="43"/>
      <c r="E16" s="37"/>
      <c r="F16" s="13">
        <f t="shared" si="0"/>
        <v>0</v>
      </c>
      <c r="G16" s="38"/>
      <c r="H16" s="43"/>
      <c r="I16" s="43"/>
      <c r="J16" s="38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8"/>
      <c r="C17" s="43"/>
      <c r="D17" s="43"/>
      <c r="E17" s="39"/>
      <c r="F17" s="13">
        <f t="shared" si="0"/>
        <v>0</v>
      </c>
      <c r="G17" s="38"/>
      <c r="H17" s="43"/>
      <c r="I17" s="43"/>
      <c r="J17" s="38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8">
        <v>2</v>
      </c>
      <c r="C18" s="43"/>
      <c r="D18" s="43"/>
      <c r="E18" s="37"/>
      <c r="F18" s="13">
        <f t="shared" si="0"/>
        <v>2</v>
      </c>
      <c r="G18" s="38">
        <v>30</v>
      </c>
      <c r="H18" s="43"/>
      <c r="I18" s="43"/>
      <c r="J18" s="38"/>
      <c r="K18" s="11">
        <f t="shared" si="1"/>
        <v>30</v>
      </c>
      <c r="L18" s="5">
        <f t="shared" si="2"/>
        <v>32</v>
      </c>
    </row>
    <row r="19" spans="1:12" ht="15" customHeight="1" thickBot="1" x14ac:dyDescent="0.3">
      <c r="A19" s="49">
        <v>11</v>
      </c>
      <c r="B19" s="68">
        <v>2</v>
      </c>
      <c r="C19" s="43"/>
      <c r="D19" s="43"/>
      <c r="E19" s="37"/>
      <c r="F19" s="13">
        <f t="shared" si="0"/>
        <v>2</v>
      </c>
      <c r="G19" s="38"/>
      <c r="H19" s="43"/>
      <c r="I19" s="43"/>
      <c r="J19" s="38"/>
      <c r="K19" s="11">
        <f t="shared" si="1"/>
        <v>0</v>
      </c>
      <c r="L19" s="5">
        <f t="shared" si="2"/>
        <v>2</v>
      </c>
    </row>
    <row r="20" spans="1:12" ht="15" customHeight="1" thickBot="1" x14ac:dyDescent="0.3">
      <c r="A20" s="49">
        <v>12</v>
      </c>
      <c r="B20" s="68">
        <v>2</v>
      </c>
      <c r="C20" s="43"/>
      <c r="D20" s="43"/>
      <c r="E20" s="37"/>
      <c r="F20" s="13">
        <f t="shared" si="0"/>
        <v>2</v>
      </c>
      <c r="G20" s="38"/>
      <c r="H20" s="43">
        <v>1</v>
      </c>
      <c r="I20" s="43"/>
      <c r="J20" s="38"/>
      <c r="K20" s="11">
        <f t="shared" si="1"/>
        <v>1</v>
      </c>
      <c r="L20" s="5">
        <f t="shared" si="2"/>
        <v>3</v>
      </c>
    </row>
    <row r="21" spans="1:12" ht="15" customHeight="1" thickBot="1" x14ac:dyDescent="0.3">
      <c r="A21" s="49">
        <v>13</v>
      </c>
      <c r="B21" s="68"/>
      <c r="C21" s="43"/>
      <c r="D21" s="43"/>
      <c r="E21" s="37"/>
      <c r="F21" s="13">
        <f t="shared" si="0"/>
        <v>0</v>
      </c>
      <c r="G21" s="38"/>
      <c r="H21" s="43"/>
      <c r="I21" s="43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8"/>
      <c r="C22" s="43"/>
      <c r="D22" s="43"/>
      <c r="E22" s="37"/>
      <c r="F22" s="13">
        <f t="shared" si="0"/>
        <v>0</v>
      </c>
      <c r="G22" s="38"/>
      <c r="H22" s="43"/>
      <c r="I22" s="43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8"/>
      <c r="C23" s="36"/>
      <c r="D23" s="43"/>
      <c r="E23" s="37"/>
      <c r="F23" s="13">
        <f t="shared" si="0"/>
        <v>0</v>
      </c>
      <c r="G23" s="38"/>
      <c r="H23" s="43"/>
      <c r="I23" s="43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8"/>
      <c r="C24" s="36"/>
      <c r="D24" s="43"/>
      <c r="E24" s="37"/>
      <c r="F24" s="13">
        <f t="shared" si="0"/>
        <v>0</v>
      </c>
      <c r="G24" s="38"/>
      <c r="H24" s="43"/>
      <c r="I24" s="43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8"/>
      <c r="C25" s="69"/>
      <c r="D25" s="43"/>
      <c r="E25" s="37"/>
      <c r="F25" s="13">
        <f t="shared" si="0"/>
        <v>0</v>
      </c>
      <c r="G25" s="38"/>
      <c r="H25" s="43"/>
      <c r="I25" s="43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8"/>
      <c r="C26" s="43"/>
      <c r="D26" s="43"/>
      <c r="E26" s="37"/>
      <c r="F26" s="13">
        <f t="shared" si="0"/>
        <v>0</v>
      </c>
      <c r="G26" s="38"/>
      <c r="H26" s="43"/>
      <c r="I26" s="43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8">
        <v>1</v>
      </c>
      <c r="C27" s="43"/>
      <c r="D27" s="43"/>
      <c r="E27" s="37"/>
      <c r="F27" s="13">
        <f t="shared" si="0"/>
        <v>1</v>
      </c>
      <c r="G27" s="38"/>
      <c r="H27" s="43"/>
      <c r="I27" s="43"/>
      <c r="J27" s="38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68"/>
      <c r="C28" s="36"/>
      <c r="D28" s="43"/>
      <c r="E28" s="37"/>
      <c r="F28" s="13">
        <f t="shared" si="0"/>
        <v>0</v>
      </c>
      <c r="G28" s="38"/>
      <c r="H28" s="43"/>
      <c r="I28" s="43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8"/>
      <c r="C29" s="36"/>
      <c r="D29" s="43"/>
      <c r="E29" s="39"/>
      <c r="F29" s="13">
        <f t="shared" si="0"/>
        <v>0</v>
      </c>
      <c r="G29" s="38"/>
      <c r="H29" s="43"/>
      <c r="I29" s="43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8"/>
      <c r="C30" s="36"/>
      <c r="D30" s="43"/>
      <c r="E30" s="37"/>
      <c r="F30" s="13">
        <f t="shared" si="0"/>
        <v>0</v>
      </c>
      <c r="G30" s="19"/>
      <c r="H30" s="60"/>
      <c r="I30" s="60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8"/>
      <c r="C31" s="36"/>
      <c r="D31" s="43"/>
      <c r="E31" s="37"/>
      <c r="F31" s="13">
        <f t="shared" si="0"/>
        <v>0</v>
      </c>
      <c r="G31" s="19">
        <v>1</v>
      </c>
      <c r="H31" s="14"/>
      <c r="I31" s="14"/>
      <c r="J31" s="14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9">
        <v>24</v>
      </c>
      <c r="B32" s="68"/>
      <c r="C32" s="36"/>
      <c r="D32" s="43"/>
      <c r="E32" s="37"/>
      <c r="F32" s="13">
        <f t="shared" si="0"/>
        <v>0</v>
      </c>
      <c r="G32" s="19"/>
      <c r="H32" s="60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8"/>
      <c r="C33" s="36"/>
      <c r="D33" s="43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8"/>
      <c r="C34" s="43"/>
      <c r="D34" s="43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68"/>
      <c r="C35" s="43"/>
      <c r="D35" s="43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68"/>
      <c r="C36" s="36"/>
      <c r="D36" s="43"/>
      <c r="E36" s="37"/>
      <c r="F36" s="13">
        <f t="shared" si="0"/>
        <v>0</v>
      </c>
      <c r="G36" s="19"/>
      <c r="H36" s="60"/>
      <c r="I36" s="60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68"/>
      <c r="C37" s="43">
        <v>1</v>
      </c>
      <c r="D37" s="36"/>
      <c r="E37" s="37"/>
      <c r="F37" s="13">
        <f t="shared" si="0"/>
        <v>1</v>
      </c>
      <c r="G37" s="19"/>
      <c r="H37" s="60"/>
      <c r="I37" s="14"/>
      <c r="J37" s="14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9">
        <v>30</v>
      </c>
      <c r="B38" s="68"/>
      <c r="C38" s="36"/>
      <c r="D38" s="36"/>
      <c r="E38" s="37"/>
      <c r="F38" s="13">
        <f t="shared" si="0"/>
        <v>0</v>
      </c>
      <c r="G38" s="19"/>
      <c r="H38" s="14"/>
      <c r="I38" s="14"/>
      <c r="J38" s="60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70"/>
      <c r="C39" s="71"/>
      <c r="D39" s="72"/>
      <c r="E39" s="83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82">
        <f>SUM(B9:B39)</f>
        <v>18</v>
      </c>
      <c r="C40" s="82">
        <f t="shared" ref="C40:E40" si="3">SUM(C9:C39)</f>
        <v>1</v>
      </c>
      <c r="D40" s="82">
        <f t="shared" si="3"/>
        <v>0</v>
      </c>
      <c r="E40" s="82">
        <f t="shared" si="3"/>
        <v>0</v>
      </c>
      <c r="F40" s="81">
        <f>SUM(F9:F39)</f>
        <v>19</v>
      </c>
      <c r="G40" s="12">
        <f>SUM(G9:G39)</f>
        <v>62</v>
      </c>
      <c r="H40" s="12">
        <f t="shared" ref="H40:L40" si="4">SUM(H9:H39)</f>
        <v>1</v>
      </c>
      <c r="I40" s="12">
        <f t="shared" si="4"/>
        <v>0</v>
      </c>
      <c r="J40" s="12">
        <f t="shared" si="4"/>
        <v>1</v>
      </c>
      <c r="K40" s="12">
        <f t="shared" si="4"/>
        <v>64</v>
      </c>
      <c r="L40" s="12">
        <f t="shared" si="4"/>
        <v>83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82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12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83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11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11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Q35" sqref="Q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38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60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8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8"/>
      <c r="C12" s="43"/>
      <c r="D12" s="43"/>
      <c r="E12" s="37"/>
      <c r="F12" s="13">
        <f t="shared" si="0"/>
        <v>0</v>
      </c>
      <c r="G12" s="40"/>
      <c r="H12" s="43"/>
      <c r="I12" s="43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8"/>
      <c r="C13" s="43"/>
      <c r="D13" s="43"/>
      <c r="E13" s="37"/>
      <c r="F13" s="13">
        <f t="shared" si="0"/>
        <v>0</v>
      </c>
      <c r="G13" s="38"/>
      <c r="H13" s="43"/>
      <c r="I13" s="43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8"/>
      <c r="C14" s="43"/>
      <c r="D14" s="43"/>
      <c r="E14" s="37"/>
      <c r="F14" s="13">
        <f t="shared" si="0"/>
        <v>0</v>
      </c>
      <c r="G14" s="38"/>
      <c r="H14" s="43"/>
      <c r="I14" s="43"/>
      <c r="J14" s="38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8">
        <v>1</v>
      </c>
      <c r="C15" s="43"/>
      <c r="D15" s="43"/>
      <c r="E15" s="37"/>
      <c r="F15" s="13">
        <f t="shared" si="0"/>
        <v>1</v>
      </c>
      <c r="G15" s="38"/>
      <c r="H15" s="43"/>
      <c r="I15" s="43"/>
      <c r="J15" s="38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68">
        <v>2</v>
      </c>
      <c r="C16" s="43"/>
      <c r="D16" s="43"/>
      <c r="E16" s="37"/>
      <c r="F16" s="13">
        <f t="shared" si="0"/>
        <v>2</v>
      </c>
      <c r="G16" s="38"/>
      <c r="H16" s="43"/>
      <c r="I16" s="43">
        <v>1</v>
      </c>
      <c r="J16" s="38"/>
      <c r="K16" s="11">
        <f t="shared" si="1"/>
        <v>1</v>
      </c>
      <c r="L16" s="5">
        <f t="shared" si="2"/>
        <v>3</v>
      </c>
    </row>
    <row r="17" spans="1:12" ht="15" customHeight="1" thickBot="1" x14ac:dyDescent="0.3">
      <c r="A17" s="49">
        <v>9</v>
      </c>
      <c r="B17" s="68"/>
      <c r="C17" s="43"/>
      <c r="D17" s="43"/>
      <c r="E17" s="39"/>
      <c r="F17" s="13">
        <f t="shared" si="0"/>
        <v>0</v>
      </c>
      <c r="G17" s="38"/>
      <c r="H17" s="43"/>
      <c r="I17" s="43"/>
      <c r="J17" s="38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8"/>
      <c r="C18" s="43"/>
      <c r="D18" s="43"/>
      <c r="E18" s="37"/>
      <c r="F18" s="13">
        <f t="shared" si="0"/>
        <v>0</v>
      </c>
      <c r="G18" s="38"/>
      <c r="H18" s="43"/>
      <c r="I18" s="43"/>
      <c r="J18" s="38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8"/>
      <c r="C19" s="43"/>
      <c r="D19" s="43"/>
      <c r="E19" s="37"/>
      <c r="F19" s="13">
        <f t="shared" si="0"/>
        <v>0</v>
      </c>
      <c r="G19" s="38"/>
      <c r="H19" s="43"/>
      <c r="I19" s="43"/>
      <c r="J19" s="38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8"/>
      <c r="C20" s="43"/>
      <c r="D20" s="43"/>
      <c r="E20" s="37"/>
      <c r="F20" s="13">
        <f t="shared" si="0"/>
        <v>0</v>
      </c>
      <c r="G20" s="38"/>
      <c r="H20" s="43"/>
      <c r="I20" s="43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8">
        <v>12</v>
      </c>
      <c r="C21" s="43"/>
      <c r="D21" s="43"/>
      <c r="E21" s="37"/>
      <c r="F21" s="13">
        <f t="shared" si="0"/>
        <v>12</v>
      </c>
      <c r="G21" s="38"/>
      <c r="H21" s="43"/>
      <c r="I21" s="43"/>
      <c r="J21" s="38"/>
      <c r="K21" s="11">
        <f t="shared" si="1"/>
        <v>0</v>
      </c>
      <c r="L21" s="5">
        <f t="shared" si="2"/>
        <v>12</v>
      </c>
    </row>
    <row r="22" spans="1:12" ht="15" customHeight="1" thickBot="1" x14ac:dyDescent="0.3">
      <c r="A22" s="49">
        <v>14</v>
      </c>
      <c r="B22" s="68">
        <v>5</v>
      </c>
      <c r="C22" s="43"/>
      <c r="D22" s="43"/>
      <c r="E22" s="37"/>
      <c r="F22" s="13">
        <f t="shared" si="0"/>
        <v>5</v>
      </c>
      <c r="G22" s="38">
        <v>10</v>
      </c>
      <c r="H22" s="43"/>
      <c r="I22" s="43"/>
      <c r="J22" s="38"/>
      <c r="K22" s="11">
        <f t="shared" si="1"/>
        <v>10</v>
      </c>
      <c r="L22" s="5">
        <f t="shared" si="2"/>
        <v>15</v>
      </c>
    </row>
    <row r="23" spans="1:12" ht="15" customHeight="1" thickBot="1" x14ac:dyDescent="0.3">
      <c r="A23" s="49">
        <v>15</v>
      </c>
      <c r="B23" s="68">
        <v>2</v>
      </c>
      <c r="C23" s="36"/>
      <c r="D23" s="43"/>
      <c r="E23" s="37"/>
      <c r="F23" s="13">
        <f t="shared" si="0"/>
        <v>2</v>
      </c>
      <c r="G23" s="38">
        <v>20</v>
      </c>
      <c r="H23" s="43"/>
      <c r="I23" s="43"/>
      <c r="J23" s="38"/>
      <c r="K23" s="11">
        <f t="shared" si="1"/>
        <v>20</v>
      </c>
      <c r="L23" s="5">
        <f t="shared" si="2"/>
        <v>22</v>
      </c>
    </row>
    <row r="24" spans="1:12" ht="15" customHeight="1" thickBot="1" x14ac:dyDescent="0.3">
      <c r="A24" s="49">
        <v>16</v>
      </c>
      <c r="B24" s="68">
        <v>1</v>
      </c>
      <c r="C24" s="36"/>
      <c r="D24" s="43"/>
      <c r="E24" s="37"/>
      <c r="F24" s="13">
        <f t="shared" si="0"/>
        <v>1</v>
      </c>
      <c r="G24" s="38"/>
      <c r="H24" s="43"/>
      <c r="I24" s="43"/>
      <c r="J24" s="38"/>
      <c r="K24" s="11">
        <f t="shared" si="1"/>
        <v>0</v>
      </c>
      <c r="L24" s="5">
        <f t="shared" si="2"/>
        <v>1</v>
      </c>
    </row>
    <row r="25" spans="1:12" ht="15" customHeight="1" thickBot="1" x14ac:dyDescent="0.3">
      <c r="A25" s="49">
        <v>17</v>
      </c>
      <c r="B25" s="68"/>
      <c r="C25" s="69"/>
      <c r="D25" s="43"/>
      <c r="E25" s="37"/>
      <c r="F25" s="13">
        <f t="shared" si="0"/>
        <v>0</v>
      </c>
      <c r="G25" s="38"/>
      <c r="H25" s="43"/>
      <c r="I25" s="43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8"/>
      <c r="C26" s="43"/>
      <c r="D26" s="43"/>
      <c r="E26" s="37"/>
      <c r="F26" s="13">
        <f t="shared" si="0"/>
        <v>0</v>
      </c>
      <c r="G26" s="38"/>
      <c r="H26" s="43"/>
      <c r="I26" s="43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8">
        <v>3</v>
      </c>
      <c r="C27" s="43"/>
      <c r="D27" s="43"/>
      <c r="E27" s="37"/>
      <c r="F27" s="13">
        <f t="shared" si="0"/>
        <v>3</v>
      </c>
      <c r="G27" s="38">
        <v>2</v>
      </c>
      <c r="H27" s="43"/>
      <c r="I27" s="43"/>
      <c r="J27" s="38"/>
      <c r="K27" s="11">
        <f t="shared" si="1"/>
        <v>2</v>
      </c>
      <c r="L27" s="5">
        <f t="shared" si="2"/>
        <v>5</v>
      </c>
    </row>
    <row r="28" spans="1:12" ht="15" customHeight="1" thickBot="1" x14ac:dyDescent="0.3">
      <c r="A28" s="49">
        <v>20</v>
      </c>
      <c r="B28" s="68">
        <v>1</v>
      </c>
      <c r="C28" s="36"/>
      <c r="D28" s="43">
        <v>1</v>
      </c>
      <c r="E28" s="37"/>
      <c r="F28" s="13">
        <f t="shared" si="0"/>
        <v>2</v>
      </c>
      <c r="G28" s="38"/>
      <c r="H28" s="43"/>
      <c r="I28" s="43"/>
      <c r="J28" s="38"/>
      <c r="K28" s="11">
        <f t="shared" si="1"/>
        <v>0</v>
      </c>
      <c r="L28" s="5">
        <f t="shared" si="2"/>
        <v>2</v>
      </c>
    </row>
    <row r="29" spans="1:12" ht="15" customHeight="1" thickBot="1" x14ac:dyDescent="0.3">
      <c r="A29" s="49">
        <v>21</v>
      </c>
      <c r="B29" s="68"/>
      <c r="C29" s="36"/>
      <c r="D29" s="43">
        <v>1</v>
      </c>
      <c r="E29" s="39"/>
      <c r="F29" s="13">
        <f t="shared" si="0"/>
        <v>1</v>
      </c>
      <c r="G29" s="38"/>
      <c r="H29" s="43"/>
      <c r="I29" s="43"/>
      <c r="J29" s="38"/>
      <c r="K29" s="11">
        <f t="shared" si="1"/>
        <v>0</v>
      </c>
      <c r="L29" s="5">
        <f t="shared" si="2"/>
        <v>1</v>
      </c>
    </row>
    <row r="30" spans="1:12" ht="15" customHeight="1" thickBot="1" x14ac:dyDescent="0.3">
      <c r="A30" s="49">
        <v>22</v>
      </c>
      <c r="B30" s="68"/>
      <c r="C30" s="36"/>
      <c r="D30" s="43"/>
      <c r="E30" s="37"/>
      <c r="F30" s="13">
        <f t="shared" si="0"/>
        <v>0</v>
      </c>
      <c r="G30" s="19">
        <v>3</v>
      </c>
      <c r="H30" s="60"/>
      <c r="I30" s="60"/>
      <c r="J30" s="14"/>
      <c r="K30" s="11">
        <f t="shared" si="1"/>
        <v>3</v>
      </c>
      <c r="L30" s="5">
        <f t="shared" si="2"/>
        <v>3</v>
      </c>
    </row>
    <row r="31" spans="1:12" ht="15" customHeight="1" thickBot="1" x14ac:dyDescent="0.3">
      <c r="A31" s="49">
        <v>23</v>
      </c>
      <c r="B31" s="68"/>
      <c r="C31" s="36"/>
      <c r="D31" s="43">
        <v>1</v>
      </c>
      <c r="E31" s="37"/>
      <c r="F31" s="13">
        <f t="shared" si="0"/>
        <v>1</v>
      </c>
      <c r="G31" s="19">
        <v>2</v>
      </c>
      <c r="H31" s="14"/>
      <c r="I31" s="14"/>
      <c r="J31" s="14"/>
      <c r="K31" s="11">
        <f t="shared" si="1"/>
        <v>2</v>
      </c>
      <c r="L31" s="5">
        <f t="shared" si="2"/>
        <v>3</v>
      </c>
    </row>
    <row r="32" spans="1:12" ht="15" customHeight="1" thickBot="1" x14ac:dyDescent="0.3">
      <c r="A32" s="49">
        <v>24</v>
      </c>
      <c r="B32" s="68"/>
      <c r="C32" s="36"/>
      <c r="D32" s="43"/>
      <c r="E32" s="37"/>
      <c r="F32" s="13">
        <f t="shared" si="0"/>
        <v>0</v>
      </c>
      <c r="G32" s="19"/>
      <c r="H32" s="60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8"/>
      <c r="C33" s="36"/>
      <c r="D33" s="43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8">
        <v>28</v>
      </c>
      <c r="C34" s="43"/>
      <c r="D34" s="43"/>
      <c r="E34" s="37"/>
      <c r="F34" s="13">
        <f t="shared" si="0"/>
        <v>28</v>
      </c>
      <c r="G34" s="19">
        <v>10</v>
      </c>
      <c r="H34" s="38"/>
      <c r="I34" s="14"/>
      <c r="J34" s="14"/>
      <c r="K34" s="11">
        <f t="shared" si="1"/>
        <v>10</v>
      </c>
      <c r="L34" s="5">
        <f t="shared" si="2"/>
        <v>38</v>
      </c>
    </row>
    <row r="35" spans="1:12" ht="15" customHeight="1" thickBot="1" x14ac:dyDescent="0.3">
      <c r="A35" s="49">
        <v>27</v>
      </c>
      <c r="B35" s="68">
        <v>12</v>
      </c>
      <c r="C35" s="43"/>
      <c r="D35" s="43"/>
      <c r="E35" s="37"/>
      <c r="F35" s="13">
        <f t="shared" si="0"/>
        <v>12</v>
      </c>
      <c r="G35" s="30"/>
      <c r="H35" s="38"/>
      <c r="I35" s="14"/>
      <c r="J35" s="14"/>
      <c r="K35" s="11">
        <f t="shared" si="1"/>
        <v>0</v>
      </c>
      <c r="L35" s="5">
        <f t="shared" si="2"/>
        <v>12</v>
      </c>
    </row>
    <row r="36" spans="1:12" ht="15" customHeight="1" thickBot="1" x14ac:dyDescent="0.3">
      <c r="A36" s="49">
        <v>28</v>
      </c>
      <c r="B36" s="68">
        <v>11</v>
      </c>
      <c r="C36" s="36"/>
      <c r="D36" s="43"/>
      <c r="E36" s="37"/>
      <c r="F36" s="13">
        <f t="shared" si="0"/>
        <v>11</v>
      </c>
      <c r="G36" s="19"/>
      <c r="H36" s="60"/>
      <c r="I36" s="60"/>
      <c r="J36" s="14"/>
      <c r="K36" s="11">
        <f t="shared" si="1"/>
        <v>0</v>
      </c>
      <c r="L36" s="5">
        <f t="shared" si="2"/>
        <v>11</v>
      </c>
    </row>
    <row r="37" spans="1:12" ht="15" customHeight="1" thickBot="1" x14ac:dyDescent="0.3">
      <c r="A37" s="49">
        <v>29</v>
      </c>
      <c r="B37" s="68">
        <v>5</v>
      </c>
      <c r="C37" s="43"/>
      <c r="D37" s="36"/>
      <c r="E37" s="37"/>
      <c r="F37" s="13">
        <f t="shared" si="0"/>
        <v>5</v>
      </c>
      <c r="G37" s="19"/>
      <c r="H37" s="60"/>
      <c r="I37" s="14"/>
      <c r="J37" s="14"/>
      <c r="K37" s="11">
        <f t="shared" si="1"/>
        <v>0</v>
      </c>
      <c r="L37" s="5">
        <f t="shared" si="2"/>
        <v>5</v>
      </c>
    </row>
    <row r="38" spans="1:12" ht="15" customHeight="1" thickBot="1" x14ac:dyDescent="0.3">
      <c r="A38" s="49">
        <v>30</v>
      </c>
      <c r="B38" s="68">
        <v>7</v>
      </c>
      <c r="C38" s="36"/>
      <c r="D38" s="36"/>
      <c r="E38" s="37"/>
      <c r="F38" s="13">
        <f t="shared" si="0"/>
        <v>7</v>
      </c>
      <c r="G38" s="19"/>
      <c r="H38" s="14"/>
      <c r="I38" s="14"/>
      <c r="J38" s="60"/>
      <c r="K38" s="11">
        <f t="shared" si="1"/>
        <v>0</v>
      </c>
      <c r="L38" s="5">
        <f t="shared" si="2"/>
        <v>7</v>
      </c>
    </row>
    <row r="39" spans="1:12" ht="15" customHeight="1" thickBot="1" x14ac:dyDescent="0.3">
      <c r="A39" s="51">
        <v>31</v>
      </c>
      <c r="B39" s="70"/>
      <c r="C39" s="71"/>
      <c r="D39" s="72"/>
      <c r="E39" s="83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85">
        <f>SUM(B9:B39)</f>
        <v>90</v>
      </c>
      <c r="C40" s="85">
        <f t="shared" ref="C40:E40" si="3">SUM(C9:C39)</f>
        <v>0</v>
      </c>
      <c r="D40" s="85">
        <f t="shared" si="3"/>
        <v>3</v>
      </c>
      <c r="E40" s="85">
        <f t="shared" si="3"/>
        <v>0</v>
      </c>
      <c r="F40" s="84">
        <f>SUM(F9:F39)</f>
        <v>93</v>
      </c>
      <c r="G40" s="12">
        <f>SUM(G9:G39)</f>
        <v>47</v>
      </c>
      <c r="H40" s="12">
        <f t="shared" ref="H40:L40" si="4">SUM(H9:H39)</f>
        <v>0</v>
      </c>
      <c r="I40" s="12">
        <f t="shared" si="4"/>
        <v>1</v>
      </c>
      <c r="J40" s="12">
        <f t="shared" si="4"/>
        <v>0</v>
      </c>
      <c r="K40" s="12">
        <f t="shared" si="4"/>
        <v>48</v>
      </c>
      <c r="L40" s="12">
        <f t="shared" si="4"/>
        <v>141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11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214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141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84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84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29" workbookViewId="0">
      <selection activeCell="B28" sqref="B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22"/>
      <c r="F1" s="23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22"/>
      <c r="F2" s="23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22"/>
      <c r="F3" s="23"/>
      <c r="G3" s="110" t="s">
        <v>27</v>
      </c>
      <c r="H3" s="110"/>
      <c r="I3" s="110"/>
      <c r="J3" s="110"/>
      <c r="K3" s="110"/>
      <c r="L3" s="11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39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x14ac:dyDescent="0.25">
      <c r="A7" s="111" t="s">
        <v>6</v>
      </c>
      <c r="B7" s="113" t="s">
        <v>7</v>
      </c>
      <c r="C7" s="114"/>
      <c r="D7" s="114"/>
      <c r="E7" s="114"/>
      <c r="F7" s="115"/>
      <c r="G7" s="116" t="s">
        <v>8</v>
      </c>
      <c r="H7" s="114"/>
      <c r="I7" s="114"/>
      <c r="J7" s="114"/>
      <c r="K7" s="115"/>
      <c r="L7" s="117" t="s">
        <v>9</v>
      </c>
    </row>
    <row r="8" spans="1:12" ht="15.75" thickBot="1" x14ac:dyDescent="0.3">
      <c r="A8" s="112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8"/>
    </row>
    <row r="9" spans="1:12" ht="15" customHeight="1" thickBot="1" x14ac:dyDescent="0.3">
      <c r="A9" s="48">
        <v>1</v>
      </c>
      <c r="B9" s="45"/>
      <c r="C9" s="61"/>
      <c r="D9" s="61"/>
      <c r="E9" s="62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43"/>
      <c r="E10" s="39"/>
      <c r="F10" s="13">
        <f t="shared" ref="F10:F39" si="0">SUM(B10:E10)</f>
        <v>0</v>
      </c>
      <c r="G10" s="19"/>
      <c r="H10" s="38"/>
      <c r="I10" s="14"/>
      <c r="J10" s="60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8">
        <v>9</v>
      </c>
      <c r="C11" s="36"/>
      <c r="D11" s="36"/>
      <c r="E11" s="39"/>
      <c r="F11" s="13">
        <f t="shared" si="0"/>
        <v>9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10</v>
      </c>
    </row>
    <row r="12" spans="1:12" ht="15" customHeight="1" thickBot="1" x14ac:dyDescent="0.3">
      <c r="A12" s="49">
        <v>4</v>
      </c>
      <c r="B12" s="68">
        <v>4</v>
      </c>
      <c r="C12" s="43"/>
      <c r="D12" s="43"/>
      <c r="E12" s="37"/>
      <c r="F12" s="13">
        <f t="shared" si="0"/>
        <v>4</v>
      </c>
      <c r="G12" s="40">
        <v>10</v>
      </c>
      <c r="H12" s="43">
        <v>2</v>
      </c>
      <c r="I12" s="43"/>
      <c r="J12" s="36"/>
      <c r="K12" s="11">
        <f t="shared" si="1"/>
        <v>12</v>
      </c>
      <c r="L12" s="5">
        <f t="shared" si="2"/>
        <v>16</v>
      </c>
    </row>
    <row r="13" spans="1:12" ht="15" customHeight="1" thickBot="1" x14ac:dyDescent="0.3">
      <c r="A13" s="49">
        <v>5</v>
      </c>
      <c r="B13" s="68">
        <v>2</v>
      </c>
      <c r="C13" s="43"/>
      <c r="D13" s="43"/>
      <c r="E13" s="37"/>
      <c r="F13" s="13">
        <f t="shared" si="0"/>
        <v>2</v>
      </c>
      <c r="G13" s="38"/>
      <c r="H13" s="43">
        <v>3</v>
      </c>
      <c r="I13" s="43"/>
      <c r="J13" s="36"/>
      <c r="K13" s="11">
        <f t="shared" si="1"/>
        <v>3</v>
      </c>
      <c r="L13" s="5">
        <f t="shared" si="2"/>
        <v>5</v>
      </c>
    </row>
    <row r="14" spans="1:12" ht="15" customHeight="1" thickBot="1" x14ac:dyDescent="0.3">
      <c r="A14" s="49">
        <v>6</v>
      </c>
      <c r="B14" s="68">
        <v>2</v>
      </c>
      <c r="C14" s="43"/>
      <c r="D14" s="43"/>
      <c r="E14" s="37"/>
      <c r="F14" s="13">
        <f t="shared" si="0"/>
        <v>2</v>
      </c>
      <c r="G14" s="38"/>
      <c r="H14" s="43">
        <v>2</v>
      </c>
      <c r="I14" s="43"/>
      <c r="J14" s="38"/>
      <c r="K14" s="11">
        <f t="shared" si="1"/>
        <v>2</v>
      </c>
      <c r="L14" s="5">
        <f t="shared" si="2"/>
        <v>4</v>
      </c>
    </row>
    <row r="15" spans="1:12" ht="15" customHeight="1" thickBot="1" x14ac:dyDescent="0.3">
      <c r="A15" s="49">
        <v>7</v>
      </c>
      <c r="B15" s="68">
        <v>6</v>
      </c>
      <c r="C15" s="43"/>
      <c r="D15" s="43"/>
      <c r="E15" s="37"/>
      <c r="F15" s="13">
        <f t="shared" si="0"/>
        <v>6</v>
      </c>
      <c r="G15" s="38"/>
      <c r="H15" s="43"/>
      <c r="I15" s="43"/>
      <c r="J15" s="38"/>
      <c r="K15" s="11">
        <f t="shared" si="1"/>
        <v>0</v>
      </c>
      <c r="L15" s="5">
        <f t="shared" si="2"/>
        <v>6</v>
      </c>
    </row>
    <row r="16" spans="1:12" ht="15" customHeight="1" thickBot="1" x14ac:dyDescent="0.3">
      <c r="A16" s="49">
        <v>8</v>
      </c>
      <c r="B16" s="68"/>
      <c r="C16" s="43"/>
      <c r="D16" s="43"/>
      <c r="E16" s="37"/>
      <c r="F16" s="13">
        <f t="shared" si="0"/>
        <v>0</v>
      </c>
      <c r="G16" s="38"/>
      <c r="H16" s="43"/>
      <c r="I16" s="43"/>
      <c r="J16" s="38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8"/>
      <c r="C17" s="43"/>
      <c r="D17" s="43"/>
      <c r="E17" s="39"/>
      <c r="F17" s="13">
        <f t="shared" si="0"/>
        <v>0</v>
      </c>
      <c r="G17" s="38"/>
      <c r="H17" s="43"/>
      <c r="I17" s="43"/>
      <c r="J17" s="38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8">
        <v>3</v>
      </c>
      <c r="C18" s="43">
        <v>2</v>
      </c>
      <c r="D18" s="43"/>
      <c r="E18" s="37"/>
      <c r="F18" s="13">
        <f t="shared" si="0"/>
        <v>5</v>
      </c>
      <c r="G18" s="38"/>
      <c r="H18" s="43">
        <v>2</v>
      </c>
      <c r="I18" s="43"/>
      <c r="J18" s="38"/>
      <c r="K18" s="11">
        <f t="shared" si="1"/>
        <v>2</v>
      </c>
      <c r="L18" s="5">
        <f t="shared" si="2"/>
        <v>7</v>
      </c>
    </row>
    <row r="19" spans="1:12" ht="15" customHeight="1" thickBot="1" x14ac:dyDescent="0.3">
      <c r="A19" s="49">
        <v>11</v>
      </c>
      <c r="B19" s="68">
        <v>27</v>
      </c>
      <c r="C19" s="43"/>
      <c r="D19" s="43"/>
      <c r="E19" s="37"/>
      <c r="F19" s="13">
        <f t="shared" si="0"/>
        <v>27</v>
      </c>
      <c r="G19" s="38"/>
      <c r="H19" s="43"/>
      <c r="I19" s="43"/>
      <c r="J19" s="38"/>
      <c r="K19" s="11">
        <f t="shared" si="1"/>
        <v>0</v>
      </c>
      <c r="L19" s="5">
        <f t="shared" si="2"/>
        <v>27</v>
      </c>
    </row>
    <row r="20" spans="1:12" ht="15" customHeight="1" thickBot="1" x14ac:dyDescent="0.3">
      <c r="A20" s="49">
        <v>12</v>
      </c>
      <c r="B20" s="68"/>
      <c r="C20" s="43"/>
      <c r="D20" s="43"/>
      <c r="E20" s="39">
        <v>1</v>
      </c>
      <c r="F20" s="13">
        <f t="shared" si="0"/>
        <v>1</v>
      </c>
      <c r="G20" s="38"/>
      <c r="H20" s="43"/>
      <c r="I20" s="43"/>
      <c r="J20" s="38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68"/>
      <c r="C21" s="43"/>
      <c r="D21" s="43"/>
      <c r="E21" s="37"/>
      <c r="F21" s="13">
        <f t="shared" si="0"/>
        <v>0</v>
      </c>
      <c r="G21" s="38"/>
      <c r="H21" s="43">
        <v>1</v>
      </c>
      <c r="I21" s="43"/>
      <c r="J21" s="38"/>
      <c r="K21" s="11">
        <f t="shared" si="1"/>
        <v>1</v>
      </c>
      <c r="L21" s="5">
        <f t="shared" si="2"/>
        <v>1</v>
      </c>
    </row>
    <row r="22" spans="1:12" ht="15" customHeight="1" thickBot="1" x14ac:dyDescent="0.3">
      <c r="A22" s="49">
        <v>14</v>
      </c>
      <c r="B22" s="68"/>
      <c r="C22" s="43"/>
      <c r="D22" s="43">
        <v>1</v>
      </c>
      <c r="E22" s="37"/>
      <c r="F22" s="13">
        <f t="shared" si="0"/>
        <v>1</v>
      </c>
      <c r="G22" s="38"/>
      <c r="H22" s="43"/>
      <c r="I22" s="43"/>
      <c r="J22" s="38"/>
      <c r="K22" s="11">
        <f t="shared" si="1"/>
        <v>0</v>
      </c>
      <c r="L22" s="5">
        <f t="shared" si="2"/>
        <v>1</v>
      </c>
    </row>
    <row r="23" spans="1:12" ht="15" customHeight="1" thickBot="1" x14ac:dyDescent="0.3">
      <c r="A23" s="49">
        <v>15</v>
      </c>
      <c r="B23" s="68"/>
      <c r="C23" s="36"/>
      <c r="D23" s="43"/>
      <c r="E23" s="37"/>
      <c r="F23" s="13">
        <f t="shared" si="0"/>
        <v>0</v>
      </c>
      <c r="G23" s="38"/>
      <c r="H23" s="43"/>
      <c r="I23" s="43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8"/>
      <c r="C24" s="36"/>
      <c r="D24" s="43"/>
      <c r="E24" s="37"/>
      <c r="F24" s="13">
        <f t="shared" si="0"/>
        <v>0</v>
      </c>
      <c r="G24" s="38"/>
      <c r="H24" s="43"/>
      <c r="I24" s="43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8">
        <v>10</v>
      </c>
      <c r="C25" s="69"/>
      <c r="D25" s="43"/>
      <c r="E25" s="37"/>
      <c r="F25" s="13">
        <f t="shared" si="0"/>
        <v>10</v>
      </c>
      <c r="G25" s="38"/>
      <c r="H25" s="43"/>
      <c r="I25" s="43">
        <v>2</v>
      </c>
      <c r="J25" s="38">
        <v>1</v>
      </c>
      <c r="K25" s="11">
        <f t="shared" si="1"/>
        <v>3</v>
      </c>
      <c r="L25" s="5">
        <f t="shared" si="2"/>
        <v>13</v>
      </c>
    </row>
    <row r="26" spans="1:12" ht="15" customHeight="1" thickBot="1" x14ac:dyDescent="0.3">
      <c r="A26" s="49">
        <v>18</v>
      </c>
      <c r="B26" s="68">
        <v>15</v>
      </c>
      <c r="C26" s="43"/>
      <c r="D26" s="43"/>
      <c r="E26" s="37"/>
      <c r="F26" s="13">
        <f t="shared" si="0"/>
        <v>15</v>
      </c>
      <c r="G26" s="38">
        <v>1</v>
      </c>
      <c r="H26" s="43"/>
      <c r="I26" s="43"/>
      <c r="J26" s="38"/>
      <c r="K26" s="11">
        <f t="shared" si="1"/>
        <v>1</v>
      </c>
      <c r="L26" s="5">
        <f t="shared" si="2"/>
        <v>16</v>
      </c>
    </row>
    <row r="27" spans="1:12" ht="15" customHeight="1" thickBot="1" x14ac:dyDescent="0.3">
      <c r="A27" s="49">
        <v>19</v>
      </c>
      <c r="B27" s="68">
        <v>12</v>
      </c>
      <c r="C27" s="43">
        <v>1</v>
      </c>
      <c r="D27" s="43"/>
      <c r="E27" s="37"/>
      <c r="F27" s="13">
        <f t="shared" si="0"/>
        <v>13</v>
      </c>
      <c r="G27" s="38">
        <v>1</v>
      </c>
      <c r="H27" s="43"/>
      <c r="I27" s="43"/>
      <c r="J27" s="38"/>
      <c r="K27" s="11">
        <f t="shared" si="1"/>
        <v>1</v>
      </c>
      <c r="L27" s="5">
        <f t="shared" si="2"/>
        <v>14</v>
      </c>
    </row>
    <row r="28" spans="1:12" ht="15" customHeight="1" thickBot="1" x14ac:dyDescent="0.3">
      <c r="A28" s="49">
        <v>20</v>
      </c>
      <c r="B28" s="68">
        <v>7</v>
      </c>
      <c r="C28" s="36"/>
      <c r="D28" s="43"/>
      <c r="E28" s="37"/>
      <c r="F28" s="13">
        <f t="shared" si="0"/>
        <v>7</v>
      </c>
      <c r="G28" s="38">
        <v>1</v>
      </c>
      <c r="H28" s="43"/>
      <c r="I28" s="43"/>
      <c r="J28" s="38"/>
      <c r="K28" s="11">
        <f t="shared" si="1"/>
        <v>1</v>
      </c>
      <c r="L28" s="5">
        <f t="shared" si="2"/>
        <v>8</v>
      </c>
    </row>
    <row r="29" spans="1:12" ht="15" customHeight="1" thickBot="1" x14ac:dyDescent="0.3">
      <c r="A29" s="49">
        <v>21</v>
      </c>
      <c r="B29" s="68">
        <v>3</v>
      </c>
      <c r="C29" s="36"/>
      <c r="D29" s="43"/>
      <c r="E29" s="39"/>
      <c r="F29" s="13">
        <f t="shared" si="0"/>
        <v>3</v>
      </c>
      <c r="G29" s="38"/>
      <c r="H29" s="43"/>
      <c r="I29" s="43"/>
      <c r="J29" s="38"/>
      <c r="K29" s="11">
        <f t="shared" si="1"/>
        <v>0</v>
      </c>
      <c r="L29" s="5">
        <f t="shared" si="2"/>
        <v>3</v>
      </c>
    </row>
    <row r="30" spans="1:12" ht="15" customHeight="1" thickBot="1" x14ac:dyDescent="0.3">
      <c r="A30" s="49">
        <v>22</v>
      </c>
      <c r="B30" s="68"/>
      <c r="C30" s="36"/>
      <c r="D30" s="43"/>
      <c r="E30" s="37"/>
      <c r="F30" s="13">
        <f t="shared" si="0"/>
        <v>0</v>
      </c>
      <c r="G30" s="19"/>
      <c r="H30" s="60"/>
      <c r="I30" s="60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8"/>
      <c r="C31" s="36"/>
      <c r="D31" s="43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8">
        <v>15</v>
      </c>
      <c r="C32" s="36"/>
      <c r="D32" s="43"/>
      <c r="E32" s="37"/>
      <c r="F32" s="13">
        <f t="shared" si="0"/>
        <v>15</v>
      </c>
      <c r="G32" s="19"/>
      <c r="H32" s="60">
        <v>1</v>
      </c>
      <c r="I32" s="14"/>
      <c r="J32" s="14"/>
      <c r="K32" s="11">
        <f t="shared" si="1"/>
        <v>1</v>
      </c>
      <c r="L32" s="5">
        <f t="shared" si="2"/>
        <v>16</v>
      </c>
    </row>
    <row r="33" spans="1:12" ht="15" customHeight="1" thickBot="1" x14ac:dyDescent="0.3">
      <c r="A33" s="49">
        <v>25</v>
      </c>
      <c r="B33" s="68">
        <v>1</v>
      </c>
      <c r="C33" s="36"/>
      <c r="D33" s="43"/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9">
        <v>26</v>
      </c>
      <c r="B34" s="68"/>
      <c r="C34" s="43"/>
      <c r="D34" s="43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68">
        <v>4</v>
      </c>
      <c r="C35" s="43"/>
      <c r="D35" s="43"/>
      <c r="E35" s="37"/>
      <c r="F35" s="13">
        <f t="shared" si="0"/>
        <v>4</v>
      </c>
      <c r="G35" s="30"/>
      <c r="H35" s="38"/>
      <c r="I35" s="14"/>
      <c r="J35" s="14"/>
      <c r="K35" s="11">
        <f t="shared" si="1"/>
        <v>0</v>
      </c>
      <c r="L35" s="5">
        <f t="shared" si="2"/>
        <v>4</v>
      </c>
    </row>
    <row r="36" spans="1:12" ht="15" customHeight="1" thickBot="1" x14ac:dyDescent="0.3">
      <c r="A36" s="49">
        <v>28</v>
      </c>
      <c r="B36" s="68"/>
      <c r="C36" s="36"/>
      <c r="D36" s="43"/>
      <c r="E36" s="37"/>
      <c r="F36" s="13">
        <f t="shared" si="0"/>
        <v>0</v>
      </c>
      <c r="G36" s="19"/>
      <c r="H36" s="60"/>
      <c r="I36" s="60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68"/>
      <c r="C37" s="43"/>
      <c r="D37" s="36"/>
      <c r="E37" s="37"/>
      <c r="F37" s="13">
        <f t="shared" si="0"/>
        <v>0</v>
      </c>
      <c r="G37" s="19"/>
      <c r="H37" s="60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68"/>
      <c r="C38" s="36"/>
      <c r="D38" s="36"/>
      <c r="E38" s="37"/>
      <c r="F38" s="13">
        <f t="shared" si="0"/>
        <v>0</v>
      </c>
      <c r="G38" s="19"/>
      <c r="H38" s="14"/>
      <c r="I38" s="14"/>
      <c r="J38" s="60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70">
        <v>2</v>
      </c>
      <c r="C39" s="71"/>
      <c r="D39" s="72"/>
      <c r="E39" s="83"/>
      <c r="F39" s="13">
        <f t="shared" si="0"/>
        <v>2</v>
      </c>
      <c r="G39" s="19"/>
      <c r="H39" s="14"/>
      <c r="I39" s="14"/>
      <c r="J39" s="14"/>
      <c r="K39" s="11">
        <f t="shared" si="1"/>
        <v>0</v>
      </c>
      <c r="L39" s="5">
        <f t="shared" si="2"/>
        <v>2</v>
      </c>
    </row>
    <row r="40" spans="1:12" ht="15.75" thickBot="1" x14ac:dyDescent="0.3">
      <c r="A40" s="50"/>
      <c r="B40" s="87">
        <f>SUM(B9:B39)</f>
        <v>122</v>
      </c>
      <c r="C40" s="87">
        <f t="shared" ref="C40:E40" si="3">SUM(C9:C39)</f>
        <v>3</v>
      </c>
      <c r="D40" s="87">
        <f t="shared" si="3"/>
        <v>1</v>
      </c>
      <c r="E40" s="87">
        <f t="shared" si="3"/>
        <v>1</v>
      </c>
      <c r="F40" s="86">
        <f>SUM(F9:F39)</f>
        <v>127</v>
      </c>
      <c r="G40" s="12">
        <f>SUM(G9:G39)</f>
        <v>14</v>
      </c>
      <c r="H40" s="12">
        <f t="shared" ref="H40:L40" si="4">SUM(H9:H39)</f>
        <v>11</v>
      </c>
      <c r="I40" s="12">
        <f t="shared" si="4"/>
        <v>2</v>
      </c>
      <c r="J40" s="12">
        <f t="shared" si="4"/>
        <v>1</v>
      </c>
      <c r="K40" s="12">
        <f t="shared" si="4"/>
        <v>28</v>
      </c>
      <c r="L40" s="12">
        <f t="shared" si="4"/>
        <v>155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1"/>
      <c r="B42" s="101"/>
      <c r="C42" s="101"/>
      <c r="D42" s="101"/>
      <c r="E42" s="101"/>
      <c r="F42" s="101"/>
      <c r="G42" s="102" t="s">
        <v>16</v>
      </c>
      <c r="H42" s="103"/>
      <c r="I42" s="103" t="s">
        <v>17</v>
      </c>
      <c r="J42" s="104"/>
      <c r="K42" s="7"/>
      <c r="L42" s="9"/>
    </row>
    <row r="43" spans="1:12" ht="15" customHeight="1" thickBot="1" x14ac:dyDescent="0.3">
      <c r="A43" s="10"/>
      <c r="B43" s="88" t="s">
        <v>18</v>
      </c>
      <c r="C43" s="89"/>
      <c r="D43" s="89"/>
      <c r="E43" s="89"/>
      <c r="F43" s="89"/>
      <c r="G43" s="99">
        <v>84</v>
      </c>
      <c r="H43" s="105"/>
      <c r="I43" s="106"/>
      <c r="J43" s="107"/>
      <c r="K43" s="7"/>
      <c r="L43" s="9"/>
    </row>
    <row r="44" spans="1:12" ht="15" customHeight="1" thickBot="1" x14ac:dyDescent="0.3">
      <c r="A44" s="10"/>
      <c r="B44" s="88" t="s">
        <v>19</v>
      </c>
      <c r="C44" s="89"/>
      <c r="D44" s="89"/>
      <c r="E44" s="89"/>
      <c r="F44" s="89"/>
      <c r="G44" s="92">
        <v>102</v>
      </c>
      <c r="H44" s="91"/>
      <c r="I44" s="92"/>
      <c r="J44" s="91"/>
      <c r="K44" s="7"/>
      <c r="L44" s="9"/>
    </row>
    <row r="45" spans="1:12" ht="15" customHeight="1" thickBot="1" x14ac:dyDescent="0.3">
      <c r="A45" s="10"/>
      <c r="B45" s="96" t="s">
        <v>20</v>
      </c>
      <c r="C45" s="96"/>
      <c r="D45" s="96"/>
      <c r="E45" s="96"/>
      <c r="F45" s="88"/>
      <c r="G45" s="97">
        <v>0</v>
      </c>
      <c r="H45" s="98"/>
      <c r="I45" s="99"/>
      <c r="J45" s="100"/>
      <c r="K45" s="7"/>
      <c r="L45" s="9"/>
    </row>
    <row r="46" spans="1:12" ht="15" customHeight="1" thickBot="1" x14ac:dyDescent="0.3">
      <c r="A46" s="10"/>
      <c r="B46" s="88" t="s">
        <v>21</v>
      </c>
      <c r="C46" s="89"/>
      <c r="D46" s="89"/>
      <c r="E46" s="89"/>
      <c r="F46" s="89"/>
      <c r="G46" s="90">
        <f>L40+G45</f>
        <v>155</v>
      </c>
      <c r="H46" s="91"/>
      <c r="I46" s="92"/>
      <c r="J46" s="91"/>
      <c r="K46" s="7"/>
      <c r="L46" s="9"/>
    </row>
    <row r="47" spans="1:12" ht="15" customHeight="1" thickBot="1" x14ac:dyDescent="0.3">
      <c r="A47" s="3"/>
      <c r="B47" s="88" t="s">
        <v>22</v>
      </c>
      <c r="C47" s="89"/>
      <c r="D47" s="89"/>
      <c r="E47" s="89"/>
      <c r="F47" s="89"/>
      <c r="G47" s="90">
        <f>G43+G44-G46</f>
        <v>31</v>
      </c>
      <c r="H47" s="91"/>
      <c r="I47" s="92"/>
      <c r="J47" s="91"/>
      <c r="K47" s="7"/>
      <c r="L47" s="2"/>
    </row>
    <row r="48" spans="1:12" ht="15" customHeight="1" thickBot="1" x14ac:dyDescent="0.3">
      <c r="A48" s="3"/>
      <c r="B48" s="88" t="s">
        <v>23</v>
      </c>
      <c r="C48" s="89"/>
      <c r="D48" s="89"/>
      <c r="E48" s="89"/>
      <c r="F48" s="89"/>
      <c r="G48" s="90">
        <v>31</v>
      </c>
      <c r="H48" s="91"/>
      <c r="I48" s="92"/>
      <c r="J48" s="91"/>
      <c r="K48" s="7"/>
      <c r="L48" s="2"/>
    </row>
    <row r="49" spans="1:12" ht="15" customHeight="1" thickBot="1" x14ac:dyDescent="0.3">
      <c r="A49" s="3"/>
      <c r="B49" s="88" t="s">
        <v>24</v>
      </c>
      <c r="C49" s="89"/>
      <c r="D49" s="89"/>
      <c r="E49" s="89"/>
      <c r="F49" s="89"/>
      <c r="G49" s="93">
        <f>G47-G48</f>
        <v>0</v>
      </c>
      <c r="H49" s="94"/>
      <c r="I49" s="95"/>
      <c r="J49" s="9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2023-12-05T09:07:55Z</cp:lastPrinted>
  <dcterms:created xsi:type="dcterms:W3CDTF">2014-12-31T15:22:06Z</dcterms:created>
  <dcterms:modified xsi:type="dcterms:W3CDTF">2024-01-02T09:18:21Z</dcterms:modified>
</cp:coreProperties>
</file>