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3\Gestion de Stock Tlathet Douairs\"/>
    </mc:Choice>
  </mc:AlternateContent>
  <bookViews>
    <workbookView xWindow="315" yWindow="195" windowWidth="6900" windowHeight="2025" firstSheet="7" activeTab="11"/>
  </bookViews>
  <sheets>
    <sheet name="JANVIER 2023" sheetId="12" r:id="rId1"/>
    <sheet name="FEVRIER 2023" sheetId="13" r:id="rId2"/>
    <sheet name="MARS 2023" sheetId="14" r:id="rId3"/>
    <sheet name="AVRIL 2023" sheetId="15" r:id="rId4"/>
    <sheet name="MAI 2023" sheetId="16" r:id="rId5"/>
    <sheet name="JUIN 2023" sheetId="17" r:id="rId6"/>
    <sheet name="JUILLET 2023" sheetId="18" r:id="rId7"/>
    <sheet name="AOUT 2023" sheetId="19" r:id="rId8"/>
    <sheet name="SEPTEMBRE 2023" sheetId="20" r:id="rId9"/>
    <sheet name="OCTOBRE 2023" sheetId="21" r:id="rId10"/>
    <sheet name="NOVEMBRE 2023" sheetId="22" r:id="rId11"/>
    <sheet name="DECEMBRE 2023" sheetId="23" r:id="rId12"/>
  </sheets>
  <definedNames>
    <definedName name="_xlnm.Print_Titles" localSheetId="7">'AOUT 2023'!$1:$6</definedName>
    <definedName name="_xlnm.Print_Titles" localSheetId="3">'AVRIL 2023'!$1:$6</definedName>
    <definedName name="_xlnm.Print_Titles" localSheetId="11">'DECEMBRE 2023'!$1:$6</definedName>
    <definedName name="_xlnm.Print_Titles" localSheetId="1">'FEVRIER 2023'!$1:$6</definedName>
    <definedName name="_xlnm.Print_Titles" localSheetId="0">'JANVIER 2023'!$1:$6</definedName>
    <definedName name="_xlnm.Print_Titles" localSheetId="6">'JUILLET 2023'!$1:$6</definedName>
    <definedName name="_xlnm.Print_Titles" localSheetId="5">'JUIN 2023'!$1:$6</definedName>
    <definedName name="_xlnm.Print_Titles" localSheetId="4">'MAI 2023'!$1:$6</definedName>
    <definedName name="_xlnm.Print_Titles" localSheetId="2">'MARS 2023'!$1:$6</definedName>
    <definedName name="_xlnm.Print_Titles" localSheetId="10">'NOVEMBRE 2023'!$1:$6</definedName>
    <definedName name="_xlnm.Print_Titles" localSheetId="9">'OCTOBRE 2023'!$1:$6</definedName>
    <definedName name="_xlnm.Print_Titles" localSheetId="8">'SEPTEMBRE 2023'!$1:$6</definedName>
  </definedNames>
  <calcPr calcId="162913"/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K4" i="23"/>
  <c r="K3" i="23"/>
  <c r="K2" i="23"/>
  <c r="K5" i="23" l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K4" i="22"/>
  <c r="K3" i="22"/>
  <c r="K2" i="22"/>
  <c r="K5" i="22" l="1"/>
  <c r="K2" i="21"/>
  <c r="A10" i="21" l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9" i="21"/>
  <c r="A8" i="21"/>
  <c r="K4" i="21"/>
  <c r="K3" i="21"/>
  <c r="K5" i="21" l="1"/>
  <c r="A47" i="20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l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8" i="19"/>
  <c r="K4" i="19"/>
  <c r="K3" i="19"/>
  <c r="K5" i="19" s="1"/>
  <c r="K2" i="19"/>
  <c r="A10" i="18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9" i="18"/>
  <c r="A8" i="18"/>
  <c r="K4" i="18"/>
  <c r="K3" i="18"/>
  <c r="K2" i="18"/>
  <c r="K5" i="18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s="1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<sst xmlns="http://schemas.openxmlformats.org/spreadsheetml/2006/main" count="1008" uniqueCount="430">
  <si>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</si>
  <si>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</si>
  <si>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</si>
  <si>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</si>
  <si>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</si>
  <si>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</si>
  <si>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</si>
  <si>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</si>
  <si>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</si>
  <si>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</si>
  <si>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</si>
  <si>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</si>
  <si>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</si>
  <si>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</si>
  <si>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</si>
  <si>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</si>
  <si>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</si>
  <si>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</si>
  <si>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</si>
  <si>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</si>
  <si>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</si>
  <si>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</si>
  <si>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64</t>
  </si>
  <si>
    <t>15/21</t>
  </si>
  <si>
    <t>2023035704</t>
  </si>
  <si>
    <t>NB(773/2022)</t>
  </si>
  <si>
    <t>Saib ahmed</t>
  </si>
  <si>
    <t>2023035705</t>
  </si>
  <si>
    <t>NB(862/2022)</t>
  </si>
  <si>
    <t>Berrabah mourad</t>
  </si>
  <si>
    <t>2023035707</t>
  </si>
  <si>
    <t>NB(767/2022)</t>
  </si>
  <si>
    <t>Temamra aissa</t>
  </si>
  <si>
    <t>2023035708</t>
  </si>
  <si>
    <t>NB(597/2022)</t>
  </si>
  <si>
    <t>Houriche bachir</t>
  </si>
  <si>
    <t>2023035709</t>
  </si>
  <si>
    <t>Bouchenafa ouda</t>
  </si>
  <si>
    <t>NB(751/2022)</t>
  </si>
  <si>
    <t>2023036061</t>
  </si>
  <si>
    <t>2023036062</t>
  </si>
  <si>
    <t>2023036063</t>
  </si>
  <si>
    <t>2023036064</t>
  </si>
  <si>
    <t>2023036065</t>
  </si>
  <si>
    <t>2023036066</t>
  </si>
  <si>
    <t>NB(766/2022)</t>
  </si>
  <si>
    <t>Lasri zineb b/rafaa</t>
  </si>
  <si>
    <t>Ladjali belkacem</t>
  </si>
  <si>
    <t>NB(259/2021)</t>
  </si>
  <si>
    <t>Lakehal salim</t>
  </si>
  <si>
    <t>NB(440/2022)</t>
  </si>
  <si>
    <t>Benabdelhadi med</t>
  </si>
  <si>
    <t>NB(411/2022)</t>
  </si>
  <si>
    <t>Boulasnam nadir</t>
  </si>
  <si>
    <t>NB(237/2020)</t>
  </si>
  <si>
    <t>Garani hammadi</t>
  </si>
  <si>
    <t>NB(743/2022)</t>
  </si>
  <si>
    <t>2023036067</t>
  </si>
  <si>
    <t>2023036068</t>
  </si>
  <si>
    <t>2023036069</t>
  </si>
  <si>
    <t>2023036070</t>
  </si>
  <si>
    <t>Benchabira ibrahim</t>
  </si>
  <si>
    <t>NB(765/2022)</t>
  </si>
  <si>
    <t>Temamer med</t>
  </si>
  <si>
    <t>NB(676/2022)</t>
  </si>
  <si>
    <t>Bida abdelkader</t>
  </si>
  <si>
    <t>NB(506/2022)</t>
  </si>
  <si>
    <t>Berrabah tayeb</t>
  </si>
  <si>
    <t>NB(792/2022)</t>
  </si>
  <si>
    <t>CC</t>
  </si>
  <si>
    <t>2023036661</t>
  </si>
  <si>
    <t>2023036662</t>
  </si>
  <si>
    <t>2023036663</t>
  </si>
  <si>
    <t>2023036664</t>
  </si>
  <si>
    <t>2023036665</t>
  </si>
  <si>
    <t>2023036666</t>
  </si>
  <si>
    <t>2023036667</t>
  </si>
  <si>
    <t>2023036668</t>
  </si>
  <si>
    <t>2023036669</t>
  </si>
  <si>
    <t>2023036670</t>
  </si>
  <si>
    <t>NB(775/2022)</t>
  </si>
  <si>
    <t>Chebane nabila</t>
  </si>
  <si>
    <t>Lechgar ahmed</t>
  </si>
  <si>
    <t>NB(896/2022)</t>
  </si>
  <si>
    <t>Garani benalia</t>
  </si>
  <si>
    <t>NB(724/2022)</t>
  </si>
  <si>
    <t>NB(719/2022)</t>
  </si>
  <si>
    <t>Habib hamza</t>
  </si>
  <si>
    <t>Habib abderahmane</t>
  </si>
  <si>
    <t>NB(740/2022)</t>
  </si>
  <si>
    <t>NB(701/2022)</t>
  </si>
  <si>
    <t>Guesmaoui dadna</t>
  </si>
  <si>
    <t>Chemam hemza</t>
  </si>
  <si>
    <t>NB(698/2022)</t>
  </si>
  <si>
    <t>Bellemdjahed fethi</t>
  </si>
  <si>
    <t>NB(682/2022)</t>
  </si>
  <si>
    <t>NB(684/2022)</t>
  </si>
  <si>
    <t>Bugriba med</t>
  </si>
  <si>
    <t>NB(715/2022)</t>
  </si>
  <si>
    <t>Beladjal mouloud</t>
  </si>
  <si>
    <t>2023035354</t>
  </si>
  <si>
    <t>Bouchehir el hadj</t>
  </si>
  <si>
    <t>NB(929/2022)</t>
  </si>
  <si>
    <t>2023036709</t>
  </si>
  <si>
    <t>Habib brahim</t>
  </si>
  <si>
    <t>NB(064/2023)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</si>
  <si>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</si>
  <si>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</si>
  <si>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</si>
  <si>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</si>
  <si>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640581</t>
  </si>
  <si>
    <t>2023149268</t>
  </si>
  <si>
    <t>640580</t>
  </si>
  <si>
    <t>2023149267</t>
  </si>
  <si>
    <t>640555</t>
  </si>
  <si>
    <t>2023149266</t>
  </si>
  <si>
    <t>640556</t>
  </si>
  <si>
    <t>2023149265</t>
  </si>
  <si>
    <t>640559</t>
  </si>
  <si>
    <t>2023149263</t>
  </si>
  <si>
    <t>640558</t>
  </si>
  <si>
    <t>2023149264</t>
  </si>
  <si>
    <t>641433</t>
  </si>
  <si>
    <t>2023149270</t>
  </si>
  <si>
    <t>640715</t>
  </si>
  <si>
    <t>2023149269</t>
  </si>
  <si>
    <t>640484</t>
  </si>
  <si>
    <t>2023149261</t>
  </si>
  <si>
    <t>640521</t>
  </si>
  <si>
    <t>2023149262</t>
  </si>
  <si>
    <t>Elimination de Forfait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</si>
  <si>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</si>
  <si>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640522</t>
  </si>
  <si>
    <t>640560</t>
  </si>
  <si>
    <t>640557</t>
  </si>
  <si>
    <t>640486</t>
  </si>
  <si>
    <t>640487</t>
  </si>
  <si>
    <t>640485</t>
  </si>
  <si>
    <t>640563</t>
  </si>
  <si>
    <t>640564</t>
  </si>
  <si>
    <t>640523</t>
  </si>
  <si>
    <t>640519</t>
  </si>
  <si>
    <t>2023149103</t>
  </si>
  <si>
    <t>2023149107</t>
  </si>
  <si>
    <t>2023149106</t>
  </si>
  <si>
    <t>2023149110</t>
  </si>
  <si>
    <t>2023149108</t>
  </si>
  <si>
    <t>2023149109</t>
  </si>
  <si>
    <t>2023149102</t>
  </si>
  <si>
    <t>2023149104</t>
  </si>
  <si>
    <t>2023149101</t>
  </si>
  <si>
    <t>2023149105</t>
  </si>
  <si>
    <t>640492</t>
  </si>
  <si>
    <t>2023150094</t>
  </si>
  <si>
    <t>640520</t>
  </si>
  <si>
    <t>2023150092</t>
  </si>
  <si>
    <t>640524</t>
  </si>
  <si>
    <t>2023150093</t>
  </si>
  <si>
    <t>640525</t>
  </si>
  <si>
    <t>2023150095</t>
  </si>
  <si>
    <t>640526</t>
  </si>
  <si>
    <t>2023150100</t>
  </si>
  <si>
    <t>640527</t>
  </si>
  <si>
    <t>2023150091</t>
  </si>
  <si>
    <t>640577</t>
  </si>
  <si>
    <t>2023150096</t>
  </si>
  <si>
    <t>640578</t>
  </si>
  <si>
    <t>2023150098</t>
  </si>
  <si>
    <t>640579</t>
  </si>
  <si>
    <t>2023150097</t>
  </si>
  <si>
    <t>640599</t>
  </si>
  <si>
    <t>2023150099</t>
  </si>
  <si>
    <t>640553</t>
  </si>
  <si>
    <t>2023149512</t>
  </si>
  <si>
    <t>640554</t>
  </si>
  <si>
    <t>640551</t>
  </si>
  <si>
    <t>640552</t>
  </si>
  <si>
    <t>640550</t>
  </si>
  <si>
    <t>640549</t>
  </si>
  <si>
    <t>640539</t>
  </si>
  <si>
    <t>640540</t>
  </si>
  <si>
    <t>640541</t>
  </si>
  <si>
    <t>640548</t>
  </si>
  <si>
    <t>2023149514</t>
  </si>
  <si>
    <t>2023149516</t>
  </si>
  <si>
    <t>2023149518</t>
  </si>
  <si>
    <t>2023149520</t>
  </si>
  <si>
    <t>2023149519</t>
  </si>
  <si>
    <t>2023149517</t>
  </si>
  <si>
    <t>2023149515</t>
  </si>
  <si>
    <t>2023149513</t>
  </si>
  <si>
    <t>2023149511</t>
  </si>
  <si>
    <t>640531</t>
  </si>
  <si>
    <t>640532</t>
  </si>
  <si>
    <t>640536</t>
  </si>
  <si>
    <t>640537</t>
  </si>
  <si>
    <t>640538</t>
  </si>
  <si>
    <t>640545</t>
  </si>
  <si>
    <t>640544</t>
  </si>
  <si>
    <t>640546</t>
  </si>
  <si>
    <t>640048</t>
  </si>
  <si>
    <t>2023150023</t>
  </si>
  <si>
    <t>2023150027</t>
  </si>
  <si>
    <t>2023150022</t>
  </si>
  <si>
    <t>2023150024</t>
  </si>
  <si>
    <t>2023150030</t>
  </si>
  <si>
    <t>2023150021</t>
  </si>
  <si>
    <t>2023150025</t>
  </si>
  <si>
    <t>2023150028</t>
  </si>
  <si>
    <t>2023150029</t>
  </si>
  <si>
    <t>640547</t>
  </si>
  <si>
    <t>2023150026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</si>
  <si>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</si>
  <si>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2023148751</t>
  </si>
  <si>
    <t>2023148752</t>
  </si>
  <si>
    <t>2023148753</t>
  </si>
  <si>
    <t>2023148754</t>
  </si>
  <si>
    <t>2023148755</t>
  </si>
  <si>
    <t>2023148756</t>
  </si>
  <si>
    <t>2023148757</t>
  </si>
  <si>
    <t>2023148758</t>
  </si>
  <si>
    <t>2023148759</t>
  </si>
  <si>
    <t>2023148760</t>
  </si>
  <si>
    <t>641103</t>
  </si>
  <si>
    <t>641101</t>
  </si>
  <si>
    <t>641111</t>
  </si>
  <si>
    <t>641104</t>
  </si>
  <si>
    <t>641080</t>
  </si>
  <si>
    <t>641151</t>
  </si>
  <si>
    <t>641353</t>
  </si>
  <si>
    <t>641152</t>
  </si>
  <si>
    <t>641281</t>
  </si>
  <si>
    <t>641086</t>
  </si>
  <si>
    <t>641000</t>
  </si>
  <si>
    <t>641001</t>
  </si>
  <si>
    <t>641002</t>
  </si>
  <si>
    <t>640999</t>
  </si>
  <si>
    <t>640998</t>
  </si>
  <si>
    <t>640997</t>
  </si>
  <si>
    <t>640995</t>
  </si>
  <si>
    <t>640994</t>
  </si>
  <si>
    <t>640996</t>
  </si>
  <si>
    <t>640993</t>
  </si>
  <si>
    <t>2023149326</t>
  </si>
  <si>
    <t>2023149327</t>
  </si>
  <si>
    <t>2023149328</t>
  </si>
  <si>
    <t>2023149321</t>
  </si>
  <si>
    <t>2023149329</t>
  </si>
  <si>
    <t>2023149330</t>
  </si>
  <si>
    <t>2023149322</t>
  </si>
  <si>
    <t>2023149323</t>
  </si>
  <si>
    <t>2023149324</t>
  </si>
  <si>
    <t>2023149325</t>
  </si>
  <si>
    <t>640991</t>
  </si>
  <si>
    <t>640992</t>
  </si>
  <si>
    <t>640511</t>
  </si>
  <si>
    <t>640510</t>
  </si>
  <si>
    <t>640503</t>
  </si>
  <si>
    <t>641381</t>
  </si>
  <si>
    <t>640504</t>
  </si>
  <si>
    <t>640505</t>
  </si>
  <si>
    <t>640502</t>
  </si>
  <si>
    <t>640497</t>
  </si>
  <si>
    <t>2023149038</t>
  </si>
  <si>
    <t>2023149037</t>
  </si>
  <si>
    <t>2023149039</t>
  </si>
  <si>
    <t>2023149036</t>
  </si>
  <si>
    <t>2023149035</t>
  </si>
  <si>
    <t>2023149040</t>
  </si>
  <si>
    <t>2023149034</t>
  </si>
  <si>
    <t>2023149033</t>
  </si>
  <si>
    <t>2023149032</t>
  </si>
  <si>
    <t>2023149031</t>
  </si>
  <si>
    <t>640772</t>
  </si>
  <si>
    <t>640734</t>
  </si>
  <si>
    <t>640736</t>
  </si>
  <si>
    <t>640737</t>
  </si>
  <si>
    <t>640732</t>
  </si>
  <si>
    <t>640725</t>
  </si>
  <si>
    <t>641378</t>
  </si>
  <si>
    <t>640767</t>
  </si>
  <si>
    <t>640730</t>
  </si>
  <si>
    <t>640728</t>
  </si>
  <si>
    <t>640726</t>
  </si>
  <si>
    <t>640769</t>
  </si>
  <si>
    <t>640768</t>
  </si>
  <si>
    <t>640770</t>
  </si>
  <si>
    <t>640729</t>
  </si>
  <si>
    <t>640727</t>
  </si>
  <si>
    <t>640733</t>
  </si>
  <si>
    <t>641396</t>
  </si>
  <si>
    <t>641395</t>
  </si>
  <si>
    <t>640705</t>
  </si>
  <si>
    <t>640710</t>
  </si>
  <si>
    <t>640709</t>
  </si>
  <si>
    <t>640711</t>
  </si>
  <si>
    <t>640704</t>
  </si>
  <si>
    <t>640703</t>
  </si>
  <si>
    <t>641428</t>
  </si>
  <si>
    <t>640712</t>
  </si>
  <si>
    <t>640713</t>
  </si>
  <si>
    <t>640723</t>
  </si>
  <si>
    <t>641434</t>
  </si>
  <si>
    <t>2023149978</t>
  </si>
  <si>
    <t>2023149294</t>
  </si>
  <si>
    <t>2023149293</t>
  </si>
  <si>
    <t>2023149292</t>
  </si>
  <si>
    <t>2023149295</t>
  </si>
  <si>
    <t>2023149291</t>
  </si>
  <si>
    <t>2023149300</t>
  </si>
  <si>
    <t>2023149299</t>
  </si>
  <si>
    <t>2023149297</t>
  </si>
  <si>
    <t>2023149296</t>
  </si>
  <si>
    <t>2023149298</t>
  </si>
  <si>
    <t>2023149055</t>
  </si>
  <si>
    <t>2023149054</t>
  </si>
  <si>
    <t>2023149053</t>
  </si>
  <si>
    <t>2023149052</t>
  </si>
  <si>
    <t>2023149051</t>
  </si>
  <si>
    <t>2023149060</t>
  </si>
  <si>
    <t>2023149059</t>
  </si>
  <si>
    <t>2023149058</t>
  </si>
  <si>
    <t>2023149057</t>
  </si>
  <si>
    <t>2023149056</t>
  </si>
  <si>
    <t>2023149973</t>
  </si>
  <si>
    <t>2023149971</t>
  </si>
  <si>
    <t>2023149975</t>
  </si>
  <si>
    <t>2023149977</t>
  </si>
  <si>
    <t>2023149979</t>
  </si>
  <si>
    <t>2023149972</t>
  </si>
  <si>
    <t>2023149976</t>
  </si>
  <si>
    <t>2023149974</t>
  </si>
  <si>
    <t>2023149980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</si>
  <si>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</si>
  <si>
    <t>641068</t>
  </si>
  <si>
    <t>641060</t>
  </si>
  <si>
    <t>641063</t>
  </si>
  <si>
    <t>641061</t>
  </si>
  <si>
    <t>641062</t>
  </si>
  <si>
    <t>641064</t>
  </si>
  <si>
    <t>641067</t>
  </si>
  <si>
    <t>641066</t>
  </si>
  <si>
    <t>641065</t>
  </si>
  <si>
    <t>641069</t>
  </si>
  <si>
    <t>2023214851</t>
  </si>
  <si>
    <t>2023214852</t>
  </si>
  <si>
    <t>2023214853</t>
  </si>
  <si>
    <t>2023214854</t>
  </si>
  <si>
    <t>2023214855</t>
  </si>
  <si>
    <t>2023214856</t>
  </si>
  <si>
    <t>2023214857</t>
  </si>
  <si>
    <t>2023214858</t>
  </si>
  <si>
    <t>2023214859</t>
  </si>
  <si>
    <t>2023214860</t>
  </si>
  <si>
    <t>641054</t>
  </si>
  <si>
    <t>641055</t>
  </si>
  <si>
    <t>641057</t>
  </si>
  <si>
    <t>641056</t>
  </si>
  <si>
    <t>2023214631</t>
  </si>
  <si>
    <t>2023214632</t>
  </si>
  <si>
    <t>2023214633</t>
  </si>
  <si>
    <t>2023214634</t>
  </si>
  <si>
    <t>2023214635</t>
  </si>
  <si>
    <t>2023214636</t>
  </si>
  <si>
    <t>2023214637</t>
  </si>
  <si>
    <t>2023214638</t>
  </si>
  <si>
    <t>2023214639</t>
  </si>
  <si>
    <t>2023214640</t>
  </si>
  <si>
    <t>641074</t>
  </si>
  <si>
    <t>641058</t>
  </si>
  <si>
    <t>641059</t>
  </si>
  <si>
    <t>641072</t>
  </si>
  <si>
    <t>641073</t>
  </si>
  <si>
    <t>641071</t>
  </si>
  <si>
    <t>641049</t>
  </si>
  <si>
    <t>641044</t>
  </si>
  <si>
    <t>641045</t>
  </si>
  <si>
    <t>641053</t>
  </si>
  <si>
    <t>641052</t>
  </si>
  <si>
    <t>641047</t>
  </si>
  <si>
    <t>641046</t>
  </si>
  <si>
    <t>641050</t>
  </si>
  <si>
    <t>641048</t>
  </si>
  <si>
    <t>641051</t>
  </si>
  <si>
    <t>2023214271</t>
  </si>
  <si>
    <t>2023214272</t>
  </si>
  <si>
    <t>2023214273</t>
  </si>
  <si>
    <t>2023214274</t>
  </si>
  <si>
    <t>2023214275</t>
  </si>
  <si>
    <t>2023214276</t>
  </si>
  <si>
    <t>2023214277</t>
  </si>
  <si>
    <t>2023214278</t>
  </si>
  <si>
    <t>2023214279</t>
  </si>
  <si>
    <t>2023214280</t>
  </si>
  <si>
    <t>641149</t>
  </si>
  <si>
    <t>641157</t>
  </si>
  <si>
    <t>641156</t>
  </si>
  <si>
    <t>641178</t>
  </si>
  <si>
    <t>640461</t>
  </si>
  <si>
    <t>641191</t>
  </si>
  <si>
    <t>641172</t>
  </si>
  <si>
    <t>641163</t>
  </si>
  <si>
    <t>641160</t>
  </si>
  <si>
    <t>641158</t>
  </si>
  <si>
    <t>641150</t>
  </si>
  <si>
    <t>641414</t>
  </si>
  <si>
    <t>641416</t>
  </si>
  <si>
    <t>641291</t>
  </si>
  <si>
    <t>641287</t>
  </si>
  <si>
    <t>641411</t>
  </si>
  <si>
    <t>641409</t>
  </si>
  <si>
    <t>641261</t>
  </si>
  <si>
    <t>641415</t>
  </si>
  <si>
    <t>641306</t>
  </si>
  <si>
    <t>2023235175</t>
  </si>
  <si>
    <t>NB(137/2023)</t>
  </si>
  <si>
    <t>Saib amar</t>
  </si>
  <si>
    <t>2023235171</t>
  </si>
  <si>
    <t>Bouzidi kamel</t>
  </si>
  <si>
    <t>NB(884/2022)</t>
  </si>
  <si>
    <t>2023235176</t>
  </si>
  <si>
    <t>NB(250/2023)</t>
  </si>
  <si>
    <t>Rached younes</t>
  </si>
  <si>
    <t>2023234983</t>
  </si>
  <si>
    <t>2023234982</t>
  </si>
  <si>
    <t>Merzoug hamid</t>
  </si>
  <si>
    <t>Amir hamid</t>
  </si>
  <si>
    <t>NB(651/2023)</t>
  </si>
  <si>
    <t>NB(678/2023)</t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</si>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</sst>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1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9525</xdr:rowOff>
    </xdr:from>
    <xdr:to>
      <xdr:col>5</xdr:col>
      <xdr:colOff>1152526</xdr:colOff>
      <xdr:row>45</xdr:row>
      <xdr:rowOff>161925</xdr:rowOff>
    </xdr:to>
    <xdr:cxnSp macro="">
      <xdr:nvCxnSpPr>
        <xdr:cNvPr id="3" name="Connecteur droit 2"/>
        <xdr:cNvCxnSpPr/>
      </xdr:nvCxnSpPr>
      <xdr:spPr>
        <a:xfrm flipH="1">
          <a:off x="609600" y="1323975"/>
          <a:ext cx="4048126" cy="7581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9525</xdr:rowOff>
    </xdr:from>
    <xdr:to>
      <xdr:col>5</xdr:col>
      <xdr:colOff>1152526</xdr:colOff>
      <xdr:row>45</xdr:row>
      <xdr:rowOff>161925</xdr:rowOff>
    </xdr:to>
    <xdr:cxnSp macro="">
      <xdr:nvCxnSpPr>
        <xdr:cNvPr id="2" name="Connecteur droit 1"/>
        <xdr:cNvCxnSpPr/>
      </xdr:nvCxnSpPr>
      <xdr:spPr>
        <a:xfrm flipH="1">
          <a:off x="609600" y="1323975"/>
          <a:ext cx="4048126" cy="7581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9525</xdr:rowOff>
    </xdr:from>
    <xdr:to>
      <xdr:col>5</xdr:col>
      <xdr:colOff>1152526</xdr:colOff>
      <xdr:row>45</xdr:row>
      <xdr:rowOff>161925</xdr:rowOff>
    </xdr:to>
    <xdr:cxnSp macro="">
      <xdr:nvCxnSpPr>
        <xdr:cNvPr id="2" name="Connecteur droit 1"/>
        <xdr:cNvCxnSpPr/>
      </xdr:nvCxnSpPr>
      <xdr:spPr>
        <a:xfrm flipH="1">
          <a:off x="609600" y="1323975"/>
          <a:ext cx="4048126" cy="7581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38104</xdr:colOff>
      <xdr:row>33</xdr:row>
      <xdr:rowOff>57150</xdr:rowOff>
    </xdr:from>
    <xdr:to>
      <xdr:col>5</xdr:col>
      <xdr:colOff>1152525</xdr:colOff>
      <xdr:row>45</xdr:row>
      <xdr:rowOff>161925</xdr:rowOff>
    </xdr:to>
    <xdr:cxnSp macro="">
      <xdr:nvCxnSpPr>
        <xdr:cNvPr id="2" name="Connecteur droit 1"/>
        <xdr:cNvCxnSpPr/>
      </xdr:nvCxnSpPr>
      <xdr:spPr>
        <a:xfrm flipH="1">
          <a:off x="628654" y="6515100"/>
          <a:ext cx="4029071" cy="2390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38108</xdr:colOff>
      <xdr:row>6</xdr:row>
      <xdr:rowOff>19049</xdr:rowOff>
    </xdr:from>
    <xdr:to>
      <xdr:col>5</xdr:col>
      <xdr:colOff>1171576</xdr:colOff>
      <xdr:row>45</xdr:row>
      <xdr:rowOff>161924</xdr:rowOff>
    </xdr:to>
    <xdr:cxnSp macro="">
      <xdr:nvCxnSpPr>
        <xdr:cNvPr id="2" name="Connecteur droit 1"/>
        <xdr:cNvCxnSpPr/>
      </xdr:nvCxnSpPr>
      <xdr:spPr>
        <a:xfrm rot="5400000">
          <a:off x="-1133471" y="3095628"/>
          <a:ext cx="7572375" cy="40481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38108</xdr:colOff>
      <xdr:row>6</xdr:row>
      <xdr:rowOff>19049</xdr:rowOff>
    </xdr:from>
    <xdr:to>
      <xdr:col>5</xdr:col>
      <xdr:colOff>1171576</xdr:colOff>
      <xdr:row>45</xdr:row>
      <xdr:rowOff>161924</xdr:rowOff>
    </xdr:to>
    <xdr:cxnSp macro="">
      <xdr:nvCxnSpPr>
        <xdr:cNvPr id="2" name="Connecteur droit 1"/>
        <xdr:cNvCxnSpPr/>
      </xdr:nvCxnSpPr>
      <xdr:spPr>
        <a:xfrm rot="5400000">
          <a:off x="-1133471" y="3095628"/>
          <a:ext cx="7572375" cy="40481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38108</xdr:colOff>
      <xdr:row>6</xdr:row>
      <xdr:rowOff>19049</xdr:rowOff>
    </xdr:from>
    <xdr:to>
      <xdr:col>5</xdr:col>
      <xdr:colOff>1171576</xdr:colOff>
      <xdr:row>45</xdr:row>
      <xdr:rowOff>161924</xdr:rowOff>
    </xdr:to>
    <xdr:cxnSp macro="">
      <xdr:nvCxnSpPr>
        <xdr:cNvPr id="2" name="Connecteur droit 1"/>
        <xdr:cNvCxnSpPr/>
      </xdr:nvCxnSpPr>
      <xdr:spPr>
        <a:xfrm rot="5400000">
          <a:off x="-1133471" y="3095628"/>
          <a:ext cx="7572375" cy="40481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38108</xdr:colOff>
      <xdr:row>6</xdr:row>
      <xdr:rowOff>19049</xdr:rowOff>
    </xdr:from>
    <xdr:to>
      <xdr:col>5</xdr:col>
      <xdr:colOff>1171576</xdr:colOff>
      <xdr:row>45</xdr:row>
      <xdr:rowOff>161924</xdr:rowOff>
    </xdr:to>
    <xdr:cxnSp macro="">
      <xdr:nvCxnSpPr>
        <xdr:cNvPr id="2" name="Connecteur droit 1"/>
        <xdr:cNvCxnSpPr/>
      </xdr:nvCxnSpPr>
      <xdr:spPr>
        <a:xfrm rot="5400000">
          <a:off x="-1133471" y="3095628"/>
          <a:ext cx="7572375" cy="40481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56</xdr:row>
      <xdr:rowOff>19050</xdr:rowOff>
    </xdr:from>
    <xdr:to>
      <xdr:col>5</xdr:col>
      <xdr:colOff>1171575</xdr:colOff>
      <xdr:row>70</xdr:row>
      <xdr:rowOff>9525</xdr:rowOff>
    </xdr:to>
    <xdr:cxnSp macro="">
      <xdr:nvCxnSpPr>
        <xdr:cNvPr id="3" name="Connecteur droit 2"/>
        <xdr:cNvCxnSpPr/>
      </xdr:nvCxnSpPr>
      <xdr:spPr>
        <a:xfrm flipH="1">
          <a:off x="581025" y="10858500"/>
          <a:ext cx="4095750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66</xdr:row>
      <xdr:rowOff>0</xdr:rowOff>
    </xdr:from>
    <xdr:to>
      <xdr:col>6</xdr:col>
      <xdr:colOff>0</xdr:colOff>
      <xdr:row>70</xdr:row>
      <xdr:rowOff>9525</xdr:rowOff>
    </xdr:to>
    <xdr:cxnSp macro="">
      <xdr:nvCxnSpPr>
        <xdr:cNvPr id="2" name="Connecteur droit 1"/>
        <xdr:cNvCxnSpPr/>
      </xdr:nvCxnSpPr>
      <xdr:spPr>
        <a:xfrm flipH="1">
          <a:off x="581025" y="12744450"/>
          <a:ext cx="4105275" cy="77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66</xdr:row>
      <xdr:rowOff>0</xdr:rowOff>
    </xdr:from>
    <xdr:to>
      <xdr:col>6</xdr:col>
      <xdr:colOff>0</xdr:colOff>
      <xdr:row>70</xdr:row>
      <xdr:rowOff>9525</xdr:rowOff>
    </xdr:to>
    <xdr:cxnSp macro="">
      <xdr:nvCxnSpPr>
        <xdr:cNvPr id="2" name="Connecteur droit 1"/>
        <xdr:cNvCxnSpPr/>
      </xdr:nvCxnSpPr>
      <xdr:spPr>
        <a:xfrm flipH="1">
          <a:off x="581025" y="12744450"/>
          <a:ext cx="4105275" cy="77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20</xdr:row>
      <xdr:rowOff>171450</xdr:rowOff>
    </xdr:from>
    <xdr:to>
      <xdr:col>6</xdr:col>
      <xdr:colOff>0</xdr:colOff>
      <xdr:row>45</xdr:row>
      <xdr:rowOff>171450</xdr:rowOff>
    </xdr:to>
    <xdr:cxnSp macro="">
      <xdr:nvCxnSpPr>
        <xdr:cNvPr id="2" name="Connecteur droit 1"/>
        <xdr:cNvCxnSpPr/>
      </xdr:nvCxnSpPr>
      <xdr:spPr>
        <a:xfrm flipH="1">
          <a:off x="600077" y="4152900"/>
          <a:ext cx="4086223" cy="4762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F11">
    <sortCondition ref="E7:E11"/>
    <sortCondition ref="D7:D1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4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20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/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5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5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5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5"/>
      <c r="I20" s="2"/>
      <c r="J20" s="2"/>
    </row>
    <row r="21" spans="1:10" ht="15" customHeight="1" x14ac:dyDescent="0.25">
      <c r="A21" s="15">
        <f t="shared" si="0"/>
        <v>15</v>
      </c>
      <c r="B21" s="22"/>
      <c r="C21" s="10"/>
      <c r="D21" s="9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0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0"/>
      <c r="D23" s="22"/>
      <c r="E23" s="12"/>
      <c r="F23" s="23"/>
      <c r="G23" s="16">
        <v>1</v>
      </c>
      <c r="H23" s="11"/>
      <c r="I23" s="2"/>
      <c r="J23" s="2"/>
    </row>
    <row r="24" spans="1:10" ht="15" customHeight="1" x14ac:dyDescent="0.25">
      <c r="A24" s="15">
        <f t="shared" si="0"/>
        <v>18</v>
      </c>
      <c r="B24" s="22"/>
      <c r="C24" s="10"/>
      <c r="D24" s="9"/>
      <c r="E24" s="12"/>
      <c r="F24" s="20"/>
      <c r="G24" s="16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2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22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5">
        <f t="shared" si="0"/>
        <v>21</v>
      </c>
      <c r="B27" s="2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5">
        <f t="shared" si="0"/>
        <v>22</v>
      </c>
      <c r="B28" s="22"/>
      <c r="C28" s="10"/>
      <c r="D28" s="9"/>
      <c r="E28" s="12"/>
      <c r="F28" s="20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0"/>
      <c r="D29" s="9"/>
      <c r="E29" s="12"/>
      <c r="F29" s="20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0"/>
      <c r="D30" s="9"/>
      <c r="E30" s="12"/>
      <c r="F30" s="20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0"/>
      <c r="D33" s="9"/>
      <c r="E33" s="12"/>
      <c r="F33" s="20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K46"/>
  <sheetViews>
    <sheetView topLeftCell="A22" workbookViewId="0">
      <selection activeCell="E36" sqref="E3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27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27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 t="s">
        <v>22</v>
      </c>
      <c r="C7" s="13" t="s">
        <v>23</v>
      </c>
      <c r="D7" s="22" t="s">
        <v>24</v>
      </c>
      <c r="E7" s="12">
        <v>45021</v>
      </c>
      <c r="F7" s="23" t="s">
        <v>25</v>
      </c>
      <c r="G7" s="16">
        <v>1</v>
      </c>
      <c r="H7" s="27" t="s">
        <v>26</v>
      </c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 t="s">
        <v>22</v>
      </c>
      <c r="C8" s="13" t="s">
        <v>23</v>
      </c>
      <c r="D8" s="22" t="s">
        <v>27</v>
      </c>
      <c r="E8" s="12">
        <v>45021</v>
      </c>
      <c r="F8" s="23" t="s">
        <v>28</v>
      </c>
      <c r="G8" s="16">
        <v>1</v>
      </c>
      <c r="H8" s="27" t="s">
        <v>29</v>
      </c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22</v>
      </c>
      <c r="C9" s="13" t="s">
        <v>23</v>
      </c>
      <c r="D9" s="22" t="s">
        <v>30</v>
      </c>
      <c r="E9" s="12">
        <v>45021</v>
      </c>
      <c r="F9" s="23" t="s">
        <v>31</v>
      </c>
      <c r="G9" s="16">
        <v>1</v>
      </c>
      <c r="H9" s="24" t="s">
        <v>32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22</v>
      </c>
      <c r="C10" s="13" t="s">
        <v>23</v>
      </c>
      <c r="D10" s="22" t="s">
        <v>33</v>
      </c>
      <c r="E10" s="12">
        <v>45021</v>
      </c>
      <c r="F10" s="23" t="s">
        <v>34</v>
      </c>
      <c r="G10" s="16">
        <v>1</v>
      </c>
      <c r="H10" s="24" t="s">
        <v>35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22</v>
      </c>
      <c r="C11" s="13" t="s">
        <v>23</v>
      </c>
      <c r="D11" s="22" t="s">
        <v>36</v>
      </c>
      <c r="E11" s="12">
        <v>45021</v>
      </c>
      <c r="F11" s="23" t="s">
        <v>38</v>
      </c>
      <c r="G11" s="16">
        <v>1</v>
      </c>
      <c r="H11" s="24" t="s">
        <v>37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22</v>
      </c>
      <c r="C12" s="13" t="s">
        <v>23</v>
      </c>
      <c r="D12" s="22" t="s">
        <v>39</v>
      </c>
      <c r="E12" s="12">
        <v>45021</v>
      </c>
      <c r="F12" s="23" t="s">
        <v>45</v>
      </c>
      <c r="G12" s="16">
        <v>1</v>
      </c>
      <c r="H12" s="26" t="s">
        <v>46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22</v>
      </c>
      <c r="C13" s="13" t="s">
        <v>23</v>
      </c>
      <c r="D13" s="22" t="s">
        <v>40</v>
      </c>
      <c r="E13" s="12">
        <v>45021</v>
      </c>
      <c r="F13" s="23" t="s">
        <v>48</v>
      </c>
      <c r="G13" s="16">
        <v>1</v>
      </c>
      <c r="H13" s="26" t="s">
        <v>47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22</v>
      </c>
      <c r="C14" s="13" t="s">
        <v>23</v>
      </c>
      <c r="D14" s="22" t="s">
        <v>41</v>
      </c>
      <c r="E14" s="12">
        <v>45021</v>
      </c>
      <c r="F14" s="23" t="s">
        <v>50</v>
      </c>
      <c r="G14" s="16">
        <v>1</v>
      </c>
      <c r="H14" s="26" t="s">
        <v>49</v>
      </c>
      <c r="I14" s="2"/>
      <c r="J14" s="2"/>
    </row>
    <row r="15" spans="1:11" ht="15" customHeight="1" x14ac:dyDescent="0.25">
      <c r="A15" s="15">
        <f t="shared" si="0"/>
        <v>9</v>
      </c>
      <c r="B15" s="22" t="s">
        <v>22</v>
      </c>
      <c r="C15" s="13" t="s">
        <v>23</v>
      </c>
      <c r="D15" s="22" t="s">
        <v>42</v>
      </c>
      <c r="E15" s="12">
        <v>45021</v>
      </c>
      <c r="F15" s="23" t="s">
        <v>52</v>
      </c>
      <c r="G15" s="16">
        <v>1</v>
      </c>
      <c r="H15" s="26" t="s">
        <v>51</v>
      </c>
      <c r="I15" s="2"/>
      <c r="J15" s="2"/>
    </row>
    <row r="16" spans="1:11" ht="15" customHeight="1" x14ac:dyDescent="0.25">
      <c r="A16" s="15">
        <f t="shared" si="0"/>
        <v>10</v>
      </c>
      <c r="B16" s="22" t="s">
        <v>22</v>
      </c>
      <c r="C16" s="13" t="s">
        <v>23</v>
      </c>
      <c r="D16" s="22" t="s">
        <v>43</v>
      </c>
      <c r="E16" s="12">
        <v>45021</v>
      </c>
      <c r="F16" s="23" t="s">
        <v>54</v>
      </c>
      <c r="G16" s="16">
        <v>1</v>
      </c>
      <c r="H16" s="26" t="s">
        <v>53</v>
      </c>
      <c r="I16" s="2"/>
      <c r="J16" s="2"/>
    </row>
    <row r="17" spans="1:10" ht="15" customHeight="1" x14ac:dyDescent="0.25">
      <c r="A17" s="15">
        <f t="shared" si="0"/>
        <v>11</v>
      </c>
      <c r="B17" s="22" t="s">
        <v>22</v>
      </c>
      <c r="C17" s="13" t="s">
        <v>23</v>
      </c>
      <c r="D17" s="22" t="s">
        <v>44</v>
      </c>
      <c r="E17" s="12">
        <v>45021</v>
      </c>
      <c r="F17" s="23" t="s">
        <v>56</v>
      </c>
      <c r="G17" s="16">
        <v>1</v>
      </c>
      <c r="H17" s="27" t="s">
        <v>55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22</v>
      </c>
      <c r="C18" s="13" t="s">
        <v>23</v>
      </c>
      <c r="D18" s="22" t="s">
        <v>57</v>
      </c>
      <c r="E18" s="12">
        <v>45021</v>
      </c>
      <c r="F18" s="23" t="s">
        <v>62</v>
      </c>
      <c r="G18" s="16">
        <v>1</v>
      </c>
      <c r="H18" s="26" t="s">
        <v>61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22</v>
      </c>
      <c r="C19" s="13" t="s">
        <v>23</v>
      </c>
      <c r="D19" s="22" t="s">
        <v>58</v>
      </c>
      <c r="E19" s="12">
        <v>45021</v>
      </c>
      <c r="F19" s="23" t="s">
        <v>64</v>
      </c>
      <c r="G19" s="16">
        <v>1</v>
      </c>
      <c r="H19" s="27" t="s">
        <v>63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22</v>
      </c>
      <c r="C20" s="13" t="s">
        <v>23</v>
      </c>
      <c r="D20" s="22" t="s">
        <v>59</v>
      </c>
      <c r="E20" s="12">
        <v>45021</v>
      </c>
      <c r="F20" s="23" t="s">
        <v>66</v>
      </c>
      <c r="G20" s="16">
        <v>1</v>
      </c>
      <c r="H20" s="26" t="s">
        <v>65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22</v>
      </c>
      <c r="C21" s="13" t="s">
        <v>23</v>
      </c>
      <c r="D21" s="22" t="s">
        <v>60</v>
      </c>
      <c r="E21" s="12">
        <v>45021</v>
      </c>
      <c r="F21" s="23" t="s">
        <v>68</v>
      </c>
      <c r="G21" s="16">
        <v>1</v>
      </c>
      <c r="H21" s="26" t="s">
        <v>67</v>
      </c>
      <c r="I21" s="2"/>
      <c r="J21" s="2"/>
    </row>
    <row r="22" spans="1:10" ht="15" customHeight="1" x14ac:dyDescent="0.25">
      <c r="A22" s="15">
        <f t="shared" si="0"/>
        <v>16</v>
      </c>
      <c r="B22" s="22" t="s">
        <v>22</v>
      </c>
      <c r="C22" s="13" t="s">
        <v>23</v>
      </c>
      <c r="D22" s="22" t="s">
        <v>70</v>
      </c>
      <c r="E22" s="12">
        <v>45021</v>
      </c>
      <c r="F22" s="23" t="s">
        <v>80</v>
      </c>
      <c r="G22" s="16">
        <v>1</v>
      </c>
      <c r="H22" s="26" t="s">
        <v>81</v>
      </c>
      <c r="I22" s="2"/>
      <c r="J22" s="2"/>
    </row>
    <row r="23" spans="1:10" ht="15" customHeight="1" x14ac:dyDescent="0.25">
      <c r="A23" s="15">
        <f t="shared" si="0"/>
        <v>17</v>
      </c>
      <c r="B23" s="22" t="s">
        <v>22</v>
      </c>
      <c r="C23" s="13" t="s">
        <v>23</v>
      </c>
      <c r="D23" s="22" t="s">
        <v>71</v>
      </c>
      <c r="E23" s="12">
        <v>45021</v>
      </c>
      <c r="F23" s="23" t="s">
        <v>83</v>
      </c>
      <c r="G23" s="16">
        <v>1</v>
      </c>
      <c r="H23" s="21" t="s">
        <v>82</v>
      </c>
      <c r="I23" s="2"/>
      <c r="J23" s="2"/>
    </row>
    <row r="24" spans="1:10" ht="15" customHeight="1" x14ac:dyDescent="0.25">
      <c r="A24" s="15">
        <f t="shared" si="0"/>
        <v>18</v>
      </c>
      <c r="B24" s="22" t="s">
        <v>22</v>
      </c>
      <c r="C24" s="13" t="s">
        <v>23</v>
      </c>
      <c r="D24" s="22" t="s">
        <v>72</v>
      </c>
      <c r="E24" s="12">
        <v>45021</v>
      </c>
      <c r="F24" s="23" t="s">
        <v>85</v>
      </c>
      <c r="G24" s="16">
        <v>1</v>
      </c>
      <c r="H24" s="21" t="s">
        <v>84</v>
      </c>
      <c r="I24" s="2"/>
      <c r="J24" s="2"/>
    </row>
    <row r="25" spans="1:10" ht="15" customHeight="1" x14ac:dyDescent="0.25">
      <c r="A25" s="15">
        <f t="shared" si="0"/>
        <v>19</v>
      </c>
      <c r="B25" s="22" t="s">
        <v>22</v>
      </c>
      <c r="C25" s="13" t="s">
        <v>23</v>
      </c>
      <c r="D25" s="22" t="s">
        <v>73</v>
      </c>
      <c r="E25" s="12">
        <v>45021</v>
      </c>
      <c r="F25" s="23" t="s">
        <v>86</v>
      </c>
      <c r="G25" s="16">
        <v>1</v>
      </c>
      <c r="H25" s="21" t="s">
        <v>87</v>
      </c>
      <c r="I25" s="2"/>
      <c r="J25" s="2"/>
    </row>
    <row r="26" spans="1:10" ht="15" customHeight="1" x14ac:dyDescent="0.25">
      <c r="A26" s="15">
        <f t="shared" si="0"/>
        <v>20</v>
      </c>
      <c r="B26" s="22" t="s">
        <v>22</v>
      </c>
      <c r="C26" s="13" t="s">
        <v>23</v>
      </c>
      <c r="D26" s="22" t="s">
        <v>74</v>
      </c>
      <c r="E26" s="12">
        <v>45021</v>
      </c>
      <c r="F26" s="23" t="s">
        <v>89</v>
      </c>
      <c r="G26" s="16">
        <v>1</v>
      </c>
      <c r="H26" s="21" t="s">
        <v>88</v>
      </c>
      <c r="I26" s="2"/>
      <c r="J26" s="2"/>
    </row>
    <row r="27" spans="1:10" ht="15" customHeight="1" x14ac:dyDescent="0.25">
      <c r="A27" s="15">
        <f t="shared" si="0"/>
        <v>21</v>
      </c>
      <c r="B27" s="22" t="s">
        <v>22</v>
      </c>
      <c r="C27" s="13" t="s">
        <v>23</v>
      </c>
      <c r="D27" s="22" t="s">
        <v>75</v>
      </c>
      <c r="E27" s="12">
        <v>45021</v>
      </c>
      <c r="F27" s="23" t="s">
        <v>90</v>
      </c>
      <c r="G27" s="16">
        <v>1</v>
      </c>
      <c r="H27" s="21" t="s">
        <v>91</v>
      </c>
      <c r="I27" s="2"/>
      <c r="J27" s="2"/>
    </row>
    <row r="28" spans="1:10" ht="15" customHeight="1" x14ac:dyDescent="0.25">
      <c r="A28" s="15">
        <f t="shared" si="0"/>
        <v>22</v>
      </c>
      <c r="B28" s="22" t="s">
        <v>22</v>
      </c>
      <c r="C28" s="13" t="s">
        <v>23</v>
      </c>
      <c r="D28" s="22" t="s">
        <v>76</v>
      </c>
      <c r="E28" s="12">
        <v>45021</v>
      </c>
      <c r="F28" s="23" t="s">
        <v>93</v>
      </c>
      <c r="G28" s="16">
        <v>1</v>
      </c>
      <c r="H28" s="21" t="s">
        <v>92</v>
      </c>
      <c r="I28" s="2"/>
      <c r="J28" s="2"/>
    </row>
    <row r="29" spans="1:10" ht="15" customHeight="1" x14ac:dyDescent="0.25">
      <c r="A29" s="15">
        <f t="shared" si="0"/>
        <v>23</v>
      </c>
      <c r="B29" s="22" t="s">
        <v>22</v>
      </c>
      <c r="C29" s="13" t="s">
        <v>23</v>
      </c>
      <c r="D29" s="22" t="s">
        <v>77</v>
      </c>
      <c r="E29" s="12">
        <v>45021</v>
      </c>
      <c r="F29" s="23" t="s">
        <v>95</v>
      </c>
      <c r="G29" s="16">
        <v>1</v>
      </c>
      <c r="H29" s="1" t="s">
        <v>94</v>
      </c>
      <c r="I29" s="1"/>
      <c r="J29" s="1"/>
    </row>
    <row r="30" spans="1:10" ht="15" customHeight="1" x14ac:dyDescent="0.25">
      <c r="A30" s="15">
        <f t="shared" si="0"/>
        <v>24</v>
      </c>
      <c r="B30" s="22" t="s">
        <v>22</v>
      </c>
      <c r="C30" s="13" t="s">
        <v>23</v>
      </c>
      <c r="D30" s="22" t="s">
        <v>78</v>
      </c>
      <c r="E30" s="12">
        <v>45021</v>
      </c>
      <c r="F30" s="23" t="s">
        <v>96</v>
      </c>
      <c r="G30" s="16">
        <v>1</v>
      </c>
      <c r="H30" s="1" t="s">
        <v>97</v>
      </c>
      <c r="I30" s="1"/>
      <c r="J30" s="1"/>
    </row>
    <row r="31" spans="1:10" ht="15" customHeight="1" x14ac:dyDescent="0.25">
      <c r="A31" s="15">
        <f t="shared" si="0"/>
        <v>25</v>
      </c>
      <c r="B31" s="22" t="s">
        <v>22</v>
      </c>
      <c r="C31" s="13" t="s">
        <v>23</v>
      </c>
      <c r="D31" s="22" t="s">
        <v>79</v>
      </c>
      <c r="E31" s="12">
        <v>45021</v>
      </c>
      <c r="F31" s="23" t="s">
        <v>98</v>
      </c>
      <c r="G31" s="16">
        <v>1</v>
      </c>
      <c r="H31" s="1" t="s">
        <v>99</v>
      </c>
      <c r="I31" s="1"/>
      <c r="J31" s="1"/>
    </row>
    <row r="32" spans="1:10" ht="15" customHeight="1" x14ac:dyDescent="0.25">
      <c r="A32" s="15">
        <f t="shared" si="0"/>
        <v>26</v>
      </c>
      <c r="B32" s="22" t="s">
        <v>22</v>
      </c>
      <c r="C32" s="13" t="s">
        <v>23</v>
      </c>
      <c r="D32" s="9" t="s">
        <v>100</v>
      </c>
      <c r="E32" s="12">
        <v>45029</v>
      </c>
      <c r="F32" s="23" t="s">
        <v>102</v>
      </c>
      <c r="G32" s="16">
        <v>1</v>
      </c>
      <c r="H32" s="1" t="s">
        <v>101</v>
      </c>
      <c r="I32" s="1"/>
      <c r="J32" s="1"/>
    </row>
    <row r="33" spans="1:10" ht="15" customHeight="1" x14ac:dyDescent="0.25">
      <c r="A33" s="15">
        <f t="shared" si="0"/>
        <v>27</v>
      </c>
      <c r="B33" s="22" t="s">
        <v>22</v>
      </c>
      <c r="C33" s="13" t="s">
        <v>23</v>
      </c>
      <c r="D33" s="9" t="s">
        <v>103</v>
      </c>
      <c r="E33" s="12">
        <v>45029</v>
      </c>
      <c r="F33" s="23" t="s">
        <v>105</v>
      </c>
      <c r="G33" s="16">
        <v>1</v>
      </c>
      <c r="H33" s="1" t="s">
        <v>104</v>
      </c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sortState ref="B7:H33">
    <sortCondition ref="E7:E33"/>
    <sortCondition ref="D7:D3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106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107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108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109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/>
      <c r="C7" s="13"/>
      <c r="D7" s="22"/>
      <c r="E7" s="12"/>
      <c r="F7" s="23"/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46" si="0">+A7+1</f>
        <v>2</v>
      </c>
      <c r="B8" s="22"/>
      <c r="C8" s="13"/>
      <c r="D8" s="22"/>
      <c r="E8" s="12"/>
      <c r="F8" s="23"/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/>
      <c r="C9" s="13"/>
      <c r="D9" s="22"/>
      <c r="E9" s="12"/>
      <c r="F9" s="23"/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/>
      <c r="C10" s="13"/>
      <c r="D10" s="22"/>
      <c r="E10" s="12"/>
      <c r="F10" s="23"/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/>
      <c r="C11" s="13"/>
      <c r="D11" s="22"/>
      <c r="E11" s="12"/>
      <c r="F11" s="23"/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/>
      <c r="C12" s="13"/>
      <c r="D12" s="22"/>
      <c r="E12" s="12"/>
      <c r="F12" s="23"/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/>
      <c r="C13" s="13"/>
      <c r="D13" s="22"/>
      <c r="E13" s="12"/>
      <c r="F13" s="23"/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/>
      <c r="C14" s="13"/>
      <c r="D14" s="22"/>
      <c r="E14" s="12"/>
      <c r="F14" s="23"/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/>
      <c r="C15" s="13"/>
      <c r="D15" s="22"/>
      <c r="E15" s="12"/>
      <c r="F15" s="23"/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/>
      <c r="C16" s="13"/>
      <c r="D16" s="22"/>
      <c r="E16" s="12"/>
      <c r="F16" s="23"/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/>
      <c r="C17" s="13"/>
      <c r="D17" s="22"/>
      <c r="E17" s="12"/>
      <c r="F17" s="23"/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/>
      <c r="C18" s="13"/>
      <c r="D18" s="22"/>
      <c r="E18" s="12"/>
      <c r="F18" s="23"/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/>
      <c r="C19" s="13"/>
      <c r="D19" s="22"/>
      <c r="E19" s="12"/>
      <c r="F19" s="23"/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/>
      <c r="C20" s="13"/>
      <c r="D20" s="22"/>
      <c r="E20" s="12"/>
      <c r="F20" s="23"/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/>
      <c r="C21" s="13"/>
      <c r="D21" s="22"/>
      <c r="E21" s="12"/>
      <c r="F21" s="23"/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22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22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22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22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22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9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9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0"/>
      <c r="D34" s="9"/>
      <c r="E34" s="12"/>
      <c r="F34" s="20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0"/>
      <c r="D35" s="9"/>
      <c r="E35" s="12"/>
      <c r="F35" s="20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0"/>
      <c r="D36" s="9"/>
      <c r="E36" s="12"/>
      <c r="F36" s="20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0"/>
      <c r="D37" s="9"/>
      <c r="E37" s="12"/>
      <c r="F37" s="20"/>
    </row>
    <row r="38" spans="1:10" x14ac:dyDescent="0.25">
      <c r="A38" s="15">
        <f t="shared" si="0"/>
        <v>32</v>
      </c>
      <c r="B38" s="22"/>
      <c r="C38" s="10"/>
      <c r="D38" s="9"/>
      <c r="E38" s="12"/>
      <c r="F38" s="20"/>
    </row>
    <row r="39" spans="1:10" x14ac:dyDescent="0.25">
      <c r="A39" s="15">
        <f t="shared" si="0"/>
        <v>33</v>
      </c>
      <c r="B39" s="22"/>
      <c r="C39" s="10"/>
      <c r="D39" s="9"/>
      <c r="E39" s="12"/>
      <c r="F39" s="20"/>
    </row>
    <row r="40" spans="1:10" x14ac:dyDescent="0.25">
      <c r="A40" s="15">
        <f t="shared" si="0"/>
        <v>34</v>
      </c>
      <c r="B40" s="22"/>
      <c r="C40" s="10"/>
      <c r="D40" s="9"/>
      <c r="E40" s="12"/>
      <c r="F40" s="20"/>
    </row>
    <row r="41" spans="1:10" x14ac:dyDescent="0.25">
      <c r="A41" s="15">
        <f t="shared" si="0"/>
        <v>35</v>
      </c>
      <c r="B41" s="22"/>
      <c r="C41" s="10"/>
      <c r="D41" s="9"/>
      <c r="E41" s="12"/>
      <c r="F41" s="20"/>
    </row>
    <row r="42" spans="1:10" x14ac:dyDescent="0.25">
      <c r="A42" s="15">
        <f t="shared" si="0"/>
        <v>36</v>
      </c>
      <c r="B42" s="22"/>
      <c r="C42" s="10"/>
      <c r="D42" s="9"/>
      <c r="E42" s="12"/>
      <c r="F42" s="20"/>
    </row>
    <row r="43" spans="1:10" x14ac:dyDescent="0.25">
      <c r="A43" s="15">
        <f t="shared" si="0"/>
        <v>37</v>
      </c>
      <c r="B43" s="22"/>
      <c r="C43" s="10"/>
      <c r="D43" s="9"/>
      <c r="E43" s="12"/>
      <c r="F43" s="20"/>
    </row>
    <row r="44" spans="1:10" x14ac:dyDescent="0.25">
      <c r="A44" s="15">
        <f t="shared" si="0"/>
        <v>38</v>
      </c>
      <c r="B44" s="22"/>
      <c r="C44" s="10"/>
      <c r="D44" s="9"/>
      <c r="E44" s="12"/>
      <c r="F44" s="20"/>
    </row>
    <row r="45" spans="1:10" x14ac:dyDescent="0.25">
      <c r="A45" s="15">
        <f t="shared" si="0"/>
        <v>39</v>
      </c>
      <c r="B45" s="22"/>
      <c r="C45" s="10"/>
      <c r="D45" s="9"/>
      <c r="E45" s="12"/>
      <c r="F45" s="20"/>
    </row>
    <row r="46" spans="1:10" x14ac:dyDescent="0.25">
      <c r="A46" s="15">
        <f t="shared" si="0"/>
        <v>40</v>
      </c>
      <c r="B46" s="22"/>
      <c r="C46" s="10"/>
      <c r="D46" s="9"/>
      <c r="E46" s="12"/>
      <c r="F46" s="20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K70"/>
  <sheetViews>
    <sheetView topLeftCell="A40" workbookViewId="0">
      <selection activeCell="F29" sqref="F29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SUMIF(F7:F36,"Elimination*",G7:G36)</f>
        <v>30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131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30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 t="s">
        <v>126</v>
      </c>
      <c r="C7" s="13" t="s">
        <v>23</v>
      </c>
      <c r="D7" s="22" t="s">
        <v>127</v>
      </c>
      <c r="E7" s="12">
        <v>45187</v>
      </c>
      <c r="F7" s="23" t="s">
        <v>130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0" si="0">+A7+1</f>
        <v>2</v>
      </c>
      <c r="B8" s="22" t="s">
        <v>128</v>
      </c>
      <c r="C8" s="13" t="s">
        <v>23</v>
      </c>
      <c r="D8" s="22" t="s">
        <v>129</v>
      </c>
      <c r="E8" s="12">
        <v>45187</v>
      </c>
      <c r="F8" s="23" t="s">
        <v>130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118</v>
      </c>
      <c r="C9" s="13" t="s">
        <v>23</v>
      </c>
      <c r="D9" s="22" t="s">
        <v>119</v>
      </c>
      <c r="E9" s="12">
        <v>45187</v>
      </c>
      <c r="F9" s="23" t="s">
        <v>130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120</v>
      </c>
      <c r="C10" s="13" t="s">
        <v>23</v>
      </c>
      <c r="D10" s="22" t="s">
        <v>121</v>
      </c>
      <c r="E10" s="12">
        <v>45187</v>
      </c>
      <c r="F10" s="23" t="s">
        <v>130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116</v>
      </c>
      <c r="C11" s="13" t="s">
        <v>23</v>
      </c>
      <c r="D11" s="22" t="s">
        <v>117</v>
      </c>
      <c r="E11" s="12">
        <v>45187</v>
      </c>
      <c r="F11" s="23" t="s">
        <v>130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114</v>
      </c>
      <c r="C12" s="13" t="s">
        <v>23</v>
      </c>
      <c r="D12" s="22" t="s">
        <v>115</v>
      </c>
      <c r="E12" s="12">
        <v>45187</v>
      </c>
      <c r="F12" s="23" t="s">
        <v>130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112</v>
      </c>
      <c r="C13" s="13" t="s">
        <v>23</v>
      </c>
      <c r="D13" s="22" t="s">
        <v>113</v>
      </c>
      <c r="E13" s="12">
        <v>45187</v>
      </c>
      <c r="F13" s="23" t="s">
        <v>130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110</v>
      </c>
      <c r="C14" s="13" t="s">
        <v>23</v>
      </c>
      <c r="D14" s="22" t="s">
        <v>111</v>
      </c>
      <c r="E14" s="12">
        <v>45187</v>
      </c>
      <c r="F14" s="23" t="s">
        <v>130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124</v>
      </c>
      <c r="C15" s="13" t="s">
        <v>23</v>
      </c>
      <c r="D15" s="22" t="s">
        <v>125</v>
      </c>
      <c r="E15" s="12">
        <v>45187</v>
      </c>
      <c r="F15" s="23" t="s">
        <v>130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122</v>
      </c>
      <c r="C16" s="13" t="s">
        <v>23</v>
      </c>
      <c r="D16" s="22" t="s">
        <v>123</v>
      </c>
      <c r="E16" s="12">
        <v>45187</v>
      </c>
      <c r="F16" s="23" t="s">
        <v>130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140</v>
      </c>
      <c r="C17" s="13" t="s">
        <v>23</v>
      </c>
      <c r="D17" s="22" t="s">
        <v>150</v>
      </c>
      <c r="E17" s="12">
        <v>45188</v>
      </c>
      <c r="F17" s="23" t="s">
        <v>130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138</v>
      </c>
      <c r="C18" s="13" t="s">
        <v>23</v>
      </c>
      <c r="D18" s="22" t="s">
        <v>148</v>
      </c>
      <c r="E18" s="12">
        <v>45188</v>
      </c>
      <c r="F18" s="23" t="s">
        <v>130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132</v>
      </c>
      <c r="C19" s="13" t="s">
        <v>23</v>
      </c>
      <c r="D19" s="22" t="s">
        <v>142</v>
      </c>
      <c r="E19" s="12">
        <v>45188</v>
      </c>
      <c r="F19" s="23" t="s">
        <v>130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139</v>
      </c>
      <c r="C20" s="13" t="s">
        <v>23</v>
      </c>
      <c r="D20" s="22" t="s">
        <v>149</v>
      </c>
      <c r="E20" s="12">
        <v>45188</v>
      </c>
      <c r="F20" s="23" t="s">
        <v>130</v>
      </c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 t="s">
        <v>141</v>
      </c>
      <c r="C21" s="13" t="s">
        <v>23</v>
      </c>
      <c r="D21" s="22" t="s">
        <v>151</v>
      </c>
      <c r="E21" s="12">
        <v>45188</v>
      </c>
      <c r="F21" s="23" t="s">
        <v>130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134</v>
      </c>
      <c r="C22" s="13" t="s">
        <v>23</v>
      </c>
      <c r="D22" s="22" t="s">
        <v>144</v>
      </c>
      <c r="E22" s="12">
        <v>45188</v>
      </c>
      <c r="F22" s="23" t="s">
        <v>130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133</v>
      </c>
      <c r="C23" s="13" t="s">
        <v>23</v>
      </c>
      <c r="D23" s="22" t="s">
        <v>143</v>
      </c>
      <c r="E23" s="12">
        <v>45188</v>
      </c>
      <c r="F23" s="23" t="s">
        <v>130</v>
      </c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 t="s">
        <v>136</v>
      </c>
      <c r="C24" s="13" t="s">
        <v>23</v>
      </c>
      <c r="D24" s="22" t="s">
        <v>146</v>
      </c>
      <c r="E24" s="12">
        <v>45188</v>
      </c>
      <c r="F24" s="23" t="s">
        <v>130</v>
      </c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 t="s">
        <v>137</v>
      </c>
      <c r="C25" s="13" t="s">
        <v>23</v>
      </c>
      <c r="D25" s="22" t="s">
        <v>147</v>
      </c>
      <c r="E25" s="12">
        <v>45188</v>
      </c>
      <c r="F25" s="23" t="s">
        <v>130</v>
      </c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 t="s">
        <v>135</v>
      </c>
      <c r="C26" s="13" t="s">
        <v>23</v>
      </c>
      <c r="D26" s="22" t="s">
        <v>145</v>
      </c>
      <c r="E26" s="12">
        <v>45188</v>
      </c>
      <c r="F26" s="23" t="s">
        <v>130</v>
      </c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 t="s">
        <v>162</v>
      </c>
      <c r="C27" s="13" t="s">
        <v>23</v>
      </c>
      <c r="D27" s="9" t="s">
        <v>163</v>
      </c>
      <c r="E27" s="12">
        <v>45189</v>
      </c>
      <c r="F27" s="23" t="s">
        <v>130</v>
      </c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 t="s">
        <v>154</v>
      </c>
      <c r="C28" s="13" t="s">
        <v>23</v>
      </c>
      <c r="D28" s="22" t="s">
        <v>155</v>
      </c>
      <c r="E28" s="12">
        <v>45189</v>
      </c>
      <c r="F28" s="23" t="s">
        <v>130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156</v>
      </c>
      <c r="C29" s="13" t="s">
        <v>23</v>
      </c>
      <c r="D29" s="22" t="s">
        <v>157</v>
      </c>
      <c r="E29" s="12">
        <v>45189</v>
      </c>
      <c r="F29" s="23" t="s">
        <v>130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152</v>
      </c>
      <c r="C30" s="13" t="s">
        <v>23</v>
      </c>
      <c r="D30" s="22" t="s">
        <v>153</v>
      </c>
      <c r="E30" s="12">
        <v>45189</v>
      </c>
      <c r="F30" s="23" t="s">
        <v>130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158</v>
      </c>
      <c r="C31" s="13" t="s">
        <v>23</v>
      </c>
      <c r="D31" s="22" t="s">
        <v>159</v>
      </c>
      <c r="E31" s="12">
        <v>45189</v>
      </c>
      <c r="F31" s="23" t="s">
        <v>130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164</v>
      </c>
      <c r="C32" s="13" t="s">
        <v>23</v>
      </c>
      <c r="D32" s="9" t="s">
        <v>165</v>
      </c>
      <c r="E32" s="12">
        <v>45189</v>
      </c>
      <c r="F32" s="23" t="s">
        <v>130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168</v>
      </c>
      <c r="C33" s="13" t="s">
        <v>23</v>
      </c>
      <c r="D33" s="9" t="s">
        <v>169</v>
      </c>
      <c r="E33" s="12">
        <v>45189</v>
      </c>
      <c r="F33" s="23" t="s">
        <v>130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166</v>
      </c>
      <c r="C34" s="13" t="s">
        <v>23</v>
      </c>
      <c r="D34" s="9" t="s">
        <v>167</v>
      </c>
      <c r="E34" s="12">
        <v>45189</v>
      </c>
      <c r="F34" s="23" t="s">
        <v>130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170</v>
      </c>
      <c r="C35" s="13" t="s">
        <v>23</v>
      </c>
      <c r="D35" s="9" t="s">
        <v>171</v>
      </c>
      <c r="E35" s="12">
        <v>45189</v>
      </c>
      <c r="F35" s="23" t="s">
        <v>130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160</v>
      </c>
      <c r="C36" s="13" t="s">
        <v>23</v>
      </c>
      <c r="D36" s="22" t="s">
        <v>161</v>
      </c>
      <c r="E36" s="12">
        <v>45189</v>
      </c>
      <c r="F36" s="23" t="s">
        <v>130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182</v>
      </c>
      <c r="C37" s="13" t="s">
        <v>23</v>
      </c>
      <c r="D37" s="9" t="s">
        <v>191</v>
      </c>
      <c r="E37" s="12">
        <v>45190</v>
      </c>
      <c r="F37" s="20" t="s">
        <v>130</v>
      </c>
    </row>
    <row r="38" spans="1:10" x14ac:dyDescent="0.25">
      <c r="A38" s="15">
        <f t="shared" si="0"/>
        <v>32</v>
      </c>
      <c r="B38" s="22" t="s">
        <v>172</v>
      </c>
      <c r="C38" s="13" t="s">
        <v>23</v>
      </c>
      <c r="D38" s="9" t="s">
        <v>173</v>
      </c>
      <c r="E38" s="12">
        <v>45190</v>
      </c>
      <c r="F38" s="20" t="s">
        <v>130</v>
      </c>
    </row>
    <row r="39" spans="1:10" x14ac:dyDescent="0.25">
      <c r="A39" s="15">
        <f t="shared" si="0"/>
        <v>33</v>
      </c>
      <c r="B39" s="22" t="s">
        <v>181</v>
      </c>
      <c r="C39" s="13" t="s">
        <v>23</v>
      </c>
      <c r="D39" s="9" t="s">
        <v>190</v>
      </c>
      <c r="E39" s="12">
        <v>45190</v>
      </c>
      <c r="F39" s="20" t="s">
        <v>130</v>
      </c>
    </row>
    <row r="40" spans="1:10" x14ac:dyDescent="0.25">
      <c r="A40" s="15">
        <f t="shared" si="0"/>
        <v>34</v>
      </c>
      <c r="B40" s="22" t="s">
        <v>174</v>
      </c>
      <c r="C40" s="13" t="s">
        <v>23</v>
      </c>
      <c r="D40" s="9" t="s">
        <v>183</v>
      </c>
      <c r="E40" s="12">
        <v>45190</v>
      </c>
      <c r="F40" s="20" t="s">
        <v>130</v>
      </c>
    </row>
    <row r="41" spans="1:10" x14ac:dyDescent="0.25">
      <c r="A41" s="15">
        <f t="shared" si="0"/>
        <v>35</v>
      </c>
      <c r="B41" s="22" t="s">
        <v>180</v>
      </c>
      <c r="C41" s="13" t="s">
        <v>23</v>
      </c>
      <c r="D41" s="9" t="s">
        <v>189</v>
      </c>
      <c r="E41" s="12">
        <v>45190</v>
      </c>
      <c r="F41" s="20" t="s">
        <v>130</v>
      </c>
    </row>
    <row r="42" spans="1:10" x14ac:dyDescent="0.25">
      <c r="A42" s="15">
        <f t="shared" si="0"/>
        <v>36</v>
      </c>
      <c r="B42" s="22" t="s">
        <v>175</v>
      </c>
      <c r="C42" s="13" t="s">
        <v>23</v>
      </c>
      <c r="D42" s="9" t="s">
        <v>184</v>
      </c>
      <c r="E42" s="12">
        <v>45190</v>
      </c>
      <c r="F42" s="20" t="s">
        <v>130</v>
      </c>
    </row>
    <row r="43" spans="1:10" x14ac:dyDescent="0.25">
      <c r="A43" s="15">
        <f t="shared" si="0"/>
        <v>37</v>
      </c>
      <c r="B43" s="22" t="s">
        <v>179</v>
      </c>
      <c r="C43" s="13" t="s">
        <v>23</v>
      </c>
      <c r="D43" s="9" t="s">
        <v>188</v>
      </c>
      <c r="E43" s="12">
        <v>45190</v>
      </c>
      <c r="F43" s="20" t="s">
        <v>130</v>
      </c>
    </row>
    <row r="44" spans="1:10" x14ac:dyDescent="0.25">
      <c r="A44" s="15">
        <f t="shared" si="0"/>
        <v>38</v>
      </c>
      <c r="B44" s="22" t="s">
        <v>176</v>
      </c>
      <c r="C44" s="13" t="s">
        <v>23</v>
      </c>
      <c r="D44" s="9" t="s">
        <v>185</v>
      </c>
      <c r="E44" s="12">
        <v>45190</v>
      </c>
      <c r="F44" s="20" t="s">
        <v>130</v>
      </c>
    </row>
    <row r="45" spans="1:10" x14ac:dyDescent="0.25">
      <c r="A45" s="15">
        <f t="shared" si="0"/>
        <v>39</v>
      </c>
      <c r="B45" s="22" t="s">
        <v>178</v>
      </c>
      <c r="C45" s="13" t="s">
        <v>23</v>
      </c>
      <c r="D45" s="9" t="s">
        <v>187</v>
      </c>
      <c r="E45" s="12">
        <v>45190</v>
      </c>
      <c r="F45" s="20" t="s">
        <v>130</v>
      </c>
    </row>
    <row r="46" spans="1:10" x14ac:dyDescent="0.25">
      <c r="A46" s="15">
        <f t="shared" si="0"/>
        <v>40</v>
      </c>
      <c r="B46" s="22" t="s">
        <v>177</v>
      </c>
      <c r="C46" s="13" t="s">
        <v>23</v>
      </c>
      <c r="D46" s="9" t="s">
        <v>186</v>
      </c>
      <c r="E46" s="12">
        <v>45190</v>
      </c>
      <c r="F46" s="20" t="s">
        <v>130</v>
      </c>
    </row>
    <row r="47" spans="1:10" x14ac:dyDescent="0.25">
      <c r="A47" s="15">
        <f t="shared" si="0"/>
        <v>41</v>
      </c>
      <c r="B47" s="22" t="s">
        <v>196</v>
      </c>
      <c r="C47" s="13" t="s">
        <v>23</v>
      </c>
      <c r="D47" s="9" t="s">
        <v>206</v>
      </c>
      <c r="E47" s="12">
        <v>45195</v>
      </c>
      <c r="F47" s="20" t="s">
        <v>130</v>
      </c>
    </row>
    <row r="48" spans="1:10" x14ac:dyDescent="0.25">
      <c r="A48" s="15">
        <f t="shared" si="0"/>
        <v>42</v>
      </c>
      <c r="B48" s="22" t="s">
        <v>210</v>
      </c>
      <c r="C48" s="13" t="s">
        <v>23</v>
      </c>
      <c r="D48" s="9" t="s">
        <v>203</v>
      </c>
      <c r="E48" s="12">
        <v>45195</v>
      </c>
      <c r="F48" s="20" t="s">
        <v>130</v>
      </c>
    </row>
    <row r="49" spans="1:6" x14ac:dyDescent="0.25">
      <c r="A49" s="15">
        <f t="shared" si="0"/>
        <v>43</v>
      </c>
      <c r="B49" s="22" t="s">
        <v>197</v>
      </c>
      <c r="C49" s="13" t="s">
        <v>23</v>
      </c>
      <c r="D49" s="9" t="s">
        <v>201</v>
      </c>
      <c r="E49" s="12">
        <v>45195</v>
      </c>
      <c r="F49" s="20" t="s">
        <v>130</v>
      </c>
    </row>
    <row r="50" spans="1:6" x14ac:dyDescent="0.25">
      <c r="A50" s="15">
        <f t="shared" si="0"/>
        <v>44</v>
      </c>
      <c r="B50" s="22" t="s">
        <v>194</v>
      </c>
      <c r="C50" s="13" t="s">
        <v>23</v>
      </c>
      <c r="D50" s="9" t="s">
        <v>204</v>
      </c>
      <c r="E50" s="12">
        <v>45195</v>
      </c>
      <c r="F50" s="20" t="s">
        <v>130</v>
      </c>
    </row>
    <row r="51" spans="1:6" x14ac:dyDescent="0.25">
      <c r="A51" s="15">
        <f t="shared" si="0"/>
        <v>45</v>
      </c>
      <c r="B51" s="22" t="s">
        <v>198</v>
      </c>
      <c r="C51" s="13" t="s">
        <v>23</v>
      </c>
      <c r="D51" s="9" t="s">
        <v>207</v>
      </c>
      <c r="E51" s="12">
        <v>45195</v>
      </c>
      <c r="F51" s="20" t="s">
        <v>130</v>
      </c>
    </row>
    <row r="52" spans="1:6" x14ac:dyDescent="0.25">
      <c r="A52" s="15">
        <f t="shared" si="0"/>
        <v>46</v>
      </c>
      <c r="B52" s="22" t="s">
        <v>192</v>
      </c>
      <c r="C52" s="13" t="s">
        <v>23</v>
      </c>
      <c r="D52" s="9" t="s">
        <v>211</v>
      </c>
      <c r="E52" s="12">
        <v>45195</v>
      </c>
      <c r="F52" s="20" t="s">
        <v>130</v>
      </c>
    </row>
    <row r="53" spans="1:6" x14ac:dyDescent="0.25">
      <c r="A53" s="15">
        <f t="shared" si="0"/>
        <v>47</v>
      </c>
      <c r="B53" s="22" t="s">
        <v>193</v>
      </c>
      <c r="C53" s="13" t="s">
        <v>23</v>
      </c>
      <c r="D53" s="9" t="s">
        <v>202</v>
      </c>
      <c r="E53" s="12">
        <v>45195</v>
      </c>
      <c r="F53" s="20" t="s">
        <v>130</v>
      </c>
    </row>
    <row r="54" spans="1:6" x14ac:dyDescent="0.25">
      <c r="A54" s="15">
        <f t="shared" si="0"/>
        <v>48</v>
      </c>
      <c r="B54" s="22" t="s">
        <v>199</v>
      </c>
      <c r="C54" s="13" t="s">
        <v>23</v>
      </c>
      <c r="D54" s="9" t="s">
        <v>208</v>
      </c>
      <c r="E54" s="12">
        <v>45195</v>
      </c>
      <c r="F54" s="20" t="s">
        <v>130</v>
      </c>
    </row>
    <row r="55" spans="1:6" x14ac:dyDescent="0.25">
      <c r="A55" s="15">
        <f t="shared" si="0"/>
        <v>49</v>
      </c>
      <c r="B55" s="22" t="s">
        <v>200</v>
      </c>
      <c r="C55" s="13" t="s">
        <v>23</v>
      </c>
      <c r="D55" s="9" t="s">
        <v>209</v>
      </c>
      <c r="E55" s="12">
        <v>45195</v>
      </c>
      <c r="F55" s="20" t="s">
        <v>130</v>
      </c>
    </row>
    <row r="56" spans="1:6" x14ac:dyDescent="0.25">
      <c r="A56" s="15">
        <f t="shared" si="0"/>
        <v>50</v>
      </c>
      <c r="B56" s="22" t="s">
        <v>195</v>
      </c>
      <c r="C56" s="13" t="s">
        <v>23</v>
      </c>
      <c r="D56" s="9" t="s">
        <v>205</v>
      </c>
      <c r="E56" s="12">
        <v>45195</v>
      </c>
      <c r="F56" s="20" t="s">
        <v>130</v>
      </c>
    </row>
    <row r="57" spans="1:6" x14ac:dyDescent="0.25">
      <c r="A57" s="15">
        <f t="shared" si="0"/>
        <v>51</v>
      </c>
      <c r="B57" s="22"/>
      <c r="C57" s="13"/>
      <c r="D57" s="9"/>
      <c r="E57" s="12"/>
      <c r="F57" s="20"/>
    </row>
    <row r="58" spans="1:6" x14ac:dyDescent="0.25">
      <c r="A58" s="15">
        <f t="shared" si="0"/>
        <v>52</v>
      </c>
      <c r="B58" s="22"/>
      <c r="C58" s="13"/>
      <c r="D58" s="9"/>
      <c r="E58" s="12"/>
      <c r="F58" s="20"/>
    </row>
    <row r="59" spans="1:6" x14ac:dyDescent="0.25">
      <c r="A59" s="15">
        <f t="shared" si="0"/>
        <v>53</v>
      </c>
      <c r="B59" s="22"/>
      <c r="C59" s="13"/>
      <c r="D59" s="9"/>
      <c r="E59" s="12"/>
      <c r="F59" s="20"/>
    </row>
    <row r="60" spans="1:6" x14ac:dyDescent="0.25">
      <c r="A60" s="15">
        <f t="shared" si="0"/>
        <v>54</v>
      </c>
      <c r="B60" s="22"/>
      <c r="C60" s="13"/>
      <c r="D60" s="9"/>
      <c r="E60" s="12"/>
      <c r="F60" s="20"/>
    </row>
    <row r="61" spans="1:6" x14ac:dyDescent="0.25">
      <c r="A61" s="15">
        <f t="shared" si="0"/>
        <v>55</v>
      </c>
      <c r="B61" s="22"/>
      <c r="C61" s="13"/>
      <c r="D61" s="9"/>
      <c r="E61" s="12"/>
      <c r="F61" s="20"/>
    </row>
    <row r="62" spans="1:6" x14ac:dyDescent="0.25">
      <c r="A62" s="15">
        <f t="shared" si="0"/>
        <v>56</v>
      </c>
      <c r="B62" s="22"/>
      <c r="C62" s="13"/>
      <c r="D62" s="9"/>
      <c r="E62" s="12"/>
      <c r="F62" s="20"/>
    </row>
    <row r="63" spans="1:6" x14ac:dyDescent="0.25">
      <c r="A63" s="15">
        <f t="shared" si="0"/>
        <v>57</v>
      </c>
      <c r="B63" s="22"/>
      <c r="C63" s="13"/>
      <c r="D63" s="9"/>
      <c r="E63" s="12"/>
      <c r="F63" s="20"/>
    </row>
    <row r="64" spans="1:6" x14ac:dyDescent="0.25">
      <c r="A64" s="15">
        <f t="shared" si="0"/>
        <v>58</v>
      </c>
      <c r="B64" s="22"/>
      <c r="C64" s="13"/>
      <c r="D64" s="9"/>
      <c r="E64" s="12"/>
      <c r="F64" s="20"/>
    </row>
    <row r="65" spans="1:6" x14ac:dyDescent="0.25">
      <c r="A65" s="15">
        <f t="shared" si="0"/>
        <v>59</v>
      </c>
      <c r="B65" s="22"/>
      <c r="C65" s="13"/>
      <c r="D65" s="9"/>
      <c r="E65" s="12"/>
      <c r="F65" s="20"/>
    </row>
    <row r="66" spans="1:6" x14ac:dyDescent="0.25">
      <c r="A66" s="15">
        <f t="shared" si="0"/>
        <v>60</v>
      </c>
      <c r="B66" s="22"/>
      <c r="C66" s="13"/>
      <c r="D66" s="9"/>
      <c r="E66" s="12"/>
      <c r="F66" s="20"/>
    </row>
    <row r="67" spans="1:6" x14ac:dyDescent="0.25">
      <c r="A67" s="15">
        <f t="shared" si="0"/>
        <v>61</v>
      </c>
      <c r="B67" s="22"/>
      <c r="C67" s="13"/>
      <c r="D67" s="9"/>
      <c r="E67" s="12"/>
      <c r="F67" s="20"/>
    </row>
    <row r="68" spans="1:6" x14ac:dyDescent="0.25">
      <c r="A68" s="15">
        <f t="shared" si="0"/>
        <v>62</v>
      </c>
      <c r="B68" s="22"/>
      <c r="C68" s="13"/>
      <c r="D68" s="9"/>
      <c r="E68" s="12"/>
      <c r="F68" s="20"/>
    </row>
    <row r="69" spans="1:6" x14ac:dyDescent="0.25">
      <c r="A69" s="15">
        <f t="shared" si="0"/>
        <v>63</v>
      </c>
      <c r="B69" s="22"/>
      <c r="C69" s="13"/>
      <c r="D69" s="9"/>
      <c r="E69" s="12"/>
      <c r="F69" s="20"/>
    </row>
    <row r="70" spans="1:6" x14ac:dyDescent="0.25">
      <c r="A70" s="15">
        <f t="shared" si="0"/>
        <v>64</v>
      </c>
      <c r="B70" s="22"/>
      <c r="C70" s="13"/>
      <c r="D70" s="9"/>
      <c r="E70" s="12"/>
      <c r="F70" s="20"/>
    </row>
  </sheetData>
  <sortState ref="B7:F56">
    <sortCondition ref="E7:E56"/>
    <sortCondition ref="D7:D5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K70"/>
  <sheetViews>
    <sheetView workbookViewId="0">
      <selection activeCell="K3" sqref="K3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SUMIF(F7:F306,"Elimination*",G7:G306)</f>
        <v>60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212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60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 t="s">
        <v>223</v>
      </c>
      <c r="C7" s="13" t="s">
        <v>23</v>
      </c>
      <c r="D7" s="22" t="s">
        <v>213</v>
      </c>
      <c r="E7" s="12">
        <v>45201</v>
      </c>
      <c r="F7" s="23" t="s">
        <v>130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0" si="0">+A7+1</f>
        <v>2</v>
      </c>
      <c r="B8" s="22" t="s">
        <v>224</v>
      </c>
      <c r="C8" s="13" t="s">
        <v>23</v>
      </c>
      <c r="D8" s="22" t="s">
        <v>214</v>
      </c>
      <c r="E8" s="12">
        <v>45201</v>
      </c>
      <c r="F8" s="23" t="s">
        <v>130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225</v>
      </c>
      <c r="C9" s="13" t="s">
        <v>23</v>
      </c>
      <c r="D9" s="22" t="s">
        <v>215</v>
      </c>
      <c r="E9" s="12">
        <v>45201</v>
      </c>
      <c r="F9" s="23" t="s">
        <v>130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228</v>
      </c>
      <c r="C10" s="13" t="s">
        <v>23</v>
      </c>
      <c r="D10" s="22" t="s">
        <v>216</v>
      </c>
      <c r="E10" s="12">
        <v>45201</v>
      </c>
      <c r="F10" s="23" t="s">
        <v>130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229</v>
      </c>
      <c r="C11" s="13" t="s">
        <v>23</v>
      </c>
      <c r="D11" s="22" t="s">
        <v>217</v>
      </c>
      <c r="E11" s="12">
        <v>45201</v>
      </c>
      <c r="F11" s="23" t="s">
        <v>130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230</v>
      </c>
      <c r="C12" s="13" t="s">
        <v>23</v>
      </c>
      <c r="D12" s="22" t="s">
        <v>218</v>
      </c>
      <c r="E12" s="12">
        <v>45201</v>
      </c>
      <c r="F12" s="23" t="s">
        <v>130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231</v>
      </c>
      <c r="C13" s="13" t="s">
        <v>23</v>
      </c>
      <c r="D13" s="22" t="s">
        <v>219</v>
      </c>
      <c r="E13" s="12">
        <v>45201</v>
      </c>
      <c r="F13" s="23" t="s">
        <v>130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226</v>
      </c>
      <c r="C14" s="13" t="s">
        <v>23</v>
      </c>
      <c r="D14" s="22" t="s">
        <v>220</v>
      </c>
      <c r="E14" s="12">
        <v>45201</v>
      </c>
      <c r="F14" s="23" t="s">
        <v>130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227</v>
      </c>
      <c r="C15" s="13" t="s">
        <v>23</v>
      </c>
      <c r="D15" s="22" t="s">
        <v>221</v>
      </c>
      <c r="E15" s="12">
        <v>45201</v>
      </c>
      <c r="F15" s="23" t="s">
        <v>130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232</v>
      </c>
      <c r="C16" s="13" t="s">
        <v>23</v>
      </c>
      <c r="D16" s="22" t="s">
        <v>222</v>
      </c>
      <c r="E16" s="12">
        <v>45201</v>
      </c>
      <c r="F16" s="23" t="s">
        <v>130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236</v>
      </c>
      <c r="C17" s="13" t="s">
        <v>23</v>
      </c>
      <c r="D17" s="22" t="s">
        <v>246</v>
      </c>
      <c r="E17" s="12">
        <v>45201</v>
      </c>
      <c r="F17" s="23" t="s">
        <v>130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239</v>
      </c>
      <c r="C18" s="13" t="s">
        <v>23</v>
      </c>
      <c r="D18" s="22" t="s">
        <v>249</v>
      </c>
      <c r="E18" s="12">
        <v>45201</v>
      </c>
      <c r="F18" s="23" t="s">
        <v>130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240</v>
      </c>
      <c r="C19" s="13" t="s">
        <v>23</v>
      </c>
      <c r="D19" s="22" t="s">
        <v>250</v>
      </c>
      <c r="E19" s="12">
        <v>45201</v>
      </c>
      <c r="F19" s="23" t="s">
        <v>130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241</v>
      </c>
      <c r="C20" s="13" t="s">
        <v>23</v>
      </c>
      <c r="D20" s="22" t="s">
        <v>251</v>
      </c>
      <c r="E20" s="12">
        <v>45201</v>
      </c>
      <c r="F20" s="23" t="s">
        <v>130</v>
      </c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 t="s">
        <v>242</v>
      </c>
      <c r="C21" s="13" t="s">
        <v>23</v>
      </c>
      <c r="D21" s="22" t="s">
        <v>252</v>
      </c>
      <c r="E21" s="12">
        <v>45201</v>
      </c>
      <c r="F21" s="23" t="s">
        <v>130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233</v>
      </c>
      <c r="C22" s="13" t="s">
        <v>23</v>
      </c>
      <c r="D22" s="22" t="s">
        <v>243</v>
      </c>
      <c r="E22" s="12">
        <v>45201</v>
      </c>
      <c r="F22" s="23" t="s">
        <v>130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234</v>
      </c>
      <c r="C23" s="13" t="s">
        <v>23</v>
      </c>
      <c r="D23" s="22" t="s">
        <v>244</v>
      </c>
      <c r="E23" s="12">
        <v>45201</v>
      </c>
      <c r="F23" s="23" t="s">
        <v>130</v>
      </c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 t="s">
        <v>235</v>
      </c>
      <c r="C24" s="13" t="s">
        <v>23</v>
      </c>
      <c r="D24" s="22" t="s">
        <v>245</v>
      </c>
      <c r="E24" s="12">
        <v>45201</v>
      </c>
      <c r="F24" s="23" t="s">
        <v>130</v>
      </c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 t="s">
        <v>237</v>
      </c>
      <c r="C25" s="13" t="s">
        <v>23</v>
      </c>
      <c r="D25" s="22" t="s">
        <v>247</v>
      </c>
      <c r="E25" s="12">
        <v>45201</v>
      </c>
      <c r="F25" s="23" t="s">
        <v>130</v>
      </c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 t="s">
        <v>238</v>
      </c>
      <c r="C26" s="13" t="s">
        <v>23</v>
      </c>
      <c r="D26" s="22" t="s">
        <v>248</v>
      </c>
      <c r="E26" s="12">
        <v>45201</v>
      </c>
      <c r="F26" s="23" t="s">
        <v>130</v>
      </c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 t="s">
        <v>262</v>
      </c>
      <c r="C27" s="13" t="s">
        <v>23</v>
      </c>
      <c r="D27" s="9" t="s">
        <v>272</v>
      </c>
      <c r="E27" s="12">
        <v>45202</v>
      </c>
      <c r="F27" s="23" t="s">
        <v>130</v>
      </c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 t="s">
        <v>261</v>
      </c>
      <c r="C28" s="13" t="s">
        <v>23</v>
      </c>
      <c r="D28" s="9" t="s">
        <v>271</v>
      </c>
      <c r="E28" s="12">
        <v>45202</v>
      </c>
      <c r="F28" s="23" t="s">
        <v>130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260</v>
      </c>
      <c r="C29" s="13" t="s">
        <v>23</v>
      </c>
      <c r="D29" s="9" t="s">
        <v>270</v>
      </c>
      <c r="E29" s="12">
        <v>45202</v>
      </c>
      <c r="F29" s="23" t="s">
        <v>130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259</v>
      </c>
      <c r="C30" s="13" t="s">
        <v>23</v>
      </c>
      <c r="D30" s="9" t="s">
        <v>269</v>
      </c>
      <c r="E30" s="12">
        <v>45202</v>
      </c>
      <c r="F30" s="23" t="s">
        <v>130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257</v>
      </c>
      <c r="C31" s="13" t="s">
        <v>23</v>
      </c>
      <c r="D31" s="9" t="s">
        <v>267</v>
      </c>
      <c r="E31" s="12">
        <v>45202</v>
      </c>
      <c r="F31" s="23" t="s">
        <v>130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256</v>
      </c>
      <c r="C32" s="13" t="s">
        <v>23</v>
      </c>
      <c r="D32" s="9" t="s">
        <v>266</v>
      </c>
      <c r="E32" s="12">
        <v>45202</v>
      </c>
      <c r="F32" s="23" t="s">
        <v>130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255</v>
      </c>
      <c r="C33" s="13" t="s">
        <v>23</v>
      </c>
      <c r="D33" s="9" t="s">
        <v>264</v>
      </c>
      <c r="E33" s="12">
        <v>45202</v>
      </c>
      <c r="F33" s="23" t="s">
        <v>130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253</v>
      </c>
      <c r="C34" s="13" t="s">
        <v>23</v>
      </c>
      <c r="D34" s="9" t="s">
        <v>263</v>
      </c>
      <c r="E34" s="12">
        <v>45202</v>
      </c>
      <c r="F34" s="23" t="s">
        <v>130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254</v>
      </c>
      <c r="C35" s="13" t="s">
        <v>23</v>
      </c>
      <c r="D35" s="9" t="s">
        <v>265</v>
      </c>
      <c r="E35" s="12">
        <v>45202</v>
      </c>
      <c r="F35" s="23" t="s">
        <v>130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258</v>
      </c>
      <c r="C36" s="13" t="s">
        <v>23</v>
      </c>
      <c r="D36" s="9" t="s">
        <v>268</v>
      </c>
      <c r="E36" s="12">
        <v>45202</v>
      </c>
      <c r="F36" s="23" t="s">
        <v>130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287</v>
      </c>
      <c r="C37" s="13" t="s">
        <v>23</v>
      </c>
      <c r="D37" s="9" t="s">
        <v>318</v>
      </c>
      <c r="E37" s="12">
        <v>45209</v>
      </c>
      <c r="F37" s="20" t="s">
        <v>130</v>
      </c>
      <c r="G37" s="16">
        <v>1</v>
      </c>
    </row>
    <row r="38" spans="1:10" x14ac:dyDescent="0.25">
      <c r="A38" s="15">
        <f t="shared" si="0"/>
        <v>32</v>
      </c>
      <c r="B38" s="22" t="s">
        <v>286</v>
      </c>
      <c r="C38" s="13" t="s">
        <v>23</v>
      </c>
      <c r="D38" s="9" t="s">
        <v>317</v>
      </c>
      <c r="E38" s="12">
        <v>45209</v>
      </c>
      <c r="F38" s="20" t="s">
        <v>130</v>
      </c>
      <c r="G38" s="16">
        <v>1</v>
      </c>
    </row>
    <row r="39" spans="1:10" x14ac:dyDescent="0.25">
      <c r="A39" s="15">
        <f t="shared" si="0"/>
        <v>33</v>
      </c>
      <c r="B39" s="22" t="s">
        <v>285</v>
      </c>
      <c r="C39" s="13" t="s">
        <v>23</v>
      </c>
      <c r="D39" s="9" t="s">
        <v>316</v>
      </c>
      <c r="E39" s="12">
        <v>45209</v>
      </c>
      <c r="F39" s="20" t="s">
        <v>130</v>
      </c>
      <c r="G39" s="16">
        <v>1</v>
      </c>
    </row>
    <row r="40" spans="1:10" x14ac:dyDescent="0.25">
      <c r="A40" s="15">
        <f t="shared" si="0"/>
        <v>34</v>
      </c>
      <c r="B40" s="22" t="s">
        <v>284</v>
      </c>
      <c r="C40" s="13" t="s">
        <v>23</v>
      </c>
      <c r="D40" s="9" t="s">
        <v>315</v>
      </c>
      <c r="E40" s="12">
        <v>45209</v>
      </c>
      <c r="F40" s="20" t="s">
        <v>130</v>
      </c>
      <c r="G40" s="16">
        <v>1</v>
      </c>
    </row>
    <row r="41" spans="1:10" x14ac:dyDescent="0.25">
      <c r="A41" s="15">
        <f t="shared" si="0"/>
        <v>35</v>
      </c>
      <c r="B41" s="22" t="s">
        <v>283</v>
      </c>
      <c r="C41" s="13" t="s">
        <v>23</v>
      </c>
      <c r="D41" s="9" t="s">
        <v>314</v>
      </c>
      <c r="E41" s="12">
        <v>45209</v>
      </c>
      <c r="F41" s="20" t="s">
        <v>130</v>
      </c>
      <c r="G41" s="16">
        <v>1</v>
      </c>
    </row>
    <row r="42" spans="1:10" x14ac:dyDescent="0.25">
      <c r="A42" s="15">
        <f t="shared" si="0"/>
        <v>36</v>
      </c>
      <c r="B42" s="22" t="s">
        <v>292</v>
      </c>
      <c r="C42" s="13" t="s">
        <v>23</v>
      </c>
      <c r="D42" s="9" t="s">
        <v>323</v>
      </c>
      <c r="E42" s="12">
        <v>45209</v>
      </c>
      <c r="F42" s="20" t="s">
        <v>130</v>
      </c>
      <c r="G42" s="16">
        <v>1</v>
      </c>
    </row>
    <row r="43" spans="1:10" x14ac:dyDescent="0.25">
      <c r="A43" s="15">
        <f t="shared" si="0"/>
        <v>37</v>
      </c>
      <c r="B43" s="22" t="s">
        <v>291</v>
      </c>
      <c r="C43" s="13" t="s">
        <v>23</v>
      </c>
      <c r="D43" s="9" t="s">
        <v>322</v>
      </c>
      <c r="E43" s="12">
        <v>45209</v>
      </c>
      <c r="F43" s="20" t="s">
        <v>130</v>
      </c>
      <c r="G43" s="16">
        <v>1</v>
      </c>
    </row>
    <row r="44" spans="1:10" x14ac:dyDescent="0.25">
      <c r="A44" s="15">
        <f t="shared" si="0"/>
        <v>38</v>
      </c>
      <c r="B44" s="22" t="s">
        <v>290</v>
      </c>
      <c r="C44" s="13" t="s">
        <v>23</v>
      </c>
      <c r="D44" s="9" t="s">
        <v>321</v>
      </c>
      <c r="E44" s="12">
        <v>45209</v>
      </c>
      <c r="F44" s="20" t="s">
        <v>130</v>
      </c>
      <c r="G44" s="16">
        <v>1</v>
      </c>
    </row>
    <row r="45" spans="1:10" x14ac:dyDescent="0.25">
      <c r="A45" s="15">
        <f t="shared" si="0"/>
        <v>39</v>
      </c>
      <c r="B45" s="22" t="s">
        <v>289</v>
      </c>
      <c r="C45" s="13" t="s">
        <v>23</v>
      </c>
      <c r="D45" s="9" t="s">
        <v>320</v>
      </c>
      <c r="E45" s="12">
        <v>45209</v>
      </c>
      <c r="F45" s="20" t="s">
        <v>130</v>
      </c>
      <c r="G45" s="16">
        <v>1</v>
      </c>
    </row>
    <row r="46" spans="1:10" x14ac:dyDescent="0.25">
      <c r="A46" s="15">
        <f t="shared" si="0"/>
        <v>40</v>
      </c>
      <c r="B46" s="22" t="s">
        <v>288</v>
      </c>
      <c r="C46" s="13" t="s">
        <v>23</v>
      </c>
      <c r="D46" s="9" t="s">
        <v>319</v>
      </c>
      <c r="E46" s="12">
        <v>45209</v>
      </c>
      <c r="F46" s="20" t="s">
        <v>130</v>
      </c>
      <c r="G46" s="16">
        <v>1</v>
      </c>
    </row>
    <row r="47" spans="1:10" x14ac:dyDescent="0.25">
      <c r="A47" s="15">
        <f t="shared" si="0"/>
        <v>41</v>
      </c>
      <c r="B47" s="22" t="s">
        <v>277</v>
      </c>
      <c r="C47" s="13" t="s">
        <v>23</v>
      </c>
      <c r="D47" s="9" t="s">
        <v>308</v>
      </c>
      <c r="E47" s="12">
        <v>45209</v>
      </c>
      <c r="F47" s="20" t="s">
        <v>130</v>
      </c>
      <c r="G47" s="16">
        <v>1</v>
      </c>
    </row>
    <row r="48" spans="1:10" x14ac:dyDescent="0.25">
      <c r="A48" s="15">
        <f t="shared" si="0"/>
        <v>42</v>
      </c>
      <c r="B48" s="22" t="s">
        <v>275</v>
      </c>
      <c r="C48" s="13" t="s">
        <v>23</v>
      </c>
      <c r="D48" s="9" t="s">
        <v>306</v>
      </c>
      <c r="E48" s="12">
        <v>45209</v>
      </c>
      <c r="F48" s="20" t="s">
        <v>130</v>
      </c>
      <c r="G48" s="16">
        <v>1</v>
      </c>
    </row>
    <row r="49" spans="1:7" x14ac:dyDescent="0.25">
      <c r="A49" s="15">
        <f t="shared" si="0"/>
        <v>43</v>
      </c>
      <c r="B49" s="22" t="s">
        <v>274</v>
      </c>
      <c r="C49" s="13" t="s">
        <v>23</v>
      </c>
      <c r="D49" s="9" t="s">
        <v>305</v>
      </c>
      <c r="E49" s="12">
        <v>45209</v>
      </c>
      <c r="F49" s="20" t="s">
        <v>130</v>
      </c>
      <c r="G49" s="16">
        <v>1</v>
      </c>
    </row>
    <row r="50" spans="1:7" x14ac:dyDescent="0.25">
      <c r="A50" s="15">
        <f t="shared" si="0"/>
        <v>44</v>
      </c>
      <c r="B50" s="22" t="s">
        <v>273</v>
      </c>
      <c r="C50" s="13" t="s">
        <v>23</v>
      </c>
      <c r="D50" s="9" t="s">
        <v>304</v>
      </c>
      <c r="E50" s="12">
        <v>45209</v>
      </c>
      <c r="F50" s="20" t="s">
        <v>130</v>
      </c>
      <c r="G50" s="16">
        <v>1</v>
      </c>
    </row>
    <row r="51" spans="1:7" x14ac:dyDescent="0.25">
      <c r="A51" s="15">
        <f t="shared" si="0"/>
        <v>45</v>
      </c>
      <c r="B51" s="22" t="s">
        <v>276</v>
      </c>
      <c r="C51" s="13" t="s">
        <v>23</v>
      </c>
      <c r="D51" s="9" t="s">
        <v>307</v>
      </c>
      <c r="E51" s="12">
        <v>45209</v>
      </c>
      <c r="F51" s="20" t="s">
        <v>130</v>
      </c>
      <c r="G51" s="16">
        <v>1</v>
      </c>
    </row>
    <row r="52" spans="1:7" x14ac:dyDescent="0.25">
      <c r="A52" s="15">
        <f t="shared" si="0"/>
        <v>46</v>
      </c>
      <c r="B52" s="22" t="s">
        <v>281</v>
      </c>
      <c r="C52" s="13" t="s">
        <v>23</v>
      </c>
      <c r="D52" s="9" t="s">
        <v>312</v>
      </c>
      <c r="E52" s="12">
        <v>45209</v>
      </c>
      <c r="F52" s="20" t="s">
        <v>130</v>
      </c>
      <c r="G52" s="16">
        <v>1</v>
      </c>
    </row>
    <row r="53" spans="1:7" x14ac:dyDescent="0.25">
      <c r="A53" s="15">
        <f t="shared" si="0"/>
        <v>47</v>
      </c>
      <c r="B53" s="22" t="s">
        <v>280</v>
      </c>
      <c r="C53" s="13" t="s">
        <v>23</v>
      </c>
      <c r="D53" s="9" t="s">
        <v>311</v>
      </c>
      <c r="E53" s="12">
        <v>45209</v>
      </c>
      <c r="F53" s="20" t="s">
        <v>130</v>
      </c>
      <c r="G53" s="16">
        <v>1</v>
      </c>
    </row>
    <row r="54" spans="1:7" x14ac:dyDescent="0.25">
      <c r="A54" s="15">
        <f t="shared" si="0"/>
        <v>48</v>
      </c>
      <c r="B54" s="22" t="s">
        <v>282</v>
      </c>
      <c r="C54" s="13" t="s">
        <v>23</v>
      </c>
      <c r="D54" s="9" t="s">
        <v>313</v>
      </c>
      <c r="E54" s="12">
        <v>45209</v>
      </c>
      <c r="F54" s="20" t="s">
        <v>130</v>
      </c>
      <c r="G54" s="16">
        <v>1</v>
      </c>
    </row>
    <row r="55" spans="1:7" x14ac:dyDescent="0.25">
      <c r="A55" s="15">
        <f t="shared" si="0"/>
        <v>49</v>
      </c>
      <c r="B55" s="22" t="s">
        <v>279</v>
      </c>
      <c r="C55" s="13" t="s">
        <v>23</v>
      </c>
      <c r="D55" s="9" t="s">
        <v>310</v>
      </c>
      <c r="E55" s="12">
        <v>45209</v>
      </c>
      <c r="F55" s="20" t="s">
        <v>130</v>
      </c>
      <c r="G55" s="16">
        <v>1</v>
      </c>
    </row>
    <row r="56" spans="1:7" x14ac:dyDescent="0.25">
      <c r="A56" s="15">
        <f t="shared" si="0"/>
        <v>50</v>
      </c>
      <c r="B56" s="22" t="s">
        <v>278</v>
      </c>
      <c r="C56" s="13" t="s">
        <v>23</v>
      </c>
      <c r="D56" s="9" t="s">
        <v>309</v>
      </c>
      <c r="E56" s="12">
        <v>45209</v>
      </c>
      <c r="F56" s="20" t="s">
        <v>130</v>
      </c>
      <c r="G56" s="16">
        <v>1</v>
      </c>
    </row>
    <row r="57" spans="1:7" x14ac:dyDescent="0.25">
      <c r="A57" s="15">
        <f t="shared" si="0"/>
        <v>51</v>
      </c>
      <c r="B57" s="22" t="s">
        <v>294</v>
      </c>
      <c r="C57" s="13" t="s">
        <v>23</v>
      </c>
      <c r="D57" s="9" t="s">
        <v>325</v>
      </c>
      <c r="E57" s="12">
        <v>45209</v>
      </c>
      <c r="F57" s="20" t="s">
        <v>130</v>
      </c>
      <c r="G57" s="16">
        <v>1</v>
      </c>
    </row>
    <row r="58" spans="1:7" x14ac:dyDescent="0.25">
      <c r="A58" s="15">
        <f t="shared" si="0"/>
        <v>52</v>
      </c>
      <c r="B58" s="22" t="s">
        <v>298</v>
      </c>
      <c r="C58" s="13" t="s">
        <v>23</v>
      </c>
      <c r="D58" s="9" t="s">
        <v>329</v>
      </c>
      <c r="E58" s="12">
        <v>45209</v>
      </c>
      <c r="F58" s="20" t="s">
        <v>130</v>
      </c>
      <c r="G58" s="16">
        <v>1</v>
      </c>
    </row>
    <row r="59" spans="1:7" x14ac:dyDescent="0.25">
      <c r="A59" s="15">
        <f t="shared" si="0"/>
        <v>53</v>
      </c>
      <c r="B59" s="22" t="s">
        <v>293</v>
      </c>
      <c r="C59" s="13" t="s">
        <v>23</v>
      </c>
      <c r="D59" s="9" t="s">
        <v>324</v>
      </c>
      <c r="E59" s="12">
        <v>45209</v>
      </c>
      <c r="F59" s="20" t="s">
        <v>130</v>
      </c>
      <c r="G59" s="16">
        <v>1</v>
      </c>
    </row>
    <row r="60" spans="1:7" x14ac:dyDescent="0.25">
      <c r="A60" s="15">
        <f t="shared" si="0"/>
        <v>54</v>
      </c>
      <c r="B60" s="22" t="s">
        <v>300</v>
      </c>
      <c r="C60" s="13" t="s">
        <v>23</v>
      </c>
      <c r="D60" s="9" t="s">
        <v>331</v>
      </c>
      <c r="E60" s="12">
        <v>45209</v>
      </c>
      <c r="F60" s="20" t="s">
        <v>130</v>
      </c>
      <c r="G60" s="16">
        <v>1</v>
      </c>
    </row>
    <row r="61" spans="1:7" x14ac:dyDescent="0.25">
      <c r="A61" s="15">
        <f t="shared" si="0"/>
        <v>55</v>
      </c>
      <c r="B61" s="22" t="s">
        <v>295</v>
      </c>
      <c r="C61" s="13" t="s">
        <v>23</v>
      </c>
      <c r="D61" s="9" t="s">
        <v>326</v>
      </c>
      <c r="E61" s="12">
        <v>45209</v>
      </c>
      <c r="F61" s="20" t="s">
        <v>130</v>
      </c>
      <c r="G61" s="16">
        <v>1</v>
      </c>
    </row>
    <row r="62" spans="1:7" x14ac:dyDescent="0.25">
      <c r="A62" s="15">
        <f t="shared" si="0"/>
        <v>56</v>
      </c>
      <c r="B62" s="22" t="s">
        <v>299</v>
      </c>
      <c r="C62" s="13" t="s">
        <v>23</v>
      </c>
      <c r="D62" s="9" t="s">
        <v>330</v>
      </c>
      <c r="E62" s="12">
        <v>45209</v>
      </c>
      <c r="F62" s="20" t="s">
        <v>130</v>
      </c>
      <c r="G62" s="16">
        <v>1</v>
      </c>
    </row>
    <row r="63" spans="1:7" x14ac:dyDescent="0.25">
      <c r="A63" s="15">
        <f t="shared" si="0"/>
        <v>57</v>
      </c>
      <c r="B63" s="22" t="s">
        <v>296</v>
      </c>
      <c r="C63" s="13" t="s">
        <v>23</v>
      </c>
      <c r="D63" s="9" t="s">
        <v>327</v>
      </c>
      <c r="E63" s="12">
        <v>45209</v>
      </c>
      <c r="F63" s="20" t="s">
        <v>130</v>
      </c>
      <c r="G63" s="16">
        <v>1</v>
      </c>
    </row>
    <row r="64" spans="1:7" x14ac:dyDescent="0.25">
      <c r="A64" s="15">
        <f t="shared" si="0"/>
        <v>58</v>
      </c>
      <c r="B64" s="22" t="s">
        <v>302</v>
      </c>
      <c r="C64" s="13" t="s">
        <v>23</v>
      </c>
      <c r="D64" s="9" t="s">
        <v>303</v>
      </c>
      <c r="E64" s="12">
        <v>45209</v>
      </c>
      <c r="F64" s="20" t="s">
        <v>130</v>
      </c>
      <c r="G64" s="16">
        <v>1</v>
      </c>
    </row>
    <row r="65" spans="1:7" x14ac:dyDescent="0.25">
      <c r="A65" s="15">
        <f t="shared" si="0"/>
        <v>59</v>
      </c>
      <c r="B65" s="22" t="s">
        <v>297</v>
      </c>
      <c r="C65" s="13" t="s">
        <v>23</v>
      </c>
      <c r="D65" s="9" t="s">
        <v>328</v>
      </c>
      <c r="E65" s="12">
        <v>45209</v>
      </c>
      <c r="F65" s="20" t="s">
        <v>130</v>
      </c>
      <c r="G65" s="16">
        <v>1</v>
      </c>
    </row>
    <row r="66" spans="1:7" x14ac:dyDescent="0.25">
      <c r="A66" s="15">
        <f t="shared" si="0"/>
        <v>60</v>
      </c>
      <c r="B66" s="22" t="s">
        <v>301</v>
      </c>
      <c r="C66" s="13" t="s">
        <v>23</v>
      </c>
      <c r="D66" s="9" t="s">
        <v>332</v>
      </c>
      <c r="E66" s="12">
        <v>45209</v>
      </c>
      <c r="F66" s="20" t="s">
        <v>130</v>
      </c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</row>
    <row r="69" spans="1:7" x14ac:dyDescent="0.25">
      <c r="A69" s="15">
        <f t="shared" si="0"/>
        <v>63</v>
      </c>
      <c r="B69" s="22"/>
      <c r="C69" s="13"/>
      <c r="D69" s="9"/>
      <c r="E69" s="12"/>
      <c r="F69" s="20"/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</row>
  </sheetData>
  <sortState ref="B7:F66">
    <sortCondition ref="E7:E66"/>
    <sortCondition ref="D7:D6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opLeftCell="A29" workbookViewId="0">
      <selection activeCell="H30" sqref="H3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SUMIF(F7:F306,"Elimination*",G7:G306)</f>
        <v>40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0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333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40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 t="s">
        <v>335</v>
      </c>
      <c r="C7" s="13" t="s">
        <v>23</v>
      </c>
      <c r="D7" s="13">
        <v>2023214781</v>
      </c>
      <c r="E7" s="12">
        <v>45244</v>
      </c>
      <c r="F7" s="23" t="s">
        <v>130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0" si="0">+A7+1</f>
        <v>2</v>
      </c>
      <c r="B8" s="22" t="s">
        <v>336</v>
      </c>
      <c r="C8" s="13" t="s">
        <v>23</v>
      </c>
      <c r="D8" s="13">
        <v>2023214782</v>
      </c>
      <c r="E8" s="12">
        <v>45244</v>
      </c>
      <c r="F8" s="23" t="s">
        <v>130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337</v>
      </c>
      <c r="C9" s="13" t="s">
        <v>23</v>
      </c>
      <c r="D9" s="13">
        <v>2023214783</v>
      </c>
      <c r="E9" s="12">
        <v>45244</v>
      </c>
      <c r="F9" s="23" t="s">
        <v>130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338</v>
      </c>
      <c r="C10" s="13" t="s">
        <v>23</v>
      </c>
      <c r="D10" s="13">
        <v>2023214784</v>
      </c>
      <c r="E10" s="12">
        <v>45244</v>
      </c>
      <c r="F10" s="23" t="s">
        <v>130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339</v>
      </c>
      <c r="C11" s="13" t="s">
        <v>23</v>
      </c>
      <c r="D11" s="13">
        <v>2023214785</v>
      </c>
      <c r="E11" s="12">
        <v>45244</v>
      </c>
      <c r="F11" s="23" t="s">
        <v>130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340</v>
      </c>
      <c r="C12" s="13" t="s">
        <v>23</v>
      </c>
      <c r="D12" s="13">
        <v>2023214786</v>
      </c>
      <c r="E12" s="12">
        <v>45244</v>
      </c>
      <c r="F12" s="23" t="s">
        <v>130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341</v>
      </c>
      <c r="C13" s="13" t="s">
        <v>23</v>
      </c>
      <c r="D13" s="13">
        <v>2023214787</v>
      </c>
      <c r="E13" s="12">
        <v>45244</v>
      </c>
      <c r="F13" s="23" t="s">
        <v>130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342</v>
      </c>
      <c r="C14" s="13" t="s">
        <v>23</v>
      </c>
      <c r="D14" s="13">
        <v>2023214788</v>
      </c>
      <c r="E14" s="12">
        <v>45244</v>
      </c>
      <c r="F14" s="23" t="s">
        <v>130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334</v>
      </c>
      <c r="C15" s="13" t="s">
        <v>23</v>
      </c>
      <c r="D15" s="13">
        <v>2023214789</v>
      </c>
      <c r="E15" s="12">
        <v>45244</v>
      </c>
      <c r="F15" s="23" t="s">
        <v>130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343</v>
      </c>
      <c r="C16" s="13" t="s">
        <v>23</v>
      </c>
      <c r="D16" s="13">
        <v>2023214790</v>
      </c>
      <c r="E16" s="12">
        <v>45244</v>
      </c>
      <c r="F16" s="23" t="s">
        <v>130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378</v>
      </c>
      <c r="C17" s="13" t="s">
        <v>23</v>
      </c>
      <c r="D17" s="9" t="s">
        <v>358</v>
      </c>
      <c r="E17" s="12">
        <v>45245</v>
      </c>
      <c r="F17" s="23" t="s">
        <v>130</v>
      </c>
      <c r="G17" s="16">
        <v>1</v>
      </c>
      <c r="H17" s="27"/>
      <c r="I17" s="2"/>
      <c r="J17" s="2"/>
    </row>
    <row r="18" spans="1:10" ht="15" customHeight="1" x14ac:dyDescent="0.25">
      <c r="A18" s="15">
        <f t="shared" si="0"/>
        <v>12</v>
      </c>
      <c r="B18" s="22" t="s">
        <v>374</v>
      </c>
      <c r="C18" s="13" t="s">
        <v>23</v>
      </c>
      <c r="D18" s="9" t="s">
        <v>359</v>
      </c>
      <c r="E18" s="12">
        <v>45245</v>
      </c>
      <c r="F18" s="23" t="s">
        <v>130</v>
      </c>
      <c r="G18" s="16">
        <v>1</v>
      </c>
      <c r="H18" s="26"/>
      <c r="I18" s="2"/>
      <c r="J18" s="2"/>
    </row>
    <row r="19" spans="1:10" ht="15" customHeight="1" x14ac:dyDescent="0.25">
      <c r="A19" s="15">
        <f t="shared" si="0"/>
        <v>13</v>
      </c>
      <c r="B19" s="22" t="s">
        <v>375</v>
      </c>
      <c r="C19" s="13" t="s">
        <v>23</v>
      </c>
      <c r="D19" s="9" t="s">
        <v>360</v>
      </c>
      <c r="E19" s="12">
        <v>45245</v>
      </c>
      <c r="F19" s="23" t="s">
        <v>130</v>
      </c>
      <c r="G19" s="16">
        <v>1</v>
      </c>
      <c r="H19" s="27"/>
      <c r="I19" s="2"/>
      <c r="J19" s="2"/>
    </row>
    <row r="20" spans="1:10" ht="15" customHeight="1" x14ac:dyDescent="0.25">
      <c r="A20" s="15">
        <f t="shared" si="0"/>
        <v>14</v>
      </c>
      <c r="B20" s="22" t="s">
        <v>376</v>
      </c>
      <c r="C20" s="13" t="s">
        <v>23</v>
      </c>
      <c r="D20" s="9" t="s">
        <v>361</v>
      </c>
      <c r="E20" s="12">
        <v>45245</v>
      </c>
      <c r="F20" s="23" t="s">
        <v>130</v>
      </c>
      <c r="G20" s="16">
        <v>1</v>
      </c>
      <c r="H20" s="26"/>
      <c r="I20" s="2"/>
      <c r="J20" s="2"/>
    </row>
    <row r="21" spans="1:10" ht="15" customHeight="1" x14ac:dyDescent="0.25">
      <c r="A21" s="15">
        <f t="shared" si="0"/>
        <v>15</v>
      </c>
      <c r="B21" s="22" t="s">
        <v>377</v>
      </c>
      <c r="C21" s="13" t="s">
        <v>23</v>
      </c>
      <c r="D21" s="9" t="s">
        <v>362</v>
      </c>
      <c r="E21" s="12">
        <v>45245</v>
      </c>
      <c r="F21" s="23" t="s">
        <v>130</v>
      </c>
      <c r="G21" s="16">
        <v>1</v>
      </c>
      <c r="H21" s="26"/>
      <c r="I21" s="2"/>
      <c r="J21" s="2"/>
    </row>
    <row r="22" spans="1:10" ht="15" customHeight="1" x14ac:dyDescent="0.25">
      <c r="A22" s="15">
        <f t="shared" si="0"/>
        <v>16</v>
      </c>
      <c r="B22" s="22" t="s">
        <v>379</v>
      </c>
      <c r="C22" s="13" t="s">
        <v>23</v>
      </c>
      <c r="D22" s="9" t="s">
        <v>363</v>
      </c>
      <c r="E22" s="12">
        <v>45245</v>
      </c>
      <c r="F22" s="23" t="s">
        <v>130</v>
      </c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 t="s">
        <v>380</v>
      </c>
      <c r="C23" s="13" t="s">
        <v>23</v>
      </c>
      <c r="D23" s="9" t="s">
        <v>364</v>
      </c>
      <c r="E23" s="12">
        <v>45245</v>
      </c>
      <c r="F23" s="23" t="s">
        <v>130</v>
      </c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 t="s">
        <v>381</v>
      </c>
      <c r="C24" s="13" t="s">
        <v>23</v>
      </c>
      <c r="D24" s="9" t="s">
        <v>365</v>
      </c>
      <c r="E24" s="12">
        <v>45245</v>
      </c>
      <c r="F24" s="23" t="s">
        <v>130</v>
      </c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 t="s">
        <v>382</v>
      </c>
      <c r="C25" s="13" t="s">
        <v>23</v>
      </c>
      <c r="D25" s="9" t="s">
        <v>366</v>
      </c>
      <c r="E25" s="12">
        <v>45245</v>
      </c>
      <c r="F25" s="23" t="s">
        <v>130</v>
      </c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 t="s">
        <v>383</v>
      </c>
      <c r="C26" s="13" t="s">
        <v>23</v>
      </c>
      <c r="D26" s="9" t="s">
        <v>367</v>
      </c>
      <c r="E26" s="12">
        <v>45245</v>
      </c>
      <c r="F26" s="23" t="s">
        <v>130</v>
      </c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 t="s">
        <v>354</v>
      </c>
      <c r="C27" s="13" t="s">
        <v>23</v>
      </c>
      <c r="D27" s="22" t="s">
        <v>344</v>
      </c>
      <c r="E27" s="12">
        <v>45245</v>
      </c>
      <c r="F27" s="23" t="s">
        <v>130</v>
      </c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 t="s">
        <v>355</v>
      </c>
      <c r="C28" s="13" t="s">
        <v>23</v>
      </c>
      <c r="D28" s="22" t="s">
        <v>345</v>
      </c>
      <c r="E28" s="12">
        <v>45245</v>
      </c>
      <c r="F28" s="23" t="s">
        <v>130</v>
      </c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 t="s">
        <v>356</v>
      </c>
      <c r="C29" s="13" t="s">
        <v>23</v>
      </c>
      <c r="D29" s="22" t="s">
        <v>346</v>
      </c>
      <c r="E29" s="12">
        <v>45245</v>
      </c>
      <c r="F29" s="23" t="s">
        <v>130</v>
      </c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 t="s">
        <v>357</v>
      </c>
      <c r="C30" s="13" t="s">
        <v>23</v>
      </c>
      <c r="D30" s="22" t="s">
        <v>347</v>
      </c>
      <c r="E30" s="12">
        <v>45245</v>
      </c>
      <c r="F30" s="23" t="s">
        <v>130</v>
      </c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 t="s">
        <v>368</v>
      </c>
      <c r="C31" s="13" t="s">
        <v>23</v>
      </c>
      <c r="D31" s="22" t="s">
        <v>348</v>
      </c>
      <c r="E31" s="12">
        <v>45245</v>
      </c>
      <c r="F31" s="23" t="s">
        <v>130</v>
      </c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 t="s">
        <v>369</v>
      </c>
      <c r="C32" s="13" t="s">
        <v>23</v>
      </c>
      <c r="D32" s="22" t="s">
        <v>349</v>
      </c>
      <c r="E32" s="12">
        <v>45245</v>
      </c>
      <c r="F32" s="23" t="s">
        <v>130</v>
      </c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 t="s">
        <v>370</v>
      </c>
      <c r="C33" s="13" t="s">
        <v>23</v>
      </c>
      <c r="D33" s="22" t="s">
        <v>350</v>
      </c>
      <c r="E33" s="12">
        <v>45245</v>
      </c>
      <c r="F33" s="23" t="s">
        <v>130</v>
      </c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 t="s">
        <v>371</v>
      </c>
      <c r="C34" s="13" t="s">
        <v>23</v>
      </c>
      <c r="D34" s="22" t="s">
        <v>351</v>
      </c>
      <c r="E34" s="12">
        <v>45245</v>
      </c>
      <c r="F34" s="23" t="s">
        <v>130</v>
      </c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 t="s">
        <v>372</v>
      </c>
      <c r="C35" s="13" t="s">
        <v>23</v>
      </c>
      <c r="D35" s="22" t="s">
        <v>352</v>
      </c>
      <c r="E35" s="12">
        <v>45245</v>
      </c>
      <c r="F35" s="23" t="s">
        <v>130</v>
      </c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 t="s">
        <v>373</v>
      </c>
      <c r="C36" s="13" t="s">
        <v>23</v>
      </c>
      <c r="D36" s="22" t="s">
        <v>353</v>
      </c>
      <c r="E36" s="12">
        <v>45245</v>
      </c>
      <c r="F36" s="23" t="s">
        <v>130</v>
      </c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 t="s">
        <v>394</v>
      </c>
      <c r="C37" s="13" t="s">
        <v>23</v>
      </c>
      <c r="D37" s="9" t="s">
        <v>384</v>
      </c>
      <c r="E37" s="12">
        <v>45256</v>
      </c>
      <c r="F37" s="20" t="s">
        <v>130</v>
      </c>
      <c r="G37" s="16">
        <v>1</v>
      </c>
    </row>
    <row r="38" spans="1:10" x14ac:dyDescent="0.25">
      <c r="A38" s="15">
        <f t="shared" si="0"/>
        <v>32</v>
      </c>
      <c r="B38" s="22" t="s">
        <v>395</v>
      </c>
      <c r="C38" s="13" t="s">
        <v>23</v>
      </c>
      <c r="D38" s="9" t="s">
        <v>385</v>
      </c>
      <c r="E38" s="12">
        <v>45256</v>
      </c>
      <c r="F38" s="20" t="s">
        <v>130</v>
      </c>
      <c r="G38" s="16">
        <v>1</v>
      </c>
    </row>
    <row r="39" spans="1:10" x14ac:dyDescent="0.25">
      <c r="A39" s="15">
        <f t="shared" si="0"/>
        <v>33</v>
      </c>
      <c r="B39" s="22" t="s">
        <v>396</v>
      </c>
      <c r="C39" s="13" t="s">
        <v>23</v>
      </c>
      <c r="D39" s="9" t="s">
        <v>386</v>
      </c>
      <c r="E39" s="12">
        <v>45256</v>
      </c>
      <c r="F39" s="20" t="s">
        <v>130</v>
      </c>
      <c r="G39" s="16">
        <v>1</v>
      </c>
    </row>
    <row r="40" spans="1:10" x14ac:dyDescent="0.25">
      <c r="A40" s="15">
        <f t="shared" si="0"/>
        <v>34</v>
      </c>
      <c r="B40" s="22" t="s">
        <v>397</v>
      </c>
      <c r="C40" s="13" t="s">
        <v>23</v>
      </c>
      <c r="D40" s="9" t="s">
        <v>387</v>
      </c>
      <c r="E40" s="12">
        <v>45256</v>
      </c>
      <c r="F40" s="20" t="s">
        <v>130</v>
      </c>
      <c r="G40" s="16">
        <v>1</v>
      </c>
    </row>
    <row r="41" spans="1:10" x14ac:dyDescent="0.25">
      <c r="A41" s="15">
        <f t="shared" si="0"/>
        <v>35</v>
      </c>
      <c r="B41" s="22" t="s">
        <v>398</v>
      </c>
      <c r="C41" s="13" t="s">
        <v>23</v>
      </c>
      <c r="D41" s="9" t="s">
        <v>388</v>
      </c>
      <c r="E41" s="12">
        <v>45256</v>
      </c>
      <c r="F41" s="20" t="s">
        <v>130</v>
      </c>
      <c r="G41" s="16">
        <v>1</v>
      </c>
    </row>
    <row r="42" spans="1:10" x14ac:dyDescent="0.25">
      <c r="A42" s="15">
        <f t="shared" si="0"/>
        <v>36</v>
      </c>
      <c r="B42" s="22" t="s">
        <v>399</v>
      </c>
      <c r="C42" s="13" t="s">
        <v>23</v>
      </c>
      <c r="D42" s="9" t="s">
        <v>389</v>
      </c>
      <c r="E42" s="12">
        <v>45256</v>
      </c>
      <c r="F42" s="20" t="s">
        <v>130</v>
      </c>
      <c r="G42" s="16">
        <v>1</v>
      </c>
    </row>
    <row r="43" spans="1:10" x14ac:dyDescent="0.25">
      <c r="A43" s="15">
        <f t="shared" si="0"/>
        <v>37</v>
      </c>
      <c r="B43" s="22" t="s">
        <v>400</v>
      </c>
      <c r="C43" s="13" t="s">
        <v>23</v>
      </c>
      <c r="D43" s="9" t="s">
        <v>390</v>
      </c>
      <c r="E43" s="12">
        <v>45256</v>
      </c>
      <c r="F43" s="20" t="s">
        <v>130</v>
      </c>
      <c r="G43" s="16">
        <v>1</v>
      </c>
    </row>
    <row r="44" spans="1:10" x14ac:dyDescent="0.25">
      <c r="A44" s="15">
        <f t="shared" si="0"/>
        <v>38</v>
      </c>
      <c r="B44" s="22" t="s">
        <v>401</v>
      </c>
      <c r="C44" s="13" t="s">
        <v>23</v>
      </c>
      <c r="D44" s="9" t="s">
        <v>391</v>
      </c>
      <c r="E44" s="12">
        <v>45256</v>
      </c>
      <c r="F44" s="20" t="s">
        <v>130</v>
      </c>
      <c r="G44" s="16">
        <v>1</v>
      </c>
    </row>
    <row r="45" spans="1:10" x14ac:dyDescent="0.25">
      <c r="A45" s="15">
        <f t="shared" si="0"/>
        <v>39</v>
      </c>
      <c r="B45" s="22" t="s">
        <v>402</v>
      </c>
      <c r="C45" s="13" t="s">
        <v>23</v>
      </c>
      <c r="D45" s="9" t="s">
        <v>392</v>
      </c>
      <c r="E45" s="12">
        <v>45256</v>
      </c>
      <c r="F45" s="20" t="s">
        <v>130</v>
      </c>
      <c r="G45" s="16">
        <v>1</v>
      </c>
    </row>
    <row r="46" spans="1:10" x14ac:dyDescent="0.25">
      <c r="A46" s="15">
        <f t="shared" si="0"/>
        <v>40</v>
      </c>
      <c r="B46" s="22" t="s">
        <v>403</v>
      </c>
      <c r="C46" s="13" t="s">
        <v>23</v>
      </c>
      <c r="D46" s="9" t="s">
        <v>393</v>
      </c>
      <c r="E46" s="12">
        <v>45256</v>
      </c>
      <c r="F46" s="20" t="s">
        <v>130</v>
      </c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0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0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</row>
    <row r="69" spans="1:7" x14ac:dyDescent="0.25">
      <c r="A69" s="15">
        <f t="shared" si="0"/>
        <v>63</v>
      </c>
      <c r="B69" s="22"/>
      <c r="C69" s="13"/>
      <c r="D69" s="9"/>
      <c r="E69" s="12"/>
      <c r="F69" s="20"/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</row>
  </sheetData>
  <sortState ref="B7:F36">
    <sortCondition ref="E7:E36"/>
    <sortCondition ref="D7:D3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140625" hidden="1" customWidth="1"/>
    <col min="8" max="8" width="29.85546875" customWidth="1"/>
  </cols>
  <sheetData>
    <row r="1" spans="1:11" ht="18" x14ac:dyDescent="0.25">
      <c r="A1" s="28" t="s">
        <v>0</v>
      </c>
      <c r="B1" s="28"/>
      <c r="C1" s="28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2" t="s">
        <v>2</v>
      </c>
      <c r="B2" s="32"/>
      <c r="C2" s="32"/>
      <c r="D2" s="6"/>
      <c r="E2" s="33" t="s">
        <v>3</v>
      </c>
      <c r="F2" s="33"/>
      <c r="G2" s="4"/>
      <c r="H2" s="4"/>
      <c r="I2" s="29" t="s">
        <v>4</v>
      </c>
      <c r="J2" s="30"/>
      <c r="K2" s="17">
        <f>SUMIF(F7:F306,"Elimination*",G7:G306)</f>
        <v>10</v>
      </c>
    </row>
    <row r="3" spans="1:11" x14ac:dyDescent="0.25">
      <c r="A3" s="33" t="s">
        <v>5</v>
      </c>
      <c r="B3" s="33"/>
      <c r="C3" s="33"/>
      <c r="D3" s="5"/>
      <c r="E3" s="33" t="s">
        <v>17</v>
      </c>
      <c r="F3" s="33"/>
      <c r="G3" s="4"/>
      <c r="H3" s="4"/>
      <c r="I3" s="29" t="s">
        <v>6</v>
      </c>
      <c r="J3" s="30"/>
      <c r="K3" s="17">
        <f>SUMIF(F7:F36,"NB*",G7:G36)</f>
        <v>5</v>
      </c>
    </row>
    <row r="4" spans="1:11" ht="18" x14ac:dyDescent="0.25">
      <c r="A4" s="28" t="s">
        <v>7</v>
      </c>
      <c r="B4" s="28"/>
      <c r="C4" s="28"/>
      <c r="D4" s="28"/>
      <c r="E4" s="28"/>
      <c r="F4" s="28"/>
      <c r="G4" s="4"/>
      <c r="H4" s="4"/>
      <c r="I4" s="29" t="s">
        <v>8</v>
      </c>
      <c r="J4" s="30"/>
      <c r="K4" s="17">
        <f>SUMIF(F7:F36,"Ve*",G7:G36)</f>
        <v>0</v>
      </c>
    </row>
    <row r="5" spans="1:11" ht="15.75" x14ac:dyDescent="0.25">
      <c r="A5" s="31" t="s">
        <v>429</v>
      </c>
      <c r="B5" s="31"/>
      <c r="C5" s="31"/>
      <c r="D5" s="31"/>
      <c r="E5" s="31"/>
      <c r="F5" s="31"/>
      <c r="G5" s="18"/>
      <c r="H5" s="18"/>
      <c r="I5" s="29" t="s">
        <v>9</v>
      </c>
      <c r="J5" s="30"/>
      <c r="K5" s="19">
        <f>SUM(K2:K4)</f>
        <v>15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 t="s">
        <v>69</v>
      </c>
      <c r="I6" s="3"/>
      <c r="J6" s="3"/>
      <c r="K6" s="1"/>
    </row>
    <row r="7" spans="1:11" ht="15" customHeight="1" x14ac:dyDescent="0.25">
      <c r="A7" s="15">
        <v>1</v>
      </c>
      <c r="B7" s="22" t="s">
        <v>408</v>
      </c>
      <c r="C7" s="13" t="s">
        <v>23</v>
      </c>
      <c r="D7" s="13">
        <v>2023214431</v>
      </c>
      <c r="E7" s="12">
        <v>45264</v>
      </c>
      <c r="F7" s="23" t="s">
        <v>130</v>
      </c>
      <c r="G7" s="16">
        <v>1</v>
      </c>
      <c r="H7" s="27"/>
      <c r="I7" s="2"/>
      <c r="J7" s="2"/>
      <c r="K7" s="1"/>
    </row>
    <row r="8" spans="1:11" ht="15" customHeight="1" x14ac:dyDescent="0.25">
      <c r="A8" s="15">
        <f t="shared" ref="A8:A70" si="0">+A7+1</f>
        <v>2</v>
      </c>
      <c r="B8" s="22" t="s">
        <v>407</v>
      </c>
      <c r="C8" s="13" t="s">
        <v>23</v>
      </c>
      <c r="D8" s="13">
        <v>2023214432</v>
      </c>
      <c r="E8" s="12">
        <v>45264</v>
      </c>
      <c r="F8" s="23" t="s">
        <v>130</v>
      </c>
      <c r="G8" s="16">
        <v>1</v>
      </c>
      <c r="H8" s="27"/>
      <c r="I8" s="2"/>
      <c r="J8" s="2"/>
      <c r="K8" s="1"/>
    </row>
    <row r="9" spans="1:11" ht="15" customHeight="1" x14ac:dyDescent="0.25">
      <c r="A9" s="15">
        <f t="shared" si="0"/>
        <v>3</v>
      </c>
      <c r="B9" s="22" t="s">
        <v>413</v>
      </c>
      <c r="C9" s="13" t="s">
        <v>23</v>
      </c>
      <c r="D9" s="13">
        <v>2023214433</v>
      </c>
      <c r="E9" s="12">
        <v>45264</v>
      </c>
      <c r="F9" s="23" t="s">
        <v>130</v>
      </c>
      <c r="G9" s="16">
        <v>1</v>
      </c>
      <c r="H9" s="24"/>
      <c r="I9" s="2"/>
      <c r="J9" s="2"/>
      <c r="K9" s="1"/>
    </row>
    <row r="10" spans="1:11" ht="15" customHeight="1" x14ac:dyDescent="0.25">
      <c r="A10" s="15">
        <f t="shared" si="0"/>
        <v>4</v>
      </c>
      <c r="B10" s="22" t="s">
        <v>412</v>
      </c>
      <c r="C10" s="13" t="s">
        <v>23</v>
      </c>
      <c r="D10" s="13">
        <v>2023214434</v>
      </c>
      <c r="E10" s="12">
        <v>45264</v>
      </c>
      <c r="F10" s="23" t="s">
        <v>130</v>
      </c>
      <c r="G10" s="16">
        <v>1</v>
      </c>
      <c r="H10" s="24"/>
      <c r="I10" s="2"/>
      <c r="J10" s="2"/>
      <c r="K10" s="1"/>
    </row>
    <row r="11" spans="1:11" ht="15" customHeight="1" x14ac:dyDescent="0.25">
      <c r="A11" s="15">
        <f t="shared" si="0"/>
        <v>5</v>
      </c>
      <c r="B11" s="22" t="s">
        <v>411</v>
      </c>
      <c r="C11" s="13" t="s">
        <v>23</v>
      </c>
      <c r="D11" s="13">
        <v>2023214435</v>
      </c>
      <c r="E11" s="12">
        <v>45264</v>
      </c>
      <c r="F11" s="23" t="s">
        <v>130</v>
      </c>
      <c r="G11" s="16">
        <v>1</v>
      </c>
      <c r="H11" s="24"/>
      <c r="I11" s="2"/>
      <c r="J11" s="2"/>
      <c r="K11" s="1"/>
    </row>
    <row r="12" spans="1:11" ht="15" customHeight="1" x14ac:dyDescent="0.25">
      <c r="A12" s="15">
        <f t="shared" si="0"/>
        <v>6</v>
      </c>
      <c r="B12" s="22" t="s">
        <v>405</v>
      </c>
      <c r="C12" s="13" t="s">
        <v>23</v>
      </c>
      <c r="D12" s="13">
        <v>2023214436</v>
      </c>
      <c r="E12" s="12">
        <v>45264</v>
      </c>
      <c r="F12" s="23" t="s">
        <v>130</v>
      </c>
      <c r="G12" s="16">
        <v>1</v>
      </c>
      <c r="H12" s="26"/>
      <c r="I12" s="2"/>
      <c r="J12" s="2"/>
      <c r="K12" s="1"/>
    </row>
    <row r="13" spans="1:11" ht="15" customHeight="1" x14ac:dyDescent="0.25">
      <c r="A13" s="15">
        <f t="shared" si="0"/>
        <v>7</v>
      </c>
      <c r="B13" s="22" t="s">
        <v>404</v>
      </c>
      <c r="C13" s="13" t="s">
        <v>23</v>
      </c>
      <c r="D13" s="13">
        <v>2023214437</v>
      </c>
      <c r="E13" s="12">
        <v>45264</v>
      </c>
      <c r="F13" s="23" t="s">
        <v>130</v>
      </c>
      <c r="G13" s="16">
        <v>1</v>
      </c>
      <c r="H13" s="26"/>
      <c r="I13" s="2"/>
      <c r="J13" s="2"/>
      <c r="K13" s="1"/>
    </row>
    <row r="14" spans="1:11" ht="15" customHeight="1" x14ac:dyDescent="0.25">
      <c r="A14" s="15">
        <f t="shared" si="0"/>
        <v>8</v>
      </c>
      <c r="B14" s="22" t="s">
        <v>409</v>
      </c>
      <c r="C14" s="13" t="s">
        <v>23</v>
      </c>
      <c r="D14" s="13">
        <v>2023214438</v>
      </c>
      <c r="E14" s="12">
        <v>45264</v>
      </c>
      <c r="F14" s="23" t="s">
        <v>130</v>
      </c>
      <c r="G14" s="16">
        <v>1</v>
      </c>
      <c r="H14" s="26"/>
      <c r="I14" s="2"/>
      <c r="J14" s="2"/>
    </row>
    <row r="15" spans="1:11" ht="15" customHeight="1" x14ac:dyDescent="0.25">
      <c r="A15" s="15">
        <f t="shared" si="0"/>
        <v>9</v>
      </c>
      <c r="B15" s="22" t="s">
        <v>410</v>
      </c>
      <c r="C15" s="13" t="s">
        <v>23</v>
      </c>
      <c r="D15" s="13">
        <v>2023214439</v>
      </c>
      <c r="E15" s="12">
        <v>45264</v>
      </c>
      <c r="F15" s="23" t="s">
        <v>130</v>
      </c>
      <c r="G15" s="16">
        <v>1</v>
      </c>
      <c r="H15" s="26"/>
      <c r="I15" s="2"/>
      <c r="J15" s="2"/>
    </row>
    <row r="16" spans="1:11" ht="15" customHeight="1" x14ac:dyDescent="0.25">
      <c r="A16" s="15">
        <f t="shared" si="0"/>
        <v>10</v>
      </c>
      <c r="B16" s="22" t="s">
        <v>406</v>
      </c>
      <c r="C16" s="13" t="s">
        <v>23</v>
      </c>
      <c r="D16" s="13">
        <v>2023214440</v>
      </c>
      <c r="E16" s="12">
        <v>45264</v>
      </c>
      <c r="F16" s="23" t="s">
        <v>130</v>
      </c>
      <c r="G16" s="16">
        <v>1</v>
      </c>
      <c r="H16" s="26"/>
      <c r="I16" s="2"/>
      <c r="J16" s="2"/>
    </row>
    <row r="17" spans="1:10" ht="15" customHeight="1" x14ac:dyDescent="0.25">
      <c r="A17" s="15">
        <f t="shared" si="0"/>
        <v>11</v>
      </c>
      <c r="B17" s="22" t="s">
        <v>22</v>
      </c>
      <c r="C17" s="13" t="s">
        <v>23</v>
      </c>
      <c r="D17" s="9" t="s">
        <v>417</v>
      </c>
      <c r="E17" s="12">
        <v>45271</v>
      </c>
      <c r="F17" s="23" t="s">
        <v>419</v>
      </c>
      <c r="G17" s="16">
        <v>1</v>
      </c>
      <c r="H17" s="26" t="s">
        <v>418</v>
      </c>
      <c r="I17" s="2"/>
      <c r="J17" s="2"/>
    </row>
    <row r="18" spans="1:10" ht="15" customHeight="1" x14ac:dyDescent="0.25">
      <c r="A18" s="15">
        <f t="shared" si="0"/>
        <v>12</v>
      </c>
      <c r="B18" s="22" t="s">
        <v>22</v>
      </c>
      <c r="C18" s="13" t="s">
        <v>23</v>
      </c>
      <c r="D18" s="9" t="s">
        <v>414</v>
      </c>
      <c r="E18" s="12">
        <v>45271</v>
      </c>
      <c r="F18" s="23" t="s">
        <v>415</v>
      </c>
      <c r="G18" s="16">
        <v>1</v>
      </c>
      <c r="H18" s="27" t="s">
        <v>416</v>
      </c>
      <c r="I18" s="2"/>
      <c r="J18" s="2"/>
    </row>
    <row r="19" spans="1:10" ht="15" customHeight="1" x14ac:dyDescent="0.25">
      <c r="A19" s="15">
        <f t="shared" si="0"/>
        <v>13</v>
      </c>
      <c r="B19" s="22" t="s">
        <v>22</v>
      </c>
      <c r="C19" s="13" t="s">
        <v>23</v>
      </c>
      <c r="D19" s="9" t="s">
        <v>420</v>
      </c>
      <c r="E19" s="12">
        <v>45271</v>
      </c>
      <c r="F19" s="23" t="s">
        <v>421</v>
      </c>
      <c r="G19" s="16">
        <v>1</v>
      </c>
      <c r="H19" s="27" t="s">
        <v>422</v>
      </c>
      <c r="I19" s="2"/>
      <c r="J19" s="2"/>
    </row>
    <row r="20" spans="1:10" ht="15" customHeight="1" x14ac:dyDescent="0.25">
      <c r="A20" s="15">
        <f t="shared" si="0"/>
        <v>14</v>
      </c>
      <c r="B20" s="22" t="s">
        <v>22</v>
      </c>
      <c r="C20" s="13" t="s">
        <v>23</v>
      </c>
      <c r="D20" s="9" t="s">
        <v>424</v>
      </c>
      <c r="E20" s="12">
        <v>45279</v>
      </c>
      <c r="F20" s="23" t="s">
        <v>427</v>
      </c>
      <c r="G20" s="16">
        <v>1</v>
      </c>
      <c r="H20" s="26" t="s">
        <v>426</v>
      </c>
      <c r="I20" s="2"/>
      <c r="J20" s="2"/>
    </row>
    <row r="21" spans="1:10" ht="15" customHeight="1" x14ac:dyDescent="0.25">
      <c r="A21" s="15">
        <f t="shared" si="0"/>
        <v>15</v>
      </c>
      <c r="B21" s="22" t="s">
        <v>22</v>
      </c>
      <c r="C21" s="13" t="s">
        <v>23</v>
      </c>
      <c r="D21" s="9" t="s">
        <v>423</v>
      </c>
      <c r="E21" s="12">
        <v>45279</v>
      </c>
      <c r="F21" s="23" t="s">
        <v>428</v>
      </c>
      <c r="G21" s="16">
        <v>1</v>
      </c>
      <c r="H21" s="26" t="s">
        <v>425</v>
      </c>
      <c r="I21" s="2"/>
      <c r="J21" s="2"/>
    </row>
    <row r="22" spans="1:10" ht="15" customHeight="1" x14ac:dyDescent="0.25">
      <c r="A22" s="15">
        <f t="shared" si="0"/>
        <v>16</v>
      </c>
      <c r="B22" s="22"/>
      <c r="C22" s="13"/>
      <c r="D22" s="9"/>
      <c r="E22" s="12"/>
      <c r="F22" s="23"/>
      <c r="G22" s="16">
        <v>1</v>
      </c>
      <c r="H22" s="26"/>
      <c r="I22" s="2"/>
      <c r="J22" s="2"/>
    </row>
    <row r="23" spans="1:10" ht="15" customHeight="1" x14ac:dyDescent="0.25">
      <c r="A23" s="15">
        <f t="shared" si="0"/>
        <v>17</v>
      </c>
      <c r="B23" s="22"/>
      <c r="C23" s="13"/>
      <c r="D23" s="9"/>
      <c r="E23" s="12"/>
      <c r="F23" s="23"/>
      <c r="G23" s="16">
        <v>1</v>
      </c>
      <c r="H23" s="21"/>
      <c r="I23" s="2"/>
      <c r="J23" s="2"/>
    </row>
    <row r="24" spans="1:10" ht="15" customHeight="1" x14ac:dyDescent="0.25">
      <c r="A24" s="15">
        <f t="shared" si="0"/>
        <v>18</v>
      </c>
      <c r="B24" s="22"/>
      <c r="C24" s="13"/>
      <c r="D24" s="9"/>
      <c r="E24" s="12"/>
      <c r="F24" s="23"/>
      <c r="G24" s="16">
        <v>1</v>
      </c>
      <c r="H24" s="21"/>
      <c r="I24" s="2"/>
      <c r="J24" s="2"/>
    </row>
    <row r="25" spans="1:10" ht="15" customHeight="1" x14ac:dyDescent="0.25">
      <c r="A25" s="15">
        <f t="shared" si="0"/>
        <v>19</v>
      </c>
      <c r="B25" s="22"/>
      <c r="C25" s="13"/>
      <c r="D25" s="9"/>
      <c r="E25" s="12"/>
      <c r="F25" s="23"/>
      <c r="G25" s="16">
        <v>1</v>
      </c>
      <c r="H25" s="21"/>
      <c r="I25" s="2"/>
      <c r="J25" s="2"/>
    </row>
    <row r="26" spans="1:10" ht="15" customHeight="1" x14ac:dyDescent="0.25">
      <c r="A26" s="15">
        <f t="shared" si="0"/>
        <v>20</v>
      </c>
      <c r="B26" s="22"/>
      <c r="C26" s="13"/>
      <c r="D26" s="9"/>
      <c r="E26" s="12"/>
      <c r="F26" s="23"/>
      <c r="G26" s="16">
        <v>1</v>
      </c>
      <c r="H26" s="21"/>
      <c r="I26" s="2"/>
      <c r="J26" s="2"/>
    </row>
    <row r="27" spans="1:10" ht="15" customHeight="1" x14ac:dyDescent="0.25">
      <c r="A27" s="15">
        <f t="shared" si="0"/>
        <v>21</v>
      </c>
      <c r="B27" s="22"/>
      <c r="C27" s="13"/>
      <c r="D27" s="22"/>
      <c r="E27" s="12"/>
      <c r="F27" s="23"/>
      <c r="G27" s="16">
        <v>1</v>
      </c>
      <c r="H27" s="21"/>
      <c r="I27" s="2"/>
      <c r="J27" s="2"/>
    </row>
    <row r="28" spans="1:10" ht="15" customHeight="1" x14ac:dyDescent="0.25">
      <c r="A28" s="15">
        <f t="shared" si="0"/>
        <v>22</v>
      </c>
      <c r="B28" s="22"/>
      <c r="C28" s="13"/>
      <c r="D28" s="22"/>
      <c r="E28" s="12"/>
      <c r="F28" s="23"/>
      <c r="G28" s="16">
        <v>1</v>
      </c>
      <c r="H28" s="21"/>
      <c r="I28" s="2"/>
      <c r="J28" s="2"/>
    </row>
    <row r="29" spans="1:10" ht="15" customHeight="1" x14ac:dyDescent="0.25">
      <c r="A29" s="15">
        <f t="shared" si="0"/>
        <v>23</v>
      </c>
      <c r="B29" s="22"/>
      <c r="C29" s="13"/>
      <c r="D29" s="22"/>
      <c r="E29" s="12"/>
      <c r="F29" s="23"/>
      <c r="G29" s="16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22"/>
      <c r="C30" s="13"/>
      <c r="D30" s="22"/>
      <c r="E30" s="12"/>
      <c r="F30" s="23"/>
      <c r="G30" s="16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22"/>
      <c r="C31" s="13"/>
      <c r="D31" s="22"/>
      <c r="E31" s="12"/>
      <c r="F31" s="23"/>
      <c r="G31" s="16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22"/>
      <c r="C32" s="13"/>
      <c r="D32" s="22"/>
      <c r="E32" s="12"/>
      <c r="F32" s="23"/>
      <c r="G32" s="16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22"/>
      <c r="C33" s="13"/>
      <c r="D33" s="22"/>
      <c r="E33" s="12"/>
      <c r="F33" s="23"/>
      <c r="G33" s="16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22"/>
      <c r="C34" s="13"/>
      <c r="D34" s="22"/>
      <c r="E34" s="12"/>
      <c r="F34" s="23"/>
      <c r="G34" s="16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22"/>
      <c r="C35" s="13"/>
      <c r="D35" s="22"/>
      <c r="E35" s="12"/>
      <c r="F35" s="23"/>
      <c r="G35" s="16">
        <v>1</v>
      </c>
      <c r="H35" s="1"/>
      <c r="I35" s="1"/>
      <c r="J35" s="1"/>
    </row>
    <row r="36" spans="1:10" ht="15" customHeight="1" x14ac:dyDescent="0.25">
      <c r="A36" s="15">
        <f t="shared" si="0"/>
        <v>30</v>
      </c>
      <c r="B36" s="22"/>
      <c r="C36" s="13"/>
      <c r="D36" s="22"/>
      <c r="E36" s="12"/>
      <c r="F36" s="23"/>
      <c r="G36" s="16">
        <v>1</v>
      </c>
      <c r="H36" s="1"/>
      <c r="I36" s="1"/>
      <c r="J36" s="1"/>
    </row>
    <row r="37" spans="1:10" x14ac:dyDescent="0.25">
      <c r="A37" s="15">
        <f t="shared" si="0"/>
        <v>31</v>
      </c>
      <c r="B37" s="22"/>
      <c r="C37" s="13"/>
      <c r="D37" s="9"/>
      <c r="E37" s="12"/>
      <c r="F37" s="20"/>
      <c r="G37" s="16">
        <v>1</v>
      </c>
    </row>
    <row r="38" spans="1:10" x14ac:dyDescent="0.25">
      <c r="A38" s="15">
        <f t="shared" si="0"/>
        <v>32</v>
      </c>
      <c r="B38" s="22"/>
      <c r="C38" s="13"/>
      <c r="D38" s="9"/>
      <c r="E38" s="12"/>
      <c r="F38" s="20"/>
      <c r="G38" s="16">
        <v>1</v>
      </c>
    </row>
    <row r="39" spans="1:10" x14ac:dyDescent="0.25">
      <c r="A39" s="15">
        <f t="shared" si="0"/>
        <v>33</v>
      </c>
      <c r="B39" s="22"/>
      <c r="C39" s="13"/>
      <c r="D39" s="9"/>
      <c r="E39" s="12"/>
      <c r="F39" s="20"/>
      <c r="G39" s="16">
        <v>1</v>
      </c>
    </row>
    <row r="40" spans="1:10" x14ac:dyDescent="0.25">
      <c r="A40" s="15">
        <f t="shared" si="0"/>
        <v>34</v>
      </c>
      <c r="B40" s="22"/>
      <c r="C40" s="13"/>
      <c r="D40" s="9"/>
      <c r="E40" s="12"/>
      <c r="F40" s="20"/>
      <c r="G40" s="16">
        <v>1</v>
      </c>
    </row>
    <row r="41" spans="1:10" x14ac:dyDescent="0.25">
      <c r="A41" s="15">
        <f t="shared" si="0"/>
        <v>35</v>
      </c>
      <c r="B41" s="22"/>
      <c r="C41" s="13"/>
      <c r="D41" s="9"/>
      <c r="E41" s="12"/>
      <c r="F41" s="20"/>
      <c r="G41" s="16">
        <v>1</v>
      </c>
    </row>
    <row r="42" spans="1:10" x14ac:dyDescent="0.25">
      <c r="A42" s="15">
        <f t="shared" si="0"/>
        <v>36</v>
      </c>
      <c r="B42" s="22"/>
      <c r="C42" s="13"/>
      <c r="D42" s="9"/>
      <c r="E42" s="12"/>
      <c r="F42" s="20"/>
      <c r="G42" s="16">
        <v>1</v>
      </c>
    </row>
    <row r="43" spans="1:10" x14ac:dyDescent="0.25">
      <c r="A43" s="15">
        <f t="shared" si="0"/>
        <v>37</v>
      </c>
      <c r="B43" s="22"/>
      <c r="C43" s="13"/>
      <c r="D43" s="9"/>
      <c r="E43" s="12"/>
      <c r="F43" s="20"/>
      <c r="G43" s="16">
        <v>1</v>
      </c>
    </row>
    <row r="44" spans="1:10" x14ac:dyDescent="0.25">
      <c r="A44" s="15">
        <f t="shared" si="0"/>
        <v>38</v>
      </c>
      <c r="B44" s="22"/>
      <c r="C44" s="13"/>
      <c r="D44" s="9"/>
      <c r="E44" s="12"/>
      <c r="F44" s="20"/>
      <c r="G44" s="16">
        <v>1</v>
      </c>
    </row>
    <row r="45" spans="1:10" x14ac:dyDescent="0.25">
      <c r="A45" s="15">
        <f t="shared" si="0"/>
        <v>39</v>
      </c>
      <c r="B45" s="22"/>
      <c r="C45" s="13"/>
      <c r="D45" s="9"/>
      <c r="E45" s="12"/>
      <c r="F45" s="20"/>
      <c r="G45" s="16">
        <v>1</v>
      </c>
    </row>
    <row r="46" spans="1:10" x14ac:dyDescent="0.25">
      <c r="A46" s="15">
        <f t="shared" si="0"/>
        <v>40</v>
      </c>
      <c r="B46" s="22"/>
      <c r="C46" s="13"/>
      <c r="D46" s="9"/>
      <c r="E46" s="12"/>
      <c r="F46" s="20"/>
      <c r="G46" s="16">
        <v>1</v>
      </c>
    </row>
    <row r="47" spans="1:10" x14ac:dyDescent="0.25">
      <c r="A47" s="15">
        <f t="shared" si="0"/>
        <v>41</v>
      </c>
      <c r="B47" s="22"/>
      <c r="C47" s="13"/>
      <c r="D47" s="9"/>
      <c r="E47" s="12"/>
      <c r="F47" s="20"/>
      <c r="G47" s="16">
        <v>1</v>
      </c>
    </row>
    <row r="48" spans="1:10" x14ac:dyDescent="0.25">
      <c r="A48" s="15">
        <f t="shared" si="0"/>
        <v>42</v>
      </c>
      <c r="B48" s="22"/>
      <c r="C48" s="13"/>
      <c r="D48" s="9"/>
      <c r="E48" s="12"/>
      <c r="F48" s="20"/>
      <c r="G48" s="16">
        <v>1</v>
      </c>
    </row>
    <row r="49" spans="1:7" x14ac:dyDescent="0.25">
      <c r="A49" s="15">
        <f t="shared" si="0"/>
        <v>43</v>
      </c>
      <c r="B49" s="22"/>
      <c r="C49" s="13"/>
      <c r="D49" s="9"/>
      <c r="E49" s="12"/>
      <c r="F49" s="20"/>
      <c r="G49" s="16">
        <v>1</v>
      </c>
    </row>
    <row r="50" spans="1:7" x14ac:dyDescent="0.25">
      <c r="A50" s="15">
        <f t="shared" si="0"/>
        <v>44</v>
      </c>
      <c r="B50" s="22"/>
      <c r="C50" s="13"/>
      <c r="D50" s="9"/>
      <c r="E50" s="12"/>
      <c r="F50" s="20"/>
      <c r="G50" s="16">
        <v>1</v>
      </c>
    </row>
    <row r="51" spans="1:7" x14ac:dyDescent="0.25">
      <c r="A51" s="15">
        <f t="shared" si="0"/>
        <v>45</v>
      </c>
      <c r="B51" s="22"/>
      <c r="C51" s="13"/>
      <c r="D51" s="9"/>
      <c r="E51" s="12"/>
      <c r="F51" s="20"/>
      <c r="G51" s="16">
        <v>1</v>
      </c>
    </row>
    <row r="52" spans="1:7" x14ac:dyDescent="0.25">
      <c r="A52" s="15">
        <f t="shared" si="0"/>
        <v>46</v>
      </c>
      <c r="B52" s="22"/>
      <c r="C52" s="13"/>
      <c r="D52" s="9"/>
      <c r="E52" s="12"/>
      <c r="F52" s="20"/>
      <c r="G52" s="16">
        <v>1</v>
      </c>
    </row>
    <row r="53" spans="1:7" x14ac:dyDescent="0.25">
      <c r="A53" s="15">
        <f t="shared" si="0"/>
        <v>47</v>
      </c>
      <c r="B53" s="22"/>
      <c r="C53" s="13"/>
      <c r="D53" s="9"/>
      <c r="E53" s="12"/>
      <c r="F53" s="20"/>
      <c r="G53" s="16">
        <v>1</v>
      </c>
    </row>
    <row r="54" spans="1:7" x14ac:dyDescent="0.25">
      <c r="A54" s="15">
        <f t="shared" si="0"/>
        <v>48</v>
      </c>
      <c r="B54" s="22"/>
      <c r="C54" s="13"/>
      <c r="D54" s="9"/>
      <c r="E54" s="12"/>
      <c r="F54" s="20"/>
      <c r="G54" s="16">
        <v>1</v>
      </c>
    </row>
    <row r="55" spans="1:7" x14ac:dyDescent="0.25">
      <c r="A55" s="15">
        <f t="shared" si="0"/>
        <v>49</v>
      </c>
      <c r="B55" s="22"/>
      <c r="C55" s="13"/>
      <c r="D55" s="9"/>
      <c r="E55" s="12"/>
      <c r="F55" s="20"/>
      <c r="G55" s="16">
        <v>1</v>
      </c>
    </row>
    <row r="56" spans="1:7" x14ac:dyDescent="0.25">
      <c r="A56" s="15">
        <f t="shared" si="0"/>
        <v>50</v>
      </c>
      <c r="B56" s="22"/>
      <c r="C56" s="13"/>
      <c r="D56" s="9"/>
      <c r="E56" s="12"/>
      <c r="F56" s="20"/>
      <c r="G56" s="16">
        <v>1</v>
      </c>
    </row>
    <row r="57" spans="1:7" x14ac:dyDescent="0.25">
      <c r="A57" s="15">
        <f t="shared" si="0"/>
        <v>51</v>
      </c>
      <c r="B57" s="22"/>
      <c r="C57" s="13"/>
      <c r="D57" s="9"/>
      <c r="E57" s="12"/>
      <c r="F57" s="20"/>
      <c r="G57" s="16">
        <v>1</v>
      </c>
    </row>
    <row r="58" spans="1:7" x14ac:dyDescent="0.25">
      <c r="A58" s="15">
        <f t="shared" si="0"/>
        <v>52</v>
      </c>
      <c r="B58" s="22"/>
      <c r="C58" s="13"/>
      <c r="D58" s="9"/>
      <c r="E58" s="12"/>
      <c r="F58" s="20"/>
      <c r="G58" s="16">
        <v>1</v>
      </c>
    </row>
    <row r="59" spans="1:7" x14ac:dyDescent="0.25">
      <c r="A59" s="15">
        <f t="shared" si="0"/>
        <v>53</v>
      </c>
      <c r="B59" s="22"/>
      <c r="C59" s="13"/>
      <c r="D59" s="9"/>
      <c r="E59" s="12"/>
      <c r="F59" s="20"/>
      <c r="G59" s="16">
        <v>1</v>
      </c>
    </row>
    <row r="60" spans="1:7" x14ac:dyDescent="0.25">
      <c r="A60" s="15">
        <f t="shared" si="0"/>
        <v>54</v>
      </c>
      <c r="B60" s="22"/>
      <c r="C60" s="13"/>
      <c r="D60" s="9"/>
      <c r="E60" s="12"/>
      <c r="F60" s="20"/>
      <c r="G60" s="16">
        <v>1</v>
      </c>
    </row>
    <row r="61" spans="1:7" x14ac:dyDescent="0.25">
      <c r="A61" s="15">
        <f t="shared" si="0"/>
        <v>55</v>
      </c>
      <c r="B61" s="22"/>
      <c r="C61" s="13"/>
      <c r="D61" s="9"/>
      <c r="E61" s="12"/>
      <c r="F61" s="20"/>
      <c r="G61" s="16">
        <v>1</v>
      </c>
    </row>
    <row r="62" spans="1:7" x14ac:dyDescent="0.25">
      <c r="A62" s="15">
        <f t="shared" si="0"/>
        <v>56</v>
      </c>
      <c r="B62" s="22"/>
      <c r="C62" s="13"/>
      <c r="D62" s="9"/>
      <c r="E62" s="12"/>
      <c r="F62" s="20"/>
      <c r="G62" s="16">
        <v>1</v>
      </c>
    </row>
    <row r="63" spans="1:7" x14ac:dyDescent="0.25">
      <c r="A63" s="15">
        <f t="shared" si="0"/>
        <v>57</v>
      </c>
      <c r="B63" s="22"/>
      <c r="C63" s="13"/>
      <c r="D63" s="9"/>
      <c r="E63" s="12"/>
      <c r="F63" s="20"/>
      <c r="G63" s="16">
        <v>1</v>
      </c>
    </row>
    <row r="64" spans="1:7" x14ac:dyDescent="0.25">
      <c r="A64" s="15">
        <f t="shared" si="0"/>
        <v>58</v>
      </c>
      <c r="B64" s="22"/>
      <c r="C64" s="13"/>
      <c r="D64" s="9"/>
      <c r="E64" s="12"/>
      <c r="F64" s="20"/>
      <c r="G64" s="16">
        <v>1</v>
      </c>
    </row>
    <row r="65" spans="1:7" x14ac:dyDescent="0.25">
      <c r="A65" s="15">
        <f t="shared" si="0"/>
        <v>59</v>
      </c>
      <c r="B65" s="22"/>
      <c r="C65" s="13"/>
      <c r="D65" s="9"/>
      <c r="E65" s="12"/>
      <c r="F65" s="20"/>
      <c r="G65" s="16">
        <v>1</v>
      </c>
    </row>
    <row r="66" spans="1:7" x14ac:dyDescent="0.25">
      <c r="A66" s="15">
        <f t="shared" si="0"/>
        <v>60</v>
      </c>
      <c r="B66" s="22"/>
      <c r="C66" s="13"/>
      <c r="D66" s="9"/>
      <c r="E66" s="12"/>
      <c r="F66" s="20"/>
      <c r="G66" s="16">
        <v>1</v>
      </c>
    </row>
    <row r="67" spans="1:7" x14ac:dyDescent="0.25">
      <c r="A67" s="15">
        <f t="shared" si="0"/>
        <v>61</v>
      </c>
      <c r="B67" s="22"/>
      <c r="C67" s="13"/>
      <c r="D67" s="9"/>
      <c r="E67" s="12"/>
      <c r="F67" s="20"/>
    </row>
    <row r="68" spans="1:7" x14ac:dyDescent="0.25">
      <c r="A68" s="15">
        <f t="shared" si="0"/>
        <v>62</v>
      </c>
      <c r="B68" s="22"/>
      <c r="C68" s="13"/>
      <c r="D68" s="9"/>
      <c r="E68" s="12"/>
      <c r="F68" s="20"/>
    </row>
    <row r="69" spans="1:7" x14ac:dyDescent="0.25">
      <c r="A69" s="15">
        <f t="shared" si="0"/>
        <v>63</v>
      </c>
      <c r="B69" s="22"/>
      <c r="C69" s="13"/>
      <c r="D69" s="9"/>
      <c r="E69" s="12"/>
      <c r="F69" s="20"/>
    </row>
    <row r="70" spans="1:7" x14ac:dyDescent="0.25">
      <c r="A70" s="15">
        <f t="shared" si="0"/>
        <v>64</v>
      </c>
      <c r="B70" s="22"/>
      <c r="C70" s="13"/>
      <c r="D70" s="9"/>
      <c r="E70" s="12"/>
      <c r="F70" s="20"/>
    </row>
  </sheetData>
  <sortState ref="B7:H21">
    <sortCondition ref="E7:E21"/>
    <sortCondition ref="D7:D21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2023</vt:lpstr>
      <vt:lpstr>FEVRIER 2023</vt:lpstr>
      <vt:lpstr>MARS 2023</vt:lpstr>
      <vt:lpstr>AVRIL 2023</vt:lpstr>
      <vt:lpstr>MAI 2023</vt:lpstr>
      <vt:lpstr>JUIN 2023</vt:lpstr>
      <vt:lpstr>JUILLET 2023</vt:lpstr>
      <vt:lpstr>AOUT 2023</vt:lpstr>
      <vt:lpstr>SEPTEMBRE 2023</vt:lpstr>
      <vt:lpstr>OCTOBRE 2023</vt:lpstr>
      <vt:lpstr>NOVEMBRE 2023</vt:lpstr>
      <vt:lpstr>DECEMBRE 2023</vt:lpstr>
      <vt:lpstr>'AOUT 2023'!Impression_des_titres</vt:lpstr>
      <vt:lpstr>'AVRIL 2023'!Impression_des_titres</vt:lpstr>
      <vt:lpstr>'DECEMBRE 2023'!Impression_des_titres</vt:lpstr>
      <vt:lpstr>'FEVRIER 2023'!Impression_des_titres</vt:lpstr>
      <vt:lpstr>'JANVIER 2023'!Impression_des_titres</vt:lpstr>
      <vt:lpstr>'JUILLET 2023'!Impression_des_titres</vt:lpstr>
      <vt:lpstr>'JUIN 2023'!Impression_des_titres</vt:lpstr>
      <vt:lpstr>'MAI 2023'!Impression_des_titres</vt:lpstr>
      <vt:lpstr>'MARS 2023'!Impression_des_titres</vt:lpstr>
      <vt:lpstr>'NOVEMBRE 2023'!Impression_des_titres</vt:lpstr>
      <vt:lpstr>'OCTOBRE 2023'!Impression_des_titres</vt:lpstr>
      <vt:lpstr>'SEPTEMBRE 2023'!Impression_des_titres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2023-11-06T13:16:18Z</cp:lastPrinted>
  <dcterms:created xsi:type="dcterms:W3CDTF">2014-12-31T15:00:30Z</dcterms:created>
  <dcterms:modified xsi:type="dcterms:W3CDTF">2024-01-02T09:04:58Z</dcterms:modified>
</cp:coreProperties>
</file>