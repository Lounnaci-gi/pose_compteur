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3\Gestion de Stock Robeia\"/>
    </mc:Choice>
  </mc:AlternateContent>
  <bookViews>
    <workbookView xWindow="315" yWindow="195" windowWidth="6900" windowHeight="2025" firstSheet="7" activeTab="11"/>
  </bookViews>
  <sheets>
    <sheet name="JANVIER 2023" sheetId="12" r:id="rId1"/>
    <sheet name="FEVRIER 2023" sheetId="13" r:id="rId2"/>
    <sheet name="MARS 2023" sheetId="14" r:id="rId3"/>
    <sheet name="AVRIL 2023" sheetId="15" r:id="rId4"/>
    <sheet name="MAI 2023" sheetId="16" r:id="rId5"/>
    <sheet name="JUIN 2023" sheetId="17" r:id="rId6"/>
    <sheet name="JUILLET 2023" sheetId="18" r:id="rId7"/>
    <sheet name="AOUT 2023" sheetId="19" r:id="rId8"/>
    <sheet name="SEPTEMBRE 2023" sheetId="20" r:id="rId9"/>
    <sheet name="OCTOBRE 2023" sheetId="21" r:id="rId10"/>
    <sheet name="NOVEMBRE 2023" sheetId="22" r:id="rId11"/>
    <sheet name="DECEMBRE 2023" sheetId="23" r:id="rId12"/>
  </sheets>
  <definedNames>
    <definedName name="_xlnm.Print_Titles" localSheetId="7">'AOUT 2023'!$1:$6</definedName>
    <definedName name="_xlnm.Print_Titles" localSheetId="3">'AVRIL 2023'!$1:$6</definedName>
    <definedName name="_xlnm.Print_Titles" localSheetId="11">'DECEMBRE 2023'!$1:$6</definedName>
    <definedName name="_xlnm.Print_Titles" localSheetId="1">'FEVRIER 2023'!$1:$6</definedName>
    <definedName name="_xlnm.Print_Titles" localSheetId="0">'JANVIER 2023'!$1:$6</definedName>
    <definedName name="_xlnm.Print_Titles" localSheetId="6">'JUILLET 2023'!$1:$6</definedName>
    <definedName name="_xlnm.Print_Titles" localSheetId="5">'JUIN 2023'!$1:$6</definedName>
    <definedName name="_xlnm.Print_Titles" localSheetId="4">'MAI 2023'!$1:$6</definedName>
    <definedName name="_xlnm.Print_Titles" localSheetId="2">'MARS 2023'!$1:$6</definedName>
    <definedName name="_xlnm.Print_Titles" localSheetId="10">'NOVEMBRE 2023'!$1:$6</definedName>
    <definedName name="_xlnm.Print_Titles" localSheetId="9">'OCTOBRE 2023'!$1:$6</definedName>
    <definedName name="_xlnm.Print_Titles" localSheetId="8">'SEPTEMBRE 2023'!$1:$6</definedName>
  </definedNames>
  <calcPr calcId="162913"/>
</workbook>
</file>

<file path=xl/calcChain.xml><?xml version="1.0" encoding="utf-8"?>
<calcChain xmlns="http://schemas.openxmlformats.org/spreadsheetml/2006/main"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K4" i="23"/>
  <c r="K3" i="23"/>
  <c r="K2" i="23"/>
  <c r="K5" i="23" s="1"/>
  <c r="A9" i="22" l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8" i="22"/>
  <c r="K4" i="22"/>
  <c r="K3" i="22"/>
  <c r="K2" i="22"/>
  <c r="K5" i="22" s="1"/>
  <c r="A8" i="21" l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K4" i="21"/>
  <c r="K3" i="21"/>
  <c r="K2" i="21"/>
  <c r="K5" i="21" s="1"/>
  <c r="A8" i="20" l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K4" i="20"/>
  <c r="K3" i="20"/>
  <c r="K2" i="20"/>
  <c r="K5" i="20" l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K4" i="19"/>
  <c r="K3" i="19"/>
  <c r="K2" i="19"/>
  <c r="K5" i="19" s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K4" i="18"/>
  <c r="K3" i="18"/>
  <c r="K2" i="18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K4" i="17"/>
  <c r="K3" i="17"/>
  <c r="K2" i="17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K4" i="16"/>
  <c r="K3" i="16"/>
  <c r="K2" i="16"/>
  <c r="K5" i="18" l="1"/>
  <c r="K5" i="17"/>
  <c r="K5" i="16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K4" i="15"/>
  <c r="K3" i="15"/>
  <c r="K2" i="15"/>
  <c r="K5" i="15" s="1"/>
  <c r="A8" i="14" l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K4" i="14"/>
  <c r="K3" i="14"/>
  <c r="K2" i="14"/>
  <c r="K5" i="14" s="1"/>
  <c r="A8" i="13" l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K4" i="13"/>
  <c r="K3" i="13"/>
  <c r="K2" i="13"/>
  <c r="K5" i="13" s="1"/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K4" i="12"/>
  <c r="K3" i="12"/>
  <c r="K2" i="12"/>
  <c r="K5" i="12" l="1"/>
</calcChain>
</file>

<file path=xl/sharedStrings.xml><?xml version="1.0" encoding="utf-8"?>
<sst xmlns="http://schemas.openxmlformats.org/spreadsheetml/2006/main" count="321" uniqueCount="87">
  <si>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</si>
  <si>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</si>
  <si>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</si>
  <si>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</si>
  <si>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</si>
  <si>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</si>
  <si>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</si>
  <si>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</si>
  <si>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</si>
  <si>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</si>
  <si>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</si>
  <si>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</si>
  <si>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</si>
  <si>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</si>
  <si>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</si>
  <si>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</si>
  <si>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Robeia</t>
  </si>
  <si>
    <t>cc</t>
  </si>
  <si>
    <t>Mois de JANVIER  2023</t>
  </si>
  <si>
    <t>Mois de FEVRIER  2023</t>
  </si>
  <si>
    <t>Mois de MARS  2023</t>
  </si>
  <si>
    <t>Mois de AVRIL  2023</t>
  </si>
  <si>
    <t>Mois de MAI  2023</t>
  </si>
  <si>
    <t>BO</t>
  </si>
  <si>
    <t>15/21</t>
  </si>
  <si>
    <t>2023035244</t>
  </si>
  <si>
    <t>NB(806/2022)</t>
  </si>
  <si>
    <t>Bentir benalia</t>
  </si>
  <si>
    <t>2023035249</t>
  </si>
  <si>
    <t>Himed mhamed</t>
  </si>
  <si>
    <t>NB(437/2022)</t>
  </si>
  <si>
    <t>NB(489/2022)</t>
  </si>
  <si>
    <t>2023035247</t>
  </si>
  <si>
    <t>Bouhibane abdeslam</t>
  </si>
  <si>
    <t>2023035248</t>
  </si>
  <si>
    <t>NB(439/2022)</t>
  </si>
  <si>
    <t>Lahlah aek</t>
  </si>
  <si>
    <t>2023035246</t>
  </si>
  <si>
    <t>NB(732/2022)</t>
  </si>
  <si>
    <t>Tebbani lakhdar</t>
  </si>
  <si>
    <t>19004727</t>
  </si>
  <si>
    <t>14659350</t>
  </si>
  <si>
    <t>BO0339</t>
  </si>
  <si>
    <t>BO0329</t>
  </si>
  <si>
    <t>Elimination de Forfait</t>
  </si>
  <si>
    <t>19007565</t>
  </si>
  <si>
    <t>19007561</t>
  </si>
  <si>
    <t>BO0380</t>
  </si>
  <si>
    <t>BO0698</t>
  </si>
  <si>
    <t>2023035243</t>
  </si>
  <si>
    <t>2023035242</t>
  </si>
  <si>
    <t>MEBARKA ABDERRAHMANE</t>
  </si>
  <si>
    <t>ZITOUNI AHMED</t>
  </si>
  <si>
    <t>2023035250</t>
  </si>
  <si>
    <t>Razem abu soufiane</t>
  </si>
  <si>
    <t>2023035245</t>
  </si>
  <si>
    <t>NB(210/2022)</t>
  </si>
  <si>
    <t>NB(290/2022)</t>
  </si>
  <si>
    <t>Meziane amine b/aek</t>
  </si>
  <si>
    <t>NB(930/2022)</t>
  </si>
  <si>
    <t>NB(010/2021)</t>
  </si>
  <si>
    <t>Mois de JUIN  2023</t>
  </si>
  <si>
    <t>Mois de JUILLET  2023</t>
  </si>
  <si>
    <t>Mois de AOUT  2023</t>
  </si>
  <si>
    <t>2023115250</t>
  </si>
  <si>
    <t>2023035241</t>
  </si>
  <si>
    <t>BO0378</t>
  </si>
  <si>
    <t>BO0332</t>
  </si>
  <si>
    <t>Mois de SEPTEMBRE  2023</t>
  </si>
  <si>
    <t>2023149493</t>
  </si>
  <si>
    <t>NB(198/2023)</t>
  </si>
  <si>
    <t>Kessad med</t>
  </si>
  <si>
    <t>NB(712/2022)</t>
  </si>
  <si>
    <t>Ramouche kamel</t>
  </si>
  <si>
    <t>2023149496</t>
  </si>
  <si>
    <t>2023149498</t>
  </si>
  <si>
    <t>NB(152/2023)</t>
  </si>
  <si>
    <t>Aoudjenif med</t>
  </si>
  <si>
    <t>2023149500</t>
  </si>
  <si>
    <t>NB(343/2023)</t>
  </si>
  <si>
    <t xml:space="preserve">Beddiaf ahmed </t>
  </si>
  <si>
    <t>Mois de OCTOBRE  2023</t>
  </si>
  <si>
    <t>2023149708</t>
  </si>
  <si>
    <t>NB(555/2023)</t>
  </si>
  <si>
    <t>Bouchibane med-amine</t>
  </si>
  <si>
    <t>Mois de NOVEMBRE  2023</t>
  </si>
  <si>
    <t>Mois de DECEMBRE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</si>
</sst>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43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20" fontId="3" fillId="3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 applyBorder="1" applyAlignment="1">
      <alignment vertical="center" wrapText="1"/>
    </xf>
    <xf numFmtId="0" fontId="1" fillId="0" borderId="0" xfId="1" applyBorder="1"/>
    <xf numFmtId="14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49" fontId="6" fillId="0" borderId="0" xfId="1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28575</xdr:rowOff>
    </xdr:from>
    <xdr:to>
      <xdr:col>5</xdr:col>
      <xdr:colOff>1304925</xdr:colOff>
      <xdr:row>45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0" y="1343025"/>
          <a:ext cx="4552950" cy="755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28575</xdr:rowOff>
    </xdr:from>
    <xdr:to>
      <xdr:col>5</xdr:col>
      <xdr:colOff>1304925</xdr:colOff>
      <xdr:row>45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0" y="1343025"/>
          <a:ext cx="4552950" cy="755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28575</xdr:rowOff>
    </xdr:from>
    <xdr:to>
      <xdr:col>5</xdr:col>
      <xdr:colOff>1304925</xdr:colOff>
      <xdr:row>45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0" y="1343025"/>
          <a:ext cx="4552950" cy="755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28575</xdr:rowOff>
    </xdr:from>
    <xdr:to>
      <xdr:col>5</xdr:col>
      <xdr:colOff>1304925</xdr:colOff>
      <xdr:row>45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0" y="1343025"/>
          <a:ext cx="4552950" cy="755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14</xdr:row>
      <xdr:rowOff>0</xdr:rowOff>
    </xdr:from>
    <xdr:to>
      <xdr:col>6</xdr:col>
      <xdr:colOff>0</xdr:colOff>
      <xdr:row>45</xdr:row>
      <xdr:rowOff>152400</xdr:rowOff>
    </xdr:to>
    <xdr:cxnSp macro="">
      <xdr:nvCxnSpPr>
        <xdr:cNvPr id="2" name="Straight Connector 1"/>
        <xdr:cNvCxnSpPr/>
      </xdr:nvCxnSpPr>
      <xdr:spPr>
        <a:xfrm rot="5400000">
          <a:off x="-157162" y="3586163"/>
          <a:ext cx="6057900" cy="456247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10</xdr:row>
      <xdr:rowOff>28574</xdr:rowOff>
    </xdr:from>
    <xdr:to>
      <xdr:col>5</xdr:col>
      <xdr:colOff>1295401</xdr:colOff>
      <xdr:row>45</xdr:row>
      <xdr:rowOff>152399</xdr:rowOff>
    </xdr:to>
    <xdr:cxnSp macro="">
      <xdr:nvCxnSpPr>
        <xdr:cNvPr id="2" name="Straight Connector 1"/>
        <xdr:cNvCxnSpPr/>
      </xdr:nvCxnSpPr>
      <xdr:spPr>
        <a:xfrm rot="5400000">
          <a:off x="-533399" y="3228975"/>
          <a:ext cx="6791325" cy="45434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</xdr:colOff>
      <xdr:row>6</xdr:row>
      <xdr:rowOff>38099</xdr:rowOff>
    </xdr:from>
    <xdr:to>
      <xdr:col>5</xdr:col>
      <xdr:colOff>1285876</xdr:colOff>
      <xdr:row>45</xdr:row>
      <xdr:rowOff>152398</xdr:rowOff>
    </xdr:to>
    <xdr:cxnSp macro="">
      <xdr:nvCxnSpPr>
        <xdr:cNvPr id="2" name="Straight Connector 1"/>
        <xdr:cNvCxnSpPr/>
      </xdr:nvCxnSpPr>
      <xdr:spPr>
        <a:xfrm rot="5400000">
          <a:off x="-914398" y="2857500"/>
          <a:ext cx="7543799" cy="45338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66678</xdr:colOff>
      <xdr:row>8</xdr:row>
      <xdr:rowOff>0</xdr:rowOff>
    </xdr:from>
    <xdr:to>
      <xdr:col>7</xdr:col>
      <xdr:colOff>9525</xdr:colOff>
      <xdr:row>45</xdr:row>
      <xdr:rowOff>123823</xdr:rowOff>
    </xdr:to>
    <xdr:cxnSp macro="">
      <xdr:nvCxnSpPr>
        <xdr:cNvPr id="2" name="Straight Connector 1"/>
        <xdr:cNvCxnSpPr/>
      </xdr:nvCxnSpPr>
      <xdr:spPr>
        <a:xfrm flipH="1">
          <a:off x="657228" y="1695450"/>
          <a:ext cx="4505322" cy="71723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66678</xdr:colOff>
      <xdr:row>10</xdr:row>
      <xdr:rowOff>0</xdr:rowOff>
    </xdr:from>
    <xdr:to>
      <xdr:col>6</xdr:col>
      <xdr:colOff>0</xdr:colOff>
      <xdr:row>45</xdr:row>
      <xdr:rowOff>123823</xdr:rowOff>
    </xdr:to>
    <xdr:cxnSp macro="">
      <xdr:nvCxnSpPr>
        <xdr:cNvPr id="2" name="Straight Connector 1"/>
        <xdr:cNvCxnSpPr/>
      </xdr:nvCxnSpPr>
      <xdr:spPr>
        <a:xfrm flipH="1">
          <a:off x="657228" y="2076450"/>
          <a:ext cx="4495797" cy="67913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66678</xdr:colOff>
      <xdr:row>7</xdr:row>
      <xdr:rowOff>9525</xdr:rowOff>
    </xdr:from>
    <xdr:to>
      <xdr:col>5</xdr:col>
      <xdr:colOff>1304925</xdr:colOff>
      <xdr:row>45</xdr:row>
      <xdr:rowOff>123823</xdr:rowOff>
    </xdr:to>
    <xdr:cxnSp macro="">
      <xdr:nvCxnSpPr>
        <xdr:cNvPr id="2" name="Straight Connector 1"/>
        <xdr:cNvCxnSpPr/>
      </xdr:nvCxnSpPr>
      <xdr:spPr>
        <a:xfrm flipH="1">
          <a:off x="657228" y="1514475"/>
          <a:ext cx="4486272" cy="73532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66678</xdr:colOff>
      <xdr:row>6</xdr:row>
      <xdr:rowOff>76200</xdr:rowOff>
    </xdr:from>
    <xdr:to>
      <xdr:col>5</xdr:col>
      <xdr:colOff>1295400</xdr:colOff>
      <xdr:row>45</xdr:row>
      <xdr:rowOff>123823</xdr:rowOff>
    </xdr:to>
    <xdr:cxnSp macro="">
      <xdr:nvCxnSpPr>
        <xdr:cNvPr id="2" name="Straight Connector 1"/>
        <xdr:cNvCxnSpPr/>
      </xdr:nvCxnSpPr>
      <xdr:spPr>
        <a:xfrm flipH="1">
          <a:off x="657228" y="1390650"/>
          <a:ext cx="4476747" cy="74771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66678</xdr:colOff>
      <xdr:row>6</xdr:row>
      <xdr:rowOff>76200</xdr:rowOff>
    </xdr:from>
    <xdr:to>
      <xdr:col>5</xdr:col>
      <xdr:colOff>1295400</xdr:colOff>
      <xdr:row>45</xdr:row>
      <xdr:rowOff>123823</xdr:rowOff>
    </xdr:to>
    <xdr:cxnSp macro="">
      <xdr:nvCxnSpPr>
        <xdr:cNvPr id="2" name="Straight Connector 1"/>
        <xdr:cNvCxnSpPr/>
      </xdr:nvCxnSpPr>
      <xdr:spPr>
        <a:xfrm flipH="1">
          <a:off x="657228" y="1390650"/>
          <a:ext cx="4476747" cy="74771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42" t="s">
        <v>3</v>
      </c>
      <c r="F2" s="42"/>
      <c r="G2" s="4"/>
      <c r="H2" s="4"/>
      <c r="I2" s="38" t="s">
        <v>4</v>
      </c>
      <c r="J2" s="39"/>
      <c r="K2" s="18">
        <f>SUMIF(F7:F38,"Elimination*",G7:G38)</f>
        <v>0</v>
      </c>
    </row>
    <row r="3" spans="1:11" x14ac:dyDescent="0.25">
      <c r="A3" s="42" t="s">
        <v>5</v>
      </c>
      <c r="B3" s="42"/>
      <c r="C3" s="42"/>
      <c r="D3" s="5"/>
      <c r="E3" s="42" t="s">
        <v>16</v>
      </c>
      <c r="F3" s="42"/>
      <c r="G3" s="4"/>
      <c r="H3" s="4"/>
      <c r="I3" s="38" t="s">
        <v>6</v>
      </c>
      <c r="J3" s="39"/>
      <c r="K3" s="18">
        <f>SUMIF(F7:F38,"NB*",G7:G38)</f>
        <v>0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8" t="s">
        <v>8</v>
      </c>
      <c r="J4" s="39"/>
      <c r="K4" s="18">
        <f>SUMIF(F7:F38,"Ve*",G7:G38)</f>
        <v>0</v>
      </c>
    </row>
    <row r="5" spans="1:11" ht="15.75" x14ac:dyDescent="0.25">
      <c r="A5" s="40" t="s">
        <v>18</v>
      </c>
      <c r="B5" s="40"/>
      <c r="C5" s="40"/>
      <c r="D5" s="40"/>
      <c r="E5" s="40"/>
      <c r="F5" s="40"/>
      <c r="G5" s="19"/>
      <c r="H5" s="19"/>
      <c r="I5" s="38" t="s">
        <v>9</v>
      </c>
      <c r="J5" s="39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10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42" t="s">
        <v>3</v>
      </c>
      <c r="F2" s="42"/>
      <c r="G2" s="4"/>
      <c r="H2" s="4"/>
      <c r="I2" s="38" t="s">
        <v>4</v>
      </c>
      <c r="J2" s="39"/>
      <c r="K2" s="18">
        <f>SUMIF(F7:F38,"Elimination*",G7:G38)</f>
        <v>0</v>
      </c>
    </row>
    <row r="3" spans="1:11" x14ac:dyDescent="0.25">
      <c r="A3" s="42" t="s">
        <v>5</v>
      </c>
      <c r="B3" s="42"/>
      <c r="C3" s="42"/>
      <c r="D3" s="5"/>
      <c r="E3" s="42" t="s">
        <v>16</v>
      </c>
      <c r="F3" s="42"/>
      <c r="G3" s="4"/>
      <c r="H3" s="4"/>
      <c r="I3" s="38" t="s">
        <v>6</v>
      </c>
      <c r="J3" s="39"/>
      <c r="K3" s="18">
        <f>SUMIF(F7:F38,"NB*",G7:G38)</f>
        <v>0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8" t="s">
        <v>8</v>
      </c>
      <c r="J4" s="39"/>
      <c r="K4" s="18">
        <f>SUMIF(F7:F38,"Ve*",G7:G38)</f>
        <v>0</v>
      </c>
    </row>
    <row r="5" spans="1:11" ht="15.75" x14ac:dyDescent="0.25">
      <c r="A5" s="40" t="s">
        <v>19</v>
      </c>
      <c r="B5" s="40"/>
      <c r="C5" s="40"/>
      <c r="D5" s="40"/>
      <c r="E5" s="40"/>
      <c r="F5" s="40"/>
      <c r="G5" s="19"/>
      <c r="H5" s="19"/>
      <c r="I5" s="38" t="s">
        <v>9</v>
      </c>
      <c r="J5" s="39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42" t="s">
        <v>3</v>
      </c>
      <c r="F2" s="42"/>
      <c r="G2" s="4"/>
      <c r="H2" s="4"/>
      <c r="I2" s="38" t="s">
        <v>4</v>
      </c>
      <c r="J2" s="39"/>
      <c r="K2" s="18">
        <f>SUMIF(F7:F38,"Elimination*",G7:G38)</f>
        <v>0</v>
      </c>
    </row>
    <row r="3" spans="1:11" x14ac:dyDescent="0.25">
      <c r="A3" s="42" t="s">
        <v>5</v>
      </c>
      <c r="B3" s="42"/>
      <c r="C3" s="42"/>
      <c r="D3" s="5"/>
      <c r="E3" s="42" t="s">
        <v>16</v>
      </c>
      <c r="F3" s="42"/>
      <c r="G3" s="4"/>
      <c r="H3" s="4"/>
      <c r="I3" s="38" t="s">
        <v>6</v>
      </c>
      <c r="J3" s="39"/>
      <c r="K3" s="18">
        <f>SUMIF(F7:F38,"NB*",G7:G38)</f>
        <v>0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8" t="s">
        <v>8</v>
      </c>
      <c r="J4" s="39"/>
      <c r="K4" s="18">
        <f>SUMIF(F7:F38,"Ve*",G7:G38)</f>
        <v>0</v>
      </c>
    </row>
    <row r="5" spans="1:11" ht="15.75" x14ac:dyDescent="0.25">
      <c r="A5" s="40" t="s">
        <v>20</v>
      </c>
      <c r="B5" s="40"/>
      <c r="C5" s="40"/>
      <c r="D5" s="40"/>
      <c r="E5" s="40"/>
      <c r="F5" s="40"/>
      <c r="G5" s="19"/>
      <c r="H5" s="19"/>
      <c r="I5" s="38" t="s">
        <v>9</v>
      </c>
      <c r="J5" s="39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42" t="s">
        <v>3</v>
      </c>
      <c r="F2" s="42"/>
      <c r="G2" s="4"/>
      <c r="H2" s="4"/>
      <c r="I2" s="38" t="s">
        <v>4</v>
      </c>
      <c r="J2" s="39"/>
      <c r="K2" s="18">
        <f>SUMIF(F7:F38,"Elimination*",G7:G38)</f>
        <v>0</v>
      </c>
    </row>
    <row r="3" spans="1:11" x14ac:dyDescent="0.25">
      <c r="A3" s="42" t="s">
        <v>5</v>
      </c>
      <c r="B3" s="42"/>
      <c r="C3" s="42"/>
      <c r="D3" s="5"/>
      <c r="E3" s="42" t="s">
        <v>16</v>
      </c>
      <c r="F3" s="42"/>
      <c r="G3" s="4"/>
      <c r="H3" s="4"/>
      <c r="I3" s="38" t="s">
        <v>6</v>
      </c>
      <c r="J3" s="39"/>
      <c r="K3" s="18">
        <f>SUMIF(F7:F38,"NB*",G7:G38)</f>
        <v>0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8" t="s">
        <v>8</v>
      </c>
      <c r="J4" s="39"/>
      <c r="K4" s="18">
        <f>SUMIF(F7:F38,"Ve*",G7:G38)</f>
        <v>0</v>
      </c>
    </row>
    <row r="5" spans="1:11" ht="15.75" x14ac:dyDescent="0.25">
      <c r="A5" s="40" t="s">
        <v>21</v>
      </c>
      <c r="B5" s="40"/>
      <c r="C5" s="40"/>
      <c r="D5" s="40"/>
      <c r="E5" s="40"/>
      <c r="F5" s="40"/>
      <c r="G5" s="19"/>
      <c r="H5" s="19"/>
      <c r="I5" s="38" t="s">
        <v>9</v>
      </c>
      <c r="J5" s="39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12" sqref="F1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42" t="s">
        <v>3</v>
      </c>
      <c r="F2" s="42"/>
      <c r="G2" s="4"/>
      <c r="H2" s="4"/>
      <c r="I2" s="38" t="s">
        <v>4</v>
      </c>
      <c r="J2" s="39"/>
      <c r="K2" s="18">
        <f>SUMIF(F7:F38,"Elimination*",G7:G38)</f>
        <v>3</v>
      </c>
    </row>
    <row r="3" spans="1:11" x14ac:dyDescent="0.25">
      <c r="A3" s="42" t="s">
        <v>5</v>
      </c>
      <c r="B3" s="42"/>
      <c r="C3" s="42"/>
      <c r="D3" s="5"/>
      <c r="E3" s="42" t="s">
        <v>16</v>
      </c>
      <c r="F3" s="42"/>
      <c r="G3" s="4"/>
      <c r="H3" s="4"/>
      <c r="I3" s="38" t="s">
        <v>6</v>
      </c>
      <c r="J3" s="39"/>
      <c r="K3" s="18">
        <f>SUMIF(F7:F38,"NB*",G7:G38)</f>
        <v>5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8" t="s">
        <v>8</v>
      </c>
      <c r="J4" s="39"/>
      <c r="K4" s="18">
        <f>SUMIF(F7:F38,"Ve*",G7:G38)</f>
        <v>0</v>
      </c>
    </row>
    <row r="5" spans="1:11" ht="15.75" x14ac:dyDescent="0.25">
      <c r="A5" s="40" t="s">
        <v>22</v>
      </c>
      <c r="B5" s="40"/>
      <c r="C5" s="40"/>
      <c r="D5" s="40"/>
      <c r="E5" s="40"/>
      <c r="F5" s="40"/>
      <c r="G5" s="19"/>
      <c r="H5" s="19"/>
      <c r="I5" s="38" t="s">
        <v>9</v>
      </c>
      <c r="J5" s="39"/>
      <c r="K5" s="20">
        <f>SUM(K2:K4)</f>
        <v>8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23</v>
      </c>
      <c r="C7" s="10" t="s">
        <v>24</v>
      </c>
      <c r="D7" s="23" t="s">
        <v>25</v>
      </c>
      <c r="E7" s="12">
        <v>45056</v>
      </c>
      <c r="F7" s="21" t="s">
        <v>26</v>
      </c>
      <c r="G7" s="17">
        <v>1</v>
      </c>
      <c r="H7" s="27" t="s">
        <v>27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23</v>
      </c>
      <c r="C8" s="10" t="s">
        <v>24</v>
      </c>
      <c r="D8" s="23" t="s">
        <v>37</v>
      </c>
      <c r="E8" s="12">
        <v>45056</v>
      </c>
      <c r="F8" s="21" t="s">
        <v>38</v>
      </c>
      <c r="G8" s="17">
        <v>1</v>
      </c>
      <c r="H8" s="25" t="s">
        <v>39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23</v>
      </c>
      <c r="C9" s="10" t="s">
        <v>24</v>
      </c>
      <c r="D9" s="23" t="s">
        <v>32</v>
      </c>
      <c r="E9" s="12">
        <v>45056</v>
      </c>
      <c r="F9" s="21" t="s">
        <v>31</v>
      </c>
      <c r="G9" s="17">
        <v>1</v>
      </c>
      <c r="H9" s="25" t="s">
        <v>33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23</v>
      </c>
      <c r="C10" s="10" t="s">
        <v>24</v>
      </c>
      <c r="D10" s="23" t="s">
        <v>34</v>
      </c>
      <c r="E10" s="12">
        <v>45056</v>
      </c>
      <c r="F10" s="21" t="s">
        <v>35</v>
      </c>
      <c r="G10" s="17">
        <v>1</v>
      </c>
      <c r="H10" s="25" t="s">
        <v>36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23</v>
      </c>
      <c r="C11" s="10" t="s">
        <v>24</v>
      </c>
      <c r="D11" s="23" t="s">
        <v>28</v>
      </c>
      <c r="E11" s="12">
        <v>45056</v>
      </c>
      <c r="F11" s="21" t="s">
        <v>30</v>
      </c>
      <c r="G11" s="17">
        <v>1</v>
      </c>
      <c r="H11" s="27" t="s">
        <v>29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42</v>
      </c>
      <c r="C12" s="10">
        <v>65</v>
      </c>
      <c r="D12" s="9" t="s">
        <v>40</v>
      </c>
      <c r="E12" s="12">
        <v>45057</v>
      </c>
      <c r="F12" s="21" t="s">
        <v>44</v>
      </c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43</v>
      </c>
      <c r="C13" s="10">
        <v>40</v>
      </c>
      <c r="D13" s="9" t="s">
        <v>41</v>
      </c>
      <c r="E13" s="12">
        <v>45057</v>
      </c>
      <c r="F13" s="21" t="s">
        <v>44</v>
      </c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47</v>
      </c>
      <c r="C14" s="13">
        <v>80</v>
      </c>
      <c r="D14" s="23" t="s">
        <v>45</v>
      </c>
      <c r="E14" s="12">
        <v>45070</v>
      </c>
      <c r="F14" s="24" t="s">
        <v>44</v>
      </c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H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H18" sqref="H1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42" t="s">
        <v>3</v>
      </c>
      <c r="F2" s="42"/>
      <c r="G2" s="4"/>
      <c r="H2" s="4"/>
      <c r="I2" s="38" t="s">
        <v>4</v>
      </c>
      <c r="J2" s="39"/>
      <c r="K2" s="18">
        <f>SUMIF(F7:F38,"Elimination*",G7:G38)</f>
        <v>0</v>
      </c>
    </row>
    <row r="3" spans="1:11" x14ac:dyDescent="0.25">
      <c r="A3" s="42" t="s">
        <v>5</v>
      </c>
      <c r="B3" s="42"/>
      <c r="C3" s="42"/>
      <c r="D3" s="5"/>
      <c r="E3" s="42" t="s">
        <v>16</v>
      </c>
      <c r="F3" s="42"/>
      <c r="G3" s="4"/>
      <c r="H3" s="4"/>
      <c r="I3" s="38" t="s">
        <v>6</v>
      </c>
      <c r="J3" s="39"/>
      <c r="K3" s="18">
        <f>SUMIF(F7:F38,"NB*",G7:G38)</f>
        <v>4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8" t="s">
        <v>8</v>
      </c>
      <c r="J4" s="39"/>
      <c r="K4" s="18">
        <f>SUMIF(F7:F38,"Ve*",G7:G38)</f>
        <v>0</v>
      </c>
    </row>
    <row r="5" spans="1:11" ht="15.75" x14ac:dyDescent="0.25">
      <c r="A5" s="40" t="s">
        <v>61</v>
      </c>
      <c r="B5" s="40"/>
      <c r="C5" s="40"/>
      <c r="D5" s="40"/>
      <c r="E5" s="40"/>
      <c r="F5" s="40"/>
      <c r="G5" s="19"/>
      <c r="H5" s="19"/>
      <c r="I5" s="38" t="s">
        <v>9</v>
      </c>
      <c r="J5" s="39"/>
      <c r="K5" s="20">
        <f>SUM(K2:K4)</f>
        <v>4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23</v>
      </c>
      <c r="C7" s="10" t="s">
        <v>24</v>
      </c>
      <c r="D7" s="23" t="s">
        <v>50</v>
      </c>
      <c r="E7" s="12">
        <v>45078</v>
      </c>
      <c r="F7" s="21" t="s">
        <v>56</v>
      </c>
      <c r="G7" s="17">
        <v>1</v>
      </c>
      <c r="H7" s="25" t="s">
        <v>51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23</v>
      </c>
      <c r="C8" s="10" t="s">
        <v>24</v>
      </c>
      <c r="D8" s="23" t="s">
        <v>49</v>
      </c>
      <c r="E8" s="12">
        <v>45078</v>
      </c>
      <c r="F8" s="21" t="s">
        <v>57</v>
      </c>
      <c r="G8" s="17">
        <v>1</v>
      </c>
      <c r="H8" s="25" t="s">
        <v>52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23</v>
      </c>
      <c r="C9" s="10" t="s">
        <v>24</v>
      </c>
      <c r="D9" s="23" t="s">
        <v>55</v>
      </c>
      <c r="E9" s="12">
        <v>45091</v>
      </c>
      <c r="F9" s="21" t="s">
        <v>59</v>
      </c>
      <c r="G9" s="17">
        <v>1</v>
      </c>
      <c r="H9" s="25" t="s">
        <v>58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23</v>
      </c>
      <c r="C10" s="10" t="s">
        <v>24</v>
      </c>
      <c r="D10" s="23" t="s">
        <v>53</v>
      </c>
      <c r="E10" s="12">
        <v>45091</v>
      </c>
      <c r="F10" s="21" t="s">
        <v>60</v>
      </c>
      <c r="G10" s="17">
        <v>1</v>
      </c>
      <c r="H10" s="25" t="s">
        <v>54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2"/>
      <c r="C11" s="13"/>
      <c r="D11" s="23"/>
      <c r="E11" s="12"/>
      <c r="F11" s="21"/>
      <c r="G11" s="17">
        <v>1</v>
      </c>
      <c r="H11" s="28"/>
      <c r="I11" s="31"/>
      <c r="J11" s="31"/>
      <c r="K11" s="32"/>
    </row>
    <row r="12" spans="1:11" ht="15" customHeight="1" x14ac:dyDescent="0.25">
      <c r="A12" s="15">
        <f t="shared" si="0"/>
        <v>6</v>
      </c>
      <c r="B12" s="12"/>
      <c r="C12" s="13"/>
      <c r="D12" s="23"/>
      <c r="E12" s="12"/>
      <c r="F12" s="21"/>
      <c r="G12" s="17">
        <v>1</v>
      </c>
      <c r="H12" s="25"/>
      <c r="I12" s="33"/>
      <c r="J12" s="34"/>
      <c r="K12" s="35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5"/>
      <c r="I13" s="31"/>
      <c r="J13" s="31"/>
      <c r="K13" s="32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H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I13" sqref="I12:K1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42" t="s">
        <v>3</v>
      </c>
      <c r="F2" s="42"/>
      <c r="G2" s="4"/>
      <c r="H2" s="4"/>
      <c r="I2" s="38" t="s">
        <v>4</v>
      </c>
      <c r="J2" s="39"/>
      <c r="K2" s="18">
        <f>SUMIF(F7:F38,"Elimination*",G7:G38)</f>
        <v>0</v>
      </c>
    </row>
    <row r="3" spans="1:11" x14ac:dyDescent="0.25">
      <c r="A3" s="42" t="s">
        <v>5</v>
      </c>
      <c r="B3" s="42"/>
      <c r="C3" s="42"/>
      <c r="D3" s="5"/>
      <c r="E3" s="42" t="s">
        <v>16</v>
      </c>
      <c r="F3" s="42"/>
      <c r="G3" s="4"/>
      <c r="H3" s="4"/>
      <c r="I3" s="38" t="s">
        <v>6</v>
      </c>
      <c r="J3" s="39"/>
      <c r="K3" s="18">
        <f>SUMIF(F7:F38,"NB*",G7:G38)</f>
        <v>0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8" t="s">
        <v>8</v>
      </c>
      <c r="J4" s="39"/>
      <c r="K4" s="18">
        <f>SUMIF(F7:F38,"Ve*",G7:G38)</f>
        <v>0</v>
      </c>
    </row>
    <row r="5" spans="1:11" ht="15.75" x14ac:dyDescent="0.25">
      <c r="A5" s="40" t="s">
        <v>62</v>
      </c>
      <c r="B5" s="40"/>
      <c r="C5" s="40"/>
      <c r="D5" s="40"/>
      <c r="E5" s="40"/>
      <c r="F5" s="40"/>
      <c r="G5" s="19"/>
      <c r="H5" s="19"/>
      <c r="I5" s="38" t="s">
        <v>9</v>
      </c>
      <c r="J5" s="39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</row>
    <row r="11" spans="1:11" ht="15" customHeight="1" x14ac:dyDescent="0.25">
      <c r="A11" s="15">
        <f t="shared" si="0"/>
        <v>5</v>
      </c>
      <c r="B11" s="12"/>
      <c r="C11" s="13"/>
      <c r="D11" s="23"/>
      <c r="E11" s="12"/>
      <c r="F11" s="21"/>
      <c r="G11" s="17">
        <v>1</v>
      </c>
      <c r="H11" s="28"/>
    </row>
    <row r="12" spans="1:11" ht="15" customHeight="1" x14ac:dyDescent="0.25">
      <c r="A12" s="15">
        <f t="shared" si="0"/>
        <v>6</v>
      </c>
      <c r="B12" s="12"/>
      <c r="C12" s="13"/>
      <c r="D12" s="23"/>
      <c r="E12" s="12"/>
      <c r="F12" s="21"/>
      <c r="G12" s="17">
        <v>1</v>
      </c>
      <c r="H12" s="25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5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L18" sqref="L1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42" t="s">
        <v>3</v>
      </c>
      <c r="F2" s="42"/>
      <c r="G2" s="4"/>
      <c r="H2" s="4"/>
      <c r="I2" s="38" t="s">
        <v>4</v>
      </c>
      <c r="J2" s="39"/>
      <c r="K2" s="18">
        <f>SUMIF(F7:F38,"Elimination*",G7:G38)</f>
        <v>2</v>
      </c>
    </row>
    <row r="3" spans="1:11" x14ac:dyDescent="0.25">
      <c r="A3" s="42" t="s">
        <v>5</v>
      </c>
      <c r="B3" s="42"/>
      <c r="C3" s="42"/>
      <c r="D3" s="5"/>
      <c r="E3" s="42" t="s">
        <v>16</v>
      </c>
      <c r="F3" s="42"/>
      <c r="G3" s="4"/>
      <c r="H3" s="4"/>
      <c r="I3" s="38" t="s">
        <v>6</v>
      </c>
      <c r="J3" s="39"/>
      <c r="K3" s="18">
        <f>SUMIF(F7:F38,"NB*",G7:G38)</f>
        <v>0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8" t="s">
        <v>8</v>
      </c>
      <c r="J4" s="39"/>
      <c r="K4" s="18">
        <f>SUMIF(F7:F38,"Ve*",G7:G38)</f>
        <v>0</v>
      </c>
    </row>
    <row r="5" spans="1:11" ht="15.75" x14ac:dyDescent="0.25">
      <c r="A5" s="40" t="s">
        <v>63</v>
      </c>
      <c r="B5" s="40"/>
      <c r="C5" s="40"/>
      <c r="D5" s="40"/>
      <c r="E5" s="40"/>
      <c r="F5" s="40"/>
      <c r="G5" s="19"/>
      <c r="H5" s="19"/>
      <c r="I5" s="38" t="s">
        <v>9</v>
      </c>
      <c r="J5" s="39"/>
      <c r="K5" s="20">
        <f>SUM(K2:K4)</f>
        <v>2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67</v>
      </c>
      <c r="C7" s="10" t="s">
        <v>24</v>
      </c>
      <c r="D7" s="23" t="s">
        <v>65</v>
      </c>
      <c r="E7" s="12">
        <v>45167</v>
      </c>
      <c r="F7" s="21" t="s">
        <v>44</v>
      </c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66</v>
      </c>
      <c r="C8" s="10" t="s">
        <v>24</v>
      </c>
      <c r="D8" s="23" t="s">
        <v>64</v>
      </c>
      <c r="E8" s="12">
        <v>45167</v>
      </c>
      <c r="F8" s="21" t="s">
        <v>44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2"/>
      <c r="C11" s="13"/>
      <c r="D11" s="23"/>
      <c r="E11" s="12"/>
      <c r="F11" s="21"/>
      <c r="G11" s="17">
        <v>1</v>
      </c>
    </row>
    <row r="12" spans="1:11" ht="15" customHeight="1" x14ac:dyDescent="0.25">
      <c r="A12" s="15">
        <f t="shared" si="0"/>
        <v>6</v>
      </c>
      <c r="B12" s="12"/>
      <c r="C12" s="13"/>
      <c r="D12" s="23"/>
      <c r="E12" s="12"/>
      <c r="F12" s="21"/>
      <c r="G12" s="17">
        <v>1</v>
      </c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F8">
    <sortCondition ref="E7:E8"/>
    <sortCondition ref="D7:D8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selection activeCell="H12" sqref="H1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2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2" ht="15.75" x14ac:dyDescent="0.25">
      <c r="A2" s="41" t="s">
        <v>2</v>
      </c>
      <c r="B2" s="41"/>
      <c r="C2" s="41"/>
      <c r="D2" s="6"/>
      <c r="E2" s="42" t="s">
        <v>3</v>
      </c>
      <c r="F2" s="42"/>
      <c r="G2" s="4"/>
      <c r="H2" s="4"/>
      <c r="I2" s="38" t="s">
        <v>4</v>
      </c>
      <c r="J2" s="39"/>
      <c r="K2" s="18">
        <f>SUMIF(F7:F38,"Elimination*",G7:G38)</f>
        <v>0</v>
      </c>
    </row>
    <row r="3" spans="1:12" x14ac:dyDescent="0.25">
      <c r="A3" s="42" t="s">
        <v>5</v>
      </c>
      <c r="B3" s="42"/>
      <c r="C3" s="42"/>
      <c r="D3" s="5"/>
      <c r="E3" s="42" t="s">
        <v>16</v>
      </c>
      <c r="F3" s="42"/>
      <c r="G3" s="4"/>
      <c r="H3" s="4"/>
      <c r="I3" s="38" t="s">
        <v>6</v>
      </c>
      <c r="J3" s="39"/>
      <c r="K3" s="18">
        <f>SUMIF(F7:F38,"NB*",G7:G38)</f>
        <v>4</v>
      </c>
    </row>
    <row r="4" spans="1:12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8" t="s">
        <v>8</v>
      </c>
      <c r="J4" s="39"/>
      <c r="K4" s="18">
        <f>SUMIF(F7:F38,"Ve*",G7:G38)</f>
        <v>0</v>
      </c>
    </row>
    <row r="5" spans="1:12" ht="15.75" x14ac:dyDescent="0.25">
      <c r="A5" s="40" t="s">
        <v>68</v>
      </c>
      <c r="B5" s="40"/>
      <c r="C5" s="40"/>
      <c r="D5" s="40"/>
      <c r="E5" s="40"/>
      <c r="F5" s="40"/>
      <c r="G5" s="19"/>
      <c r="H5" s="19"/>
      <c r="I5" s="38" t="s">
        <v>9</v>
      </c>
      <c r="J5" s="39"/>
      <c r="K5" s="20">
        <f>SUM(K2:K4)</f>
        <v>4</v>
      </c>
    </row>
    <row r="6" spans="1:12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2" ht="15" customHeight="1" x14ac:dyDescent="0.25">
      <c r="A7" s="15">
        <v>1</v>
      </c>
      <c r="B7" s="13" t="s">
        <v>23</v>
      </c>
      <c r="C7" s="10" t="s">
        <v>24</v>
      </c>
      <c r="D7" s="23" t="s">
        <v>69</v>
      </c>
      <c r="E7" s="12">
        <v>45193</v>
      </c>
      <c r="F7" s="21" t="s">
        <v>70</v>
      </c>
      <c r="G7" s="17">
        <v>1</v>
      </c>
      <c r="H7" s="25" t="s">
        <v>71</v>
      </c>
      <c r="I7" s="16"/>
      <c r="J7" s="16"/>
      <c r="K7" s="1"/>
    </row>
    <row r="8" spans="1:12" ht="15" customHeight="1" x14ac:dyDescent="0.25">
      <c r="A8" s="15">
        <f>+A7+1</f>
        <v>2</v>
      </c>
      <c r="B8" s="13" t="s">
        <v>23</v>
      </c>
      <c r="C8" s="10" t="s">
        <v>24</v>
      </c>
      <c r="D8" s="23" t="s">
        <v>74</v>
      </c>
      <c r="E8" s="12">
        <v>45193</v>
      </c>
      <c r="F8" s="21" t="s">
        <v>72</v>
      </c>
      <c r="G8" s="17">
        <v>1</v>
      </c>
      <c r="H8" s="25" t="s">
        <v>73</v>
      </c>
      <c r="I8" s="2"/>
      <c r="J8" s="2"/>
      <c r="K8" s="1"/>
    </row>
    <row r="9" spans="1:12" ht="15" customHeight="1" x14ac:dyDescent="0.25">
      <c r="A9" s="15">
        <f t="shared" ref="A9:A46" si="0">+A8+1</f>
        <v>3</v>
      </c>
      <c r="B9" s="13" t="s">
        <v>23</v>
      </c>
      <c r="C9" s="10" t="s">
        <v>24</v>
      </c>
      <c r="D9" s="23" t="s">
        <v>75</v>
      </c>
      <c r="E9" s="12">
        <v>45193</v>
      </c>
      <c r="F9" s="21" t="s">
        <v>76</v>
      </c>
      <c r="G9" s="17">
        <v>1</v>
      </c>
      <c r="H9" s="25" t="s">
        <v>77</v>
      </c>
      <c r="I9" s="2"/>
      <c r="J9" s="2"/>
      <c r="K9" s="1"/>
    </row>
    <row r="10" spans="1:12" ht="15" customHeight="1" x14ac:dyDescent="0.25">
      <c r="A10" s="15">
        <f t="shared" si="0"/>
        <v>4</v>
      </c>
      <c r="B10" s="13" t="s">
        <v>23</v>
      </c>
      <c r="C10" s="10" t="s">
        <v>24</v>
      </c>
      <c r="D10" s="23" t="s">
        <v>78</v>
      </c>
      <c r="E10" s="12">
        <v>45193</v>
      </c>
      <c r="F10" s="21" t="s">
        <v>79</v>
      </c>
      <c r="G10" s="17">
        <v>1</v>
      </c>
      <c r="H10" s="25" t="s">
        <v>80</v>
      </c>
      <c r="I10" s="2"/>
      <c r="J10" s="2"/>
      <c r="K10" s="1"/>
    </row>
    <row r="11" spans="1:12" ht="15" customHeight="1" x14ac:dyDescent="0.25">
      <c r="A11" s="15">
        <f t="shared" si="0"/>
        <v>5</v>
      </c>
      <c r="B11" s="12"/>
      <c r="C11" s="13"/>
      <c r="D11" s="23"/>
      <c r="E11" s="12"/>
      <c r="F11" s="21"/>
      <c r="G11" s="17">
        <v>1</v>
      </c>
      <c r="H11" s="28"/>
      <c r="I11" s="2"/>
      <c r="J11" s="2"/>
      <c r="K11" s="1"/>
    </row>
    <row r="12" spans="1:12" ht="15" customHeight="1" x14ac:dyDescent="0.25">
      <c r="A12" s="15">
        <f t="shared" si="0"/>
        <v>6</v>
      </c>
      <c r="B12" s="12"/>
      <c r="C12" s="13"/>
      <c r="D12" s="23"/>
      <c r="E12" s="12"/>
      <c r="F12" s="21"/>
      <c r="G12" s="17">
        <v>1</v>
      </c>
      <c r="H12" s="25"/>
      <c r="I12" s="33"/>
      <c r="J12" s="34"/>
      <c r="K12" s="35"/>
      <c r="L12" s="36"/>
    </row>
    <row r="13" spans="1:12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5"/>
      <c r="I13" s="2"/>
      <c r="J13" s="2"/>
      <c r="K13" s="1"/>
    </row>
    <row r="14" spans="1:12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2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2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H14" sqref="H1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42" t="s">
        <v>3</v>
      </c>
      <c r="F2" s="42"/>
      <c r="G2" s="4"/>
      <c r="H2" s="4"/>
      <c r="I2" s="38" t="s">
        <v>4</v>
      </c>
      <c r="J2" s="39"/>
      <c r="K2" s="18">
        <f>SUMIF(F7:F38,"Elimination*",G7:G38)</f>
        <v>0</v>
      </c>
    </row>
    <row r="3" spans="1:11" x14ac:dyDescent="0.25">
      <c r="A3" s="42" t="s">
        <v>5</v>
      </c>
      <c r="B3" s="42"/>
      <c r="C3" s="42"/>
      <c r="D3" s="5"/>
      <c r="E3" s="42" t="s">
        <v>16</v>
      </c>
      <c r="F3" s="42"/>
      <c r="G3" s="4"/>
      <c r="H3" s="4"/>
      <c r="I3" s="38" t="s">
        <v>6</v>
      </c>
      <c r="J3" s="39"/>
      <c r="K3" s="18">
        <f>SUMIF(F7:F38,"NB*",G7:G38)</f>
        <v>1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8" t="s">
        <v>8</v>
      </c>
      <c r="J4" s="39"/>
      <c r="K4" s="18">
        <f>SUMIF(F7:F38,"Ve*",G7:G38)</f>
        <v>0</v>
      </c>
    </row>
    <row r="5" spans="1:11" ht="15.75" x14ac:dyDescent="0.25">
      <c r="A5" s="40" t="s">
        <v>81</v>
      </c>
      <c r="B5" s="40"/>
      <c r="C5" s="40"/>
      <c r="D5" s="40"/>
      <c r="E5" s="40"/>
      <c r="F5" s="40"/>
      <c r="G5" s="19"/>
      <c r="H5" s="19"/>
      <c r="I5" s="38" t="s">
        <v>9</v>
      </c>
      <c r="J5" s="39"/>
      <c r="K5" s="20">
        <f>SUM(K2:K4)</f>
        <v>1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23</v>
      </c>
      <c r="C7" s="10" t="s">
        <v>24</v>
      </c>
      <c r="D7" s="23" t="s">
        <v>82</v>
      </c>
      <c r="E7" s="12">
        <v>45201</v>
      </c>
      <c r="F7" s="21" t="s">
        <v>83</v>
      </c>
      <c r="G7" s="17">
        <v>1</v>
      </c>
      <c r="H7" s="25" t="s">
        <v>84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2"/>
      <c r="C11" s="13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2"/>
      <c r="C12" s="13"/>
      <c r="D12" s="23"/>
      <c r="E12" s="12"/>
      <c r="F12" s="21"/>
      <c r="G12" s="17">
        <v>1</v>
      </c>
      <c r="H12" s="25"/>
      <c r="I12" s="12" t="s">
        <v>48</v>
      </c>
      <c r="J12" s="13">
        <v>80</v>
      </c>
      <c r="K12" s="23" t="s">
        <v>46</v>
      </c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25" workbookViewId="0">
      <selection activeCell="H10" sqref="H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42" t="s">
        <v>3</v>
      </c>
      <c r="F2" s="42"/>
      <c r="G2" s="4"/>
      <c r="H2" s="4"/>
      <c r="I2" s="38" t="s">
        <v>4</v>
      </c>
      <c r="J2" s="39"/>
      <c r="K2" s="18">
        <f>SUMIF(F7:F38,"Elimination*",G7:G38)</f>
        <v>0</v>
      </c>
    </row>
    <row r="3" spans="1:11" x14ac:dyDescent="0.25">
      <c r="A3" s="42" t="s">
        <v>5</v>
      </c>
      <c r="B3" s="42"/>
      <c r="C3" s="42"/>
      <c r="D3" s="5"/>
      <c r="E3" s="42" t="s">
        <v>16</v>
      </c>
      <c r="F3" s="42"/>
      <c r="G3" s="4"/>
      <c r="H3" s="4"/>
      <c r="I3" s="38" t="s">
        <v>6</v>
      </c>
      <c r="J3" s="39"/>
      <c r="K3" s="18">
        <f>SUMIF(F7:F38,"NB*",G7:G38)</f>
        <v>0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8" t="s">
        <v>8</v>
      </c>
      <c r="J4" s="39"/>
      <c r="K4" s="18">
        <f>SUMIF(F7:F38,"Ve*",G7:G38)</f>
        <v>0</v>
      </c>
    </row>
    <row r="5" spans="1:11" ht="15.75" x14ac:dyDescent="0.25">
      <c r="A5" s="40" t="s">
        <v>85</v>
      </c>
      <c r="B5" s="40"/>
      <c r="C5" s="40"/>
      <c r="D5" s="40"/>
      <c r="E5" s="40"/>
      <c r="F5" s="40"/>
      <c r="G5" s="19"/>
      <c r="H5" s="19"/>
      <c r="I5" s="38" t="s">
        <v>9</v>
      </c>
      <c r="J5" s="39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2"/>
      <c r="C11" s="13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2"/>
      <c r="C12" s="13"/>
      <c r="D12" s="23"/>
      <c r="E12" s="12"/>
      <c r="F12" s="21"/>
      <c r="G12" s="17">
        <v>1</v>
      </c>
      <c r="H12" s="25"/>
      <c r="I12" s="12" t="s">
        <v>48</v>
      </c>
      <c r="J12" s="13">
        <v>80</v>
      </c>
      <c r="K12" s="23" t="s">
        <v>46</v>
      </c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7" t="s">
        <v>0</v>
      </c>
      <c r="B1" s="37"/>
      <c r="C1" s="37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41" t="s">
        <v>2</v>
      </c>
      <c r="B2" s="41"/>
      <c r="C2" s="41"/>
      <c r="D2" s="6"/>
      <c r="E2" s="42" t="s">
        <v>3</v>
      </c>
      <c r="F2" s="42"/>
      <c r="G2" s="4"/>
      <c r="H2" s="4"/>
      <c r="I2" s="38" t="s">
        <v>4</v>
      </c>
      <c r="J2" s="39"/>
      <c r="K2" s="18">
        <f>SUMIF(F7:F38,"Elimination*",G7:G38)</f>
        <v>0</v>
      </c>
    </row>
    <row r="3" spans="1:11" x14ac:dyDescent="0.25">
      <c r="A3" s="42" t="s">
        <v>5</v>
      </c>
      <c r="B3" s="42"/>
      <c r="C3" s="42"/>
      <c r="D3" s="5"/>
      <c r="E3" s="42" t="s">
        <v>16</v>
      </c>
      <c r="F3" s="42"/>
      <c r="G3" s="4"/>
      <c r="H3" s="4"/>
      <c r="I3" s="38" t="s">
        <v>6</v>
      </c>
      <c r="J3" s="39"/>
      <c r="K3" s="18">
        <f>SUMIF(F7:F38,"NB*",G7:G38)</f>
        <v>0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8" t="s">
        <v>8</v>
      </c>
      <c r="J4" s="39"/>
      <c r="K4" s="18">
        <f>SUMIF(F7:F38,"Ve*",G7:G38)</f>
        <v>0</v>
      </c>
    </row>
    <row r="5" spans="1:11" ht="15.75" x14ac:dyDescent="0.25">
      <c r="A5" s="40" t="s">
        <v>86</v>
      </c>
      <c r="B5" s="40"/>
      <c r="C5" s="40"/>
      <c r="D5" s="40"/>
      <c r="E5" s="40"/>
      <c r="F5" s="40"/>
      <c r="G5" s="19"/>
      <c r="H5" s="19"/>
      <c r="I5" s="38" t="s">
        <v>9</v>
      </c>
      <c r="J5" s="39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2"/>
      <c r="C11" s="13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2"/>
      <c r="C12" s="13"/>
      <c r="D12" s="23"/>
      <c r="E12" s="12"/>
      <c r="F12" s="21"/>
      <c r="G12" s="17">
        <v>1</v>
      </c>
      <c r="H12" s="25"/>
      <c r="I12" s="12" t="s">
        <v>48</v>
      </c>
      <c r="J12" s="13">
        <v>80</v>
      </c>
      <c r="K12" s="23" t="s">
        <v>46</v>
      </c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2023</vt:lpstr>
      <vt:lpstr>FEVRIER 2023</vt:lpstr>
      <vt:lpstr>MARS 2023</vt:lpstr>
      <vt:lpstr>AVRIL 2023</vt:lpstr>
      <vt:lpstr>MAI 2023</vt:lpstr>
      <vt:lpstr>JUIN 2023</vt:lpstr>
      <vt:lpstr>JUILLET 2023</vt:lpstr>
      <vt:lpstr>AOUT 2023</vt:lpstr>
      <vt:lpstr>SEPTEMBRE 2023</vt:lpstr>
      <vt:lpstr>OCTOBRE 2023</vt:lpstr>
      <vt:lpstr>NOVEMBRE 2023</vt:lpstr>
      <vt:lpstr>DECEMBRE 2023</vt:lpstr>
      <vt:lpstr>'AOUT 2023'!Impression_des_titres</vt:lpstr>
      <vt:lpstr>'AVRIL 2023'!Impression_des_titres</vt:lpstr>
      <vt:lpstr>'DECEMBRE 2023'!Impression_des_titres</vt:lpstr>
      <vt:lpstr>'FEVRIER 2023'!Impression_des_titres</vt:lpstr>
      <vt:lpstr>'JANVIER 2023'!Impression_des_titres</vt:lpstr>
      <vt:lpstr>'JUILLET 2023'!Impression_des_titres</vt:lpstr>
      <vt:lpstr>'JUIN 2023'!Impression_des_titres</vt:lpstr>
      <vt:lpstr>'MAI 2023'!Impression_des_titres</vt:lpstr>
      <vt:lpstr>'MARS 2023'!Impression_des_titres</vt:lpstr>
      <vt:lpstr>'NOVEMBRE 2023'!Impression_des_titres</vt:lpstr>
      <vt:lpstr>'OCTOBRE 2023'!Impression_des_titres</vt:lpstr>
      <vt:lpstr>'SEPTEMBRE 2023'!Impression_des_titres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2023-10-02T14:37:54Z</cp:lastPrinted>
  <dcterms:created xsi:type="dcterms:W3CDTF">2014-12-31T15:00:30Z</dcterms:created>
  <dcterms:modified xsi:type="dcterms:W3CDTF">2024-01-02T09:01:13Z</dcterms:modified>
</cp:coreProperties>
</file>