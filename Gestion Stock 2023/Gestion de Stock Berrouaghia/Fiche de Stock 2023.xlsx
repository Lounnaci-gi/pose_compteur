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Berrouaghia\"/>
    </mc:Choice>
  </mc:AlternateContent>
  <bookViews>
    <workbookView xWindow="555" yWindow="75" windowWidth="11700" windowHeight="5505" firstSheet="8" activeTab="11"/>
  </bookViews>
  <sheets>
    <sheet name="JANVIER 2023" sheetId="23" r:id="rId1"/>
    <sheet name="FEVRIER 2023" sheetId="24" r:id="rId2"/>
    <sheet name="MARS 2023" sheetId="25" r:id="rId3"/>
    <sheet name="AVRIL 2023" sheetId="26" r:id="rId4"/>
    <sheet name="MAI 2023" sheetId="27" r:id="rId5"/>
    <sheet name="JUIN 2023" sheetId="28" r:id="rId6"/>
    <sheet name="JUILLET 2023" sheetId="29" r:id="rId7"/>
    <sheet name="AOUT 2023" sheetId="30" r:id="rId8"/>
    <sheet name="SEPTEMBRE 2023" sheetId="31" r:id="rId9"/>
    <sheet name="OCTOBRE 2023" sheetId="32" r:id="rId10"/>
    <sheet name="NOVEMBRE 2023" sheetId="33" r:id="rId11"/>
    <sheet name="DECEMBRE 2023" sheetId="34" r:id="rId12"/>
  </sheets>
  <calcPr calcId="162913"/>
</workbook>
</file>

<file path=xl/calcChain.xml><?xml version="1.0" encoding="utf-8"?>
<calcChain xmlns="http://schemas.openxmlformats.org/spreadsheetml/2006/main">
  <c r="J40" i="34" l="1"/>
  <c r="I40" i="34"/>
  <c r="H40" i="34"/>
  <c r="G40" i="34"/>
  <c r="E40" i="34"/>
  <c r="D40" i="34"/>
  <c r="C40" i="34"/>
  <c r="B40" i="34"/>
  <c r="K39" i="34"/>
  <c r="F39" i="34"/>
  <c r="L39" i="34" s="1"/>
  <c r="K38" i="34"/>
  <c r="F38" i="34"/>
  <c r="L38" i="34" s="1"/>
  <c r="K37" i="34"/>
  <c r="F37" i="34"/>
  <c r="L37" i="34" s="1"/>
  <c r="L36" i="34"/>
  <c r="K36" i="34"/>
  <c r="F36" i="34"/>
  <c r="K35" i="34"/>
  <c r="F35" i="34"/>
  <c r="K34" i="34"/>
  <c r="F34" i="34"/>
  <c r="K33" i="34"/>
  <c r="F33" i="34"/>
  <c r="L33" i="34" s="1"/>
  <c r="L32" i="34"/>
  <c r="K32" i="34"/>
  <c r="F32" i="34"/>
  <c r="K31" i="34"/>
  <c r="F31" i="34"/>
  <c r="K30" i="34"/>
  <c r="F30" i="34"/>
  <c r="L30" i="34" s="1"/>
  <c r="K29" i="34"/>
  <c r="F29" i="34"/>
  <c r="L29" i="34" s="1"/>
  <c r="K28" i="34"/>
  <c r="F28" i="34"/>
  <c r="L28" i="34" s="1"/>
  <c r="K27" i="34"/>
  <c r="F27" i="34"/>
  <c r="K26" i="34"/>
  <c r="F26" i="34"/>
  <c r="K25" i="34"/>
  <c r="F25" i="34"/>
  <c r="K24" i="34"/>
  <c r="F24" i="34"/>
  <c r="L24" i="34" s="1"/>
  <c r="K23" i="34"/>
  <c r="F23" i="34"/>
  <c r="K22" i="34"/>
  <c r="F22" i="34"/>
  <c r="L22" i="34" s="1"/>
  <c r="K21" i="34"/>
  <c r="F21" i="34"/>
  <c r="L21" i="34" s="1"/>
  <c r="K20" i="34"/>
  <c r="F20" i="34"/>
  <c r="L20" i="34" s="1"/>
  <c r="K19" i="34"/>
  <c r="F19" i="34"/>
  <c r="K18" i="34"/>
  <c r="F18" i="34"/>
  <c r="L18" i="34" s="1"/>
  <c r="K17" i="34"/>
  <c r="F17" i="34"/>
  <c r="L17" i="34" s="1"/>
  <c r="K16" i="34"/>
  <c r="F16" i="34"/>
  <c r="L16" i="34" s="1"/>
  <c r="K15" i="34"/>
  <c r="F15" i="34"/>
  <c r="K14" i="34"/>
  <c r="F14" i="34"/>
  <c r="L14" i="34" s="1"/>
  <c r="K13" i="34"/>
  <c r="F13" i="34"/>
  <c r="K12" i="34"/>
  <c r="F12" i="34"/>
  <c r="K11" i="34"/>
  <c r="L11" i="34" s="1"/>
  <c r="F11" i="34"/>
  <c r="K10" i="34"/>
  <c r="F10" i="34"/>
  <c r="L10" i="34" s="1"/>
  <c r="K9" i="34"/>
  <c r="F9" i="34"/>
  <c r="L9" i="34" s="1"/>
  <c r="L26" i="34" l="1"/>
  <c r="L25" i="34"/>
  <c r="L13" i="34"/>
  <c r="L12" i="34"/>
  <c r="K40" i="34"/>
  <c r="L34" i="34"/>
  <c r="L27" i="34"/>
  <c r="L31" i="34"/>
  <c r="L19" i="34"/>
  <c r="L35" i="34"/>
  <c r="L15" i="34"/>
  <c r="L23" i="34"/>
  <c r="F40" i="34"/>
  <c r="J40" i="33"/>
  <c r="I40" i="33"/>
  <c r="H40" i="33"/>
  <c r="G40" i="33"/>
  <c r="E40" i="33"/>
  <c r="D40" i="33"/>
  <c r="C40" i="33"/>
  <c r="B40" i="33"/>
  <c r="L39" i="33"/>
  <c r="K39" i="33"/>
  <c r="F39" i="33"/>
  <c r="K38" i="33"/>
  <c r="F38" i="33"/>
  <c r="L38" i="33" s="1"/>
  <c r="K37" i="33"/>
  <c r="F37" i="33"/>
  <c r="L37" i="33" s="1"/>
  <c r="L36" i="33"/>
  <c r="K36" i="33"/>
  <c r="F36" i="33"/>
  <c r="K35" i="33"/>
  <c r="F35" i="33"/>
  <c r="L35" i="33" s="1"/>
  <c r="K34" i="33"/>
  <c r="F34" i="33"/>
  <c r="L34" i="33" s="1"/>
  <c r="K33" i="33"/>
  <c r="F33" i="33"/>
  <c r="L33" i="33" s="1"/>
  <c r="K32" i="33"/>
  <c r="F32" i="33"/>
  <c r="L32" i="33" s="1"/>
  <c r="K31" i="33"/>
  <c r="F31" i="33"/>
  <c r="K30" i="33"/>
  <c r="F30" i="33"/>
  <c r="K29" i="33"/>
  <c r="F29" i="33"/>
  <c r="K28" i="33"/>
  <c r="F28" i="33"/>
  <c r="L28" i="33" s="1"/>
  <c r="K27" i="33"/>
  <c r="F27" i="33"/>
  <c r="K26" i="33"/>
  <c r="F26" i="33"/>
  <c r="L26" i="33" s="1"/>
  <c r="K25" i="33"/>
  <c r="F25" i="33"/>
  <c r="K24" i="33"/>
  <c r="F24" i="33"/>
  <c r="L24" i="33" s="1"/>
  <c r="L23" i="33"/>
  <c r="K23" i="33"/>
  <c r="F23" i="33"/>
  <c r="K22" i="33"/>
  <c r="F22" i="33"/>
  <c r="L22" i="33" s="1"/>
  <c r="K21" i="33"/>
  <c r="F21" i="33"/>
  <c r="L21" i="33" s="1"/>
  <c r="K20" i="33"/>
  <c r="F20" i="33"/>
  <c r="L20" i="33" s="1"/>
  <c r="K19" i="33"/>
  <c r="L19" i="33" s="1"/>
  <c r="F19" i="33"/>
  <c r="K18" i="33"/>
  <c r="F18" i="33"/>
  <c r="L18" i="33" s="1"/>
  <c r="K17" i="33"/>
  <c r="F17" i="33"/>
  <c r="L17" i="33" s="1"/>
  <c r="K16" i="33"/>
  <c r="F16" i="33"/>
  <c r="L16" i="33" s="1"/>
  <c r="K15" i="33"/>
  <c r="F15" i="33"/>
  <c r="K14" i="33"/>
  <c r="F14" i="33"/>
  <c r="L14" i="33" s="1"/>
  <c r="K13" i="33"/>
  <c r="F13" i="33"/>
  <c r="L13" i="33" s="1"/>
  <c r="K12" i="33"/>
  <c r="F12" i="33"/>
  <c r="L12" i="33" s="1"/>
  <c r="K11" i="33"/>
  <c r="L11" i="33" s="1"/>
  <c r="F11" i="33"/>
  <c r="K10" i="33"/>
  <c r="F10" i="33"/>
  <c r="L10" i="33" s="1"/>
  <c r="K9" i="33"/>
  <c r="F9" i="33"/>
  <c r="L9" i="33" s="1"/>
  <c r="L40" i="34" l="1"/>
  <c r="G46" i="34" s="1"/>
  <c r="G47" i="34" s="1"/>
  <c r="G49" i="34" s="1"/>
  <c r="L30" i="33"/>
  <c r="K40" i="33"/>
  <c r="L25" i="33"/>
  <c r="L27" i="33"/>
  <c r="L29" i="33"/>
  <c r="L31" i="33"/>
  <c r="L15" i="33"/>
  <c r="F40" i="33"/>
  <c r="J40" i="32"/>
  <c r="I40" i="32"/>
  <c r="H40" i="32"/>
  <c r="G40" i="32"/>
  <c r="E40" i="32"/>
  <c r="D40" i="32"/>
  <c r="C40" i="32"/>
  <c r="B40" i="32"/>
  <c r="K39" i="32"/>
  <c r="F39" i="32"/>
  <c r="L39" i="32" s="1"/>
  <c r="K38" i="32"/>
  <c r="F38" i="32"/>
  <c r="L38" i="32" s="1"/>
  <c r="K37" i="32"/>
  <c r="F37" i="32"/>
  <c r="L37" i="32" s="1"/>
  <c r="K36" i="32"/>
  <c r="F36" i="32"/>
  <c r="K35" i="32"/>
  <c r="F35" i="32"/>
  <c r="L35" i="32" s="1"/>
  <c r="K34" i="32"/>
  <c r="F34" i="32"/>
  <c r="L34" i="32" s="1"/>
  <c r="K33" i="32"/>
  <c r="F33" i="32"/>
  <c r="L33" i="32" s="1"/>
  <c r="K32" i="32"/>
  <c r="F32" i="32"/>
  <c r="K31" i="32"/>
  <c r="F31" i="32"/>
  <c r="K30" i="32"/>
  <c r="F30" i="32"/>
  <c r="L30" i="32" s="1"/>
  <c r="K29" i="32"/>
  <c r="F29" i="32"/>
  <c r="L29" i="32" s="1"/>
  <c r="K28" i="32"/>
  <c r="L28" i="32" s="1"/>
  <c r="F28" i="32"/>
  <c r="K27" i="32"/>
  <c r="F27" i="32"/>
  <c r="K26" i="32"/>
  <c r="F26" i="32"/>
  <c r="K25" i="32"/>
  <c r="F25" i="32"/>
  <c r="L25" i="32" s="1"/>
  <c r="K24" i="32"/>
  <c r="F24" i="32"/>
  <c r="K23" i="32"/>
  <c r="F23" i="32"/>
  <c r="L23" i="32" s="1"/>
  <c r="K22" i="32"/>
  <c r="F22" i="32"/>
  <c r="L22" i="32" s="1"/>
  <c r="K21" i="32"/>
  <c r="F21" i="32"/>
  <c r="K20" i="32"/>
  <c r="F20" i="32"/>
  <c r="K19" i="32"/>
  <c r="F19" i="32"/>
  <c r="K18" i="32"/>
  <c r="F18" i="32"/>
  <c r="L18" i="32" s="1"/>
  <c r="K17" i="32"/>
  <c r="F17" i="32"/>
  <c r="K16" i="32"/>
  <c r="F16" i="32"/>
  <c r="K15" i="32"/>
  <c r="F15" i="32"/>
  <c r="K14" i="32"/>
  <c r="F14" i="32"/>
  <c r="L14" i="32" s="1"/>
  <c r="K13" i="32"/>
  <c r="F13" i="32"/>
  <c r="K12" i="32"/>
  <c r="F12" i="32"/>
  <c r="K11" i="32"/>
  <c r="F11" i="32"/>
  <c r="K10" i="32"/>
  <c r="F10" i="32"/>
  <c r="L10" i="32" s="1"/>
  <c r="K9" i="32"/>
  <c r="L9" i="32" s="1"/>
  <c r="F9" i="32"/>
  <c r="L40" i="33" l="1"/>
  <c r="G46" i="33" s="1"/>
  <c r="G47" i="33" s="1"/>
  <c r="G49" i="33" s="1"/>
  <c r="L31" i="32"/>
  <c r="L21" i="32"/>
  <c r="L36" i="32"/>
  <c r="L16" i="32"/>
  <c r="L20" i="32"/>
  <c r="L26" i="32"/>
  <c r="L32" i="32"/>
  <c r="L27" i="32"/>
  <c r="L11" i="32"/>
  <c r="L13" i="32"/>
  <c r="L15" i="32"/>
  <c r="L17" i="32"/>
  <c r="L19" i="32"/>
  <c r="K40" i="32"/>
  <c r="L24" i="32"/>
  <c r="F40" i="32"/>
  <c r="L12" i="32"/>
  <c r="J40" i="31"/>
  <c r="I40" i="31"/>
  <c r="H40" i="31"/>
  <c r="G40" i="31"/>
  <c r="E40" i="31"/>
  <c r="D40" i="31"/>
  <c r="C40" i="31"/>
  <c r="B40" i="31"/>
  <c r="K39" i="31"/>
  <c r="F39" i="31"/>
  <c r="L39" i="31" s="1"/>
  <c r="K38" i="31"/>
  <c r="F38" i="31"/>
  <c r="L38" i="31" s="1"/>
  <c r="K37" i="31"/>
  <c r="F37" i="31"/>
  <c r="L37" i="31" s="1"/>
  <c r="K36" i="31"/>
  <c r="L36" i="31" s="1"/>
  <c r="F36" i="31"/>
  <c r="K35" i="31"/>
  <c r="F35" i="31"/>
  <c r="L35" i="31" s="1"/>
  <c r="K34" i="31"/>
  <c r="F34" i="31"/>
  <c r="L34" i="31" s="1"/>
  <c r="K33" i="31"/>
  <c r="F33" i="31"/>
  <c r="L33" i="31" s="1"/>
  <c r="K32" i="31"/>
  <c r="F32" i="31"/>
  <c r="K31" i="31"/>
  <c r="F31" i="31"/>
  <c r="L31" i="31" s="1"/>
  <c r="K30" i="31"/>
  <c r="F30" i="31"/>
  <c r="L30" i="31" s="1"/>
  <c r="K29" i="31"/>
  <c r="F29" i="31"/>
  <c r="K28" i="31"/>
  <c r="L28" i="31" s="1"/>
  <c r="F28" i="31"/>
  <c r="K27" i="31"/>
  <c r="F27" i="31"/>
  <c r="L27" i="31" s="1"/>
  <c r="K26" i="31"/>
  <c r="F26" i="31"/>
  <c r="L26" i="31" s="1"/>
  <c r="L25" i="31"/>
  <c r="K25" i="31"/>
  <c r="F25" i="31"/>
  <c r="K24" i="31"/>
  <c r="F24" i="31"/>
  <c r="K23" i="31"/>
  <c r="F23" i="31"/>
  <c r="L23" i="31" s="1"/>
  <c r="K22" i="31"/>
  <c r="F22" i="31"/>
  <c r="K21" i="31"/>
  <c r="F21" i="31"/>
  <c r="L21" i="31" s="1"/>
  <c r="K20" i="31"/>
  <c r="F20" i="31"/>
  <c r="K19" i="31"/>
  <c r="F19" i="31"/>
  <c r="L19" i="31" s="1"/>
  <c r="K18" i="31"/>
  <c r="F18" i="31"/>
  <c r="L18" i="31" s="1"/>
  <c r="K17" i="31"/>
  <c r="F17" i="31"/>
  <c r="L17" i="31" s="1"/>
  <c r="K16" i="31"/>
  <c r="F16" i="31"/>
  <c r="K15" i="31"/>
  <c r="F15" i="31"/>
  <c r="L15" i="31" s="1"/>
  <c r="K14" i="31"/>
  <c r="F14" i="31"/>
  <c r="L14" i="31" s="1"/>
  <c r="K13" i="31"/>
  <c r="F13" i="31"/>
  <c r="K12" i="31"/>
  <c r="F12" i="31"/>
  <c r="K11" i="31"/>
  <c r="F11" i="31"/>
  <c r="L11" i="31" s="1"/>
  <c r="K10" i="31"/>
  <c r="F10" i="31"/>
  <c r="K9" i="31"/>
  <c r="L9" i="31" s="1"/>
  <c r="F9" i="31"/>
  <c r="L40" i="32" l="1"/>
  <c r="G46" i="32" s="1"/>
  <c r="G47" i="32" s="1"/>
  <c r="G49" i="32" s="1"/>
  <c r="L32" i="31"/>
  <c r="L29" i="31"/>
  <c r="L22" i="31"/>
  <c r="L20" i="31"/>
  <c r="L13" i="31"/>
  <c r="K40" i="31"/>
  <c r="L10" i="31"/>
  <c r="L24" i="31"/>
  <c r="F40" i="31"/>
  <c r="L16" i="31"/>
  <c r="L12" i="31"/>
  <c r="L40" i="31" s="1"/>
  <c r="G46" i="31" s="1"/>
  <c r="G47" i="31" s="1"/>
  <c r="G49" i="31" s="1"/>
  <c r="J40" i="30"/>
  <c r="I40" i="30"/>
  <c r="H40" i="30"/>
  <c r="G40" i="30"/>
  <c r="E40" i="30"/>
  <c r="D40" i="30"/>
  <c r="C40" i="30"/>
  <c r="B40" i="30"/>
  <c r="K39" i="30"/>
  <c r="F39" i="30"/>
  <c r="L39" i="30" s="1"/>
  <c r="K38" i="30"/>
  <c r="L38" i="30" s="1"/>
  <c r="F38" i="30"/>
  <c r="K37" i="30"/>
  <c r="F37" i="30"/>
  <c r="L37" i="30" s="1"/>
  <c r="K36" i="30"/>
  <c r="F36" i="30"/>
  <c r="L36" i="30" s="1"/>
  <c r="K35" i="30"/>
  <c r="F35" i="30"/>
  <c r="L35" i="30" s="1"/>
  <c r="K34" i="30"/>
  <c r="F34" i="30"/>
  <c r="L34" i="30" s="1"/>
  <c r="L33" i="30"/>
  <c r="K33" i="30"/>
  <c r="F33" i="30"/>
  <c r="K32" i="30"/>
  <c r="F32" i="30"/>
  <c r="L32" i="30" s="1"/>
  <c r="K31" i="30"/>
  <c r="F31" i="30"/>
  <c r="K30" i="30"/>
  <c r="F30" i="30"/>
  <c r="L30" i="30" s="1"/>
  <c r="K29" i="30"/>
  <c r="F29" i="30"/>
  <c r="K28" i="30"/>
  <c r="F28" i="30"/>
  <c r="L28" i="30" s="1"/>
  <c r="K27" i="30"/>
  <c r="F27" i="30"/>
  <c r="K26" i="30"/>
  <c r="F26" i="30"/>
  <c r="K25" i="30"/>
  <c r="F25" i="30"/>
  <c r="L25" i="30" s="1"/>
  <c r="K24" i="30"/>
  <c r="F24" i="30"/>
  <c r="K23" i="30"/>
  <c r="F23" i="30"/>
  <c r="L23" i="30" s="1"/>
  <c r="K22" i="30"/>
  <c r="F22" i="30"/>
  <c r="K21" i="30"/>
  <c r="F21" i="30"/>
  <c r="L21" i="30" s="1"/>
  <c r="K20" i="30"/>
  <c r="F20" i="30"/>
  <c r="K19" i="30"/>
  <c r="F19" i="30"/>
  <c r="L19" i="30" s="1"/>
  <c r="L18" i="30"/>
  <c r="K18" i="30"/>
  <c r="F18" i="30"/>
  <c r="K17" i="30"/>
  <c r="F17" i="30"/>
  <c r="L17" i="30" s="1"/>
  <c r="K16" i="30"/>
  <c r="F16" i="30"/>
  <c r="L16" i="30" s="1"/>
  <c r="K15" i="30"/>
  <c r="F15" i="30"/>
  <c r="K14" i="30"/>
  <c r="F14" i="30"/>
  <c r="L14" i="30" s="1"/>
  <c r="K13" i="30"/>
  <c r="F13" i="30"/>
  <c r="K12" i="30"/>
  <c r="F12" i="30"/>
  <c r="L12" i="30" s="1"/>
  <c r="K11" i="30"/>
  <c r="F11" i="30"/>
  <c r="K10" i="30"/>
  <c r="F10" i="30"/>
  <c r="L10" i="30" s="1"/>
  <c r="L9" i="30"/>
  <c r="K9" i="30"/>
  <c r="F9" i="30"/>
  <c r="J40" i="29"/>
  <c r="I40" i="29"/>
  <c r="H40" i="29"/>
  <c r="G40" i="29"/>
  <c r="E40" i="29"/>
  <c r="D40" i="29"/>
  <c r="C40" i="29"/>
  <c r="B40" i="29"/>
  <c r="K39" i="29"/>
  <c r="F39" i="29"/>
  <c r="L39" i="29" s="1"/>
  <c r="K38" i="29"/>
  <c r="F38" i="29"/>
  <c r="L38" i="29" s="1"/>
  <c r="L37" i="29"/>
  <c r="K37" i="29"/>
  <c r="F37" i="29"/>
  <c r="K36" i="29"/>
  <c r="F36" i="29"/>
  <c r="L36" i="29" s="1"/>
  <c r="K35" i="29"/>
  <c r="F35" i="29"/>
  <c r="L35" i="29" s="1"/>
  <c r="K34" i="29"/>
  <c r="L34" i="29" s="1"/>
  <c r="F34" i="29"/>
  <c r="K33" i="29"/>
  <c r="F33" i="29"/>
  <c r="L33" i="29" s="1"/>
  <c r="K32" i="29"/>
  <c r="F32" i="29"/>
  <c r="L32" i="29" s="1"/>
  <c r="K31" i="29"/>
  <c r="F31" i="29"/>
  <c r="K30" i="29"/>
  <c r="F30" i="29"/>
  <c r="K29" i="29"/>
  <c r="L29" i="29" s="1"/>
  <c r="F29" i="29"/>
  <c r="K28" i="29"/>
  <c r="F28" i="29"/>
  <c r="L28" i="29" s="1"/>
  <c r="K27" i="29"/>
  <c r="F27" i="29"/>
  <c r="K26" i="29"/>
  <c r="F26" i="29"/>
  <c r="L26" i="29" s="1"/>
  <c r="K25" i="29"/>
  <c r="F25" i="29"/>
  <c r="L25" i="29" s="1"/>
  <c r="K24" i="29"/>
  <c r="F24" i="29"/>
  <c r="K23" i="29"/>
  <c r="F23" i="29"/>
  <c r="L23" i="29" s="1"/>
  <c r="K22" i="29"/>
  <c r="F22" i="29"/>
  <c r="K21" i="29"/>
  <c r="F21" i="29"/>
  <c r="L21" i="29" s="1"/>
  <c r="K20" i="29"/>
  <c r="F20" i="29"/>
  <c r="K19" i="29"/>
  <c r="F19" i="29"/>
  <c r="K18" i="29"/>
  <c r="F18" i="29"/>
  <c r="K17" i="29"/>
  <c r="F17" i="29"/>
  <c r="K16" i="29"/>
  <c r="F16" i="29"/>
  <c r="K15" i="29"/>
  <c r="F15" i="29"/>
  <c r="K14" i="29"/>
  <c r="F14" i="29"/>
  <c r="K13" i="29"/>
  <c r="L13" i="29" s="1"/>
  <c r="F13" i="29"/>
  <c r="K12" i="29"/>
  <c r="F12" i="29"/>
  <c r="K11" i="29"/>
  <c r="F11" i="29"/>
  <c r="K10" i="29"/>
  <c r="F10" i="29"/>
  <c r="L10" i="29" s="1"/>
  <c r="K9" i="29"/>
  <c r="F9" i="29"/>
  <c r="L9" i="29" s="1"/>
  <c r="J40" i="28"/>
  <c r="I40" i="28"/>
  <c r="H40" i="28"/>
  <c r="G40" i="28"/>
  <c r="E40" i="28"/>
  <c r="D40" i="28"/>
  <c r="C40" i="28"/>
  <c r="B40" i="28"/>
  <c r="K39" i="28"/>
  <c r="F39" i="28"/>
  <c r="K38" i="28"/>
  <c r="F38" i="28"/>
  <c r="L37" i="28"/>
  <c r="K37" i="28"/>
  <c r="F37" i="28"/>
  <c r="K36" i="28"/>
  <c r="F36" i="28"/>
  <c r="K35" i="28"/>
  <c r="F35" i="28"/>
  <c r="L35" i="28" s="1"/>
  <c r="K34" i="28"/>
  <c r="F34" i="28"/>
  <c r="L34" i="28" s="1"/>
  <c r="K33" i="28"/>
  <c r="F33" i="28"/>
  <c r="K32" i="28"/>
  <c r="F32" i="28"/>
  <c r="K31" i="28"/>
  <c r="F31" i="28"/>
  <c r="K30" i="28"/>
  <c r="F30" i="28"/>
  <c r="K29" i="28"/>
  <c r="F29" i="28"/>
  <c r="K28" i="28"/>
  <c r="F28" i="28"/>
  <c r="K27" i="28"/>
  <c r="F27" i="28"/>
  <c r="K26" i="28"/>
  <c r="F26" i="28"/>
  <c r="L26" i="28" s="1"/>
  <c r="K25" i="28"/>
  <c r="F25" i="28"/>
  <c r="K24" i="28"/>
  <c r="F24" i="28"/>
  <c r="K23" i="28"/>
  <c r="F23" i="28"/>
  <c r="K22" i="28"/>
  <c r="F22" i="28"/>
  <c r="K21" i="28"/>
  <c r="F21" i="28"/>
  <c r="K20" i="28"/>
  <c r="F20" i="28"/>
  <c r="K19" i="28"/>
  <c r="F19" i="28"/>
  <c r="K18" i="28"/>
  <c r="F18" i="28"/>
  <c r="K17" i="28"/>
  <c r="F17" i="28"/>
  <c r="K16" i="28"/>
  <c r="F16" i="28"/>
  <c r="K15" i="28"/>
  <c r="F15" i="28"/>
  <c r="K14" i="28"/>
  <c r="F14" i="28"/>
  <c r="K13" i="28"/>
  <c r="F13" i="28"/>
  <c r="K12" i="28"/>
  <c r="F12" i="28"/>
  <c r="K11" i="28"/>
  <c r="F11" i="28"/>
  <c r="K10" i="28"/>
  <c r="F10" i="28"/>
  <c r="K9" i="28"/>
  <c r="F9" i="28"/>
  <c r="J40" i="27"/>
  <c r="I40" i="27"/>
  <c r="H40" i="27"/>
  <c r="G40" i="27"/>
  <c r="E40" i="27"/>
  <c r="D40" i="27"/>
  <c r="C40" i="27"/>
  <c r="B40" i="27"/>
  <c r="K39" i="27"/>
  <c r="F39" i="27"/>
  <c r="L39" i="27" s="1"/>
  <c r="K38" i="27"/>
  <c r="F38" i="27"/>
  <c r="K37" i="27"/>
  <c r="F37" i="27"/>
  <c r="K36" i="27"/>
  <c r="F36" i="27"/>
  <c r="L36" i="27" s="1"/>
  <c r="K35" i="27"/>
  <c r="F35" i="27"/>
  <c r="L35" i="27" s="1"/>
  <c r="K34" i="27"/>
  <c r="F34" i="27"/>
  <c r="K33" i="27"/>
  <c r="F33" i="27"/>
  <c r="K32" i="27"/>
  <c r="F32" i="27"/>
  <c r="L32" i="27" s="1"/>
  <c r="K31" i="27"/>
  <c r="F31" i="27"/>
  <c r="L31" i="27" s="1"/>
  <c r="K30" i="27"/>
  <c r="F30" i="27"/>
  <c r="K29" i="27"/>
  <c r="F29" i="27"/>
  <c r="L29" i="27" s="1"/>
  <c r="K28" i="27"/>
  <c r="F28" i="27"/>
  <c r="K27" i="27"/>
  <c r="F27" i="27"/>
  <c r="K26" i="27"/>
  <c r="F26" i="27"/>
  <c r="K25" i="27"/>
  <c r="F25" i="27"/>
  <c r="K24" i="27"/>
  <c r="F24" i="27"/>
  <c r="K23" i="27"/>
  <c r="F23" i="27"/>
  <c r="K22" i="27"/>
  <c r="F22" i="27"/>
  <c r="K21" i="27"/>
  <c r="F21" i="27"/>
  <c r="K20" i="27"/>
  <c r="F20" i="27"/>
  <c r="K19" i="27"/>
  <c r="F19" i="27"/>
  <c r="K18" i="27"/>
  <c r="F18" i="27"/>
  <c r="K17" i="27"/>
  <c r="F17" i="27"/>
  <c r="K16" i="27"/>
  <c r="F16" i="27"/>
  <c r="K15" i="27"/>
  <c r="F15" i="27"/>
  <c r="L15" i="27" s="1"/>
  <c r="K14" i="27"/>
  <c r="F14" i="27"/>
  <c r="L14" i="27" s="1"/>
  <c r="K13" i="27"/>
  <c r="F13" i="27"/>
  <c r="L13" i="27" s="1"/>
  <c r="K12" i="27"/>
  <c r="F12" i="27"/>
  <c r="K11" i="27"/>
  <c r="F11" i="27"/>
  <c r="K10" i="27"/>
  <c r="F10" i="27"/>
  <c r="L10" i="27" s="1"/>
  <c r="K9" i="27"/>
  <c r="F9" i="27"/>
  <c r="L12" i="28" l="1"/>
  <c r="L24" i="28"/>
  <c r="L28" i="28"/>
  <c r="L32" i="28"/>
  <c r="L9" i="28"/>
  <c r="L26" i="30"/>
  <c r="K40" i="28"/>
  <c r="L17" i="28"/>
  <c r="L33" i="28"/>
  <c r="L39" i="28"/>
  <c r="L18" i="29"/>
  <c r="L22" i="29"/>
  <c r="L27" i="29"/>
  <c r="L30" i="29"/>
  <c r="L11" i="30"/>
  <c r="L13" i="30"/>
  <c r="L15" i="30"/>
  <c r="L20" i="30"/>
  <c r="L22" i="30"/>
  <c r="L24" i="30"/>
  <c r="L27" i="30"/>
  <c r="L29" i="30"/>
  <c r="L31" i="30"/>
  <c r="K40" i="30"/>
  <c r="F40" i="30"/>
  <c r="L31" i="29"/>
  <c r="L24" i="29"/>
  <c r="L20" i="29"/>
  <c r="L11" i="29"/>
  <c r="L14" i="29"/>
  <c r="L12" i="29"/>
  <c r="L19" i="29"/>
  <c r="K40" i="29"/>
  <c r="L16" i="29"/>
  <c r="L15" i="29"/>
  <c r="L17" i="29"/>
  <c r="F40" i="29"/>
  <c r="L19" i="28"/>
  <c r="L21" i="28"/>
  <c r="L23" i="28"/>
  <c r="L25" i="28"/>
  <c r="L27" i="28"/>
  <c r="L30" i="28"/>
  <c r="L29" i="28"/>
  <c r="L31" i="28"/>
  <c r="L38" i="28"/>
  <c r="L36" i="28"/>
  <c r="L11" i="28"/>
  <c r="L15" i="28"/>
  <c r="L18" i="28"/>
  <c r="L22" i="28"/>
  <c r="L13" i="28"/>
  <c r="L14" i="28"/>
  <c r="L16" i="28"/>
  <c r="F40" i="28"/>
  <c r="L20" i="28"/>
  <c r="L10" i="28"/>
  <c r="L38" i="27"/>
  <c r="L37" i="27"/>
  <c r="F40" i="27"/>
  <c r="K40" i="27"/>
  <c r="L30" i="27"/>
  <c r="L18" i="27"/>
  <c r="L17" i="27"/>
  <c r="L16" i="27"/>
  <c r="L12" i="27"/>
  <c r="L11" i="27"/>
  <c r="L33" i="27"/>
  <c r="L34" i="27"/>
  <c r="L19" i="27"/>
  <c r="L20" i="27"/>
  <c r="L21" i="27"/>
  <c r="L22" i="27"/>
  <c r="L23" i="27"/>
  <c r="L24" i="27"/>
  <c r="L25" i="27"/>
  <c r="L26" i="27"/>
  <c r="L27" i="27"/>
  <c r="L28" i="27"/>
  <c r="L9" i="27"/>
  <c r="J40" i="26"/>
  <c r="I40" i="26"/>
  <c r="H40" i="26"/>
  <c r="G40" i="26"/>
  <c r="E40" i="26"/>
  <c r="D40" i="26"/>
  <c r="C40" i="26"/>
  <c r="B40" i="26"/>
  <c r="K39" i="26"/>
  <c r="F39" i="26"/>
  <c r="L39" i="26" s="1"/>
  <c r="K38" i="26"/>
  <c r="F38" i="26"/>
  <c r="L38" i="26" s="1"/>
  <c r="K37" i="26"/>
  <c r="F37" i="26"/>
  <c r="L37" i="26" s="1"/>
  <c r="K36" i="26"/>
  <c r="F36" i="26"/>
  <c r="K35" i="26"/>
  <c r="F35" i="26"/>
  <c r="L35" i="26" s="1"/>
  <c r="K34" i="26"/>
  <c r="F34" i="26"/>
  <c r="K33" i="26"/>
  <c r="F33" i="26"/>
  <c r="K32" i="26"/>
  <c r="F32" i="26"/>
  <c r="L32" i="26" s="1"/>
  <c r="K31" i="26"/>
  <c r="F31" i="26"/>
  <c r="L31" i="26" s="1"/>
  <c r="K30" i="26"/>
  <c r="F30" i="26"/>
  <c r="L30" i="26" s="1"/>
  <c r="K29" i="26"/>
  <c r="F29" i="26"/>
  <c r="L29" i="26" s="1"/>
  <c r="K28" i="26"/>
  <c r="F28" i="26"/>
  <c r="L28" i="26" s="1"/>
  <c r="K27" i="26"/>
  <c r="F27" i="26"/>
  <c r="L27" i="26" s="1"/>
  <c r="K26" i="26"/>
  <c r="F26" i="26"/>
  <c r="L26" i="26" s="1"/>
  <c r="K25" i="26"/>
  <c r="F25" i="26"/>
  <c r="K24" i="26"/>
  <c r="F24" i="26"/>
  <c r="L24" i="26" s="1"/>
  <c r="K23" i="26"/>
  <c r="F23" i="26"/>
  <c r="L23" i="26" s="1"/>
  <c r="K22" i="26"/>
  <c r="F22" i="26"/>
  <c r="L22" i="26" s="1"/>
  <c r="K21" i="26"/>
  <c r="F21" i="26"/>
  <c r="L21" i="26" s="1"/>
  <c r="K20" i="26"/>
  <c r="F20" i="26"/>
  <c r="K19" i="26"/>
  <c r="F19" i="26"/>
  <c r="L19" i="26" s="1"/>
  <c r="K18" i="26"/>
  <c r="F18" i="26"/>
  <c r="L18" i="26" s="1"/>
  <c r="K17" i="26"/>
  <c r="F17" i="26"/>
  <c r="L17" i="26" s="1"/>
  <c r="K16" i="26"/>
  <c r="F16" i="26"/>
  <c r="L16" i="26" s="1"/>
  <c r="K15" i="26"/>
  <c r="F15" i="26"/>
  <c r="L15" i="26" s="1"/>
  <c r="K14" i="26"/>
  <c r="F14" i="26"/>
  <c r="L14" i="26" s="1"/>
  <c r="K13" i="26"/>
  <c r="F13" i="26"/>
  <c r="L13" i="26" s="1"/>
  <c r="K12" i="26"/>
  <c r="F12" i="26"/>
  <c r="L12" i="26" s="1"/>
  <c r="K11" i="26"/>
  <c r="F11" i="26"/>
  <c r="L11" i="26" s="1"/>
  <c r="K10" i="26"/>
  <c r="F10" i="26"/>
  <c r="L10" i="26" s="1"/>
  <c r="K9" i="26"/>
  <c r="F9" i="26"/>
  <c r="L40" i="30" l="1"/>
  <c r="G46" i="30" s="1"/>
  <c r="G47" i="30" s="1"/>
  <c r="G49" i="30" s="1"/>
  <c r="L40" i="29"/>
  <c r="G46" i="29" s="1"/>
  <c r="G47" i="29" s="1"/>
  <c r="G49" i="29" s="1"/>
  <c r="L40" i="28"/>
  <c r="G46" i="28" s="1"/>
  <c r="G47" i="28" s="1"/>
  <c r="G49" i="28" s="1"/>
  <c r="L40" i="27"/>
  <c r="G46" i="27" s="1"/>
  <c r="G47" i="27" s="1"/>
  <c r="G49" i="27" s="1"/>
  <c r="L34" i="26"/>
  <c r="L33" i="26"/>
  <c r="L25" i="26"/>
  <c r="L20" i="26"/>
  <c r="K40" i="26"/>
  <c r="F40" i="26"/>
  <c r="L36" i="26"/>
  <c r="L9" i="26"/>
  <c r="J40" i="25"/>
  <c r="I40" i="25"/>
  <c r="H40" i="25"/>
  <c r="G40" i="25"/>
  <c r="E40" i="25"/>
  <c r="D40" i="25"/>
  <c r="C40" i="25"/>
  <c r="B40" i="25"/>
  <c r="K39" i="25"/>
  <c r="F39" i="25"/>
  <c r="L39" i="25" s="1"/>
  <c r="K38" i="25"/>
  <c r="F38" i="25"/>
  <c r="L38" i="25" s="1"/>
  <c r="K37" i="25"/>
  <c r="F37" i="25"/>
  <c r="L37" i="25" s="1"/>
  <c r="K36" i="25"/>
  <c r="F36" i="25"/>
  <c r="K35" i="25"/>
  <c r="F35" i="25"/>
  <c r="L35" i="25" s="1"/>
  <c r="K34" i="25"/>
  <c r="F34" i="25"/>
  <c r="L34" i="25" s="1"/>
  <c r="K33" i="25"/>
  <c r="F33" i="25"/>
  <c r="L33" i="25" s="1"/>
  <c r="K32" i="25"/>
  <c r="F32" i="25"/>
  <c r="L32" i="25" s="1"/>
  <c r="K31" i="25"/>
  <c r="F31" i="25"/>
  <c r="L31" i="25" s="1"/>
  <c r="K30" i="25"/>
  <c r="F30" i="25"/>
  <c r="L30" i="25" s="1"/>
  <c r="K29" i="25"/>
  <c r="F29" i="25"/>
  <c r="L29" i="25" s="1"/>
  <c r="K28" i="25"/>
  <c r="F28" i="25"/>
  <c r="L28" i="25" s="1"/>
  <c r="K27" i="25"/>
  <c r="F27" i="25"/>
  <c r="L27" i="25" s="1"/>
  <c r="K26" i="25"/>
  <c r="F26" i="25"/>
  <c r="L26" i="25" s="1"/>
  <c r="K25" i="25"/>
  <c r="F25" i="25"/>
  <c r="L25" i="25" s="1"/>
  <c r="K24" i="25"/>
  <c r="F24" i="25"/>
  <c r="L24" i="25" s="1"/>
  <c r="K23" i="25"/>
  <c r="F23" i="25"/>
  <c r="K22" i="25"/>
  <c r="F22" i="25"/>
  <c r="L22" i="25" s="1"/>
  <c r="K21" i="25"/>
  <c r="F21" i="25"/>
  <c r="L21" i="25" s="1"/>
  <c r="K20" i="25"/>
  <c r="F20" i="25"/>
  <c r="L20" i="25" s="1"/>
  <c r="K19" i="25"/>
  <c r="F19" i="25"/>
  <c r="L19" i="25" s="1"/>
  <c r="K18" i="25"/>
  <c r="F18" i="25"/>
  <c r="L18" i="25" s="1"/>
  <c r="K17" i="25"/>
  <c r="F17" i="25"/>
  <c r="L17" i="25" s="1"/>
  <c r="K16" i="25"/>
  <c r="F16" i="25"/>
  <c r="L16" i="25" s="1"/>
  <c r="K15" i="25"/>
  <c r="F15" i="25"/>
  <c r="L15" i="25" s="1"/>
  <c r="K14" i="25"/>
  <c r="F14" i="25"/>
  <c r="L14" i="25" s="1"/>
  <c r="K13" i="25"/>
  <c r="F13" i="25"/>
  <c r="L13" i="25" s="1"/>
  <c r="K12" i="25"/>
  <c r="F12" i="25"/>
  <c r="L12" i="25" s="1"/>
  <c r="K11" i="25"/>
  <c r="F11" i="25"/>
  <c r="L11" i="25" s="1"/>
  <c r="K10" i="25"/>
  <c r="K40" i="25" s="1"/>
  <c r="F10" i="25"/>
  <c r="L10" i="25" s="1"/>
  <c r="K9" i="25"/>
  <c r="F9" i="25"/>
  <c r="F40" i="25" l="1"/>
  <c r="L40" i="26"/>
  <c r="G46" i="26" s="1"/>
  <c r="G47" i="26" s="1"/>
  <c r="G49" i="26" s="1"/>
  <c r="L36" i="25"/>
  <c r="L23" i="25"/>
  <c r="L9" i="25"/>
  <c r="J40" i="24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K37" i="24"/>
  <c r="F37" i="24"/>
  <c r="L37" i="24" s="1"/>
  <c r="K36" i="24"/>
  <c r="F36" i="24"/>
  <c r="K35" i="24"/>
  <c r="F35" i="24"/>
  <c r="L35" i="24" s="1"/>
  <c r="K34" i="24"/>
  <c r="F34" i="24"/>
  <c r="K33" i="24"/>
  <c r="F33" i="24"/>
  <c r="L33" i="24" s="1"/>
  <c r="K32" i="24"/>
  <c r="F32" i="24"/>
  <c r="K31" i="24"/>
  <c r="F31" i="24"/>
  <c r="L31" i="24" s="1"/>
  <c r="K30" i="24"/>
  <c r="F30" i="24"/>
  <c r="K29" i="24"/>
  <c r="F29" i="24"/>
  <c r="L29" i="24" s="1"/>
  <c r="K28" i="24"/>
  <c r="F28" i="24"/>
  <c r="K27" i="24"/>
  <c r="F27" i="24"/>
  <c r="L27" i="24" s="1"/>
  <c r="K26" i="24"/>
  <c r="F26" i="24"/>
  <c r="K25" i="24"/>
  <c r="F25" i="24"/>
  <c r="L25" i="24" s="1"/>
  <c r="K24" i="24"/>
  <c r="F24" i="24"/>
  <c r="K23" i="24"/>
  <c r="F23" i="24"/>
  <c r="K22" i="24"/>
  <c r="F22" i="24"/>
  <c r="K21" i="24"/>
  <c r="F21" i="24"/>
  <c r="L21" i="24" s="1"/>
  <c r="K20" i="24"/>
  <c r="F20" i="24"/>
  <c r="K19" i="24"/>
  <c r="F19" i="24"/>
  <c r="L19" i="24" s="1"/>
  <c r="K18" i="24"/>
  <c r="F18" i="24"/>
  <c r="K17" i="24"/>
  <c r="F17" i="24"/>
  <c r="L17" i="24" s="1"/>
  <c r="K16" i="24"/>
  <c r="F16" i="24"/>
  <c r="K15" i="24"/>
  <c r="F15" i="24"/>
  <c r="L15" i="24" s="1"/>
  <c r="K14" i="24"/>
  <c r="F14" i="24"/>
  <c r="K13" i="24"/>
  <c r="F13" i="24"/>
  <c r="L13" i="24" s="1"/>
  <c r="K12" i="24"/>
  <c r="F12" i="24"/>
  <c r="K11" i="24"/>
  <c r="F11" i="24"/>
  <c r="L11" i="24" s="1"/>
  <c r="K10" i="24"/>
  <c r="K40" i="24" s="1"/>
  <c r="F10" i="24"/>
  <c r="K9" i="24"/>
  <c r="F9" i="24"/>
  <c r="F40" i="24" s="1"/>
  <c r="L10" i="24" l="1"/>
  <c r="L12" i="24"/>
  <c r="L14" i="24"/>
  <c r="L16" i="24"/>
  <c r="L18" i="24"/>
  <c r="L20" i="24"/>
  <c r="L22" i="24"/>
  <c r="L24" i="24"/>
  <c r="L26" i="24"/>
  <c r="L28" i="24"/>
  <c r="L30" i="24"/>
  <c r="L32" i="24"/>
  <c r="L34" i="24"/>
  <c r="L36" i="24"/>
  <c r="L38" i="24"/>
  <c r="L40" i="25"/>
  <c r="G46" i="25" s="1"/>
  <c r="G47" i="25" s="1"/>
  <c r="G49" i="25" s="1"/>
  <c r="L23" i="24"/>
  <c r="L9" i="24"/>
  <c r="J40" i="23"/>
  <c r="I40" i="23"/>
  <c r="H40" i="23"/>
  <c r="G40" i="23"/>
  <c r="E40" i="23"/>
  <c r="D40" i="23"/>
  <c r="C40" i="23"/>
  <c r="B40" i="23"/>
  <c r="K39" i="23"/>
  <c r="F39" i="23"/>
  <c r="K38" i="23"/>
  <c r="F38" i="23"/>
  <c r="K37" i="23"/>
  <c r="F37" i="23"/>
  <c r="K36" i="23"/>
  <c r="F36" i="23"/>
  <c r="K35" i="23"/>
  <c r="F35" i="23"/>
  <c r="K34" i="23"/>
  <c r="F34" i="23"/>
  <c r="K33" i="23"/>
  <c r="F33" i="23"/>
  <c r="K32" i="23"/>
  <c r="F32" i="23"/>
  <c r="K31" i="23"/>
  <c r="F31" i="23"/>
  <c r="K30" i="23"/>
  <c r="F30" i="23"/>
  <c r="K29" i="23"/>
  <c r="F29" i="23"/>
  <c r="K28" i="23"/>
  <c r="F28" i="23"/>
  <c r="K27" i="23"/>
  <c r="F27" i="23"/>
  <c r="K26" i="23"/>
  <c r="F26" i="23"/>
  <c r="K25" i="23"/>
  <c r="F25" i="23"/>
  <c r="K24" i="23"/>
  <c r="F24" i="23"/>
  <c r="K23" i="23"/>
  <c r="F23" i="23"/>
  <c r="K22" i="23"/>
  <c r="F22" i="23"/>
  <c r="K21" i="23"/>
  <c r="F21" i="23"/>
  <c r="K20" i="23"/>
  <c r="F20" i="23"/>
  <c r="K19" i="23"/>
  <c r="F19" i="23"/>
  <c r="K18" i="23"/>
  <c r="F18" i="23"/>
  <c r="K17" i="23"/>
  <c r="F17" i="23"/>
  <c r="K16" i="23"/>
  <c r="F16" i="23"/>
  <c r="K15" i="23"/>
  <c r="F15" i="23"/>
  <c r="K14" i="23"/>
  <c r="F14" i="23"/>
  <c r="K13" i="23"/>
  <c r="F13" i="23"/>
  <c r="K12" i="23"/>
  <c r="F12" i="23"/>
  <c r="K11" i="23"/>
  <c r="F11" i="23"/>
  <c r="K10" i="23"/>
  <c r="F10" i="23"/>
  <c r="K9" i="23"/>
  <c r="K40" i="23" s="1"/>
  <c r="F9" i="23"/>
  <c r="L40" i="24" l="1"/>
  <c r="G46" i="24" s="1"/>
  <c r="G47" i="24" s="1"/>
  <c r="G49" i="24" s="1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F40" i="23"/>
  <c r="L11" i="23"/>
  <c r="L9" i="23"/>
  <c r="L38" i="23"/>
  <c r="L39" i="23"/>
  <c r="L10" i="23"/>
  <c r="L40" i="23" l="1"/>
  <c r="G46" i="23" s="1"/>
  <c r="G47" i="23" s="1"/>
  <c r="G49" i="23" s="1"/>
</calcChain>
</file>

<file path=xl/sharedStrings.xml><?xml version="1.0" encoding="utf-8"?>
<sst xmlns="http://schemas.openxmlformats.org/spreadsheetml/2006/main" count="430" uniqueCount="68">
  <si>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</si>
  <si>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</si>
  <si>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</si>
  <si>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</si>
  <si>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</si>
  <si>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</si>
  <si>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</si>
  <si>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</si>
  <si>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</si>
  <si>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</si>
  <si>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</si>
  <si>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</si>
  <si>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</si>
  <si>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</si>
  <si>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</si>
  <si>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</si>
  <si>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</si>
  <si>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</si>
  <si>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</si>
  <si>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</si>
  <si>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</si>
  <si>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</si>
  <si>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</si>
  <si>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</si>
  <si>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</si>
  <si>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</si>
  <si>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</si>
  <si>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</si>
  <si>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2023</t>
  </si>
  <si>
    <t>Mois de FEVRIER 2023</t>
  </si>
  <si>
    <t>Mois de MARS 2023</t>
  </si>
  <si>
    <t>20 Compteur DN 15/21 Déstination Antenne Zoubiria</t>
  </si>
  <si>
    <t>11 Compteur DN 15/21 Déstination Antenne Seghouane</t>
  </si>
  <si>
    <t>24 Compteur DN 15/21 Déstination Antenne Ouled dhied</t>
  </si>
  <si>
    <t>Mois de AVRIL 2023</t>
  </si>
  <si>
    <t>27 Compteur DN 15/21 Déstination Antenne Tlathet Douairs</t>
  </si>
  <si>
    <t>02 Compteur DN 15/21 Déstination Antenne Seghouane</t>
  </si>
  <si>
    <t>02 Compteur DN 15/21 Déstination Antenne Zoubiria</t>
  </si>
  <si>
    <t>Mois de MAI 2023</t>
  </si>
  <si>
    <t>10 Compteur DN 15/21 Déstination Antenne Robea</t>
  </si>
  <si>
    <t>02 Compteur DN 80 Déstination Antenne Robea</t>
  </si>
  <si>
    <t>01 Compteur DN 65 Déstination Antenne Robea</t>
  </si>
  <si>
    <t>01 Compteur DN 40 Déstination Antenne Robea</t>
  </si>
  <si>
    <t>01 Compteur DN 15/21 Déstination Antenne Seghouane</t>
  </si>
  <si>
    <t>03 Compteur DN 15/21 Déstination Antenne Zoubiria</t>
  </si>
  <si>
    <t>08 Compteur DN 15/21 Déstination Antenne Ouled dhied</t>
  </si>
  <si>
    <t>Mois de JUIN 2023</t>
  </si>
  <si>
    <t>Mois de JUILLET 2023</t>
  </si>
  <si>
    <t>Mois de AOUT 2023</t>
  </si>
  <si>
    <t>01 Compteur DN 15/21 Déstination Antenne Robea</t>
  </si>
  <si>
    <t>14 Compteur DN 15/21 Déstination Antenne Seghouane</t>
  </si>
  <si>
    <t>09 Compteur DN 15/21 Déstination Antenne Zoubiria</t>
  </si>
  <si>
    <t>14 Compteur DN 15/21 Déstination Antenne Ouled Dhied</t>
  </si>
  <si>
    <t>05 Compteur DN 15/21 Déstination Antenne Zoubiria</t>
  </si>
  <si>
    <t>Mois de SEPTEMBRE 2023</t>
  </si>
  <si>
    <t>50 Compteur DN 15/21 Déstination Antenne Tlathet Douairs</t>
  </si>
  <si>
    <t>04 Compteur DN 15/21 Déstination Antenne Robea</t>
  </si>
  <si>
    <t>09 Compteur DN 15/21 Déstination Antenne Ouled Dhied</t>
  </si>
  <si>
    <t>Mois de OCTOBRE 2023</t>
  </si>
  <si>
    <t>01 Compteur DN 15/21 Déstination Antenne Ouled Dhied</t>
  </si>
  <si>
    <t>01 Compteur DN 15/21 Déstination Antenne Zoubiria</t>
  </si>
  <si>
    <t>60 Compteur DN 15/21 Déstination Antenne Tlathet Douairs</t>
  </si>
  <si>
    <t>Mois de NOVEMBRE 2023</t>
  </si>
  <si>
    <t>03 Compteur DN 15/21 Déstination Antenne Ouled Dhied</t>
  </si>
  <si>
    <t>Mois de DECEMBRE 2023</t>
  </si>
  <si>
    <t>02 Compteur DN 30 Déstination Antenne Ouled Dhied</t>
  </si>
  <si>
    <t>05 Compteur DN 15/21 Déstination Antenne Tlathet Douairs</t>
  </si>
  <si>
    <t>47 Compteur DN 15/21 Déstination Antenne Zoubiria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</si>
</sst>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8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1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0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28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>
        <v>2</v>
      </c>
      <c r="D34" s="25"/>
      <c r="E34" s="23"/>
      <c r="F34" s="17">
        <f t="shared" si="0"/>
        <v>2</v>
      </c>
      <c r="G34" s="30"/>
      <c r="H34" s="25"/>
      <c r="I34" s="22"/>
      <c r="J34" s="22"/>
      <c r="K34" s="15">
        <f t="shared" si="1"/>
        <v>0</v>
      </c>
      <c r="L34" s="7">
        <f t="shared" si="2"/>
        <v>2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2</v>
      </c>
      <c r="D40" s="49">
        <f t="shared" si="3"/>
        <v>0</v>
      </c>
      <c r="E40" s="49">
        <f t="shared" si="3"/>
        <v>0</v>
      </c>
      <c r="F40" s="48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2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10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10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A41" sqref="A4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29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>
        <v>1</v>
      </c>
      <c r="I23" s="30"/>
      <c r="J23" s="30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16</v>
      </c>
      <c r="C27" s="25"/>
      <c r="D27" s="25"/>
      <c r="E27" s="23"/>
      <c r="F27" s="17">
        <f t="shared" si="0"/>
        <v>16</v>
      </c>
      <c r="G27" s="30"/>
      <c r="H27" s="25"/>
      <c r="I27" s="30"/>
      <c r="J27" s="30"/>
      <c r="K27" s="15">
        <f t="shared" si="1"/>
        <v>0</v>
      </c>
      <c r="L27" s="7">
        <f t="shared" si="2"/>
        <v>16</v>
      </c>
    </row>
    <row r="28" spans="1:12" ht="15.75" thickBot="1" x14ac:dyDescent="0.3">
      <c r="A28" s="8">
        <v>20</v>
      </c>
      <c r="B28" s="21">
        <v>8</v>
      </c>
      <c r="C28" s="22">
        <v>1</v>
      </c>
      <c r="D28" s="25"/>
      <c r="E28" s="23"/>
      <c r="F28" s="17">
        <f t="shared" si="0"/>
        <v>9</v>
      </c>
      <c r="G28" s="30"/>
      <c r="H28" s="22"/>
      <c r="I28" s="30"/>
      <c r="J28" s="30"/>
      <c r="K28" s="15">
        <f t="shared" si="1"/>
        <v>0</v>
      </c>
      <c r="L28" s="7">
        <f t="shared" si="2"/>
        <v>9</v>
      </c>
    </row>
    <row r="29" spans="1:12" ht="15.75" thickBot="1" x14ac:dyDescent="0.3">
      <c r="A29" s="8">
        <v>21</v>
      </c>
      <c r="B29" s="21">
        <v>2</v>
      </c>
      <c r="C29" s="22"/>
      <c r="D29" s="25"/>
      <c r="E29" s="24">
        <v>1</v>
      </c>
      <c r="F29" s="17">
        <f t="shared" si="0"/>
        <v>3</v>
      </c>
      <c r="G29" s="30"/>
      <c r="H29" s="22"/>
      <c r="I29" s="30"/>
      <c r="J29" s="30"/>
      <c r="K29" s="15">
        <f t="shared" si="1"/>
        <v>0</v>
      </c>
      <c r="L29" s="7">
        <f t="shared" si="2"/>
        <v>3</v>
      </c>
    </row>
    <row r="30" spans="1:12" ht="15.75" thickBot="1" x14ac:dyDescent="0.3">
      <c r="A30" s="8">
        <v>22</v>
      </c>
      <c r="B30" s="21">
        <v>3</v>
      </c>
      <c r="C30" s="22"/>
      <c r="D30" s="25"/>
      <c r="E30" s="23"/>
      <c r="F30" s="17">
        <f t="shared" si="0"/>
        <v>3</v>
      </c>
      <c r="G30" s="30"/>
      <c r="H30" s="22"/>
      <c r="I30" s="30"/>
      <c r="J30" s="30"/>
      <c r="K30" s="15">
        <f t="shared" si="1"/>
        <v>0</v>
      </c>
      <c r="L30" s="7">
        <f t="shared" si="2"/>
        <v>3</v>
      </c>
    </row>
    <row r="31" spans="1:12" ht="15.75" thickBot="1" x14ac:dyDescent="0.3">
      <c r="A31" s="8">
        <v>23</v>
      </c>
      <c r="B31" s="21">
        <v>7</v>
      </c>
      <c r="C31" s="22"/>
      <c r="D31" s="25">
        <v>1</v>
      </c>
      <c r="E31" s="23"/>
      <c r="F31" s="17">
        <f t="shared" si="0"/>
        <v>8</v>
      </c>
      <c r="G31" s="30"/>
      <c r="H31" s="22"/>
      <c r="I31" s="30"/>
      <c r="J31" s="30"/>
      <c r="K31" s="15">
        <f t="shared" si="1"/>
        <v>0</v>
      </c>
      <c r="L31" s="7">
        <f t="shared" si="2"/>
        <v>8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13</v>
      </c>
      <c r="C34" s="25"/>
      <c r="D34" s="25"/>
      <c r="E34" s="23"/>
      <c r="F34" s="17">
        <f t="shared" si="0"/>
        <v>13</v>
      </c>
      <c r="G34" s="30"/>
      <c r="H34" s="25"/>
      <c r="I34" s="22"/>
      <c r="J34" s="22"/>
      <c r="K34" s="15">
        <f t="shared" si="1"/>
        <v>0</v>
      </c>
      <c r="L34" s="7">
        <f t="shared" si="2"/>
        <v>13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12</v>
      </c>
      <c r="C36" s="22"/>
      <c r="D36" s="25">
        <v>1</v>
      </c>
      <c r="E36" s="23"/>
      <c r="F36" s="17">
        <f t="shared" si="0"/>
        <v>13</v>
      </c>
      <c r="G36" s="30"/>
      <c r="H36" s="22"/>
      <c r="I36" s="22"/>
      <c r="J36" s="22"/>
      <c r="K36" s="15">
        <f t="shared" si="1"/>
        <v>0</v>
      </c>
      <c r="L36" s="7">
        <f t="shared" si="2"/>
        <v>13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61</v>
      </c>
      <c r="C40" s="52">
        <f t="shared" ref="C40:E40" si="3">SUM(C9:C39)</f>
        <v>1</v>
      </c>
      <c r="D40" s="52">
        <f t="shared" si="3"/>
        <v>2</v>
      </c>
      <c r="E40" s="52">
        <f t="shared" si="3"/>
        <v>1</v>
      </c>
      <c r="F40" s="51">
        <f>SUM(F9:F39)</f>
        <v>65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66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101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66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45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45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41" workbookViewId="0">
      <selection activeCell="A55" sqref="A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5.75" x14ac:dyDescent="0.25">
      <c r="A5" s="94" t="s">
        <v>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5</v>
      </c>
      <c r="C13" s="25"/>
      <c r="D13" s="25"/>
      <c r="E13" s="23"/>
      <c r="F13" s="17">
        <f t="shared" si="0"/>
        <v>5</v>
      </c>
      <c r="G13" s="30"/>
      <c r="H13" s="25"/>
      <c r="I13" s="22"/>
      <c r="J13" s="22"/>
      <c r="K13" s="15">
        <f t="shared" si="1"/>
        <v>0</v>
      </c>
      <c r="L13" s="7">
        <f t="shared" si="2"/>
        <v>5</v>
      </c>
    </row>
    <row r="14" spans="1:12" ht="15.75" thickBot="1" x14ac:dyDescent="0.3">
      <c r="A14" s="8">
        <v>6</v>
      </c>
      <c r="B14" s="21">
        <v>4</v>
      </c>
      <c r="C14" s="25"/>
      <c r="D14" s="25"/>
      <c r="E14" s="23"/>
      <c r="F14" s="17">
        <f t="shared" si="0"/>
        <v>4</v>
      </c>
      <c r="G14" s="30"/>
      <c r="H14" s="25"/>
      <c r="I14" s="22"/>
      <c r="J14" s="22"/>
      <c r="K14" s="15">
        <f t="shared" si="1"/>
        <v>0</v>
      </c>
      <c r="L14" s="7">
        <f t="shared" si="2"/>
        <v>4</v>
      </c>
    </row>
    <row r="15" spans="1:12" ht="15.75" thickBot="1" x14ac:dyDescent="0.3">
      <c r="A15" s="8">
        <v>7</v>
      </c>
      <c r="B15" s="21">
        <v>6</v>
      </c>
      <c r="C15" s="25"/>
      <c r="D15" s="25"/>
      <c r="E15" s="23"/>
      <c r="F15" s="17">
        <f t="shared" si="0"/>
        <v>6</v>
      </c>
      <c r="G15" s="30"/>
      <c r="H15" s="25"/>
      <c r="I15" s="22"/>
      <c r="J15" s="22"/>
      <c r="K15" s="15">
        <f t="shared" si="1"/>
        <v>0</v>
      </c>
      <c r="L15" s="7">
        <f t="shared" si="2"/>
        <v>6</v>
      </c>
    </row>
    <row r="16" spans="1:12" ht="15.75" thickBot="1" x14ac:dyDescent="0.3">
      <c r="A16" s="8">
        <v>8</v>
      </c>
      <c r="B16" s="21">
        <v>2</v>
      </c>
      <c r="C16" s="25"/>
      <c r="D16" s="25">
        <v>1</v>
      </c>
      <c r="E16" s="23"/>
      <c r="F16" s="17">
        <f t="shared" si="0"/>
        <v>3</v>
      </c>
      <c r="G16" s="30"/>
      <c r="H16" s="25"/>
      <c r="I16" s="22"/>
      <c r="J16" s="22"/>
      <c r="K16" s="15">
        <f t="shared" si="1"/>
        <v>0</v>
      </c>
      <c r="L16" s="7">
        <f t="shared" si="2"/>
        <v>3</v>
      </c>
    </row>
    <row r="17" spans="1:12" ht="15.75" thickBot="1" x14ac:dyDescent="0.3">
      <c r="A17" s="8">
        <v>9</v>
      </c>
      <c r="B17" s="21">
        <v>2</v>
      </c>
      <c r="C17" s="25"/>
      <c r="D17" s="25"/>
      <c r="E17" s="24"/>
      <c r="F17" s="17">
        <f t="shared" si="0"/>
        <v>2</v>
      </c>
      <c r="G17" s="30"/>
      <c r="H17" s="25"/>
      <c r="I17" s="32"/>
      <c r="J17" s="22"/>
      <c r="K17" s="15">
        <f t="shared" si="1"/>
        <v>0</v>
      </c>
      <c r="L17" s="7">
        <f t="shared" si="2"/>
        <v>2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22</v>
      </c>
      <c r="C21" s="25"/>
      <c r="D21" s="25">
        <v>1</v>
      </c>
      <c r="E21" s="23"/>
      <c r="F21" s="17">
        <f t="shared" si="0"/>
        <v>23</v>
      </c>
      <c r="G21" s="34"/>
      <c r="H21" s="22"/>
      <c r="I21" s="30"/>
      <c r="J21" s="30"/>
      <c r="K21" s="15">
        <f t="shared" si="1"/>
        <v>0</v>
      </c>
      <c r="L21" s="7">
        <f t="shared" si="2"/>
        <v>23</v>
      </c>
    </row>
    <row r="22" spans="1:12" ht="15.75" thickBot="1" x14ac:dyDescent="0.3">
      <c r="A22" s="8">
        <v>14</v>
      </c>
      <c r="B22" s="21">
        <v>20</v>
      </c>
      <c r="C22" s="25"/>
      <c r="D22" s="25"/>
      <c r="E22" s="23"/>
      <c r="F22" s="17">
        <f t="shared" si="0"/>
        <v>20</v>
      </c>
      <c r="G22" s="34"/>
      <c r="H22" s="22"/>
      <c r="I22" s="30"/>
      <c r="J22" s="30"/>
      <c r="K22" s="15">
        <f t="shared" si="1"/>
        <v>0</v>
      </c>
      <c r="L22" s="7">
        <f t="shared" si="2"/>
        <v>20</v>
      </c>
    </row>
    <row r="23" spans="1:12" ht="15.75" thickBot="1" x14ac:dyDescent="0.3">
      <c r="A23" s="8">
        <v>15</v>
      </c>
      <c r="B23" s="21">
        <v>21</v>
      </c>
      <c r="C23" s="22"/>
      <c r="D23" s="25"/>
      <c r="E23" s="23"/>
      <c r="F23" s="17">
        <f t="shared" si="0"/>
        <v>21</v>
      </c>
      <c r="G23" s="30"/>
      <c r="H23" s="25"/>
      <c r="I23" s="30"/>
      <c r="J23" s="30"/>
      <c r="K23" s="15">
        <f t="shared" si="1"/>
        <v>0</v>
      </c>
      <c r="L23" s="7">
        <f t="shared" si="2"/>
        <v>21</v>
      </c>
    </row>
    <row r="24" spans="1:12" ht="15.75" thickBot="1" x14ac:dyDescent="0.3">
      <c r="A24" s="8">
        <v>16</v>
      </c>
      <c r="B24" s="21">
        <v>20</v>
      </c>
      <c r="C24" s="22"/>
      <c r="D24" s="25"/>
      <c r="E24" s="23"/>
      <c r="F24" s="17">
        <f t="shared" si="0"/>
        <v>20</v>
      </c>
      <c r="G24" s="30"/>
      <c r="H24" s="25"/>
      <c r="I24" s="30"/>
      <c r="J24" s="30"/>
      <c r="K24" s="15">
        <f t="shared" si="1"/>
        <v>0</v>
      </c>
      <c r="L24" s="7">
        <f t="shared" si="2"/>
        <v>20</v>
      </c>
    </row>
    <row r="25" spans="1:12" ht="15.75" thickBot="1" x14ac:dyDescent="0.3">
      <c r="A25" s="8">
        <v>17</v>
      </c>
      <c r="B25" s="21">
        <v>1</v>
      </c>
      <c r="C25" s="47"/>
      <c r="D25" s="25"/>
      <c r="E25" s="23"/>
      <c r="F25" s="17">
        <f t="shared" si="0"/>
        <v>1</v>
      </c>
      <c r="G25" s="30"/>
      <c r="H25" s="22"/>
      <c r="I25" s="30"/>
      <c r="J25" s="30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19</v>
      </c>
      <c r="C28" s="22"/>
      <c r="D28" s="25"/>
      <c r="E28" s="23"/>
      <c r="F28" s="17">
        <f t="shared" si="0"/>
        <v>19</v>
      </c>
      <c r="G28" s="30"/>
      <c r="H28" s="22"/>
      <c r="I28" s="30"/>
      <c r="J28" s="30"/>
      <c r="K28" s="15">
        <f t="shared" si="1"/>
        <v>0</v>
      </c>
      <c r="L28" s="7">
        <f t="shared" si="2"/>
        <v>19</v>
      </c>
    </row>
    <row r="29" spans="1:12" ht="15.75" thickBot="1" x14ac:dyDescent="0.3">
      <c r="A29" s="8">
        <v>21</v>
      </c>
      <c r="B29" s="21">
        <v>22</v>
      </c>
      <c r="C29" s="22"/>
      <c r="D29" s="25"/>
      <c r="E29" s="24"/>
      <c r="F29" s="17">
        <f t="shared" si="0"/>
        <v>22</v>
      </c>
      <c r="G29" s="30"/>
      <c r="H29" s="22"/>
      <c r="I29" s="30"/>
      <c r="J29" s="30"/>
      <c r="K29" s="15">
        <f t="shared" si="1"/>
        <v>0</v>
      </c>
      <c r="L29" s="7">
        <f t="shared" si="2"/>
        <v>22</v>
      </c>
    </row>
    <row r="30" spans="1:12" ht="15.75" thickBot="1" x14ac:dyDescent="0.3">
      <c r="A30" s="8">
        <v>22</v>
      </c>
      <c r="B30" s="21">
        <v>21</v>
      </c>
      <c r="C30" s="22"/>
      <c r="D30" s="25">
        <v>1</v>
      </c>
      <c r="E30" s="23"/>
      <c r="F30" s="17">
        <f t="shared" si="0"/>
        <v>22</v>
      </c>
      <c r="G30" s="30"/>
      <c r="H30" s="22"/>
      <c r="I30" s="30"/>
      <c r="J30" s="30"/>
      <c r="K30" s="15">
        <f t="shared" si="1"/>
        <v>0</v>
      </c>
      <c r="L30" s="7">
        <f t="shared" si="2"/>
        <v>22</v>
      </c>
    </row>
    <row r="31" spans="1:12" ht="15.75" thickBot="1" x14ac:dyDescent="0.3">
      <c r="A31" s="8">
        <v>23</v>
      </c>
      <c r="B31" s="21">
        <v>20</v>
      </c>
      <c r="C31" s="22"/>
      <c r="D31" s="25"/>
      <c r="E31" s="23"/>
      <c r="F31" s="17">
        <f t="shared" si="0"/>
        <v>20</v>
      </c>
      <c r="G31" s="30"/>
      <c r="H31" s="22"/>
      <c r="I31" s="30"/>
      <c r="J31" s="30"/>
      <c r="K31" s="15">
        <f t="shared" si="1"/>
        <v>0</v>
      </c>
      <c r="L31" s="7">
        <f t="shared" si="2"/>
        <v>20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30</v>
      </c>
      <c r="C34" s="25"/>
      <c r="D34" s="25">
        <v>1</v>
      </c>
      <c r="E34" s="23"/>
      <c r="F34" s="17">
        <f t="shared" si="0"/>
        <v>31</v>
      </c>
      <c r="G34" s="30"/>
      <c r="H34" s="25"/>
      <c r="I34" s="22"/>
      <c r="J34" s="22"/>
      <c r="K34" s="15">
        <f t="shared" si="1"/>
        <v>0</v>
      </c>
      <c r="L34" s="7">
        <f t="shared" si="2"/>
        <v>31</v>
      </c>
    </row>
    <row r="35" spans="1:12" ht="15.75" thickBot="1" x14ac:dyDescent="0.3">
      <c r="A35" s="8">
        <v>27</v>
      </c>
      <c r="B35" s="21">
        <v>32</v>
      </c>
      <c r="C35" s="22"/>
      <c r="D35" s="25"/>
      <c r="E35" s="23"/>
      <c r="F35" s="17">
        <f t="shared" si="0"/>
        <v>32</v>
      </c>
      <c r="G35" s="44"/>
      <c r="H35" s="22"/>
      <c r="I35" s="22"/>
      <c r="J35" s="22"/>
      <c r="K35" s="15">
        <f t="shared" si="1"/>
        <v>0</v>
      </c>
      <c r="L35" s="7">
        <f t="shared" si="2"/>
        <v>32</v>
      </c>
    </row>
    <row r="36" spans="1:12" ht="15.75" thickBot="1" x14ac:dyDescent="0.3">
      <c r="A36" s="8">
        <v>28</v>
      </c>
      <c r="B36" s="21">
        <v>22</v>
      </c>
      <c r="C36" s="22"/>
      <c r="D36" s="25"/>
      <c r="E36" s="23"/>
      <c r="F36" s="17">
        <f t="shared" si="0"/>
        <v>22</v>
      </c>
      <c r="G36" s="30"/>
      <c r="H36" s="25">
        <v>1</v>
      </c>
      <c r="I36" s="22"/>
      <c r="J36" s="22"/>
      <c r="K36" s="15">
        <f t="shared" si="1"/>
        <v>1</v>
      </c>
      <c r="L36" s="7">
        <f t="shared" si="2"/>
        <v>23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21</v>
      </c>
      <c r="C38" s="22"/>
      <c r="D38" s="22"/>
      <c r="E38" s="23"/>
      <c r="F38" s="17">
        <f t="shared" si="0"/>
        <v>21</v>
      </c>
      <c r="G38" s="30"/>
      <c r="H38" s="22"/>
      <c r="I38" s="22"/>
      <c r="J38" s="22"/>
      <c r="K38" s="15">
        <f t="shared" si="1"/>
        <v>0</v>
      </c>
      <c r="L38" s="7">
        <f t="shared" si="2"/>
        <v>21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290</v>
      </c>
      <c r="C40" s="54">
        <f t="shared" ref="C40:E40" si="3">SUM(C9:C39)</f>
        <v>0</v>
      </c>
      <c r="D40" s="54">
        <f t="shared" si="3"/>
        <v>4</v>
      </c>
      <c r="E40" s="54">
        <f t="shared" si="3"/>
        <v>0</v>
      </c>
      <c r="F40" s="53">
        <f>SUM(F9:F39)</f>
        <v>294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295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45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400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295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150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95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55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32</v>
      </c>
    </row>
    <row r="54" spans="1:12" x14ac:dyDescent="0.25">
      <c r="A54" t="s">
        <v>31</v>
      </c>
    </row>
    <row r="55" spans="1:12" x14ac:dyDescent="0.25">
      <c r="A55" t="s">
        <v>33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8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34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20</v>
      </c>
      <c r="C10" s="25"/>
      <c r="D10" s="22"/>
      <c r="E10" s="23"/>
      <c r="F10" s="17">
        <f t="shared" ref="F10:F39" si="0">SUM(B10:E10)</f>
        <v>20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20</v>
      </c>
    </row>
    <row r="11" spans="1:12" ht="15.75" thickBot="1" x14ac:dyDescent="0.3">
      <c r="A11" s="8">
        <v>3</v>
      </c>
      <c r="B11" s="21">
        <v>14</v>
      </c>
      <c r="C11" s="22"/>
      <c r="D11" s="22"/>
      <c r="E11" s="24"/>
      <c r="F11" s="17">
        <f t="shared" si="0"/>
        <v>14</v>
      </c>
      <c r="G11" s="30"/>
      <c r="H11" s="25"/>
      <c r="I11" s="22"/>
      <c r="J11" s="22"/>
      <c r="K11" s="15">
        <f t="shared" si="1"/>
        <v>0</v>
      </c>
      <c r="L11" s="7">
        <f t="shared" si="2"/>
        <v>14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>
        <v>1</v>
      </c>
      <c r="E14" s="23"/>
      <c r="F14" s="17">
        <f t="shared" si="0"/>
        <v>1</v>
      </c>
      <c r="G14" s="30"/>
      <c r="H14" s="25"/>
      <c r="I14" s="22"/>
      <c r="J14" s="22"/>
      <c r="K14" s="15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3</v>
      </c>
      <c r="C18" s="25"/>
      <c r="D18" s="25"/>
      <c r="E18" s="23"/>
      <c r="F18" s="17">
        <f t="shared" si="0"/>
        <v>3</v>
      </c>
      <c r="G18" s="32"/>
      <c r="H18" s="25"/>
      <c r="I18" s="22"/>
      <c r="J18" s="22"/>
      <c r="K18" s="15">
        <f t="shared" si="1"/>
        <v>0</v>
      </c>
      <c r="L18" s="7">
        <f t="shared" si="2"/>
        <v>3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5</v>
      </c>
      <c r="C20" s="25"/>
      <c r="D20" s="25"/>
      <c r="E20" s="23"/>
      <c r="F20" s="17">
        <f t="shared" si="0"/>
        <v>5</v>
      </c>
      <c r="G20" s="30"/>
      <c r="H20" s="57">
        <v>4</v>
      </c>
      <c r="I20" s="30">
        <v>1</v>
      </c>
      <c r="J20" s="30"/>
      <c r="K20" s="15">
        <f t="shared" si="1"/>
        <v>5</v>
      </c>
      <c r="L20" s="7">
        <f t="shared" si="2"/>
        <v>10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7</v>
      </c>
      <c r="H25" s="25">
        <v>1</v>
      </c>
      <c r="I25" s="30"/>
      <c r="J25" s="30"/>
      <c r="K25" s="15">
        <f t="shared" si="1"/>
        <v>8</v>
      </c>
      <c r="L25" s="7">
        <f t="shared" si="2"/>
        <v>8</v>
      </c>
    </row>
    <row r="26" spans="1:12" ht="15.75" thickBot="1" x14ac:dyDescent="0.3">
      <c r="A26" s="8">
        <v>18</v>
      </c>
      <c r="B26" s="21">
        <v>3</v>
      </c>
      <c r="C26" s="25"/>
      <c r="D26" s="25"/>
      <c r="E26" s="23"/>
      <c r="F26" s="17">
        <f t="shared" si="0"/>
        <v>3</v>
      </c>
      <c r="G26" s="30"/>
      <c r="H26" s="25"/>
      <c r="I26" s="30"/>
      <c r="J26" s="30"/>
      <c r="K26" s="15">
        <f t="shared" si="1"/>
        <v>0</v>
      </c>
      <c r="L26" s="7">
        <f t="shared" si="2"/>
        <v>3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2</v>
      </c>
      <c r="C33" s="22"/>
      <c r="D33" s="25"/>
      <c r="E33" s="23"/>
      <c r="F33" s="17">
        <f t="shared" si="0"/>
        <v>2</v>
      </c>
      <c r="G33" s="30">
        <v>1</v>
      </c>
      <c r="H33" s="22"/>
      <c r="I33" s="30"/>
      <c r="J33" s="30"/>
      <c r="K33" s="15">
        <f t="shared" si="1"/>
        <v>1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>
        <v>5</v>
      </c>
      <c r="H34" s="25"/>
      <c r="I34" s="22"/>
      <c r="J34" s="22"/>
      <c r="K34" s="15">
        <f t="shared" si="1"/>
        <v>5</v>
      </c>
      <c r="L34" s="7">
        <f t="shared" si="2"/>
        <v>5</v>
      </c>
    </row>
    <row r="35" spans="1:12" ht="15.75" thickBot="1" x14ac:dyDescent="0.3">
      <c r="A35" s="8">
        <v>27</v>
      </c>
      <c r="B35" s="21">
        <v>1</v>
      </c>
      <c r="C35" s="22"/>
      <c r="D35" s="25"/>
      <c r="E35" s="23"/>
      <c r="F35" s="17">
        <f t="shared" si="0"/>
        <v>1</v>
      </c>
      <c r="G35" s="44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48</v>
      </c>
      <c r="C40" s="56">
        <f t="shared" ref="C40:E40" si="3">SUM(C9:C39)</f>
        <v>0</v>
      </c>
      <c r="D40" s="56">
        <f t="shared" si="3"/>
        <v>1</v>
      </c>
      <c r="E40" s="56">
        <f t="shared" si="3"/>
        <v>0</v>
      </c>
      <c r="F40" s="55">
        <f>SUM(F9:F39)</f>
        <v>49</v>
      </c>
      <c r="G40" s="16">
        <f>SUM(G9:G39)</f>
        <v>13</v>
      </c>
      <c r="H40" s="16">
        <f t="shared" ref="H40:L40" si="4">SUM(H9:H39)</f>
        <v>5</v>
      </c>
      <c r="I40" s="16">
        <f t="shared" si="4"/>
        <v>1</v>
      </c>
      <c r="J40" s="16">
        <f t="shared" si="4"/>
        <v>0</v>
      </c>
      <c r="K40" s="16">
        <f t="shared" si="4"/>
        <v>19</v>
      </c>
      <c r="L40" s="16">
        <f t="shared" si="4"/>
        <v>68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95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101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68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128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97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31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35</v>
      </c>
    </row>
    <row r="54" spans="1:12" x14ac:dyDescent="0.25">
      <c r="A54" t="s">
        <v>36</v>
      </c>
    </row>
    <row r="55" spans="1:12" x14ac:dyDescent="0.25">
      <c r="A55" t="s">
        <v>37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37" workbookViewId="0">
      <selection activeCell="A57" sqref="A5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38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4</v>
      </c>
      <c r="C10" s="25"/>
      <c r="D10" s="22"/>
      <c r="E10" s="23"/>
      <c r="F10" s="17">
        <f t="shared" ref="F10:F39" si="0">SUM(B10:E10)</f>
        <v>4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4</v>
      </c>
    </row>
    <row r="11" spans="1:12" ht="15.75" thickBot="1" x14ac:dyDescent="0.3">
      <c r="A11" s="8">
        <v>3</v>
      </c>
      <c r="B11" s="21">
        <v>3</v>
      </c>
      <c r="C11" s="22"/>
      <c r="D11" s="22"/>
      <c r="E11" s="24"/>
      <c r="F11" s="17">
        <f t="shared" si="0"/>
        <v>3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4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>
        <v>1</v>
      </c>
      <c r="H12" s="25"/>
      <c r="I12" s="22"/>
      <c r="J12" s="22"/>
      <c r="K12" s="15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4</v>
      </c>
      <c r="C15" s="25"/>
      <c r="D15" s="25"/>
      <c r="E15" s="23"/>
      <c r="F15" s="17">
        <f t="shared" si="0"/>
        <v>4</v>
      </c>
      <c r="G15" s="30"/>
      <c r="H15" s="25"/>
      <c r="I15" s="22"/>
      <c r="J15" s="22"/>
      <c r="K15" s="15">
        <f t="shared" si="1"/>
        <v>0</v>
      </c>
      <c r="L15" s="7">
        <f t="shared" si="2"/>
        <v>4</v>
      </c>
    </row>
    <row r="16" spans="1:12" ht="15.75" thickBot="1" x14ac:dyDescent="0.3">
      <c r="A16" s="8">
        <v>8</v>
      </c>
      <c r="B16" s="21">
        <v>3</v>
      </c>
      <c r="C16" s="25"/>
      <c r="D16" s="25"/>
      <c r="E16" s="23"/>
      <c r="F16" s="17">
        <f t="shared" si="0"/>
        <v>3</v>
      </c>
      <c r="G16" s="30">
        <v>5</v>
      </c>
      <c r="H16" s="25"/>
      <c r="I16" s="22"/>
      <c r="J16" s="22"/>
      <c r="K16" s="15">
        <f t="shared" si="1"/>
        <v>5</v>
      </c>
      <c r="L16" s="7">
        <f t="shared" si="2"/>
        <v>8</v>
      </c>
    </row>
    <row r="17" spans="1:12" ht="15.75" thickBot="1" x14ac:dyDescent="0.3">
      <c r="A17" s="8">
        <v>9</v>
      </c>
      <c r="B17" s="21">
        <v>5</v>
      </c>
      <c r="C17" s="25"/>
      <c r="D17" s="25"/>
      <c r="E17" s="24"/>
      <c r="F17" s="17">
        <f t="shared" si="0"/>
        <v>5</v>
      </c>
      <c r="G17" s="30"/>
      <c r="H17" s="25">
        <v>2</v>
      </c>
      <c r="I17" s="32"/>
      <c r="J17" s="22"/>
      <c r="K17" s="15">
        <f t="shared" si="1"/>
        <v>2</v>
      </c>
      <c r="L17" s="7">
        <f t="shared" si="2"/>
        <v>7</v>
      </c>
    </row>
    <row r="18" spans="1:12" ht="15.75" thickBot="1" x14ac:dyDescent="0.3">
      <c r="A18" s="8">
        <v>10</v>
      </c>
      <c r="B18" s="21">
        <v>5</v>
      </c>
      <c r="C18" s="25"/>
      <c r="D18" s="25"/>
      <c r="E18" s="23"/>
      <c r="F18" s="17">
        <f t="shared" si="0"/>
        <v>5</v>
      </c>
      <c r="G18" s="32">
        <v>2</v>
      </c>
      <c r="H18" s="25"/>
      <c r="I18" s="22"/>
      <c r="J18" s="22"/>
      <c r="K18" s="15">
        <f t="shared" si="1"/>
        <v>2</v>
      </c>
      <c r="L18" s="7">
        <f t="shared" si="2"/>
        <v>7</v>
      </c>
    </row>
    <row r="19" spans="1:12" ht="15.75" thickBot="1" x14ac:dyDescent="0.3">
      <c r="A19" s="8">
        <v>11</v>
      </c>
      <c r="B19" s="21">
        <v>3</v>
      </c>
      <c r="C19" s="25"/>
      <c r="D19" s="25"/>
      <c r="E19" s="23"/>
      <c r="F19" s="17">
        <f t="shared" si="0"/>
        <v>3</v>
      </c>
      <c r="G19" s="30"/>
      <c r="H19" s="25">
        <v>1</v>
      </c>
      <c r="I19" s="25"/>
      <c r="J19" s="25">
        <v>1</v>
      </c>
      <c r="K19" s="15">
        <f t="shared" si="1"/>
        <v>2</v>
      </c>
      <c r="L19" s="7">
        <f t="shared" si="2"/>
        <v>5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57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4"/>
      <c r="H22" s="22"/>
      <c r="I22" s="30">
        <v>1</v>
      </c>
      <c r="J22" s="30"/>
      <c r="K22" s="15">
        <f t="shared" si="1"/>
        <v>1</v>
      </c>
      <c r="L22" s="7">
        <f t="shared" si="2"/>
        <v>2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>
        <v>1</v>
      </c>
      <c r="H23" s="25"/>
      <c r="I23" s="30"/>
      <c r="J23" s="30"/>
      <c r="K23" s="15">
        <f t="shared" si="1"/>
        <v>1</v>
      </c>
      <c r="L23" s="7">
        <f t="shared" si="2"/>
        <v>2</v>
      </c>
    </row>
    <row r="24" spans="1:12" ht="15.75" thickBot="1" x14ac:dyDescent="0.3">
      <c r="A24" s="8">
        <v>16</v>
      </c>
      <c r="B24" s="21">
        <v>1</v>
      </c>
      <c r="C24" s="22"/>
      <c r="D24" s="25"/>
      <c r="E24" s="23"/>
      <c r="F24" s="17">
        <f t="shared" si="0"/>
        <v>1</v>
      </c>
      <c r="G24" s="30"/>
      <c r="H24" s="25"/>
      <c r="I24" s="30"/>
      <c r="J24" s="30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>
        <v>3</v>
      </c>
      <c r="I25" s="30"/>
      <c r="J25" s="30"/>
      <c r="K25" s="15">
        <f t="shared" si="1"/>
        <v>3</v>
      </c>
      <c r="L25" s="7">
        <f t="shared" si="2"/>
        <v>3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5"/>
      <c r="E29" s="24"/>
      <c r="F29" s="17">
        <f t="shared" si="0"/>
        <v>1</v>
      </c>
      <c r="G29" s="30"/>
      <c r="H29" s="22"/>
      <c r="I29" s="30"/>
      <c r="J29" s="30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>
        <v>1</v>
      </c>
      <c r="C30" s="22"/>
      <c r="D30" s="25"/>
      <c r="E30" s="23"/>
      <c r="F30" s="17">
        <f t="shared" si="0"/>
        <v>1</v>
      </c>
      <c r="G30" s="30">
        <v>1</v>
      </c>
      <c r="H30" s="22"/>
      <c r="I30" s="30"/>
      <c r="J30" s="30"/>
      <c r="K30" s="15">
        <f t="shared" si="1"/>
        <v>1</v>
      </c>
      <c r="L30" s="7">
        <f t="shared" si="2"/>
        <v>2</v>
      </c>
    </row>
    <row r="31" spans="1:12" ht="15.75" thickBot="1" x14ac:dyDescent="0.3">
      <c r="A31" s="8">
        <v>23</v>
      </c>
      <c r="B31" s="21">
        <v>5</v>
      </c>
      <c r="C31" s="22"/>
      <c r="D31" s="25"/>
      <c r="E31" s="23"/>
      <c r="F31" s="17">
        <f t="shared" si="0"/>
        <v>5</v>
      </c>
      <c r="G31" s="30"/>
      <c r="H31" s="22"/>
      <c r="I31" s="30"/>
      <c r="J31" s="30"/>
      <c r="K31" s="15">
        <f t="shared" si="1"/>
        <v>0</v>
      </c>
      <c r="L31" s="7">
        <f t="shared" si="2"/>
        <v>5</v>
      </c>
    </row>
    <row r="32" spans="1:12" ht="15.75" thickBot="1" x14ac:dyDescent="0.3">
      <c r="A32" s="8">
        <v>24</v>
      </c>
      <c r="B32" s="21">
        <v>6</v>
      </c>
      <c r="C32" s="22"/>
      <c r="D32" s="25"/>
      <c r="E32" s="23"/>
      <c r="F32" s="17">
        <f t="shared" si="0"/>
        <v>6</v>
      </c>
      <c r="G32" s="30">
        <v>1</v>
      </c>
      <c r="H32" s="22"/>
      <c r="I32" s="30"/>
      <c r="J32" s="30"/>
      <c r="K32" s="15">
        <f t="shared" si="1"/>
        <v>1</v>
      </c>
      <c r="L32" s="7">
        <f t="shared" si="2"/>
        <v>7</v>
      </c>
    </row>
    <row r="33" spans="1:12" ht="15.75" thickBot="1" x14ac:dyDescent="0.3">
      <c r="A33" s="8">
        <v>25</v>
      </c>
      <c r="B33" s="21">
        <v>1</v>
      </c>
      <c r="C33" s="22"/>
      <c r="D33" s="25"/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5">
        <v>1</v>
      </c>
      <c r="I37" s="22"/>
      <c r="J37" s="22"/>
      <c r="K37" s="15">
        <f t="shared" si="1"/>
        <v>1</v>
      </c>
      <c r="L37" s="7">
        <f t="shared" si="2"/>
        <v>2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1</v>
      </c>
      <c r="H38" s="22"/>
      <c r="I38" s="22"/>
      <c r="J38" s="25">
        <v>1</v>
      </c>
      <c r="K38" s="15">
        <f t="shared" si="1"/>
        <v>2</v>
      </c>
      <c r="L38" s="7">
        <f t="shared" si="2"/>
        <v>2</v>
      </c>
    </row>
    <row r="39" spans="1:12" ht="15.75" thickBot="1" x14ac:dyDescent="0.3">
      <c r="A39" s="9">
        <v>31</v>
      </c>
      <c r="B39" s="26">
        <v>3</v>
      </c>
      <c r="C39" s="50"/>
      <c r="D39" s="27"/>
      <c r="E39" s="28"/>
      <c r="F39" s="17">
        <f t="shared" si="0"/>
        <v>3</v>
      </c>
      <c r="G39" s="30"/>
      <c r="H39" s="22"/>
      <c r="I39" s="22"/>
      <c r="J39" s="22"/>
      <c r="K39" s="15">
        <f t="shared" si="1"/>
        <v>0</v>
      </c>
      <c r="L39" s="7">
        <f t="shared" si="2"/>
        <v>3</v>
      </c>
    </row>
    <row r="40" spans="1:12" ht="15.75" thickBot="1" x14ac:dyDescent="0.3">
      <c r="A40" s="10"/>
      <c r="B40" s="59">
        <f>SUM(B9:B39)</f>
        <v>48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48</v>
      </c>
      <c r="G40" s="16">
        <f>SUM(G9:G39)</f>
        <v>13</v>
      </c>
      <c r="H40" s="16">
        <f t="shared" ref="H40:L40" si="4">SUM(H9:H39)</f>
        <v>7</v>
      </c>
      <c r="I40" s="16">
        <f t="shared" si="4"/>
        <v>1</v>
      </c>
      <c r="J40" s="16">
        <f t="shared" si="4"/>
        <v>2</v>
      </c>
      <c r="K40" s="16">
        <f t="shared" si="4"/>
        <v>23</v>
      </c>
      <c r="L40" s="16">
        <f t="shared" si="4"/>
        <v>71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97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18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71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44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18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26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2" spans="1:12" x14ac:dyDescent="0.25">
      <c r="A52" t="s">
        <v>45</v>
      </c>
    </row>
    <row r="53" spans="1:12" x14ac:dyDescent="0.25">
      <c r="A53" t="s">
        <v>39</v>
      </c>
    </row>
    <row r="54" spans="1:12" x14ac:dyDescent="0.25">
      <c r="A54" t="s">
        <v>40</v>
      </c>
    </row>
    <row r="55" spans="1:12" x14ac:dyDescent="0.25">
      <c r="A55" t="s">
        <v>41</v>
      </c>
    </row>
    <row r="56" spans="1:12" x14ac:dyDescent="0.25">
      <c r="A56" t="s">
        <v>42</v>
      </c>
    </row>
    <row r="57" spans="1:12" x14ac:dyDescent="0.25">
      <c r="A57" t="s">
        <v>43</v>
      </c>
    </row>
    <row r="58" spans="1:12" x14ac:dyDescent="0.25">
      <c r="A58" t="s">
        <v>44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1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46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1</v>
      </c>
      <c r="C13" s="25"/>
      <c r="D13" s="25">
        <v>1</v>
      </c>
      <c r="E13" s="23"/>
      <c r="F13" s="17">
        <f t="shared" si="0"/>
        <v>2</v>
      </c>
      <c r="G13" s="30"/>
      <c r="H13" s="25"/>
      <c r="I13" s="25"/>
      <c r="J13" s="22"/>
      <c r="K13" s="15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5">
        <v>2</v>
      </c>
      <c r="J15" s="30"/>
      <c r="K15" s="15">
        <f t="shared" si="1"/>
        <v>2</v>
      </c>
      <c r="L15" s="7">
        <f t="shared" si="2"/>
        <v>2</v>
      </c>
    </row>
    <row r="16" spans="1:12" ht="15.75" thickBot="1" x14ac:dyDescent="0.3">
      <c r="A16" s="8">
        <v>8</v>
      </c>
      <c r="B16" s="21">
        <v>2</v>
      </c>
      <c r="C16" s="25"/>
      <c r="D16" s="25"/>
      <c r="E16" s="23"/>
      <c r="F16" s="17">
        <f t="shared" si="0"/>
        <v>2</v>
      </c>
      <c r="G16" s="30"/>
      <c r="H16" s="25"/>
      <c r="I16" s="25"/>
      <c r="J16" s="30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/>
      <c r="H23" s="25"/>
      <c r="I23" s="25"/>
      <c r="J23" s="30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>
        <v>1</v>
      </c>
      <c r="H30" s="25"/>
      <c r="I30" s="25">
        <v>4</v>
      </c>
      <c r="J30" s="30"/>
      <c r="K30" s="15">
        <f t="shared" si="1"/>
        <v>5</v>
      </c>
      <c r="L30" s="7">
        <f t="shared" si="2"/>
        <v>5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4</v>
      </c>
      <c r="C40" s="61">
        <f t="shared" ref="C40:E40" si="3">SUM(C9:C39)</f>
        <v>0</v>
      </c>
      <c r="D40" s="61">
        <f t="shared" si="3"/>
        <v>1</v>
      </c>
      <c r="E40" s="61">
        <f t="shared" si="3"/>
        <v>0</v>
      </c>
      <c r="F40" s="60">
        <f>SUM(F9:F39)</f>
        <v>5</v>
      </c>
      <c r="G40" s="16">
        <f>SUM(G9:G39)</f>
        <v>1</v>
      </c>
      <c r="H40" s="16">
        <f t="shared" ref="H40:L40" si="4">SUM(H9:H39)</f>
        <v>0</v>
      </c>
      <c r="I40" s="16">
        <f t="shared" si="4"/>
        <v>6</v>
      </c>
      <c r="J40" s="16">
        <f t="shared" si="4"/>
        <v>0</v>
      </c>
      <c r="K40" s="16">
        <f t="shared" si="4"/>
        <v>7</v>
      </c>
      <c r="L40" s="16">
        <f t="shared" si="4"/>
        <v>12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18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51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12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57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56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1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47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</v>
      </c>
      <c r="H11" s="25">
        <v>2</v>
      </c>
      <c r="I11" s="22"/>
      <c r="J11" s="22"/>
      <c r="K11" s="15">
        <f t="shared" si="1"/>
        <v>3</v>
      </c>
      <c r="L11" s="7">
        <f t="shared" si="2"/>
        <v>3</v>
      </c>
    </row>
    <row r="12" spans="1:12" ht="15.75" thickBot="1" x14ac:dyDescent="0.3">
      <c r="A12" s="8">
        <v>4</v>
      </c>
      <c r="B12" s="21">
        <v>4</v>
      </c>
      <c r="C12" s="25"/>
      <c r="D12" s="25"/>
      <c r="E12" s="23"/>
      <c r="F12" s="17">
        <f t="shared" si="0"/>
        <v>4</v>
      </c>
      <c r="G12" s="31">
        <v>2</v>
      </c>
      <c r="H12" s="25"/>
      <c r="I12" s="22"/>
      <c r="J12" s="22"/>
      <c r="K12" s="15">
        <f t="shared" si="1"/>
        <v>2</v>
      </c>
      <c r="L12" s="7">
        <f t="shared" si="2"/>
        <v>6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3</v>
      </c>
      <c r="C14" s="25"/>
      <c r="D14" s="25"/>
      <c r="E14" s="23"/>
      <c r="F14" s="17">
        <f t="shared" si="0"/>
        <v>3</v>
      </c>
      <c r="G14" s="30"/>
      <c r="H14" s="25"/>
      <c r="I14" s="25"/>
      <c r="J14" s="30"/>
      <c r="K14" s="15">
        <f t="shared" si="1"/>
        <v>0</v>
      </c>
      <c r="L14" s="7">
        <f t="shared" si="2"/>
        <v>3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>
        <v>8</v>
      </c>
      <c r="C20" s="25"/>
      <c r="D20" s="25"/>
      <c r="E20" s="23"/>
      <c r="F20" s="17">
        <f t="shared" si="0"/>
        <v>8</v>
      </c>
      <c r="G20" s="30">
        <v>1</v>
      </c>
      <c r="H20" s="25"/>
      <c r="I20" s="25"/>
      <c r="J20" s="30"/>
      <c r="K20" s="15">
        <f t="shared" si="1"/>
        <v>1</v>
      </c>
      <c r="L20" s="7">
        <f t="shared" si="2"/>
        <v>9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25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14</v>
      </c>
      <c r="C31" s="22"/>
      <c r="D31" s="25"/>
      <c r="E31" s="23"/>
      <c r="F31" s="17">
        <f t="shared" si="0"/>
        <v>14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15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30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30</v>
      </c>
      <c r="G40" s="16">
        <f>SUM(G9:G39)</f>
        <v>6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8</v>
      </c>
      <c r="L40" s="16">
        <f t="shared" si="4"/>
        <v>38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56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38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18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18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0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3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48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>
        <v>1</v>
      </c>
      <c r="H9" s="29"/>
      <c r="I9" s="29"/>
      <c r="J9" s="29"/>
      <c r="K9" s="15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6</v>
      </c>
      <c r="C17" s="25"/>
      <c r="D17" s="25"/>
      <c r="E17" s="24"/>
      <c r="F17" s="17">
        <f t="shared" si="0"/>
        <v>6</v>
      </c>
      <c r="G17" s="30"/>
      <c r="H17" s="25"/>
      <c r="I17" s="25"/>
      <c r="J17" s="30"/>
      <c r="K17" s="15">
        <f t="shared" si="1"/>
        <v>0</v>
      </c>
      <c r="L17" s="7">
        <f t="shared" si="2"/>
        <v>6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0"/>
      <c r="H22" s="25"/>
      <c r="I22" s="25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>
        <v>4</v>
      </c>
      <c r="C23" s="22"/>
      <c r="D23" s="25"/>
      <c r="E23" s="23"/>
      <c r="F23" s="17">
        <f t="shared" si="0"/>
        <v>4</v>
      </c>
      <c r="G23" s="30"/>
      <c r="H23" s="25"/>
      <c r="I23" s="25"/>
      <c r="J23" s="30"/>
      <c r="K23" s="15">
        <f t="shared" si="1"/>
        <v>0</v>
      </c>
      <c r="L23" s="7">
        <f t="shared" si="2"/>
        <v>4</v>
      </c>
    </row>
    <row r="24" spans="1:12" ht="15.75" thickBot="1" x14ac:dyDescent="0.3">
      <c r="A24" s="8">
        <v>16</v>
      </c>
      <c r="B24" s="21">
        <v>1</v>
      </c>
      <c r="C24" s="22"/>
      <c r="D24" s="25">
        <v>2</v>
      </c>
      <c r="E24" s="23"/>
      <c r="F24" s="17">
        <f t="shared" si="0"/>
        <v>3</v>
      </c>
      <c r="G24" s="30"/>
      <c r="H24" s="25"/>
      <c r="I24" s="25"/>
      <c r="J24" s="30"/>
      <c r="K24" s="15">
        <f t="shared" si="1"/>
        <v>0</v>
      </c>
      <c r="L24" s="7">
        <f t="shared" si="2"/>
        <v>3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14</v>
      </c>
      <c r="C29" s="22"/>
      <c r="D29" s="25"/>
      <c r="E29" s="24"/>
      <c r="F29" s="17">
        <f t="shared" si="0"/>
        <v>14</v>
      </c>
      <c r="G29" s="30">
        <v>1</v>
      </c>
      <c r="H29" s="25"/>
      <c r="I29" s="25"/>
      <c r="J29" s="30"/>
      <c r="K29" s="15">
        <f t="shared" si="1"/>
        <v>1</v>
      </c>
      <c r="L29" s="7">
        <f t="shared" si="2"/>
        <v>15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3</v>
      </c>
      <c r="C31" s="22"/>
      <c r="D31" s="25"/>
      <c r="E31" s="23"/>
      <c r="F31" s="17">
        <f t="shared" si="0"/>
        <v>3</v>
      </c>
      <c r="G31" s="30"/>
      <c r="H31" s="22"/>
      <c r="I31" s="30"/>
      <c r="J31" s="30"/>
      <c r="K31" s="15">
        <f t="shared" si="1"/>
        <v>0</v>
      </c>
      <c r="L31" s="7">
        <f t="shared" si="2"/>
        <v>3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4</v>
      </c>
      <c r="C34" s="25"/>
      <c r="D34" s="25"/>
      <c r="E34" s="23"/>
      <c r="F34" s="17">
        <f t="shared" si="0"/>
        <v>4</v>
      </c>
      <c r="G34" s="30"/>
      <c r="H34" s="25"/>
      <c r="I34" s="22"/>
      <c r="J34" s="22"/>
      <c r="K34" s="15">
        <f t="shared" si="1"/>
        <v>0</v>
      </c>
      <c r="L34" s="7">
        <f t="shared" si="2"/>
        <v>4</v>
      </c>
    </row>
    <row r="35" spans="1:12" ht="15.75" thickBot="1" x14ac:dyDescent="0.3">
      <c r="A35" s="8">
        <v>27</v>
      </c>
      <c r="B35" s="21">
        <v>14</v>
      </c>
      <c r="C35" s="25">
        <v>1</v>
      </c>
      <c r="D35" s="25"/>
      <c r="E35" s="23"/>
      <c r="F35" s="17">
        <f t="shared" si="0"/>
        <v>15</v>
      </c>
      <c r="G35" s="44"/>
      <c r="H35" s="22"/>
      <c r="I35" s="22"/>
      <c r="J35" s="22"/>
      <c r="K35" s="15">
        <f t="shared" si="1"/>
        <v>0</v>
      </c>
      <c r="L35" s="7">
        <f t="shared" si="2"/>
        <v>15</v>
      </c>
    </row>
    <row r="36" spans="1:12" ht="15.75" thickBot="1" x14ac:dyDescent="0.3">
      <c r="A36" s="8">
        <v>28</v>
      </c>
      <c r="B36" s="21">
        <v>2</v>
      </c>
      <c r="C36" s="22"/>
      <c r="D36" s="25"/>
      <c r="E36" s="23"/>
      <c r="F36" s="17">
        <f t="shared" si="0"/>
        <v>2</v>
      </c>
      <c r="G36" s="30">
        <v>2</v>
      </c>
      <c r="H36" s="25"/>
      <c r="I36" s="25">
        <v>1</v>
      </c>
      <c r="J36" s="22"/>
      <c r="K36" s="15">
        <f t="shared" si="1"/>
        <v>3</v>
      </c>
      <c r="L36" s="7">
        <f t="shared" si="2"/>
        <v>5</v>
      </c>
    </row>
    <row r="37" spans="1:12" ht="15.75" thickBot="1" x14ac:dyDescent="0.3">
      <c r="A37" s="8">
        <v>29</v>
      </c>
      <c r="B37" s="21">
        <v>3</v>
      </c>
      <c r="C37" s="22"/>
      <c r="D37" s="22"/>
      <c r="E37" s="23"/>
      <c r="F37" s="17">
        <f t="shared" si="0"/>
        <v>3</v>
      </c>
      <c r="G37" s="30"/>
      <c r="H37" s="25"/>
      <c r="I37" s="22"/>
      <c r="J37" s="22"/>
      <c r="K37" s="15">
        <f t="shared" si="1"/>
        <v>0</v>
      </c>
      <c r="L37" s="7">
        <f t="shared" si="2"/>
        <v>3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2</v>
      </c>
      <c r="C39" s="50"/>
      <c r="D39" s="27"/>
      <c r="E39" s="28"/>
      <c r="F39" s="17">
        <f t="shared" si="0"/>
        <v>2</v>
      </c>
      <c r="G39" s="30"/>
      <c r="H39" s="22"/>
      <c r="I39" s="22"/>
      <c r="J39" s="22"/>
      <c r="K39" s="15">
        <f t="shared" si="1"/>
        <v>0</v>
      </c>
      <c r="L39" s="7">
        <f t="shared" si="2"/>
        <v>2</v>
      </c>
    </row>
    <row r="40" spans="1:12" ht="15.75" thickBot="1" x14ac:dyDescent="0.3">
      <c r="A40" s="10"/>
      <c r="B40" s="65">
        <f>SUM(B9:B39)</f>
        <v>54</v>
      </c>
      <c r="C40" s="65">
        <f t="shared" ref="C40:E40" si="3">SUM(C9:C39)</f>
        <v>1</v>
      </c>
      <c r="D40" s="65">
        <f t="shared" si="3"/>
        <v>2</v>
      </c>
      <c r="E40" s="65">
        <f t="shared" si="3"/>
        <v>0</v>
      </c>
      <c r="F40" s="64">
        <f>SUM(F9:F39)</f>
        <v>57</v>
      </c>
      <c r="G40" s="16">
        <f>SUM(G9:G39)</f>
        <v>5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6</v>
      </c>
      <c r="L40" s="16">
        <f t="shared" si="4"/>
        <v>63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18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200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63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155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117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38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50</v>
      </c>
    </row>
    <row r="54" spans="1:12" x14ac:dyDescent="0.25">
      <c r="A54" t="s">
        <v>49</v>
      </c>
    </row>
    <row r="55" spans="1:12" x14ac:dyDescent="0.25">
      <c r="A55" t="s">
        <v>52</v>
      </c>
    </row>
    <row r="56" spans="1:12" x14ac:dyDescent="0.25">
      <c r="A56" t="s">
        <v>51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39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54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5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>
        <v>5</v>
      </c>
      <c r="C12" s="25"/>
      <c r="D12" s="25"/>
      <c r="E12" s="23"/>
      <c r="F12" s="17">
        <f t="shared" si="0"/>
        <v>5</v>
      </c>
      <c r="G12" s="31"/>
      <c r="H12" s="25"/>
      <c r="I12" s="25">
        <v>3</v>
      </c>
      <c r="J12" s="22"/>
      <c r="K12" s="15">
        <f t="shared" si="1"/>
        <v>3</v>
      </c>
      <c r="L12" s="7">
        <f t="shared" si="2"/>
        <v>8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/>
      <c r="H13" s="25"/>
      <c r="I13" s="25">
        <v>1</v>
      </c>
      <c r="J13" s="22"/>
      <c r="K13" s="15">
        <f t="shared" si="1"/>
        <v>1</v>
      </c>
      <c r="L13" s="7">
        <f t="shared" si="2"/>
        <v>2</v>
      </c>
    </row>
    <row r="14" spans="1:12" ht="15.75" thickBot="1" x14ac:dyDescent="0.3">
      <c r="A14" s="8">
        <v>6</v>
      </c>
      <c r="B14" s="21">
        <v>5</v>
      </c>
      <c r="C14" s="25"/>
      <c r="D14" s="25"/>
      <c r="E14" s="23"/>
      <c r="F14" s="17">
        <f t="shared" si="0"/>
        <v>5</v>
      </c>
      <c r="G14" s="30"/>
      <c r="H14" s="25"/>
      <c r="I14" s="25"/>
      <c r="J14" s="30"/>
      <c r="K14" s="15">
        <f t="shared" si="1"/>
        <v>0</v>
      </c>
      <c r="L14" s="7">
        <f t="shared" si="2"/>
        <v>5</v>
      </c>
    </row>
    <row r="15" spans="1:12" ht="15.75" thickBot="1" x14ac:dyDescent="0.3">
      <c r="A15" s="8">
        <v>7</v>
      </c>
      <c r="B15" s="21">
        <v>9</v>
      </c>
      <c r="C15" s="25"/>
      <c r="D15" s="25">
        <v>1</v>
      </c>
      <c r="E15" s="23"/>
      <c r="F15" s="17">
        <f t="shared" si="0"/>
        <v>10</v>
      </c>
      <c r="G15" s="30"/>
      <c r="H15" s="25"/>
      <c r="I15" s="25"/>
      <c r="J15" s="30"/>
      <c r="K15" s="15">
        <f t="shared" si="1"/>
        <v>0</v>
      </c>
      <c r="L15" s="7">
        <f t="shared" si="2"/>
        <v>10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2</v>
      </c>
      <c r="C18" s="25"/>
      <c r="D18" s="25">
        <v>1</v>
      </c>
      <c r="E18" s="23"/>
      <c r="F18" s="17">
        <f t="shared" si="0"/>
        <v>3</v>
      </c>
      <c r="G18" s="30"/>
      <c r="H18" s="25"/>
      <c r="I18" s="25"/>
      <c r="J18" s="30"/>
      <c r="K18" s="15">
        <f t="shared" si="1"/>
        <v>0</v>
      </c>
      <c r="L18" s="7">
        <f t="shared" si="2"/>
        <v>3</v>
      </c>
    </row>
    <row r="19" spans="1:12" ht="15.75" thickBot="1" x14ac:dyDescent="0.3">
      <c r="A19" s="8">
        <v>11</v>
      </c>
      <c r="B19" s="21">
        <v>4</v>
      </c>
      <c r="C19" s="25"/>
      <c r="D19" s="25"/>
      <c r="E19" s="23"/>
      <c r="F19" s="17">
        <f t="shared" si="0"/>
        <v>4</v>
      </c>
      <c r="G19" s="30"/>
      <c r="H19" s="25"/>
      <c r="I19" s="25"/>
      <c r="J19" s="30"/>
      <c r="K19" s="15">
        <f t="shared" si="1"/>
        <v>0</v>
      </c>
      <c r="L19" s="7">
        <f t="shared" si="2"/>
        <v>4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3"/>
      <c r="F20" s="17">
        <f t="shared" si="0"/>
        <v>2</v>
      </c>
      <c r="G20" s="30"/>
      <c r="H20" s="25"/>
      <c r="I20" s="25"/>
      <c r="J20" s="30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>
        <v>7</v>
      </c>
      <c r="C21" s="25"/>
      <c r="D21" s="25"/>
      <c r="E21" s="23"/>
      <c r="F21" s="17">
        <f t="shared" si="0"/>
        <v>7</v>
      </c>
      <c r="G21" s="30"/>
      <c r="H21" s="25"/>
      <c r="I21" s="25"/>
      <c r="J21" s="30"/>
      <c r="K21" s="15">
        <f t="shared" si="1"/>
        <v>0</v>
      </c>
      <c r="L21" s="7">
        <f t="shared" si="2"/>
        <v>7</v>
      </c>
    </row>
    <row r="22" spans="1:12" ht="15.75" thickBot="1" x14ac:dyDescent="0.3">
      <c r="A22" s="8">
        <v>14</v>
      </c>
      <c r="B22" s="21">
        <v>11</v>
      </c>
      <c r="C22" s="25"/>
      <c r="D22" s="25"/>
      <c r="E22" s="23"/>
      <c r="F22" s="17">
        <f t="shared" si="0"/>
        <v>11</v>
      </c>
      <c r="G22" s="30">
        <v>1</v>
      </c>
      <c r="H22" s="25"/>
      <c r="I22" s="25"/>
      <c r="J22" s="30"/>
      <c r="K22" s="15">
        <f t="shared" si="1"/>
        <v>1</v>
      </c>
      <c r="L22" s="7">
        <f t="shared" si="2"/>
        <v>12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1</v>
      </c>
      <c r="H26" s="25"/>
      <c r="I26" s="25"/>
      <c r="J26" s="30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>
        <v>3</v>
      </c>
      <c r="C27" s="25"/>
      <c r="D27" s="25"/>
      <c r="E27" s="23"/>
      <c r="F27" s="17">
        <f t="shared" si="0"/>
        <v>3</v>
      </c>
      <c r="G27" s="30"/>
      <c r="H27" s="25"/>
      <c r="I27" s="25"/>
      <c r="J27" s="30"/>
      <c r="K27" s="15">
        <f t="shared" si="1"/>
        <v>0</v>
      </c>
      <c r="L27" s="7">
        <f t="shared" si="2"/>
        <v>3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2</v>
      </c>
      <c r="C29" s="22"/>
      <c r="D29" s="25"/>
      <c r="E29" s="24"/>
      <c r="F29" s="17">
        <f t="shared" si="0"/>
        <v>2</v>
      </c>
      <c r="G29" s="30"/>
      <c r="H29" s="25"/>
      <c r="I29" s="25"/>
      <c r="J29" s="30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2</v>
      </c>
      <c r="C32" s="22"/>
      <c r="D32" s="25"/>
      <c r="E32" s="23"/>
      <c r="F32" s="17">
        <f t="shared" si="0"/>
        <v>2</v>
      </c>
      <c r="G32" s="30"/>
      <c r="H32" s="22"/>
      <c r="I32" s="30"/>
      <c r="J32" s="30"/>
      <c r="K32" s="15">
        <f t="shared" si="1"/>
        <v>0</v>
      </c>
      <c r="L32" s="7">
        <f t="shared" si="2"/>
        <v>2</v>
      </c>
    </row>
    <row r="33" spans="1:12" ht="15.75" thickBot="1" x14ac:dyDescent="0.3">
      <c r="A33" s="8">
        <v>25</v>
      </c>
      <c r="B33" s="21">
        <v>3</v>
      </c>
      <c r="C33" s="22"/>
      <c r="D33" s="25"/>
      <c r="E33" s="23"/>
      <c r="F33" s="17">
        <f t="shared" si="0"/>
        <v>3</v>
      </c>
      <c r="G33" s="30"/>
      <c r="H33" s="22"/>
      <c r="I33" s="30"/>
      <c r="J33" s="30"/>
      <c r="K33" s="15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1">
        <v>5</v>
      </c>
      <c r="C34" s="25"/>
      <c r="D34" s="25">
        <v>2</v>
      </c>
      <c r="E34" s="23"/>
      <c r="F34" s="17">
        <f t="shared" si="0"/>
        <v>7</v>
      </c>
      <c r="G34" s="30"/>
      <c r="H34" s="25"/>
      <c r="I34" s="22"/>
      <c r="J34" s="22"/>
      <c r="K34" s="15">
        <f t="shared" si="1"/>
        <v>0</v>
      </c>
      <c r="L34" s="7">
        <f t="shared" si="2"/>
        <v>7</v>
      </c>
    </row>
    <row r="35" spans="1:12" ht="15.75" thickBot="1" x14ac:dyDescent="0.3">
      <c r="A35" s="8">
        <v>27</v>
      </c>
      <c r="B35" s="21">
        <v>1</v>
      </c>
      <c r="C35" s="25"/>
      <c r="D35" s="25"/>
      <c r="E35" s="23"/>
      <c r="F35" s="17">
        <f t="shared" si="0"/>
        <v>1</v>
      </c>
      <c r="G35" s="44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63</v>
      </c>
      <c r="C40" s="67">
        <f t="shared" ref="C40:E40" si="3">SUM(C9:C39)</f>
        <v>0</v>
      </c>
      <c r="D40" s="67">
        <f t="shared" si="3"/>
        <v>4</v>
      </c>
      <c r="E40" s="67">
        <f t="shared" si="3"/>
        <v>0</v>
      </c>
      <c r="F40" s="66">
        <f>SUM(F9:F39)</f>
        <v>67</v>
      </c>
      <c r="G40" s="16">
        <f>SUM(G9:G39)</f>
        <v>2</v>
      </c>
      <c r="H40" s="16">
        <f t="shared" ref="H40:L40" si="4">SUM(H9:H39)</f>
        <v>0</v>
      </c>
      <c r="I40" s="16">
        <f t="shared" si="4"/>
        <v>4</v>
      </c>
      <c r="J40" s="16">
        <f t="shared" si="4"/>
        <v>0</v>
      </c>
      <c r="K40" s="16">
        <f t="shared" si="4"/>
        <v>6</v>
      </c>
      <c r="L40" s="16">
        <f t="shared" si="4"/>
        <v>73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117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104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73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148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80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68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57</v>
      </c>
    </row>
    <row r="54" spans="1:12" x14ac:dyDescent="0.25">
      <c r="A54" t="s">
        <v>53</v>
      </c>
    </row>
    <row r="55" spans="1:12" x14ac:dyDescent="0.25">
      <c r="A55" t="s">
        <v>55</v>
      </c>
    </row>
    <row r="56" spans="1:12" x14ac:dyDescent="0.25">
      <c r="A56" t="s">
        <v>56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37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58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3</v>
      </c>
      <c r="C10" s="25"/>
      <c r="D10" s="22"/>
      <c r="E10" s="23"/>
      <c r="F10" s="17">
        <f t="shared" ref="F10:F39" si="0">SUM(B10:E10)</f>
        <v>3</v>
      </c>
      <c r="G10" s="30"/>
      <c r="H10" s="25"/>
      <c r="I10" s="22"/>
      <c r="J10" s="25">
        <v>1</v>
      </c>
      <c r="K10" s="15">
        <f t="shared" ref="K10:K39" si="1">SUM(G10:J10)</f>
        <v>1</v>
      </c>
      <c r="L10" s="7">
        <f t="shared" ref="L10:L39" si="2">SUM(F10+K10)</f>
        <v>4</v>
      </c>
    </row>
    <row r="11" spans="1:12" ht="15.75" thickBot="1" x14ac:dyDescent="0.3">
      <c r="A11" s="8">
        <v>3</v>
      </c>
      <c r="B11" s="21">
        <v>4</v>
      </c>
      <c r="C11" s="22"/>
      <c r="D11" s="22"/>
      <c r="E11" s="24"/>
      <c r="F11" s="17">
        <f t="shared" si="0"/>
        <v>4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5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/>
      <c r="H13" s="25"/>
      <c r="I13" s="25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2</v>
      </c>
      <c r="C18" s="25"/>
      <c r="D18" s="25"/>
      <c r="E18" s="23"/>
      <c r="F18" s="17">
        <f t="shared" si="0"/>
        <v>2</v>
      </c>
      <c r="G18" s="30"/>
      <c r="H18" s="25"/>
      <c r="I18" s="25"/>
      <c r="J18" s="30"/>
      <c r="K18" s="15">
        <f t="shared" si="1"/>
        <v>0</v>
      </c>
      <c r="L18" s="7">
        <f t="shared" si="2"/>
        <v>2</v>
      </c>
    </row>
    <row r="19" spans="1:12" ht="15.75" thickBot="1" x14ac:dyDescent="0.3">
      <c r="A19" s="8">
        <v>11</v>
      </c>
      <c r="B19" s="21">
        <v>2</v>
      </c>
      <c r="C19" s="25"/>
      <c r="D19" s="25"/>
      <c r="E19" s="23"/>
      <c r="F19" s="17">
        <f t="shared" si="0"/>
        <v>2</v>
      </c>
      <c r="G19" s="30"/>
      <c r="H19" s="25"/>
      <c r="I19" s="25"/>
      <c r="J19" s="30"/>
      <c r="K19" s="15">
        <f t="shared" si="1"/>
        <v>0</v>
      </c>
      <c r="L19" s="7">
        <f t="shared" si="2"/>
        <v>2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3"/>
      <c r="F20" s="17">
        <f t="shared" si="0"/>
        <v>2</v>
      </c>
      <c r="G20" s="30"/>
      <c r="H20" s="25">
        <v>1</v>
      </c>
      <c r="I20" s="25"/>
      <c r="J20" s="30"/>
      <c r="K20" s="15">
        <f t="shared" si="1"/>
        <v>1</v>
      </c>
      <c r="L20" s="7">
        <f t="shared" si="2"/>
        <v>3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3"/>
      <c r="F27" s="17">
        <f t="shared" si="0"/>
        <v>1</v>
      </c>
      <c r="G27" s="30"/>
      <c r="H27" s="25"/>
      <c r="I27" s="25"/>
      <c r="J27" s="30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>
        <v>1</v>
      </c>
      <c r="D37" s="22"/>
      <c r="E37" s="23"/>
      <c r="F37" s="17">
        <f t="shared" si="0"/>
        <v>1</v>
      </c>
      <c r="G37" s="30"/>
      <c r="H37" s="25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15</v>
      </c>
      <c r="C40" s="69">
        <f t="shared" ref="C40:E40" si="3">SUM(C9:C39)</f>
        <v>1</v>
      </c>
      <c r="D40" s="69">
        <f t="shared" si="3"/>
        <v>0</v>
      </c>
      <c r="E40" s="69">
        <f t="shared" si="3"/>
        <v>0</v>
      </c>
      <c r="F40" s="68">
        <f>SUM(F9:F39)</f>
        <v>16</v>
      </c>
      <c r="G40" s="16">
        <f>SUM(G9:G39)</f>
        <v>2</v>
      </c>
      <c r="H40" s="16">
        <f t="shared" ref="H40:L40" si="4">SUM(H9:H39)</f>
        <v>1</v>
      </c>
      <c r="I40" s="16">
        <f t="shared" si="4"/>
        <v>0</v>
      </c>
      <c r="J40" s="16">
        <f t="shared" si="4"/>
        <v>1</v>
      </c>
      <c r="K40" s="16">
        <f t="shared" si="4"/>
        <v>4</v>
      </c>
      <c r="L40" s="16">
        <f t="shared" si="4"/>
        <v>20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80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12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20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72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9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63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59</v>
      </c>
    </row>
    <row r="54" spans="1:12" x14ac:dyDescent="0.25">
      <c r="A54" t="s">
        <v>61</v>
      </c>
    </row>
    <row r="55" spans="1:12" x14ac:dyDescent="0.25">
      <c r="A55" t="s">
        <v>49</v>
      </c>
    </row>
    <row r="56" spans="1:12" x14ac:dyDescent="0.25">
      <c r="A56" t="s">
        <v>60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62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1</v>
      </c>
      <c r="C15" s="25"/>
      <c r="D15" s="25"/>
      <c r="E15" s="23"/>
      <c r="F15" s="17">
        <f t="shared" si="0"/>
        <v>1</v>
      </c>
      <c r="G15" s="30"/>
      <c r="H15" s="25"/>
      <c r="I15" s="25"/>
      <c r="J15" s="30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>
        <v>2</v>
      </c>
      <c r="C16" s="25"/>
      <c r="D16" s="25"/>
      <c r="E16" s="23"/>
      <c r="F16" s="17">
        <f t="shared" si="0"/>
        <v>2</v>
      </c>
      <c r="G16" s="30"/>
      <c r="H16" s="25"/>
      <c r="I16" s="25">
        <v>1</v>
      </c>
      <c r="J16" s="30"/>
      <c r="K16" s="15">
        <f t="shared" si="1"/>
        <v>1</v>
      </c>
      <c r="L16" s="7">
        <f t="shared" si="2"/>
        <v>3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12</v>
      </c>
      <c r="C21" s="25"/>
      <c r="D21" s="25"/>
      <c r="E21" s="23"/>
      <c r="F21" s="17">
        <f t="shared" si="0"/>
        <v>12</v>
      </c>
      <c r="G21" s="30"/>
      <c r="H21" s="25"/>
      <c r="I21" s="25"/>
      <c r="J21" s="30"/>
      <c r="K21" s="15">
        <f t="shared" si="1"/>
        <v>0</v>
      </c>
      <c r="L21" s="7">
        <f t="shared" si="2"/>
        <v>12</v>
      </c>
    </row>
    <row r="22" spans="1:12" ht="15.75" thickBot="1" x14ac:dyDescent="0.3">
      <c r="A22" s="8">
        <v>14</v>
      </c>
      <c r="B22" s="21">
        <v>2</v>
      </c>
      <c r="C22" s="25"/>
      <c r="D22" s="25"/>
      <c r="E22" s="23"/>
      <c r="F22" s="17">
        <f t="shared" si="0"/>
        <v>2</v>
      </c>
      <c r="G22" s="30"/>
      <c r="H22" s="25"/>
      <c r="I22" s="25"/>
      <c r="J22" s="30"/>
      <c r="K22" s="15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/>
      <c r="H23" s="25"/>
      <c r="I23" s="25"/>
      <c r="J23" s="30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>
        <v>1</v>
      </c>
      <c r="C24" s="22"/>
      <c r="D24" s="25"/>
      <c r="E24" s="23"/>
      <c r="F24" s="17">
        <f t="shared" si="0"/>
        <v>1</v>
      </c>
      <c r="G24" s="30"/>
      <c r="H24" s="25"/>
      <c r="I24" s="25"/>
      <c r="J24" s="30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3</v>
      </c>
      <c r="C27" s="25"/>
      <c r="D27" s="25"/>
      <c r="E27" s="23"/>
      <c r="F27" s="17">
        <f t="shared" si="0"/>
        <v>3</v>
      </c>
      <c r="G27" s="30">
        <v>2</v>
      </c>
      <c r="H27" s="25"/>
      <c r="I27" s="25"/>
      <c r="J27" s="30"/>
      <c r="K27" s="15">
        <f t="shared" si="1"/>
        <v>2</v>
      </c>
      <c r="L27" s="7">
        <f t="shared" si="2"/>
        <v>5</v>
      </c>
    </row>
    <row r="28" spans="1:12" ht="15.75" thickBot="1" x14ac:dyDescent="0.3">
      <c r="A28" s="8">
        <v>20</v>
      </c>
      <c r="B28" s="21">
        <v>1</v>
      </c>
      <c r="C28" s="22"/>
      <c r="D28" s="25">
        <v>1</v>
      </c>
      <c r="E28" s="23"/>
      <c r="F28" s="17">
        <f t="shared" si="0"/>
        <v>2</v>
      </c>
      <c r="G28" s="30"/>
      <c r="H28" s="25"/>
      <c r="I28" s="25"/>
      <c r="J28" s="30"/>
      <c r="K28" s="15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1"/>
      <c r="C29" s="22"/>
      <c r="D29" s="25">
        <v>1</v>
      </c>
      <c r="E29" s="24"/>
      <c r="F29" s="17">
        <f t="shared" si="0"/>
        <v>1</v>
      </c>
      <c r="G29" s="30"/>
      <c r="H29" s="25"/>
      <c r="I29" s="25"/>
      <c r="J29" s="30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>
        <v>3</v>
      </c>
      <c r="H30" s="25"/>
      <c r="I30" s="25"/>
      <c r="J30" s="30"/>
      <c r="K30" s="15">
        <f t="shared" si="1"/>
        <v>3</v>
      </c>
      <c r="L30" s="7">
        <f t="shared" si="2"/>
        <v>3</v>
      </c>
    </row>
    <row r="31" spans="1:12" ht="15.75" thickBot="1" x14ac:dyDescent="0.3">
      <c r="A31" s="8">
        <v>23</v>
      </c>
      <c r="B31" s="21"/>
      <c r="C31" s="22"/>
      <c r="D31" s="25">
        <v>1</v>
      </c>
      <c r="E31" s="23"/>
      <c r="F31" s="17">
        <f t="shared" si="0"/>
        <v>1</v>
      </c>
      <c r="G31" s="30">
        <v>2</v>
      </c>
      <c r="H31" s="22"/>
      <c r="I31" s="30"/>
      <c r="J31" s="30"/>
      <c r="K31" s="15">
        <f t="shared" si="1"/>
        <v>2</v>
      </c>
      <c r="L31" s="7">
        <f t="shared" si="2"/>
        <v>3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28</v>
      </c>
      <c r="C34" s="25"/>
      <c r="D34" s="25"/>
      <c r="E34" s="23"/>
      <c r="F34" s="17">
        <f t="shared" si="0"/>
        <v>28</v>
      </c>
      <c r="G34" s="30"/>
      <c r="H34" s="25"/>
      <c r="I34" s="22"/>
      <c r="J34" s="22"/>
      <c r="K34" s="15">
        <f t="shared" si="1"/>
        <v>0</v>
      </c>
      <c r="L34" s="7">
        <f t="shared" si="2"/>
        <v>28</v>
      </c>
    </row>
    <row r="35" spans="1:12" ht="15.75" thickBot="1" x14ac:dyDescent="0.3">
      <c r="A35" s="8">
        <v>27</v>
      </c>
      <c r="B35" s="21">
        <v>12</v>
      </c>
      <c r="C35" s="25"/>
      <c r="D35" s="25"/>
      <c r="E35" s="23"/>
      <c r="F35" s="17">
        <f t="shared" si="0"/>
        <v>12</v>
      </c>
      <c r="G35" s="44"/>
      <c r="H35" s="22"/>
      <c r="I35" s="22"/>
      <c r="J35" s="22"/>
      <c r="K35" s="15">
        <f t="shared" si="1"/>
        <v>0</v>
      </c>
      <c r="L35" s="7">
        <f t="shared" si="2"/>
        <v>12</v>
      </c>
    </row>
    <row r="36" spans="1:12" ht="15.75" thickBot="1" x14ac:dyDescent="0.3">
      <c r="A36" s="8">
        <v>28</v>
      </c>
      <c r="B36" s="21">
        <v>11</v>
      </c>
      <c r="C36" s="22"/>
      <c r="D36" s="25"/>
      <c r="E36" s="23"/>
      <c r="F36" s="17">
        <f t="shared" si="0"/>
        <v>11</v>
      </c>
      <c r="G36" s="30"/>
      <c r="H36" s="25"/>
      <c r="I36" s="25"/>
      <c r="J36" s="22"/>
      <c r="K36" s="15">
        <f t="shared" si="1"/>
        <v>0</v>
      </c>
      <c r="L36" s="7">
        <f t="shared" si="2"/>
        <v>11</v>
      </c>
    </row>
    <row r="37" spans="1:12" ht="15.75" thickBot="1" x14ac:dyDescent="0.3">
      <c r="A37" s="8">
        <v>29</v>
      </c>
      <c r="B37" s="21">
        <v>5</v>
      </c>
      <c r="C37" s="25"/>
      <c r="D37" s="22"/>
      <c r="E37" s="23"/>
      <c r="F37" s="17">
        <f t="shared" si="0"/>
        <v>5</v>
      </c>
      <c r="G37" s="30"/>
      <c r="H37" s="25"/>
      <c r="I37" s="22"/>
      <c r="J37" s="22"/>
      <c r="K37" s="15">
        <f t="shared" si="1"/>
        <v>0</v>
      </c>
      <c r="L37" s="7">
        <f t="shared" si="2"/>
        <v>5</v>
      </c>
    </row>
    <row r="38" spans="1:12" ht="15.75" thickBot="1" x14ac:dyDescent="0.3">
      <c r="A38" s="8">
        <v>30</v>
      </c>
      <c r="B38" s="21">
        <v>7</v>
      </c>
      <c r="C38" s="22"/>
      <c r="D38" s="22"/>
      <c r="E38" s="23"/>
      <c r="F38" s="17">
        <f t="shared" si="0"/>
        <v>7</v>
      </c>
      <c r="G38" s="30"/>
      <c r="H38" s="22"/>
      <c r="I38" s="22"/>
      <c r="J38" s="25"/>
      <c r="K38" s="15">
        <f t="shared" si="1"/>
        <v>0</v>
      </c>
      <c r="L38" s="7">
        <f t="shared" si="2"/>
        <v>7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86</v>
      </c>
      <c r="C40" s="71">
        <f t="shared" ref="C40:E40" si="3">SUM(C9:C39)</f>
        <v>0</v>
      </c>
      <c r="D40" s="71">
        <f t="shared" si="3"/>
        <v>3</v>
      </c>
      <c r="E40" s="71">
        <f t="shared" si="3"/>
        <v>0</v>
      </c>
      <c r="F40" s="70">
        <f>SUM(F9:F39)</f>
        <v>89</v>
      </c>
      <c r="G40" s="16">
        <f>SUM(G9:G39)</f>
        <v>7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8</v>
      </c>
      <c r="L40" s="16">
        <f t="shared" si="4"/>
        <v>97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9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214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97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126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72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54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63</v>
      </c>
    </row>
    <row r="54" spans="1:12" x14ac:dyDescent="0.25">
      <c r="A54" t="s">
        <v>60</v>
      </c>
    </row>
    <row r="55" spans="1:12" x14ac:dyDescent="0.25">
      <c r="A55" t="s">
        <v>55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5" t="s">
        <v>0</v>
      </c>
      <c r="B1" s="105"/>
      <c r="C1" s="105"/>
      <c r="D1" s="105"/>
      <c r="E1" s="35"/>
      <c r="F1" s="36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5"/>
      <c r="F2" s="36"/>
      <c r="G2" s="106" t="s">
        <v>3</v>
      </c>
      <c r="H2" s="106"/>
      <c r="I2" s="106"/>
      <c r="J2" s="106"/>
      <c r="K2" s="106"/>
      <c r="L2" s="106"/>
    </row>
    <row r="3" spans="1:12" x14ac:dyDescent="0.25">
      <c r="A3" s="106" t="s">
        <v>4</v>
      </c>
      <c r="B3" s="106"/>
      <c r="C3" s="106"/>
      <c r="D3" s="106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5" t="s">
        <v>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x14ac:dyDescent="0.25">
      <c r="A5" s="107" t="s">
        <v>64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9</v>
      </c>
      <c r="C11" s="22"/>
      <c r="D11" s="22"/>
      <c r="E11" s="24"/>
      <c r="F11" s="17">
        <f t="shared" si="0"/>
        <v>9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10</v>
      </c>
    </row>
    <row r="12" spans="1:12" ht="15.75" thickBot="1" x14ac:dyDescent="0.3">
      <c r="A12" s="8">
        <v>4</v>
      </c>
      <c r="B12" s="21">
        <v>4</v>
      </c>
      <c r="C12" s="25"/>
      <c r="D12" s="25"/>
      <c r="E12" s="23"/>
      <c r="F12" s="17">
        <f t="shared" si="0"/>
        <v>4</v>
      </c>
      <c r="G12" s="31"/>
      <c r="H12" s="25">
        <v>2</v>
      </c>
      <c r="I12" s="25"/>
      <c r="J12" s="22"/>
      <c r="K12" s="15">
        <f t="shared" si="1"/>
        <v>2</v>
      </c>
      <c r="L12" s="7">
        <f t="shared" si="2"/>
        <v>6</v>
      </c>
    </row>
    <row r="13" spans="1:12" ht="15.75" thickBot="1" x14ac:dyDescent="0.3">
      <c r="A13" s="8">
        <v>5</v>
      </c>
      <c r="B13" s="21">
        <v>2</v>
      </c>
      <c r="C13" s="25"/>
      <c r="D13" s="25"/>
      <c r="E13" s="23"/>
      <c r="F13" s="17">
        <f t="shared" si="0"/>
        <v>2</v>
      </c>
      <c r="G13" s="30"/>
      <c r="H13" s="25">
        <v>3</v>
      </c>
      <c r="I13" s="25"/>
      <c r="J13" s="22"/>
      <c r="K13" s="15">
        <f t="shared" si="1"/>
        <v>3</v>
      </c>
      <c r="L13" s="7">
        <f t="shared" si="2"/>
        <v>5</v>
      </c>
    </row>
    <row r="14" spans="1:12" ht="15.75" thickBot="1" x14ac:dyDescent="0.3">
      <c r="A14" s="8">
        <v>6</v>
      </c>
      <c r="B14" s="21">
        <v>2</v>
      </c>
      <c r="C14" s="25"/>
      <c r="D14" s="25"/>
      <c r="E14" s="23"/>
      <c r="F14" s="17">
        <f t="shared" si="0"/>
        <v>2</v>
      </c>
      <c r="G14" s="30"/>
      <c r="H14" s="25">
        <v>2</v>
      </c>
      <c r="I14" s="25"/>
      <c r="J14" s="30"/>
      <c r="K14" s="15">
        <f t="shared" si="1"/>
        <v>2</v>
      </c>
      <c r="L14" s="7">
        <f t="shared" si="2"/>
        <v>4</v>
      </c>
    </row>
    <row r="15" spans="1:12" ht="15.75" thickBot="1" x14ac:dyDescent="0.3">
      <c r="A15" s="8">
        <v>7</v>
      </c>
      <c r="B15" s="21">
        <v>1</v>
      </c>
      <c r="C15" s="25"/>
      <c r="D15" s="25"/>
      <c r="E15" s="23"/>
      <c r="F15" s="17">
        <f t="shared" si="0"/>
        <v>1</v>
      </c>
      <c r="G15" s="30"/>
      <c r="H15" s="25"/>
      <c r="I15" s="25"/>
      <c r="J15" s="30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3</v>
      </c>
      <c r="C18" s="25"/>
      <c r="D18" s="25"/>
      <c r="E18" s="23"/>
      <c r="F18" s="17">
        <f t="shared" si="0"/>
        <v>3</v>
      </c>
      <c r="G18" s="30"/>
      <c r="H18" s="25"/>
      <c r="I18" s="25"/>
      <c r="J18" s="30"/>
      <c r="K18" s="15">
        <f t="shared" si="1"/>
        <v>0</v>
      </c>
      <c r="L18" s="7">
        <f t="shared" si="2"/>
        <v>3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5"/>
      <c r="D20" s="25"/>
      <c r="E20" s="24">
        <v>1</v>
      </c>
      <c r="F20" s="17">
        <f t="shared" si="0"/>
        <v>1</v>
      </c>
      <c r="G20" s="30"/>
      <c r="H20" s="25"/>
      <c r="I20" s="25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>
        <v>1</v>
      </c>
      <c r="I21" s="25"/>
      <c r="J21" s="30"/>
      <c r="K21" s="15">
        <f t="shared" si="1"/>
        <v>1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>
        <v>1</v>
      </c>
      <c r="E22" s="23"/>
      <c r="F22" s="17">
        <f t="shared" si="0"/>
        <v>1</v>
      </c>
      <c r="G22" s="30"/>
      <c r="H22" s="25"/>
      <c r="I22" s="25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5"/>
      <c r="I25" s="25">
        <v>2</v>
      </c>
      <c r="J25" s="30">
        <v>1</v>
      </c>
      <c r="K25" s="15">
        <f t="shared" si="1"/>
        <v>3</v>
      </c>
      <c r="L25" s="7">
        <f t="shared" si="2"/>
        <v>3</v>
      </c>
    </row>
    <row r="26" spans="1:12" ht="15.75" thickBot="1" x14ac:dyDescent="0.3">
      <c r="A26" s="8">
        <v>18</v>
      </c>
      <c r="B26" s="21">
        <v>7</v>
      </c>
      <c r="C26" s="25"/>
      <c r="D26" s="25"/>
      <c r="E26" s="23"/>
      <c r="F26" s="17">
        <f t="shared" si="0"/>
        <v>7</v>
      </c>
      <c r="G26" s="30">
        <v>1</v>
      </c>
      <c r="H26" s="25"/>
      <c r="I26" s="25"/>
      <c r="J26" s="30"/>
      <c r="K26" s="15">
        <f t="shared" si="1"/>
        <v>1</v>
      </c>
      <c r="L26" s="7">
        <f t="shared" si="2"/>
        <v>8</v>
      </c>
    </row>
    <row r="27" spans="1:12" ht="15.75" thickBot="1" x14ac:dyDescent="0.3">
      <c r="A27" s="8">
        <v>19</v>
      </c>
      <c r="B27" s="21">
        <v>10</v>
      </c>
      <c r="C27" s="25">
        <v>1</v>
      </c>
      <c r="D27" s="25"/>
      <c r="E27" s="23"/>
      <c r="F27" s="17">
        <f t="shared" si="0"/>
        <v>11</v>
      </c>
      <c r="G27" s="30"/>
      <c r="H27" s="25"/>
      <c r="I27" s="25"/>
      <c r="J27" s="30"/>
      <c r="K27" s="15">
        <f t="shared" si="1"/>
        <v>0</v>
      </c>
      <c r="L27" s="7">
        <f t="shared" si="2"/>
        <v>11</v>
      </c>
    </row>
    <row r="28" spans="1:12" ht="15.75" thickBot="1" x14ac:dyDescent="0.3">
      <c r="A28" s="8">
        <v>20</v>
      </c>
      <c r="B28" s="21">
        <v>5</v>
      </c>
      <c r="C28" s="22"/>
      <c r="D28" s="25"/>
      <c r="E28" s="23"/>
      <c r="F28" s="17">
        <f t="shared" si="0"/>
        <v>5</v>
      </c>
      <c r="G28" s="30">
        <v>1</v>
      </c>
      <c r="H28" s="25"/>
      <c r="I28" s="25"/>
      <c r="J28" s="30"/>
      <c r="K28" s="15">
        <f t="shared" si="1"/>
        <v>1</v>
      </c>
      <c r="L28" s="7">
        <f t="shared" si="2"/>
        <v>6</v>
      </c>
    </row>
    <row r="29" spans="1:12" ht="15.75" thickBot="1" x14ac:dyDescent="0.3">
      <c r="A29" s="8">
        <v>21</v>
      </c>
      <c r="B29" s="21">
        <v>3</v>
      </c>
      <c r="C29" s="22"/>
      <c r="D29" s="25"/>
      <c r="E29" s="24"/>
      <c r="F29" s="17">
        <f t="shared" si="0"/>
        <v>3</v>
      </c>
      <c r="G29" s="30"/>
      <c r="H29" s="25"/>
      <c r="I29" s="25"/>
      <c r="J29" s="30"/>
      <c r="K29" s="15">
        <f t="shared" si="1"/>
        <v>0</v>
      </c>
      <c r="L29" s="7">
        <f t="shared" si="2"/>
        <v>3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5</v>
      </c>
      <c r="C32" s="22"/>
      <c r="D32" s="25"/>
      <c r="E32" s="23"/>
      <c r="F32" s="17">
        <f t="shared" si="0"/>
        <v>5</v>
      </c>
      <c r="G32" s="30"/>
      <c r="H32" s="25">
        <v>1</v>
      </c>
      <c r="I32" s="30"/>
      <c r="J32" s="30"/>
      <c r="K32" s="15">
        <f t="shared" si="1"/>
        <v>1</v>
      </c>
      <c r="L32" s="7">
        <f t="shared" si="2"/>
        <v>6</v>
      </c>
    </row>
    <row r="33" spans="1:12" ht="15.75" thickBot="1" x14ac:dyDescent="0.3">
      <c r="A33" s="8">
        <v>25</v>
      </c>
      <c r="B33" s="21">
        <v>1</v>
      </c>
      <c r="C33" s="22"/>
      <c r="D33" s="25"/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4</v>
      </c>
      <c r="C35" s="25"/>
      <c r="D35" s="25"/>
      <c r="E35" s="23"/>
      <c r="F35" s="17">
        <f t="shared" si="0"/>
        <v>4</v>
      </c>
      <c r="G35" s="44"/>
      <c r="H35" s="22"/>
      <c r="I35" s="22"/>
      <c r="J35" s="22"/>
      <c r="K35" s="15">
        <f t="shared" si="1"/>
        <v>0</v>
      </c>
      <c r="L35" s="7">
        <f t="shared" si="2"/>
        <v>4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2</v>
      </c>
      <c r="C39" s="50"/>
      <c r="D39" s="27"/>
      <c r="E39" s="28"/>
      <c r="F39" s="17">
        <f t="shared" si="0"/>
        <v>2</v>
      </c>
      <c r="G39" s="30"/>
      <c r="H39" s="22"/>
      <c r="I39" s="22"/>
      <c r="J39" s="22"/>
      <c r="K39" s="15">
        <f t="shared" si="1"/>
        <v>0</v>
      </c>
      <c r="L39" s="7">
        <f t="shared" si="2"/>
        <v>2</v>
      </c>
    </row>
    <row r="40" spans="1:12" ht="15.75" thickBot="1" x14ac:dyDescent="0.3">
      <c r="A40" s="10"/>
      <c r="B40" s="73">
        <f>SUM(B9:B39)</f>
        <v>59</v>
      </c>
      <c r="C40" s="73">
        <f t="shared" ref="C40:E40" si="3">SUM(C9:C39)</f>
        <v>1</v>
      </c>
      <c r="D40" s="73">
        <f t="shared" si="3"/>
        <v>1</v>
      </c>
      <c r="E40" s="73">
        <f t="shared" si="3"/>
        <v>1</v>
      </c>
      <c r="F40" s="72">
        <f>SUM(F9:F39)</f>
        <v>62</v>
      </c>
      <c r="G40" s="16">
        <f>SUM(G9:G39)</f>
        <v>3</v>
      </c>
      <c r="H40" s="16">
        <f t="shared" ref="H40:L40" si="4">SUM(H9:H39)</f>
        <v>9</v>
      </c>
      <c r="I40" s="16">
        <f t="shared" si="4"/>
        <v>2</v>
      </c>
      <c r="J40" s="16">
        <f t="shared" si="4"/>
        <v>1</v>
      </c>
      <c r="K40" s="16">
        <f t="shared" si="4"/>
        <v>15</v>
      </c>
      <c r="L40" s="16">
        <f t="shared" si="4"/>
        <v>77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7"/>
      <c r="B42" s="87"/>
      <c r="C42" s="87"/>
      <c r="D42" s="87"/>
      <c r="E42" s="87"/>
      <c r="F42" s="87"/>
      <c r="G42" s="88" t="s">
        <v>17</v>
      </c>
      <c r="H42" s="89"/>
      <c r="I42" s="89" t="s">
        <v>18</v>
      </c>
      <c r="J42" s="90"/>
      <c r="K42" s="11"/>
      <c r="L42" s="13"/>
    </row>
    <row r="43" spans="1:12" ht="15.75" thickBot="1" x14ac:dyDescent="0.3">
      <c r="A43" s="14"/>
      <c r="B43" s="74" t="s">
        <v>19</v>
      </c>
      <c r="C43" s="75"/>
      <c r="D43" s="75"/>
      <c r="E43" s="75"/>
      <c r="F43" s="75"/>
      <c r="G43" s="85">
        <v>72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74" t="s">
        <v>20</v>
      </c>
      <c r="C44" s="75"/>
      <c r="D44" s="75"/>
      <c r="E44" s="75"/>
      <c r="F44" s="75"/>
      <c r="G44" s="76">
        <v>102</v>
      </c>
      <c r="H44" s="77"/>
      <c r="I44" s="76"/>
      <c r="J44" s="77"/>
      <c r="K44" s="11"/>
      <c r="L44" s="13"/>
    </row>
    <row r="45" spans="1:12" ht="15.75" thickBot="1" x14ac:dyDescent="0.3">
      <c r="A45" s="14"/>
      <c r="B45" s="82" t="s">
        <v>21</v>
      </c>
      <c r="C45" s="82"/>
      <c r="D45" s="82"/>
      <c r="E45" s="82"/>
      <c r="F45" s="74"/>
      <c r="G45" s="83">
        <v>0</v>
      </c>
      <c r="H45" s="84"/>
      <c r="I45" s="85"/>
      <c r="J45" s="86"/>
      <c r="K45" s="11"/>
      <c r="L45" s="13"/>
    </row>
    <row r="46" spans="1:12" ht="15.75" thickBot="1" x14ac:dyDescent="0.3">
      <c r="A46" s="14"/>
      <c r="B46" s="74" t="s">
        <v>22</v>
      </c>
      <c r="C46" s="75"/>
      <c r="D46" s="75"/>
      <c r="E46" s="75"/>
      <c r="F46" s="75"/>
      <c r="G46" s="81">
        <f>L40+G45</f>
        <v>77</v>
      </c>
      <c r="H46" s="77"/>
      <c r="I46" s="76"/>
      <c r="J46" s="77"/>
      <c r="K46" s="11"/>
      <c r="L46" s="13"/>
    </row>
    <row r="47" spans="1:12" ht="15.75" thickBot="1" x14ac:dyDescent="0.3">
      <c r="A47" s="4"/>
      <c r="B47" s="74" t="s">
        <v>23</v>
      </c>
      <c r="C47" s="75"/>
      <c r="D47" s="75"/>
      <c r="E47" s="75"/>
      <c r="F47" s="75"/>
      <c r="G47" s="81">
        <f>G43+G44-G46</f>
        <v>97</v>
      </c>
      <c r="H47" s="77"/>
      <c r="I47" s="76"/>
      <c r="J47" s="77"/>
      <c r="K47" s="11"/>
      <c r="L47" s="3"/>
    </row>
    <row r="48" spans="1:12" ht="15.75" thickBot="1" x14ac:dyDescent="0.3">
      <c r="A48" s="4"/>
      <c r="B48" s="74" t="s">
        <v>24</v>
      </c>
      <c r="C48" s="75"/>
      <c r="D48" s="75"/>
      <c r="E48" s="75"/>
      <c r="F48" s="75"/>
      <c r="G48" s="76">
        <v>29</v>
      </c>
      <c r="H48" s="77"/>
      <c r="I48" s="76"/>
      <c r="J48" s="77"/>
      <c r="K48" s="11"/>
      <c r="L48" s="3"/>
    </row>
    <row r="49" spans="1:12" ht="15.75" thickBot="1" x14ac:dyDescent="0.3">
      <c r="A49" s="4"/>
      <c r="B49" s="74" t="s">
        <v>25</v>
      </c>
      <c r="C49" s="75"/>
      <c r="D49" s="75"/>
      <c r="E49" s="75"/>
      <c r="F49" s="75"/>
      <c r="G49" s="78">
        <f>G47-G48</f>
        <v>68</v>
      </c>
      <c r="H49" s="79"/>
      <c r="I49" s="80"/>
      <c r="J49" s="79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67</v>
      </c>
    </row>
    <row r="54" spans="1:12" x14ac:dyDescent="0.25">
      <c r="A54" t="s">
        <v>63</v>
      </c>
    </row>
    <row r="55" spans="1:12" x14ac:dyDescent="0.25">
      <c r="A55" t="s">
        <v>65</v>
      </c>
    </row>
    <row r="56" spans="1:12" x14ac:dyDescent="0.25">
      <c r="A56" t="s">
        <v>32</v>
      </c>
    </row>
    <row r="57" spans="1:12" x14ac:dyDescent="0.25">
      <c r="A57" t="s">
        <v>66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2023-09-05T09:42:04Z</cp:lastPrinted>
  <dcterms:created xsi:type="dcterms:W3CDTF">2014-12-31T15:22:06Z</dcterms:created>
  <dcterms:modified xsi:type="dcterms:W3CDTF">2024-01-02T08:57:37Z</dcterms:modified>
</cp:coreProperties>
</file>