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Ouled Dheid\"/>
    </mc:Choice>
  </mc:AlternateContent>
  <bookViews>
    <workbookView xWindow="315" yWindow="195" windowWidth="6900" windowHeight="2025" firstSheet="7" activeTab="11"/>
  </bookViews>
  <sheets>
    <sheet name="Janvier 2023" sheetId="1" r:id="rId1"/>
    <sheet name="FEVRIER 2023" sheetId="2" r:id="rId2"/>
    <sheet name="MARS 2023" sheetId="3" r:id="rId3"/>
    <sheet name="AVRIL 2023" sheetId="4" r:id="rId4"/>
    <sheet name="MAI 2023" sheetId="5" r:id="rId5"/>
    <sheet name="JUIN 2023" sheetId="6" r:id="rId6"/>
    <sheet name="JUILLET 2023" sheetId="7" r:id="rId7"/>
    <sheet name="AOUT 2023" sheetId="8" r:id="rId8"/>
    <sheet name="SEPTEMBRE 2023" sheetId="9" r:id="rId9"/>
    <sheet name="OCTOBRE 2023" sheetId="10" r:id="rId10"/>
    <sheet name="NOVEMBRE 2023" sheetId="11" r:id="rId11"/>
    <sheet name="DECEMBRE 2023" sheetId="12" r:id="rId12"/>
  </sheets>
  <definedNames>
    <definedName name="_xlnm.Print_Titles" localSheetId="7">'AOUT 2023'!$1:$6</definedName>
    <definedName name="_xlnm.Print_Titles" localSheetId="3">'AVRIL 2023'!$1:$6</definedName>
    <definedName name="_xlnm.Print_Titles" localSheetId="11">'DECEMBRE 2023'!$1:$6</definedName>
    <definedName name="_xlnm.Print_Titles" localSheetId="1">'FEVRIER 2023'!$1:$6</definedName>
    <definedName name="_xlnm.Print_Titles" localSheetId="0">'Janvier 2023'!$1:$6</definedName>
    <definedName name="_xlnm.Print_Titles" localSheetId="6">'JUILLET 2023'!$1:$6</definedName>
    <definedName name="_xlnm.Print_Titles" localSheetId="5">'JUIN 2023'!$1:$6</definedName>
    <definedName name="_xlnm.Print_Titles" localSheetId="4">'MAI 2023'!$1:$6</definedName>
    <definedName name="_xlnm.Print_Titles" localSheetId="2">'MARS 2023'!$1:$6</definedName>
    <definedName name="_xlnm.Print_Titles" localSheetId="10">'NOVEMBRE 2023'!$1:$6</definedName>
    <definedName name="_xlnm.Print_Titles" localSheetId="9">'OCTOBRE 2023'!$1:$6</definedName>
    <definedName name="_xlnm.Print_Titles" localSheetId="8">'SEPTEMBRE 2023'!$1:$6</definedName>
  </definedNames>
  <calcPr calcId="162913"/>
</workbook>
</file>

<file path=xl/calcChain.xml><?xml version="1.0" encoding="utf-8"?>
<calcChain xmlns="http://schemas.openxmlformats.org/spreadsheetml/2006/main">
  <c r="K2" i="12" l="1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5" i="12" l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K4" i="11"/>
  <c r="K3" i="11"/>
  <c r="K2" i="11"/>
  <c r="K5" i="11" l="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K4" i="10"/>
  <c r="K3" i="10"/>
  <c r="K2" i="10"/>
  <c r="K5" i="10" s="1"/>
  <c r="A8" i="9" l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K4" i="9"/>
  <c r="K3" i="9"/>
  <c r="K2" i="9"/>
  <c r="K5" i="9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K4" i="8"/>
  <c r="K3" i="8"/>
  <c r="K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K4" i="7"/>
  <c r="K3" i="7"/>
  <c r="K2" i="7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K4" i="6"/>
  <c r="K3" i="6"/>
  <c r="K2" i="6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K4" i="5"/>
  <c r="K3" i="5"/>
  <c r="K2" i="5"/>
  <c r="K5" i="8" l="1"/>
  <c r="K5" i="7"/>
  <c r="K5" i="6"/>
  <c r="K5" i="5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K4" i="4"/>
  <c r="K3" i="4"/>
  <c r="K2" i="4"/>
  <c r="K5" i="4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K4" i="2"/>
  <c r="K3" i="2"/>
  <c r="K2" i="2"/>
  <c r="K5" i="2" s="1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K2" i="1"/>
  <c r="K5" i="1" s="1"/>
</calcChain>
</file>

<file path=xl/sharedStrings.xml><?xml version="1.0" encoding="utf-8"?>
<sst xmlns="http://schemas.openxmlformats.org/spreadsheetml/2006/main" count="542" uniqueCount="216">
  <si>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</si>
  <si>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</si>
  <si>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</si>
  <si>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</si>
  <si>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</si>
  <si>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</si>
  <si>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</si>
  <si>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</si>
  <si>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</si>
  <si>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</si>
  <si>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</si>
  <si>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</si>
  <si>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</si>
  <si>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</si>
  <si>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</si>
  <si>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</si>
  <si>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Ouled Dheid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</si>
  <si>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</si>
  <si>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</si>
  <si>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</si>
  <si>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BR</t>
  </si>
  <si>
    <t>15/21</t>
  </si>
  <si>
    <t>2023036262</t>
  </si>
  <si>
    <t>NB(568/2022)</t>
  </si>
  <si>
    <t>Laziri hadji</t>
  </si>
  <si>
    <t>2023036261</t>
  </si>
  <si>
    <t>Azibi sid-ahmed</t>
  </si>
  <si>
    <t>NB(435/2022)</t>
  </si>
  <si>
    <t>2023036263</t>
  </si>
  <si>
    <t>Kares aek</t>
  </si>
  <si>
    <t>NB(519/2022)</t>
  </si>
  <si>
    <t>2023036264</t>
  </si>
  <si>
    <t>Benthaya ahmed</t>
  </si>
  <si>
    <t>NB(880/2022)</t>
  </si>
  <si>
    <t>2023036265</t>
  </si>
  <si>
    <t>Bensaada n/eddine</t>
  </si>
  <si>
    <t>NB(823/2022)</t>
  </si>
  <si>
    <t>2023036266</t>
  </si>
  <si>
    <t>Bensaidane toufik</t>
  </si>
  <si>
    <t>NB(024/2020)</t>
  </si>
  <si>
    <t>2023036267</t>
  </si>
  <si>
    <t>Benmeziane med</t>
  </si>
  <si>
    <t>NB(759/2022)</t>
  </si>
  <si>
    <t>2023036268</t>
  </si>
  <si>
    <t>Laidoudi ahmed</t>
  </si>
  <si>
    <t>NB(212/2022)</t>
  </si>
  <si>
    <t>2023036269</t>
  </si>
  <si>
    <t>Riah mohamed</t>
  </si>
  <si>
    <t>NB(126/2021)</t>
  </si>
  <si>
    <t>2023036270</t>
  </si>
  <si>
    <t>Menasri mohamed</t>
  </si>
  <si>
    <t>NB(616/2022)</t>
  </si>
  <si>
    <t>2023035636</t>
  </si>
  <si>
    <t>NB(716/2022)</t>
  </si>
  <si>
    <t>Bahmed mahfoud</t>
  </si>
  <si>
    <t>2023035637</t>
  </si>
  <si>
    <t>Yalichani meftah</t>
  </si>
  <si>
    <t>NB(869/2022)</t>
  </si>
  <si>
    <t>2023035638</t>
  </si>
  <si>
    <t>Driss slimane</t>
  </si>
  <si>
    <t>NB(659/2022)</t>
  </si>
  <si>
    <t>2023035639</t>
  </si>
  <si>
    <t>Benmeziane fethi</t>
  </si>
  <si>
    <t>NB(147/2021)</t>
  </si>
  <si>
    <t>2023035640</t>
  </si>
  <si>
    <t>NB(718/2022)</t>
  </si>
  <si>
    <t>Benamou arfia</t>
  </si>
  <si>
    <t>2023035634</t>
  </si>
  <si>
    <t>Labidi lakhdar</t>
  </si>
  <si>
    <t>NB(793/2022)</t>
  </si>
  <si>
    <t>2023035631</t>
  </si>
  <si>
    <t>NB(770/2022)</t>
  </si>
  <si>
    <t>Riah mohamed b/aek</t>
  </si>
  <si>
    <t>2023035633</t>
  </si>
  <si>
    <t>Fergani a/azziz</t>
  </si>
  <si>
    <t>NB(923/2022)</t>
  </si>
  <si>
    <t>2023035635</t>
  </si>
  <si>
    <t>Bensaada sid-ali</t>
  </si>
  <si>
    <t>NB(830/2022)</t>
  </si>
  <si>
    <t>NB(668/2022)</t>
  </si>
  <si>
    <t>Benmeziane aek</t>
  </si>
  <si>
    <t>2023035632</t>
  </si>
  <si>
    <t>2023035524</t>
  </si>
  <si>
    <t>2023035525</t>
  </si>
  <si>
    <t>2023035526</t>
  </si>
  <si>
    <t>2023035527</t>
  </si>
  <si>
    <t>NB(342/2022)</t>
  </si>
  <si>
    <t>Manhab hamza</t>
  </si>
  <si>
    <t>Amana nadjia ep/boukhit</t>
  </si>
  <si>
    <t>NB(170/2021)</t>
  </si>
  <si>
    <t>Zaoui fatoum</t>
  </si>
  <si>
    <t>NB(402/2021)</t>
  </si>
  <si>
    <t>Benmeziane lyes</t>
  </si>
  <si>
    <t>NB(274/2019)</t>
  </si>
  <si>
    <t>CC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</si>
  <si>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</si>
  <si>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</si>
  <si>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BR0561</t>
  </si>
  <si>
    <t>2023035947</t>
  </si>
  <si>
    <t>Elimination Forfait</t>
  </si>
  <si>
    <t>2023035941</t>
  </si>
  <si>
    <t>2023035942</t>
  </si>
  <si>
    <t>NB(070/2023)</t>
  </si>
  <si>
    <t>NB(116/2023)</t>
  </si>
  <si>
    <t>Benaissa ahmed b/belkacem</t>
  </si>
  <si>
    <t>Djaoui abdelkader</t>
  </si>
  <si>
    <t>2023036059</t>
  </si>
  <si>
    <t>2023036060</t>
  </si>
  <si>
    <t>NB(893/2022)</t>
  </si>
  <si>
    <t>Berraf rafaa</t>
  </si>
  <si>
    <t>Kahoul tahar</t>
  </si>
  <si>
    <t>NB(016/2023)</t>
  </si>
  <si>
    <t>BR0167</t>
  </si>
  <si>
    <t>2023036057</t>
  </si>
  <si>
    <t>2023036626</t>
  </si>
  <si>
    <t>NB(124/2023)</t>
  </si>
  <si>
    <t>Bahmed ahmed</t>
  </si>
  <si>
    <t>2023036574</t>
  </si>
  <si>
    <t>NB(196/2022)</t>
  </si>
  <si>
    <t>Berraf billel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</si>
  <si>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</si>
  <si>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</si>
  <si>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</si>
  <si>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2023150101</t>
  </si>
  <si>
    <t>DEP MEDEA</t>
  </si>
  <si>
    <t>2023150103</t>
  </si>
  <si>
    <t>NB(129/2023)</t>
  </si>
  <si>
    <t>Bouamra aissa</t>
  </si>
  <si>
    <t>2023150105</t>
  </si>
  <si>
    <t>NB(088/2023)</t>
  </si>
  <si>
    <t>NB(337/2023)</t>
  </si>
  <si>
    <t>Bouarif aissa</t>
  </si>
  <si>
    <t>NB(215/2022)</t>
  </si>
  <si>
    <t>Abdouche toufik</t>
  </si>
  <si>
    <t>2023149617</t>
  </si>
  <si>
    <t>2023150102</t>
  </si>
  <si>
    <t>NB(161/2023)</t>
  </si>
  <si>
    <t>Benaissa lakhdar</t>
  </si>
  <si>
    <t>2023150108</t>
  </si>
  <si>
    <t>Benaissa benalia</t>
  </si>
  <si>
    <t>NB(162/2023)</t>
  </si>
  <si>
    <t>2023150106</t>
  </si>
  <si>
    <t>Benaissa brahim</t>
  </si>
  <si>
    <t>NB(175/2023)</t>
  </si>
  <si>
    <t>2023150104</t>
  </si>
  <si>
    <t>NB(163/2023)</t>
  </si>
  <si>
    <t>Benaissa aek</t>
  </si>
  <si>
    <t>2023150109</t>
  </si>
  <si>
    <t>NB(164/2023)</t>
  </si>
  <si>
    <t>Benaissa med</t>
  </si>
  <si>
    <t>2023150107</t>
  </si>
  <si>
    <t>NB(015/2023)</t>
  </si>
  <si>
    <t>Abba cherif</t>
  </si>
  <si>
    <t>2023150110</t>
  </si>
  <si>
    <t>NB(356/2023)</t>
  </si>
  <si>
    <t>Benzid djillali</t>
  </si>
  <si>
    <t>2023150047</t>
  </si>
  <si>
    <t>NB(040/2020)</t>
  </si>
  <si>
    <t>Patesserie yalichani med</t>
  </si>
  <si>
    <t>2023150042</t>
  </si>
  <si>
    <t>NB(829/2022)</t>
  </si>
  <si>
    <t>Abba mouloud b/mahi</t>
  </si>
  <si>
    <t>2023150049</t>
  </si>
  <si>
    <t>Benthaya youcef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</si>
  <si>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</si>
  <si>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2023149510</t>
  </si>
  <si>
    <t>2023150050</t>
  </si>
  <si>
    <t>BR0447</t>
  </si>
  <si>
    <t>BR0422</t>
  </si>
  <si>
    <t>2023148967</t>
  </si>
  <si>
    <t>NB</t>
  </si>
  <si>
    <t>Lamari youcef</t>
  </si>
  <si>
    <t>2023148771</t>
  </si>
  <si>
    <t>Aidh bachir</t>
  </si>
  <si>
    <t>NB(354/2023)</t>
  </si>
  <si>
    <t>2023149554</t>
  </si>
  <si>
    <t>2023148780</t>
  </si>
  <si>
    <t>Boura houcine</t>
  </si>
  <si>
    <t>Benzid mustapha</t>
  </si>
  <si>
    <t>NB(446/2023)</t>
  </si>
  <si>
    <t>NB(350/2023)</t>
  </si>
  <si>
    <t>2023149951</t>
  </si>
  <si>
    <t>2023149957</t>
  </si>
  <si>
    <t>NB(206/2023)</t>
  </si>
  <si>
    <t>Yalichani nadhir</t>
  </si>
  <si>
    <t>Yalichani lokmane</t>
  </si>
  <si>
    <t>2023149803</t>
  </si>
  <si>
    <t>Benmeziane Zohra</t>
  </si>
  <si>
    <t>NB(283/2021)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</si>
  <si>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</si>
  <si>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Benadad djamila</t>
  </si>
  <si>
    <t>2023149804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</si>
  <si>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</si>
  <si>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14/11/2023</t>
  </si>
  <si>
    <t>2023215160</t>
  </si>
  <si>
    <t>2023215156</t>
  </si>
  <si>
    <t>2023215158</t>
  </si>
  <si>
    <t>Laidoudi djillali</t>
  </si>
  <si>
    <t>Laidoudi nadji</t>
  </si>
  <si>
    <t>Laidoudi el hadj</t>
  </si>
  <si>
    <t>NB(235/2023)</t>
  </si>
  <si>
    <t>NB(536/2023)</t>
  </si>
  <si>
    <t>NB(535/2023)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</si>
  <si>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</si>
  <si>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BR0457</t>
  </si>
  <si>
    <t>30</t>
  </si>
  <si>
    <t>18041008153</t>
  </si>
  <si>
    <t>10/12/2023</t>
  </si>
  <si>
    <t>18041008157</t>
  </si>
  <si>
    <t>BR0429</t>
  </si>
  <si>
    <t>2023214312</t>
  </si>
  <si>
    <t>2023214313</t>
  </si>
  <si>
    <t>Fergani med</t>
  </si>
  <si>
    <t>abad nabila</t>
  </si>
  <si>
    <t>NB(416/2023)</t>
  </si>
  <si>
    <t>NB(326/2023)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</si>
</sst>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41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16" fontId="6" fillId="0" borderId="1" xfId="1" applyNumberFormat="1" applyFont="1" applyBorder="1" applyAlignment="1">
      <alignment horizontal="center"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28575</xdr:rowOff>
    </xdr:from>
    <xdr:to>
      <xdr:col>5</xdr:col>
      <xdr:colOff>1304926</xdr:colOff>
      <xdr:row>46</xdr:row>
      <xdr:rowOff>0</xdr:rowOff>
    </xdr:to>
    <xdr:cxnSp macro="">
      <xdr:nvCxnSpPr>
        <xdr:cNvPr id="3" name="Connecteur droit 2"/>
        <xdr:cNvCxnSpPr/>
      </xdr:nvCxnSpPr>
      <xdr:spPr>
        <a:xfrm flipH="1">
          <a:off x="609600" y="1343025"/>
          <a:ext cx="4533901" cy="7591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28575</xdr:rowOff>
    </xdr:from>
    <xdr:to>
      <xdr:col>5</xdr:col>
      <xdr:colOff>1304926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0" y="1343025"/>
          <a:ext cx="4533901" cy="7591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30</xdr:row>
      <xdr:rowOff>9525</xdr:rowOff>
    </xdr:from>
    <xdr:to>
      <xdr:col>5</xdr:col>
      <xdr:colOff>1266825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1" y="5895975"/>
          <a:ext cx="4495799" cy="3038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19054</xdr:colOff>
      <xdr:row>5</xdr:row>
      <xdr:rowOff>247650</xdr:rowOff>
    </xdr:from>
    <xdr:to>
      <xdr:col>5</xdr:col>
      <xdr:colOff>1304925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4" y="1295400"/>
          <a:ext cx="4533896" cy="763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19057</xdr:colOff>
      <xdr:row>13</xdr:row>
      <xdr:rowOff>190499</xdr:rowOff>
    </xdr:from>
    <xdr:to>
      <xdr:col>5</xdr:col>
      <xdr:colOff>1304926</xdr:colOff>
      <xdr:row>45</xdr:row>
      <xdr:rowOff>190498</xdr:rowOff>
    </xdr:to>
    <xdr:cxnSp macro="">
      <xdr:nvCxnSpPr>
        <xdr:cNvPr id="2" name="Connecteur droit 1"/>
        <xdr:cNvCxnSpPr/>
      </xdr:nvCxnSpPr>
      <xdr:spPr>
        <a:xfrm rot="5400000">
          <a:off x="-171446" y="3619502"/>
          <a:ext cx="6095999" cy="453389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19058</xdr:colOff>
      <xdr:row>6</xdr:row>
      <xdr:rowOff>28575</xdr:rowOff>
    </xdr:from>
    <xdr:to>
      <xdr:col>5</xdr:col>
      <xdr:colOff>1285876</xdr:colOff>
      <xdr:row>45</xdr:row>
      <xdr:rowOff>190498</xdr:rowOff>
    </xdr:to>
    <xdr:cxnSp macro="">
      <xdr:nvCxnSpPr>
        <xdr:cNvPr id="2" name="Connecteur droit 1"/>
        <xdr:cNvCxnSpPr/>
      </xdr:nvCxnSpPr>
      <xdr:spPr>
        <a:xfrm rot="5400000">
          <a:off x="-928682" y="2881315"/>
          <a:ext cx="7591423" cy="45148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19058</xdr:colOff>
      <xdr:row>6</xdr:row>
      <xdr:rowOff>28575</xdr:rowOff>
    </xdr:from>
    <xdr:to>
      <xdr:col>5</xdr:col>
      <xdr:colOff>1285876</xdr:colOff>
      <xdr:row>45</xdr:row>
      <xdr:rowOff>190498</xdr:rowOff>
    </xdr:to>
    <xdr:cxnSp macro="">
      <xdr:nvCxnSpPr>
        <xdr:cNvPr id="2" name="Connecteur droit 1"/>
        <xdr:cNvCxnSpPr/>
      </xdr:nvCxnSpPr>
      <xdr:spPr>
        <a:xfrm rot="5400000">
          <a:off x="-928682" y="2881315"/>
          <a:ext cx="7591423" cy="45148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19060</xdr:colOff>
      <xdr:row>19</xdr:row>
      <xdr:rowOff>47625</xdr:rowOff>
    </xdr:from>
    <xdr:to>
      <xdr:col>7</xdr:col>
      <xdr:colOff>9525</xdr:colOff>
      <xdr:row>45</xdr:row>
      <xdr:rowOff>190498</xdr:rowOff>
    </xdr:to>
    <xdr:cxnSp macro="">
      <xdr:nvCxnSpPr>
        <xdr:cNvPr id="2" name="Connecteur droit 1"/>
        <xdr:cNvCxnSpPr/>
      </xdr:nvCxnSpPr>
      <xdr:spPr>
        <a:xfrm flipH="1">
          <a:off x="609610" y="3838575"/>
          <a:ext cx="4552940" cy="509587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19060</xdr:colOff>
      <xdr:row>16</xdr:row>
      <xdr:rowOff>28575</xdr:rowOff>
    </xdr:from>
    <xdr:to>
      <xdr:col>5</xdr:col>
      <xdr:colOff>1276350</xdr:colOff>
      <xdr:row>45</xdr:row>
      <xdr:rowOff>190498</xdr:rowOff>
    </xdr:to>
    <xdr:cxnSp macro="">
      <xdr:nvCxnSpPr>
        <xdr:cNvPr id="2" name="Connecteur droit 1"/>
        <xdr:cNvCxnSpPr/>
      </xdr:nvCxnSpPr>
      <xdr:spPr>
        <a:xfrm flipH="1">
          <a:off x="609610" y="3248025"/>
          <a:ext cx="4505315" cy="56864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19061</xdr:colOff>
      <xdr:row>6</xdr:row>
      <xdr:rowOff>180975</xdr:rowOff>
    </xdr:from>
    <xdr:to>
      <xdr:col>7</xdr:col>
      <xdr:colOff>28575</xdr:colOff>
      <xdr:row>45</xdr:row>
      <xdr:rowOff>190498</xdr:rowOff>
    </xdr:to>
    <xdr:cxnSp macro="">
      <xdr:nvCxnSpPr>
        <xdr:cNvPr id="2" name="Connecteur droit 1"/>
        <xdr:cNvCxnSpPr/>
      </xdr:nvCxnSpPr>
      <xdr:spPr>
        <a:xfrm flipH="1">
          <a:off x="609611" y="1495425"/>
          <a:ext cx="4571989" cy="74390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19062</xdr:colOff>
      <xdr:row>9</xdr:row>
      <xdr:rowOff>9525</xdr:rowOff>
    </xdr:from>
    <xdr:to>
      <xdr:col>5</xdr:col>
      <xdr:colOff>1304925</xdr:colOff>
      <xdr:row>45</xdr:row>
      <xdr:rowOff>190498</xdr:rowOff>
    </xdr:to>
    <xdr:cxnSp macro="">
      <xdr:nvCxnSpPr>
        <xdr:cNvPr id="2" name="Connecteur droit 1"/>
        <xdr:cNvCxnSpPr/>
      </xdr:nvCxnSpPr>
      <xdr:spPr>
        <a:xfrm flipH="1">
          <a:off x="609612" y="1895475"/>
          <a:ext cx="4533888" cy="703897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19065</xdr:colOff>
      <xdr:row>9</xdr:row>
      <xdr:rowOff>171450</xdr:rowOff>
    </xdr:from>
    <xdr:to>
      <xdr:col>6</xdr:col>
      <xdr:colOff>0</xdr:colOff>
      <xdr:row>45</xdr:row>
      <xdr:rowOff>190498</xdr:rowOff>
    </xdr:to>
    <xdr:cxnSp macro="">
      <xdr:nvCxnSpPr>
        <xdr:cNvPr id="2" name="Connecteur droit 1"/>
        <xdr:cNvCxnSpPr/>
      </xdr:nvCxnSpPr>
      <xdr:spPr>
        <a:xfrm flipH="1">
          <a:off x="609615" y="2057400"/>
          <a:ext cx="4857735" cy="68770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4" workbookViewId="0">
      <selection activeCell="E42" sqref="E4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0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0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17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3"/>
      <c r="D9" s="23"/>
      <c r="E9" s="12"/>
      <c r="F9" s="24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27:F31">
    <sortCondition ref="C27:C31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4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0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0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18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3"/>
      <c r="D9" s="23"/>
      <c r="E9" s="12"/>
      <c r="F9" s="24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3" workbookViewId="0">
      <selection activeCell="H6" sqref="H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0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23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19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23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21</v>
      </c>
      <c r="D7" s="9" t="s">
        <v>70</v>
      </c>
      <c r="E7" s="12">
        <v>44998</v>
      </c>
      <c r="F7" s="21" t="s">
        <v>71</v>
      </c>
      <c r="G7" s="25">
        <v>1</v>
      </c>
      <c r="H7" s="29" t="s">
        <v>72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20</v>
      </c>
      <c r="C8" s="10" t="s">
        <v>21</v>
      </c>
      <c r="D8" s="9" t="s">
        <v>81</v>
      </c>
      <c r="E8" s="12">
        <v>44998</v>
      </c>
      <c r="F8" s="21" t="s">
        <v>79</v>
      </c>
      <c r="G8" s="25">
        <v>1</v>
      </c>
      <c r="H8" s="22" t="s">
        <v>80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20</v>
      </c>
      <c r="C9" s="10" t="s">
        <v>21</v>
      </c>
      <c r="D9" s="9" t="s">
        <v>73</v>
      </c>
      <c r="E9" s="12">
        <v>44998</v>
      </c>
      <c r="F9" s="21" t="s">
        <v>75</v>
      </c>
      <c r="G9" s="25">
        <v>1</v>
      </c>
      <c r="H9" s="22" t="s">
        <v>74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20</v>
      </c>
      <c r="C10" s="10" t="s">
        <v>21</v>
      </c>
      <c r="D10" s="9" t="s">
        <v>67</v>
      </c>
      <c r="E10" s="12">
        <v>44998</v>
      </c>
      <c r="F10" s="21" t="s">
        <v>69</v>
      </c>
      <c r="G10" s="25">
        <v>1</v>
      </c>
      <c r="H10" s="29" t="s">
        <v>68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20</v>
      </c>
      <c r="C11" s="10" t="s">
        <v>21</v>
      </c>
      <c r="D11" s="9" t="s">
        <v>76</v>
      </c>
      <c r="E11" s="12">
        <v>44998</v>
      </c>
      <c r="F11" s="21" t="s">
        <v>78</v>
      </c>
      <c r="G11" s="25">
        <v>1</v>
      </c>
      <c r="H11" s="22" t="s">
        <v>77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20</v>
      </c>
      <c r="C12" s="10" t="s">
        <v>21</v>
      </c>
      <c r="D12" s="9" t="s">
        <v>52</v>
      </c>
      <c r="E12" s="12">
        <v>44998</v>
      </c>
      <c r="F12" s="21" t="s">
        <v>53</v>
      </c>
      <c r="G12" s="25">
        <v>1</v>
      </c>
      <c r="H12" s="29" t="s">
        <v>54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20</v>
      </c>
      <c r="C13" s="10" t="s">
        <v>21</v>
      </c>
      <c r="D13" s="9" t="s">
        <v>55</v>
      </c>
      <c r="E13" s="12">
        <v>44998</v>
      </c>
      <c r="F13" s="21" t="s">
        <v>57</v>
      </c>
      <c r="G13" s="25">
        <v>1</v>
      </c>
      <c r="H13" s="29" t="s">
        <v>56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20</v>
      </c>
      <c r="C14" s="10" t="s">
        <v>21</v>
      </c>
      <c r="D14" s="9" t="s">
        <v>58</v>
      </c>
      <c r="E14" s="12">
        <v>44998</v>
      </c>
      <c r="F14" s="21" t="s">
        <v>60</v>
      </c>
      <c r="G14" s="25">
        <v>1</v>
      </c>
      <c r="H14" s="29" t="s">
        <v>59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20</v>
      </c>
      <c r="C15" s="10" t="s">
        <v>21</v>
      </c>
      <c r="D15" s="9" t="s">
        <v>61</v>
      </c>
      <c r="E15" s="12">
        <v>44998</v>
      </c>
      <c r="F15" s="21" t="s">
        <v>63</v>
      </c>
      <c r="G15" s="25">
        <v>1</v>
      </c>
      <c r="H15" s="29" t="s">
        <v>62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20</v>
      </c>
      <c r="C16" s="10" t="s">
        <v>21</v>
      </c>
      <c r="D16" s="9" t="s">
        <v>64</v>
      </c>
      <c r="E16" s="12">
        <v>44998</v>
      </c>
      <c r="F16" s="21" t="s">
        <v>65</v>
      </c>
      <c r="G16" s="25">
        <v>1</v>
      </c>
      <c r="H16" s="29" t="s">
        <v>66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20</v>
      </c>
      <c r="C17" s="10" t="s">
        <v>21</v>
      </c>
      <c r="D17" s="9" t="s">
        <v>25</v>
      </c>
      <c r="E17" s="12">
        <v>44998</v>
      </c>
      <c r="F17" s="21" t="s">
        <v>27</v>
      </c>
      <c r="G17" s="25">
        <v>1</v>
      </c>
      <c r="H17" s="26" t="s">
        <v>26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20</v>
      </c>
      <c r="C18" s="10" t="s">
        <v>21</v>
      </c>
      <c r="D18" s="9" t="s">
        <v>22</v>
      </c>
      <c r="E18" s="12">
        <v>44998</v>
      </c>
      <c r="F18" s="21" t="s">
        <v>23</v>
      </c>
      <c r="G18" s="17">
        <v>1</v>
      </c>
      <c r="H18" s="29" t="s">
        <v>24</v>
      </c>
      <c r="I18" s="2"/>
      <c r="J18" s="2"/>
    </row>
    <row r="19" spans="1:10" ht="15" customHeight="1" x14ac:dyDescent="0.25">
      <c r="A19" s="15">
        <f t="shared" si="0"/>
        <v>13</v>
      </c>
      <c r="B19" s="13" t="s">
        <v>20</v>
      </c>
      <c r="C19" s="10" t="s">
        <v>21</v>
      </c>
      <c r="D19" s="9" t="s">
        <v>28</v>
      </c>
      <c r="E19" s="12">
        <v>44998</v>
      </c>
      <c r="F19" s="21" t="s">
        <v>30</v>
      </c>
      <c r="G19" s="17">
        <v>1</v>
      </c>
      <c r="H19" s="26" t="s">
        <v>29</v>
      </c>
      <c r="I19" s="2"/>
      <c r="J19" s="2"/>
    </row>
    <row r="20" spans="1:10" ht="15" customHeight="1" x14ac:dyDescent="0.25">
      <c r="A20" s="15">
        <f t="shared" si="0"/>
        <v>14</v>
      </c>
      <c r="B20" s="13" t="s">
        <v>20</v>
      </c>
      <c r="C20" s="10" t="s">
        <v>21</v>
      </c>
      <c r="D20" s="9" t="s">
        <v>31</v>
      </c>
      <c r="E20" s="12">
        <v>44998</v>
      </c>
      <c r="F20" s="21" t="s">
        <v>33</v>
      </c>
      <c r="G20" s="25">
        <v>1</v>
      </c>
      <c r="H20" s="26" t="s">
        <v>32</v>
      </c>
      <c r="I20" s="2"/>
      <c r="J20" s="2"/>
    </row>
    <row r="21" spans="1:10" ht="15" customHeight="1" x14ac:dyDescent="0.25">
      <c r="A21" s="15">
        <f t="shared" si="0"/>
        <v>15</v>
      </c>
      <c r="B21" s="13" t="s">
        <v>20</v>
      </c>
      <c r="C21" s="10" t="s">
        <v>21</v>
      </c>
      <c r="D21" s="9" t="s">
        <v>34</v>
      </c>
      <c r="E21" s="12">
        <v>44998</v>
      </c>
      <c r="F21" s="21" t="s">
        <v>36</v>
      </c>
      <c r="G21" s="17">
        <v>1</v>
      </c>
      <c r="H21" s="26" t="s">
        <v>35</v>
      </c>
      <c r="I21" s="2"/>
      <c r="J21" s="2"/>
    </row>
    <row r="22" spans="1:10" ht="15" customHeight="1" x14ac:dyDescent="0.25">
      <c r="A22" s="15">
        <f t="shared" si="0"/>
        <v>16</v>
      </c>
      <c r="B22" s="13" t="s">
        <v>20</v>
      </c>
      <c r="C22" s="10" t="s">
        <v>21</v>
      </c>
      <c r="D22" s="9" t="s">
        <v>37</v>
      </c>
      <c r="E22" s="12">
        <v>44998</v>
      </c>
      <c r="F22" s="21" t="s">
        <v>39</v>
      </c>
      <c r="G22" s="25">
        <v>1</v>
      </c>
      <c r="H22" s="29" t="s">
        <v>38</v>
      </c>
      <c r="I22" s="2"/>
      <c r="J22" s="2"/>
    </row>
    <row r="23" spans="1:10" ht="15" customHeight="1" x14ac:dyDescent="0.25">
      <c r="A23" s="15">
        <f t="shared" si="0"/>
        <v>17</v>
      </c>
      <c r="B23" s="13" t="s">
        <v>20</v>
      </c>
      <c r="C23" s="10" t="s">
        <v>21</v>
      </c>
      <c r="D23" s="9" t="s">
        <v>40</v>
      </c>
      <c r="E23" s="12">
        <v>44998</v>
      </c>
      <c r="F23" s="21" t="s">
        <v>42</v>
      </c>
      <c r="G23" s="25">
        <v>1</v>
      </c>
      <c r="H23" s="29" t="s">
        <v>41</v>
      </c>
      <c r="I23" s="2"/>
      <c r="J23" s="2"/>
    </row>
    <row r="24" spans="1:10" ht="15" customHeight="1" x14ac:dyDescent="0.25">
      <c r="A24" s="15">
        <f t="shared" si="0"/>
        <v>18</v>
      </c>
      <c r="B24" s="13" t="s">
        <v>20</v>
      </c>
      <c r="C24" s="10" t="s">
        <v>21</v>
      </c>
      <c r="D24" s="9" t="s">
        <v>43</v>
      </c>
      <c r="E24" s="12">
        <v>44998</v>
      </c>
      <c r="F24" s="21" t="s">
        <v>45</v>
      </c>
      <c r="G24" s="25">
        <v>1</v>
      </c>
      <c r="H24" s="29" t="s">
        <v>44</v>
      </c>
      <c r="I24" s="2"/>
      <c r="J24" s="2"/>
    </row>
    <row r="25" spans="1:10" ht="15" customHeight="1" x14ac:dyDescent="0.25">
      <c r="A25" s="15">
        <f t="shared" si="0"/>
        <v>19</v>
      </c>
      <c r="B25" s="13" t="s">
        <v>20</v>
      </c>
      <c r="C25" s="10" t="s">
        <v>21</v>
      </c>
      <c r="D25" s="9" t="s">
        <v>46</v>
      </c>
      <c r="E25" s="12">
        <v>44998</v>
      </c>
      <c r="F25" s="21" t="s">
        <v>48</v>
      </c>
      <c r="G25" s="25">
        <v>1</v>
      </c>
      <c r="H25" s="30" t="s">
        <v>47</v>
      </c>
      <c r="I25" s="2"/>
      <c r="J25" s="2"/>
    </row>
    <row r="26" spans="1:10" ht="15" customHeight="1" x14ac:dyDescent="0.25">
      <c r="A26" s="15">
        <f t="shared" si="0"/>
        <v>20</v>
      </c>
      <c r="B26" s="13" t="s">
        <v>20</v>
      </c>
      <c r="C26" s="10" t="s">
        <v>21</v>
      </c>
      <c r="D26" s="9" t="s">
        <v>49</v>
      </c>
      <c r="E26" s="12">
        <v>44998</v>
      </c>
      <c r="F26" s="21" t="s">
        <v>51</v>
      </c>
      <c r="G26" s="25">
        <v>1</v>
      </c>
      <c r="H26" s="30" t="s">
        <v>50</v>
      </c>
      <c r="I26" s="2"/>
      <c r="J26" s="2"/>
    </row>
    <row r="27" spans="1:10" ht="15" customHeight="1" x14ac:dyDescent="0.25">
      <c r="A27" s="15">
        <f t="shared" si="0"/>
        <v>21</v>
      </c>
      <c r="B27" s="13" t="s">
        <v>20</v>
      </c>
      <c r="C27" s="10" t="s">
        <v>21</v>
      </c>
      <c r="D27" s="9" t="s">
        <v>82</v>
      </c>
      <c r="E27" s="12">
        <v>45007</v>
      </c>
      <c r="F27" s="21" t="s">
        <v>86</v>
      </c>
      <c r="G27" s="25">
        <v>1</v>
      </c>
      <c r="H27" s="1" t="s">
        <v>87</v>
      </c>
      <c r="I27" s="1"/>
      <c r="J27" s="1"/>
    </row>
    <row r="28" spans="1:10" ht="15" customHeight="1" x14ac:dyDescent="0.25">
      <c r="A28" s="15">
        <f t="shared" si="0"/>
        <v>22</v>
      </c>
      <c r="B28" s="13" t="s">
        <v>20</v>
      </c>
      <c r="C28" s="10" t="s">
        <v>21</v>
      </c>
      <c r="D28" s="9" t="s">
        <v>83</v>
      </c>
      <c r="E28" s="12">
        <v>45007</v>
      </c>
      <c r="F28" s="21" t="s">
        <v>89</v>
      </c>
      <c r="G28" s="25">
        <v>1</v>
      </c>
      <c r="H28" s="1" t="s">
        <v>88</v>
      </c>
      <c r="I28" s="1"/>
      <c r="J28" s="1"/>
    </row>
    <row r="29" spans="1:10" ht="15" customHeight="1" x14ac:dyDescent="0.25">
      <c r="A29" s="15">
        <f t="shared" si="0"/>
        <v>23</v>
      </c>
      <c r="B29" s="13" t="s">
        <v>20</v>
      </c>
      <c r="C29" s="10" t="s">
        <v>21</v>
      </c>
      <c r="D29" s="9" t="s">
        <v>84</v>
      </c>
      <c r="E29" s="12">
        <v>45007</v>
      </c>
      <c r="F29" s="21" t="s">
        <v>91</v>
      </c>
      <c r="G29" s="25">
        <v>1</v>
      </c>
      <c r="H29" s="1" t="s">
        <v>90</v>
      </c>
      <c r="I29" s="1"/>
      <c r="J29" s="1"/>
    </row>
    <row r="30" spans="1:10" ht="15" customHeight="1" x14ac:dyDescent="0.25">
      <c r="A30" s="15">
        <f t="shared" si="0"/>
        <v>24</v>
      </c>
      <c r="B30" s="13" t="s">
        <v>20</v>
      </c>
      <c r="C30" s="10" t="s">
        <v>21</v>
      </c>
      <c r="D30" s="9" t="s">
        <v>85</v>
      </c>
      <c r="E30" s="12">
        <v>45007</v>
      </c>
      <c r="F30" s="21" t="s">
        <v>93</v>
      </c>
      <c r="G30" s="17"/>
      <c r="H30" s="1" t="s">
        <v>92</v>
      </c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30">
    <sortCondition ref="E7:E30"/>
    <sortCondition ref="D7:D3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0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0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95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25">
        <v>1</v>
      </c>
      <c r="H8" s="22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25">
        <v>1</v>
      </c>
      <c r="H9" s="22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2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25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12"/>
      <c r="F18" s="21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25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30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25">
        <v>1</v>
      </c>
      <c r="H26" s="30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2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6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96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32" t="s">
        <v>21</v>
      </c>
      <c r="D7" s="9" t="s">
        <v>100</v>
      </c>
      <c r="E7" s="12">
        <v>45054</v>
      </c>
      <c r="F7" s="21" t="s">
        <v>102</v>
      </c>
      <c r="G7" s="25">
        <v>1</v>
      </c>
      <c r="H7" s="22" t="s">
        <v>105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20</v>
      </c>
      <c r="C8" s="32" t="s">
        <v>21</v>
      </c>
      <c r="D8" s="9" t="s">
        <v>101</v>
      </c>
      <c r="E8" s="12">
        <v>45054</v>
      </c>
      <c r="F8" s="21" t="s">
        <v>103</v>
      </c>
      <c r="G8" s="25">
        <v>1</v>
      </c>
      <c r="H8" s="22" t="s">
        <v>104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97</v>
      </c>
      <c r="C9" s="32" t="s">
        <v>21</v>
      </c>
      <c r="D9" s="9" t="s">
        <v>98</v>
      </c>
      <c r="E9" s="12">
        <v>45055</v>
      </c>
      <c r="F9" s="21" t="s">
        <v>99</v>
      </c>
      <c r="G9" s="25">
        <v>1</v>
      </c>
      <c r="H9" s="29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20</v>
      </c>
      <c r="C10" s="32" t="s">
        <v>21</v>
      </c>
      <c r="D10" s="9" t="s">
        <v>106</v>
      </c>
      <c r="E10" s="12">
        <v>45062</v>
      </c>
      <c r="F10" s="21" t="s">
        <v>108</v>
      </c>
      <c r="G10" s="25">
        <v>1</v>
      </c>
      <c r="H10" s="29" t="s">
        <v>109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20</v>
      </c>
      <c r="C11" s="32" t="s">
        <v>21</v>
      </c>
      <c r="D11" s="9" t="s">
        <v>107</v>
      </c>
      <c r="E11" s="12">
        <v>45062</v>
      </c>
      <c r="F11" s="21" t="s">
        <v>111</v>
      </c>
      <c r="G11" s="25">
        <v>1</v>
      </c>
      <c r="H11" s="22" t="s">
        <v>110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112</v>
      </c>
      <c r="C12" s="32" t="s">
        <v>21</v>
      </c>
      <c r="D12" s="9" t="s">
        <v>113</v>
      </c>
      <c r="E12" s="12">
        <v>45063</v>
      </c>
      <c r="F12" s="21" t="s">
        <v>99</v>
      </c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20</v>
      </c>
      <c r="C13" s="32" t="s">
        <v>21</v>
      </c>
      <c r="D13" s="9" t="s">
        <v>114</v>
      </c>
      <c r="E13" s="12">
        <v>45068</v>
      </c>
      <c r="F13" s="21" t="s">
        <v>115</v>
      </c>
      <c r="G13" s="25">
        <v>1</v>
      </c>
      <c r="H13" s="29" t="s">
        <v>116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20</v>
      </c>
      <c r="C14" s="32" t="s">
        <v>21</v>
      </c>
      <c r="D14" s="9" t="s">
        <v>117</v>
      </c>
      <c r="E14" s="12">
        <v>45076</v>
      </c>
      <c r="F14" s="21" t="s">
        <v>118</v>
      </c>
      <c r="G14" s="25">
        <v>1</v>
      </c>
      <c r="H14" s="29" t="s">
        <v>119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25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12"/>
      <c r="F18" s="21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25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30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25">
        <v>1</v>
      </c>
      <c r="H26" s="30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0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0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120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3"/>
      <c r="J6" s="3"/>
      <c r="K6" s="1"/>
    </row>
    <row r="7" spans="1:11" ht="15" customHeight="1" x14ac:dyDescent="0.25">
      <c r="A7" s="15">
        <v>1</v>
      </c>
      <c r="B7" s="13"/>
      <c r="C7" s="32"/>
      <c r="D7" s="9"/>
      <c r="E7" s="12"/>
      <c r="F7" s="21"/>
      <c r="G7" s="25">
        <v>1</v>
      </c>
      <c r="H7" s="22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32"/>
      <c r="D8" s="9"/>
      <c r="E8" s="12"/>
      <c r="F8" s="21"/>
      <c r="G8" s="25">
        <v>1</v>
      </c>
      <c r="H8" s="22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32"/>
      <c r="D9" s="9"/>
      <c r="E9" s="12"/>
      <c r="F9" s="21"/>
      <c r="G9" s="25">
        <v>1</v>
      </c>
      <c r="H9" s="29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32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32"/>
      <c r="D11" s="9"/>
      <c r="E11" s="12"/>
      <c r="F11" s="21"/>
      <c r="G11" s="25">
        <v>1</v>
      </c>
      <c r="H11" s="22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32"/>
      <c r="D12" s="9"/>
      <c r="E12" s="12"/>
      <c r="F12" s="21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32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32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25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12"/>
      <c r="F18" s="21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25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30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25">
        <v>1</v>
      </c>
      <c r="H26" s="30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17" sqref="F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0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0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121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0</v>
      </c>
    </row>
    <row r="6" spans="1:11" ht="21.6" customHeight="1" x14ac:dyDescent="0.25">
      <c r="A6" s="3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3"/>
      <c r="J6" s="3"/>
      <c r="K6" s="1"/>
    </row>
    <row r="7" spans="1:11" ht="15" customHeight="1" x14ac:dyDescent="0.25">
      <c r="A7" s="15">
        <v>1</v>
      </c>
      <c r="B7" s="13"/>
      <c r="C7" s="32"/>
      <c r="D7" s="9"/>
      <c r="E7" s="12"/>
      <c r="F7" s="21"/>
      <c r="G7" s="25">
        <v>1</v>
      </c>
      <c r="H7" s="22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32"/>
      <c r="D8" s="9"/>
      <c r="E8" s="12"/>
      <c r="F8" s="21"/>
      <c r="G8" s="25">
        <v>1</v>
      </c>
      <c r="H8" s="22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32"/>
      <c r="D9" s="9"/>
      <c r="E9" s="12"/>
      <c r="F9" s="21"/>
      <c r="G9" s="25">
        <v>1</v>
      </c>
      <c r="H9" s="29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32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32"/>
      <c r="D11" s="9"/>
      <c r="E11" s="12"/>
      <c r="F11" s="21"/>
      <c r="G11" s="25">
        <v>1</v>
      </c>
      <c r="H11" s="22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32"/>
      <c r="D12" s="9"/>
      <c r="E12" s="12"/>
      <c r="F12" s="21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32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32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25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25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12"/>
      <c r="F18" s="21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25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30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25">
        <v>1</v>
      </c>
      <c r="H26" s="30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17" sqref="H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0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13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122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13</v>
      </c>
    </row>
    <row r="6" spans="1:11" ht="21.6" customHeight="1" x14ac:dyDescent="0.25">
      <c r="A6" s="3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2"/>
      <c r="J6" s="2"/>
      <c r="K6" s="1"/>
    </row>
    <row r="7" spans="1:11" ht="15" customHeight="1" x14ac:dyDescent="0.25">
      <c r="A7" s="15">
        <v>1</v>
      </c>
      <c r="B7" s="13" t="s">
        <v>20</v>
      </c>
      <c r="C7" s="32" t="s">
        <v>21</v>
      </c>
      <c r="D7" s="9" t="s">
        <v>123</v>
      </c>
      <c r="E7" s="12">
        <v>45166</v>
      </c>
      <c r="F7" s="21" t="s">
        <v>129</v>
      </c>
      <c r="G7" s="25">
        <v>1</v>
      </c>
      <c r="H7" s="22" t="s">
        <v>124</v>
      </c>
      <c r="I7" s="34"/>
      <c r="J7" s="34"/>
      <c r="K7" s="1"/>
    </row>
    <row r="8" spans="1:11" ht="15" customHeight="1" x14ac:dyDescent="0.25">
      <c r="A8" s="15">
        <f>+A7+1</f>
        <v>2</v>
      </c>
      <c r="B8" s="13" t="s">
        <v>20</v>
      </c>
      <c r="C8" s="32" t="s">
        <v>21</v>
      </c>
      <c r="D8" s="9" t="s">
        <v>135</v>
      </c>
      <c r="E8" s="12">
        <v>45166</v>
      </c>
      <c r="F8" s="21" t="s">
        <v>136</v>
      </c>
      <c r="G8" s="25">
        <v>1</v>
      </c>
      <c r="H8" s="22" t="s">
        <v>137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20</v>
      </c>
      <c r="C9" s="32" t="s">
        <v>21</v>
      </c>
      <c r="D9" s="9" t="s">
        <v>144</v>
      </c>
      <c r="E9" s="12">
        <v>45166</v>
      </c>
      <c r="F9" s="21" t="s">
        <v>145</v>
      </c>
      <c r="G9" s="25">
        <v>1</v>
      </c>
      <c r="H9" s="29" t="s">
        <v>146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20</v>
      </c>
      <c r="C10" s="32" t="s">
        <v>21</v>
      </c>
      <c r="D10" s="9" t="s">
        <v>141</v>
      </c>
      <c r="E10" s="12">
        <v>45166</v>
      </c>
      <c r="F10" s="21" t="s">
        <v>143</v>
      </c>
      <c r="G10" s="25">
        <v>1</v>
      </c>
      <c r="H10" s="29" t="s">
        <v>142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20</v>
      </c>
      <c r="C11" s="32" t="s">
        <v>21</v>
      </c>
      <c r="D11" s="9" t="s">
        <v>150</v>
      </c>
      <c r="E11" s="12">
        <v>45166</v>
      </c>
      <c r="F11" s="21" t="s">
        <v>151</v>
      </c>
      <c r="G11" s="25">
        <v>1</v>
      </c>
      <c r="H11" s="29" t="s">
        <v>152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20</v>
      </c>
      <c r="C12" s="32" t="s">
        <v>21</v>
      </c>
      <c r="D12" s="9" t="s">
        <v>138</v>
      </c>
      <c r="E12" s="12">
        <v>45166</v>
      </c>
      <c r="F12" s="21" t="s">
        <v>140</v>
      </c>
      <c r="G12" s="25">
        <v>1</v>
      </c>
      <c r="H12" s="29" t="s">
        <v>139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20</v>
      </c>
      <c r="C13" s="32" t="s">
        <v>21</v>
      </c>
      <c r="D13" s="9" t="s">
        <v>147</v>
      </c>
      <c r="E13" s="12">
        <v>45166</v>
      </c>
      <c r="F13" s="21" t="s">
        <v>148</v>
      </c>
      <c r="G13" s="25">
        <v>1</v>
      </c>
      <c r="H13" s="29" t="s">
        <v>149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20</v>
      </c>
      <c r="C14" s="32" t="s">
        <v>21</v>
      </c>
      <c r="D14" s="9" t="s">
        <v>153</v>
      </c>
      <c r="E14" s="12">
        <v>45166</v>
      </c>
      <c r="F14" s="21" t="s">
        <v>154</v>
      </c>
      <c r="G14" s="25">
        <v>1</v>
      </c>
      <c r="H14" s="26" t="s">
        <v>155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20</v>
      </c>
      <c r="C15" s="32" t="s">
        <v>21</v>
      </c>
      <c r="D15" s="9" t="s">
        <v>134</v>
      </c>
      <c r="E15" s="12">
        <v>45167</v>
      </c>
      <c r="F15" s="21" t="s">
        <v>132</v>
      </c>
      <c r="G15" s="25">
        <v>1</v>
      </c>
      <c r="H15" s="29" t="s">
        <v>133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20</v>
      </c>
      <c r="C16" s="32" t="s">
        <v>21</v>
      </c>
      <c r="D16" s="9" t="s">
        <v>125</v>
      </c>
      <c r="E16" s="12">
        <v>45167</v>
      </c>
      <c r="F16" s="21" t="s">
        <v>126</v>
      </c>
      <c r="G16" s="25">
        <v>1</v>
      </c>
      <c r="H16" s="22" t="s">
        <v>127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20</v>
      </c>
      <c r="C17" s="32" t="s">
        <v>21</v>
      </c>
      <c r="D17" s="9" t="s">
        <v>128</v>
      </c>
      <c r="E17" s="12">
        <v>45167</v>
      </c>
      <c r="F17" s="21" t="s">
        <v>130</v>
      </c>
      <c r="G17" s="25">
        <v>1</v>
      </c>
      <c r="H17" s="29" t="s">
        <v>131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20</v>
      </c>
      <c r="C18" s="32" t="s">
        <v>21</v>
      </c>
      <c r="D18" s="9" t="s">
        <v>156</v>
      </c>
      <c r="E18" s="12">
        <v>45168</v>
      </c>
      <c r="F18" s="21" t="s">
        <v>157</v>
      </c>
      <c r="G18" s="17">
        <v>1</v>
      </c>
      <c r="H18" s="29" t="s">
        <v>158</v>
      </c>
      <c r="I18" s="2"/>
      <c r="J18" s="2"/>
    </row>
    <row r="19" spans="1:10" ht="15" customHeight="1" x14ac:dyDescent="0.25">
      <c r="A19" s="15">
        <f t="shared" si="0"/>
        <v>13</v>
      </c>
      <c r="B19" s="13" t="s">
        <v>20</v>
      </c>
      <c r="C19" s="32" t="s">
        <v>21</v>
      </c>
      <c r="D19" s="9" t="s">
        <v>159</v>
      </c>
      <c r="E19" s="12">
        <v>45168</v>
      </c>
      <c r="F19" s="21" t="s">
        <v>160</v>
      </c>
      <c r="G19" s="17">
        <v>1</v>
      </c>
      <c r="H19" s="26" t="s">
        <v>161</v>
      </c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25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30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25">
        <v>1</v>
      </c>
      <c r="H26" s="30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I17">
    <sortCondition ref="E7:E17"/>
    <sortCondition ref="D7:D1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2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8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164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10</v>
      </c>
    </row>
    <row r="6" spans="1:11" ht="21.6" customHeight="1" x14ac:dyDescent="0.25">
      <c r="A6" s="3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2"/>
      <c r="J6" s="2"/>
      <c r="K6" s="1"/>
    </row>
    <row r="7" spans="1:11" ht="15" customHeight="1" x14ac:dyDescent="0.25">
      <c r="A7" s="15">
        <v>1</v>
      </c>
      <c r="B7" s="13" t="s">
        <v>20</v>
      </c>
      <c r="C7" s="32" t="s">
        <v>21</v>
      </c>
      <c r="D7" s="9" t="s">
        <v>162</v>
      </c>
      <c r="E7" s="12">
        <v>45172</v>
      </c>
      <c r="F7" s="21" t="s">
        <v>129</v>
      </c>
      <c r="G7" s="25">
        <v>1</v>
      </c>
      <c r="H7" s="22" t="s">
        <v>163</v>
      </c>
      <c r="I7" s="34"/>
      <c r="J7" s="34"/>
      <c r="K7" s="1"/>
    </row>
    <row r="8" spans="1:11" ht="15" customHeight="1" x14ac:dyDescent="0.25">
      <c r="A8" s="15">
        <f>+A7+1</f>
        <v>2</v>
      </c>
      <c r="B8" s="13" t="s">
        <v>167</v>
      </c>
      <c r="C8" s="32" t="s">
        <v>21</v>
      </c>
      <c r="D8" s="9" t="s">
        <v>165</v>
      </c>
      <c r="E8" s="12">
        <v>45173</v>
      </c>
      <c r="F8" s="21" t="s">
        <v>99</v>
      </c>
      <c r="G8" s="25">
        <v>1</v>
      </c>
      <c r="H8" s="22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168</v>
      </c>
      <c r="C9" s="32" t="s">
        <v>21</v>
      </c>
      <c r="D9" s="9" t="s">
        <v>166</v>
      </c>
      <c r="E9" s="12">
        <v>45173</v>
      </c>
      <c r="F9" s="21" t="s">
        <v>99</v>
      </c>
      <c r="G9" s="25">
        <v>1</v>
      </c>
      <c r="H9" s="29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20</v>
      </c>
      <c r="C10" s="32" t="s">
        <v>21</v>
      </c>
      <c r="D10" s="9" t="s">
        <v>169</v>
      </c>
      <c r="E10" s="12">
        <v>45175</v>
      </c>
      <c r="F10" s="21" t="s">
        <v>179</v>
      </c>
      <c r="G10" s="25">
        <v>1</v>
      </c>
      <c r="H10" s="29" t="s">
        <v>171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20</v>
      </c>
      <c r="C11" s="32" t="s">
        <v>21</v>
      </c>
      <c r="D11" s="9" t="s">
        <v>172</v>
      </c>
      <c r="E11" s="12">
        <v>45182</v>
      </c>
      <c r="F11" s="21" t="s">
        <v>174</v>
      </c>
      <c r="G11" s="25">
        <v>1</v>
      </c>
      <c r="H11" s="29" t="s">
        <v>173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20</v>
      </c>
      <c r="C12" s="32" t="s">
        <v>21</v>
      </c>
      <c r="D12" s="9" t="s">
        <v>176</v>
      </c>
      <c r="E12" s="12">
        <v>45186</v>
      </c>
      <c r="F12" s="21" t="s">
        <v>180</v>
      </c>
      <c r="G12" s="25">
        <v>1</v>
      </c>
      <c r="H12" s="29" t="s">
        <v>178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20</v>
      </c>
      <c r="C13" s="32" t="s">
        <v>21</v>
      </c>
      <c r="D13" s="9" t="s">
        <v>175</v>
      </c>
      <c r="E13" s="12">
        <v>45186</v>
      </c>
      <c r="F13" s="21" t="s">
        <v>170</v>
      </c>
      <c r="G13" s="25">
        <v>1</v>
      </c>
      <c r="H13" s="29" t="s">
        <v>177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20</v>
      </c>
      <c r="C14" s="32" t="s">
        <v>21</v>
      </c>
      <c r="D14" s="9" t="s">
        <v>181</v>
      </c>
      <c r="E14" s="12">
        <v>45190</v>
      </c>
      <c r="F14" s="21" t="s">
        <v>183</v>
      </c>
      <c r="G14" s="25">
        <v>1</v>
      </c>
      <c r="H14" s="26" t="s">
        <v>184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20</v>
      </c>
      <c r="C15" s="32" t="s">
        <v>21</v>
      </c>
      <c r="D15" s="9" t="s">
        <v>182</v>
      </c>
      <c r="E15" s="12">
        <v>45190</v>
      </c>
      <c r="F15" s="21" t="s">
        <v>180</v>
      </c>
      <c r="G15" s="25">
        <v>1</v>
      </c>
      <c r="H15" s="26" t="s">
        <v>185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20</v>
      </c>
      <c r="C16" s="32" t="s">
        <v>21</v>
      </c>
      <c r="D16" s="9" t="s">
        <v>186</v>
      </c>
      <c r="E16" s="12">
        <v>45196</v>
      </c>
      <c r="F16" s="21" t="s">
        <v>188</v>
      </c>
      <c r="G16" s="25">
        <v>1</v>
      </c>
      <c r="H16" s="22" t="s">
        <v>187</v>
      </c>
      <c r="I16" s="2"/>
      <c r="J16" s="2"/>
    </row>
    <row r="17" spans="1:10" ht="15" customHeight="1" x14ac:dyDescent="0.25">
      <c r="A17" s="15">
        <f t="shared" si="0"/>
        <v>11</v>
      </c>
      <c r="B17" s="13"/>
      <c r="C17" s="32"/>
      <c r="D17" s="9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32"/>
      <c r="D18" s="9"/>
      <c r="E18" s="12"/>
      <c r="F18" s="21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3"/>
      <c r="C19" s="32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25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30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25">
        <v>1</v>
      </c>
      <c r="H26" s="30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I13">
    <sortCondition ref="E7:E13"/>
    <sortCondition ref="D7:D1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D7" sqref="D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0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1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189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1</v>
      </c>
    </row>
    <row r="6" spans="1:11" ht="21.6" customHeight="1" x14ac:dyDescent="0.25">
      <c r="A6" s="3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2"/>
      <c r="J6" s="2"/>
      <c r="K6" s="1"/>
    </row>
    <row r="7" spans="1:11" ht="15" customHeight="1" x14ac:dyDescent="0.25">
      <c r="A7" s="15">
        <v>1</v>
      </c>
      <c r="B7" s="13" t="s">
        <v>20</v>
      </c>
      <c r="C7" s="32" t="s">
        <v>21</v>
      </c>
      <c r="D7" s="9" t="s">
        <v>191</v>
      </c>
      <c r="E7" s="12">
        <v>45201</v>
      </c>
      <c r="F7" s="21" t="s">
        <v>170</v>
      </c>
      <c r="G7" s="25">
        <v>1</v>
      </c>
      <c r="H7" s="22" t="s">
        <v>190</v>
      </c>
      <c r="I7" s="34"/>
      <c r="J7" s="34"/>
      <c r="K7" s="1"/>
    </row>
    <row r="8" spans="1:11" ht="15" customHeight="1" x14ac:dyDescent="0.25">
      <c r="A8" s="15">
        <f>+A7+1</f>
        <v>2</v>
      </c>
      <c r="B8" s="13"/>
      <c r="C8" s="32"/>
      <c r="D8" s="9"/>
      <c r="E8" s="12"/>
      <c r="F8" s="21"/>
      <c r="G8" s="25">
        <v>1</v>
      </c>
      <c r="H8" s="22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32"/>
      <c r="D9" s="9"/>
      <c r="E9" s="12"/>
      <c r="F9" s="21"/>
      <c r="G9" s="25">
        <v>1</v>
      </c>
      <c r="H9" s="29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32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32"/>
      <c r="D11" s="9"/>
      <c r="E11" s="12"/>
      <c r="F11" s="21"/>
      <c r="G11" s="25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32"/>
      <c r="D12" s="9"/>
      <c r="E12" s="12"/>
      <c r="F12" s="21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32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32"/>
      <c r="D14" s="9"/>
      <c r="E14" s="12"/>
      <c r="F14" s="21"/>
      <c r="G14" s="25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32"/>
      <c r="D15" s="9"/>
      <c r="E15" s="12"/>
      <c r="F15" s="21"/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32"/>
      <c r="D16" s="9"/>
      <c r="E16" s="12"/>
      <c r="F16" s="21"/>
      <c r="G16" s="25">
        <v>1</v>
      </c>
      <c r="H16" s="22"/>
      <c r="I16" s="2"/>
      <c r="J16" s="2"/>
    </row>
    <row r="17" spans="1:10" ht="15" customHeight="1" x14ac:dyDescent="0.25">
      <c r="A17" s="15">
        <f t="shared" si="0"/>
        <v>11</v>
      </c>
      <c r="B17" s="13"/>
      <c r="C17" s="32"/>
      <c r="D17" s="9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32"/>
      <c r="D18" s="9"/>
      <c r="E18" s="12"/>
      <c r="F18" s="21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3"/>
      <c r="C19" s="32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25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30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25">
        <v>1</v>
      </c>
      <c r="H26" s="30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0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3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192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3</v>
      </c>
    </row>
    <row r="6" spans="1:11" ht="21.6" customHeight="1" x14ac:dyDescent="0.25">
      <c r="A6" s="3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2"/>
      <c r="J6" s="2"/>
      <c r="K6" s="1"/>
    </row>
    <row r="7" spans="1:11" ht="15" customHeight="1" x14ac:dyDescent="0.25">
      <c r="A7" s="15">
        <v>1</v>
      </c>
      <c r="B7" s="13" t="s">
        <v>20</v>
      </c>
      <c r="C7" s="32" t="s">
        <v>21</v>
      </c>
      <c r="D7" s="9" t="s">
        <v>195</v>
      </c>
      <c r="E7" s="9" t="s">
        <v>193</v>
      </c>
      <c r="F7" s="21" t="s">
        <v>202</v>
      </c>
      <c r="G7" s="25">
        <v>1</v>
      </c>
      <c r="H7" s="22" t="s">
        <v>198</v>
      </c>
      <c r="I7" s="34"/>
      <c r="J7" s="34"/>
      <c r="K7" s="1"/>
    </row>
    <row r="8" spans="1:11" ht="15" customHeight="1" x14ac:dyDescent="0.25">
      <c r="A8" s="15">
        <f>+A7+1</f>
        <v>2</v>
      </c>
      <c r="B8" s="13" t="s">
        <v>20</v>
      </c>
      <c r="C8" s="32" t="s">
        <v>21</v>
      </c>
      <c r="D8" s="9" t="s">
        <v>196</v>
      </c>
      <c r="E8" s="9" t="s">
        <v>193</v>
      </c>
      <c r="F8" s="21" t="s">
        <v>200</v>
      </c>
      <c r="G8" s="25">
        <v>1</v>
      </c>
      <c r="H8" s="29" t="s">
        <v>199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20</v>
      </c>
      <c r="C9" s="32" t="s">
        <v>21</v>
      </c>
      <c r="D9" s="9" t="s">
        <v>194</v>
      </c>
      <c r="E9" s="9" t="s">
        <v>193</v>
      </c>
      <c r="F9" s="21" t="s">
        <v>201</v>
      </c>
      <c r="G9" s="25">
        <v>1</v>
      </c>
      <c r="H9" s="22" t="s">
        <v>197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32"/>
      <c r="D10" s="9"/>
      <c r="E10" s="12"/>
      <c r="F10" s="21"/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32"/>
      <c r="D11" s="9"/>
      <c r="E11" s="12"/>
      <c r="F11" s="21"/>
      <c r="G11" s="25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32"/>
      <c r="D12" s="9"/>
      <c r="E12" s="12"/>
      <c r="F12" s="21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32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32"/>
      <c r="D14" s="9"/>
      <c r="E14" s="12"/>
      <c r="F14" s="21"/>
      <c r="G14" s="25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32"/>
      <c r="D15" s="9"/>
      <c r="E15" s="12"/>
      <c r="F15" s="21"/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32"/>
      <c r="D16" s="9"/>
      <c r="E16" s="12"/>
      <c r="F16" s="21"/>
      <c r="G16" s="25">
        <v>1</v>
      </c>
      <c r="H16" s="22"/>
      <c r="I16" s="2"/>
      <c r="J16" s="2"/>
    </row>
    <row r="17" spans="1:10" ht="15" customHeight="1" x14ac:dyDescent="0.25">
      <c r="A17" s="15">
        <f t="shared" si="0"/>
        <v>11</v>
      </c>
      <c r="B17" s="13"/>
      <c r="C17" s="32"/>
      <c r="D17" s="9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32"/>
      <c r="D18" s="9"/>
      <c r="E18" s="12"/>
      <c r="F18" s="21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3"/>
      <c r="C19" s="32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25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30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25">
        <v>1</v>
      </c>
      <c r="H26" s="30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3.140625" customWidth="1"/>
    <col min="5" max="5" width="10.85546875" customWidth="1"/>
    <col min="6" max="6" width="22.7109375" customWidth="1"/>
    <col min="7" max="7" width="4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40" t="s">
        <v>3</v>
      </c>
      <c r="F2" s="40"/>
      <c r="G2" s="4"/>
      <c r="H2" s="4"/>
      <c r="I2" s="36" t="s">
        <v>4</v>
      </c>
      <c r="J2" s="37"/>
      <c r="K2" s="18">
        <f>SUMIF(F7:F35,"Elimination*",G7:G35)</f>
        <v>2</v>
      </c>
    </row>
    <row r="3" spans="1:11" x14ac:dyDescent="0.25">
      <c r="A3" s="40" t="s">
        <v>5</v>
      </c>
      <c r="B3" s="40"/>
      <c r="C3" s="40"/>
      <c r="D3" s="5"/>
      <c r="E3" s="40" t="s">
        <v>16</v>
      </c>
      <c r="F3" s="40"/>
      <c r="G3" s="4"/>
      <c r="H3" s="4"/>
      <c r="I3" s="36" t="s">
        <v>6</v>
      </c>
      <c r="J3" s="37"/>
      <c r="K3" s="18">
        <f>SUMIF(F7:F35,"NB*",G7:G35)</f>
        <v>2</v>
      </c>
    </row>
    <row r="4" spans="1:11" ht="18" x14ac:dyDescent="0.25">
      <c r="A4" s="35" t="s">
        <v>7</v>
      </c>
      <c r="B4" s="35"/>
      <c r="C4" s="35"/>
      <c r="D4" s="35"/>
      <c r="E4" s="35"/>
      <c r="F4" s="35"/>
      <c r="G4" s="4"/>
      <c r="H4" s="4"/>
      <c r="I4" s="36" t="s">
        <v>8</v>
      </c>
      <c r="J4" s="37"/>
      <c r="K4" s="18">
        <f>SUMIF(F7:F35,"Ve*",G7:G35)</f>
        <v>0</v>
      </c>
    </row>
    <row r="5" spans="1:11" ht="15.75" x14ac:dyDescent="0.25">
      <c r="A5" s="38" t="s">
        <v>203</v>
      </c>
      <c r="B5" s="38"/>
      <c r="C5" s="38"/>
      <c r="D5" s="38"/>
      <c r="E5" s="38"/>
      <c r="F5" s="38"/>
      <c r="G5" s="19"/>
      <c r="H5" s="19"/>
      <c r="I5" s="36" t="s">
        <v>9</v>
      </c>
      <c r="J5" s="37"/>
      <c r="K5" s="20">
        <f>SUM(K2:K4)</f>
        <v>4</v>
      </c>
    </row>
    <row r="6" spans="1:11" ht="21.6" customHeight="1" x14ac:dyDescent="0.25">
      <c r="A6" s="3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94</v>
      </c>
      <c r="I6" s="2"/>
      <c r="J6" s="2"/>
      <c r="K6" s="1"/>
    </row>
    <row r="7" spans="1:11" ht="15" customHeight="1" x14ac:dyDescent="0.25">
      <c r="A7" s="15">
        <v>1</v>
      </c>
      <c r="B7" s="13" t="s">
        <v>204</v>
      </c>
      <c r="C7" s="9" t="s">
        <v>205</v>
      </c>
      <c r="D7" s="9" t="s">
        <v>206</v>
      </c>
      <c r="E7" s="9" t="s">
        <v>207</v>
      </c>
      <c r="F7" s="21" t="s">
        <v>99</v>
      </c>
      <c r="G7" s="25">
        <v>1</v>
      </c>
      <c r="H7" s="22"/>
      <c r="I7" s="34"/>
      <c r="J7" s="34"/>
      <c r="K7" s="1"/>
    </row>
    <row r="8" spans="1:11" ht="15" customHeight="1" x14ac:dyDescent="0.25">
      <c r="A8" s="15">
        <f>+A7+1</f>
        <v>2</v>
      </c>
      <c r="B8" s="13" t="s">
        <v>209</v>
      </c>
      <c r="C8" s="9" t="s">
        <v>205</v>
      </c>
      <c r="D8" s="9" t="s">
        <v>208</v>
      </c>
      <c r="E8" s="9" t="s">
        <v>207</v>
      </c>
      <c r="F8" s="21" t="s">
        <v>99</v>
      </c>
      <c r="G8" s="25">
        <v>1</v>
      </c>
      <c r="H8" s="29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20</v>
      </c>
      <c r="C9" s="9" t="s">
        <v>21</v>
      </c>
      <c r="D9" s="9" t="s">
        <v>210</v>
      </c>
      <c r="E9" s="9" t="s">
        <v>207</v>
      </c>
      <c r="F9" s="21" t="s">
        <v>214</v>
      </c>
      <c r="G9" s="25">
        <v>1</v>
      </c>
      <c r="H9" s="22" t="s">
        <v>213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20</v>
      </c>
      <c r="C10" s="9" t="s">
        <v>21</v>
      </c>
      <c r="D10" s="9" t="s">
        <v>211</v>
      </c>
      <c r="E10" s="9" t="s">
        <v>207</v>
      </c>
      <c r="F10" s="21" t="s">
        <v>215</v>
      </c>
      <c r="G10" s="25">
        <v>1</v>
      </c>
      <c r="H10" s="29" t="s">
        <v>212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9"/>
      <c r="D11" s="9"/>
      <c r="E11" s="12"/>
      <c r="F11" s="21"/>
      <c r="G11" s="25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9"/>
      <c r="D12" s="9"/>
      <c r="E12" s="12"/>
      <c r="F12" s="21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9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32"/>
      <c r="D14" s="9"/>
      <c r="E14" s="12"/>
      <c r="F14" s="21"/>
      <c r="G14" s="25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32"/>
      <c r="D15" s="9"/>
      <c r="E15" s="12"/>
      <c r="F15" s="21"/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32"/>
      <c r="D16" s="9"/>
      <c r="E16" s="12"/>
      <c r="F16" s="21"/>
      <c r="G16" s="25">
        <v>1</v>
      </c>
      <c r="H16" s="22"/>
      <c r="I16" s="2"/>
      <c r="J16" s="2"/>
    </row>
    <row r="17" spans="1:10" ht="15" customHeight="1" x14ac:dyDescent="0.25">
      <c r="A17" s="15">
        <f t="shared" si="0"/>
        <v>11</v>
      </c>
      <c r="B17" s="13"/>
      <c r="C17" s="32"/>
      <c r="D17" s="9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32"/>
      <c r="D18" s="9"/>
      <c r="E18" s="12"/>
      <c r="F18" s="21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3"/>
      <c r="C19" s="32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25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30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25">
        <v>1</v>
      </c>
      <c r="H26" s="30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  <vt:lpstr>'AOUT 2023'!Impression_des_titres</vt:lpstr>
      <vt:lpstr>'AVRIL 2023'!Impression_des_titres</vt:lpstr>
      <vt:lpstr>'DECEMBRE 2023'!Impression_des_titres</vt:lpstr>
      <vt:lpstr>'FEVRIER 2023'!Impression_des_titres</vt:lpstr>
      <vt:lpstr>'Janvier 2023'!Impression_des_titres</vt:lpstr>
      <vt:lpstr>'JUILLET 2023'!Impression_des_titres</vt:lpstr>
      <vt:lpstr>'JUIN 2023'!Impression_des_titres</vt:lpstr>
      <vt:lpstr>'MAI 2023'!Impression_des_titres</vt:lpstr>
      <vt:lpstr>'MARS 2023'!Impression_des_titres</vt:lpstr>
      <vt:lpstr>'NOVEMBRE 2023'!Impression_des_titres</vt:lpstr>
      <vt:lpstr>'OCTOBRE 2023'!Impression_des_titres</vt:lpstr>
      <vt:lpstr>'SEPTEMBRE 2023'!Impression_des_titres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2023-10-02T14:36:51Z</cp:lastPrinted>
  <dcterms:created xsi:type="dcterms:W3CDTF">2014-12-31T15:00:30Z</dcterms:created>
  <dcterms:modified xsi:type="dcterms:W3CDTF">2023-12-11T14:30:03Z</dcterms:modified>
</cp:coreProperties>
</file>