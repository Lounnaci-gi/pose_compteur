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555" yWindow="75" windowWidth="11700" windowHeight="6825"/>
  </bookViews>
  <sheets>
    <sheet name="JANVIER 2015" sheetId="1" r:id="rId1"/>
    <sheet name="FEVRIER 2015" sheetId="2" r:id="rId2"/>
    <sheet name="Mars 2015" sheetId="3" r:id="rId3"/>
    <sheet name="Avril 2015" sheetId="4" r:id="rId4"/>
    <sheet name="Mai 2015" sheetId="5" r:id="rId5"/>
    <sheet name="Juin 2015" sheetId="6" r:id="rId6"/>
    <sheet name="Juillet 2015" sheetId="7" r:id="rId7"/>
    <sheet name="Aout  2015" sheetId="8" r:id="rId8"/>
    <sheet name="Septembre 2015" sheetId="9" r:id="rId9"/>
    <sheet name="Octobre 2015" sheetId="10" r:id="rId10"/>
    <sheet name="Novembre 2015" sheetId="11" r:id="rId11"/>
    <sheet name="Decembre 2015" sheetId="12" r:id="rId12"/>
  </sheets>
  <calcPr calcId="124519"/>
</workbook>
</file>

<file path=xl/calcChain.xml><?xml version="1.0" encoding="utf-8"?>
<calcChain xmlns="http://schemas.openxmlformats.org/spreadsheetml/2006/main">
  <c r="J41" i="12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F41" s="1"/>
  <c r="K10"/>
  <c r="K41" s="1"/>
  <c r="F10"/>
  <c r="L10" s="1"/>
  <c r="L11" l="1"/>
  <c r="L41" s="1"/>
  <c r="G47" s="1"/>
  <c r="G48" s="1"/>
  <c r="G50" s="1"/>
  <c r="J41" i="11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K41" s="1"/>
  <c r="F10"/>
  <c r="L10" s="1"/>
  <c r="L41" s="1"/>
  <c r="G47" s="1"/>
  <c r="G48" s="1"/>
  <c r="G50" s="1"/>
  <c r="F41" l="1"/>
  <c r="J41" i="10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K10"/>
  <c r="K41" s="1"/>
  <c r="F10"/>
  <c r="L10" s="1"/>
  <c r="F41" l="1"/>
  <c r="L11"/>
  <c r="L41" s="1"/>
  <c r="G47" s="1"/>
  <c r="G48" s="1"/>
  <c r="G50" s="1"/>
  <c r="J41" i="9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F41" s="1"/>
  <c r="K10"/>
  <c r="K41" s="1"/>
  <c r="F10"/>
  <c r="L10" s="1"/>
  <c r="L11" l="1"/>
  <c r="L41" s="1"/>
  <c r="G47" s="1"/>
  <c r="G48" s="1"/>
  <c r="G50" s="1"/>
  <c r="J40" i="8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K9"/>
  <c r="K40" s="1"/>
  <c r="F9"/>
  <c r="L9" s="1"/>
  <c r="F40" l="1"/>
  <c r="L35"/>
  <c r="L10"/>
  <c r="L40" s="1"/>
  <c r="G46" s="1"/>
  <c r="G47" s="1"/>
  <c r="G49" s="1"/>
  <c r="J41" i="7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F41" s="1"/>
  <c r="K10"/>
  <c r="K41" s="1"/>
  <c r="F10"/>
  <c r="L10" s="1"/>
  <c r="L36" l="1"/>
  <c r="L11"/>
  <c r="J41" i="6"/>
  <c r="I41"/>
  <c r="H41"/>
  <c r="G41"/>
  <c r="E41"/>
  <c r="D41"/>
  <c r="C41"/>
  <c r="B41"/>
  <c r="K40"/>
  <c r="F40"/>
  <c r="L40" s="1"/>
  <c r="K39"/>
  <c r="F39"/>
  <c r="K38"/>
  <c r="F38"/>
  <c r="L38" s="1"/>
  <c r="K37"/>
  <c r="F37"/>
  <c r="K36"/>
  <c r="F36"/>
  <c r="K35"/>
  <c r="F35"/>
  <c r="K34"/>
  <c r="F34"/>
  <c r="K33"/>
  <c r="F33"/>
  <c r="K32"/>
  <c r="F32"/>
  <c r="K31"/>
  <c r="F31"/>
  <c r="K30"/>
  <c r="F30"/>
  <c r="K29"/>
  <c r="F29"/>
  <c r="K28"/>
  <c r="F28"/>
  <c r="K27"/>
  <c r="F27"/>
  <c r="K26"/>
  <c r="F26"/>
  <c r="K25"/>
  <c r="F25"/>
  <c r="K24"/>
  <c r="F24"/>
  <c r="L24" s="1"/>
  <c r="K23"/>
  <c r="F23"/>
  <c r="L23" s="1"/>
  <c r="K22"/>
  <c r="F22"/>
  <c r="L22" s="1"/>
  <c r="K21"/>
  <c r="F21"/>
  <c r="K20"/>
  <c r="F20"/>
  <c r="K19"/>
  <c r="F19"/>
  <c r="K18"/>
  <c r="F18"/>
  <c r="K17"/>
  <c r="F17"/>
  <c r="K16"/>
  <c r="F16"/>
  <c r="K15"/>
  <c r="F15"/>
  <c r="K14"/>
  <c r="F14"/>
  <c r="K13"/>
  <c r="F13"/>
  <c r="K12"/>
  <c r="F12"/>
  <c r="L12" s="1"/>
  <c r="K11"/>
  <c r="K41" s="1"/>
  <c r="F11"/>
  <c r="L11" s="1"/>
  <c r="K10"/>
  <c r="F10"/>
  <c r="F41" s="1"/>
  <c r="J41" i="5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K35"/>
  <c r="F35"/>
  <c r="K34"/>
  <c r="F34"/>
  <c r="L34" s="1"/>
  <c r="K33"/>
  <c r="F33"/>
  <c r="L33" s="1"/>
  <c r="K32"/>
  <c r="F32"/>
  <c r="L32" s="1"/>
  <c r="K31"/>
  <c r="F31"/>
  <c r="L31" s="1"/>
  <c r="K30"/>
  <c r="F30"/>
  <c r="K29"/>
  <c r="F29"/>
  <c r="K28"/>
  <c r="F28"/>
  <c r="L28" s="1"/>
  <c r="K27"/>
  <c r="F27"/>
  <c r="L27" s="1"/>
  <c r="K26"/>
  <c r="F26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K16"/>
  <c r="F16"/>
  <c r="L16" s="1"/>
  <c r="K15"/>
  <c r="F15"/>
  <c r="L15" s="1"/>
  <c r="K14"/>
  <c r="F14"/>
  <c r="K13"/>
  <c r="F13"/>
  <c r="L13" s="1"/>
  <c r="K12"/>
  <c r="F12"/>
  <c r="L12" s="1"/>
  <c r="K11"/>
  <c r="K41" s="1"/>
  <c r="F11"/>
  <c r="L11" s="1"/>
  <c r="K10"/>
  <c r="F10"/>
  <c r="F41" s="1"/>
  <c r="L41" i="7" l="1"/>
  <c r="G47" s="1"/>
  <c r="G48" s="1"/>
  <c r="G50" s="1"/>
  <c r="L39" i="6"/>
  <c r="L25"/>
  <c r="L26"/>
  <c r="L27"/>
  <c r="L28"/>
  <c r="L29"/>
  <c r="L30"/>
  <c r="L31"/>
  <c r="L32"/>
  <c r="L33"/>
  <c r="L34"/>
  <c r="L35"/>
  <c r="L36"/>
  <c r="L37"/>
  <c r="L13"/>
  <c r="L14"/>
  <c r="L15"/>
  <c r="L16"/>
  <c r="L17"/>
  <c r="L18"/>
  <c r="L19"/>
  <c r="L20"/>
  <c r="L21"/>
  <c r="L10"/>
  <c r="L30" i="5"/>
  <c r="L29"/>
  <c r="L26"/>
  <c r="L35"/>
  <c r="L36"/>
  <c r="L17"/>
  <c r="L14"/>
  <c r="L10"/>
  <c r="J41" i="4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K35"/>
  <c r="F35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K16"/>
  <c r="F16"/>
  <c r="L16" s="1"/>
  <c r="K15"/>
  <c r="F15"/>
  <c r="L15" s="1"/>
  <c r="K14"/>
  <c r="F14"/>
  <c r="K13"/>
  <c r="F13"/>
  <c r="L13" s="1"/>
  <c r="K12"/>
  <c r="F12"/>
  <c r="L12" s="1"/>
  <c r="K11"/>
  <c r="F11"/>
  <c r="F41" s="1"/>
  <c r="K10"/>
  <c r="K41" s="1"/>
  <c r="F10"/>
  <c r="L10" s="1"/>
  <c r="L41" i="6" l="1"/>
  <c r="G47" s="1"/>
  <c r="G48" s="1"/>
  <c r="G50" s="1"/>
  <c r="L41" i="5"/>
  <c r="G47" s="1"/>
  <c r="G48" s="1"/>
  <c r="G50" s="1"/>
  <c r="L36" i="4"/>
  <c r="L35"/>
  <c r="L17"/>
  <c r="L14"/>
  <c r="L11"/>
  <c r="F8" i="2"/>
  <c r="L8" s="1"/>
  <c r="K8"/>
  <c r="K39" s="1"/>
  <c r="F9"/>
  <c r="K9"/>
  <c r="L9" s="1"/>
  <c r="F10"/>
  <c r="L10" s="1"/>
  <c r="K10"/>
  <c r="F11"/>
  <c r="K11"/>
  <c r="L11" s="1"/>
  <c r="F12"/>
  <c r="K12"/>
  <c r="L12"/>
  <c r="F13"/>
  <c r="K13"/>
  <c r="F14"/>
  <c r="K14"/>
  <c r="L14"/>
  <c r="F15"/>
  <c r="K15"/>
  <c r="L15" s="1"/>
  <c r="F16"/>
  <c r="L16" s="1"/>
  <c r="K16"/>
  <c r="F17"/>
  <c r="K17"/>
  <c r="L17" s="1"/>
  <c r="F18"/>
  <c r="L18" s="1"/>
  <c r="K18"/>
  <c r="F19"/>
  <c r="K19"/>
  <c r="L19" s="1"/>
  <c r="F20"/>
  <c r="K20"/>
  <c r="L20"/>
  <c r="F21"/>
  <c r="L21" s="1"/>
  <c r="K21"/>
  <c r="F22"/>
  <c r="L22" s="1"/>
  <c r="K22"/>
  <c r="F23"/>
  <c r="K23"/>
  <c r="L23"/>
  <c r="F24"/>
  <c r="K24"/>
  <c r="L24"/>
  <c r="F25"/>
  <c r="L25" s="1"/>
  <c r="K25"/>
  <c r="F26"/>
  <c r="L26" s="1"/>
  <c r="K26"/>
  <c r="F27"/>
  <c r="K27"/>
  <c r="L27"/>
  <c r="F28"/>
  <c r="K28"/>
  <c r="L28"/>
  <c r="F29"/>
  <c r="L29" s="1"/>
  <c r="K29"/>
  <c r="F30"/>
  <c r="L30" s="1"/>
  <c r="K30"/>
  <c r="F31"/>
  <c r="K31"/>
  <c r="L31"/>
  <c r="F32"/>
  <c r="K32"/>
  <c r="F33"/>
  <c r="K33"/>
  <c r="L33" s="1"/>
  <c r="F34"/>
  <c r="K34"/>
  <c r="L34"/>
  <c r="F35"/>
  <c r="L35" s="1"/>
  <c r="K35"/>
  <c r="F36"/>
  <c r="L36" s="1"/>
  <c r="K36"/>
  <c r="F37"/>
  <c r="K37"/>
  <c r="L37"/>
  <c r="F38"/>
  <c r="K38"/>
  <c r="L38"/>
  <c r="B39"/>
  <c r="C39"/>
  <c r="D39"/>
  <c r="E39"/>
  <c r="G39"/>
  <c r="H39"/>
  <c r="I39"/>
  <c r="J39"/>
  <c r="L41" i="4" l="1"/>
  <c r="G47" s="1"/>
  <c r="G48" s="1"/>
  <c r="G50" s="1"/>
  <c r="F39" i="2"/>
  <c r="L32"/>
  <c r="L13"/>
  <c r="L39"/>
  <c r="G45" s="1"/>
  <c r="G46" s="1"/>
  <c r="G48" s="1"/>
  <c r="J41" i="3" l="1"/>
  <c r="I41"/>
  <c r="H41"/>
  <c r="G41"/>
  <c r="E41"/>
  <c r="D41"/>
  <c r="C41"/>
  <c r="B41"/>
  <c r="K40"/>
  <c r="F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K10"/>
  <c r="F10"/>
  <c r="L10" s="1"/>
  <c r="L40" l="1"/>
  <c r="K41"/>
  <c r="F41"/>
  <c r="L11"/>
  <c r="L41" s="1"/>
  <c r="G47" l="1"/>
  <c r="G48" s="1"/>
  <c r="G50" s="1"/>
  <c r="H40" i="1"/>
  <c r="I40"/>
  <c r="J40"/>
  <c r="G40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9"/>
  <c r="C40"/>
  <c r="D40"/>
  <c r="E40"/>
  <c r="B40"/>
  <c r="F10"/>
  <c r="L10" s="1"/>
  <c r="F11"/>
  <c r="F12"/>
  <c r="F13"/>
  <c r="F14"/>
  <c r="F15"/>
  <c r="F16"/>
  <c r="F17"/>
  <c r="L17" s="1"/>
  <c r="F18"/>
  <c r="F19"/>
  <c r="F20"/>
  <c r="F21"/>
  <c r="F22"/>
  <c r="F23"/>
  <c r="F24"/>
  <c r="F25"/>
  <c r="L25" s="1"/>
  <c r="F26"/>
  <c r="F27"/>
  <c r="F28"/>
  <c r="F29"/>
  <c r="F30"/>
  <c r="F31"/>
  <c r="L31" s="1"/>
  <c r="F32"/>
  <c r="F33"/>
  <c r="F34"/>
  <c r="L34" s="1"/>
  <c r="F35"/>
  <c r="F36"/>
  <c r="F37"/>
  <c r="L37" s="1"/>
  <c r="F38"/>
  <c r="L38" s="1"/>
  <c r="F39"/>
  <c r="L39" s="1"/>
  <c r="F9"/>
  <c r="L9" s="1"/>
  <c r="L15" l="1"/>
  <c r="L11"/>
  <c r="L36"/>
  <c r="L35"/>
  <c r="L23"/>
  <c r="L30"/>
  <c r="L29"/>
  <c r="L13"/>
  <c r="L32"/>
  <c r="L26"/>
  <c r="L24"/>
  <c r="L22"/>
  <c r="L18"/>
  <c r="L12"/>
  <c r="L28"/>
  <c r="L20"/>
  <c r="L16"/>
  <c r="L14"/>
  <c r="L33"/>
  <c r="L27"/>
  <c r="F40"/>
  <c r="L21"/>
  <c r="L19"/>
  <c r="K40"/>
  <c r="L40" l="1"/>
  <c r="G46" s="1"/>
  <c r="G47" s="1"/>
  <c r="G49" s="1"/>
</calcChain>
</file>

<file path=xl/sharedStrings.xml><?xml version="1.0" encoding="utf-8"?>
<sst xmlns="http://schemas.openxmlformats.org/spreadsheetml/2006/main" count="406" uniqueCount="42">
  <si>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</si>
  <si>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</si>
  <si>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</si>
  <si>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</si>
  <si>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</si>
  <si>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</si>
  <si>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</si>
  <si>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</si>
  <si>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</si>
  <si>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</si>
  <si>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</si>
  <si>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</si>
  <si>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</si>
  <si>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</si>
  <si>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</si>
  <si>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</si>
  <si>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</si>
  <si>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</si>
  <si>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</si>
  <si>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</si>
  <si>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</si>
  <si>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</si>
  <si>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</si>
  <si>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</si>
  <si>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</si>
  <si>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</si>
  <si>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</si>
  <si>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</si>
  <si>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</si>
  <si>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</si>
  <si>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</si>
  <si>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 xml:space="preserve">Antenne </t>
    </r>
    <r>
      <rPr>
        <sz val="10"/>
        <rFont val="Arial"/>
        <family val="2"/>
      </rPr>
      <t>: SEGHOUANE</t>
    </r>
  </si>
  <si>
    <r>
      <t>Antenne</t>
    </r>
    <r>
      <rPr>
        <sz val="10"/>
        <rFont val="Arial"/>
        <family val="2"/>
      </rPr>
      <t>: SEGHOUANE</t>
    </r>
  </si>
  <si>
    <r>
      <t xml:space="preserve">Mois de Avril </t>
    </r>
    <r>
      <rPr>
        <sz val="11"/>
        <rFont val="Arial"/>
        <family val="2"/>
      </rPr>
      <t>2015</t>
    </r>
  </si>
  <si>
    <r>
      <t xml:space="preserve">Mois de Mai </t>
    </r>
    <r>
      <rPr>
        <sz val="11"/>
        <rFont val="Arial"/>
        <family val="2"/>
      </rPr>
      <t>2015</t>
    </r>
  </si>
  <si>
    <r>
      <t xml:space="preserve">Mois de Juin </t>
    </r>
    <r>
      <rPr>
        <sz val="11"/>
        <rFont val="Arial"/>
        <family val="2"/>
      </rPr>
      <t>2015</t>
    </r>
  </si>
  <si>
    <r>
      <t xml:space="preserve">Mois de Juillet </t>
    </r>
    <r>
      <rPr>
        <sz val="11"/>
        <rFont val="Arial"/>
        <family val="2"/>
      </rPr>
      <t>2015</t>
    </r>
  </si>
  <si>
    <r>
      <t xml:space="preserve">Mois de Aout </t>
    </r>
    <r>
      <rPr>
        <sz val="11"/>
        <rFont val="Arial"/>
        <family val="2"/>
      </rPr>
      <t>2015</t>
    </r>
  </si>
  <si>
    <r>
      <t xml:space="preserve">Mois de Septembre </t>
    </r>
    <r>
      <rPr>
        <sz val="11"/>
        <rFont val="Arial"/>
        <family val="2"/>
      </rPr>
      <t>2015</t>
    </r>
  </si>
  <si>
    <r>
      <t xml:space="preserve">Mois de Octobre </t>
    </r>
    <r>
      <rPr>
        <sz val="11"/>
        <rFont val="Arial"/>
        <family val="2"/>
      </rPr>
      <t>2015</t>
    </r>
  </si>
  <si>
    <r>
      <t xml:space="preserve">Mois de Novembre </t>
    </r>
    <r>
      <rPr>
        <sz val="11"/>
        <rFont val="Arial"/>
        <family val="2"/>
      </rPr>
      <t>2015</t>
    </r>
  </si>
  <si>
    <r>
      <t xml:space="preserve">Mois de Decembre </t>
    </r>
    <r>
      <rPr>
        <sz val="11"/>
        <rFont val="Arial"/>
        <family val="2"/>
      </rPr>
      <t>2015</t>
    </r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</si>
</sst>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55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43">
    <xf numFmtId="0" fontId="0" fillId="0" borderId="0" xfId="0"/>
    <xf numFmtId="0" fontId="7" fillId="0" borderId="0" xfId="3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42" xfId="3" applyNumberFormat="1" applyFill="1" applyBorder="1" applyAlignment="1">
      <alignment horizontal="center" vertical="center" wrapText="1"/>
    </xf>
    <xf numFmtId="1" fontId="7" fillId="2" borderId="43" xfId="3" applyNumberFormat="1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1" fontId="7" fillId="2" borderId="30" xfId="3" applyNumberFormat="1" applyFill="1" applyBorder="1" applyAlignment="1">
      <alignment horizontal="center" vertical="center" wrapText="1"/>
    </xf>
    <xf numFmtId="1" fontId="7" fillId="2" borderId="31" xfId="3" applyNumberFormat="1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47" xfId="3" applyFill="1" applyBorder="1" applyAlignment="1">
      <alignment horizontal="center" vertical="center" wrapText="1"/>
    </xf>
    <xf numFmtId="0" fontId="7" fillId="2" borderId="46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2" borderId="45" xfId="3" applyFill="1" applyBorder="1" applyAlignment="1">
      <alignment horizontal="center" vertical="center" wrapText="1"/>
    </xf>
    <xf numFmtId="0" fontId="7" fillId="2" borderId="44" xfId="3" applyFont="1" applyFill="1" applyBorder="1" applyAlignment="1">
      <alignment horizontal="center" vertical="center" wrapText="1"/>
    </xf>
    <xf numFmtId="0" fontId="7" fillId="2" borderId="45" xfId="3" applyFont="1" applyFill="1" applyBorder="1" applyAlignment="1">
      <alignment horizontal="center" vertical="center" wrapText="1"/>
    </xf>
    <xf numFmtId="0" fontId="4" fillId="0" borderId="41" xfId="3" applyFont="1" applyBorder="1" applyAlignment="1">
      <alignment horizontal="center" vertical="center"/>
    </xf>
    <xf numFmtId="0" fontId="6" fillId="0" borderId="48" xfId="3" applyFont="1" applyBorder="1" applyAlignment="1">
      <alignment horizontal="center" vertical="center" wrapText="1"/>
    </xf>
    <xf numFmtId="0" fontId="6" fillId="0" borderId="49" xfId="3" applyFont="1" applyBorder="1" applyAlignment="1">
      <alignment horizontal="center" vertical="center" wrapText="1"/>
    </xf>
    <xf numFmtId="0" fontId="6" fillId="2" borderId="50" xfId="3" applyFont="1" applyFill="1" applyBorder="1" applyAlignment="1">
      <alignment horizontal="center" vertical="center" wrapText="1"/>
    </xf>
    <xf numFmtId="0" fontId="6" fillId="2" borderId="51" xfId="3" applyFont="1" applyFill="1" applyBorder="1" applyAlignment="1">
      <alignment horizontal="center" vertical="center" wrapText="1"/>
    </xf>
    <xf numFmtId="0" fontId="6" fillId="2" borderId="52" xfId="3" applyFont="1" applyFill="1" applyBorder="1" applyAlignment="1">
      <alignment horizontal="center" vertical="center" wrapText="1"/>
    </xf>
    <xf numFmtId="0" fontId="15" fillId="0" borderId="48" xfId="3" applyFont="1" applyBorder="1" applyAlignment="1">
      <alignment horizontal="center" vertical="center" wrapText="1"/>
    </xf>
    <xf numFmtId="0" fontId="15" fillId="0" borderId="49" xfId="3" applyFont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41</xdr:row>
      <xdr:rowOff>114300</xdr:rowOff>
    </xdr:from>
    <xdr:to>
      <xdr:col>11</xdr:col>
      <xdr:colOff>520700</xdr:colOff>
      <xdr:row>47</xdr:row>
      <xdr:rowOff>53975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629275" y="85439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</xdr:colOff>
      <xdr:row>40</xdr:row>
      <xdr:rowOff>57150</xdr:rowOff>
    </xdr:from>
    <xdr:to>
      <xdr:col>11</xdr:col>
      <xdr:colOff>508000</xdr:colOff>
      <xdr:row>47</xdr:row>
      <xdr:rowOff>63500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289550" y="69913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42</xdr:row>
      <xdr:rowOff>6350</xdr:rowOff>
    </xdr:from>
    <xdr:to>
      <xdr:col>11</xdr:col>
      <xdr:colOff>520700</xdr:colOff>
      <xdr:row>49</xdr:row>
      <xdr:rowOff>19050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97550" y="8077200"/>
          <a:ext cx="1060450" cy="1346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42</xdr:row>
      <xdr:rowOff>6350</xdr:rowOff>
    </xdr:from>
    <xdr:to>
      <xdr:col>11</xdr:col>
      <xdr:colOff>520700</xdr:colOff>
      <xdr:row>49</xdr:row>
      <xdr:rowOff>19050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797550" y="8077200"/>
          <a:ext cx="1060450" cy="1346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42</xdr:row>
      <xdr:rowOff>6350</xdr:rowOff>
    </xdr:from>
    <xdr:to>
      <xdr:col>11</xdr:col>
      <xdr:colOff>520700</xdr:colOff>
      <xdr:row>49</xdr:row>
      <xdr:rowOff>19050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97550" y="8077200"/>
          <a:ext cx="1060450" cy="1346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42</xdr:row>
      <xdr:rowOff>6350</xdr:rowOff>
    </xdr:from>
    <xdr:to>
      <xdr:col>11</xdr:col>
      <xdr:colOff>520700</xdr:colOff>
      <xdr:row>49</xdr:row>
      <xdr:rowOff>19050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797550" y="8077200"/>
          <a:ext cx="1060450" cy="1346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42</xdr:row>
      <xdr:rowOff>6350</xdr:rowOff>
    </xdr:from>
    <xdr:to>
      <xdr:col>11</xdr:col>
      <xdr:colOff>520700</xdr:colOff>
      <xdr:row>49</xdr:row>
      <xdr:rowOff>19050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97550" y="8077200"/>
          <a:ext cx="1060450" cy="1346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41</xdr:row>
      <xdr:rowOff>6350</xdr:rowOff>
    </xdr:from>
    <xdr:to>
      <xdr:col>11</xdr:col>
      <xdr:colOff>520700</xdr:colOff>
      <xdr:row>48</xdr:row>
      <xdr:rowOff>19050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53075" y="8435975"/>
          <a:ext cx="1035050" cy="14128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42</xdr:row>
      <xdr:rowOff>6350</xdr:rowOff>
    </xdr:from>
    <xdr:to>
      <xdr:col>11</xdr:col>
      <xdr:colOff>520700</xdr:colOff>
      <xdr:row>49</xdr:row>
      <xdr:rowOff>19050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53075" y="8435975"/>
          <a:ext cx="1035050" cy="14128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42</xdr:row>
      <xdr:rowOff>6350</xdr:rowOff>
    </xdr:from>
    <xdr:to>
      <xdr:col>11</xdr:col>
      <xdr:colOff>520700</xdr:colOff>
      <xdr:row>49</xdr:row>
      <xdr:rowOff>19050</xdr:rowOff>
    </xdr:to>
    <xdr:sp macro="" textlink="">
      <xdr:nvSpPr>
        <xdr:cNvPr id="14" name="AutoShape 1"/>
        <xdr:cNvSpPr>
          <a:spLocks noChangeArrowheads="1"/>
        </xdr:cNvSpPr>
      </xdr:nvSpPr>
      <xdr:spPr bwMode="auto">
        <a:xfrm rot="10800000">
          <a:off x="5553075" y="8435975"/>
          <a:ext cx="1035050" cy="14128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42</xdr:row>
      <xdr:rowOff>6350</xdr:rowOff>
    </xdr:from>
    <xdr:to>
      <xdr:col>11</xdr:col>
      <xdr:colOff>520700</xdr:colOff>
      <xdr:row>49</xdr:row>
      <xdr:rowOff>19050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53075" y="8435975"/>
          <a:ext cx="1035050" cy="14128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42</xdr:row>
      <xdr:rowOff>6350</xdr:rowOff>
    </xdr:from>
    <xdr:to>
      <xdr:col>11</xdr:col>
      <xdr:colOff>520700</xdr:colOff>
      <xdr:row>49</xdr:row>
      <xdr:rowOff>19050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53075" y="8435975"/>
          <a:ext cx="1035050" cy="14128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>
      <selection activeCell="L50" sqref="A1:L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7" t="s">
        <v>0</v>
      </c>
      <c r="B1" s="87"/>
      <c r="C1" s="87"/>
      <c r="D1" s="87"/>
      <c r="E1" s="38"/>
      <c r="F1" s="39"/>
      <c r="G1" s="88" t="s">
        <v>1</v>
      </c>
      <c r="H1" s="88"/>
      <c r="I1" s="88"/>
      <c r="J1" s="88"/>
      <c r="K1" s="88"/>
      <c r="L1" s="88"/>
    </row>
    <row r="2" spans="1:12" ht="15.75">
      <c r="A2" s="88" t="s">
        <v>2</v>
      </c>
      <c r="B2" s="88"/>
      <c r="C2" s="88"/>
      <c r="D2" s="88"/>
      <c r="E2" s="38"/>
      <c r="F2" s="39"/>
      <c r="G2" s="89" t="s">
        <v>3</v>
      </c>
      <c r="H2" s="89"/>
      <c r="I2" s="89"/>
      <c r="J2" s="89"/>
      <c r="K2" s="89"/>
      <c r="L2" s="89"/>
    </row>
    <row r="3" spans="1:12">
      <c r="A3" s="89" t="s">
        <v>4</v>
      </c>
      <c r="B3" s="89"/>
      <c r="C3" s="89"/>
      <c r="D3" s="89"/>
      <c r="E3" s="38"/>
      <c r="F3" s="39"/>
      <c r="G3" s="39"/>
      <c r="H3" s="89" t="s">
        <v>31</v>
      </c>
      <c r="I3" s="89"/>
      <c r="J3" s="89"/>
      <c r="K3" s="89"/>
      <c r="L3" s="2"/>
    </row>
    <row r="4" spans="1:12" ht="3.75" customHeight="1">
      <c r="A4" s="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7" t="s">
        <v>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16.5" thickBot="1">
      <c r="A6" s="88" t="s">
        <v>28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>
      <c r="A7" s="92" t="s">
        <v>7</v>
      </c>
      <c r="B7" s="94" t="s">
        <v>8</v>
      </c>
      <c r="C7" s="95"/>
      <c r="D7" s="95"/>
      <c r="E7" s="95"/>
      <c r="F7" s="96"/>
      <c r="G7" s="97" t="s">
        <v>9</v>
      </c>
      <c r="H7" s="95"/>
      <c r="I7" s="95"/>
      <c r="J7" s="95"/>
      <c r="K7" s="96"/>
      <c r="L7" s="98" t="s">
        <v>10</v>
      </c>
    </row>
    <row r="8" spans="1:12" ht="15.75" thickBot="1">
      <c r="A8" s="93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99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>
        <v>1</v>
      </c>
      <c r="C12" s="25"/>
      <c r="D12" s="25"/>
      <c r="E12" s="26"/>
      <c r="F12" s="20">
        <f t="shared" si="0"/>
        <v>1</v>
      </c>
      <c r="G12" s="34"/>
      <c r="H12" s="25"/>
      <c r="I12" s="25"/>
      <c r="J12" s="25"/>
      <c r="K12" s="18">
        <f t="shared" si="1"/>
        <v>0</v>
      </c>
      <c r="L12" s="8">
        <f t="shared" si="2"/>
        <v>1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>
        <v>2</v>
      </c>
      <c r="H13" s="25"/>
      <c r="I13" s="25"/>
      <c r="J13" s="25"/>
      <c r="K13" s="18">
        <f t="shared" si="1"/>
        <v>2</v>
      </c>
      <c r="L13" s="8">
        <f t="shared" si="2"/>
        <v>2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>
        <v>3</v>
      </c>
      <c r="H14" s="25"/>
      <c r="I14" s="25"/>
      <c r="J14" s="25"/>
      <c r="K14" s="18">
        <f t="shared" si="1"/>
        <v>3</v>
      </c>
      <c r="L14" s="8">
        <f t="shared" si="2"/>
        <v>3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>
        <v>4</v>
      </c>
      <c r="H15" s="25"/>
      <c r="I15" s="25"/>
      <c r="J15" s="25"/>
      <c r="K15" s="18">
        <f t="shared" si="1"/>
        <v>4</v>
      </c>
      <c r="L15" s="8">
        <f t="shared" si="2"/>
        <v>4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>
        <v>1</v>
      </c>
      <c r="C19" s="25"/>
      <c r="D19" s="25"/>
      <c r="E19" s="26"/>
      <c r="F19" s="20">
        <f t="shared" si="0"/>
        <v>1</v>
      </c>
      <c r="G19" s="33">
        <v>3</v>
      </c>
      <c r="H19" s="25"/>
      <c r="I19" s="25"/>
      <c r="J19" s="25"/>
      <c r="K19" s="18">
        <f t="shared" si="1"/>
        <v>3</v>
      </c>
      <c r="L19" s="8">
        <f t="shared" si="2"/>
        <v>4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>
        <v>1</v>
      </c>
      <c r="I20" s="36"/>
      <c r="J20" s="36"/>
      <c r="K20" s="18">
        <f t="shared" si="1"/>
        <v>1</v>
      </c>
      <c r="L20" s="8">
        <f t="shared" si="2"/>
        <v>1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>
        <v>3</v>
      </c>
      <c r="H21" s="25"/>
      <c r="I21" s="25"/>
      <c r="J21" s="25"/>
      <c r="K21" s="18">
        <f t="shared" si="1"/>
        <v>3</v>
      </c>
      <c r="L21" s="8">
        <f t="shared" si="2"/>
        <v>3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>
        <v>2</v>
      </c>
      <c r="H27" s="25"/>
      <c r="I27" s="25"/>
      <c r="J27" s="25"/>
      <c r="K27" s="18">
        <f t="shared" si="1"/>
        <v>2</v>
      </c>
      <c r="L27" s="8">
        <f t="shared" si="2"/>
        <v>2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>
        <v>2</v>
      </c>
      <c r="H29" s="25"/>
      <c r="I29" s="25"/>
      <c r="J29" s="25"/>
      <c r="K29" s="18">
        <f t="shared" si="1"/>
        <v>2</v>
      </c>
      <c r="L29" s="8">
        <f t="shared" si="2"/>
        <v>2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>
        <v>1</v>
      </c>
      <c r="H33" s="25"/>
      <c r="I33" s="25"/>
      <c r="J33" s="25"/>
      <c r="K33" s="18">
        <f t="shared" si="1"/>
        <v>1</v>
      </c>
      <c r="L33" s="8">
        <f t="shared" si="2"/>
        <v>1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1"/>
      <c r="B40" s="12">
        <f>SUM(B9:B39)</f>
        <v>2</v>
      </c>
      <c r="C40" s="12">
        <f t="shared" ref="C40:E40" si="3">SUM(C9:C39)</f>
        <v>0</v>
      </c>
      <c r="D40" s="12">
        <f t="shared" si="3"/>
        <v>0</v>
      </c>
      <c r="E40" s="12">
        <f t="shared" si="3"/>
        <v>0</v>
      </c>
      <c r="F40" s="17">
        <f>SUM(F9:F39)</f>
        <v>2</v>
      </c>
      <c r="G40" s="19">
        <f>SUM(G9:G39)</f>
        <v>20</v>
      </c>
      <c r="H40" s="19">
        <f t="shared" ref="H40:L40" si="4">SUM(H9:H39)</f>
        <v>1</v>
      </c>
      <c r="I40" s="19">
        <f t="shared" si="4"/>
        <v>0</v>
      </c>
      <c r="J40" s="19">
        <f t="shared" si="4"/>
        <v>0</v>
      </c>
      <c r="K40" s="19">
        <f t="shared" si="4"/>
        <v>21</v>
      </c>
      <c r="L40" s="19">
        <f t="shared" si="4"/>
        <v>23</v>
      </c>
    </row>
    <row r="41" spans="1:12" ht="3.75" customHeight="1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100"/>
      <c r="B42" s="100"/>
      <c r="C42" s="100"/>
      <c r="D42" s="100"/>
      <c r="E42" s="100"/>
      <c r="F42" s="100"/>
      <c r="G42" s="101" t="s">
        <v>17</v>
      </c>
      <c r="H42" s="102"/>
      <c r="I42" s="102" t="s">
        <v>18</v>
      </c>
      <c r="J42" s="103"/>
      <c r="K42" s="13"/>
      <c r="L42" s="15"/>
    </row>
    <row r="43" spans="1:12" ht="15.75" thickBot="1">
      <c r="A43" s="16"/>
      <c r="B43" s="104" t="s">
        <v>19</v>
      </c>
      <c r="C43" s="105"/>
      <c r="D43" s="105"/>
      <c r="E43" s="105"/>
      <c r="F43" s="105"/>
      <c r="G43" s="106">
        <v>25</v>
      </c>
      <c r="H43" s="107"/>
      <c r="I43" s="108"/>
      <c r="J43" s="109"/>
      <c r="K43" s="13"/>
      <c r="L43" s="15"/>
    </row>
    <row r="44" spans="1:12" ht="15.75" thickBot="1">
      <c r="A44" s="16"/>
      <c r="B44" s="104" t="s">
        <v>20</v>
      </c>
      <c r="C44" s="105"/>
      <c r="D44" s="105"/>
      <c r="E44" s="105"/>
      <c r="F44" s="105"/>
      <c r="G44" s="110">
        <v>20</v>
      </c>
      <c r="H44" s="111"/>
      <c r="I44" s="110"/>
      <c r="J44" s="111"/>
      <c r="K44" s="13"/>
      <c r="L44" s="15"/>
    </row>
    <row r="45" spans="1:12" ht="15.75" thickBot="1">
      <c r="A45" s="16"/>
      <c r="B45" s="112" t="s">
        <v>21</v>
      </c>
      <c r="C45" s="112"/>
      <c r="D45" s="112"/>
      <c r="E45" s="112"/>
      <c r="F45" s="104"/>
      <c r="G45" s="113">
        <v>0</v>
      </c>
      <c r="H45" s="114"/>
      <c r="I45" s="106"/>
      <c r="J45" s="115"/>
      <c r="K45" s="13"/>
      <c r="L45" s="15"/>
    </row>
    <row r="46" spans="1:12" ht="15.75" thickBot="1">
      <c r="A46" s="16"/>
      <c r="B46" s="104" t="s">
        <v>22</v>
      </c>
      <c r="C46" s="105"/>
      <c r="D46" s="105"/>
      <c r="E46" s="105"/>
      <c r="F46" s="105"/>
      <c r="G46" s="116">
        <f>L40+G45</f>
        <v>23</v>
      </c>
      <c r="H46" s="111"/>
      <c r="I46" s="110"/>
      <c r="J46" s="111"/>
      <c r="K46" s="13"/>
      <c r="L46" s="15"/>
    </row>
    <row r="47" spans="1:12" ht="15.75" thickBot="1">
      <c r="A47" s="5"/>
      <c r="B47" s="104" t="s">
        <v>23</v>
      </c>
      <c r="C47" s="105"/>
      <c r="D47" s="105"/>
      <c r="E47" s="105"/>
      <c r="F47" s="105"/>
      <c r="G47" s="116">
        <f>G43+G44-G46</f>
        <v>22</v>
      </c>
      <c r="H47" s="111"/>
      <c r="I47" s="110"/>
      <c r="J47" s="111"/>
      <c r="K47" s="13"/>
      <c r="L47" s="4"/>
    </row>
    <row r="48" spans="1:12" ht="15.75" thickBot="1">
      <c r="A48" s="5"/>
      <c r="B48" s="104" t="s">
        <v>24</v>
      </c>
      <c r="C48" s="105"/>
      <c r="D48" s="105"/>
      <c r="E48" s="105"/>
      <c r="F48" s="105"/>
      <c r="G48" s="110">
        <v>22</v>
      </c>
      <c r="H48" s="111"/>
      <c r="I48" s="110"/>
      <c r="J48" s="111"/>
      <c r="K48" s="13"/>
      <c r="L48" s="4"/>
    </row>
    <row r="49" spans="1:12" ht="15.75" thickBot="1">
      <c r="A49" s="5"/>
      <c r="B49" s="104" t="s">
        <v>25</v>
      </c>
      <c r="C49" s="105"/>
      <c r="D49" s="105"/>
      <c r="E49" s="105"/>
      <c r="F49" s="105"/>
      <c r="G49" s="117">
        <f>G47-G48</f>
        <v>0</v>
      </c>
      <c r="H49" s="118"/>
      <c r="I49" s="119"/>
      <c r="J49" s="118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2"/>
  <sheetViews>
    <sheetView topLeftCell="A25" workbookViewId="0">
      <selection activeCell="B9" sqref="B9"/>
    </sheetView>
  </sheetViews>
  <sheetFormatPr defaultColWidth="11.42578125" defaultRowHeight="15"/>
  <cols>
    <col min="1" max="1" width="5.28515625" customWidth="1"/>
    <col min="2" max="12" width="7.7109375" customWidth="1"/>
  </cols>
  <sheetData>
    <row r="1" spans="1:12" ht="12.95" customHeight="1">
      <c r="A1" s="87" t="s">
        <v>0</v>
      </c>
      <c r="B1" s="87"/>
      <c r="C1" s="87"/>
      <c r="D1" s="87"/>
      <c r="E1" s="38"/>
      <c r="F1" s="39"/>
      <c r="G1" s="88" t="s">
        <v>1</v>
      </c>
      <c r="H1" s="88"/>
      <c r="I1" s="88"/>
      <c r="J1" s="88"/>
      <c r="K1" s="88"/>
      <c r="L1" s="88"/>
    </row>
    <row r="2" spans="1:12" ht="12.95" customHeight="1">
      <c r="A2" s="88" t="s">
        <v>2</v>
      </c>
      <c r="B2" s="88"/>
      <c r="C2" s="88"/>
      <c r="D2" s="88"/>
      <c r="E2" s="38"/>
      <c r="F2" s="39"/>
      <c r="G2" s="89" t="s">
        <v>3</v>
      </c>
      <c r="H2" s="89"/>
      <c r="I2" s="89"/>
      <c r="J2" s="89"/>
      <c r="K2" s="89"/>
      <c r="L2" s="89"/>
    </row>
    <row r="3" spans="1:12" ht="12.95" customHeight="1">
      <c r="A3" s="89" t="s">
        <v>4</v>
      </c>
      <c r="B3" s="89"/>
      <c r="C3" s="89"/>
      <c r="D3" s="89"/>
      <c r="E3" s="38"/>
      <c r="F3" s="39"/>
      <c r="G3" s="89" t="s">
        <v>31</v>
      </c>
      <c r="H3" s="89"/>
      <c r="I3" s="89"/>
      <c r="J3" s="89"/>
      <c r="K3" s="89"/>
      <c r="L3" s="89"/>
    </row>
    <row r="4" spans="1:12" ht="12.95" customHeight="1">
      <c r="A4" s="87" t="s">
        <v>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</row>
    <row r="5" spans="1:12" ht="12.95" customHeight="1" thickBot="1">
      <c r="A5" s="135" t="s">
        <v>29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</row>
    <row r="6" spans="1:12" ht="12.95" customHeight="1">
      <c r="A6" s="136" t="s">
        <v>7</v>
      </c>
      <c r="B6" s="138" t="s">
        <v>8</v>
      </c>
      <c r="C6" s="139"/>
      <c r="D6" s="139"/>
      <c r="E6" s="139"/>
      <c r="F6" s="140"/>
      <c r="G6" s="138" t="s">
        <v>9</v>
      </c>
      <c r="H6" s="139"/>
      <c r="I6" s="139"/>
      <c r="J6" s="139"/>
      <c r="K6" s="140"/>
      <c r="L6" s="141" t="s">
        <v>10</v>
      </c>
    </row>
    <row r="7" spans="1:12" ht="12.95" customHeight="1" thickBot="1">
      <c r="A7" s="137"/>
      <c r="B7" s="41" t="s">
        <v>11</v>
      </c>
      <c r="C7" s="42" t="s">
        <v>12</v>
      </c>
      <c r="D7" s="42" t="s">
        <v>13</v>
      </c>
      <c r="E7" s="42" t="s">
        <v>14</v>
      </c>
      <c r="F7" s="43" t="s">
        <v>15</v>
      </c>
      <c r="G7" s="44" t="s">
        <v>11</v>
      </c>
      <c r="H7" s="42" t="s">
        <v>12</v>
      </c>
      <c r="I7" s="42" t="s">
        <v>13</v>
      </c>
      <c r="J7" s="42" t="s">
        <v>14</v>
      </c>
      <c r="K7" s="43" t="s">
        <v>16</v>
      </c>
      <c r="L7" s="142"/>
    </row>
    <row r="8" spans="1:12" ht="12.95" customHeight="1" thickBot="1">
      <c r="A8" s="7">
        <v>1</v>
      </c>
      <c r="B8" s="21"/>
      <c r="C8" s="22"/>
      <c r="D8" s="22"/>
      <c r="E8" s="23"/>
      <c r="F8" s="20">
        <f>SUM(B8:E8)</f>
        <v>0</v>
      </c>
      <c r="G8" s="49"/>
      <c r="H8" s="32"/>
      <c r="I8" s="32"/>
      <c r="J8" s="32"/>
      <c r="K8" s="18">
        <f>SUM(G8:J8)</f>
        <v>0</v>
      </c>
      <c r="L8" s="8">
        <f>SUM(F8+K8)</f>
        <v>0</v>
      </c>
    </row>
    <row r="9" spans="1:12" ht="12.95" customHeight="1" thickBot="1">
      <c r="A9" s="9">
        <v>2</v>
      </c>
      <c r="B9" s="24"/>
      <c r="C9" s="25"/>
      <c r="D9" s="25"/>
      <c r="E9" s="26"/>
      <c r="F9" s="20">
        <f t="shared" ref="F9:F38" si="0">SUM(B9:E9)</f>
        <v>0</v>
      </c>
      <c r="G9" s="33"/>
      <c r="H9" s="25"/>
      <c r="I9" s="25"/>
      <c r="J9" s="25"/>
      <c r="K9" s="18">
        <f t="shared" ref="K9:K38" si="1">SUM(G9:J9)</f>
        <v>0</v>
      </c>
      <c r="L9" s="8">
        <f t="shared" ref="L9:L38" si="2">SUM(F9+K9)</f>
        <v>0</v>
      </c>
    </row>
    <row r="10" spans="1:12" ht="12.95" customHeight="1" thickBot="1">
      <c r="A10" s="9">
        <v>3</v>
      </c>
      <c r="B10" s="24"/>
      <c r="C10" s="25"/>
      <c r="D10" s="25"/>
      <c r="E10" s="27"/>
      <c r="F10" s="20">
        <f t="shared" si="0"/>
        <v>0</v>
      </c>
      <c r="G10" s="33"/>
      <c r="H10" s="25"/>
      <c r="I10" s="25"/>
      <c r="J10" s="25"/>
      <c r="K10" s="18">
        <f t="shared" si="1"/>
        <v>0</v>
      </c>
      <c r="L10" s="8">
        <f t="shared" si="2"/>
        <v>0</v>
      </c>
    </row>
    <row r="11" spans="1:12" ht="12.95" customHeight="1" thickBot="1">
      <c r="A11" s="9">
        <v>4</v>
      </c>
      <c r="B11" s="24"/>
      <c r="C11" s="25"/>
      <c r="D11" s="25"/>
      <c r="E11" s="26"/>
      <c r="F11" s="20">
        <f t="shared" si="0"/>
        <v>0</v>
      </c>
      <c r="G11" s="34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2.95" customHeight="1" thickBot="1">
      <c r="A12" s="9">
        <v>5</v>
      </c>
      <c r="B12" s="24"/>
      <c r="C12" s="25"/>
      <c r="D12" s="25"/>
      <c r="E12" s="26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2.95" customHeight="1" thickBot="1">
      <c r="A13" s="9">
        <v>6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2.95" customHeight="1" thickBot="1">
      <c r="A14" s="9">
        <v>7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2.95" customHeight="1" thickBot="1">
      <c r="A15" s="9">
        <v>8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2.95" customHeight="1" thickBot="1">
      <c r="A16" s="9">
        <v>9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2.95" customHeight="1" thickBot="1">
      <c r="A17" s="9">
        <v>10</v>
      </c>
      <c r="B17" s="24"/>
      <c r="C17" s="25"/>
      <c r="D17" s="25"/>
      <c r="E17" s="26"/>
      <c r="F17" s="20">
        <f t="shared" si="0"/>
        <v>0</v>
      </c>
      <c r="G17" s="35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2.95" customHeight="1" thickBot="1">
      <c r="A18" s="9">
        <v>11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2.95" customHeight="1" thickBot="1">
      <c r="A19" s="9">
        <v>12</v>
      </c>
      <c r="B19" s="24"/>
      <c r="C19" s="25"/>
      <c r="D19" s="25"/>
      <c r="E19" s="26"/>
      <c r="F19" s="20">
        <f t="shared" si="0"/>
        <v>0</v>
      </c>
      <c r="G19" s="33"/>
      <c r="H19" s="36"/>
      <c r="I19" s="36"/>
      <c r="J19" s="36"/>
      <c r="K19" s="18">
        <f t="shared" si="1"/>
        <v>0</v>
      </c>
      <c r="L19" s="8">
        <f t="shared" si="2"/>
        <v>0</v>
      </c>
    </row>
    <row r="20" spans="1:12" ht="12.95" customHeight="1" thickBot="1">
      <c r="A20" s="9">
        <v>13</v>
      </c>
      <c r="B20" s="24"/>
      <c r="C20" s="25"/>
      <c r="D20" s="25"/>
      <c r="E20" s="26"/>
      <c r="F20" s="20">
        <f t="shared" si="0"/>
        <v>0</v>
      </c>
      <c r="G20" s="37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2.95" customHeight="1" thickBot="1">
      <c r="A21" s="9">
        <v>14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2.95" customHeight="1" thickBot="1">
      <c r="A22" s="9">
        <v>15</v>
      </c>
      <c r="B22" s="24"/>
      <c r="C22" s="25"/>
      <c r="D22" s="25"/>
      <c r="E22" s="26"/>
      <c r="F22" s="20">
        <f t="shared" si="0"/>
        <v>0</v>
      </c>
      <c r="G22" s="33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2.95" customHeight="1" thickBot="1">
      <c r="A23" s="9">
        <v>16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2.95" customHeight="1" thickBot="1">
      <c r="A24" s="9">
        <v>17</v>
      </c>
      <c r="B24" s="24"/>
      <c r="C24" s="50"/>
      <c r="D24" s="28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2.95" customHeight="1" thickBot="1">
      <c r="A25" s="9">
        <v>18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2.95" customHeight="1" thickBot="1">
      <c r="A26" s="9">
        <v>19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2.95" customHeight="1" thickBot="1">
      <c r="A27" s="9">
        <v>20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2.95" customHeight="1" thickBot="1">
      <c r="A28" s="9">
        <v>21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2.95" customHeight="1" thickBot="1">
      <c r="A29" s="9">
        <v>22</v>
      </c>
      <c r="B29" s="24">
        <v>1</v>
      </c>
      <c r="C29" s="25"/>
      <c r="D29" s="25"/>
      <c r="E29" s="26"/>
      <c r="F29" s="20">
        <f t="shared" si="0"/>
        <v>1</v>
      </c>
      <c r="G29" s="33"/>
      <c r="H29" s="25"/>
      <c r="I29" s="25"/>
      <c r="J29" s="25"/>
      <c r="K29" s="18">
        <f t="shared" si="1"/>
        <v>0</v>
      </c>
      <c r="L29" s="8">
        <f t="shared" si="2"/>
        <v>1</v>
      </c>
    </row>
    <row r="30" spans="1:12" ht="12.95" customHeight="1" thickBot="1">
      <c r="A30" s="9">
        <v>23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2.95" customHeight="1" thickBot="1">
      <c r="A31" s="9">
        <v>24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2.95" customHeight="1" thickBot="1">
      <c r="A32" s="9">
        <v>25</v>
      </c>
      <c r="B32" s="24">
        <v>1</v>
      </c>
      <c r="C32" s="25"/>
      <c r="D32" s="25"/>
      <c r="E32" s="26"/>
      <c r="F32" s="20">
        <f t="shared" si="0"/>
        <v>1</v>
      </c>
      <c r="G32" s="33"/>
      <c r="H32" s="25"/>
      <c r="I32" s="25"/>
      <c r="J32" s="25"/>
      <c r="K32" s="18">
        <f t="shared" si="1"/>
        <v>0</v>
      </c>
      <c r="L32" s="8">
        <f t="shared" si="2"/>
        <v>1</v>
      </c>
    </row>
    <row r="33" spans="1:12" ht="12.95" customHeight="1" thickBot="1">
      <c r="A33" s="9">
        <v>26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2.95" customHeight="1" thickBot="1">
      <c r="A34" s="9">
        <v>27</v>
      </c>
      <c r="B34" s="47"/>
      <c r="C34" s="25"/>
      <c r="D34" s="25"/>
      <c r="E34" s="26"/>
      <c r="F34" s="20">
        <f t="shared" si="0"/>
        <v>0</v>
      </c>
      <c r="G34" s="48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2.95" customHeight="1" thickBot="1">
      <c r="A35" s="9">
        <v>28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2.95" customHeight="1" thickBot="1">
      <c r="A36" s="9">
        <v>29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2.95" customHeight="1" thickBot="1">
      <c r="A37" s="9">
        <v>30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2.95" customHeight="1" thickBot="1">
      <c r="A38" s="10">
        <v>31</v>
      </c>
      <c r="B38" s="29"/>
      <c r="C38" s="30"/>
      <c r="D38" s="30"/>
      <c r="E38" s="31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2.95" customHeight="1" thickBot="1">
      <c r="A39" s="11"/>
      <c r="B39" s="52">
        <f>SUM(B8:B38)</f>
        <v>2</v>
      </c>
      <c r="C39" s="52">
        <f t="shared" ref="C39:E39" si="3">SUM(C8:C38)</f>
        <v>0</v>
      </c>
      <c r="D39" s="52">
        <f t="shared" si="3"/>
        <v>0</v>
      </c>
      <c r="E39" s="52">
        <f t="shared" si="3"/>
        <v>0</v>
      </c>
      <c r="F39" s="51">
        <f>SUM(F8:F38)</f>
        <v>2</v>
      </c>
      <c r="G39" s="19">
        <f>SUM(G8:G38)</f>
        <v>0</v>
      </c>
      <c r="H39" s="19">
        <f t="shared" ref="H39:L39" si="4">SUM(H8:H38)</f>
        <v>0</v>
      </c>
      <c r="I39" s="19">
        <f t="shared" si="4"/>
        <v>0</v>
      </c>
      <c r="J39" s="19">
        <f t="shared" si="4"/>
        <v>0</v>
      </c>
      <c r="K39" s="19">
        <f t="shared" si="4"/>
        <v>0</v>
      </c>
      <c r="L39" s="19">
        <f t="shared" si="4"/>
        <v>2</v>
      </c>
    </row>
    <row r="40" spans="1:12" ht="12.95" customHeight="1" thickBot="1">
      <c r="A40" s="13"/>
      <c r="B40" s="13"/>
      <c r="C40" s="14"/>
      <c r="D40" s="14"/>
      <c r="E40" s="14"/>
      <c r="F40" s="13"/>
      <c r="G40" s="13"/>
      <c r="H40" s="14"/>
      <c r="I40" s="14"/>
      <c r="J40" s="14"/>
      <c r="K40" s="13"/>
      <c r="L40" s="15"/>
    </row>
    <row r="41" spans="1:12" ht="12.95" customHeight="1" thickBot="1">
      <c r="A41" s="126"/>
      <c r="B41" s="127"/>
      <c r="C41" s="127"/>
      <c r="D41" s="127"/>
      <c r="E41" s="127"/>
      <c r="F41" s="128"/>
      <c r="G41" s="126" t="s">
        <v>17</v>
      </c>
      <c r="H41" s="129"/>
      <c r="I41" s="130" t="s">
        <v>18</v>
      </c>
      <c r="J41" s="128"/>
      <c r="K41" s="13"/>
      <c r="L41" s="15"/>
    </row>
    <row r="42" spans="1:12" ht="12.95" customHeight="1" thickBot="1">
      <c r="A42" s="16"/>
      <c r="B42" s="112" t="s">
        <v>19</v>
      </c>
      <c r="C42" s="112"/>
      <c r="D42" s="112"/>
      <c r="E42" s="112"/>
      <c r="F42" s="104"/>
      <c r="G42" s="131">
        <v>22</v>
      </c>
      <c r="H42" s="132"/>
      <c r="I42" s="133"/>
      <c r="J42" s="134"/>
      <c r="K42" s="13"/>
      <c r="L42" s="15"/>
    </row>
    <row r="43" spans="1:12" ht="12.95" customHeight="1" thickBot="1">
      <c r="A43" s="16"/>
      <c r="B43" s="112" t="s">
        <v>20</v>
      </c>
      <c r="C43" s="112"/>
      <c r="D43" s="112"/>
      <c r="E43" s="112"/>
      <c r="F43" s="104"/>
      <c r="G43" s="106">
        <v>0</v>
      </c>
      <c r="H43" s="115"/>
      <c r="I43" s="106"/>
      <c r="J43" s="115"/>
      <c r="K43" s="13"/>
      <c r="L43" s="15"/>
    </row>
    <row r="44" spans="1:12" ht="12.95" customHeight="1" thickBot="1">
      <c r="A44" s="16"/>
      <c r="B44" s="112" t="s">
        <v>21</v>
      </c>
      <c r="C44" s="112"/>
      <c r="D44" s="112"/>
      <c r="E44" s="112"/>
      <c r="F44" s="104"/>
      <c r="G44" s="113">
        <v>0</v>
      </c>
      <c r="H44" s="114"/>
      <c r="I44" s="106"/>
      <c r="J44" s="115"/>
      <c r="K44" s="13"/>
      <c r="L44" s="15"/>
    </row>
    <row r="45" spans="1:12" ht="12.95" customHeight="1" thickBot="1">
      <c r="A45" s="16"/>
      <c r="B45" s="112" t="s">
        <v>22</v>
      </c>
      <c r="C45" s="112"/>
      <c r="D45" s="112"/>
      <c r="E45" s="112"/>
      <c r="F45" s="104"/>
      <c r="G45" s="124">
        <f>L39+G44</f>
        <v>2</v>
      </c>
      <c r="H45" s="125"/>
      <c r="I45" s="106"/>
      <c r="J45" s="115"/>
      <c r="K45" s="13"/>
      <c r="L45" s="15"/>
    </row>
    <row r="46" spans="1:12" ht="12.95" customHeight="1" thickBot="1">
      <c r="A46" s="5"/>
      <c r="B46" s="112" t="s">
        <v>23</v>
      </c>
      <c r="C46" s="112"/>
      <c r="D46" s="112"/>
      <c r="E46" s="112"/>
      <c r="F46" s="104"/>
      <c r="G46" s="124">
        <f>G42+G43-G45</f>
        <v>20</v>
      </c>
      <c r="H46" s="125"/>
      <c r="I46" s="106"/>
      <c r="J46" s="115"/>
      <c r="K46" s="13"/>
      <c r="L46" s="4"/>
    </row>
    <row r="47" spans="1:12" ht="12.95" customHeight="1" thickBot="1">
      <c r="A47" s="5"/>
      <c r="B47" s="112" t="s">
        <v>24</v>
      </c>
      <c r="C47" s="112"/>
      <c r="D47" s="112"/>
      <c r="E47" s="112"/>
      <c r="F47" s="104"/>
      <c r="G47" s="106">
        <v>20</v>
      </c>
      <c r="H47" s="115"/>
      <c r="I47" s="106"/>
      <c r="J47" s="115"/>
      <c r="K47" s="13"/>
      <c r="L47" s="4"/>
    </row>
    <row r="48" spans="1:12" ht="12.95" customHeight="1" thickBot="1">
      <c r="A48" s="5"/>
      <c r="B48" s="112" t="s">
        <v>25</v>
      </c>
      <c r="C48" s="112"/>
      <c r="D48" s="112"/>
      <c r="E48" s="112"/>
      <c r="F48" s="104"/>
      <c r="G48" s="120">
        <f>G46-G47</f>
        <v>0</v>
      </c>
      <c r="H48" s="121"/>
      <c r="I48" s="122"/>
      <c r="J48" s="123"/>
      <c r="K48" s="13"/>
      <c r="L48" s="4"/>
    </row>
    <row r="49" spans="1:12" ht="12.95" customHeight="1">
      <c r="A49" s="6" t="s">
        <v>26</v>
      </c>
      <c r="B49" s="39"/>
      <c r="C49" s="45"/>
      <c r="D49" s="45"/>
      <c r="E49" s="45"/>
      <c r="F49" s="39"/>
      <c r="G49" s="39"/>
      <c r="H49" s="45"/>
      <c r="I49" s="46" t="s">
        <v>27</v>
      </c>
      <c r="J49" s="45"/>
      <c r="K49" s="39"/>
      <c r="L49" s="2"/>
    </row>
    <row r="50" spans="1:12" ht="12.95" customHeight="1"/>
    <row r="51" spans="1:12" ht="12.95" customHeight="1"/>
    <row r="52" spans="1:12" ht="12.95" customHeight="1"/>
  </sheetData>
  <mergeCells count="36">
    <mergeCell ref="A4:L4"/>
    <mergeCell ref="A1:D1"/>
    <mergeCell ref="G1:L1"/>
    <mergeCell ref="A2:D2"/>
    <mergeCell ref="G2:L2"/>
    <mergeCell ref="A3:D3"/>
    <mergeCell ref="G3:L3"/>
    <mergeCell ref="A5:L5"/>
    <mergeCell ref="A6:A7"/>
    <mergeCell ref="B6:F6"/>
    <mergeCell ref="G6:K6"/>
    <mergeCell ref="L6:L7"/>
    <mergeCell ref="A41:F41"/>
    <mergeCell ref="G41:H41"/>
    <mergeCell ref="I41:J41"/>
    <mergeCell ref="B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</mergeCells>
  <pageMargins left="0.7" right="0.7" top="0.75" bottom="0.75" header="0.3" footer="0.3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1"/>
  <sheetViews>
    <sheetView topLeftCell="A33" workbookViewId="0">
      <selection activeCell="H53" sqref="H53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7" t="s">
        <v>0</v>
      </c>
      <c r="B1" s="87"/>
      <c r="C1" s="87"/>
      <c r="D1" s="87"/>
      <c r="E1" s="38"/>
      <c r="F1" s="39"/>
      <c r="G1" s="88" t="s">
        <v>1</v>
      </c>
      <c r="H1" s="88"/>
      <c r="I1" s="88"/>
      <c r="J1" s="88"/>
      <c r="K1" s="88"/>
      <c r="L1" s="88"/>
    </row>
    <row r="2" spans="1:12" ht="15.75">
      <c r="A2" s="88" t="s">
        <v>2</v>
      </c>
      <c r="B2" s="88"/>
      <c r="C2" s="88"/>
      <c r="D2" s="88"/>
      <c r="E2" s="38"/>
      <c r="F2" s="39"/>
      <c r="G2" s="89" t="s">
        <v>3</v>
      </c>
      <c r="H2" s="89"/>
      <c r="I2" s="89"/>
      <c r="J2" s="89"/>
      <c r="K2" s="89"/>
      <c r="L2" s="89"/>
    </row>
    <row r="3" spans="1:12">
      <c r="A3" s="89" t="s">
        <v>4</v>
      </c>
      <c r="B3" s="89"/>
      <c r="C3" s="89"/>
      <c r="D3" s="89"/>
      <c r="E3" s="38"/>
      <c r="F3" s="39"/>
      <c r="G3" s="89" t="s">
        <v>32</v>
      </c>
      <c r="H3" s="89"/>
      <c r="I3" s="89"/>
      <c r="J3" s="89"/>
      <c r="K3" s="89"/>
      <c r="L3" s="89"/>
    </row>
    <row r="4" spans="1:12">
      <c r="A4" s="5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7" t="s">
        <v>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15.75">
      <c r="A6" s="88" t="s">
        <v>30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1"/>
      <c r="I7" s="91"/>
      <c r="J7" s="14"/>
      <c r="K7" s="40"/>
      <c r="L7" s="4"/>
    </row>
    <row r="8" spans="1:12">
      <c r="A8" s="92" t="s">
        <v>7</v>
      </c>
      <c r="B8" s="94" t="s">
        <v>8</v>
      </c>
      <c r="C8" s="95"/>
      <c r="D8" s="95"/>
      <c r="E8" s="95"/>
      <c r="F8" s="96"/>
      <c r="G8" s="97" t="s">
        <v>9</v>
      </c>
      <c r="H8" s="95"/>
      <c r="I8" s="95"/>
      <c r="J8" s="95"/>
      <c r="K8" s="96"/>
      <c r="L8" s="98" t="s">
        <v>10</v>
      </c>
    </row>
    <row r="9" spans="1:12" ht="15.75" thickBot="1">
      <c r="A9" s="9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9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>
        <v>1</v>
      </c>
      <c r="C13" s="25"/>
      <c r="D13" s="25"/>
      <c r="E13" s="26"/>
      <c r="F13" s="20">
        <f t="shared" si="0"/>
        <v>1</v>
      </c>
      <c r="G13" s="34"/>
      <c r="H13" s="25"/>
      <c r="I13" s="25"/>
      <c r="J13" s="25"/>
      <c r="K13" s="18">
        <f t="shared" si="1"/>
        <v>0</v>
      </c>
      <c r="L13" s="8">
        <f t="shared" si="2"/>
        <v>1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>
        <v>1</v>
      </c>
      <c r="H19" s="25"/>
      <c r="I19" s="25"/>
      <c r="J19" s="25"/>
      <c r="K19" s="18">
        <f t="shared" si="1"/>
        <v>1</v>
      </c>
      <c r="L19" s="8">
        <f t="shared" si="2"/>
        <v>1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>
        <v>2</v>
      </c>
      <c r="C24" s="25"/>
      <c r="D24" s="25"/>
      <c r="E24" s="26"/>
      <c r="F24" s="20">
        <f t="shared" si="0"/>
        <v>2</v>
      </c>
      <c r="G24" s="33">
        <v>1</v>
      </c>
      <c r="H24" s="25"/>
      <c r="I24" s="25"/>
      <c r="J24" s="25"/>
      <c r="K24" s="18">
        <f t="shared" si="1"/>
        <v>1</v>
      </c>
      <c r="L24" s="8">
        <f t="shared" si="2"/>
        <v>3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>
        <v>6</v>
      </c>
      <c r="H32" s="25"/>
      <c r="I32" s="25"/>
      <c r="J32" s="25"/>
      <c r="K32" s="18">
        <f t="shared" si="1"/>
        <v>6</v>
      </c>
      <c r="L32" s="8">
        <f t="shared" si="2"/>
        <v>6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>
        <v>1</v>
      </c>
      <c r="H40" s="25"/>
      <c r="I40" s="28">
        <v>1</v>
      </c>
      <c r="J40" s="25"/>
      <c r="K40" s="18">
        <f t="shared" si="1"/>
        <v>2</v>
      </c>
      <c r="L40" s="8">
        <f t="shared" si="2"/>
        <v>2</v>
      </c>
    </row>
    <row r="41" spans="1:12" ht="15.75" thickBot="1">
      <c r="A41" s="11"/>
      <c r="B41" s="55">
        <f>SUM(B10:B40)</f>
        <v>3</v>
      </c>
      <c r="C41" s="55">
        <f t="shared" ref="C41:E41" si="3">SUM(C10:C40)</f>
        <v>0</v>
      </c>
      <c r="D41" s="55">
        <f t="shared" si="3"/>
        <v>0</v>
      </c>
      <c r="E41" s="55">
        <f t="shared" si="3"/>
        <v>0</v>
      </c>
      <c r="F41" s="54">
        <f>SUM(F10:F40)</f>
        <v>3</v>
      </c>
      <c r="G41" s="19">
        <f>SUM(G10:G40)</f>
        <v>9</v>
      </c>
      <c r="H41" s="19">
        <f t="shared" ref="H41:L41" si="4">SUM(H10:H40)</f>
        <v>0</v>
      </c>
      <c r="I41" s="19">
        <f t="shared" si="4"/>
        <v>1</v>
      </c>
      <c r="J41" s="19">
        <f t="shared" si="4"/>
        <v>0</v>
      </c>
      <c r="K41" s="19">
        <f t="shared" si="4"/>
        <v>10</v>
      </c>
      <c r="L41" s="19">
        <f t="shared" si="4"/>
        <v>13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100"/>
      <c r="B43" s="100"/>
      <c r="C43" s="100"/>
      <c r="D43" s="100"/>
      <c r="E43" s="100"/>
      <c r="F43" s="100"/>
      <c r="G43" s="101" t="s">
        <v>17</v>
      </c>
      <c r="H43" s="102"/>
      <c r="I43" s="102" t="s">
        <v>18</v>
      </c>
      <c r="J43" s="103"/>
      <c r="K43" s="13"/>
      <c r="L43" s="15"/>
    </row>
    <row r="44" spans="1:12" ht="15.75" thickBot="1">
      <c r="A44" s="16"/>
      <c r="B44" s="104" t="s">
        <v>19</v>
      </c>
      <c r="C44" s="105"/>
      <c r="D44" s="105"/>
      <c r="E44" s="105"/>
      <c r="F44" s="105"/>
      <c r="G44" s="106">
        <v>20</v>
      </c>
      <c r="H44" s="107"/>
      <c r="I44" s="108"/>
      <c r="J44" s="109"/>
      <c r="K44" s="13"/>
      <c r="L44" s="15"/>
    </row>
    <row r="45" spans="1:12" ht="15.75" thickBot="1">
      <c r="A45" s="16"/>
      <c r="B45" s="104" t="s">
        <v>20</v>
      </c>
      <c r="C45" s="105"/>
      <c r="D45" s="105"/>
      <c r="E45" s="105"/>
      <c r="F45" s="105"/>
      <c r="G45" s="110">
        <v>0</v>
      </c>
      <c r="H45" s="111"/>
      <c r="I45" s="110"/>
      <c r="J45" s="111"/>
      <c r="K45" s="13"/>
      <c r="L45" s="15"/>
    </row>
    <row r="46" spans="1:12" ht="15.75" thickBot="1">
      <c r="A46" s="16"/>
      <c r="B46" s="112" t="s">
        <v>21</v>
      </c>
      <c r="C46" s="112"/>
      <c r="D46" s="112"/>
      <c r="E46" s="112"/>
      <c r="F46" s="104"/>
      <c r="G46" s="113">
        <v>0</v>
      </c>
      <c r="H46" s="114"/>
      <c r="I46" s="106"/>
      <c r="J46" s="115"/>
      <c r="K46" s="13"/>
      <c r="L46" s="15"/>
    </row>
    <row r="47" spans="1:12" ht="15.75" thickBot="1">
      <c r="A47" s="16"/>
      <c r="B47" s="104" t="s">
        <v>22</v>
      </c>
      <c r="C47" s="105"/>
      <c r="D47" s="105"/>
      <c r="E47" s="105"/>
      <c r="F47" s="105"/>
      <c r="G47" s="116">
        <f>L41+G46</f>
        <v>13</v>
      </c>
      <c r="H47" s="111"/>
      <c r="I47" s="110"/>
      <c r="J47" s="111"/>
      <c r="K47" s="13"/>
      <c r="L47" s="15"/>
    </row>
    <row r="48" spans="1:12" ht="15.75" thickBot="1">
      <c r="A48" s="5"/>
      <c r="B48" s="104" t="s">
        <v>23</v>
      </c>
      <c r="C48" s="105"/>
      <c r="D48" s="105"/>
      <c r="E48" s="105"/>
      <c r="F48" s="105"/>
      <c r="G48" s="116">
        <f>G44+G45-G47</f>
        <v>7</v>
      </c>
      <c r="H48" s="111"/>
      <c r="I48" s="110"/>
      <c r="J48" s="111"/>
      <c r="K48" s="13"/>
      <c r="L48" s="4"/>
    </row>
    <row r="49" spans="1:12" ht="15.75" thickBot="1">
      <c r="A49" s="5"/>
      <c r="B49" s="104" t="s">
        <v>24</v>
      </c>
      <c r="C49" s="105"/>
      <c r="D49" s="105"/>
      <c r="E49" s="105"/>
      <c r="F49" s="105"/>
      <c r="G49" s="110">
        <v>7</v>
      </c>
      <c r="H49" s="111"/>
      <c r="I49" s="110"/>
      <c r="J49" s="111"/>
      <c r="K49" s="13"/>
      <c r="L49" s="4"/>
    </row>
    <row r="50" spans="1:12" ht="15.75" thickBot="1">
      <c r="A50" s="5"/>
      <c r="B50" s="104" t="s">
        <v>25</v>
      </c>
      <c r="C50" s="105"/>
      <c r="D50" s="105"/>
      <c r="E50" s="105"/>
      <c r="F50" s="105"/>
      <c r="G50" s="117">
        <f>G48-G49</f>
        <v>0</v>
      </c>
      <c r="H50" s="118"/>
      <c r="I50" s="119"/>
      <c r="J50" s="118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5:L5"/>
    <mergeCell ref="A1:D1"/>
    <mergeCell ref="G1:L1"/>
    <mergeCell ref="A2:D2"/>
    <mergeCell ref="G2:L2"/>
    <mergeCell ref="A3:D3"/>
    <mergeCell ref="G3:L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1"/>
  <sheetViews>
    <sheetView topLeftCell="A31" workbookViewId="0">
      <selection activeCell="F20" sqref="F2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7" t="s">
        <v>0</v>
      </c>
      <c r="B1" s="87"/>
      <c r="C1" s="87"/>
      <c r="D1" s="87"/>
      <c r="E1" s="38"/>
      <c r="F1" s="39"/>
      <c r="G1" s="88" t="s">
        <v>1</v>
      </c>
      <c r="H1" s="88"/>
      <c r="I1" s="88"/>
      <c r="J1" s="88"/>
      <c r="K1" s="88"/>
      <c r="L1" s="88"/>
    </row>
    <row r="2" spans="1:12" ht="15.75">
      <c r="A2" s="88" t="s">
        <v>2</v>
      </c>
      <c r="B2" s="88"/>
      <c r="C2" s="88"/>
      <c r="D2" s="88"/>
      <c r="E2" s="38"/>
      <c r="F2" s="39"/>
      <c r="G2" s="89" t="s">
        <v>3</v>
      </c>
      <c r="H2" s="89"/>
      <c r="I2" s="89"/>
      <c r="J2" s="89"/>
      <c r="K2" s="89"/>
      <c r="L2" s="89"/>
    </row>
    <row r="3" spans="1:12">
      <c r="A3" s="89" t="s">
        <v>4</v>
      </c>
      <c r="B3" s="89"/>
      <c r="C3" s="89"/>
      <c r="D3" s="89"/>
      <c r="E3" s="38"/>
      <c r="F3" s="39"/>
      <c r="G3" s="89" t="s">
        <v>32</v>
      </c>
      <c r="H3" s="89"/>
      <c r="I3" s="89"/>
      <c r="J3" s="89"/>
      <c r="K3" s="89"/>
      <c r="L3" s="89"/>
    </row>
    <row r="4" spans="1:12">
      <c r="A4" s="58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7" t="s">
        <v>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15.75">
      <c r="A6" s="88" t="s">
        <v>33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1"/>
      <c r="I7" s="91"/>
      <c r="J7" s="14"/>
      <c r="K7" s="40"/>
      <c r="L7" s="4"/>
    </row>
    <row r="8" spans="1:12">
      <c r="A8" s="92" t="s">
        <v>7</v>
      </c>
      <c r="B8" s="94" t="s">
        <v>8</v>
      </c>
      <c r="C8" s="95"/>
      <c r="D8" s="95"/>
      <c r="E8" s="95"/>
      <c r="F8" s="96"/>
      <c r="G8" s="97" t="s">
        <v>9</v>
      </c>
      <c r="H8" s="95"/>
      <c r="I8" s="95"/>
      <c r="J8" s="95"/>
      <c r="K8" s="96"/>
      <c r="L8" s="98" t="s">
        <v>10</v>
      </c>
    </row>
    <row r="9" spans="1:12" ht="15.75" thickBot="1">
      <c r="A9" s="9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9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>
        <v>4</v>
      </c>
      <c r="H11" s="25"/>
      <c r="I11" s="25"/>
      <c r="J11" s="25"/>
      <c r="K11" s="18">
        <f t="shared" ref="K11:K40" si="1">SUM(G11:J11)</f>
        <v>4</v>
      </c>
      <c r="L11" s="8">
        <f t="shared" ref="L11:L40" si="2">SUM(F11+K11)</f>
        <v>4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>
        <v>1</v>
      </c>
      <c r="H14" s="25"/>
      <c r="I14" s="25"/>
      <c r="J14" s="25"/>
      <c r="K14" s="18">
        <f t="shared" si="1"/>
        <v>1</v>
      </c>
      <c r="L14" s="8">
        <f t="shared" si="2"/>
        <v>1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>
        <v>1</v>
      </c>
      <c r="H17" s="25"/>
      <c r="I17" s="25"/>
      <c r="J17" s="25"/>
      <c r="K17" s="18">
        <f t="shared" si="1"/>
        <v>1</v>
      </c>
      <c r="L17" s="8">
        <f t="shared" si="2"/>
        <v>1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>
        <v>5</v>
      </c>
      <c r="H35" s="25"/>
      <c r="I35" s="25"/>
      <c r="J35" s="25"/>
      <c r="K35" s="18">
        <f t="shared" si="1"/>
        <v>5</v>
      </c>
      <c r="L35" s="8">
        <f t="shared" si="2"/>
        <v>5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>
        <v>1</v>
      </c>
      <c r="H36" s="25"/>
      <c r="I36" s="25"/>
      <c r="J36" s="25"/>
      <c r="K36" s="18">
        <f t="shared" si="1"/>
        <v>1</v>
      </c>
      <c r="L36" s="8">
        <f t="shared" si="2"/>
        <v>1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59"/>
      <c r="B41" s="57">
        <f>SUM(B10:B40)</f>
        <v>0</v>
      </c>
      <c r="C41" s="57">
        <f t="shared" ref="C41:E41" si="3">SUM(C10:C40)</f>
        <v>0</v>
      </c>
      <c r="D41" s="57">
        <f t="shared" si="3"/>
        <v>0</v>
      </c>
      <c r="E41" s="57">
        <f t="shared" si="3"/>
        <v>0</v>
      </c>
      <c r="F41" s="56">
        <f>SUM(F10:F40)</f>
        <v>0</v>
      </c>
      <c r="G41" s="19">
        <f>SUM(G10:G40)</f>
        <v>12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12</v>
      </c>
      <c r="L41" s="19">
        <f t="shared" si="4"/>
        <v>12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100"/>
      <c r="B43" s="100"/>
      <c r="C43" s="100"/>
      <c r="D43" s="100"/>
      <c r="E43" s="100"/>
      <c r="F43" s="100"/>
      <c r="G43" s="101" t="s">
        <v>17</v>
      </c>
      <c r="H43" s="102"/>
      <c r="I43" s="102" t="s">
        <v>18</v>
      </c>
      <c r="J43" s="103"/>
      <c r="K43" s="13"/>
      <c r="L43" s="15"/>
    </row>
    <row r="44" spans="1:12" ht="15.75" thickBot="1">
      <c r="A44" s="16"/>
      <c r="B44" s="104" t="s">
        <v>19</v>
      </c>
      <c r="C44" s="105"/>
      <c r="D44" s="105"/>
      <c r="E44" s="105"/>
      <c r="F44" s="105"/>
      <c r="G44" s="106">
        <v>7</v>
      </c>
      <c r="H44" s="107"/>
      <c r="I44" s="108"/>
      <c r="J44" s="109"/>
      <c r="K44" s="13"/>
      <c r="L44" s="15"/>
    </row>
    <row r="45" spans="1:12" ht="15.75" thickBot="1">
      <c r="A45" s="16"/>
      <c r="B45" s="104" t="s">
        <v>20</v>
      </c>
      <c r="C45" s="105"/>
      <c r="D45" s="105"/>
      <c r="E45" s="105"/>
      <c r="F45" s="105"/>
      <c r="G45" s="110">
        <v>20</v>
      </c>
      <c r="H45" s="111"/>
      <c r="I45" s="110"/>
      <c r="J45" s="111"/>
      <c r="K45" s="13"/>
      <c r="L45" s="15"/>
    </row>
    <row r="46" spans="1:12" ht="15.75" thickBot="1">
      <c r="A46" s="16"/>
      <c r="B46" s="112" t="s">
        <v>21</v>
      </c>
      <c r="C46" s="112"/>
      <c r="D46" s="112"/>
      <c r="E46" s="112"/>
      <c r="F46" s="104"/>
      <c r="G46" s="113">
        <v>0</v>
      </c>
      <c r="H46" s="114"/>
      <c r="I46" s="106"/>
      <c r="J46" s="115"/>
      <c r="K46" s="13"/>
      <c r="L46" s="15"/>
    </row>
    <row r="47" spans="1:12" ht="15.75" thickBot="1">
      <c r="A47" s="16"/>
      <c r="B47" s="104" t="s">
        <v>22</v>
      </c>
      <c r="C47" s="105"/>
      <c r="D47" s="105"/>
      <c r="E47" s="105"/>
      <c r="F47" s="105"/>
      <c r="G47" s="116">
        <f>L41+G46</f>
        <v>12</v>
      </c>
      <c r="H47" s="111"/>
      <c r="I47" s="110"/>
      <c r="J47" s="111"/>
      <c r="K47" s="13"/>
      <c r="L47" s="15"/>
    </row>
    <row r="48" spans="1:12" ht="15.75" thickBot="1">
      <c r="A48" s="5"/>
      <c r="B48" s="104" t="s">
        <v>23</v>
      </c>
      <c r="C48" s="105"/>
      <c r="D48" s="105"/>
      <c r="E48" s="105"/>
      <c r="F48" s="105"/>
      <c r="G48" s="116">
        <f>G44+G45-G47</f>
        <v>15</v>
      </c>
      <c r="H48" s="111"/>
      <c r="I48" s="110"/>
      <c r="J48" s="111"/>
      <c r="K48" s="13"/>
      <c r="L48" s="4"/>
    </row>
    <row r="49" spans="1:12" ht="15.75" thickBot="1">
      <c r="A49" s="5"/>
      <c r="B49" s="104" t="s">
        <v>24</v>
      </c>
      <c r="C49" s="105"/>
      <c r="D49" s="105"/>
      <c r="E49" s="105"/>
      <c r="F49" s="105"/>
      <c r="G49" s="110">
        <v>15</v>
      </c>
      <c r="H49" s="111"/>
      <c r="I49" s="110"/>
      <c r="J49" s="111"/>
      <c r="K49" s="13"/>
      <c r="L49" s="4"/>
    </row>
    <row r="50" spans="1:12" ht="15.75" thickBot="1">
      <c r="A50" s="5"/>
      <c r="B50" s="104" t="s">
        <v>25</v>
      </c>
      <c r="C50" s="105"/>
      <c r="D50" s="105"/>
      <c r="E50" s="105"/>
      <c r="F50" s="105"/>
      <c r="G50" s="117">
        <f>G48-G49</f>
        <v>0</v>
      </c>
      <c r="H50" s="118"/>
      <c r="I50" s="119"/>
      <c r="J50" s="118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1"/>
  <sheetViews>
    <sheetView topLeftCell="A13" workbookViewId="0">
      <selection activeCell="F12" sqref="F12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7" t="s">
        <v>0</v>
      </c>
      <c r="B1" s="87"/>
      <c r="C1" s="87"/>
      <c r="D1" s="87"/>
      <c r="E1" s="38"/>
      <c r="F1" s="39"/>
      <c r="G1" s="88" t="s">
        <v>1</v>
      </c>
      <c r="H1" s="88"/>
      <c r="I1" s="88"/>
      <c r="J1" s="88"/>
      <c r="K1" s="88"/>
      <c r="L1" s="88"/>
    </row>
    <row r="2" spans="1:12" ht="15.75">
      <c r="A2" s="88" t="s">
        <v>2</v>
      </c>
      <c r="B2" s="88"/>
      <c r="C2" s="88"/>
      <c r="D2" s="88"/>
      <c r="E2" s="38"/>
      <c r="F2" s="39"/>
      <c r="G2" s="89" t="s">
        <v>3</v>
      </c>
      <c r="H2" s="89"/>
      <c r="I2" s="89"/>
      <c r="J2" s="89"/>
      <c r="K2" s="89"/>
      <c r="L2" s="89"/>
    </row>
    <row r="3" spans="1:12">
      <c r="A3" s="89" t="s">
        <v>4</v>
      </c>
      <c r="B3" s="89"/>
      <c r="C3" s="89"/>
      <c r="D3" s="89"/>
      <c r="E3" s="38"/>
      <c r="F3" s="39"/>
      <c r="G3" s="89" t="s">
        <v>32</v>
      </c>
      <c r="H3" s="89"/>
      <c r="I3" s="89"/>
      <c r="J3" s="89"/>
      <c r="K3" s="89"/>
      <c r="L3" s="89"/>
    </row>
    <row r="4" spans="1:12">
      <c r="A4" s="60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7" t="s">
        <v>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15.75">
      <c r="A6" s="88" t="s">
        <v>34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1"/>
      <c r="I7" s="91"/>
      <c r="J7" s="14"/>
      <c r="K7" s="40"/>
      <c r="L7" s="4"/>
    </row>
    <row r="8" spans="1:12">
      <c r="A8" s="92" t="s">
        <v>7</v>
      </c>
      <c r="B8" s="94" t="s">
        <v>8</v>
      </c>
      <c r="C8" s="95"/>
      <c r="D8" s="95"/>
      <c r="E8" s="95"/>
      <c r="F8" s="96"/>
      <c r="G8" s="97" t="s">
        <v>9</v>
      </c>
      <c r="H8" s="95"/>
      <c r="I8" s="95"/>
      <c r="J8" s="95"/>
      <c r="K8" s="96"/>
      <c r="L8" s="98" t="s">
        <v>10</v>
      </c>
    </row>
    <row r="9" spans="1:12" ht="15.75" thickBot="1">
      <c r="A9" s="9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9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>
        <v>1</v>
      </c>
      <c r="C12" s="25"/>
      <c r="D12" s="25"/>
      <c r="E12" s="27"/>
      <c r="F12" s="20">
        <f t="shared" si="0"/>
        <v>1</v>
      </c>
      <c r="G12" s="33"/>
      <c r="H12" s="25"/>
      <c r="I12" s="25"/>
      <c r="J12" s="25"/>
      <c r="K12" s="18">
        <f t="shared" si="1"/>
        <v>0</v>
      </c>
      <c r="L12" s="8">
        <f t="shared" si="2"/>
        <v>1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>
        <v>2</v>
      </c>
      <c r="H14" s="25">
        <v>1</v>
      </c>
      <c r="I14" s="25"/>
      <c r="J14" s="25"/>
      <c r="K14" s="18">
        <f t="shared" si="1"/>
        <v>3</v>
      </c>
      <c r="L14" s="8">
        <f t="shared" si="2"/>
        <v>3</v>
      </c>
    </row>
    <row r="15" spans="1:12" ht="15.75" thickBot="1">
      <c r="A15" s="9">
        <v>6</v>
      </c>
      <c r="B15" s="24">
        <v>1</v>
      </c>
      <c r="C15" s="25"/>
      <c r="D15" s="25"/>
      <c r="E15" s="26"/>
      <c r="F15" s="20">
        <f t="shared" si="0"/>
        <v>1</v>
      </c>
      <c r="G15" s="33"/>
      <c r="H15" s="25"/>
      <c r="I15" s="25"/>
      <c r="J15" s="25"/>
      <c r="K15" s="18">
        <f t="shared" si="1"/>
        <v>0</v>
      </c>
      <c r="L15" s="8">
        <f t="shared" si="2"/>
        <v>1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>
        <v>3</v>
      </c>
      <c r="H16" s="25"/>
      <c r="I16" s="25"/>
      <c r="J16" s="25"/>
      <c r="K16" s="18">
        <f t="shared" si="1"/>
        <v>3</v>
      </c>
      <c r="L16" s="8">
        <f t="shared" si="2"/>
        <v>3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>
        <v>1</v>
      </c>
      <c r="H21" s="36"/>
      <c r="I21" s="36"/>
      <c r="J21" s="36"/>
      <c r="K21" s="18">
        <f t="shared" si="1"/>
        <v>1</v>
      </c>
      <c r="L21" s="8">
        <f t="shared" si="2"/>
        <v>1</v>
      </c>
    </row>
    <row r="22" spans="1:12" ht="15.75" thickBot="1">
      <c r="A22" s="9">
        <v>13</v>
      </c>
      <c r="B22" s="24">
        <v>1</v>
      </c>
      <c r="C22" s="25"/>
      <c r="D22" s="25"/>
      <c r="E22" s="26"/>
      <c r="F22" s="20">
        <f t="shared" si="0"/>
        <v>1</v>
      </c>
      <c r="G22" s="37"/>
      <c r="H22" s="25"/>
      <c r="I22" s="25"/>
      <c r="J22" s="25"/>
      <c r="K22" s="18">
        <f t="shared" si="1"/>
        <v>0</v>
      </c>
      <c r="L22" s="8">
        <f t="shared" si="2"/>
        <v>1</v>
      </c>
    </row>
    <row r="23" spans="1:12" ht="15.75" thickBot="1">
      <c r="A23" s="9">
        <v>14</v>
      </c>
      <c r="B23" s="24">
        <v>1</v>
      </c>
      <c r="C23" s="25"/>
      <c r="D23" s="25"/>
      <c r="E23" s="26"/>
      <c r="F23" s="20">
        <f t="shared" si="0"/>
        <v>1</v>
      </c>
      <c r="G23" s="37"/>
      <c r="H23" s="25"/>
      <c r="I23" s="25"/>
      <c r="J23" s="25"/>
      <c r="K23" s="18">
        <f t="shared" si="1"/>
        <v>0</v>
      </c>
      <c r="L23" s="8">
        <f t="shared" si="2"/>
        <v>1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>
        <v>3</v>
      </c>
      <c r="H26" s="25"/>
      <c r="I26" s="25"/>
      <c r="J26" s="25"/>
      <c r="K26" s="18">
        <f t="shared" si="1"/>
        <v>3</v>
      </c>
      <c r="L26" s="8">
        <f t="shared" si="2"/>
        <v>3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>
        <v>1</v>
      </c>
      <c r="J29" s="25"/>
      <c r="K29" s="18">
        <f t="shared" si="1"/>
        <v>1</v>
      </c>
      <c r="L29" s="8">
        <f t="shared" si="2"/>
        <v>1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>
        <v>1</v>
      </c>
      <c r="H30" s="25"/>
      <c r="I30" s="25"/>
      <c r="J30" s="25"/>
      <c r="K30" s="18">
        <f t="shared" si="1"/>
        <v>1</v>
      </c>
      <c r="L30" s="8">
        <f t="shared" si="2"/>
        <v>1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>
        <v>2</v>
      </c>
      <c r="H34" s="25"/>
      <c r="I34" s="25"/>
      <c r="J34" s="25"/>
      <c r="K34" s="18">
        <f t="shared" si="1"/>
        <v>2</v>
      </c>
      <c r="L34" s="8">
        <f t="shared" si="2"/>
        <v>2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>
        <v>1</v>
      </c>
      <c r="H35" s="25"/>
      <c r="I35" s="25"/>
      <c r="J35" s="25"/>
      <c r="K35" s="18">
        <f t="shared" si="1"/>
        <v>1</v>
      </c>
      <c r="L35" s="8">
        <f t="shared" si="2"/>
        <v>1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63"/>
      <c r="B41" s="62">
        <f>SUM(B10:B40)</f>
        <v>4</v>
      </c>
      <c r="C41" s="62">
        <f t="shared" ref="C41:E41" si="3">SUM(C10:C40)</f>
        <v>0</v>
      </c>
      <c r="D41" s="62">
        <f t="shared" si="3"/>
        <v>0</v>
      </c>
      <c r="E41" s="62">
        <f t="shared" si="3"/>
        <v>0</v>
      </c>
      <c r="F41" s="61">
        <f>SUM(F10:F40)</f>
        <v>4</v>
      </c>
      <c r="G41" s="19">
        <f>SUM(G10:G40)</f>
        <v>13</v>
      </c>
      <c r="H41" s="19">
        <f t="shared" ref="H41:L41" si="4">SUM(H10:H40)</f>
        <v>1</v>
      </c>
      <c r="I41" s="19">
        <f t="shared" si="4"/>
        <v>1</v>
      </c>
      <c r="J41" s="19">
        <f t="shared" si="4"/>
        <v>0</v>
      </c>
      <c r="K41" s="19">
        <f t="shared" si="4"/>
        <v>15</v>
      </c>
      <c r="L41" s="19">
        <f t="shared" si="4"/>
        <v>19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100"/>
      <c r="B43" s="100"/>
      <c r="C43" s="100"/>
      <c r="D43" s="100"/>
      <c r="E43" s="100"/>
      <c r="F43" s="100"/>
      <c r="G43" s="101" t="s">
        <v>17</v>
      </c>
      <c r="H43" s="102"/>
      <c r="I43" s="102" t="s">
        <v>18</v>
      </c>
      <c r="J43" s="103"/>
      <c r="K43" s="13"/>
      <c r="L43" s="15"/>
    </row>
    <row r="44" spans="1:12" ht="15.75" thickBot="1">
      <c r="A44" s="16"/>
      <c r="B44" s="104" t="s">
        <v>19</v>
      </c>
      <c r="C44" s="105"/>
      <c r="D44" s="105"/>
      <c r="E44" s="105"/>
      <c r="F44" s="105"/>
      <c r="G44" s="106">
        <v>15</v>
      </c>
      <c r="H44" s="107"/>
      <c r="I44" s="108"/>
      <c r="J44" s="109"/>
      <c r="K44" s="13"/>
      <c r="L44" s="15"/>
    </row>
    <row r="45" spans="1:12" ht="15.75" thickBot="1">
      <c r="A45" s="16"/>
      <c r="B45" s="104" t="s">
        <v>20</v>
      </c>
      <c r="C45" s="105"/>
      <c r="D45" s="105"/>
      <c r="E45" s="105"/>
      <c r="F45" s="105"/>
      <c r="G45" s="110">
        <v>10</v>
      </c>
      <c r="H45" s="111"/>
      <c r="I45" s="110"/>
      <c r="J45" s="111"/>
      <c r="K45" s="13"/>
      <c r="L45" s="15"/>
    </row>
    <row r="46" spans="1:12" ht="15.75" thickBot="1">
      <c r="A46" s="16"/>
      <c r="B46" s="112" t="s">
        <v>21</v>
      </c>
      <c r="C46" s="112"/>
      <c r="D46" s="112"/>
      <c r="E46" s="112"/>
      <c r="F46" s="104"/>
      <c r="G46" s="113">
        <v>0</v>
      </c>
      <c r="H46" s="114"/>
      <c r="I46" s="106"/>
      <c r="J46" s="115"/>
      <c r="K46" s="13"/>
      <c r="L46" s="15"/>
    </row>
    <row r="47" spans="1:12" ht="15.75" thickBot="1">
      <c r="A47" s="16"/>
      <c r="B47" s="104" t="s">
        <v>22</v>
      </c>
      <c r="C47" s="105"/>
      <c r="D47" s="105"/>
      <c r="E47" s="105"/>
      <c r="F47" s="105"/>
      <c r="G47" s="116">
        <f>L41+G46</f>
        <v>19</v>
      </c>
      <c r="H47" s="111"/>
      <c r="I47" s="110"/>
      <c r="J47" s="111"/>
      <c r="K47" s="13"/>
      <c r="L47" s="15"/>
    </row>
    <row r="48" spans="1:12" ht="15.75" thickBot="1">
      <c r="A48" s="5"/>
      <c r="B48" s="104" t="s">
        <v>23</v>
      </c>
      <c r="C48" s="105"/>
      <c r="D48" s="105"/>
      <c r="E48" s="105"/>
      <c r="F48" s="105"/>
      <c r="G48" s="116">
        <f>G44+G45-G47</f>
        <v>6</v>
      </c>
      <c r="H48" s="111"/>
      <c r="I48" s="110"/>
      <c r="J48" s="111"/>
      <c r="K48" s="13"/>
      <c r="L48" s="4"/>
    </row>
    <row r="49" spans="1:12" ht="15.75" thickBot="1">
      <c r="A49" s="5"/>
      <c r="B49" s="104" t="s">
        <v>24</v>
      </c>
      <c r="C49" s="105"/>
      <c r="D49" s="105"/>
      <c r="E49" s="105"/>
      <c r="F49" s="105"/>
      <c r="G49" s="110">
        <v>6</v>
      </c>
      <c r="H49" s="111"/>
      <c r="I49" s="110"/>
      <c r="J49" s="111"/>
      <c r="K49" s="13"/>
      <c r="L49" s="4"/>
    </row>
    <row r="50" spans="1:12" ht="15.75" thickBot="1">
      <c r="A50" s="5"/>
      <c r="B50" s="104" t="s">
        <v>25</v>
      </c>
      <c r="C50" s="105"/>
      <c r="D50" s="105"/>
      <c r="E50" s="105"/>
      <c r="F50" s="105"/>
      <c r="G50" s="117">
        <f>G48-G49</f>
        <v>0</v>
      </c>
      <c r="H50" s="118"/>
      <c r="I50" s="119"/>
      <c r="J50" s="118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1"/>
  <sheetViews>
    <sheetView topLeftCell="A31" workbookViewId="0">
      <selection activeCell="H52" sqref="H52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7" t="s">
        <v>0</v>
      </c>
      <c r="B1" s="87"/>
      <c r="C1" s="87"/>
      <c r="D1" s="87"/>
      <c r="E1" s="38"/>
      <c r="F1" s="39"/>
      <c r="G1" s="88" t="s">
        <v>1</v>
      </c>
      <c r="H1" s="88"/>
      <c r="I1" s="88"/>
      <c r="J1" s="88"/>
      <c r="K1" s="88"/>
      <c r="L1" s="88"/>
    </row>
    <row r="2" spans="1:12" ht="15.75">
      <c r="A2" s="88" t="s">
        <v>2</v>
      </c>
      <c r="B2" s="88"/>
      <c r="C2" s="88"/>
      <c r="D2" s="88"/>
      <c r="E2" s="38"/>
      <c r="F2" s="39"/>
      <c r="G2" s="89" t="s">
        <v>3</v>
      </c>
      <c r="H2" s="89"/>
      <c r="I2" s="89"/>
      <c r="J2" s="89"/>
      <c r="K2" s="89"/>
      <c r="L2" s="89"/>
    </row>
    <row r="3" spans="1:12">
      <c r="A3" s="89" t="s">
        <v>4</v>
      </c>
      <c r="B3" s="89"/>
      <c r="C3" s="89"/>
      <c r="D3" s="89"/>
      <c r="E3" s="38"/>
      <c r="F3" s="39"/>
      <c r="G3" s="89" t="s">
        <v>32</v>
      </c>
      <c r="H3" s="89"/>
      <c r="I3" s="89"/>
      <c r="J3" s="89"/>
      <c r="K3" s="89"/>
      <c r="L3" s="89"/>
    </row>
    <row r="4" spans="1:12">
      <c r="A4" s="60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7" t="s">
        <v>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15.75">
      <c r="A6" s="88" t="s">
        <v>35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1"/>
      <c r="I7" s="91"/>
      <c r="J7" s="14"/>
      <c r="K7" s="40"/>
      <c r="L7" s="4"/>
    </row>
    <row r="8" spans="1:12">
      <c r="A8" s="92" t="s">
        <v>7</v>
      </c>
      <c r="B8" s="94" t="s">
        <v>8</v>
      </c>
      <c r="C8" s="95"/>
      <c r="D8" s="95"/>
      <c r="E8" s="95"/>
      <c r="F8" s="96"/>
      <c r="G8" s="97" t="s">
        <v>9</v>
      </c>
      <c r="H8" s="95"/>
      <c r="I8" s="95"/>
      <c r="J8" s="95"/>
      <c r="K8" s="96"/>
      <c r="L8" s="98" t="s">
        <v>10</v>
      </c>
    </row>
    <row r="9" spans="1:12" ht="15.75" thickBot="1">
      <c r="A9" s="9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9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>
        <v>9</v>
      </c>
      <c r="H39" s="25"/>
      <c r="I39" s="25"/>
      <c r="J39" s="25"/>
      <c r="K39" s="18">
        <f t="shared" si="1"/>
        <v>9</v>
      </c>
      <c r="L39" s="8">
        <f t="shared" si="2"/>
        <v>9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63"/>
      <c r="B41" s="62">
        <f>SUM(B10:B40)</f>
        <v>0</v>
      </c>
      <c r="C41" s="62">
        <f t="shared" ref="C41:E41" si="3">SUM(C10:C40)</f>
        <v>0</v>
      </c>
      <c r="D41" s="62">
        <f t="shared" si="3"/>
        <v>0</v>
      </c>
      <c r="E41" s="62">
        <f t="shared" si="3"/>
        <v>0</v>
      </c>
      <c r="F41" s="61">
        <f>SUM(F10:F40)</f>
        <v>0</v>
      </c>
      <c r="G41" s="19">
        <f>SUM(G10:G40)</f>
        <v>9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9</v>
      </c>
      <c r="L41" s="19">
        <f t="shared" si="4"/>
        <v>9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100"/>
      <c r="B43" s="100"/>
      <c r="C43" s="100"/>
      <c r="D43" s="100"/>
      <c r="E43" s="100"/>
      <c r="F43" s="100"/>
      <c r="G43" s="101" t="s">
        <v>17</v>
      </c>
      <c r="H43" s="102"/>
      <c r="I43" s="102" t="s">
        <v>18</v>
      </c>
      <c r="J43" s="103"/>
      <c r="K43" s="13"/>
      <c r="L43" s="15"/>
    </row>
    <row r="44" spans="1:12" ht="15.75" thickBot="1">
      <c r="A44" s="16"/>
      <c r="B44" s="104" t="s">
        <v>19</v>
      </c>
      <c r="C44" s="105"/>
      <c r="D44" s="105"/>
      <c r="E44" s="105"/>
      <c r="F44" s="105"/>
      <c r="G44" s="106">
        <v>6</v>
      </c>
      <c r="H44" s="107"/>
      <c r="I44" s="108"/>
      <c r="J44" s="109"/>
      <c r="K44" s="13"/>
      <c r="L44" s="15"/>
    </row>
    <row r="45" spans="1:12" ht="15.75" thickBot="1">
      <c r="A45" s="16"/>
      <c r="B45" s="104" t="s">
        <v>20</v>
      </c>
      <c r="C45" s="105"/>
      <c r="D45" s="105"/>
      <c r="E45" s="105"/>
      <c r="F45" s="105"/>
      <c r="G45" s="110">
        <v>20</v>
      </c>
      <c r="H45" s="111"/>
      <c r="I45" s="110"/>
      <c r="J45" s="111"/>
      <c r="K45" s="13"/>
      <c r="L45" s="15"/>
    </row>
    <row r="46" spans="1:12" ht="15.75" thickBot="1">
      <c r="A46" s="16"/>
      <c r="B46" s="112" t="s">
        <v>21</v>
      </c>
      <c r="C46" s="112"/>
      <c r="D46" s="112"/>
      <c r="E46" s="112"/>
      <c r="F46" s="104"/>
      <c r="G46" s="113">
        <v>0</v>
      </c>
      <c r="H46" s="114"/>
      <c r="I46" s="106"/>
      <c r="J46" s="115"/>
      <c r="K46" s="13"/>
      <c r="L46" s="15"/>
    </row>
    <row r="47" spans="1:12" ht="15.75" thickBot="1">
      <c r="A47" s="16"/>
      <c r="B47" s="104" t="s">
        <v>22</v>
      </c>
      <c r="C47" s="105"/>
      <c r="D47" s="105"/>
      <c r="E47" s="105"/>
      <c r="F47" s="105"/>
      <c r="G47" s="116">
        <f>L41+G46</f>
        <v>9</v>
      </c>
      <c r="H47" s="111"/>
      <c r="I47" s="110"/>
      <c r="J47" s="111"/>
      <c r="K47" s="13"/>
      <c r="L47" s="15"/>
    </row>
    <row r="48" spans="1:12" ht="15.75" thickBot="1">
      <c r="A48" s="5"/>
      <c r="B48" s="104" t="s">
        <v>23</v>
      </c>
      <c r="C48" s="105"/>
      <c r="D48" s="105"/>
      <c r="E48" s="105"/>
      <c r="F48" s="105"/>
      <c r="G48" s="116">
        <f>G44+G45-G47</f>
        <v>17</v>
      </c>
      <c r="H48" s="111"/>
      <c r="I48" s="110"/>
      <c r="J48" s="111"/>
      <c r="K48" s="13"/>
      <c r="L48" s="4"/>
    </row>
    <row r="49" spans="1:12" ht="15.75" thickBot="1">
      <c r="A49" s="5"/>
      <c r="B49" s="104" t="s">
        <v>24</v>
      </c>
      <c r="C49" s="105"/>
      <c r="D49" s="105"/>
      <c r="E49" s="105"/>
      <c r="F49" s="105"/>
      <c r="G49" s="110">
        <v>17</v>
      </c>
      <c r="H49" s="111"/>
      <c r="I49" s="110"/>
      <c r="J49" s="111"/>
      <c r="K49" s="13"/>
      <c r="L49" s="4"/>
    </row>
    <row r="50" spans="1:12" ht="15.75" thickBot="1">
      <c r="A50" s="5"/>
      <c r="B50" s="104" t="s">
        <v>25</v>
      </c>
      <c r="C50" s="105"/>
      <c r="D50" s="105"/>
      <c r="E50" s="105"/>
      <c r="F50" s="105"/>
      <c r="G50" s="117">
        <f>G48-G49</f>
        <v>0</v>
      </c>
      <c r="H50" s="118"/>
      <c r="I50" s="119"/>
      <c r="J50" s="118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23622047244094491" right="0.23622047244094491" top="0.15748031496062992" bottom="0.15748031496062992" header="0.31496062992125984" footer="0.31496062992125984"/>
  <pageSetup orientation="portrait" horizontalDpi="120" verticalDpi="7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1"/>
  <sheetViews>
    <sheetView topLeftCell="A40" workbookViewId="0">
      <selection activeCell="G52" sqref="G52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7" t="s">
        <v>0</v>
      </c>
      <c r="B1" s="87"/>
      <c r="C1" s="87"/>
      <c r="D1" s="87"/>
      <c r="E1" s="38"/>
      <c r="F1" s="39"/>
      <c r="G1" s="88" t="s">
        <v>1</v>
      </c>
      <c r="H1" s="88"/>
      <c r="I1" s="88"/>
      <c r="J1" s="88"/>
      <c r="K1" s="88"/>
      <c r="L1" s="88"/>
    </row>
    <row r="2" spans="1:12" ht="15.75">
      <c r="A2" s="88" t="s">
        <v>2</v>
      </c>
      <c r="B2" s="88"/>
      <c r="C2" s="88"/>
      <c r="D2" s="88"/>
      <c r="E2" s="38"/>
      <c r="F2" s="39"/>
      <c r="G2" s="89" t="s">
        <v>3</v>
      </c>
      <c r="H2" s="89"/>
      <c r="I2" s="89"/>
      <c r="J2" s="89"/>
      <c r="K2" s="89"/>
      <c r="L2" s="89"/>
    </row>
    <row r="3" spans="1:12">
      <c r="A3" s="89" t="s">
        <v>4</v>
      </c>
      <c r="B3" s="89"/>
      <c r="C3" s="89"/>
      <c r="D3" s="89"/>
      <c r="E3" s="38"/>
      <c r="F3" s="39"/>
      <c r="G3" s="89" t="s">
        <v>32</v>
      </c>
      <c r="H3" s="89"/>
      <c r="I3" s="89"/>
      <c r="J3" s="89"/>
      <c r="K3" s="89"/>
      <c r="L3" s="89"/>
    </row>
    <row r="4" spans="1:12">
      <c r="A4" s="6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7" t="s">
        <v>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15.75">
      <c r="A6" s="88" t="s">
        <v>36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1"/>
      <c r="I7" s="91"/>
      <c r="J7" s="14"/>
      <c r="K7" s="40"/>
      <c r="L7" s="4"/>
    </row>
    <row r="8" spans="1:12">
      <c r="A8" s="92" t="s">
        <v>7</v>
      </c>
      <c r="B8" s="94" t="s">
        <v>8</v>
      </c>
      <c r="C8" s="95"/>
      <c r="D8" s="95"/>
      <c r="E8" s="95"/>
      <c r="F8" s="96"/>
      <c r="G8" s="97" t="s">
        <v>9</v>
      </c>
      <c r="H8" s="95"/>
      <c r="I8" s="95"/>
      <c r="J8" s="95"/>
      <c r="K8" s="96"/>
      <c r="L8" s="98" t="s">
        <v>10</v>
      </c>
    </row>
    <row r="9" spans="1:12" ht="15.75" thickBot="1">
      <c r="A9" s="9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9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>
        <v>1</v>
      </c>
      <c r="H21" s="36"/>
      <c r="I21" s="36"/>
      <c r="J21" s="36"/>
      <c r="K21" s="18">
        <f t="shared" si="1"/>
        <v>1</v>
      </c>
      <c r="L21" s="8">
        <f t="shared" si="2"/>
        <v>1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>
        <v>1</v>
      </c>
      <c r="I29" s="25"/>
      <c r="J29" s="25"/>
      <c r="K29" s="18">
        <f t="shared" si="1"/>
        <v>1</v>
      </c>
      <c r="L29" s="8">
        <f t="shared" si="2"/>
        <v>1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>
        <v>1</v>
      </c>
      <c r="H31" s="25"/>
      <c r="I31" s="25"/>
      <c r="J31" s="25"/>
      <c r="K31" s="18">
        <f t="shared" si="1"/>
        <v>1</v>
      </c>
      <c r="L31" s="8">
        <f t="shared" si="2"/>
        <v>1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>
        <v>1</v>
      </c>
      <c r="I36" s="25"/>
      <c r="J36" s="25"/>
      <c r="K36" s="18">
        <f t="shared" si="1"/>
        <v>1</v>
      </c>
      <c r="L36" s="8">
        <f t="shared" si="2"/>
        <v>1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67"/>
      <c r="B41" s="65">
        <f>SUM(B10:B40)</f>
        <v>0</v>
      </c>
      <c r="C41" s="65">
        <f t="shared" ref="C41:E41" si="3">SUM(C10:C40)</f>
        <v>0</v>
      </c>
      <c r="D41" s="65">
        <f t="shared" si="3"/>
        <v>0</v>
      </c>
      <c r="E41" s="65">
        <f t="shared" si="3"/>
        <v>0</v>
      </c>
      <c r="F41" s="64">
        <f>SUM(F10:F40)</f>
        <v>0</v>
      </c>
      <c r="G41" s="19">
        <f>SUM(G10:G40)</f>
        <v>2</v>
      </c>
      <c r="H41" s="19">
        <f t="shared" ref="H41:L41" si="4">SUM(H10:H40)</f>
        <v>2</v>
      </c>
      <c r="I41" s="19">
        <f t="shared" si="4"/>
        <v>0</v>
      </c>
      <c r="J41" s="19">
        <f t="shared" si="4"/>
        <v>0</v>
      </c>
      <c r="K41" s="19">
        <f t="shared" si="4"/>
        <v>4</v>
      </c>
      <c r="L41" s="19">
        <f t="shared" si="4"/>
        <v>4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100"/>
      <c r="B43" s="100"/>
      <c r="C43" s="100"/>
      <c r="D43" s="100"/>
      <c r="E43" s="100"/>
      <c r="F43" s="100"/>
      <c r="G43" s="101" t="s">
        <v>17</v>
      </c>
      <c r="H43" s="102"/>
      <c r="I43" s="102" t="s">
        <v>18</v>
      </c>
      <c r="J43" s="103"/>
      <c r="K43" s="13"/>
      <c r="L43" s="15"/>
    </row>
    <row r="44" spans="1:12" ht="15.75" thickBot="1">
      <c r="A44" s="16"/>
      <c r="B44" s="104" t="s">
        <v>19</v>
      </c>
      <c r="C44" s="105"/>
      <c r="D44" s="105"/>
      <c r="E44" s="105"/>
      <c r="F44" s="105"/>
      <c r="G44" s="106">
        <v>17</v>
      </c>
      <c r="H44" s="107"/>
      <c r="I44" s="108"/>
      <c r="J44" s="109"/>
      <c r="K44" s="13"/>
      <c r="L44" s="15"/>
    </row>
    <row r="45" spans="1:12" ht="15.75" thickBot="1">
      <c r="A45" s="16"/>
      <c r="B45" s="104" t="s">
        <v>20</v>
      </c>
      <c r="C45" s="105"/>
      <c r="D45" s="105"/>
      <c r="E45" s="105"/>
      <c r="F45" s="105"/>
      <c r="G45" s="110">
        <v>0</v>
      </c>
      <c r="H45" s="111"/>
      <c r="I45" s="110"/>
      <c r="J45" s="111"/>
      <c r="K45" s="13"/>
      <c r="L45" s="15"/>
    </row>
    <row r="46" spans="1:12" ht="15.75" thickBot="1">
      <c r="A46" s="16"/>
      <c r="B46" s="112" t="s">
        <v>21</v>
      </c>
      <c r="C46" s="112"/>
      <c r="D46" s="112"/>
      <c r="E46" s="112"/>
      <c r="F46" s="104"/>
      <c r="G46" s="113">
        <v>0</v>
      </c>
      <c r="H46" s="114"/>
      <c r="I46" s="106"/>
      <c r="J46" s="115"/>
      <c r="K46" s="13"/>
      <c r="L46" s="15"/>
    </row>
    <row r="47" spans="1:12" ht="15.75" thickBot="1">
      <c r="A47" s="16"/>
      <c r="B47" s="104" t="s">
        <v>22</v>
      </c>
      <c r="C47" s="105"/>
      <c r="D47" s="105"/>
      <c r="E47" s="105"/>
      <c r="F47" s="105"/>
      <c r="G47" s="116">
        <f>L41+G46</f>
        <v>4</v>
      </c>
      <c r="H47" s="111"/>
      <c r="I47" s="110"/>
      <c r="J47" s="111"/>
      <c r="K47" s="13"/>
      <c r="L47" s="15"/>
    </row>
    <row r="48" spans="1:12" ht="15.75" thickBot="1">
      <c r="A48" s="5"/>
      <c r="B48" s="104" t="s">
        <v>23</v>
      </c>
      <c r="C48" s="105"/>
      <c r="D48" s="105"/>
      <c r="E48" s="105"/>
      <c r="F48" s="105"/>
      <c r="G48" s="116">
        <f>G44+G45-G47</f>
        <v>13</v>
      </c>
      <c r="H48" s="111"/>
      <c r="I48" s="110"/>
      <c r="J48" s="111"/>
      <c r="K48" s="13"/>
      <c r="L48" s="4"/>
    </row>
    <row r="49" spans="1:12" ht="15.75" thickBot="1">
      <c r="A49" s="5"/>
      <c r="B49" s="104" t="s">
        <v>24</v>
      </c>
      <c r="C49" s="105"/>
      <c r="D49" s="105"/>
      <c r="E49" s="105"/>
      <c r="F49" s="105"/>
      <c r="G49" s="110">
        <v>13</v>
      </c>
      <c r="H49" s="111"/>
      <c r="I49" s="110"/>
      <c r="J49" s="111"/>
      <c r="K49" s="13"/>
      <c r="L49" s="4"/>
    </row>
    <row r="50" spans="1:12" ht="15.75" thickBot="1">
      <c r="A50" s="5"/>
      <c r="B50" s="104" t="s">
        <v>25</v>
      </c>
      <c r="C50" s="105"/>
      <c r="D50" s="105"/>
      <c r="E50" s="105"/>
      <c r="F50" s="105"/>
      <c r="G50" s="117">
        <f>G48-G49</f>
        <v>0</v>
      </c>
      <c r="H50" s="118"/>
      <c r="I50" s="119"/>
      <c r="J50" s="118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sheetProtection sheet="1" objects="1" scenarios="1"/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.23622047244094491" right="0.23622047244094491" top="0" bottom="0" header="0.31496062992125984" footer="0.31496062992125984"/>
  <pageSetup orientation="portrait" horizontalDpi="120" verticalDpi="7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0"/>
  <sheetViews>
    <sheetView topLeftCell="A34" workbookViewId="0">
      <selection activeCell="G11" sqref="G11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7" t="s">
        <v>0</v>
      </c>
      <c r="B1" s="87"/>
      <c r="C1" s="87"/>
      <c r="D1" s="87"/>
      <c r="E1" s="38"/>
      <c r="F1" s="39"/>
      <c r="G1" s="88" t="s">
        <v>1</v>
      </c>
      <c r="H1" s="88"/>
      <c r="I1" s="88"/>
      <c r="J1" s="88"/>
      <c r="K1" s="88"/>
      <c r="L1" s="88"/>
    </row>
    <row r="2" spans="1:12" ht="15.75">
      <c r="A2" s="88" t="s">
        <v>2</v>
      </c>
      <c r="B2" s="88"/>
      <c r="C2" s="88"/>
      <c r="D2" s="88"/>
      <c r="E2" s="38"/>
      <c r="F2" s="39"/>
      <c r="G2" s="89" t="s">
        <v>3</v>
      </c>
      <c r="H2" s="89"/>
      <c r="I2" s="89"/>
      <c r="J2" s="89"/>
      <c r="K2" s="89"/>
      <c r="L2" s="89"/>
    </row>
    <row r="3" spans="1:12">
      <c r="A3" s="89" t="s">
        <v>4</v>
      </c>
      <c r="B3" s="89"/>
      <c r="C3" s="89"/>
      <c r="D3" s="89"/>
      <c r="E3" s="38"/>
      <c r="F3" s="39"/>
      <c r="G3" s="89" t="s">
        <v>32</v>
      </c>
      <c r="H3" s="89"/>
      <c r="I3" s="89"/>
      <c r="J3" s="89"/>
      <c r="K3" s="89"/>
      <c r="L3" s="89"/>
    </row>
    <row r="4" spans="1:12" ht="18">
      <c r="A4" s="87" t="s">
        <v>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</row>
    <row r="5" spans="1:12" ht="15.75">
      <c r="A5" s="88" t="s">
        <v>37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ht="3" customHeight="1" thickBot="1">
      <c r="A6" s="3" t="s">
        <v>6</v>
      </c>
      <c r="B6" s="13"/>
      <c r="C6" s="14"/>
      <c r="D6" s="14"/>
      <c r="E6" s="14"/>
      <c r="F6" s="13"/>
      <c r="G6" s="13"/>
      <c r="H6" s="91"/>
      <c r="I6" s="91"/>
      <c r="J6" s="14"/>
      <c r="K6" s="40"/>
      <c r="L6" s="4"/>
    </row>
    <row r="7" spans="1:12">
      <c r="A7" s="92" t="s">
        <v>7</v>
      </c>
      <c r="B7" s="94" t="s">
        <v>8</v>
      </c>
      <c r="C7" s="95"/>
      <c r="D7" s="95"/>
      <c r="E7" s="95"/>
      <c r="F7" s="96"/>
      <c r="G7" s="97" t="s">
        <v>9</v>
      </c>
      <c r="H7" s="95"/>
      <c r="I7" s="95"/>
      <c r="J7" s="95"/>
      <c r="K7" s="96"/>
      <c r="L7" s="98" t="s">
        <v>10</v>
      </c>
    </row>
    <row r="8" spans="1:12" ht="15.75" thickBot="1">
      <c r="A8" s="93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99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>
        <v>1</v>
      </c>
      <c r="H28" s="25"/>
      <c r="I28" s="25"/>
      <c r="J28" s="25"/>
      <c r="K28" s="18">
        <f t="shared" si="1"/>
        <v>1</v>
      </c>
      <c r="L28" s="8">
        <f t="shared" si="2"/>
        <v>1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7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9">
        <f>SUM(G9:G39)</f>
        <v>1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1</v>
      </c>
      <c r="L40" s="19">
        <f t="shared" si="4"/>
        <v>1</v>
      </c>
    </row>
    <row r="41" spans="1:12" ht="15.75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100"/>
      <c r="B42" s="100"/>
      <c r="C42" s="100"/>
      <c r="D42" s="100"/>
      <c r="E42" s="100"/>
      <c r="F42" s="100"/>
      <c r="G42" s="101" t="s">
        <v>17</v>
      </c>
      <c r="H42" s="102"/>
      <c r="I42" s="102" t="s">
        <v>18</v>
      </c>
      <c r="J42" s="103"/>
      <c r="K42" s="13"/>
      <c r="L42" s="15"/>
    </row>
    <row r="43" spans="1:12" ht="15.75" thickBot="1">
      <c r="A43" s="16"/>
      <c r="B43" s="104" t="s">
        <v>19</v>
      </c>
      <c r="C43" s="105"/>
      <c r="D43" s="105"/>
      <c r="E43" s="105"/>
      <c r="F43" s="105"/>
      <c r="G43" s="106">
        <v>13</v>
      </c>
      <c r="H43" s="107"/>
      <c r="I43" s="108"/>
      <c r="J43" s="109"/>
      <c r="K43" s="13"/>
      <c r="L43" s="15"/>
    </row>
    <row r="44" spans="1:12" ht="15.75" thickBot="1">
      <c r="A44" s="16"/>
      <c r="B44" s="104" t="s">
        <v>20</v>
      </c>
      <c r="C44" s="105"/>
      <c r="D44" s="105"/>
      <c r="E44" s="105"/>
      <c r="F44" s="105"/>
      <c r="G44" s="110">
        <v>0</v>
      </c>
      <c r="H44" s="111"/>
      <c r="I44" s="110"/>
      <c r="J44" s="111"/>
      <c r="K44" s="13"/>
      <c r="L44" s="15"/>
    </row>
    <row r="45" spans="1:12" ht="15.75" thickBot="1">
      <c r="A45" s="16"/>
      <c r="B45" s="112" t="s">
        <v>21</v>
      </c>
      <c r="C45" s="112"/>
      <c r="D45" s="112"/>
      <c r="E45" s="112"/>
      <c r="F45" s="104"/>
      <c r="G45" s="113">
        <v>0</v>
      </c>
      <c r="H45" s="114"/>
      <c r="I45" s="106"/>
      <c r="J45" s="115"/>
      <c r="K45" s="13"/>
      <c r="L45" s="15"/>
    </row>
    <row r="46" spans="1:12" ht="15.75" thickBot="1">
      <c r="A46" s="16"/>
      <c r="B46" s="104" t="s">
        <v>22</v>
      </c>
      <c r="C46" s="105"/>
      <c r="D46" s="105"/>
      <c r="E46" s="105"/>
      <c r="F46" s="105"/>
      <c r="G46" s="116">
        <f>L40+G45</f>
        <v>1</v>
      </c>
      <c r="H46" s="111"/>
      <c r="I46" s="110"/>
      <c r="J46" s="111"/>
      <c r="K46" s="13"/>
      <c r="L46" s="15"/>
    </row>
    <row r="47" spans="1:12" ht="15.75" thickBot="1">
      <c r="A47" s="5"/>
      <c r="B47" s="104" t="s">
        <v>23</v>
      </c>
      <c r="C47" s="105"/>
      <c r="D47" s="105"/>
      <c r="E47" s="105"/>
      <c r="F47" s="105"/>
      <c r="G47" s="116">
        <f>G43+G44-G46</f>
        <v>12</v>
      </c>
      <c r="H47" s="111"/>
      <c r="I47" s="110"/>
      <c r="J47" s="111"/>
      <c r="K47" s="13"/>
      <c r="L47" s="4"/>
    </row>
    <row r="48" spans="1:12" ht="15.75" thickBot="1">
      <c r="A48" s="5"/>
      <c r="B48" s="104" t="s">
        <v>24</v>
      </c>
      <c r="C48" s="105"/>
      <c r="D48" s="105"/>
      <c r="E48" s="105"/>
      <c r="F48" s="105"/>
      <c r="G48" s="110">
        <v>12</v>
      </c>
      <c r="H48" s="111"/>
      <c r="I48" s="110"/>
      <c r="J48" s="111"/>
      <c r="K48" s="13"/>
      <c r="L48" s="4"/>
    </row>
    <row r="49" spans="1:12" ht="15.75" thickBot="1">
      <c r="A49" s="5"/>
      <c r="B49" s="104" t="s">
        <v>25</v>
      </c>
      <c r="C49" s="105"/>
      <c r="D49" s="105"/>
      <c r="E49" s="105"/>
      <c r="F49" s="105"/>
      <c r="G49" s="117">
        <f>G47-G48</f>
        <v>0</v>
      </c>
      <c r="H49" s="118"/>
      <c r="I49" s="119"/>
      <c r="J49" s="118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1"/>
  <sheetViews>
    <sheetView topLeftCell="A28" workbookViewId="0">
      <selection activeCell="L51" sqref="A1:L51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7" t="s">
        <v>0</v>
      </c>
      <c r="B1" s="87"/>
      <c r="C1" s="87"/>
      <c r="D1" s="87"/>
      <c r="E1" s="38"/>
      <c r="F1" s="39"/>
      <c r="G1" s="88" t="s">
        <v>1</v>
      </c>
      <c r="H1" s="88"/>
      <c r="I1" s="88"/>
      <c r="J1" s="88"/>
      <c r="K1" s="88"/>
      <c r="L1" s="88"/>
    </row>
    <row r="2" spans="1:12" ht="15.75">
      <c r="A2" s="88" t="s">
        <v>2</v>
      </c>
      <c r="B2" s="88"/>
      <c r="C2" s="88"/>
      <c r="D2" s="88"/>
      <c r="E2" s="38"/>
      <c r="F2" s="39"/>
      <c r="G2" s="89" t="s">
        <v>3</v>
      </c>
      <c r="H2" s="89"/>
      <c r="I2" s="89"/>
      <c r="J2" s="89"/>
      <c r="K2" s="89"/>
      <c r="L2" s="89"/>
    </row>
    <row r="3" spans="1:12">
      <c r="A3" s="89" t="s">
        <v>4</v>
      </c>
      <c r="B3" s="89"/>
      <c r="C3" s="89"/>
      <c r="D3" s="89"/>
      <c r="E3" s="38"/>
      <c r="F3" s="39"/>
      <c r="G3" s="89" t="s">
        <v>32</v>
      </c>
      <c r="H3" s="89"/>
      <c r="I3" s="89"/>
      <c r="J3" s="89"/>
      <c r="K3" s="89"/>
      <c r="L3" s="89"/>
    </row>
    <row r="4" spans="1:12">
      <c r="A4" s="7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7" t="s">
        <v>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15.75">
      <c r="A6" s="88" t="s">
        <v>38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3" customHeight="1" thickBot="1">
      <c r="A7" s="3" t="s">
        <v>6</v>
      </c>
      <c r="B7" s="13"/>
      <c r="C7" s="14"/>
      <c r="D7" s="14"/>
      <c r="E7" s="14"/>
      <c r="F7" s="13"/>
      <c r="G7" s="13"/>
      <c r="H7" s="91"/>
      <c r="I7" s="91"/>
      <c r="J7" s="14"/>
      <c r="K7" s="40"/>
      <c r="L7" s="4"/>
    </row>
    <row r="8" spans="1:12">
      <c r="A8" s="92" t="s">
        <v>7</v>
      </c>
      <c r="B8" s="94" t="s">
        <v>8</v>
      </c>
      <c r="C8" s="95"/>
      <c r="D8" s="95"/>
      <c r="E8" s="95"/>
      <c r="F8" s="96"/>
      <c r="G8" s="97" t="s">
        <v>9</v>
      </c>
      <c r="H8" s="95"/>
      <c r="I8" s="95"/>
      <c r="J8" s="95"/>
      <c r="K8" s="96"/>
      <c r="L8" s="98" t="s">
        <v>10</v>
      </c>
    </row>
    <row r="9" spans="1:12" ht="15.75" thickBot="1">
      <c r="A9" s="9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9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>
        <v>2</v>
      </c>
      <c r="H16" s="25"/>
      <c r="I16" s="25"/>
      <c r="J16" s="25"/>
      <c r="K16" s="18">
        <f t="shared" si="1"/>
        <v>2</v>
      </c>
      <c r="L16" s="8">
        <f t="shared" si="2"/>
        <v>2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>
        <v>1</v>
      </c>
      <c r="C18" s="25"/>
      <c r="D18" s="25"/>
      <c r="E18" s="26"/>
      <c r="F18" s="20">
        <f t="shared" si="0"/>
        <v>1</v>
      </c>
      <c r="G18" s="33"/>
      <c r="H18" s="25"/>
      <c r="I18" s="25"/>
      <c r="J18" s="25"/>
      <c r="K18" s="18">
        <f t="shared" si="1"/>
        <v>0</v>
      </c>
      <c r="L18" s="8">
        <f t="shared" si="2"/>
        <v>1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>
        <v>4</v>
      </c>
      <c r="H23" s="25"/>
      <c r="I23" s="25"/>
      <c r="J23" s="25"/>
      <c r="K23" s="18">
        <f t="shared" si="1"/>
        <v>4</v>
      </c>
      <c r="L23" s="8">
        <f t="shared" si="2"/>
        <v>4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>
        <v>1</v>
      </c>
      <c r="C32" s="25"/>
      <c r="D32" s="25"/>
      <c r="E32" s="26"/>
      <c r="F32" s="20">
        <f t="shared" si="0"/>
        <v>1</v>
      </c>
      <c r="G32" s="33"/>
      <c r="H32" s="25"/>
      <c r="I32" s="25">
        <v>1</v>
      </c>
      <c r="J32" s="25"/>
      <c r="K32" s="18">
        <f t="shared" si="1"/>
        <v>1</v>
      </c>
      <c r="L32" s="8">
        <f t="shared" si="2"/>
        <v>2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>
        <v>3</v>
      </c>
      <c r="H36" s="25">
        <v>1</v>
      </c>
      <c r="I36" s="25"/>
      <c r="J36" s="25"/>
      <c r="K36" s="18">
        <f t="shared" si="1"/>
        <v>4</v>
      </c>
      <c r="L36" s="8">
        <f t="shared" si="2"/>
        <v>4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>
        <v>2</v>
      </c>
      <c r="H37" s="25"/>
      <c r="I37" s="25"/>
      <c r="J37" s="25"/>
      <c r="K37" s="18">
        <f t="shared" si="1"/>
        <v>2</v>
      </c>
      <c r="L37" s="8">
        <f t="shared" si="2"/>
        <v>2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>
        <v>2</v>
      </c>
      <c r="H38" s="25"/>
      <c r="I38" s="25"/>
      <c r="J38" s="25"/>
      <c r="K38" s="18">
        <f t="shared" si="1"/>
        <v>2</v>
      </c>
      <c r="L38" s="8">
        <f t="shared" si="2"/>
        <v>2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74"/>
      <c r="B41" s="73">
        <f>SUM(B10:B40)</f>
        <v>2</v>
      </c>
      <c r="C41" s="73">
        <f t="shared" ref="C41:E41" si="3">SUM(C10:C40)</f>
        <v>0</v>
      </c>
      <c r="D41" s="73">
        <f t="shared" si="3"/>
        <v>0</v>
      </c>
      <c r="E41" s="73">
        <f t="shared" si="3"/>
        <v>0</v>
      </c>
      <c r="F41" s="72">
        <f>SUM(F10:F40)</f>
        <v>2</v>
      </c>
      <c r="G41" s="19">
        <f>SUM(G10:G40)</f>
        <v>13</v>
      </c>
      <c r="H41" s="19">
        <f t="shared" ref="H41:L41" si="4">SUM(H10:H40)</f>
        <v>1</v>
      </c>
      <c r="I41" s="19">
        <f t="shared" si="4"/>
        <v>1</v>
      </c>
      <c r="J41" s="19">
        <f t="shared" si="4"/>
        <v>0</v>
      </c>
      <c r="K41" s="19">
        <f t="shared" si="4"/>
        <v>15</v>
      </c>
      <c r="L41" s="19">
        <f t="shared" si="4"/>
        <v>17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100"/>
      <c r="B43" s="100"/>
      <c r="C43" s="100"/>
      <c r="D43" s="100"/>
      <c r="E43" s="100"/>
      <c r="F43" s="100"/>
      <c r="G43" s="101" t="s">
        <v>17</v>
      </c>
      <c r="H43" s="102"/>
      <c r="I43" s="102" t="s">
        <v>18</v>
      </c>
      <c r="J43" s="103"/>
      <c r="K43" s="13"/>
      <c r="L43" s="15"/>
    </row>
    <row r="44" spans="1:12" ht="15.75" thickBot="1">
      <c r="A44" s="16"/>
      <c r="B44" s="104" t="s">
        <v>19</v>
      </c>
      <c r="C44" s="105"/>
      <c r="D44" s="105"/>
      <c r="E44" s="105"/>
      <c r="F44" s="105"/>
      <c r="G44" s="106">
        <v>12</v>
      </c>
      <c r="H44" s="107"/>
      <c r="I44" s="108"/>
      <c r="J44" s="109"/>
      <c r="K44" s="13"/>
      <c r="L44" s="15"/>
    </row>
    <row r="45" spans="1:12" ht="15.75" thickBot="1">
      <c r="A45" s="16"/>
      <c r="B45" s="104" t="s">
        <v>20</v>
      </c>
      <c r="C45" s="105"/>
      <c r="D45" s="105"/>
      <c r="E45" s="105"/>
      <c r="F45" s="105"/>
      <c r="G45" s="110">
        <v>20</v>
      </c>
      <c r="H45" s="111"/>
      <c r="I45" s="110"/>
      <c r="J45" s="111"/>
      <c r="K45" s="13"/>
      <c r="L45" s="15"/>
    </row>
    <row r="46" spans="1:12" ht="15.75" thickBot="1">
      <c r="A46" s="16"/>
      <c r="B46" s="112" t="s">
        <v>21</v>
      </c>
      <c r="C46" s="112"/>
      <c r="D46" s="112"/>
      <c r="E46" s="112"/>
      <c r="F46" s="104"/>
      <c r="G46" s="113">
        <v>0</v>
      </c>
      <c r="H46" s="114"/>
      <c r="I46" s="106"/>
      <c r="J46" s="115"/>
      <c r="K46" s="13"/>
      <c r="L46" s="15"/>
    </row>
    <row r="47" spans="1:12" ht="15.75" thickBot="1">
      <c r="A47" s="16"/>
      <c r="B47" s="104" t="s">
        <v>22</v>
      </c>
      <c r="C47" s="105"/>
      <c r="D47" s="105"/>
      <c r="E47" s="105"/>
      <c r="F47" s="105"/>
      <c r="G47" s="116">
        <f>L41+G46</f>
        <v>17</v>
      </c>
      <c r="H47" s="111"/>
      <c r="I47" s="110"/>
      <c r="J47" s="111"/>
      <c r="K47" s="13"/>
      <c r="L47" s="15"/>
    </row>
    <row r="48" spans="1:12" ht="15.75" thickBot="1">
      <c r="A48" s="5"/>
      <c r="B48" s="104" t="s">
        <v>23</v>
      </c>
      <c r="C48" s="105"/>
      <c r="D48" s="105"/>
      <c r="E48" s="105"/>
      <c r="F48" s="105"/>
      <c r="G48" s="116">
        <f>G44+G45-G47</f>
        <v>15</v>
      </c>
      <c r="H48" s="111"/>
      <c r="I48" s="110"/>
      <c r="J48" s="111"/>
      <c r="K48" s="13"/>
      <c r="L48" s="4"/>
    </row>
    <row r="49" spans="1:12" ht="15.75" thickBot="1">
      <c r="A49" s="5"/>
      <c r="B49" s="104" t="s">
        <v>24</v>
      </c>
      <c r="C49" s="105"/>
      <c r="D49" s="105"/>
      <c r="E49" s="105"/>
      <c r="F49" s="105"/>
      <c r="G49" s="110">
        <v>15</v>
      </c>
      <c r="H49" s="111"/>
      <c r="I49" s="110"/>
      <c r="J49" s="111"/>
      <c r="K49" s="13"/>
      <c r="L49" s="4"/>
    </row>
    <row r="50" spans="1:12" ht="15.75" thickBot="1">
      <c r="A50" s="5"/>
      <c r="B50" s="104" t="s">
        <v>25</v>
      </c>
      <c r="C50" s="105"/>
      <c r="D50" s="105"/>
      <c r="E50" s="105"/>
      <c r="F50" s="105"/>
      <c r="G50" s="117">
        <f>G48-G49</f>
        <v>0</v>
      </c>
      <c r="H50" s="118"/>
      <c r="I50" s="119"/>
      <c r="J50" s="118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1"/>
  <sheetViews>
    <sheetView topLeftCell="A34" workbookViewId="0">
      <selection activeCell="L51" sqref="A1:L51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7" t="s">
        <v>0</v>
      </c>
      <c r="B1" s="87"/>
      <c r="C1" s="87"/>
      <c r="D1" s="87"/>
      <c r="E1" s="38"/>
      <c r="F1" s="39"/>
      <c r="G1" s="88" t="s">
        <v>1</v>
      </c>
      <c r="H1" s="88"/>
      <c r="I1" s="88"/>
      <c r="J1" s="88"/>
      <c r="K1" s="88"/>
      <c r="L1" s="88"/>
    </row>
    <row r="2" spans="1:12" ht="15.75">
      <c r="A2" s="88" t="s">
        <v>2</v>
      </c>
      <c r="B2" s="88"/>
      <c r="C2" s="88"/>
      <c r="D2" s="88"/>
      <c r="E2" s="38"/>
      <c r="F2" s="39"/>
      <c r="G2" s="89" t="s">
        <v>3</v>
      </c>
      <c r="H2" s="89"/>
      <c r="I2" s="89"/>
      <c r="J2" s="89"/>
      <c r="K2" s="89"/>
      <c r="L2" s="89"/>
    </row>
    <row r="3" spans="1:12">
      <c r="A3" s="89" t="s">
        <v>4</v>
      </c>
      <c r="B3" s="89"/>
      <c r="C3" s="89"/>
      <c r="D3" s="89"/>
      <c r="E3" s="38"/>
      <c r="F3" s="39"/>
      <c r="G3" s="89" t="s">
        <v>32</v>
      </c>
      <c r="H3" s="89"/>
      <c r="I3" s="89"/>
      <c r="J3" s="89"/>
      <c r="K3" s="89"/>
      <c r="L3" s="89"/>
    </row>
    <row r="4" spans="1:12">
      <c r="A4" s="75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7" t="s">
        <v>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15.75">
      <c r="A6" s="88" t="s">
        <v>39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1"/>
      <c r="I7" s="91"/>
      <c r="J7" s="14"/>
      <c r="K7" s="40"/>
      <c r="L7" s="4"/>
    </row>
    <row r="8" spans="1:12">
      <c r="A8" s="92" t="s">
        <v>7</v>
      </c>
      <c r="B8" s="94" t="s">
        <v>8</v>
      </c>
      <c r="C8" s="95"/>
      <c r="D8" s="95"/>
      <c r="E8" s="95"/>
      <c r="F8" s="96"/>
      <c r="G8" s="97" t="s">
        <v>9</v>
      </c>
      <c r="H8" s="95"/>
      <c r="I8" s="95"/>
      <c r="J8" s="95"/>
      <c r="K8" s="96"/>
      <c r="L8" s="98" t="s">
        <v>10</v>
      </c>
    </row>
    <row r="9" spans="1:12" ht="15.75" thickBot="1">
      <c r="A9" s="9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9"/>
    </row>
    <row r="10" spans="1:12" ht="15.75" thickBot="1">
      <c r="A10" s="7">
        <v>1</v>
      </c>
      <c r="B10" s="21">
        <v>1</v>
      </c>
      <c r="C10" s="22"/>
      <c r="D10" s="22"/>
      <c r="E10" s="23"/>
      <c r="F10" s="20">
        <f>SUM(B10:E10)</f>
        <v>1</v>
      </c>
      <c r="G10" s="49"/>
      <c r="H10" s="32"/>
      <c r="I10" s="32"/>
      <c r="J10" s="32"/>
      <c r="K10" s="18">
        <f>SUM(G10:J10)</f>
        <v>0</v>
      </c>
      <c r="L10" s="8">
        <f>SUM(F10+K10)</f>
        <v>1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78"/>
      <c r="B41" s="77">
        <f>SUM(B10:B40)</f>
        <v>1</v>
      </c>
      <c r="C41" s="77">
        <f t="shared" ref="C41:E41" si="3">SUM(C10:C40)</f>
        <v>0</v>
      </c>
      <c r="D41" s="77">
        <f t="shared" si="3"/>
        <v>0</v>
      </c>
      <c r="E41" s="77">
        <f t="shared" si="3"/>
        <v>0</v>
      </c>
      <c r="F41" s="76">
        <f>SUM(F10:F40)</f>
        <v>1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1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100"/>
      <c r="B43" s="100"/>
      <c r="C43" s="100"/>
      <c r="D43" s="100"/>
      <c r="E43" s="100"/>
      <c r="F43" s="100"/>
      <c r="G43" s="101" t="s">
        <v>17</v>
      </c>
      <c r="H43" s="102"/>
      <c r="I43" s="102" t="s">
        <v>18</v>
      </c>
      <c r="J43" s="103"/>
      <c r="K43" s="13"/>
      <c r="L43" s="15"/>
    </row>
    <row r="44" spans="1:12" ht="15.75" thickBot="1">
      <c r="A44" s="16"/>
      <c r="B44" s="104" t="s">
        <v>19</v>
      </c>
      <c r="C44" s="105"/>
      <c r="D44" s="105"/>
      <c r="E44" s="105"/>
      <c r="F44" s="105"/>
      <c r="G44" s="106">
        <v>15</v>
      </c>
      <c r="H44" s="107"/>
      <c r="I44" s="108"/>
      <c r="J44" s="109"/>
      <c r="K44" s="13"/>
      <c r="L44" s="15"/>
    </row>
    <row r="45" spans="1:12" ht="15.75" thickBot="1">
      <c r="A45" s="16"/>
      <c r="B45" s="104" t="s">
        <v>20</v>
      </c>
      <c r="C45" s="105"/>
      <c r="D45" s="105"/>
      <c r="E45" s="105"/>
      <c r="F45" s="105"/>
      <c r="G45" s="110">
        <v>0</v>
      </c>
      <c r="H45" s="111"/>
      <c r="I45" s="110"/>
      <c r="J45" s="111"/>
      <c r="K45" s="13"/>
      <c r="L45" s="15"/>
    </row>
    <row r="46" spans="1:12" ht="15.75" thickBot="1">
      <c r="A46" s="16"/>
      <c r="B46" s="112" t="s">
        <v>21</v>
      </c>
      <c r="C46" s="112"/>
      <c r="D46" s="112"/>
      <c r="E46" s="112"/>
      <c r="F46" s="104"/>
      <c r="G46" s="113">
        <v>0</v>
      </c>
      <c r="H46" s="114"/>
      <c r="I46" s="106"/>
      <c r="J46" s="115"/>
      <c r="K46" s="13"/>
      <c r="L46" s="15"/>
    </row>
    <row r="47" spans="1:12" ht="15.75" thickBot="1">
      <c r="A47" s="16"/>
      <c r="B47" s="104" t="s">
        <v>22</v>
      </c>
      <c r="C47" s="105"/>
      <c r="D47" s="105"/>
      <c r="E47" s="105"/>
      <c r="F47" s="105"/>
      <c r="G47" s="116">
        <f>L41+G46</f>
        <v>1</v>
      </c>
      <c r="H47" s="111"/>
      <c r="I47" s="110"/>
      <c r="J47" s="111"/>
      <c r="K47" s="13"/>
      <c r="L47" s="15"/>
    </row>
    <row r="48" spans="1:12" ht="15.75" thickBot="1">
      <c r="A48" s="5"/>
      <c r="B48" s="104" t="s">
        <v>23</v>
      </c>
      <c r="C48" s="105"/>
      <c r="D48" s="105"/>
      <c r="E48" s="105"/>
      <c r="F48" s="105"/>
      <c r="G48" s="116">
        <f>G44+G45-G47</f>
        <v>14</v>
      </c>
      <c r="H48" s="111"/>
      <c r="I48" s="110"/>
      <c r="J48" s="111"/>
      <c r="K48" s="13"/>
      <c r="L48" s="4"/>
    </row>
    <row r="49" spans="1:12" ht="15.75" thickBot="1">
      <c r="A49" s="5"/>
      <c r="B49" s="104" t="s">
        <v>24</v>
      </c>
      <c r="C49" s="105"/>
      <c r="D49" s="105"/>
      <c r="E49" s="105"/>
      <c r="F49" s="105"/>
      <c r="G49" s="110">
        <v>14</v>
      </c>
      <c r="H49" s="111"/>
      <c r="I49" s="110"/>
      <c r="J49" s="111"/>
      <c r="K49" s="13"/>
      <c r="L49" s="4"/>
    </row>
    <row r="50" spans="1:12" ht="15.75" thickBot="1">
      <c r="A50" s="5"/>
      <c r="B50" s="104" t="s">
        <v>25</v>
      </c>
      <c r="C50" s="105"/>
      <c r="D50" s="105"/>
      <c r="E50" s="105"/>
      <c r="F50" s="105"/>
      <c r="G50" s="117">
        <f>G48-G49</f>
        <v>0</v>
      </c>
      <c r="H50" s="118"/>
      <c r="I50" s="119"/>
      <c r="J50" s="118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G3:L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1"/>
  <sheetViews>
    <sheetView topLeftCell="A37" workbookViewId="0">
      <selection activeCell="L51" sqref="A1:L51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7" t="s">
        <v>0</v>
      </c>
      <c r="B1" s="87"/>
      <c r="C1" s="87"/>
      <c r="D1" s="87"/>
      <c r="E1" s="38"/>
      <c r="F1" s="39"/>
      <c r="G1" s="88" t="s">
        <v>1</v>
      </c>
      <c r="H1" s="88"/>
      <c r="I1" s="88"/>
      <c r="J1" s="88"/>
      <c r="K1" s="88"/>
      <c r="L1" s="88"/>
    </row>
    <row r="2" spans="1:12" ht="15.75">
      <c r="A2" s="88" t="s">
        <v>2</v>
      </c>
      <c r="B2" s="88"/>
      <c r="C2" s="88"/>
      <c r="D2" s="88"/>
      <c r="E2" s="38"/>
      <c r="F2" s="39"/>
      <c r="G2" s="89" t="s">
        <v>3</v>
      </c>
      <c r="H2" s="89"/>
      <c r="I2" s="89"/>
      <c r="J2" s="89"/>
      <c r="K2" s="89"/>
      <c r="L2" s="89"/>
    </row>
    <row r="3" spans="1:12">
      <c r="A3" s="89" t="s">
        <v>4</v>
      </c>
      <c r="B3" s="89"/>
      <c r="C3" s="89"/>
      <c r="D3" s="89"/>
      <c r="E3" s="38"/>
      <c r="F3" s="39"/>
      <c r="G3" s="89" t="s">
        <v>32</v>
      </c>
      <c r="H3" s="89"/>
      <c r="I3" s="89"/>
      <c r="J3" s="89"/>
      <c r="K3" s="89"/>
      <c r="L3" s="89"/>
    </row>
    <row r="4" spans="1:12">
      <c r="A4" s="8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7" t="s">
        <v>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15.75">
      <c r="A6" s="88" t="s">
        <v>40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1"/>
      <c r="I7" s="91"/>
      <c r="J7" s="14"/>
      <c r="K7" s="40"/>
      <c r="L7" s="4"/>
    </row>
    <row r="8" spans="1:12">
      <c r="A8" s="92" t="s">
        <v>7</v>
      </c>
      <c r="B8" s="94" t="s">
        <v>8</v>
      </c>
      <c r="C8" s="95"/>
      <c r="D8" s="95"/>
      <c r="E8" s="95"/>
      <c r="F8" s="96"/>
      <c r="G8" s="97" t="s">
        <v>9</v>
      </c>
      <c r="H8" s="95"/>
      <c r="I8" s="95"/>
      <c r="J8" s="95"/>
      <c r="K8" s="96"/>
      <c r="L8" s="98" t="s">
        <v>10</v>
      </c>
    </row>
    <row r="9" spans="1:12" ht="15.75" thickBot="1">
      <c r="A9" s="9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9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82"/>
      <c r="B41" s="80">
        <f>SUM(B10:B40)</f>
        <v>0</v>
      </c>
      <c r="C41" s="80">
        <f t="shared" ref="C41:E41" si="3">SUM(C10:C40)</f>
        <v>0</v>
      </c>
      <c r="D41" s="80">
        <f t="shared" si="3"/>
        <v>0</v>
      </c>
      <c r="E41" s="80">
        <f t="shared" si="3"/>
        <v>0</v>
      </c>
      <c r="F41" s="79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100"/>
      <c r="B43" s="100"/>
      <c r="C43" s="100"/>
      <c r="D43" s="100"/>
      <c r="E43" s="100"/>
      <c r="F43" s="100"/>
      <c r="G43" s="101" t="s">
        <v>17</v>
      </c>
      <c r="H43" s="102"/>
      <c r="I43" s="102" t="s">
        <v>18</v>
      </c>
      <c r="J43" s="103"/>
      <c r="K43" s="13"/>
      <c r="L43" s="15"/>
    </row>
    <row r="44" spans="1:12" ht="15.75" thickBot="1">
      <c r="A44" s="16"/>
      <c r="B44" s="104" t="s">
        <v>19</v>
      </c>
      <c r="C44" s="105"/>
      <c r="D44" s="105"/>
      <c r="E44" s="105"/>
      <c r="F44" s="105"/>
      <c r="G44" s="106">
        <v>14</v>
      </c>
      <c r="H44" s="107"/>
      <c r="I44" s="108"/>
      <c r="J44" s="109"/>
      <c r="K44" s="13"/>
      <c r="L44" s="15"/>
    </row>
    <row r="45" spans="1:12" ht="15.75" thickBot="1">
      <c r="A45" s="16"/>
      <c r="B45" s="104" t="s">
        <v>20</v>
      </c>
      <c r="C45" s="105"/>
      <c r="D45" s="105"/>
      <c r="E45" s="105"/>
      <c r="F45" s="105"/>
      <c r="G45" s="110">
        <v>0</v>
      </c>
      <c r="H45" s="111"/>
      <c r="I45" s="110"/>
      <c r="J45" s="111"/>
      <c r="K45" s="13"/>
      <c r="L45" s="15"/>
    </row>
    <row r="46" spans="1:12" ht="15.75" thickBot="1">
      <c r="A46" s="16"/>
      <c r="B46" s="112" t="s">
        <v>21</v>
      </c>
      <c r="C46" s="112"/>
      <c r="D46" s="112"/>
      <c r="E46" s="112"/>
      <c r="F46" s="104"/>
      <c r="G46" s="113">
        <v>0</v>
      </c>
      <c r="H46" s="114"/>
      <c r="I46" s="106"/>
      <c r="J46" s="115"/>
      <c r="K46" s="13"/>
      <c r="L46" s="15"/>
    </row>
    <row r="47" spans="1:12" ht="15.75" thickBot="1">
      <c r="A47" s="16"/>
      <c r="B47" s="104" t="s">
        <v>22</v>
      </c>
      <c r="C47" s="105"/>
      <c r="D47" s="105"/>
      <c r="E47" s="105"/>
      <c r="F47" s="105"/>
      <c r="G47" s="116">
        <f>L41+G46</f>
        <v>0</v>
      </c>
      <c r="H47" s="111"/>
      <c r="I47" s="110"/>
      <c r="J47" s="111"/>
      <c r="K47" s="13"/>
      <c r="L47" s="15"/>
    </row>
    <row r="48" spans="1:12" ht="15.75" thickBot="1">
      <c r="A48" s="5"/>
      <c r="B48" s="104" t="s">
        <v>23</v>
      </c>
      <c r="C48" s="105"/>
      <c r="D48" s="105"/>
      <c r="E48" s="105"/>
      <c r="F48" s="105"/>
      <c r="G48" s="116">
        <f>G44+G45-G47</f>
        <v>14</v>
      </c>
      <c r="H48" s="111"/>
      <c r="I48" s="110"/>
      <c r="J48" s="111"/>
      <c r="K48" s="13"/>
      <c r="L48" s="4"/>
    </row>
    <row r="49" spans="1:12" ht="15.75" thickBot="1">
      <c r="A49" s="5"/>
      <c r="B49" s="104" t="s">
        <v>24</v>
      </c>
      <c r="C49" s="105"/>
      <c r="D49" s="105"/>
      <c r="E49" s="105"/>
      <c r="F49" s="105"/>
      <c r="G49" s="110">
        <v>14</v>
      </c>
      <c r="H49" s="111"/>
      <c r="I49" s="110"/>
      <c r="J49" s="111"/>
      <c r="K49" s="13"/>
      <c r="L49" s="4"/>
    </row>
    <row r="50" spans="1:12" ht="15.75" thickBot="1">
      <c r="A50" s="5"/>
      <c r="B50" s="104" t="s">
        <v>25</v>
      </c>
      <c r="C50" s="105"/>
      <c r="D50" s="105"/>
      <c r="E50" s="105"/>
      <c r="F50" s="105"/>
      <c r="G50" s="117">
        <f>G48-G49</f>
        <v>0</v>
      </c>
      <c r="H50" s="118"/>
      <c r="I50" s="119"/>
      <c r="J50" s="118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51"/>
  <sheetViews>
    <sheetView topLeftCell="A16" workbookViewId="0">
      <selection activeCell="I12" sqref="I12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87" t="s">
        <v>0</v>
      </c>
      <c r="B1" s="87"/>
      <c r="C1" s="87"/>
      <c r="D1" s="87"/>
      <c r="E1" s="38"/>
      <c r="F1" s="39"/>
      <c r="G1" s="88" t="s">
        <v>1</v>
      </c>
      <c r="H1" s="88"/>
      <c r="I1" s="88"/>
      <c r="J1" s="88"/>
      <c r="K1" s="88"/>
      <c r="L1" s="88"/>
    </row>
    <row r="2" spans="1:12" ht="15.75">
      <c r="A2" s="88" t="s">
        <v>2</v>
      </c>
      <c r="B2" s="88"/>
      <c r="C2" s="88"/>
      <c r="D2" s="88"/>
      <c r="E2" s="38"/>
      <c r="F2" s="39"/>
      <c r="G2" s="89" t="s">
        <v>3</v>
      </c>
      <c r="H2" s="89"/>
      <c r="I2" s="89"/>
      <c r="J2" s="89"/>
      <c r="K2" s="89"/>
      <c r="L2" s="89"/>
    </row>
    <row r="3" spans="1:12">
      <c r="A3" s="89" t="s">
        <v>4</v>
      </c>
      <c r="B3" s="89"/>
      <c r="C3" s="89"/>
      <c r="D3" s="89"/>
      <c r="E3" s="38"/>
      <c r="F3" s="39"/>
      <c r="G3" s="89" t="s">
        <v>32</v>
      </c>
      <c r="H3" s="89"/>
      <c r="I3" s="89"/>
      <c r="J3" s="89"/>
      <c r="K3" s="89"/>
      <c r="L3" s="89"/>
    </row>
    <row r="4" spans="1:12">
      <c r="A4" s="85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87" t="s">
        <v>5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15.75">
      <c r="A6" s="88" t="s">
        <v>41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15.75" thickBot="1">
      <c r="A7" s="3" t="s">
        <v>6</v>
      </c>
      <c r="B7" s="13"/>
      <c r="C7" s="14"/>
      <c r="D7" s="14"/>
      <c r="E7" s="14"/>
      <c r="F7" s="13"/>
      <c r="G7" s="13"/>
      <c r="H7" s="91"/>
      <c r="I7" s="91"/>
      <c r="J7" s="14"/>
      <c r="K7" s="40"/>
      <c r="L7" s="4"/>
    </row>
    <row r="8" spans="1:12">
      <c r="A8" s="92" t="s">
        <v>7</v>
      </c>
      <c r="B8" s="94" t="s">
        <v>8</v>
      </c>
      <c r="C8" s="95"/>
      <c r="D8" s="95"/>
      <c r="E8" s="95"/>
      <c r="F8" s="96"/>
      <c r="G8" s="97" t="s">
        <v>9</v>
      </c>
      <c r="H8" s="95"/>
      <c r="I8" s="95"/>
      <c r="J8" s="95"/>
      <c r="K8" s="96"/>
      <c r="L8" s="98" t="s">
        <v>10</v>
      </c>
    </row>
    <row r="9" spans="1:12" ht="15.75" thickBot="1">
      <c r="A9" s="9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99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>
        <v>1</v>
      </c>
      <c r="C24" s="25"/>
      <c r="D24" s="25"/>
      <c r="E24" s="26"/>
      <c r="F24" s="20">
        <f t="shared" si="0"/>
        <v>1</v>
      </c>
      <c r="G24" s="33">
        <v>7</v>
      </c>
      <c r="H24" s="25"/>
      <c r="I24" s="25"/>
      <c r="J24" s="25"/>
      <c r="K24" s="18">
        <f t="shared" si="1"/>
        <v>7</v>
      </c>
      <c r="L24" s="8">
        <f t="shared" si="2"/>
        <v>8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>
        <v>1</v>
      </c>
      <c r="I29" s="25"/>
      <c r="J29" s="25"/>
      <c r="K29" s="18">
        <f t="shared" si="1"/>
        <v>1</v>
      </c>
      <c r="L29" s="8">
        <f t="shared" si="2"/>
        <v>1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>
        <v>1</v>
      </c>
      <c r="H32" s="25"/>
      <c r="I32" s="25"/>
      <c r="J32" s="25"/>
      <c r="K32" s="18">
        <f t="shared" si="1"/>
        <v>1</v>
      </c>
      <c r="L32" s="8">
        <f t="shared" si="2"/>
        <v>1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86"/>
      <c r="B41" s="84">
        <f>SUM(B10:B40)</f>
        <v>1</v>
      </c>
      <c r="C41" s="84">
        <f t="shared" ref="C41:E41" si="3">SUM(C10:C40)</f>
        <v>0</v>
      </c>
      <c r="D41" s="84">
        <f t="shared" si="3"/>
        <v>0</v>
      </c>
      <c r="E41" s="84">
        <f t="shared" si="3"/>
        <v>0</v>
      </c>
      <c r="F41" s="83">
        <f>SUM(F10:F40)</f>
        <v>1</v>
      </c>
      <c r="G41" s="19">
        <f>SUM(G10:G40)</f>
        <v>8</v>
      </c>
      <c r="H41" s="19">
        <f t="shared" ref="H41:L41" si="4">SUM(H10:H40)</f>
        <v>1</v>
      </c>
      <c r="I41" s="19">
        <f t="shared" si="4"/>
        <v>0</v>
      </c>
      <c r="J41" s="19">
        <f t="shared" si="4"/>
        <v>0</v>
      </c>
      <c r="K41" s="19">
        <f t="shared" si="4"/>
        <v>9</v>
      </c>
      <c r="L41" s="19">
        <f t="shared" si="4"/>
        <v>10</v>
      </c>
    </row>
    <row r="42" spans="1:12" ht="15.75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100"/>
      <c r="B43" s="100"/>
      <c r="C43" s="100"/>
      <c r="D43" s="100"/>
      <c r="E43" s="100"/>
      <c r="F43" s="100"/>
      <c r="G43" s="101" t="s">
        <v>17</v>
      </c>
      <c r="H43" s="102"/>
      <c r="I43" s="102" t="s">
        <v>18</v>
      </c>
      <c r="J43" s="103"/>
      <c r="K43" s="13"/>
      <c r="L43" s="15"/>
    </row>
    <row r="44" spans="1:12" ht="15.75" thickBot="1">
      <c r="A44" s="16"/>
      <c r="B44" s="104" t="s">
        <v>19</v>
      </c>
      <c r="C44" s="105"/>
      <c r="D44" s="105"/>
      <c r="E44" s="105"/>
      <c r="F44" s="105"/>
      <c r="G44" s="106">
        <v>14</v>
      </c>
      <c r="H44" s="107"/>
      <c r="I44" s="108"/>
      <c r="J44" s="109"/>
      <c r="K44" s="13"/>
      <c r="L44" s="15"/>
    </row>
    <row r="45" spans="1:12" ht="15.75" thickBot="1">
      <c r="A45" s="16"/>
      <c r="B45" s="104" t="s">
        <v>20</v>
      </c>
      <c r="C45" s="105"/>
      <c r="D45" s="105"/>
      <c r="E45" s="105"/>
      <c r="F45" s="105"/>
      <c r="G45" s="110">
        <v>0</v>
      </c>
      <c r="H45" s="111"/>
      <c r="I45" s="110"/>
      <c r="J45" s="111"/>
      <c r="K45" s="13"/>
      <c r="L45" s="15"/>
    </row>
    <row r="46" spans="1:12" ht="15.75" thickBot="1">
      <c r="A46" s="16"/>
      <c r="B46" s="112" t="s">
        <v>21</v>
      </c>
      <c r="C46" s="112"/>
      <c r="D46" s="112"/>
      <c r="E46" s="112"/>
      <c r="F46" s="104"/>
      <c r="G46" s="113">
        <v>0</v>
      </c>
      <c r="H46" s="114"/>
      <c r="I46" s="106"/>
      <c r="J46" s="115"/>
      <c r="K46" s="13"/>
      <c r="L46" s="15"/>
    </row>
    <row r="47" spans="1:12" ht="15.75" thickBot="1">
      <c r="A47" s="16"/>
      <c r="B47" s="104" t="s">
        <v>22</v>
      </c>
      <c r="C47" s="105"/>
      <c r="D47" s="105"/>
      <c r="E47" s="105"/>
      <c r="F47" s="105"/>
      <c r="G47" s="116">
        <f>L41+G46</f>
        <v>10</v>
      </c>
      <c r="H47" s="111"/>
      <c r="I47" s="110"/>
      <c r="J47" s="111"/>
      <c r="K47" s="13"/>
      <c r="L47" s="15"/>
    </row>
    <row r="48" spans="1:12" ht="15.75" thickBot="1">
      <c r="A48" s="5"/>
      <c r="B48" s="104" t="s">
        <v>23</v>
      </c>
      <c r="C48" s="105"/>
      <c r="D48" s="105"/>
      <c r="E48" s="105"/>
      <c r="F48" s="105"/>
      <c r="G48" s="116">
        <f>G44+G45-G47</f>
        <v>4</v>
      </c>
      <c r="H48" s="111"/>
      <c r="I48" s="110"/>
      <c r="J48" s="111"/>
      <c r="K48" s="13"/>
      <c r="L48" s="4"/>
    </row>
    <row r="49" spans="1:12" ht="15.75" thickBot="1">
      <c r="A49" s="5"/>
      <c r="B49" s="104" t="s">
        <v>24</v>
      </c>
      <c r="C49" s="105"/>
      <c r="D49" s="105"/>
      <c r="E49" s="105"/>
      <c r="F49" s="105"/>
      <c r="G49" s="110">
        <v>4</v>
      </c>
      <c r="H49" s="111"/>
      <c r="I49" s="110"/>
      <c r="J49" s="111"/>
      <c r="K49" s="13"/>
      <c r="L49" s="4"/>
    </row>
    <row r="50" spans="1:12" ht="15.75" thickBot="1">
      <c r="A50" s="5"/>
      <c r="B50" s="104" t="s">
        <v>25</v>
      </c>
      <c r="C50" s="105"/>
      <c r="D50" s="105"/>
      <c r="E50" s="105"/>
      <c r="F50" s="105"/>
      <c r="G50" s="117">
        <f>G48-G49</f>
        <v>0</v>
      </c>
      <c r="H50" s="118"/>
      <c r="I50" s="119"/>
      <c r="J50" s="118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2015</vt:lpstr>
      <vt:lpstr>FEVRIER 2015</vt:lpstr>
      <vt:lpstr>Mars 2015</vt:lpstr>
      <vt:lpstr>Avril 2015</vt:lpstr>
      <vt:lpstr>Mai 2015</vt:lpstr>
      <vt:lpstr>Juin 2015</vt:lpstr>
      <vt:lpstr>Juillet 2015</vt:lpstr>
      <vt:lpstr>Aout  2015</vt:lpstr>
      <vt:lpstr>Septembre 2015</vt:lpstr>
      <vt:lpstr>Octobre 2015</vt:lpstr>
      <vt:lpstr>Novembre 2015</vt:lpstr>
      <vt:lpstr>Decembre 2015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2016-04-25T15:45:16Z</cp:lastPrinted>
  <dcterms:created xsi:type="dcterms:W3CDTF">2014-12-31T15:22:06Z</dcterms:created>
  <dcterms:modified xsi:type="dcterms:W3CDTF">2016-04-25T16:04:24Z</dcterms:modified>
</cp:coreProperties>
</file>