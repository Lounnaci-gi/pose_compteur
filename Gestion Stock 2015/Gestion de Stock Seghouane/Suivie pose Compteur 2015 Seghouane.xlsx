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15" yWindow="195" windowWidth="6900" windowHeight="2025" activeTab="5"/>
  </bookViews>
  <sheets>
    <sheet name="Janvier 2015" sheetId="1" r:id="rId1"/>
    <sheet name="Fé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2015" sheetId="8" r:id="rId8"/>
    <sheet name="Septembre 2015" sheetId="9" r:id="rId9"/>
    <sheet name="Octobre 2015" sheetId="10" r:id="rId10"/>
    <sheet name="Novembre 2015" sheetId="11" r:id="rId11"/>
    <sheet name="Decembre 2015" sheetId="12" r:id="rId12"/>
  </sheets>
  <definedNames>
    <definedName name="_xlnm.Print_Titles" localSheetId="0">'Janvier 2015'!$1:$6</definedName>
  </definedNames>
  <calcPr calcId="124519"/>
</workbook>
</file>

<file path=xl/calcChain.xml><?xml version="1.0" encoding="utf-8"?>
<calcChain xmlns="http://schemas.openxmlformats.org/spreadsheetml/2006/main">
  <c r="A8" i="12"/>
  <c r="A9" s="1"/>
  <c r="A10" s="1"/>
  <c r="A11" s="1"/>
  <c r="A12" s="1"/>
  <c r="A13" s="1"/>
  <c r="A14" s="1"/>
  <c r="A15" s="1"/>
  <c r="A16" s="1"/>
  <c r="K4"/>
  <c r="K3"/>
  <c r="K2"/>
  <c r="K5" s="1"/>
  <c r="A8" i="11" l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K4"/>
  <c r="K3"/>
  <c r="K2"/>
  <c r="K5" s="1"/>
  <c r="A8" i="10" l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K4"/>
  <c r="K3"/>
  <c r="K2"/>
  <c r="K5" s="1"/>
  <c r="A8" i="9" l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K4" l="1"/>
  <c r="K3"/>
  <c r="K2"/>
  <c r="K5" l="1"/>
  <c r="K4" i="8"/>
  <c r="K3"/>
  <c r="K2"/>
  <c r="K5" l="1"/>
  <c r="A8" i="7"/>
  <c r="A9" s="1"/>
  <c r="A10" s="1"/>
  <c r="A11" s="1"/>
  <c r="K4"/>
  <c r="K3"/>
  <c r="K2"/>
  <c r="K5" l="1"/>
  <c r="A8" i="6"/>
  <c r="A9" s="1"/>
  <c r="A10" s="1"/>
  <c r="A11" s="1"/>
  <c r="A12" s="1"/>
  <c r="A13" s="1"/>
  <c r="A14" s="1"/>
  <c r="A15" s="1"/>
  <c r="K4"/>
  <c r="K3"/>
  <c r="K2"/>
  <c r="K5" l="1"/>
  <c r="K4" i="5"/>
  <c r="K3"/>
  <c r="K2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K5" l="1"/>
  <c r="A8" i="4"/>
  <c r="A9" s="1"/>
  <c r="A10" s="1"/>
  <c r="A11" s="1"/>
  <c r="A12" s="1"/>
  <c r="A13" s="1"/>
  <c r="A14" s="1"/>
  <c r="A15" s="1"/>
  <c r="A16" s="1"/>
  <c r="A17" s="1"/>
  <c r="A18" s="1"/>
  <c r="K4"/>
  <c r="K3"/>
  <c r="K2"/>
  <c r="K5" l="1"/>
  <c r="A8" i="2"/>
  <c r="A8" i="1"/>
  <c r="A8" i="3" l="1"/>
  <c r="A9" s="1"/>
  <c r="A10" s="1"/>
  <c r="A11" s="1"/>
  <c r="A12" s="1"/>
  <c r="A13" s="1"/>
  <c r="A14" s="1"/>
  <c r="A15" s="1"/>
  <c r="A16" s="1"/>
  <c r="A17" s="1"/>
  <c r="A18" s="1"/>
  <c r="A19" s="1"/>
  <c r="K4"/>
  <c r="K3"/>
  <c r="K2"/>
  <c r="K5" l="1"/>
  <c r="K4" i="2"/>
  <c r="K3"/>
  <c r="K2"/>
  <c r="K5" l="1"/>
  <c r="A9" i="1" l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 l="1"/>
  <c r="K3"/>
  <c r="K2" l="1"/>
  <c r="K5" s="1"/>
</calcChain>
</file>

<file path=xl/sharedStrings.xml><?xml version="1.0" encoding="utf-8"?>
<sst xmlns="http://schemas.openxmlformats.org/spreadsheetml/2006/main" count="668" uniqueCount="257">
  <si>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</si>
  <si>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</si>
  <si>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</si>
  <si>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</si>
  <si>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</si>
  <si>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</si>
  <si>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</si>
  <si>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</si>
  <si>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</si>
  <si>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</si>
  <si>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</si>
  <si>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</si>
  <si>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</si>
  <si>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</si>
  <si>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</si>
  <si>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</si>
  <si>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</si>
  <si>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</si>
  <si>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 xml:space="preserve">Elimination de forfait
</t>
  </si>
  <si>
    <t>HA 0698</t>
  </si>
  <si>
    <t>218714</t>
  </si>
  <si>
    <t>NB</t>
  </si>
  <si>
    <t>HA 0372</t>
  </si>
  <si>
    <t>218715</t>
  </si>
  <si>
    <t>HA 0004</t>
  </si>
  <si>
    <t>218716</t>
  </si>
  <si>
    <t>20/27</t>
  </si>
  <si>
    <t>HA 0694</t>
  </si>
  <si>
    <t>218534</t>
  </si>
  <si>
    <t>NB(Bentorki Zohra)</t>
  </si>
  <si>
    <t>HA 0127</t>
  </si>
  <si>
    <t>218717</t>
  </si>
  <si>
    <t>HA 0172</t>
  </si>
  <si>
    <t>218718</t>
  </si>
  <si>
    <t>218719</t>
  </si>
  <si>
    <t>HA 0170</t>
  </si>
  <si>
    <t>HA 0485</t>
  </si>
  <si>
    <t>218720</t>
  </si>
  <si>
    <t>218531</t>
  </si>
  <si>
    <t>218532</t>
  </si>
  <si>
    <t>218533</t>
  </si>
  <si>
    <t>HA 0415</t>
  </si>
  <si>
    <t>HA 0433</t>
  </si>
  <si>
    <t>218535</t>
  </si>
  <si>
    <t>218536</t>
  </si>
  <si>
    <t>218537</t>
  </si>
  <si>
    <t>HA 0500</t>
  </si>
  <si>
    <t>HA 0301</t>
  </si>
  <si>
    <t>HA 0090</t>
  </si>
  <si>
    <t>H2 0035</t>
  </si>
  <si>
    <t>005763</t>
  </si>
  <si>
    <t>215538</t>
  </si>
  <si>
    <t>215539</t>
  </si>
  <si>
    <t>215540</t>
  </si>
  <si>
    <t>HA 0016</t>
  </si>
  <si>
    <t>HA 0502</t>
  </si>
  <si>
    <t>HA 0023</t>
  </si>
  <si>
    <t>HA 0304</t>
  </si>
  <si>
    <t>218361</t>
  </si>
  <si>
    <t>218362</t>
  </si>
  <si>
    <t>218363</t>
  </si>
  <si>
    <t>HA 0409</t>
  </si>
  <si>
    <t>HA 0481</t>
  </si>
  <si>
    <t>HA 0453</t>
  </si>
  <si>
    <t>218364</t>
  </si>
  <si>
    <t>HA 0458</t>
  </si>
  <si>
    <t>218365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</si>
  <si>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</si>
  <si>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</si>
  <si>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HA</t>
  </si>
  <si>
    <t>218366</t>
  </si>
  <si>
    <t>NB(Chorfi fouzia)</t>
  </si>
  <si>
    <t>218367</t>
  </si>
  <si>
    <t>NB(Maamri rachid)</t>
  </si>
  <si>
    <t>Antenne : Seghouane</t>
  </si>
  <si>
    <t>Chef d'agence Commercial</t>
  </si>
  <si>
    <t>218369</t>
  </si>
  <si>
    <t>218370</t>
  </si>
  <si>
    <t>HA 0175</t>
  </si>
  <si>
    <t>218273</t>
  </si>
  <si>
    <t>218274</t>
  </si>
  <si>
    <t>218275</t>
  </si>
  <si>
    <t>218276</t>
  </si>
  <si>
    <t>218277</t>
  </si>
  <si>
    <t>218278</t>
  </si>
  <si>
    <t>218279</t>
  </si>
  <si>
    <t>HA 0028</t>
  </si>
  <si>
    <t>HA 0144</t>
  </si>
  <si>
    <t>HA 0177</t>
  </si>
  <si>
    <t>HA 0046</t>
  </si>
  <si>
    <t>HA 0626</t>
  </si>
  <si>
    <t>218280</t>
  </si>
  <si>
    <t>218368</t>
  </si>
  <si>
    <t>NB(Chergui Med)</t>
  </si>
  <si>
    <t>218271</t>
  </si>
  <si>
    <t>NB(Aouad mustapha)</t>
  </si>
  <si>
    <t>218272</t>
  </si>
  <si>
    <t>NB(Rih mohamed)</t>
  </si>
  <si>
    <t>HA 0462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</si>
  <si>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</si>
  <si>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HA 0091</t>
  </si>
  <si>
    <t>H3 0012</t>
  </si>
  <si>
    <t>HA 0383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</si>
  <si>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</si>
  <si>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025872</t>
  </si>
  <si>
    <t>H2 0034</t>
  </si>
  <si>
    <t>025873</t>
  </si>
  <si>
    <t>Elimination de forfait</t>
  </si>
  <si>
    <t>HA 0643</t>
  </si>
  <si>
    <t>025875</t>
  </si>
  <si>
    <t>025874</t>
  </si>
  <si>
    <t>025876</t>
  </si>
  <si>
    <t>025877</t>
  </si>
  <si>
    <t>025878</t>
  </si>
  <si>
    <t>025879</t>
  </si>
  <si>
    <t>HA 0535</t>
  </si>
  <si>
    <t>HA 0318</t>
  </si>
  <si>
    <t>HA 0049</t>
  </si>
  <si>
    <t>HA 0029</t>
  </si>
  <si>
    <t>005765</t>
  </si>
  <si>
    <t>HA 0221</t>
  </si>
  <si>
    <t>025880</t>
  </si>
  <si>
    <t>HA 0472</t>
  </si>
  <si>
    <t>025242</t>
  </si>
  <si>
    <t>025241</t>
  </si>
  <si>
    <t>025243</t>
  </si>
  <si>
    <t>025244</t>
  </si>
  <si>
    <t>025245</t>
  </si>
  <si>
    <t>025246</t>
  </si>
  <si>
    <t>025247</t>
  </si>
  <si>
    <t>025248</t>
  </si>
  <si>
    <t>025249</t>
  </si>
  <si>
    <t>HA 0461</t>
  </si>
  <si>
    <t>H3 0009</t>
  </si>
  <si>
    <t>HA 0190</t>
  </si>
  <si>
    <t>HA 0303</t>
  </si>
  <si>
    <t>HA 0432</t>
  </si>
  <si>
    <t>HA 0446</t>
  </si>
  <si>
    <t>HA 0641</t>
  </si>
  <si>
    <t>HA 0279</t>
  </si>
  <si>
    <t>026121</t>
  </si>
  <si>
    <t>026122</t>
  </si>
  <si>
    <t>026123</t>
  </si>
  <si>
    <t>026124</t>
  </si>
  <si>
    <t>026125</t>
  </si>
  <si>
    <t>026126</t>
  </si>
  <si>
    <t>026127</t>
  </si>
  <si>
    <t>026128</t>
  </si>
  <si>
    <t>026129</t>
  </si>
  <si>
    <t>026130</t>
  </si>
  <si>
    <t>005764</t>
  </si>
  <si>
    <t>025871</t>
  </si>
  <si>
    <t>HA 0200</t>
  </si>
  <si>
    <t>HA 0339</t>
  </si>
  <si>
    <t>HA 0443</t>
  </si>
  <si>
    <t>HA 0075</t>
  </si>
  <si>
    <t>HA 0632</t>
  </si>
  <si>
    <t>HA 0271</t>
  </si>
  <si>
    <t>HA 0364</t>
  </si>
  <si>
    <t>HA 0242</t>
  </si>
  <si>
    <t>HA 0621</t>
  </si>
  <si>
    <t>HA 0238</t>
  </si>
  <si>
    <t>HA 0686</t>
  </si>
  <si>
    <t>HA 0488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</si>
  <si>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</si>
  <si>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HA 0258</t>
  </si>
  <si>
    <t>HA 0184</t>
  </si>
  <si>
    <t>025250</t>
  </si>
  <si>
    <t>060181</t>
  </si>
  <si>
    <t>HA 0183</t>
  </si>
  <si>
    <t>060182</t>
  </si>
  <si>
    <t>HA 0666</t>
  </si>
  <si>
    <t>060183</t>
  </si>
  <si>
    <t>HA 0394</t>
  </si>
  <si>
    <t>060184</t>
  </si>
  <si>
    <t>HA 0647</t>
  </si>
  <si>
    <t>060185</t>
  </si>
  <si>
    <t>HA 0285</t>
  </si>
  <si>
    <t>060186</t>
  </si>
  <si>
    <t>HA 0051</t>
  </si>
  <si>
    <t>060187</t>
  </si>
  <si>
    <t>HA 0616</t>
  </si>
  <si>
    <t>060188</t>
  </si>
  <si>
    <t>HA 0406</t>
  </si>
  <si>
    <t>060189</t>
  </si>
  <si>
    <t>H2 0017</t>
  </si>
  <si>
    <t>060190</t>
  </si>
  <si>
    <t>HA 0256</t>
  </si>
  <si>
    <t>EF</t>
  </si>
  <si>
    <t>HA 0656</t>
  </si>
  <si>
    <t>060351</t>
  </si>
  <si>
    <t>H2 0037</t>
  </si>
  <si>
    <t>060352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</si>
  <si>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</si>
  <si>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</si>
  <si>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HA 0494</t>
  </si>
  <si>
    <t>060353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</si>
  <si>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</si>
  <si>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HA 0581</t>
  </si>
  <si>
    <t>060354</t>
  </si>
  <si>
    <t>HA 0038</t>
  </si>
  <si>
    <t>060355</t>
  </si>
  <si>
    <t>060356</t>
  </si>
  <si>
    <t>NB(Bournal hakim)</t>
  </si>
  <si>
    <t>060357</t>
  </si>
  <si>
    <t>HA 0136</t>
  </si>
  <si>
    <t>060358</t>
  </si>
  <si>
    <t>HA 0373</t>
  </si>
  <si>
    <t>060359</t>
  </si>
  <si>
    <t>HA 0186</t>
  </si>
  <si>
    <t>060360</t>
  </si>
  <si>
    <t>H3 0008</t>
  </si>
  <si>
    <t>2015076121</t>
  </si>
  <si>
    <t>NB(Houti rachid)</t>
  </si>
  <si>
    <t>2015076122</t>
  </si>
  <si>
    <t>H2 0013</t>
  </si>
  <si>
    <t>2015076123</t>
  </si>
  <si>
    <t>2015076124</t>
  </si>
  <si>
    <t>2015076125</t>
  </si>
  <si>
    <t>2015076126</t>
  </si>
  <si>
    <t>2015076127</t>
  </si>
  <si>
    <t>HA 0062</t>
  </si>
  <si>
    <t>2015076128</t>
  </si>
  <si>
    <t>HA 0222</t>
  </si>
  <si>
    <t>2015076129</t>
  </si>
  <si>
    <t>HA 0347</t>
  </si>
  <si>
    <t>2015076130</t>
  </si>
  <si>
    <t>HA 0374</t>
  </si>
  <si>
    <t>HA 0219</t>
  </si>
  <si>
    <t>HA 0482</t>
  </si>
  <si>
    <t>HA 0033</t>
  </si>
  <si>
    <t>HA 0508</t>
  </si>
  <si>
    <t>SC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</si>
  <si>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</si>
  <si>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HA 0653</t>
  </si>
  <si>
    <t>2015075351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</si>
  <si>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</si>
  <si>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</si>
  <si>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HA 0363</t>
  </si>
  <si>
    <t>2015075352</t>
  </si>
  <si>
    <t>HA 0002</t>
  </si>
  <si>
    <t>HA 0006</t>
  </si>
  <si>
    <t>2015075353</t>
  </si>
  <si>
    <t>2015075354</t>
  </si>
  <si>
    <t>2015075355</t>
  </si>
  <si>
    <t>NB(Tahar mustapha)</t>
  </si>
  <si>
    <t>HA 0463</t>
  </si>
  <si>
    <t>2015075356</t>
  </si>
  <si>
    <t>HA 0397</t>
  </si>
  <si>
    <t>2015075357</t>
  </si>
  <si>
    <t>HA 0263</t>
  </si>
  <si>
    <t>2015075358</t>
  </si>
  <si>
    <t>HA 0294</t>
  </si>
  <si>
    <t>2015075359</t>
  </si>
  <si>
    <t>H2 0015</t>
  </si>
  <si>
    <t>HA 0322</t>
  </si>
  <si>
    <t>2015075360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</si>
</sst>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56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8" fillId="0" borderId="0" xfId="1" applyFont="1" applyAlignment="1">
      <alignment vertical="center" wrapText="1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6" fillId="0" borderId="0" xfId="1" applyNumberFormat="1" applyFont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438151</xdr:colOff>
      <xdr:row>7</xdr:row>
      <xdr:rowOff>28574</xdr:rowOff>
    </xdr:from>
    <xdr:to>
      <xdr:col>5</xdr:col>
      <xdr:colOff>1228726</xdr:colOff>
      <xdr:row>15</xdr:row>
      <xdr:rowOff>190499</xdr:rowOff>
    </xdr:to>
    <xdr:cxnSp macro="">
      <xdr:nvCxnSpPr>
        <xdr:cNvPr id="3" name="Straight Connector 2"/>
        <xdr:cNvCxnSpPr/>
      </xdr:nvCxnSpPr>
      <xdr:spPr>
        <a:xfrm rot="10800000" flipV="1">
          <a:off x="438151" y="1552574"/>
          <a:ext cx="4257675" cy="168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</xdr:rowOff>
    </xdr:from>
    <xdr:to>
      <xdr:col>5</xdr:col>
      <xdr:colOff>1257300</xdr:colOff>
      <xdr:row>15</xdr:row>
      <xdr:rowOff>161925</xdr:rowOff>
    </xdr:to>
    <xdr:cxnSp macro="">
      <xdr:nvCxnSpPr>
        <xdr:cNvPr id="3" name="Straight Connector 2"/>
        <xdr:cNvCxnSpPr/>
      </xdr:nvCxnSpPr>
      <xdr:spPr>
        <a:xfrm rot="10800000" flipV="1">
          <a:off x="514350" y="1343025"/>
          <a:ext cx="4210050" cy="1866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opLeftCell="A3" workbookViewId="0">
      <selection activeCell="B15" sqref="B15"/>
    </sheetView>
  </sheetViews>
  <sheetFormatPr defaultColWidth="11.42578125" defaultRowHeight="1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 ca="1">SUMIF(F7:F133,"Elimination*",G7:G83)</f>
        <v>21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 ca="1">SUMIF(F7:F133,"NB*",G7:G83)</f>
        <v>2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 ca="1">SUMIF(F7:F133,"Ve*",G7:G83)</f>
        <v>0</v>
      </c>
    </row>
    <row r="5" spans="1:11" ht="15.75">
      <c r="A5" s="53" t="s">
        <v>17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 ca="1">SUM(K2:K4)</f>
        <v>23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19</v>
      </c>
      <c r="C7" s="11" t="s">
        <v>16</v>
      </c>
      <c r="D7" s="9" t="s">
        <v>20</v>
      </c>
      <c r="E7" s="14">
        <v>42008</v>
      </c>
      <c r="F7" s="25" t="s">
        <v>21</v>
      </c>
      <c r="G7" s="12">
        <v>1</v>
      </c>
      <c r="H7" s="13"/>
      <c r="I7" s="2"/>
      <c r="J7" s="2"/>
    </row>
    <row r="8" spans="1:11" ht="15" customHeight="1">
      <c r="A8" s="17">
        <f>+A7+1</f>
        <v>2</v>
      </c>
      <c r="B8" s="14" t="s">
        <v>22</v>
      </c>
      <c r="C8" s="11" t="s">
        <v>16</v>
      </c>
      <c r="D8" s="9" t="s">
        <v>23</v>
      </c>
      <c r="E8" s="14">
        <v>42009</v>
      </c>
      <c r="F8" s="25" t="s">
        <v>18</v>
      </c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24" t="s">
        <v>24</v>
      </c>
      <c r="C9" s="11" t="s">
        <v>16</v>
      </c>
      <c r="D9" s="9" t="s">
        <v>25</v>
      </c>
      <c r="E9" s="14">
        <v>42009</v>
      </c>
      <c r="F9" s="25" t="s">
        <v>18</v>
      </c>
      <c r="G9" s="12">
        <v>1</v>
      </c>
      <c r="H9" s="13"/>
      <c r="I9" s="2"/>
      <c r="J9" s="2"/>
    </row>
    <row r="10" spans="1:11" ht="15" customHeight="1">
      <c r="A10" s="17">
        <f t="shared" si="0"/>
        <v>4</v>
      </c>
      <c r="B10" s="14" t="s">
        <v>30</v>
      </c>
      <c r="C10" s="11" t="s">
        <v>16</v>
      </c>
      <c r="D10" s="9" t="s">
        <v>31</v>
      </c>
      <c r="E10" s="14">
        <v>42010</v>
      </c>
      <c r="F10" s="25" t="s">
        <v>18</v>
      </c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 t="s">
        <v>32</v>
      </c>
      <c r="C11" s="11" t="s">
        <v>16</v>
      </c>
      <c r="D11" s="9" t="s">
        <v>33</v>
      </c>
      <c r="E11" s="14">
        <v>42010</v>
      </c>
      <c r="F11" s="25" t="s">
        <v>18</v>
      </c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 t="s">
        <v>35</v>
      </c>
      <c r="C12" s="11" t="s">
        <v>16</v>
      </c>
      <c r="D12" s="9" t="s">
        <v>34</v>
      </c>
      <c r="E12" s="14">
        <v>42010</v>
      </c>
      <c r="F12" s="25" t="s">
        <v>18</v>
      </c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 t="s">
        <v>36</v>
      </c>
      <c r="C13" s="11" t="s">
        <v>16</v>
      </c>
      <c r="D13" s="9" t="s">
        <v>37</v>
      </c>
      <c r="E13" s="14">
        <v>42011</v>
      </c>
      <c r="F13" s="25" t="s">
        <v>18</v>
      </c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 t="s">
        <v>163</v>
      </c>
      <c r="C14" s="11" t="s">
        <v>16</v>
      </c>
      <c r="D14" s="9" t="s">
        <v>38</v>
      </c>
      <c r="E14" s="14">
        <v>42011</v>
      </c>
      <c r="F14" s="25" t="s">
        <v>18</v>
      </c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 t="s">
        <v>41</v>
      </c>
      <c r="C15" s="11" t="s">
        <v>16</v>
      </c>
      <c r="D15" s="9" t="s">
        <v>39</v>
      </c>
      <c r="E15" s="14">
        <v>42011</v>
      </c>
      <c r="F15" s="25" t="s">
        <v>18</v>
      </c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 t="s">
        <v>42</v>
      </c>
      <c r="C16" s="11" t="s">
        <v>16</v>
      </c>
      <c r="D16" s="9" t="s">
        <v>40</v>
      </c>
      <c r="E16" s="14">
        <v>42011</v>
      </c>
      <c r="F16" s="25" t="s">
        <v>18</v>
      </c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 t="s">
        <v>27</v>
      </c>
      <c r="C17" s="11" t="s">
        <v>16</v>
      </c>
      <c r="D17" s="9" t="s">
        <v>28</v>
      </c>
      <c r="E17" s="10">
        <v>42015</v>
      </c>
      <c r="F17" s="25" t="s">
        <v>29</v>
      </c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 t="s">
        <v>46</v>
      </c>
      <c r="C18" s="11" t="s">
        <v>16</v>
      </c>
      <c r="D18" s="9" t="s">
        <v>43</v>
      </c>
      <c r="E18" s="10">
        <v>42015</v>
      </c>
      <c r="F18" s="25" t="s">
        <v>18</v>
      </c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 t="s">
        <v>47</v>
      </c>
      <c r="C19" s="11" t="s">
        <v>16</v>
      </c>
      <c r="D19" s="9" t="s">
        <v>44</v>
      </c>
      <c r="E19" s="10">
        <v>42015</v>
      </c>
      <c r="F19" s="25" t="s">
        <v>18</v>
      </c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 t="s">
        <v>48</v>
      </c>
      <c r="C20" s="11" t="s">
        <v>16</v>
      </c>
      <c r="D20" s="9" t="s">
        <v>45</v>
      </c>
      <c r="E20" s="10">
        <v>42015</v>
      </c>
      <c r="F20" s="25" t="s">
        <v>18</v>
      </c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 t="s">
        <v>49</v>
      </c>
      <c r="C21" s="11" t="s">
        <v>26</v>
      </c>
      <c r="D21" s="9" t="s">
        <v>50</v>
      </c>
      <c r="E21" s="10">
        <v>42016</v>
      </c>
      <c r="F21" s="25" t="s">
        <v>18</v>
      </c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 t="s">
        <v>54</v>
      </c>
      <c r="C22" s="11" t="s">
        <v>16</v>
      </c>
      <c r="D22" s="9" t="s">
        <v>51</v>
      </c>
      <c r="E22" s="10">
        <v>42017</v>
      </c>
      <c r="F22" s="25" t="s">
        <v>18</v>
      </c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 t="s">
        <v>55</v>
      </c>
      <c r="C23" s="11" t="s">
        <v>16</v>
      </c>
      <c r="D23" s="9" t="s">
        <v>52</v>
      </c>
      <c r="E23" s="10">
        <v>42017</v>
      </c>
      <c r="F23" s="25" t="s">
        <v>18</v>
      </c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 t="s">
        <v>56</v>
      </c>
      <c r="C24" s="11" t="s">
        <v>16</v>
      </c>
      <c r="D24" s="9" t="s">
        <v>53</v>
      </c>
      <c r="E24" s="10">
        <v>42017</v>
      </c>
      <c r="F24" s="25" t="s">
        <v>18</v>
      </c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 t="s">
        <v>57</v>
      </c>
      <c r="C25" s="11" t="s">
        <v>16</v>
      </c>
      <c r="D25" s="9" t="s">
        <v>58</v>
      </c>
      <c r="E25" s="10">
        <v>42023</v>
      </c>
      <c r="F25" s="25" t="s">
        <v>18</v>
      </c>
      <c r="G25" s="12">
        <v>1</v>
      </c>
    </row>
    <row r="26" spans="1:10" ht="15" customHeight="1">
      <c r="A26" s="17">
        <f t="shared" si="0"/>
        <v>20</v>
      </c>
      <c r="B26" s="14" t="s">
        <v>61</v>
      </c>
      <c r="C26" s="11" t="s">
        <v>16</v>
      </c>
      <c r="D26" s="9" t="s">
        <v>59</v>
      </c>
      <c r="E26" s="10">
        <v>42023</v>
      </c>
      <c r="F26" s="25" t="s">
        <v>18</v>
      </c>
      <c r="G26" s="12">
        <v>1</v>
      </c>
    </row>
    <row r="27" spans="1:10" ht="15" customHeight="1">
      <c r="A27" s="17">
        <f t="shared" si="0"/>
        <v>21</v>
      </c>
      <c r="B27" s="14" t="s">
        <v>62</v>
      </c>
      <c r="C27" s="11" t="s">
        <v>16</v>
      </c>
      <c r="D27" s="9" t="s">
        <v>60</v>
      </c>
      <c r="E27" s="10">
        <v>42025</v>
      </c>
      <c r="F27" s="25" t="s">
        <v>18</v>
      </c>
      <c r="G27" s="12">
        <v>1</v>
      </c>
    </row>
    <row r="28" spans="1:10" ht="15" customHeight="1">
      <c r="A28" s="17">
        <f t="shared" si="0"/>
        <v>22</v>
      </c>
      <c r="B28" s="14" t="s">
        <v>63</v>
      </c>
      <c r="C28" s="11" t="s">
        <v>16</v>
      </c>
      <c r="D28" s="9" t="s">
        <v>64</v>
      </c>
      <c r="E28" s="10">
        <v>42025</v>
      </c>
      <c r="F28" s="25" t="s">
        <v>18</v>
      </c>
      <c r="G28" s="12">
        <v>1</v>
      </c>
    </row>
    <row r="29" spans="1:10" ht="15" customHeight="1">
      <c r="A29" s="17">
        <f t="shared" si="0"/>
        <v>23</v>
      </c>
      <c r="B29" s="14" t="s">
        <v>65</v>
      </c>
      <c r="C29" s="11" t="s">
        <v>16</v>
      </c>
      <c r="D29" s="9" t="s">
        <v>66</v>
      </c>
      <c r="E29" s="10">
        <v>42029</v>
      </c>
      <c r="F29" s="25" t="s">
        <v>18</v>
      </c>
      <c r="G29" s="12">
        <v>1</v>
      </c>
    </row>
    <row r="30" spans="1:10" ht="15" customHeight="1">
      <c r="A30" s="27"/>
      <c r="B30" s="28"/>
      <c r="C30" s="29"/>
      <c r="D30" s="30"/>
      <c r="E30" s="31"/>
      <c r="F30" s="32"/>
      <c r="G30" s="26">
        <v>1</v>
      </c>
    </row>
    <row r="31" spans="1:10" ht="15" customHeight="1">
      <c r="A31" s="27"/>
      <c r="B31" s="28"/>
      <c r="C31" s="29"/>
      <c r="D31" s="30"/>
      <c r="E31" s="31"/>
      <c r="F31" s="32"/>
      <c r="G31" s="26">
        <v>1</v>
      </c>
    </row>
    <row r="32" spans="1:10" ht="15" customHeight="1">
      <c r="A32" s="27"/>
      <c r="B32" s="28"/>
      <c r="C32" s="29"/>
      <c r="E32" s="47" t="s">
        <v>75</v>
      </c>
      <c r="F32" s="32"/>
      <c r="G32" s="26">
        <v>1</v>
      </c>
    </row>
    <row r="33" spans="1:7" ht="15" customHeight="1">
      <c r="A33" s="27"/>
      <c r="B33" s="28"/>
      <c r="C33" s="29"/>
      <c r="D33" s="30"/>
      <c r="E33" s="31"/>
      <c r="F33" s="32"/>
      <c r="G33" s="26">
        <v>1</v>
      </c>
    </row>
    <row r="34" spans="1:7" ht="15" customHeight="1">
      <c r="A34" s="27"/>
      <c r="B34" s="28"/>
      <c r="C34" s="29"/>
      <c r="D34" s="30"/>
      <c r="E34" s="31"/>
      <c r="F34" s="32"/>
      <c r="G34" s="26">
        <v>1</v>
      </c>
    </row>
    <row r="35" spans="1:7" ht="15" customHeight="1">
      <c r="A35" s="27"/>
      <c r="B35" s="28"/>
      <c r="C35" s="29"/>
      <c r="D35" s="30"/>
      <c r="E35" s="31"/>
      <c r="F35" s="32"/>
      <c r="G35" s="26">
        <v>1</v>
      </c>
    </row>
    <row r="36" spans="1:7" ht="15" customHeight="1">
      <c r="A36" s="27"/>
      <c r="B36" s="28"/>
      <c r="C36" s="29"/>
      <c r="D36" s="30"/>
      <c r="E36" s="31"/>
      <c r="F36" s="32"/>
      <c r="G36" s="26">
        <v>1</v>
      </c>
    </row>
    <row r="37" spans="1:7" ht="15" customHeight="1">
      <c r="A37" s="27"/>
      <c r="B37" s="28"/>
      <c r="C37" s="29"/>
      <c r="D37" s="30"/>
      <c r="E37" s="31"/>
      <c r="F37" s="32"/>
      <c r="G37" s="26">
        <v>1</v>
      </c>
    </row>
    <row r="38" spans="1:7" ht="15" customHeight="1">
      <c r="A38" s="27"/>
      <c r="B38" s="28"/>
      <c r="C38" s="29"/>
      <c r="D38" s="30"/>
      <c r="E38" s="31"/>
      <c r="F38" s="32"/>
      <c r="G38" s="26">
        <v>1</v>
      </c>
    </row>
    <row r="39" spans="1:7" ht="15" customHeight="1">
      <c r="A39" s="27"/>
      <c r="B39" s="28"/>
      <c r="C39" s="29"/>
      <c r="D39" s="30"/>
      <c r="E39" s="31"/>
      <c r="F39" s="32"/>
      <c r="G39" s="26">
        <v>1</v>
      </c>
    </row>
    <row r="40" spans="1:7" ht="15" customHeight="1">
      <c r="A40" s="27"/>
      <c r="B40" s="28"/>
      <c r="C40" s="29"/>
      <c r="D40" s="30"/>
      <c r="E40" s="31"/>
      <c r="F40" s="32"/>
      <c r="G40" s="26">
        <v>1</v>
      </c>
    </row>
    <row r="41" spans="1:7" ht="15" customHeight="1">
      <c r="A41" s="27"/>
      <c r="B41" s="28"/>
      <c r="C41" s="29"/>
      <c r="D41" s="30"/>
      <c r="E41" s="31"/>
      <c r="F41" s="32"/>
      <c r="G41" s="26">
        <v>1</v>
      </c>
    </row>
    <row r="42" spans="1:7" ht="15" customHeight="1">
      <c r="A42" s="27"/>
      <c r="B42" s="28"/>
      <c r="C42" s="29"/>
      <c r="D42" s="30"/>
      <c r="E42" s="31"/>
      <c r="F42" s="32"/>
      <c r="G42" s="26">
        <v>1</v>
      </c>
    </row>
    <row r="43" spans="1:7" ht="15" customHeight="1">
      <c r="A43" s="27"/>
      <c r="B43" s="28"/>
      <c r="C43" s="33"/>
      <c r="D43" s="34"/>
      <c r="E43" s="31"/>
      <c r="F43" s="32"/>
      <c r="G43" s="26">
        <v>1</v>
      </c>
    </row>
    <row r="44" spans="1:7" ht="15" customHeight="1">
      <c r="A44" s="27"/>
      <c r="B44" s="28"/>
      <c r="C44" s="33"/>
      <c r="D44" s="34"/>
      <c r="E44" s="31"/>
      <c r="F44" s="32"/>
      <c r="G44" s="26">
        <v>1</v>
      </c>
    </row>
    <row r="45" spans="1:7" ht="15" customHeight="1">
      <c r="A45" s="27"/>
      <c r="B45" s="28"/>
      <c r="C45" s="33"/>
      <c r="D45" s="34"/>
      <c r="E45" s="31"/>
      <c r="F45" s="32"/>
      <c r="G45" s="26">
        <v>1</v>
      </c>
    </row>
    <row r="46" spans="1:7" ht="15" customHeight="1">
      <c r="A46" s="27"/>
      <c r="B46" s="28"/>
      <c r="C46" s="33"/>
      <c r="D46" s="34"/>
      <c r="E46" s="31"/>
      <c r="F46" s="32"/>
      <c r="G46" s="26">
        <v>1</v>
      </c>
    </row>
    <row r="47" spans="1:7" ht="15" customHeight="1">
      <c r="A47" s="27"/>
      <c r="B47" s="28"/>
      <c r="C47" s="33"/>
      <c r="D47" s="34"/>
      <c r="E47" s="31"/>
      <c r="F47" s="32"/>
      <c r="G47" s="26">
        <v>1</v>
      </c>
    </row>
    <row r="48" spans="1:7" ht="15" customHeight="1">
      <c r="A48" s="27"/>
      <c r="B48" s="28"/>
      <c r="C48" s="33"/>
      <c r="D48" s="34"/>
      <c r="E48" s="31"/>
      <c r="F48" s="32"/>
      <c r="G48" s="26">
        <v>1</v>
      </c>
    </row>
    <row r="49" spans="1:7" ht="15" customHeight="1">
      <c r="A49" s="27"/>
      <c r="B49" s="28"/>
      <c r="C49" s="33"/>
      <c r="D49" s="34"/>
      <c r="E49" s="31"/>
      <c r="F49" s="32"/>
      <c r="G49" s="26">
        <v>1</v>
      </c>
    </row>
    <row r="50" spans="1:7" ht="15" customHeight="1">
      <c r="A50" s="27"/>
      <c r="B50" s="28"/>
      <c r="C50" s="33"/>
      <c r="D50" s="34"/>
      <c r="E50" s="31"/>
      <c r="F50" s="32"/>
      <c r="G50" s="26">
        <v>1</v>
      </c>
    </row>
    <row r="51" spans="1:7" ht="15" customHeight="1">
      <c r="A51" s="27"/>
      <c r="B51" s="28"/>
      <c r="C51" s="29"/>
      <c r="D51" s="30"/>
      <c r="E51" s="31"/>
      <c r="F51" s="32"/>
      <c r="G51" s="26">
        <v>1</v>
      </c>
    </row>
    <row r="52" spans="1:7" ht="15" customHeight="1">
      <c r="A52" s="27"/>
      <c r="B52" s="35"/>
      <c r="C52" s="35"/>
      <c r="D52" s="30"/>
      <c r="E52" s="31"/>
      <c r="F52" s="32"/>
      <c r="G52" s="26">
        <v>1</v>
      </c>
    </row>
    <row r="53" spans="1:7" ht="15" customHeight="1">
      <c r="A53" s="27"/>
      <c r="B53" s="35"/>
      <c r="C53" s="35"/>
      <c r="D53" s="36"/>
      <c r="E53" s="31"/>
      <c r="F53" s="32"/>
      <c r="G53" s="26">
        <v>1</v>
      </c>
    </row>
    <row r="54" spans="1:7" ht="15" customHeight="1">
      <c r="A54" s="27"/>
      <c r="B54" s="35"/>
      <c r="C54" s="35"/>
      <c r="D54" s="36"/>
      <c r="E54" s="31"/>
      <c r="F54" s="32"/>
      <c r="G54" s="26">
        <v>1</v>
      </c>
    </row>
    <row r="55" spans="1:7" ht="15" customHeight="1">
      <c r="A55" s="27"/>
      <c r="B55" s="35"/>
      <c r="C55" s="35"/>
      <c r="D55" s="36"/>
      <c r="E55" s="37"/>
      <c r="F55" s="38"/>
      <c r="G55" s="26">
        <v>1</v>
      </c>
    </row>
    <row r="56" spans="1:7" ht="15" customHeight="1">
      <c r="A56" s="27"/>
      <c r="B56" s="35"/>
      <c r="C56" s="35"/>
      <c r="D56" s="36"/>
      <c r="E56" s="37"/>
      <c r="F56" s="38"/>
      <c r="G56" s="26">
        <v>1</v>
      </c>
    </row>
    <row r="57" spans="1:7" ht="15" customHeight="1">
      <c r="A57" s="27"/>
      <c r="B57" s="35"/>
      <c r="C57" s="35"/>
      <c r="D57" s="35"/>
      <c r="E57" s="37"/>
      <c r="F57" s="38"/>
      <c r="G57" s="26">
        <v>1</v>
      </c>
    </row>
    <row r="58" spans="1:7" ht="15" customHeight="1">
      <c r="A58" s="27"/>
      <c r="B58" s="28"/>
      <c r="C58" s="33"/>
      <c r="D58" s="34"/>
      <c r="E58" s="28"/>
      <c r="F58" s="39"/>
      <c r="G58" s="26">
        <v>1</v>
      </c>
    </row>
    <row r="59" spans="1:7" ht="15" customHeight="1">
      <c r="A59" s="27"/>
      <c r="B59" s="40"/>
      <c r="C59" s="40"/>
      <c r="D59" s="41"/>
      <c r="E59" s="28"/>
      <c r="F59" s="39"/>
      <c r="G59" s="26">
        <v>1</v>
      </c>
    </row>
    <row r="60" spans="1:7" ht="15" customHeight="1">
      <c r="A60" s="27"/>
      <c r="B60" s="42"/>
      <c r="C60" s="43"/>
      <c r="D60" s="44"/>
      <c r="E60" s="42"/>
      <c r="F60" s="45"/>
      <c r="G60" s="26">
        <v>1</v>
      </c>
    </row>
    <row r="61" spans="1:7" ht="15" customHeight="1">
      <c r="A61" s="27"/>
      <c r="B61" s="40"/>
      <c r="C61" s="40"/>
      <c r="D61" s="41"/>
      <c r="E61" s="28"/>
      <c r="F61" s="46"/>
      <c r="G61" s="26">
        <v>1</v>
      </c>
    </row>
    <row r="62" spans="1:7" ht="15" customHeight="1">
      <c r="A62" s="27"/>
      <c r="B62" s="40"/>
      <c r="C62" s="40"/>
      <c r="D62" s="41"/>
      <c r="E62" s="28"/>
      <c r="F62" s="39"/>
      <c r="G62" s="26">
        <v>1</v>
      </c>
    </row>
    <row r="63" spans="1:7" ht="15" customHeight="1">
      <c r="A63" s="27"/>
      <c r="B63" s="35"/>
      <c r="C63" s="35"/>
      <c r="D63" s="36"/>
      <c r="E63" s="37"/>
      <c r="F63" s="38"/>
      <c r="G63" s="26">
        <v>1</v>
      </c>
    </row>
    <row r="64" spans="1:7" ht="15" customHeight="1">
      <c r="A64" s="27"/>
      <c r="B64" s="35"/>
      <c r="C64" s="35"/>
      <c r="D64" s="36"/>
      <c r="E64" s="37"/>
      <c r="F64" s="38"/>
      <c r="G64" s="26">
        <v>1</v>
      </c>
    </row>
    <row r="65" spans="1:7" ht="15" customHeight="1">
      <c r="A65" s="27"/>
      <c r="B65" s="35"/>
      <c r="C65" s="35"/>
      <c r="D65" s="36"/>
      <c r="E65" s="37"/>
      <c r="F65" s="38"/>
      <c r="G65" s="26">
        <v>1</v>
      </c>
    </row>
  </sheetData>
  <sortState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E13" sqref="E13"/>
    </sheetView>
  </sheetViews>
  <sheetFormatPr defaultColWidth="11.42578125" defaultRowHeight="15"/>
  <cols>
    <col min="1" max="1" width="7.7109375" customWidth="1"/>
    <col min="2" max="2" width="11.28515625" customWidth="1"/>
    <col min="6" max="6" width="19.5703125" customWidth="1"/>
    <col min="7" max="7" width="2.28515625" hidden="1" customWidth="1"/>
    <col min="8" max="8" width="26.5703125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SUMIF(F7:F8,"Elimination*",G7:G8)</f>
        <v>0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SUMIF(F7:F8,"NB*",G7:G8)</f>
        <v>2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SUMIF(F7:F8,"Ve*",G7:G8)</f>
        <v>0</v>
      </c>
    </row>
    <row r="5" spans="1:11" ht="15.75">
      <c r="A5" s="53" t="s">
        <v>67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2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69</v>
      </c>
      <c r="C7" s="11" t="s">
        <v>16</v>
      </c>
      <c r="D7" s="9" t="s">
        <v>70</v>
      </c>
      <c r="E7" s="10">
        <v>42057</v>
      </c>
      <c r="F7" s="25" t="s">
        <v>71</v>
      </c>
      <c r="G7" s="12">
        <v>1</v>
      </c>
      <c r="H7" s="13"/>
      <c r="I7" s="2"/>
      <c r="J7" s="2"/>
    </row>
    <row r="8" spans="1:11" ht="15" customHeight="1">
      <c r="A8" s="17">
        <f>A7+1</f>
        <v>2</v>
      </c>
      <c r="B8" s="14" t="s">
        <v>69</v>
      </c>
      <c r="C8" s="11" t="s">
        <v>16</v>
      </c>
      <c r="D8" s="9" t="s">
        <v>72</v>
      </c>
      <c r="E8" s="14">
        <v>42060</v>
      </c>
      <c r="F8" s="25" t="s">
        <v>73</v>
      </c>
      <c r="G8" s="12">
        <v>1</v>
      </c>
      <c r="H8" s="13"/>
      <c r="I8" s="2"/>
      <c r="J8" s="2"/>
    </row>
    <row r="12" spans="1:11">
      <c r="E12" s="47" t="s">
        <v>75</v>
      </c>
    </row>
  </sheetData>
  <sortState ref="B30:D32">
    <sortCondition ref="B3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selection activeCell="F8" sqref="F8"/>
    </sheetView>
  </sheetViews>
  <sheetFormatPr defaultColWidth="11.42578125" defaultRowHeight="15"/>
  <cols>
    <col min="1" max="1" width="7" customWidth="1"/>
    <col min="2" max="2" width="10.7109375" customWidth="1"/>
    <col min="6" max="6" width="20.42578125" customWidth="1"/>
    <col min="7" max="7" width="3.140625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SUMIF(F7:F19,"Elimination*",G7:G19)</f>
        <v>10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SUMIF(F7:F19,"NB*",G7:G19)</f>
        <v>3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SUMIF(F7:F19,"Ve*",G7:G19)</f>
        <v>0</v>
      </c>
    </row>
    <row r="5" spans="1:11" ht="15.75">
      <c r="A5" s="53" t="s">
        <v>68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13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69</v>
      </c>
      <c r="C7" s="11" t="s">
        <v>16</v>
      </c>
      <c r="D7" s="9" t="s">
        <v>92</v>
      </c>
      <c r="E7" s="14">
        <v>42067</v>
      </c>
      <c r="F7" s="25" t="s">
        <v>93</v>
      </c>
      <c r="G7" s="19">
        <v>1</v>
      </c>
      <c r="H7" s="18"/>
      <c r="I7" s="18"/>
      <c r="J7" s="18"/>
      <c r="K7" s="1"/>
    </row>
    <row r="8" spans="1:11" ht="15" customHeight="1">
      <c r="A8" s="17">
        <f>A7+1</f>
        <v>2</v>
      </c>
      <c r="B8" s="14" t="s">
        <v>102</v>
      </c>
      <c r="C8" s="29" t="s">
        <v>16</v>
      </c>
      <c r="D8" s="9" t="s">
        <v>76</v>
      </c>
      <c r="E8" s="14">
        <v>42073</v>
      </c>
      <c r="F8" s="25" t="s">
        <v>18</v>
      </c>
      <c r="G8" s="19">
        <v>1</v>
      </c>
      <c r="H8" s="22"/>
      <c r="I8" s="2"/>
      <c r="J8" s="2"/>
      <c r="K8" s="1"/>
    </row>
    <row r="9" spans="1:11" ht="15" customHeight="1">
      <c r="A9" s="17">
        <f t="shared" ref="A9:A19" si="0">A8+1</f>
        <v>3</v>
      </c>
      <c r="B9" s="14" t="s">
        <v>100</v>
      </c>
      <c r="C9" s="29" t="s">
        <v>16</v>
      </c>
      <c r="D9" s="9" t="s">
        <v>77</v>
      </c>
      <c r="E9" s="14">
        <v>42078</v>
      </c>
      <c r="F9" s="25" t="s">
        <v>18</v>
      </c>
      <c r="G9" s="19">
        <v>1</v>
      </c>
      <c r="H9" s="22"/>
      <c r="I9" s="2"/>
      <c r="J9" s="2"/>
      <c r="K9" s="1"/>
    </row>
    <row r="10" spans="1:11" ht="15" customHeight="1">
      <c r="A10" s="17">
        <f t="shared" si="0"/>
        <v>4</v>
      </c>
      <c r="B10" s="15" t="s">
        <v>69</v>
      </c>
      <c r="C10" s="11" t="s">
        <v>16</v>
      </c>
      <c r="D10" s="9" t="s">
        <v>94</v>
      </c>
      <c r="E10" s="14">
        <v>42078</v>
      </c>
      <c r="F10" s="25" t="s">
        <v>95</v>
      </c>
      <c r="G10" s="19">
        <v>1</v>
      </c>
      <c r="H10" s="22"/>
      <c r="I10" s="2"/>
      <c r="J10" s="2"/>
      <c r="K10" s="1"/>
    </row>
    <row r="11" spans="1:11" ht="15" customHeight="1">
      <c r="A11" s="17">
        <f t="shared" si="0"/>
        <v>5</v>
      </c>
      <c r="B11" s="15" t="s">
        <v>69</v>
      </c>
      <c r="C11" s="11" t="s">
        <v>16</v>
      </c>
      <c r="D11" s="9" t="s">
        <v>96</v>
      </c>
      <c r="E11" s="14">
        <v>42078</v>
      </c>
      <c r="F11" s="25" t="s">
        <v>97</v>
      </c>
      <c r="G11" s="19">
        <v>1</v>
      </c>
      <c r="H11" s="22"/>
      <c r="I11" s="2"/>
      <c r="J11" s="2"/>
      <c r="K11" s="1"/>
    </row>
    <row r="12" spans="1:11" ht="15" customHeight="1">
      <c r="A12" s="17">
        <f t="shared" si="0"/>
        <v>6</v>
      </c>
      <c r="B12" s="10" t="s">
        <v>78</v>
      </c>
      <c r="C12" s="11" t="s">
        <v>16</v>
      </c>
      <c r="D12" s="9" t="s">
        <v>79</v>
      </c>
      <c r="E12" s="14">
        <v>42086</v>
      </c>
      <c r="F12" s="25" t="s">
        <v>18</v>
      </c>
      <c r="G12" s="19">
        <v>1</v>
      </c>
      <c r="H12" s="2"/>
      <c r="I12" s="2"/>
      <c r="J12" s="2"/>
      <c r="K12" s="1"/>
    </row>
    <row r="13" spans="1:11" ht="15" customHeight="1">
      <c r="A13" s="17">
        <f t="shared" si="0"/>
        <v>7</v>
      </c>
      <c r="B13" s="15" t="s">
        <v>86</v>
      </c>
      <c r="C13" s="11" t="s">
        <v>16</v>
      </c>
      <c r="D13" s="9" t="s">
        <v>80</v>
      </c>
      <c r="E13" s="14">
        <v>42086</v>
      </c>
      <c r="F13" s="25" t="s">
        <v>18</v>
      </c>
      <c r="G13" s="19">
        <v>1</v>
      </c>
      <c r="H13" s="2"/>
      <c r="I13" s="2"/>
      <c r="J13" s="2"/>
      <c r="K13" s="1"/>
    </row>
    <row r="14" spans="1:11" ht="15" customHeight="1">
      <c r="A14" s="17">
        <f t="shared" si="0"/>
        <v>8</v>
      </c>
      <c r="B14" s="15" t="s">
        <v>87</v>
      </c>
      <c r="C14" s="11" t="s">
        <v>16</v>
      </c>
      <c r="D14" s="9" t="s">
        <v>81</v>
      </c>
      <c r="E14" s="14">
        <v>42086</v>
      </c>
      <c r="F14" s="25" t="s">
        <v>18</v>
      </c>
      <c r="G14" s="12">
        <v>1</v>
      </c>
      <c r="H14" s="13"/>
      <c r="I14" s="2"/>
      <c r="J14" s="2"/>
      <c r="K14" s="1"/>
    </row>
    <row r="15" spans="1:11" ht="15" customHeight="1">
      <c r="A15" s="17">
        <f t="shared" si="0"/>
        <v>9</v>
      </c>
      <c r="B15" s="15" t="s">
        <v>88</v>
      </c>
      <c r="C15" s="11" t="s">
        <v>16</v>
      </c>
      <c r="D15" s="9" t="s">
        <v>82</v>
      </c>
      <c r="E15" s="14">
        <v>42086</v>
      </c>
      <c r="F15" s="25" t="s">
        <v>18</v>
      </c>
      <c r="G15" s="12">
        <v>1</v>
      </c>
      <c r="H15" s="13"/>
      <c r="I15" s="2"/>
      <c r="J15" s="2"/>
      <c r="K15" s="1"/>
    </row>
    <row r="16" spans="1:11" ht="15" customHeight="1">
      <c r="A16" s="17">
        <f t="shared" si="0"/>
        <v>10</v>
      </c>
      <c r="B16" s="15" t="s">
        <v>89</v>
      </c>
      <c r="C16" s="11" t="s">
        <v>16</v>
      </c>
      <c r="D16" s="9" t="s">
        <v>83</v>
      </c>
      <c r="E16" s="14">
        <v>42086</v>
      </c>
      <c r="F16" s="25" t="s">
        <v>18</v>
      </c>
      <c r="G16" s="12">
        <v>1</v>
      </c>
      <c r="H16" s="13"/>
      <c r="I16" s="2"/>
      <c r="J16" s="2"/>
      <c r="K16" s="1"/>
    </row>
    <row r="17" spans="1:10" ht="15" customHeight="1">
      <c r="A17" s="17">
        <f t="shared" si="0"/>
        <v>11</v>
      </c>
      <c r="B17" s="15" t="s">
        <v>90</v>
      </c>
      <c r="C17" s="11" t="s">
        <v>16</v>
      </c>
      <c r="D17" s="9" t="s">
        <v>84</v>
      </c>
      <c r="E17" s="14">
        <v>42086</v>
      </c>
      <c r="F17" s="25" t="s">
        <v>18</v>
      </c>
      <c r="G17" s="12">
        <v>1</v>
      </c>
      <c r="H17" s="13"/>
      <c r="I17" s="2"/>
      <c r="J17" s="2"/>
    </row>
    <row r="18" spans="1:10" ht="15" customHeight="1">
      <c r="A18" s="17">
        <f t="shared" si="0"/>
        <v>12</v>
      </c>
      <c r="B18" s="14" t="s">
        <v>98</v>
      </c>
      <c r="C18" s="11" t="s">
        <v>16</v>
      </c>
      <c r="D18" s="9" t="s">
        <v>85</v>
      </c>
      <c r="E18" s="14">
        <v>42094</v>
      </c>
      <c r="F18" s="25" t="s">
        <v>18</v>
      </c>
      <c r="G18" s="12">
        <v>1</v>
      </c>
      <c r="H18" s="13"/>
      <c r="I18" s="2"/>
      <c r="J18" s="2"/>
    </row>
    <row r="19" spans="1:10" ht="15" customHeight="1">
      <c r="A19" s="17">
        <f t="shared" si="0"/>
        <v>13</v>
      </c>
      <c r="B19" s="14" t="s">
        <v>101</v>
      </c>
      <c r="C19" s="11" t="s">
        <v>16</v>
      </c>
      <c r="D19" s="9" t="s">
        <v>91</v>
      </c>
      <c r="E19" s="14">
        <v>42094</v>
      </c>
      <c r="F19" s="25" t="s">
        <v>18</v>
      </c>
      <c r="G19" s="12">
        <v>1</v>
      </c>
      <c r="H19" s="13"/>
      <c r="I19" s="2"/>
      <c r="J19" s="2"/>
    </row>
  </sheetData>
  <sheetProtection sheet="1" objects="1" scenarios="1"/>
  <sortState ref="B7:F19">
    <sortCondition ref="E7:E1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D18" sqref="D18"/>
    </sheetView>
  </sheetViews>
  <sheetFormatPr defaultColWidth="11.42578125" defaultRowHeight="15"/>
  <cols>
    <col min="1" max="1" width="7" customWidth="1"/>
    <col min="2" max="2" width="10.7109375" customWidth="1"/>
    <col min="6" max="6" width="20.42578125" customWidth="1"/>
    <col min="7" max="7" width="0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SUMIF(F7:F18,"Elimination*",G7:G18)</f>
        <v>12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SUMIF(F7:F18,"NB*",G7:G18)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SUMIF(F7:F18,"Ve*",G7:G18)</f>
        <v>0</v>
      </c>
    </row>
    <row r="5" spans="1:11" ht="15.75">
      <c r="A5" s="53" t="s">
        <v>99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12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 t="s">
        <v>139</v>
      </c>
      <c r="C7" s="11" t="s">
        <v>16</v>
      </c>
      <c r="D7" s="9" t="s">
        <v>140</v>
      </c>
      <c r="E7" s="14">
        <v>42096</v>
      </c>
      <c r="F7" s="25" t="s">
        <v>18</v>
      </c>
      <c r="G7" s="19">
        <v>1</v>
      </c>
      <c r="H7" s="18"/>
      <c r="I7" s="18"/>
      <c r="J7" s="18"/>
      <c r="K7" s="1"/>
    </row>
    <row r="8" spans="1:11" ht="15" customHeight="1">
      <c r="A8" s="17">
        <f>A7+1</f>
        <v>2</v>
      </c>
      <c r="B8" s="14" t="s">
        <v>152</v>
      </c>
      <c r="C8" s="11" t="s">
        <v>16</v>
      </c>
      <c r="D8" s="9" t="s">
        <v>141</v>
      </c>
      <c r="E8" s="14">
        <v>42096</v>
      </c>
      <c r="F8" s="25" t="s">
        <v>18</v>
      </c>
      <c r="G8" s="19">
        <v>1</v>
      </c>
      <c r="H8" s="22"/>
      <c r="I8" s="2"/>
      <c r="J8" s="2"/>
      <c r="K8" s="1"/>
    </row>
    <row r="9" spans="1:11" ht="15" customHeight="1">
      <c r="A9" s="17">
        <f t="shared" ref="A9:A18" si="0">A8+1</f>
        <v>3</v>
      </c>
      <c r="B9" s="14" t="s">
        <v>153</v>
      </c>
      <c r="C9" s="11" t="s">
        <v>16</v>
      </c>
      <c r="D9" s="9" t="s">
        <v>142</v>
      </c>
      <c r="E9" s="14">
        <v>42096</v>
      </c>
      <c r="F9" s="25" t="s">
        <v>18</v>
      </c>
      <c r="G9" s="19">
        <v>1</v>
      </c>
      <c r="H9" s="22"/>
      <c r="I9" s="2"/>
      <c r="J9" s="2"/>
      <c r="K9" s="1"/>
    </row>
    <row r="10" spans="1:11" ht="15" customHeight="1">
      <c r="A10" s="17">
        <f t="shared" si="0"/>
        <v>4</v>
      </c>
      <c r="B10" s="15" t="s">
        <v>154</v>
      </c>
      <c r="C10" s="11" t="s">
        <v>16</v>
      </c>
      <c r="D10" s="9" t="s">
        <v>143</v>
      </c>
      <c r="E10" s="14">
        <v>42096</v>
      </c>
      <c r="F10" s="25" t="s">
        <v>18</v>
      </c>
      <c r="G10" s="19">
        <v>1</v>
      </c>
      <c r="H10" s="22"/>
      <c r="I10" s="2"/>
      <c r="J10" s="2"/>
      <c r="K10" s="1"/>
    </row>
    <row r="11" spans="1:11" ht="15" customHeight="1">
      <c r="A11" s="17">
        <f t="shared" si="0"/>
        <v>5</v>
      </c>
      <c r="B11" s="15" t="s">
        <v>155</v>
      </c>
      <c r="C11" s="11" t="s">
        <v>16</v>
      </c>
      <c r="D11" s="9" t="s">
        <v>144</v>
      </c>
      <c r="E11" s="14">
        <v>42099</v>
      </c>
      <c r="F11" s="25" t="s">
        <v>18</v>
      </c>
      <c r="G11" s="19">
        <v>1</v>
      </c>
      <c r="H11" s="22"/>
      <c r="I11" s="2"/>
      <c r="J11" s="2"/>
      <c r="K11" s="1"/>
    </row>
    <row r="12" spans="1:11" ht="15" customHeight="1">
      <c r="A12" s="17">
        <f t="shared" si="0"/>
        <v>6</v>
      </c>
      <c r="B12" s="10" t="s">
        <v>156</v>
      </c>
      <c r="C12" s="11" t="s">
        <v>16</v>
      </c>
      <c r="D12" s="9" t="s">
        <v>145</v>
      </c>
      <c r="E12" s="14">
        <v>42102</v>
      </c>
      <c r="F12" s="25" t="s">
        <v>18</v>
      </c>
      <c r="G12" s="19">
        <v>1</v>
      </c>
      <c r="H12" s="2"/>
      <c r="I12" s="2"/>
      <c r="J12" s="2"/>
      <c r="K12" s="1"/>
    </row>
    <row r="13" spans="1:11" ht="15" customHeight="1">
      <c r="A13" s="17">
        <f t="shared" si="0"/>
        <v>7</v>
      </c>
      <c r="B13" s="15" t="s">
        <v>157</v>
      </c>
      <c r="C13" s="11" t="s">
        <v>16</v>
      </c>
      <c r="D13" s="9" t="s">
        <v>146</v>
      </c>
      <c r="E13" s="14">
        <v>42120</v>
      </c>
      <c r="F13" s="25" t="s">
        <v>18</v>
      </c>
      <c r="G13" s="19">
        <v>1</v>
      </c>
      <c r="H13" s="2"/>
      <c r="I13" s="2"/>
      <c r="J13" s="2"/>
      <c r="K13" s="1"/>
    </row>
    <row r="14" spans="1:11" ht="15" customHeight="1">
      <c r="A14" s="17">
        <f t="shared" si="0"/>
        <v>8</v>
      </c>
      <c r="B14" s="15" t="s">
        <v>158</v>
      </c>
      <c r="C14" s="11" t="s">
        <v>16</v>
      </c>
      <c r="D14" s="9" t="s">
        <v>147</v>
      </c>
      <c r="E14" s="14">
        <v>42120</v>
      </c>
      <c r="F14" s="25" t="s">
        <v>18</v>
      </c>
      <c r="G14" s="12">
        <v>1</v>
      </c>
      <c r="H14" s="13"/>
      <c r="I14" s="2"/>
      <c r="J14" s="2"/>
      <c r="K14" s="1"/>
    </row>
    <row r="15" spans="1:11" ht="15" customHeight="1">
      <c r="A15" s="17">
        <f t="shared" si="0"/>
        <v>9</v>
      </c>
      <c r="B15" s="15" t="s">
        <v>159</v>
      </c>
      <c r="C15" s="11" t="s">
        <v>16</v>
      </c>
      <c r="D15" s="9" t="s">
        <v>148</v>
      </c>
      <c r="E15" s="14">
        <v>42120</v>
      </c>
      <c r="F15" s="25" t="s">
        <v>18</v>
      </c>
      <c r="G15" s="12">
        <v>1</v>
      </c>
      <c r="H15" s="13"/>
      <c r="I15" s="2"/>
      <c r="J15" s="2"/>
      <c r="K15" s="1"/>
    </row>
    <row r="16" spans="1:11" ht="15" customHeight="1">
      <c r="A16" s="17">
        <f t="shared" si="0"/>
        <v>10</v>
      </c>
      <c r="B16" s="15" t="s">
        <v>160</v>
      </c>
      <c r="C16" s="11" t="s">
        <v>16</v>
      </c>
      <c r="D16" s="9" t="s">
        <v>149</v>
      </c>
      <c r="E16" s="14">
        <v>42120</v>
      </c>
      <c r="F16" s="25" t="s">
        <v>18</v>
      </c>
      <c r="G16" s="12">
        <v>1</v>
      </c>
      <c r="H16" s="13"/>
      <c r="I16" s="2"/>
      <c r="J16" s="2"/>
      <c r="K16" s="1"/>
    </row>
    <row r="17" spans="1:10" ht="15" customHeight="1">
      <c r="A17" s="17">
        <f t="shared" si="0"/>
        <v>11</v>
      </c>
      <c r="B17" s="15" t="s">
        <v>161</v>
      </c>
      <c r="C17" s="11" t="s">
        <v>16</v>
      </c>
      <c r="D17" s="9" t="s">
        <v>150</v>
      </c>
      <c r="E17" s="14">
        <v>42120</v>
      </c>
      <c r="F17" s="25" t="s">
        <v>18</v>
      </c>
      <c r="G17" s="12">
        <v>1</v>
      </c>
      <c r="H17" s="13"/>
      <c r="I17" s="2"/>
      <c r="J17" s="2"/>
    </row>
    <row r="18" spans="1:10" ht="15" customHeight="1">
      <c r="A18" s="17">
        <f t="shared" si="0"/>
        <v>12</v>
      </c>
      <c r="B18" s="14" t="s">
        <v>162</v>
      </c>
      <c r="C18" s="11" t="s">
        <v>16</v>
      </c>
      <c r="D18" s="9" t="s">
        <v>151</v>
      </c>
      <c r="E18" s="14">
        <v>42121</v>
      </c>
      <c r="F18" s="25" t="s">
        <v>18</v>
      </c>
      <c r="G18" s="12">
        <v>1</v>
      </c>
      <c r="H18" s="13"/>
      <c r="I18" s="2"/>
      <c r="J18" s="2"/>
    </row>
  </sheetData>
  <mergeCells count="9">
    <mergeCell ref="A1:C1"/>
    <mergeCell ref="A5:F5"/>
    <mergeCell ref="I5:J5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topLeftCell="A7" workbookViewId="0">
      <selection activeCell="D17" sqref="D17"/>
    </sheetView>
  </sheetViews>
  <sheetFormatPr defaultColWidth="11.42578125" defaultRowHeight="15"/>
  <cols>
    <col min="1" max="1" width="7" customWidth="1"/>
    <col min="2" max="2" width="10.7109375" customWidth="1"/>
    <col min="6" max="6" width="20.42578125" customWidth="1"/>
    <col min="7" max="7" width="3.7109375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SUMIF(F7:F109,"Elimination*",G7:G109)</f>
        <v>15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SUMIF(F7:F109,"NB*",G7:G109)</f>
        <v>4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SUMIF(F7:F109,"Ve*",G7:G109)</f>
        <v>0</v>
      </c>
    </row>
    <row r="5" spans="1:11" ht="15.75">
      <c r="A5" s="53" t="s">
        <v>103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19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 t="s">
        <v>69</v>
      </c>
      <c r="C7" s="11" t="s">
        <v>16</v>
      </c>
      <c r="D7" s="9" t="s">
        <v>104</v>
      </c>
      <c r="E7" s="14">
        <v>42127</v>
      </c>
      <c r="F7" s="25" t="s">
        <v>21</v>
      </c>
      <c r="G7" s="19">
        <v>1</v>
      </c>
      <c r="H7" s="18"/>
      <c r="I7" s="18"/>
      <c r="J7" s="18"/>
      <c r="K7" s="1"/>
    </row>
    <row r="8" spans="1:11" ht="15" customHeight="1">
      <c r="A8" s="17">
        <f>A7+1</f>
        <v>2</v>
      </c>
      <c r="B8" s="14" t="s">
        <v>105</v>
      </c>
      <c r="C8" s="11" t="s">
        <v>16</v>
      </c>
      <c r="D8" s="9" t="s">
        <v>106</v>
      </c>
      <c r="E8" s="14">
        <v>42129</v>
      </c>
      <c r="F8" s="25" t="s">
        <v>107</v>
      </c>
      <c r="G8" s="19">
        <v>1</v>
      </c>
      <c r="H8" s="22"/>
      <c r="I8" s="2"/>
      <c r="J8" s="2"/>
      <c r="K8" s="1"/>
    </row>
    <row r="9" spans="1:11">
      <c r="A9" s="17">
        <f t="shared" ref="A9:A25" si="0">A8+1</f>
        <v>3</v>
      </c>
      <c r="B9" s="14" t="s">
        <v>108</v>
      </c>
      <c r="C9" s="11" t="s">
        <v>16</v>
      </c>
      <c r="D9" s="9" t="s">
        <v>109</v>
      </c>
      <c r="E9" s="14">
        <v>42129</v>
      </c>
      <c r="F9" s="25" t="s">
        <v>107</v>
      </c>
      <c r="G9" s="19">
        <v>1</v>
      </c>
      <c r="H9" s="22"/>
      <c r="I9" s="2"/>
      <c r="J9" s="2"/>
      <c r="K9" s="1"/>
    </row>
    <row r="10" spans="1:11">
      <c r="A10" s="17">
        <f t="shared" si="0"/>
        <v>4</v>
      </c>
      <c r="B10" s="15" t="s">
        <v>120</v>
      </c>
      <c r="C10" s="11" t="s">
        <v>26</v>
      </c>
      <c r="D10" s="9" t="s">
        <v>119</v>
      </c>
      <c r="E10" s="14">
        <v>42129</v>
      </c>
      <c r="F10" s="25" t="s">
        <v>107</v>
      </c>
      <c r="G10" s="19">
        <v>1</v>
      </c>
      <c r="H10" s="22"/>
      <c r="I10" s="2"/>
      <c r="J10" s="2"/>
      <c r="K10" s="1"/>
    </row>
    <row r="11" spans="1:11">
      <c r="A11" s="17">
        <f t="shared" si="0"/>
        <v>5</v>
      </c>
      <c r="B11" s="15" t="s">
        <v>69</v>
      </c>
      <c r="C11" s="11" t="s">
        <v>16</v>
      </c>
      <c r="D11" s="9" t="s">
        <v>110</v>
      </c>
      <c r="E11" s="14">
        <v>42130</v>
      </c>
      <c r="F11" s="25" t="s">
        <v>21</v>
      </c>
      <c r="G11" s="19">
        <v>1</v>
      </c>
      <c r="H11" s="22"/>
      <c r="I11" s="2"/>
      <c r="J11" s="2"/>
      <c r="K11" s="1"/>
    </row>
    <row r="12" spans="1:11">
      <c r="A12" s="17">
        <f t="shared" si="0"/>
        <v>6</v>
      </c>
      <c r="B12" s="15" t="s">
        <v>115</v>
      </c>
      <c r="C12" s="11" t="s">
        <v>16</v>
      </c>
      <c r="D12" s="9" t="s">
        <v>111</v>
      </c>
      <c r="E12" s="14">
        <v>42131</v>
      </c>
      <c r="F12" s="25" t="s">
        <v>107</v>
      </c>
      <c r="G12" s="19">
        <v>1</v>
      </c>
      <c r="H12" s="2"/>
      <c r="I12" s="2"/>
      <c r="J12" s="2"/>
      <c r="K12" s="1"/>
    </row>
    <row r="13" spans="1:11">
      <c r="A13" s="17">
        <f t="shared" si="0"/>
        <v>7</v>
      </c>
      <c r="B13" s="10" t="s">
        <v>116</v>
      </c>
      <c r="C13" s="11" t="s">
        <v>16</v>
      </c>
      <c r="D13" s="9" t="s">
        <v>112</v>
      </c>
      <c r="E13" s="14">
        <v>42131</v>
      </c>
      <c r="F13" s="25" t="s">
        <v>107</v>
      </c>
      <c r="G13" s="19">
        <v>1</v>
      </c>
      <c r="H13" s="2"/>
      <c r="I13" s="2"/>
      <c r="J13" s="2"/>
      <c r="K13" s="1"/>
    </row>
    <row r="14" spans="1:11">
      <c r="A14" s="17">
        <f t="shared" si="0"/>
        <v>8</v>
      </c>
      <c r="B14" s="15" t="s">
        <v>117</v>
      </c>
      <c r="C14" s="11" t="s">
        <v>16</v>
      </c>
      <c r="D14" s="9" t="s">
        <v>113</v>
      </c>
      <c r="E14" s="14">
        <v>42131</v>
      </c>
      <c r="F14" s="25" t="s">
        <v>107</v>
      </c>
      <c r="G14" s="12">
        <v>1</v>
      </c>
      <c r="H14" s="13"/>
      <c r="I14" s="2"/>
      <c r="J14" s="2"/>
      <c r="K14" s="1"/>
    </row>
    <row r="15" spans="1:11">
      <c r="A15" s="17">
        <f t="shared" si="0"/>
        <v>9</v>
      </c>
      <c r="B15" s="15" t="s">
        <v>118</v>
      </c>
      <c r="C15" s="11" t="s">
        <v>16</v>
      </c>
      <c r="D15" s="9" t="s">
        <v>114</v>
      </c>
      <c r="E15" s="14">
        <v>42136</v>
      </c>
      <c r="F15" s="25" t="s">
        <v>107</v>
      </c>
      <c r="G15" s="12">
        <v>1</v>
      </c>
      <c r="H15" s="13"/>
      <c r="I15" s="2"/>
      <c r="J15" s="2"/>
      <c r="K15" s="1"/>
    </row>
    <row r="16" spans="1:11">
      <c r="A16" s="17">
        <f t="shared" si="0"/>
        <v>10</v>
      </c>
      <c r="B16" s="15" t="s">
        <v>69</v>
      </c>
      <c r="C16" s="11" t="s">
        <v>16</v>
      </c>
      <c r="D16" s="9" t="s">
        <v>121</v>
      </c>
      <c r="E16" s="14">
        <v>42137</v>
      </c>
      <c r="F16" s="25" t="s">
        <v>21</v>
      </c>
      <c r="G16" s="12">
        <v>1</v>
      </c>
      <c r="H16" s="13"/>
      <c r="I16" s="2"/>
      <c r="J16" s="2"/>
      <c r="K16" s="1"/>
    </row>
    <row r="17" spans="1:10">
      <c r="A17" s="17">
        <f t="shared" si="0"/>
        <v>11</v>
      </c>
      <c r="B17" s="15" t="s">
        <v>69</v>
      </c>
      <c r="C17" s="11" t="s">
        <v>16</v>
      </c>
      <c r="D17" s="9" t="s">
        <v>124</v>
      </c>
      <c r="E17" s="14">
        <v>42138</v>
      </c>
      <c r="F17" s="25" t="s">
        <v>21</v>
      </c>
      <c r="G17" s="12">
        <v>1</v>
      </c>
      <c r="H17" s="13"/>
      <c r="I17" s="2"/>
      <c r="J17" s="2"/>
    </row>
    <row r="18" spans="1:10">
      <c r="A18" s="17">
        <f t="shared" si="0"/>
        <v>12</v>
      </c>
      <c r="B18" s="14" t="s">
        <v>122</v>
      </c>
      <c r="C18" s="11" t="s">
        <v>16</v>
      </c>
      <c r="D18" s="9" t="s">
        <v>123</v>
      </c>
      <c r="E18" s="14">
        <v>42141</v>
      </c>
      <c r="F18" s="25" t="s">
        <v>107</v>
      </c>
      <c r="G18" s="12">
        <v>1</v>
      </c>
      <c r="H18" s="13"/>
      <c r="I18" s="2"/>
      <c r="J18" s="2"/>
    </row>
    <row r="19" spans="1:10">
      <c r="A19" s="17">
        <f t="shared" si="0"/>
        <v>13</v>
      </c>
      <c r="B19" s="14" t="s">
        <v>132</v>
      </c>
      <c r="C19" s="11" t="s">
        <v>16</v>
      </c>
      <c r="D19" s="9" t="s">
        <v>125</v>
      </c>
      <c r="E19" s="14">
        <v>42141</v>
      </c>
      <c r="F19" s="25" t="s">
        <v>107</v>
      </c>
      <c r="G19" s="12">
        <v>1</v>
      </c>
      <c r="H19" s="13"/>
      <c r="I19" s="2"/>
      <c r="J19" s="2"/>
    </row>
    <row r="20" spans="1:10">
      <c r="A20" s="17">
        <f t="shared" si="0"/>
        <v>14</v>
      </c>
      <c r="B20" s="14" t="s">
        <v>136</v>
      </c>
      <c r="C20" s="11" t="s">
        <v>16</v>
      </c>
      <c r="D20" s="9" t="s">
        <v>129</v>
      </c>
      <c r="E20" s="14">
        <v>42141</v>
      </c>
      <c r="F20" s="25" t="s">
        <v>107</v>
      </c>
      <c r="G20" s="12">
        <v>1</v>
      </c>
    </row>
    <row r="21" spans="1:10">
      <c r="A21" s="17">
        <f t="shared" si="0"/>
        <v>15</v>
      </c>
      <c r="B21" s="14" t="s">
        <v>133</v>
      </c>
      <c r="C21" s="11" t="s">
        <v>16</v>
      </c>
      <c r="D21" s="9" t="s">
        <v>126</v>
      </c>
      <c r="E21" s="14">
        <v>42144</v>
      </c>
      <c r="F21" s="25" t="s">
        <v>107</v>
      </c>
      <c r="G21" s="12">
        <v>1</v>
      </c>
    </row>
    <row r="22" spans="1:10">
      <c r="A22" s="17">
        <f t="shared" si="0"/>
        <v>16</v>
      </c>
      <c r="B22" s="14" t="s">
        <v>134</v>
      </c>
      <c r="C22" s="11" t="s">
        <v>16</v>
      </c>
      <c r="D22" s="9" t="s">
        <v>127</v>
      </c>
      <c r="E22" s="14">
        <v>42145</v>
      </c>
      <c r="F22" s="25" t="s">
        <v>107</v>
      </c>
      <c r="G22" s="12">
        <v>1</v>
      </c>
    </row>
    <row r="23" spans="1:10">
      <c r="A23" s="17">
        <f t="shared" si="0"/>
        <v>17</v>
      </c>
      <c r="B23" s="14" t="s">
        <v>135</v>
      </c>
      <c r="C23" s="11" t="s">
        <v>16</v>
      </c>
      <c r="D23" s="9" t="s">
        <v>128</v>
      </c>
      <c r="E23" s="14">
        <v>42149</v>
      </c>
      <c r="F23" s="25" t="s">
        <v>107</v>
      </c>
      <c r="G23" s="12">
        <v>1</v>
      </c>
    </row>
    <row r="24" spans="1:10">
      <c r="A24" s="17">
        <f t="shared" si="0"/>
        <v>18</v>
      </c>
      <c r="B24" s="14" t="s">
        <v>137</v>
      </c>
      <c r="C24" s="11" t="s">
        <v>16</v>
      </c>
      <c r="D24" s="9" t="s">
        <v>130</v>
      </c>
      <c r="E24" s="14">
        <v>42149</v>
      </c>
      <c r="F24" s="25" t="s">
        <v>107</v>
      </c>
      <c r="G24" s="12">
        <v>1</v>
      </c>
    </row>
    <row r="25" spans="1:10">
      <c r="A25" s="17">
        <f t="shared" si="0"/>
        <v>19</v>
      </c>
      <c r="B25" s="14" t="s">
        <v>138</v>
      </c>
      <c r="C25" s="11" t="s">
        <v>16</v>
      </c>
      <c r="D25" s="9" t="s">
        <v>131</v>
      </c>
      <c r="E25" s="14">
        <v>42150</v>
      </c>
      <c r="F25" s="25" t="s">
        <v>107</v>
      </c>
      <c r="G25" s="12">
        <v>1</v>
      </c>
    </row>
  </sheetData>
  <sortState ref="B7:F25">
    <sortCondition ref="E7:E2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selection activeCell="I11" sqref="I11"/>
    </sheetView>
  </sheetViews>
  <sheetFormatPr defaultColWidth="11.42578125" defaultRowHeight="15"/>
  <cols>
    <col min="1" max="1" width="7" customWidth="1"/>
    <col min="2" max="2" width="10.7109375" customWidth="1"/>
    <col min="6" max="6" width="19" customWidth="1"/>
    <col min="7" max="7" width="0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SUMIF(F7:F98,"Elimination*",G7:G98)</f>
        <v>9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SUMIF(F7:F98,"NB*",G7:G98)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SUMIF(F7:F98,"Ve*",G7:G98)</f>
        <v>0</v>
      </c>
    </row>
    <row r="5" spans="1:11" ht="15.75">
      <c r="A5" s="53" t="s">
        <v>164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9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 t="s">
        <v>165</v>
      </c>
      <c r="C7" s="11" t="s">
        <v>16</v>
      </c>
      <c r="D7" s="9" t="s">
        <v>167</v>
      </c>
      <c r="E7" s="14">
        <v>42185</v>
      </c>
      <c r="F7" s="25" t="s">
        <v>107</v>
      </c>
      <c r="G7" s="19">
        <v>1</v>
      </c>
      <c r="H7" s="18"/>
      <c r="I7" s="18"/>
      <c r="J7" s="18"/>
      <c r="K7" s="1"/>
    </row>
    <row r="8" spans="1:11">
      <c r="A8" s="17">
        <f>A7+1</f>
        <v>2</v>
      </c>
      <c r="B8" s="14" t="s">
        <v>166</v>
      </c>
      <c r="C8" s="11" t="s">
        <v>16</v>
      </c>
      <c r="D8" s="9" t="s">
        <v>168</v>
      </c>
      <c r="E8" s="14">
        <v>42185</v>
      </c>
      <c r="F8" s="25" t="s">
        <v>107</v>
      </c>
      <c r="G8" s="19">
        <v>1</v>
      </c>
      <c r="H8" s="22"/>
      <c r="I8" s="2"/>
      <c r="J8" s="2"/>
      <c r="K8" s="1"/>
    </row>
    <row r="9" spans="1:11">
      <c r="A9" s="17">
        <f t="shared" ref="A9:A15" si="0">A8+1</f>
        <v>3</v>
      </c>
      <c r="B9" s="14" t="s">
        <v>169</v>
      </c>
      <c r="C9" s="11" t="s">
        <v>16</v>
      </c>
      <c r="D9" s="9" t="s">
        <v>170</v>
      </c>
      <c r="E9" s="14">
        <v>42185</v>
      </c>
      <c r="F9" s="25" t="s">
        <v>107</v>
      </c>
      <c r="G9" s="19">
        <v>1</v>
      </c>
      <c r="H9" s="22"/>
      <c r="I9" s="2"/>
      <c r="J9" s="2"/>
      <c r="K9" s="1"/>
    </row>
    <row r="10" spans="1:11">
      <c r="A10" s="17">
        <f t="shared" si="0"/>
        <v>4</v>
      </c>
      <c r="B10" s="15" t="s">
        <v>171</v>
      </c>
      <c r="C10" s="11" t="s">
        <v>16</v>
      </c>
      <c r="D10" s="9" t="s">
        <v>172</v>
      </c>
      <c r="E10" s="14">
        <v>42185</v>
      </c>
      <c r="F10" s="25" t="s">
        <v>107</v>
      </c>
      <c r="G10" s="19">
        <v>1</v>
      </c>
      <c r="H10" s="22"/>
      <c r="I10" s="2"/>
      <c r="J10" s="2"/>
      <c r="K10" s="1"/>
    </row>
    <row r="11" spans="1:11">
      <c r="A11" s="17">
        <f t="shared" si="0"/>
        <v>5</v>
      </c>
      <c r="B11" s="15" t="s">
        <v>173</v>
      </c>
      <c r="C11" s="11" t="s">
        <v>16</v>
      </c>
      <c r="D11" s="9" t="s">
        <v>174</v>
      </c>
      <c r="E11" s="14">
        <v>42185</v>
      </c>
      <c r="F11" s="25" t="s">
        <v>107</v>
      </c>
      <c r="G11" s="19">
        <v>1</v>
      </c>
      <c r="H11" s="22"/>
      <c r="I11" s="2"/>
      <c r="J11" s="2"/>
      <c r="K11" s="1"/>
    </row>
    <row r="12" spans="1:11">
      <c r="A12" s="17">
        <f t="shared" si="0"/>
        <v>6</v>
      </c>
      <c r="B12" s="15" t="s">
        <v>175</v>
      </c>
      <c r="C12" s="11" t="s">
        <v>16</v>
      </c>
      <c r="D12" s="9" t="s">
        <v>176</v>
      </c>
      <c r="E12" s="14">
        <v>42185</v>
      </c>
      <c r="F12" s="25" t="s">
        <v>107</v>
      </c>
      <c r="G12" s="19">
        <v>1</v>
      </c>
      <c r="H12" s="2"/>
      <c r="I12" s="2"/>
      <c r="J12" s="2"/>
      <c r="K12" s="1"/>
    </row>
    <row r="13" spans="1:11">
      <c r="A13" s="17">
        <f t="shared" si="0"/>
        <v>7</v>
      </c>
      <c r="B13" s="10" t="s">
        <v>177</v>
      </c>
      <c r="C13" s="11" t="s">
        <v>16</v>
      </c>
      <c r="D13" s="9" t="s">
        <v>178</v>
      </c>
      <c r="E13" s="14">
        <v>42185</v>
      </c>
      <c r="F13" s="25" t="s">
        <v>107</v>
      </c>
      <c r="G13" s="19">
        <v>1</v>
      </c>
      <c r="H13" s="2"/>
      <c r="I13" s="2"/>
      <c r="J13" s="2"/>
      <c r="K13" s="1"/>
    </row>
    <row r="14" spans="1:11">
      <c r="A14" s="17">
        <f t="shared" si="0"/>
        <v>8</v>
      </c>
      <c r="B14" s="15" t="s">
        <v>179</v>
      </c>
      <c r="C14" s="11" t="s">
        <v>16</v>
      </c>
      <c r="D14" s="9" t="s">
        <v>180</v>
      </c>
      <c r="E14" s="14">
        <v>42185</v>
      </c>
      <c r="F14" s="25" t="s">
        <v>107</v>
      </c>
      <c r="G14" s="12">
        <v>1</v>
      </c>
      <c r="H14" s="13"/>
      <c r="I14" s="2"/>
      <c r="J14" s="2"/>
      <c r="K14" s="1"/>
    </row>
    <row r="15" spans="1:11">
      <c r="A15" s="17">
        <f t="shared" si="0"/>
        <v>9</v>
      </c>
      <c r="B15" s="15" t="s">
        <v>181</v>
      </c>
      <c r="C15" s="11" t="s">
        <v>16</v>
      </c>
      <c r="D15" s="9" t="s">
        <v>182</v>
      </c>
      <c r="E15" s="14">
        <v>42185</v>
      </c>
      <c r="F15" s="25" t="s">
        <v>107</v>
      </c>
      <c r="G15" s="12">
        <v>1</v>
      </c>
      <c r="H15" s="13"/>
      <c r="I15" s="2"/>
      <c r="J15" s="2"/>
      <c r="K15" s="1"/>
    </row>
  </sheetData>
  <sheetProtection sheet="1" objects="1" scenarios="1"/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selection activeCell="C22" sqref="C22"/>
    </sheetView>
  </sheetViews>
  <sheetFormatPr defaultColWidth="11.42578125" defaultRowHeight="15"/>
  <cols>
    <col min="1" max="1" width="7" customWidth="1"/>
    <col min="2" max="2" width="10.7109375" customWidth="1"/>
    <col min="6" max="6" width="19" customWidth="1"/>
    <col min="7" max="7" width="0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SUMIF(F7:F94,"Elimination*",G7:G94)</f>
        <v>4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SUMIF(F7:F94,"NB*",G7:G94)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SUMIF(F7:F94,"Ve*",G7:G94)</f>
        <v>0</v>
      </c>
    </row>
    <row r="5" spans="1:11" ht="15.75">
      <c r="A5" s="53" t="s">
        <v>193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4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 t="s">
        <v>183</v>
      </c>
      <c r="C7" s="11" t="s">
        <v>16</v>
      </c>
      <c r="D7" s="9" t="s">
        <v>184</v>
      </c>
      <c r="E7" s="14">
        <v>42197</v>
      </c>
      <c r="F7" s="25" t="s">
        <v>107</v>
      </c>
      <c r="G7" s="19">
        <v>1</v>
      </c>
      <c r="H7" s="18"/>
      <c r="I7" s="18"/>
      <c r="J7" s="18"/>
      <c r="K7" s="1"/>
    </row>
    <row r="8" spans="1:11">
      <c r="A8" s="17">
        <f>A7+1</f>
        <v>2</v>
      </c>
      <c r="B8" s="14" t="s">
        <v>187</v>
      </c>
      <c r="C8" s="11" t="s">
        <v>16</v>
      </c>
      <c r="D8" s="49">
        <v>202560</v>
      </c>
      <c r="E8" s="14">
        <v>42197</v>
      </c>
      <c r="F8" s="25"/>
      <c r="G8" s="19">
        <v>1</v>
      </c>
      <c r="H8" s="48" t="s">
        <v>188</v>
      </c>
      <c r="I8" s="2"/>
      <c r="J8" s="2"/>
      <c r="K8" s="1"/>
    </row>
    <row r="9" spans="1:11">
      <c r="A9" s="17">
        <f t="shared" ref="A9:A11" si="0">A8+1</f>
        <v>3</v>
      </c>
      <c r="B9" s="14" t="s">
        <v>185</v>
      </c>
      <c r="C9" s="11" t="s">
        <v>16</v>
      </c>
      <c r="D9" s="30" t="s">
        <v>186</v>
      </c>
      <c r="E9" s="14">
        <v>42205</v>
      </c>
      <c r="F9" s="25" t="s">
        <v>107</v>
      </c>
      <c r="G9" s="19">
        <v>1</v>
      </c>
      <c r="H9" s="22"/>
      <c r="I9" s="2"/>
      <c r="J9" s="2"/>
      <c r="K9" s="1"/>
    </row>
    <row r="10" spans="1:11">
      <c r="A10" s="17">
        <f t="shared" si="0"/>
        <v>4</v>
      </c>
      <c r="B10" s="15" t="s">
        <v>189</v>
      </c>
      <c r="C10" s="11" t="s">
        <v>16</v>
      </c>
      <c r="D10" s="9" t="s">
        <v>190</v>
      </c>
      <c r="E10" s="14">
        <v>42207</v>
      </c>
      <c r="F10" s="25" t="s">
        <v>107</v>
      </c>
      <c r="G10" s="19">
        <v>1</v>
      </c>
      <c r="H10" s="22"/>
      <c r="I10" s="2"/>
      <c r="J10" s="2"/>
      <c r="K10" s="1"/>
    </row>
    <row r="11" spans="1:11">
      <c r="A11" s="17">
        <f t="shared" si="0"/>
        <v>5</v>
      </c>
      <c r="B11" s="15" t="s">
        <v>191</v>
      </c>
      <c r="C11" s="11" t="s">
        <v>16</v>
      </c>
      <c r="D11" s="9" t="s">
        <v>192</v>
      </c>
      <c r="E11" s="14">
        <v>42212</v>
      </c>
      <c r="F11" s="25" t="s">
        <v>107</v>
      </c>
      <c r="G11" s="19">
        <v>1</v>
      </c>
      <c r="H11" s="22"/>
      <c r="I11" s="2"/>
      <c r="J11" s="2"/>
      <c r="K11" s="1"/>
    </row>
  </sheetData>
  <sheetProtection sheet="1" objects="1" scenarios="1"/>
  <sortState ref="B7:H11">
    <sortCondition ref="E7:E1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F7" sqref="F7"/>
    </sheetView>
  </sheetViews>
  <sheetFormatPr defaultColWidth="11.42578125" defaultRowHeight="15"/>
  <cols>
    <col min="1" max="1" width="7" customWidth="1"/>
    <col min="2" max="2" width="10.7109375" customWidth="1"/>
    <col min="6" max="6" width="19" customWidth="1"/>
    <col min="7" max="7" width="0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SUMIF(F7:F90,"Elimination*",G7:G90)</f>
        <v>1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SUMIF(F7:F90,"NB*",G7:G90)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SUMIF(F7:F90,"Ve*",G7:G90)</f>
        <v>0</v>
      </c>
    </row>
    <row r="5" spans="1:11" ht="15.75">
      <c r="A5" s="53" t="s">
        <v>194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1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 t="s">
        <v>195</v>
      </c>
      <c r="C7" s="11" t="s">
        <v>16</v>
      </c>
      <c r="D7" s="9" t="s">
        <v>196</v>
      </c>
      <c r="E7" s="14">
        <v>42236</v>
      </c>
      <c r="F7" s="25" t="s">
        <v>107</v>
      </c>
      <c r="G7" s="19">
        <v>1</v>
      </c>
      <c r="H7" s="18"/>
      <c r="I7" s="18"/>
      <c r="J7" s="18"/>
      <c r="K7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F23" sqref="A1:F23"/>
    </sheetView>
  </sheetViews>
  <sheetFormatPr defaultColWidth="11.42578125" defaultRowHeight="15"/>
  <cols>
    <col min="1" max="1" width="7" customWidth="1"/>
    <col min="2" max="2" width="10.7109375" customWidth="1"/>
    <col min="6" max="6" width="19" customWidth="1"/>
    <col min="7" max="7" width="1.85546875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SUMIF(F7:F81,"Elimination*",G7:G81)</f>
        <v>15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SUMIF(F7:F81,"NB*",G7:G81)</f>
        <v>2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SUMIF(F7:F81,"Ve*",G7:G81)</f>
        <v>0</v>
      </c>
    </row>
    <row r="5" spans="1:11" ht="15.75">
      <c r="A5" s="53" t="s">
        <v>197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17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 t="s">
        <v>198</v>
      </c>
      <c r="C7" s="11" t="s">
        <v>16</v>
      </c>
      <c r="D7" s="9" t="s">
        <v>199</v>
      </c>
      <c r="E7" s="14">
        <v>42254</v>
      </c>
      <c r="F7" s="25" t="s">
        <v>107</v>
      </c>
      <c r="G7" s="19">
        <v>1</v>
      </c>
      <c r="H7" s="18"/>
      <c r="I7" s="18"/>
      <c r="J7" s="18"/>
      <c r="K7" s="1"/>
    </row>
    <row r="8" spans="1:11">
      <c r="A8" s="17">
        <f>+A7+1</f>
        <v>2</v>
      </c>
      <c r="B8" s="15" t="s">
        <v>200</v>
      </c>
      <c r="C8" s="11" t="s">
        <v>16</v>
      </c>
      <c r="D8" s="9" t="s">
        <v>201</v>
      </c>
      <c r="E8" s="14">
        <v>42254</v>
      </c>
      <c r="F8" s="25" t="s">
        <v>107</v>
      </c>
      <c r="G8" s="19">
        <v>1</v>
      </c>
    </row>
    <row r="9" spans="1:11">
      <c r="A9" s="17">
        <f t="shared" ref="A9:A23" si="0">+A8+1</f>
        <v>3</v>
      </c>
      <c r="B9" s="15" t="s">
        <v>69</v>
      </c>
      <c r="C9" s="11" t="s">
        <v>16</v>
      </c>
      <c r="D9" s="9" t="s">
        <v>202</v>
      </c>
      <c r="E9" s="14">
        <v>42256</v>
      </c>
      <c r="F9" s="25" t="s">
        <v>203</v>
      </c>
      <c r="G9" s="19">
        <v>1</v>
      </c>
    </row>
    <row r="10" spans="1:11">
      <c r="A10" s="17">
        <f t="shared" si="0"/>
        <v>4</v>
      </c>
      <c r="B10" s="15" t="s">
        <v>227</v>
      </c>
      <c r="C10" s="11" t="s">
        <v>16</v>
      </c>
      <c r="D10" s="9" t="s">
        <v>204</v>
      </c>
      <c r="E10" s="14">
        <v>42261</v>
      </c>
      <c r="F10" s="25" t="s">
        <v>107</v>
      </c>
      <c r="G10" s="19">
        <v>1</v>
      </c>
    </row>
    <row r="11" spans="1:11">
      <c r="A11" s="17">
        <f t="shared" si="0"/>
        <v>5</v>
      </c>
      <c r="B11" s="15" t="s">
        <v>205</v>
      </c>
      <c r="C11" s="11" t="s">
        <v>16</v>
      </c>
      <c r="D11" s="9" t="s">
        <v>206</v>
      </c>
      <c r="E11" s="14">
        <v>42261</v>
      </c>
      <c r="F11" s="25" t="s">
        <v>107</v>
      </c>
      <c r="G11" s="19">
        <v>1</v>
      </c>
    </row>
    <row r="12" spans="1:11">
      <c r="A12" s="17">
        <f t="shared" si="0"/>
        <v>6</v>
      </c>
      <c r="B12" s="15" t="s">
        <v>207</v>
      </c>
      <c r="C12" s="11" t="s">
        <v>16</v>
      </c>
      <c r="D12" s="9" t="s">
        <v>208</v>
      </c>
      <c r="E12" s="14">
        <v>42261</v>
      </c>
      <c r="F12" s="25" t="s">
        <v>107</v>
      </c>
      <c r="G12" s="19">
        <v>1</v>
      </c>
    </row>
    <row r="13" spans="1:11">
      <c r="A13" s="17">
        <f t="shared" si="0"/>
        <v>7</v>
      </c>
      <c r="B13" s="15" t="s">
        <v>209</v>
      </c>
      <c r="C13" s="11" t="s">
        <v>16</v>
      </c>
      <c r="D13" s="9" t="s">
        <v>210</v>
      </c>
      <c r="E13" s="14">
        <v>42261</v>
      </c>
      <c r="F13" s="25" t="s">
        <v>107</v>
      </c>
      <c r="G13" s="19">
        <v>1</v>
      </c>
    </row>
    <row r="14" spans="1:11">
      <c r="A14" s="17">
        <f t="shared" si="0"/>
        <v>8</v>
      </c>
      <c r="B14" s="15" t="s">
        <v>211</v>
      </c>
      <c r="C14" s="11" t="s">
        <v>16</v>
      </c>
      <c r="D14" s="9" t="s">
        <v>212</v>
      </c>
      <c r="E14" s="14">
        <v>42270</v>
      </c>
      <c r="F14" s="25" t="s">
        <v>107</v>
      </c>
      <c r="G14" s="19">
        <v>1</v>
      </c>
    </row>
    <row r="15" spans="1:11">
      <c r="A15" s="17">
        <f t="shared" si="0"/>
        <v>9</v>
      </c>
      <c r="B15" s="15" t="s">
        <v>69</v>
      </c>
      <c r="C15" s="11" t="s">
        <v>16</v>
      </c>
      <c r="D15" s="9" t="s">
        <v>214</v>
      </c>
      <c r="E15" s="14">
        <v>42270</v>
      </c>
      <c r="F15" s="25" t="s">
        <v>213</v>
      </c>
      <c r="G15" s="19">
        <v>1</v>
      </c>
    </row>
    <row r="16" spans="1:11">
      <c r="A16" s="17">
        <f t="shared" si="0"/>
        <v>10</v>
      </c>
      <c r="B16" s="15" t="s">
        <v>215</v>
      </c>
      <c r="C16" s="11" t="s">
        <v>16</v>
      </c>
      <c r="D16" s="9" t="s">
        <v>216</v>
      </c>
      <c r="E16" s="14">
        <v>42274</v>
      </c>
      <c r="F16" s="25" t="s">
        <v>107</v>
      </c>
      <c r="G16" s="19">
        <v>1</v>
      </c>
    </row>
    <row r="17" spans="1:8">
      <c r="A17" s="17">
        <f t="shared" si="0"/>
        <v>11</v>
      </c>
      <c r="B17" s="15" t="s">
        <v>228</v>
      </c>
      <c r="C17" s="11" t="s">
        <v>16</v>
      </c>
      <c r="D17" s="9" t="s">
        <v>217</v>
      </c>
      <c r="E17" s="14">
        <v>42274</v>
      </c>
      <c r="F17" s="25" t="s">
        <v>107</v>
      </c>
      <c r="G17" s="19">
        <v>1</v>
      </c>
      <c r="H17" t="s">
        <v>232</v>
      </c>
    </row>
    <row r="18" spans="1:8">
      <c r="A18" s="17">
        <f t="shared" si="0"/>
        <v>12</v>
      </c>
      <c r="B18" s="15" t="s">
        <v>229</v>
      </c>
      <c r="C18" s="11" t="s">
        <v>16</v>
      </c>
      <c r="D18" s="9" t="s">
        <v>218</v>
      </c>
      <c r="E18" s="14">
        <v>42274</v>
      </c>
      <c r="F18" s="25" t="s">
        <v>107</v>
      </c>
      <c r="G18" s="19">
        <v>1</v>
      </c>
    </row>
    <row r="19" spans="1:8">
      <c r="A19" s="17">
        <f t="shared" si="0"/>
        <v>13</v>
      </c>
      <c r="B19" s="15" t="s">
        <v>230</v>
      </c>
      <c r="C19" s="11" t="s">
        <v>16</v>
      </c>
      <c r="D19" s="9" t="s">
        <v>219</v>
      </c>
      <c r="E19" s="14">
        <v>42274</v>
      </c>
      <c r="F19" s="25" t="s">
        <v>107</v>
      </c>
      <c r="G19" s="19">
        <v>1</v>
      </c>
      <c r="H19" t="s">
        <v>232</v>
      </c>
    </row>
    <row r="20" spans="1:8">
      <c r="A20" s="17">
        <f t="shared" si="0"/>
        <v>14</v>
      </c>
      <c r="B20" s="15" t="s">
        <v>231</v>
      </c>
      <c r="C20" s="11" t="s">
        <v>16</v>
      </c>
      <c r="D20" s="9" t="s">
        <v>220</v>
      </c>
      <c r="E20" s="14">
        <v>42275</v>
      </c>
      <c r="F20" s="25" t="s">
        <v>107</v>
      </c>
      <c r="G20" s="19">
        <v>1</v>
      </c>
      <c r="H20" t="s">
        <v>232</v>
      </c>
    </row>
    <row r="21" spans="1:8">
      <c r="A21" s="17">
        <f t="shared" si="0"/>
        <v>15</v>
      </c>
      <c r="B21" s="15" t="s">
        <v>221</v>
      </c>
      <c r="C21" s="11" t="s">
        <v>16</v>
      </c>
      <c r="D21" s="9" t="s">
        <v>222</v>
      </c>
      <c r="E21" s="14">
        <v>42275</v>
      </c>
      <c r="F21" s="25" t="s">
        <v>107</v>
      </c>
      <c r="G21" s="19">
        <v>1</v>
      </c>
    </row>
    <row r="22" spans="1:8">
      <c r="A22" s="17">
        <f t="shared" si="0"/>
        <v>16</v>
      </c>
      <c r="B22" s="15" t="s">
        <v>223</v>
      </c>
      <c r="C22" s="11" t="s">
        <v>16</v>
      </c>
      <c r="D22" s="9" t="s">
        <v>224</v>
      </c>
      <c r="E22" s="14">
        <v>42276</v>
      </c>
      <c r="F22" s="25" t="s">
        <v>107</v>
      </c>
      <c r="G22" s="19">
        <v>1</v>
      </c>
    </row>
    <row r="23" spans="1:8">
      <c r="A23" s="17">
        <f t="shared" si="0"/>
        <v>17</v>
      </c>
      <c r="B23" s="15" t="s">
        <v>225</v>
      </c>
      <c r="C23" s="11" t="s">
        <v>16</v>
      </c>
      <c r="D23" s="9" t="s">
        <v>226</v>
      </c>
      <c r="E23" s="14">
        <v>42276</v>
      </c>
      <c r="F23" s="25" t="s">
        <v>107</v>
      </c>
      <c r="G23" s="19">
        <v>1</v>
      </c>
    </row>
  </sheetData>
  <sheetProtection sheet="1" objects="1" scenarios="1"/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F12" sqref="F12"/>
    </sheetView>
  </sheetViews>
  <sheetFormatPr defaultColWidth="11.42578125" defaultRowHeight="15"/>
  <cols>
    <col min="1" max="1" width="7" customWidth="1"/>
    <col min="2" max="2" width="10.7109375" customWidth="1"/>
    <col min="6" max="6" width="19" customWidth="1"/>
    <col min="7" max="7" width="0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SUMIF(F7:F81,"Elimination*",G7:G81)</f>
        <v>1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SUMIF(F7:F81,"NB*",G7:G81)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SUMIF(F7:F81,"Ve*",G7:G81)</f>
        <v>0</v>
      </c>
    </row>
    <row r="5" spans="1:11" ht="15.75">
      <c r="A5" s="53" t="s">
        <v>233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1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 t="s">
        <v>234</v>
      </c>
      <c r="C7" s="11" t="s">
        <v>16</v>
      </c>
      <c r="D7" s="9" t="s">
        <v>235</v>
      </c>
      <c r="E7" s="14">
        <v>42278</v>
      </c>
      <c r="F7" s="25" t="s">
        <v>107</v>
      </c>
      <c r="G7" s="19">
        <v>1</v>
      </c>
      <c r="H7" s="18"/>
      <c r="I7" s="18"/>
      <c r="J7" s="18"/>
      <c r="K7" s="1"/>
    </row>
    <row r="8" spans="1:11">
      <c r="A8" s="17">
        <f>+A7+1</f>
        <v>2</v>
      </c>
      <c r="B8" s="15"/>
      <c r="C8" s="11"/>
      <c r="D8" s="9"/>
      <c r="E8" s="14"/>
      <c r="F8" s="25"/>
      <c r="G8" s="19">
        <v>1</v>
      </c>
    </row>
    <row r="9" spans="1:11">
      <c r="A9" s="17">
        <f t="shared" ref="A9:A23" si="0">+A8+1</f>
        <v>3</v>
      </c>
      <c r="B9" s="15"/>
      <c r="C9" s="11"/>
      <c r="D9" s="9"/>
      <c r="E9" s="14"/>
      <c r="F9" s="25"/>
      <c r="G9" s="19">
        <v>1</v>
      </c>
    </row>
    <row r="10" spans="1:11">
      <c r="A10" s="17">
        <f t="shared" si="0"/>
        <v>4</v>
      </c>
      <c r="B10" s="15"/>
      <c r="C10" s="11"/>
      <c r="D10" s="9"/>
      <c r="E10" s="14"/>
      <c r="F10" s="25"/>
      <c r="G10" s="19">
        <v>1</v>
      </c>
    </row>
    <row r="11" spans="1:11">
      <c r="A11" s="17">
        <f t="shared" si="0"/>
        <v>5</v>
      </c>
      <c r="B11" s="15"/>
      <c r="C11" s="11"/>
      <c r="D11" s="9"/>
      <c r="E11" s="14"/>
      <c r="F11" s="25"/>
      <c r="G11" s="19">
        <v>1</v>
      </c>
    </row>
    <row r="12" spans="1:11">
      <c r="A12" s="17">
        <f t="shared" si="0"/>
        <v>6</v>
      </c>
      <c r="B12" s="15"/>
      <c r="C12" s="11"/>
      <c r="D12" s="9"/>
      <c r="E12" s="14"/>
      <c r="F12" s="25"/>
      <c r="G12" s="19">
        <v>1</v>
      </c>
    </row>
    <row r="13" spans="1:11">
      <c r="A13" s="17">
        <f t="shared" si="0"/>
        <v>7</v>
      </c>
      <c r="B13" s="15"/>
      <c r="C13" s="11"/>
      <c r="D13" s="9"/>
      <c r="E13" s="14"/>
      <c r="F13" s="25"/>
      <c r="G13" s="19">
        <v>1</v>
      </c>
    </row>
    <row r="14" spans="1:11">
      <c r="A14" s="17">
        <f t="shared" si="0"/>
        <v>8</v>
      </c>
      <c r="B14" s="15"/>
      <c r="C14" s="11"/>
      <c r="D14" s="9"/>
      <c r="E14" s="14"/>
      <c r="F14" s="25"/>
      <c r="G14" s="19">
        <v>1</v>
      </c>
    </row>
    <row r="15" spans="1:11">
      <c r="A15" s="17">
        <f t="shared" si="0"/>
        <v>9</v>
      </c>
      <c r="B15" s="15"/>
      <c r="C15" s="11"/>
      <c r="D15" s="9"/>
      <c r="E15" s="14"/>
      <c r="F15" s="25"/>
      <c r="G15" s="19">
        <v>1</v>
      </c>
    </row>
    <row r="16" spans="1:11">
      <c r="A16" s="17">
        <f t="shared" si="0"/>
        <v>10</v>
      </c>
      <c r="B16" s="15"/>
      <c r="C16" s="11"/>
      <c r="D16" s="9"/>
      <c r="E16" s="14"/>
      <c r="F16" s="25"/>
      <c r="G16" s="19">
        <v>1</v>
      </c>
    </row>
    <row r="17" spans="1:7">
      <c r="A17" s="17">
        <f t="shared" si="0"/>
        <v>11</v>
      </c>
      <c r="B17" s="15"/>
      <c r="C17" s="11"/>
      <c r="D17" s="9"/>
      <c r="E17" s="14"/>
      <c r="F17" s="25"/>
      <c r="G17" s="19">
        <v>1</v>
      </c>
    </row>
    <row r="18" spans="1:7">
      <c r="A18" s="17">
        <f t="shared" si="0"/>
        <v>12</v>
      </c>
      <c r="B18" s="15"/>
      <c r="C18" s="11"/>
      <c r="D18" s="9"/>
      <c r="E18" s="14"/>
      <c r="F18" s="25"/>
      <c r="G18" s="19">
        <v>1</v>
      </c>
    </row>
    <row r="19" spans="1:7">
      <c r="A19" s="17">
        <f t="shared" si="0"/>
        <v>13</v>
      </c>
      <c r="B19" s="15"/>
      <c r="C19" s="11"/>
      <c r="D19" s="9"/>
      <c r="E19" s="14"/>
      <c r="F19" s="25"/>
      <c r="G19" s="19">
        <v>1</v>
      </c>
    </row>
    <row r="20" spans="1:7">
      <c r="A20" s="17">
        <f t="shared" si="0"/>
        <v>14</v>
      </c>
      <c r="B20" s="15"/>
      <c r="C20" s="11"/>
      <c r="D20" s="9"/>
      <c r="E20" s="14"/>
      <c r="F20" s="25"/>
      <c r="G20" s="19">
        <v>1</v>
      </c>
    </row>
    <row r="21" spans="1:7">
      <c r="A21" s="17">
        <f t="shared" si="0"/>
        <v>15</v>
      </c>
      <c r="B21" s="15"/>
      <c r="C21" s="11"/>
      <c r="D21" s="9"/>
      <c r="E21" s="14"/>
      <c r="F21" s="25"/>
      <c r="G21" s="19">
        <v>1</v>
      </c>
    </row>
    <row r="22" spans="1:7">
      <c r="A22" s="17">
        <f t="shared" si="0"/>
        <v>16</v>
      </c>
      <c r="B22" s="15"/>
      <c r="C22" s="11"/>
      <c r="D22" s="9"/>
      <c r="E22" s="14"/>
      <c r="F22" s="25"/>
      <c r="G22" s="19">
        <v>1</v>
      </c>
    </row>
    <row r="23" spans="1:7">
      <c r="A23" s="17">
        <f t="shared" si="0"/>
        <v>17</v>
      </c>
      <c r="B23" s="15"/>
      <c r="C23" s="11"/>
      <c r="D23" s="9"/>
      <c r="E23" s="14"/>
      <c r="F23" s="25"/>
      <c r="G23" s="19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E17" sqref="E17"/>
    </sheetView>
  </sheetViews>
  <sheetFormatPr defaultColWidth="11.42578125" defaultRowHeight="15"/>
  <cols>
    <col min="1" max="1" width="7" customWidth="1"/>
    <col min="2" max="2" width="10.7109375" customWidth="1"/>
    <col min="6" max="6" width="19" customWidth="1"/>
    <col min="7" max="7" width="1.85546875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SUMIF(F7:F81,"Elimination*",G7:G81)</f>
        <v>0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SUMIF(F7:F81,"NB*",G7:G81)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SUMIF(F7:F81,"Ve*",G7:G81)</f>
        <v>0</v>
      </c>
    </row>
    <row r="5" spans="1:11" ht="15.75">
      <c r="A5" s="53" t="s">
        <v>236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0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/>
      <c r="C7" s="11"/>
      <c r="D7" s="9"/>
      <c r="E7" s="14"/>
      <c r="F7" s="25"/>
      <c r="G7" s="19">
        <v>1</v>
      </c>
      <c r="H7" s="18"/>
      <c r="I7" s="18"/>
      <c r="J7" s="18"/>
      <c r="K7" s="1"/>
    </row>
    <row r="8" spans="1:11">
      <c r="A8" s="17">
        <f>+A7+1</f>
        <v>2</v>
      </c>
      <c r="B8" s="15"/>
      <c r="C8" s="11"/>
      <c r="D8" s="9"/>
      <c r="E8" s="14"/>
      <c r="F8" s="25"/>
      <c r="G8" s="19">
        <v>1</v>
      </c>
    </row>
    <row r="9" spans="1:11">
      <c r="A9" s="17">
        <f t="shared" ref="A9:A23" si="0">+A8+1</f>
        <v>3</v>
      </c>
      <c r="B9" s="15"/>
      <c r="C9" s="11"/>
      <c r="D9" s="9"/>
      <c r="E9" s="14"/>
      <c r="F9" s="25"/>
      <c r="G9" s="19">
        <v>1</v>
      </c>
    </row>
    <row r="10" spans="1:11">
      <c r="A10" s="17">
        <f t="shared" si="0"/>
        <v>4</v>
      </c>
      <c r="B10" s="15"/>
      <c r="C10" s="11"/>
      <c r="D10" s="9"/>
      <c r="E10" s="14"/>
      <c r="F10" s="25"/>
      <c r="G10" s="19">
        <v>1</v>
      </c>
    </row>
    <row r="11" spans="1:11">
      <c r="A11" s="17">
        <f t="shared" si="0"/>
        <v>5</v>
      </c>
      <c r="B11" s="15"/>
      <c r="C11" s="11"/>
      <c r="D11" s="9"/>
      <c r="E11" s="14"/>
      <c r="F11" s="25"/>
      <c r="G11" s="19">
        <v>1</v>
      </c>
    </row>
    <row r="12" spans="1:11">
      <c r="A12" s="17">
        <f t="shared" si="0"/>
        <v>6</v>
      </c>
      <c r="B12" s="15"/>
      <c r="C12" s="11"/>
      <c r="D12" s="9"/>
      <c r="E12" s="14"/>
      <c r="F12" s="25"/>
      <c r="G12" s="19">
        <v>1</v>
      </c>
    </row>
    <row r="13" spans="1:11">
      <c r="A13" s="17">
        <f t="shared" si="0"/>
        <v>7</v>
      </c>
      <c r="B13" s="15"/>
      <c r="C13" s="11"/>
      <c r="D13" s="9"/>
      <c r="E13" s="14"/>
      <c r="F13" s="25"/>
      <c r="G13" s="19">
        <v>1</v>
      </c>
    </row>
    <row r="14" spans="1:11">
      <c r="A14" s="17">
        <f t="shared" si="0"/>
        <v>8</v>
      </c>
      <c r="B14" s="15"/>
      <c r="C14" s="11"/>
      <c r="D14" s="9"/>
      <c r="E14" s="14"/>
      <c r="F14" s="25"/>
      <c r="G14" s="19">
        <v>1</v>
      </c>
    </row>
    <row r="15" spans="1:11">
      <c r="A15" s="17">
        <f t="shared" si="0"/>
        <v>9</v>
      </c>
      <c r="B15" s="15"/>
      <c r="C15" s="11"/>
      <c r="D15" s="9"/>
      <c r="E15" s="14"/>
      <c r="F15" s="25"/>
      <c r="G15" s="19">
        <v>1</v>
      </c>
    </row>
    <row r="16" spans="1:11">
      <c r="A16" s="17">
        <f t="shared" si="0"/>
        <v>10</v>
      </c>
      <c r="B16" s="15"/>
      <c r="C16" s="11"/>
      <c r="D16" s="9"/>
      <c r="E16" s="14"/>
      <c r="F16" s="25"/>
      <c r="G16" s="19">
        <v>1</v>
      </c>
    </row>
    <row r="17" spans="1:7">
      <c r="A17" s="17">
        <f t="shared" si="0"/>
        <v>11</v>
      </c>
      <c r="B17" s="15"/>
      <c r="C17" s="11"/>
      <c r="D17" s="9"/>
      <c r="E17" s="14"/>
      <c r="F17" s="25"/>
      <c r="G17" s="19">
        <v>1</v>
      </c>
    </row>
    <row r="18" spans="1:7">
      <c r="A18" s="17">
        <f t="shared" si="0"/>
        <v>12</v>
      </c>
      <c r="B18" s="15"/>
      <c r="C18" s="11"/>
      <c r="D18" s="9"/>
      <c r="E18" s="14"/>
      <c r="F18" s="25"/>
      <c r="G18" s="19">
        <v>1</v>
      </c>
    </row>
    <row r="19" spans="1:7">
      <c r="A19" s="17">
        <f t="shared" si="0"/>
        <v>13</v>
      </c>
      <c r="B19" s="15"/>
      <c r="C19" s="11"/>
      <c r="D19" s="9"/>
      <c r="E19" s="14"/>
      <c r="F19" s="25"/>
      <c r="G19" s="19">
        <v>1</v>
      </c>
    </row>
    <row r="20" spans="1:7">
      <c r="A20" s="17">
        <f t="shared" si="0"/>
        <v>14</v>
      </c>
      <c r="B20" s="15"/>
      <c r="C20" s="11"/>
      <c r="D20" s="9"/>
      <c r="E20" s="14"/>
      <c r="F20" s="25"/>
      <c r="G20" s="19">
        <v>1</v>
      </c>
    </row>
    <row r="21" spans="1:7">
      <c r="A21" s="17">
        <f t="shared" si="0"/>
        <v>15</v>
      </c>
      <c r="B21" s="15"/>
      <c r="C21" s="11"/>
      <c r="D21" s="9"/>
      <c r="E21" s="14"/>
      <c r="F21" s="25"/>
      <c r="G21" s="19">
        <v>1</v>
      </c>
    </row>
    <row r="22" spans="1:7">
      <c r="A22" s="17">
        <f t="shared" si="0"/>
        <v>16</v>
      </c>
      <c r="B22" s="15"/>
      <c r="C22" s="11"/>
      <c r="D22" s="9"/>
      <c r="E22" s="14"/>
      <c r="F22" s="25"/>
      <c r="G22" s="19">
        <v>1</v>
      </c>
    </row>
    <row r="23" spans="1:7">
      <c r="A23" s="17">
        <f t="shared" si="0"/>
        <v>17</v>
      </c>
      <c r="B23" s="15"/>
      <c r="C23" s="11"/>
      <c r="D23" s="9"/>
      <c r="E23" s="14"/>
      <c r="F23" s="25"/>
      <c r="G23" s="19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selection activeCell="L6" sqref="L6"/>
    </sheetView>
  </sheetViews>
  <sheetFormatPr defaultColWidth="11.42578125" defaultRowHeight="15"/>
  <cols>
    <col min="1" max="1" width="7" customWidth="1"/>
    <col min="2" max="2" width="10.7109375" customWidth="1"/>
    <col min="6" max="6" width="19" customWidth="1"/>
    <col min="7" max="7" width="0" hidden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20">
        <f>SUMIF(F7:F74,"Elimination*",G7:G74)</f>
        <v>9</v>
      </c>
    </row>
    <row r="3" spans="1:11">
      <c r="A3" s="55" t="s">
        <v>5</v>
      </c>
      <c r="B3" s="55"/>
      <c r="C3" s="55"/>
      <c r="D3" s="5"/>
      <c r="E3" s="5" t="s">
        <v>74</v>
      </c>
      <c r="F3" s="4"/>
      <c r="G3" s="4"/>
      <c r="H3" s="4"/>
      <c r="I3" s="51" t="s">
        <v>6</v>
      </c>
      <c r="J3" s="52"/>
      <c r="K3" s="20">
        <f>SUMIF(F7:F74,"NB*",G7:G74)</f>
        <v>1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20">
        <f>SUMIF(F7:F74,"Ve*",G7:G74)</f>
        <v>0</v>
      </c>
    </row>
    <row r="5" spans="1:11" ht="15.75">
      <c r="A5" s="53" t="s">
        <v>237</v>
      </c>
      <c r="B5" s="53"/>
      <c r="C5" s="53"/>
      <c r="D5" s="53"/>
      <c r="E5" s="53"/>
      <c r="F5" s="53"/>
      <c r="G5" s="21"/>
      <c r="H5" s="21"/>
      <c r="I5" s="51" t="s">
        <v>9</v>
      </c>
      <c r="J5" s="52"/>
      <c r="K5" s="23">
        <f>SUM(K2:K4)</f>
        <v>10</v>
      </c>
    </row>
    <row r="6" spans="1:11" ht="22.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>
      <c r="A7" s="17">
        <v>1</v>
      </c>
      <c r="B7" s="15" t="s">
        <v>238</v>
      </c>
      <c r="C7" s="11" t="s">
        <v>16</v>
      </c>
      <c r="D7" s="9" t="s">
        <v>239</v>
      </c>
      <c r="E7" s="14">
        <v>42353</v>
      </c>
      <c r="F7" s="25" t="s">
        <v>107</v>
      </c>
      <c r="G7" s="19">
        <v>1</v>
      </c>
      <c r="H7" s="18"/>
      <c r="I7" s="18"/>
      <c r="J7" s="18"/>
      <c r="K7" s="1"/>
    </row>
    <row r="8" spans="1:11">
      <c r="A8" s="17">
        <f>+A7+1</f>
        <v>2</v>
      </c>
      <c r="B8" s="15" t="s">
        <v>240</v>
      </c>
      <c r="C8" s="11" t="s">
        <v>16</v>
      </c>
      <c r="D8" s="9" t="s">
        <v>242</v>
      </c>
      <c r="E8" s="14">
        <v>42353</v>
      </c>
      <c r="F8" s="25" t="s">
        <v>107</v>
      </c>
      <c r="G8" s="19">
        <v>1</v>
      </c>
    </row>
    <row r="9" spans="1:11">
      <c r="A9" s="17">
        <f t="shared" ref="A9:A16" si="0">+A8+1</f>
        <v>3</v>
      </c>
      <c r="B9" s="15" t="s">
        <v>241</v>
      </c>
      <c r="C9" s="11" t="s">
        <v>16</v>
      </c>
      <c r="D9" s="9" t="s">
        <v>243</v>
      </c>
      <c r="E9" s="14">
        <v>42353</v>
      </c>
      <c r="F9" s="25" t="s">
        <v>107</v>
      </c>
      <c r="G9" s="19">
        <v>1</v>
      </c>
    </row>
    <row r="10" spans="1:11">
      <c r="A10" s="17">
        <f t="shared" si="0"/>
        <v>4</v>
      </c>
      <c r="B10" s="15" t="s">
        <v>69</v>
      </c>
      <c r="C10" s="11" t="s">
        <v>16</v>
      </c>
      <c r="D10" s="9" t="s">
        <v>244</v>
      </c>
      <c r="E10" s="14">
        <v>42353</v>
      </c>
      <c r="F10" s="25" t="s">
        <v>245</v>
      </c>
      <c r="G10" s="19">
        <v>1</v>
      </c>
    </row>
    <row r="11" spans="1:11">
      <c r="A11" s="17">
        <f t="shared" si="0"/>
        <v>5</v>
      </c>
      <c r="B11" s="15" t="s">
        <v>246</v>
      </c>
      <c r="C11" s="11" t="s">
        <v>16</v>
      </c>
      <c r="D11" s="9" t="s">
        <v>247</v>
      </c>
      <c r="E11" s="14">
        <v>42353</v>
      </c>
      <c r="F11" s="25" t="s">
        <v>107</v>
      </c>
      <c r="G11" s="19">
        <v>1</v>
      </c>
    </row>
    <row r="12" spans="1:11">
      <c r="A12" s="17">
        <f t="shared" si="0"/>
        <v>6</v>
      </c>
      <c r="B12" s="15" t="s">
        <v>248</v>
      </c>
      <c r="C12" s="11" t="s">
        <v>16</v>
      </c>
      <c r="D12" s="9" t="s">
        <v>249</v>
      </c>
      <c r="E12" s="14">
        <v>42353</v>
      </c>
      <c r="F12" s="25" t="s">
        <v>107</v>
      </c>
      <c r="G12" s="19">
        <v>1</v>
      </c>
    </row>
    <row r="13" spans="1:11">
      <c r="A13" s="17">
        <f t="shared" si="0"/>
        <v>7</v>
      </c>
      <c r="B13" s="15" t="s">
        <v>250</v>
      </c>
      <c r="C13" s="11" t="s">
        <v>16</v>
      </c>
      <c r="D13" s="9" t="s">
        <v>251</v>
      </c>
      <c r="E13" s="14">
        <v>42353</v>
      </c>
      <c r="F13" s="25" t="s">
        <v>107</v>
      </c>
      <c r="G13" s="19">
        <v>1</v>
      </c>
    </row>
    <row r="14" spans="1:11">
      <c r="A14" s="17">
        <f t="shared" si="0"/>
        <v>8</v>
      </c>
      <c r="B14" s="15" t="s">
        <v>252</v>
      </c>
      <c r="C14" s="11" t="s">
        <v>16</v>
      </c>
      <c r="D14" s="9" t="s">
        <v>253</v>
      </c>
      <c r="E14" s="14">
        <v>42353</v>
      </c>
      <c r="F14" s="25" t="s">
        <v>107</v>
      </c>
      <c r="G14" s="19">
        <v>1</v>
      </c>
    </row>
    <row r="15" spans="1:11">
      <c r="A15" s="17">
        <f t="shared" si="0"/>
        <v>9</v>
      </c>
      <c r="B15" s="15" t="s">
        <v>254</v>
      </c>
      <c r="C15" s="11" t="s">
        <v>26</v>
      </c>
      <c r="D15" s="9" t="s">
        <v>119</v>
      </c>
      <c r="E15" s="14">
        <v>42358</v>
      </c>
      <c r="F15" s="25" t="s">
        <v>107</v>
      </c>
      <c r="G15" s="19">
        <v>1</v>
      </c>
    </row>
    <row r="16" spans="1:11">
      <c r="A16" s="17">
        <f t="shared" si="0"/>
        <v>10</v>
      </c>
      <c r="B16" s="15" t="s">
        <v>255</v>
      </c>
      <c r="C16" s="11" t="s">
        <v>16</v>
      </c>
      <c r="D16" s="9" t="s">
        <v>256</v>
      </c>
      <c r="E16" s="14">
        <v>42361</v>
      </c>
      <c r="F16" s="25" t="s">
        <v>107</v>
      </c>
      <c r="G16" s="19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Janvier 2015</vt:lpstr>
      <vt:lpstr>Février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  <vt:lpstr>'Janvier 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2016-04-25T14:34:12Z</cp:lastPrinted>
  <dcterms:created xsi:type="dcterms:W3CDTF">2014-12-31T15:00:30Z</dcterms:created>
  <dcterms:modified xsi:type="dcterms:W3CDTF">2016-05-04T09:50:30Z</dcterms:modified>
</cp:coreProperties>
</file>