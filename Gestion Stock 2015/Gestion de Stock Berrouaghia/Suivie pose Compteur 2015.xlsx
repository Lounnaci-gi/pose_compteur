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5\Gestion de Stock Berrouaghia\"/>
    </mc:Choice>
  </mc:AlternateContent>
  <bookViews>
    <workbookView xWindow="315" yWindow="195" windowWidth="6900" windowHeight="2025" firstSheet="6" activeTab="11"/>
  </bookViews>
  <sheets>
    <sheet name="Janvier 2015" sheetId="1" r:id="rId1"/>
    <sheet name="Février 2015" sheetId="2" r:id="rId2"/>
    <sheet name="Mars 2015" sheetId="3" r:id="rId3"/>
    <sheet name="Avril 2015" sheetId="4" r:id="rId4"/>
    <sheet name="Mai 2015" sheetId="5" r:id="rId5"/>
    <sheet name="Juin 2015" sheetId="6" r:id="rId6"/>
    <sheet name="Juillet 2015" sheetId="7" r:id="rId7"/>
    <sheet name="Aout 2015" sheetId="8" r:id="rId8"/>
    <sheet name="Septembre 2015" sheetId="9" r:id="rId9"/>
    <sheet name="Octobre 2015" sheetId="10" r:id="rId10"/>
    <sheet name="Novembre 2015" sheetId="11" r:id="rId11"/>
    <sheet name="Decembre 2015" sheetId="12" r:id="rId12"/>
    <sheet name="Feuil1" sheetId="13" r:id="rId13"/>
  </sheets>
  <definedNames>
    <definedName name="_xlnm.Print_Titles" localSheetId="0">'Janvier 2015'!$1:$6</definedName>
  </definedNames>
  <calcPr calcId="152511"/>
</workbook>
</file>

<file path=xl/calcChain.xml><?xml version="1.0" encoding="utf-8"?>
<calcChain xmlns="http://schemas.openxmlformats.org/spreadsheetml/2006/main">
  <c r="K4" i="12" l="1"/>
  <c r="K2" i="12" l="1"/>
  <c r="K3" i="12" l="1"/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K5" i="12" l="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K4" i="11"/>
  <c r="K3" i="11"/>
  <c r="K2" i="11"/>
  <c r="K5" i="11" l="1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K4" i="10"/>
  <c r="K3" i="10"/>
  <c r="K2" i="10"/>
  <c r="K5" i="10" l="1"/>
  <c r="A23" i="10" l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K4" i="9"/>
  <c r="K3" i="9"/>
  <c r="K2" i="9"/>
  <c r="K5" i="9" l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8" i="2"/>
  <c r="A8" i="8" l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K4" i="8"/>
  <c r="K3" i="8"/>
  <c r="K2" i="8"/>
  <c r="A29" i="8" l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K5" i="8"/>
  <c r="K4" i="7"/>
  <c r="K3" i="7"/>
  <c r="K2" i="7"/>
  <c r="A81" i="8" l="1"/>
  <c r="A82" i="8" s="1"/>
  <c r="A83" i="8" s="1"/>
  <c r="A84" i="8" s="1"/>
  <c r="A85" i="8" s="1"/>
  <c r="A86" i="8" s="1"/>
  <c r="K5" i="7"/>
  <c r="K4" i="6"/>
  <c r="K3" i="6"/>
  <c r="K2" i="6"/>
  <c r="A87" i="8" l="1"/>
  <c r="A88" i="8" s="1"/>
  <c r="A89" i="8" s="1"/>
  <c r="A90" i="8" s="1"/>
  <c r="A91" i="8" s="1"/>
  <c r="A92" i="8" s="1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K5" i="6" l="1"/>
  <c r="K2" i="5"/>
  <c r="K4" i="5"/>
  <c r="K3" i="5"/>
  <c r="K4" i="4" l="1"/>
  <c r="K3" i="4"/>
  <c r="K2" i="4"/>
  <c r="A8" i="5" l="1"/>
  <c r="A9" i="5" s="1"/>
  <c r="A10" i="5" s="1"/>
  <c r="A11" i="5" s="1"/>
  <c r="A12" i="5" s="1"/>
  <c r="A13" i="5" s="1"/>
  <c r="A14" i="5" s="1"/>
  <c r="A15" i="5" l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K5" i="5"/>
  <c r="A8" i="4" l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l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K5" i="4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K4" i="3"/>
  <c r="K3" i="3"/>
  <c r="K2" i="3"/>
  <c r="A320" i="4" l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K5" i="3"/>
  <c r="K4" i="2"/>
  <c r="K3" i="2"/>
  <c r="K2" i="2"/>
  <c r="K5" i="2" l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K4" i="1" l="1"/>
  <c r="K3" i="1"/>
  <c r="K2" i="1" l="1"/>
  <c r="K5" i="1" s="1"/>
</calcChain>
</file>

<file path=xl/sharedStrings.xml><?xml version="1.0" encoding="utf-8"?>
<sst xmlns="http://schemas.openxmlformats.org/spreadsheetml/2006/main" count="5042" uniqueCount="2387">
  <si>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</si>
  <si>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</si>
  <si>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</si>
  <si>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</si>
  <si>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</si>
  <si>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</si>
  <si>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 xml:space="preserve">              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</si>
  <si>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</si>
  <si>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</si>
  <si>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</si>
  <si>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</si>
  <si>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</si>
  <si>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</si>
  <si>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</si>
  <si>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</si>
  <si>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</si>
  <si>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</si>
  <si>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15/21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</si>
  <si>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</si>
  <si>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B4 1105</t>
  </si>
  <si>
    <t>005321</t>
  </si>
  <si>
    <t>B4 1893</t>
  </si>
  <si>
    <t>005322</t>
  </si>
  <si>
    <t>B3 2032</t>
  </si>
  <si>
    <t>005331</t>
  </si>
  <si>
    <t>005333</t>
  </si>
  <si>
    <t>B4 0047</t>
  </si>
  <si>
    <t>218222</t>
  </si>
  <si>
    <t>B1 1022</t>
  </si>
  <si>
    <t>218226</t>
  </si>
  <si>
    <t>B1 0271</t>
  </si>
  <si>
    <t>218261</t>
  </si>
  <si>
    <t>B1 0514</t>
  </si>
  <si>
    <t>218263</t>
  </si>
  <si>
    <t>B3 2162</t>
  </si>
  <si>
    <t>005338</t>
  </si>
  <si>
    <t xml:space="preserve">Elimination de forfait
</t>
  </si>
  <si>
    <t>B3 2096</t>
  </si>
  <si>
    <t>B2</t>
  </si>
  <si>
    <t>218223</t>
  </si>
  <si>
    <t>NB(N° 433/2014)</t>
  </si>
  <si>
    <t>B3 1719</t>
  </si>
  <si>
    <t>005330</t>
  </si>
  <si>
    <t>B3 0595</t>
  </si>
  <si>
    <t>B3 0212</t>
  </si>
  <si>
    <t>005340</t>
  </si>
  <si>
    <t>B3 2819</t>
  </si>
  <si>
    <t>218269</t>
  </si>
  <si>
    <t>B3 3467</t>
  </si>
  <si>
    <t>218270</t>
  </si>
  <si>
    <t>B3 3403</t>
  </si>
  <si>
    <t>218266</t>
  </si>
  <si>
    <t>B3 2530</t>
  </si>
  <si>
    <t>218224</t>
  </si>
  <si>
    <t>NB</t>
  </si>
  <si>
    <t>B1 0195</t>
  </si>
  <si>
    <t>218262</t>
  </si>
  <si>
    <t>B2 1531</t>
  </si>
  <si>
    <t>218267</t>
  </si>
  <si>
    <t>B3 0154</t>
  </si>
  <si>
    <t>218778</t>
  </si>
  <si>
    <t>B3 2264</t>
  </si>
  <si>
    <t>218776</t>
  </si>
  <si>
    <t>B3 2971</t>
  </si>
  <si>
    <t>218777</t>
  </si>
  <si>
    <t>B3 1590</t>
  </si>
  <si>
    <t>005470</t>
  </si>
  <si>
    <t>B3 2041</t>
  </si>
  <si>
    <t>005471</t>
  </si>
  <si>
    <t>B3 1424</t>
  </si>
  <si>
    <t>005472</t>
  </si>
  <si>
    <t>B3 0171</t>
  </si>
  <si>
    <t>218268</t>
  </si>
  <si>
    <t>B3 0189</t>
  </si>
  <si>
    <t>218264</t>
  </si>
  <si>
    <t>B3 2984</t>
  </si>
  <si>
    <t>218779</t>
  </si>
  <si>
    <t>B3 2245</t>
  </si>
  <si>
    <t>218780</t>
  </si>
  <si>
    <t>B3 0295</t>
  </si>
  <si>
    <t>005478</t>
  </si>
  <si>
    <t>B3 0146</t>
  </si>
  <si>
    <t>218227</t>
  </si>
  <si>
    <t>B1 0776</t>
  </si>
  <si>
    <t>20/27</t>
  </si>
  <si>
    <t>005547</t>
  </si>
  <si>
    <t>B2 1700</t>
  </si>
  <si>
    <t>218265</t>
  </si>
  <si>
    <t>218221</t>
  </si>
  <si>
    <t>B2 1843</t>
  </si>
  <si>
    <t>218774</t>
  </si>
  <si>
    <t>BB 0042</t>
  </si>
  <si>
    <t>005549</t>
  </si>
  <si>
    <t>218772</t>
  </si>
  <si>
    <t>NB(N° 363/2014)</t>
  </si>
  <si>
    <t>005551</t>
  </si>
  <si>
    <t>NB(N° 317/2014)</t>
  </si>
  <si>
    <t>B4 1684</t>
  </si>
  <si>
    <t>218773</t>
  </si>
  <si>
    <t>VENTE</t>
  </si>
  <si>
    <t>218771</t>
  </si>
  <si>
    <t>NB( N° 301/2014)</t>
  </si>
  <si>
    <t>203200</t>
  </si>
  <si>
    <t>B1 1309</t>
  </si>
  <si>
    <t>B4 0025</t>
  </si>
  <si>
    <t>005463</t>
  </si>
  <si>
    <t>B3</t>
  </si>
  <si>
    <t>203191</t>
  </si>
  <si>
    <t>218571</t>
  </si>
  <si>
    <t>218572</t>
  </si>
  <si>
    <t>218573</t>
  </si>
  <si>
    <t>218574</t>
  </si>
  <si>
    <t>218575</t>
  </si>
  <si>
    <t>218576</t>
  </si>
  <si>
    <t>218577</t>
  </si>
  <si>
    <t>218578</t>
  </si>
  <si>
    <t>218579</t>
  </si>
  <si>
    <t>218580</t>
  </si>
  <si>
    <t>NB(N°117/2014)</t>
  </si>
  <si>
    <t>NB(N°115/2014)</t>
  </si>
  <si>
    <t>NB(N°403/2014)</t>
  </si>
  <si>
    <t>NB(N°402/2014)</t>
  </si>
  <si>
    <t>NB(N°399/2014)</t>
  </si>
  <si>
    <t>NB(N°392/2014)</t>
  </si>
  <si>
    <t>NB(N°393/2014)</t>
  </si>
  <si>
    <t>NB(N°391/2014)</t>
  </si>
  <si>
    <t>NB(N°138/2014)</t>
  </si>
  <si>
    <t>NB(N°138 BIS/2014)</t>
  </si>
  <si>
    <t>203193</t>
  </si>
  <si>
    <t>203194</t>
  </si>
  <si>
    <t>203195</t>
  </si>
  <si>
    <t>203196</t>
  </si>
  <si>
    <t>203197</t>
  </si>
  <si>
    <t>203198</t>
  </si>
  <si>
    <t>203199</t>
  </si>
  <si>
    <t>NB(N°383/2014)</t>
  </si>
  <si>
    <t>NB(N°408/2014)</t>
  </si>
  <si>
    <t>NB(N°221/2014)</t>
  </si>
  <si>
    <t>NB(N°222/2014)</t>
  </si>
  <si>
    <t>NB(N°140/2014)</t>
  </si>
  <si>
    <t>NB(N°405/2014)</t>
  </si>
  <si>
    <t>NB(N°223/2014)</t>
  </si>
  <si>
    <t>218611</t>
  </si>
  <si>
    <t>218612</t>
  </si>
  <si>
    <t>218613</t>
  </si>
  <si>
    <t>218614</t>
  </si>
  <si>
    <t>218615</t>
  </si>
  <si>
    <t>218616</t>
  </si>
  <si>
    <t>218617</t>
  </si>
  <si>
    <t>218618</t>
  </si>
  <si>
    <t>218619</t>
  </si>
  <si>
    <t>218620</t>
  </si>
  <si>
    <t>NB(N°397/2014)</t>
  </si>
  <si>
    <t>NB(N°128/2014)</t>
  </si>
  <si>
    <t>NB(N°124/2014)</t>
  </si>
  <si>
    <t>NB(N°411/2014)</t>
  </si>
  <si>
    <t>NB(N°120/2014)</t>
  </si>
  <si>
    <t>NB(N°123/2014)</t>
  </si>
  <si>
    <t>NB(N°139/2014)</t>
  </si>
  <si>
    <t>NB(N°398/2014)</t>
  </si>
  <si>
    <t>NB(N°135/2014)</t>
  </si>
  <si>
    <t>NB(N°404/2014)</t>
  </si>
  <si>
    <t>NB(N°008/2015)</t>
  </si>
  <si>
    <t>NB(N° 438/2014)</t>
  </si>
  <si>
    <t>BC 0398</t>
  </si>
  <si>
    <t>218775</t>
  </si>
  <si>
    <t>203192</t>
  </si>
  <si>
    <t>NB(N° 382/2014)</t>
  </si>
  <si>
    <t>218281</t>
  </si>
  <si>
    <t>NB()</t>
  </si>
  <si>
    <t>218283</t>
  </si>
  <si>
    <t>218282</t>
  </si>
  <si>
    <r>
      <t>Mois de Février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</si>
  <si>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218284</t>
  </si>
  <si>
    <t>NB(N°0019/2015)</t>
  </si>
  <si>
    <t>NB(N°0009/2015)</t>
  </si>
  <si>
    <t>B4 1739</t>
  </si>
  <si>
    <t>005550</t>
  </si>
  <si>
    <t>B5 0034</t>
  </si>
  <si>
    <t>44383635</t>
  </si>
  <si>
    <t>B1 1435</t>
  </si>
  <si>
    <t>218286</t>
  </si>
  <si>
    <t>Vente</t>
  </si>
  <si>
    <t>B2 0566</t>
  </si>
  <si>
    <t>005480</t>
  </si>
  <si>
    <t>B3 0341</t>
  </si>
  <si>
    <t>005467</t>
  </si>
  <si>
    <t>B3 1130</t>
  </si>
  <si>
    <t>005464</t>
  </si>
  <si>
    <t>B2 0751</t>
  </si>
  <si>
    <t>005469</t>
  </si>
  <si>
    <t>B3 1165</t>
  </si>
  <si>
    <t>005475</t>
  </si>
  <si>
    <t>B3 1140</t>
  </si>
  <si>
    <t>005461</t>
  </si>
  <si>
    <t>B3 0464</t>
  </si>
  <si>
    <t>005474</t>
  </si>
  <si>
    <t>B3 0347</t>
  </si>
  <si>
    <t>005477</t>
  </si>
  <si>
    <t>B3 0881</t>
  </si>
  <si>
    <t>005462</t>
  </si>
  <si>
    <t>B3 1184</t>
  </si>
  <si>
    <t>005466</t>
  </si>
  <si>
    <t>B2 0439</t>
  </si>
  <si>
    <t>005476</t>
  </si>
  <si>
    <t>B2 0518</t>
  </si>
  <si>
    <t>218289</t>
  </si>
  <si>
    <t>B2 0525</t>
  </si>
  <si>
    <t>005465</t>
  </si>
  <si>
    <t>005468</t>
  </si>
  <si>
    <t>B3 0880</t>
  </si>
  <si>
    <t>218290</t>
  </si>
  <si>
    <t>NB(N°0010/2015)</t>
  </si>
  <si>
    <t>218287</t>
  </si>
  <si>
    <t>NB(N°0429/2015)</t>
  </si>
  <si>
    <t>NB(N°0434/2015)</t>
  </si>
  <si>
    <t>218288</t>
  </si>
  <si>
    <t>016251</t>
  </si>
  <si>
    <t>B4 1873</t>
  </si>
  <si>
    <t>015844</t>
  </si>
  <si>
    <t>B4 0670</t>
  </si>
  <si>
    <t>015841</t>
  </si>
  <si>
    <t>B1 0958</t>
  </si>
  <si>
    <t>015848</t>
  </si>
  <si>
    <t>B1 1350</t>
  </si>
  <si>
    <t>015849</t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</si>
  <si>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</si>
  <si>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016253</t>
  </si>
  <si>
    <t>NB(N° 0030/2015)</t>
  </si>
  <si>
    <t>016254</t>
  </si>
  <si>
    <t>NB(N° 0017/2015)</t>
  </si>
  <si>
    <t>016255</t>
  </si>
  <si>
    <t>005479</t>
  </si>
  <si>
    <t>B4 2067</t>
  </si>
  <si>
    <t>BC 0178</t>
  </si>
  <si>
    <t>Chef d'agence Commercial</t>
  </si>
  <si>
    <t>015842</t>
  </si>
  <si>
    <t>NB(N° 0018/2015)</t>
  </si>
  <si>
    <t>015843</t>
  </si>
  <si>
    <t>B1 0708</t>
  </si>
  <si>
    <t>015845</t>
  </si>
  <si>
    <t>B1 0147</t>
  </si>
  <si>
    <t>015850</t>
  </si>
  <si>
    <t>005473</t>
  </si>
  <si>
    <t>B2 1761</t>
  </si>
  <si>
    <t>B1 0709</t>
  </si>
  <si>
    <t>015846</t>
  </si>
  <si>
    <t>B2 1776</t>
  </si>
  <si>
    <t>015847</t>
  </si>
  <si>
    <t>015851</t>
  </si>
  <si>
    <t>015852</t>
  </si>
  <si>
    <t>015853</t>
  </si>
  <si>
    <t>015854</t>
  </si>
  <si>
    <t>015855</t>
  </si>
  <si>
    <t>015856</t>
  </si>
  <si>
    <t>015857</t>
  </si>
  <si>
    <t>015858</t>
  </si>
  <si>
    <t>015859</t>
  </si>
  <si>
    <t>015860</t>
  </si>
  <si>
    <t>NB(0003/2015)</t>
  </si>
  <si>
    <t>NB(0407/2014)</t>
  </si>
  <si>
    <t>NB(0005/2015)</t>
  </si>
  <si>
    <t>NB(0416/2014)</t>
  </si>
  <si>
    <t>NB(0384/2014)</t>
  </si>
  <si>
    <t>NB(0385/2014)</t>
  </si>
  <si>
    <t>NB(0014/2015)</t>
  </si>
  <si>
    <t>NB(0002/2015)</t>
  </si>
  <si>
    <t>NB(0414/2014)</t>
  </si>
  <si>
    <t>NB(0004/2015)</t>
  </si>
  <si>
    <t>NB(0031/2015)</t>
  </si>
  <si>
    <t>016258</t>
  </si>
  <si>
    <t>B2 0823</t>
  </si>
  <si>
    <t>016259</t>
  </si>
  <si>
    <t>NB(441/2014)</t>
  </si>
  <si>
    <t>016252</t>
  </si>
  <si>
    <t>016256</t>
  </si>
  <si>
    <t>NB(0028/2015)</t>
  </si>
  <si>
    <t>NB(330/2014)</t>
  </si>
  <si>
    <t>NB(157/2014)</t>
  </si>
  <si>
    <t>016257</t>
  </si>
  <si>
    <t>016260</t>
  </si>
  <si>
    <t>015801</t>
  </si>
  <si>
    <t>NB(0033/2015)</t>
  </si>
  <si>
    <t>026071</t>
  </si>
  <si>
    <t>026072</t>
  </si>
  <si>
    <t>026073</t>
  </si>
  <si>
    <t>026074</t>
  </si>
  <si>
    <t>026075</t>
  </si>
  <si>
    <t>026076</t>
  </si>
  <si>
    <t>026077</t>
  </si>
  <si>
    <t>026078</t>
  </si>
  <si>
    <t>026079</t>
  </si>
  <si>
    <t>NB(0006/2015)</t>
  </si>
  <si>
    <t>NB(0020/2015)</t>
  </si>
  <si>
    <t>NB(0015/2015)</t>
  </si>
  <si>
    <t>NB(0023/2015)</t>
  </si>
  <si>
    <t>NB(0339/2014)</t>
  </si>
  <si>
    <t>NB(0406/2014)</t>
  </si>
  <si>
    <t>NB(0400/2014)</t>
  </si>
  <si>
    <t>NB(0410/2014)</t>
  </si>
  <si>
    <t>025967</t>
  </si>
  <si>
    <t>NB(0280/2014)</t>
  </si>
  <si>
    <t>025970</t>
  </si>
  <si>
    <t>NB(0313/2014)</t>
  </si>
  <si>
    <t>B3 4072</t>
  </si>
  <si>
    <t>015806</t>
  </si>
  <si>
    <t>B3 4390</t>
  </si>
  <si>
    <t>015809</t>
  </si>
  <si>
    <t>015808</t>
  </si>
  <si>
    <t>015810</t>
  </si>
  <si>
    <t>015802</t>
  </si>
  <si>
    <t>NB (N°0026/2015)</t>
  </si>
  <si>
    <t>NB (Bentebrour Ahmed)</t>
  </si>
  <si>
    <t>NB (N°0021/2015)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</si>
  <si>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</si>
  <si>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B2 0638</t>
  </si>
  <si>
    <t>015803</t>
  </si>
  <si>
    <t>025968</t>
  </si>
  <si>
    <t>NB (N°0024/2015)</t>
  </si>
  <si>
    <t>B4 0021</t>
  </si>
  <si>
    <t>005552</t>
  </si>
  <si>
    <t>B2 1354</t>
  </si>
  <si>
    <t>005548</t>
  </si>
  <si>
    <t>B1 0910</t>
  </si>
  <si>
    <t>015804</t>
  </si>
  <si>
    <t>B1 0903</t>
  </si>
  <si>
    <t>015805</t>
  </si>
  <si>
    <t>015807</t>
  </si>
  <si>
    <t>NB(Crèche 18 Fév)</t>
  </si>
  <si>
    <t>B4 0202</t>
  </si>
  <si>
    <t>025964</t>
  </si>
  <si>
    <t>B4 0468</t>
  </si>
  <si>
    <t>025966</t>
  </si>
  <si>
    <t>B4 0403</t>
  </si>
  <si>
    <t>026080</t>
  </si>
  <si>
    <t>025961</t>
  </si>
  <si>
    <t>NB(0025/2015)</t>
  </si>
  <si>
    <t>025969</t>
  </si>
  <si>
    <t>NB(0046/2015)</t>
  </si>
  <si>
    <t>026195</t>
  </si>
  <si>
    <t>NB(0050/2015)</t>
  </si>
  <si>
    <t>026192</t>
  </si>
  <si>
    <t>NB(0052/2015)</t>
  </si>
  <si>
    <t>026194</t>
  </si>
  <si>
    <t>NB(0049/2015)</t>
  </si>
  <si>
    <t>025965</t>
  </si>
  <si>
    <t>NB(0054/2015)</t>
  </si>
  <si>
    <t>026193</t>
  </si>
  <si>
    <t>NB(0067/2015)</t>
  </si>
  <si>
    <t>025963</t>
  </si>
  <si>
    <t>NB(0057/2015)</t>
  </si>
  <si>
    <t>025962</t>
  </si>
  <si>
    <t>NB(0072/2012)</t>
  </si>
  <si>
    <t>B4 0143</t>
  </si>
  <si>
    <t>026197</t>
  </si>
  <si>
    <t>026198</t>
  </si>
  <si>
    <t>B4 0152</t>
  </si>
  <si>
    <t>026191</t>
  </si>
  <si>
    <t>026200</t>
  </si>
  <si>
    <t>NB(0053/2015)</t>
  </si>
  <si>
    <t>026199</t>
  </si>
  <si>
    <t>026181</t>
  </si>
  <si>
    <t>NB(APC-Annexe)</t>
  </si>
  <si>
    <t>026184</t>
  </si>
  <si>
    <t>NB(0013/2015)</t>
  </si>
  <si>
    <t>026196</t>
  </si>
  <si>
    <t>NB(Yaagoub messaouda)</t>
  </si>
  <si>
    <t>026183</t>
  </si>
  <si>
    <t>NB(N°0056/2015)</t>
  </si>
  <si>
    <t>026185</t>
  </si>
  <si>
    <t>B3 3245</t>
  </si>
  <si>
    <t>NB(N° 0355/2015)</t>
  </si>
  <si>
    <t>026182</t>
  </si>
  <si>
    <t>NB(N°0059/2015)</t>
  </si>
  <si>
    <t>B4 1240</t>
  </si>
  <si>
    <t>005335</t>
  </si>
  <si>
    <t>B4 1510</t>
  </si>
  <si>
    <t>026186</t>
  </si>
  <si>
    <t>B4 1177</t>
  </si>
  <si>
    <t>026188</t>
  </si>
  <si>
    <t>026190</t>
  </si>
  <si>
    <t>NB(Reservoir Ain Omrane)</t>
  </si>
  <si>
    <t>B4 1658</t>
  </si>
  <si>
    <t>026173</t>
  </si>
  <si>
    <t>B4 1701</t>
  </si>
  <si>
    <t>026189</t>
  </si>
  <si>
    <t>B2 0343</t>
  </si>
  <si>
    <t>026176</t>
  </si>
  <si>
    <t>B2 0166</t>
  </si>
  <si>
    <t>026172</t>
  </si>
  <si>
    <t>026171</t>
  </si>
  <si>
    <t>B2 0187</t>
  </si>
  <si>
    <t>B2 0364</t>
  </si>
  <si>
    <t>026179</t>
  </si>
  <si>
    <t>B2 0180</t>
  </si>
  <si>
    <t>026174</t>
  </si>
  <si>
    <t>B2 0193</t>
  </si>
  <si>
    <t>026175</t>
  </si>
  <si>
    <t>BC 0359</t>
  </si>
  <si>
    <t>025835</t>
  </si>
  <si>
    <t>B1 0379</t>
  </si>
  <si>
    <t>025832</t>
  </si>
  <si>
    <t>B1 0184</t>
  </si>
  <si>
    <t>025831</t>
  </si>
  <si>
    <t>B3 3252</t>
  </si>
  <si>
    <t>B4 0790</t>
  </si>
  <si>
    <t>026178</t>
  </si>
  <si>
    <t>B2 0359</t>
  </si>
  <si>
    <t>026180</t>
  </si>
  <si>
    <t>B2 0356</t>
  </si>
  <si>
    <t>026177</t>
  </si>
  <si>
    <t>B2 0253</t>
  </si>
  <si>
    <t>025833</t>
  </si>
  <si>
    <t>B2 0310</t>
  </si>
  <si>
    <t>025834</t>
  </si>
  <si>
    <t>B3 3222</t>
  </si>
  <si>
    <t>025836</t>
  </si>
  <si>
    <t>B1 1873</t>
  </si>
  <si>
    <t>025839</t>
  </si>
  <si>
    <t>B4 0515</t>
  </si>
  <si>
    <t>025983</t>
  </si>
  <si>
    <t>B2 0326</t>
  </si>
  <si>
    <t>026187</t>
  </si>
  <si>
    <t>B3 2464</t>
  </si>
  <si>
    <t>025838</t>
  </si>
  <si>
    <t>B4 0866</t>
  </si>
  <si>
    <t>025984</t>
  </si>
  <si>
    <t>B4 0059</t>
  </si>
  <si>
    <t>025981</t>
  </si>
  <si>
    <t>B3 3191</t>
  </si>
  <si>
    <t>025985</t>
  </si>
  <si>
    <t>B4 0687</t>
  </si>
  <si>
    <t>025837</t>
  </si>
  <si>
    <t>025840</t>
  </si>
  <si>
    <t>NB(N° 0316/2014)</t>
  </si>
  <si>
    <t>BC 0006</t>
  </si>
  <si>
    <t>006871</t>
  </si>
  <si>
    <t>026151</t>
  </si>
  <si>
    <t>026152</t>
  </si>
  <si>
    <t>026153</t>
  </si>
  <si>
    <t>026154</t>
  </si>
  <si>
    <t>026155</t>
  </si>
  <si>
    <t>026156</t>
  </si>
  <si>
    <t>026157</t>
  </si>
  <si>
    <t>026158</t>
  </si>
  <si>
    <t>026159</t>
  </si>
  <si>
    <t>026160</t>
  </si>
  <si>
    <t>026031</t>
  </si>
  <si>
    <t>026032</t>
  </si>
  <si>
    <t>026033</t>
  </si>
  <si>
    <t>026034</t>
  </si>
  <si>
    <t>026035</t>
  </si>
  <si>
    <t>026036</t>
  </si>
  <si>
    <t>026037</t>
  </si>
  <si>
    <t>026038</t>
  </si>
  <si>
    <t>026039</t>
  </si>
  <si>
    <t>026040</t>
  </si>
  <si>
    <t>026131</t>
  </si>
  <si>
    <t>026132</t>
  </si>
  <si>
    <t>026133</t>
  </si>
  <si>
    <t>026134</t>
  </si>
  <si>
    <t>026135</t>
  </si>
  <si>
    <t>026136</t>
  </si>
  <si>
    <t>026137</t>
  </si>
  <si>
    <t>026138</t>
  </si>
  <si>
    <t>026139</t>
  </si>
  <si>
    <t>026140</t>
  </si>
  <si>
    <t>025151</t>
  </si>
  <si>
    <t>025152</t>
  </si>
  <si>
    <t>025153</t>
  </si>
  <si>
    <t>025154</t>
  </si>
  <si>
    <t>025155</t>
  </si>
  <si>
    <t>025156</t>
  </si>
  <si>
    <t>025157</t>
  </si>
  <si>
    <t>025158</t>
  </si>
  <si>
    <t>025159</t>
  </si>
  <si>
    <t>025160</t>
  </si>
  <si>
    <t>026081</t>
  </si>
  <si>
    <t>026082</t>
  </si>
  <si>
    <t>026083</t>
  </si>
  <si>
    <t>026084</t>
  </si>
  <si>
    <t>026085</t>
  </si>
  <si>
    <t>026086</t>
  </si>
  <si>
    <t>026087</t>
  </si>
  <si>
    <t>026088</t>
  </si>
  <si>
    <t>026089</t>
  </si>
  <si>
    <t>026090</t>
  </si>
  <si>
    <t>026141</t>
  </si>
  <si>
    <t>026142</t>
  </si>
  <si>
    <t>026143</t>
  </si>
  <si>
    <t>026144</t>
  </si>
  <si>
    <t>026145</t>
  </si>
  <si>
    <t>026146</t>
  </si>
  <si>
    <t>026147</t>
  </si>
  <si>
    <t>026148</t>
  </si>
  <si>
    <t>026149</t>
  </si>
  <si>
    <t>026150</t>
  </si>
  <si>
    <t>025921</t>
  </si>
  <si>
    <t>025930</t>
  </si>
  <si>
    <t>025922</t>
  </si>
  <si>
    <t>025923</t>
  </si>
  <si>
    <t>025924</t>
  </si>
  <si>
    <t>025925</t>
  </si>
  <si>
    <t>025926</t>
  </si>
  <si>
    <t>025927</t>
  </si>
  <si>
    <t>025928</t>
  </si>
  <si>
    <t>025929</t>
  </si>
  <si>
    <t>026021</t>
  </si>
  <si>
    <t>026022</t>
  </si>
  <si>
    <t>026023</t>
  </si>
  <si>
    <t>026024</t>
  </si>
  <si>
    <t>026025</t>
  </si>
  <si>
    <t>026026</t>
  </si>
  <si>
    <t>026027</t>
  </si>
  <si>
    <t>026028</t>
  </si>
  <si>
    <t>026029</t>
  </si>
  <si>
    <t>026030</t>
  </si>
  <si>
    <t>026101</t>
  </si>
  <si>
    <t>026102</t>
  </si>
  <si>
    <t>026103</t>
  </si>
  <si>
    <t>026104</t>
  </si>
  <si>
    <t>026105</t>
  </si>
  <si>
    <t>026106</t>
  </si>
  <si>
    <t>026107</t>
  </si>
  <si>
    <t>026108</t>
  </si>
  <si>
    <t>026109</t>
  </si>
  <si>
    <t>026110</t>
  </si>
  <si>
    <t>025971</t>
  </si>
  <si>
    <t>025972</t>
  </si>
  <si>
    <t>025973</t>
  </si>
  <si>
    <t>025974</t>
  </si>
  <si>
    <t>025975</t>
  </si>
  <si>
    <t>025976</t>
  </si>
  <si>
    <t>025977</t>
  </si>
  <si>
    <t>025978</t>
  </si>
  <si>
    <t>025979</t>
  </si>
  <si>
    <t>025980</t>
  </si>
  <si>
    <t>026001</t>
  </si>
  <si>
    <t>026002</t>
  </si>
  <si>
    <t>026003</t>
  </si>
  <si>
    <t>026004</t>
  </si>
  <si>
    <t>026005</t>
  </si>
  <si>
    <t>026006</t>
  </si>
  <si>
    <t>026007</t>
  </si>
  <si>
    <t>026008</t>
  </si>
  <si>
    <t>026009</t>
  </si>
  <si>
    <t>026010</t>
  </si>
  <si>
    <t>025990</t>
  </si>
  <si>
    <t>025991</t>
  </si>
  <si>
    <t>025992</t>
  </si>
  <si>
    <t>025993</t>
  </si>
  <si>
    <t>025994</t>
  </si>
  <si>
    <t>025995</t>
  </si>
  <si>
    <t>025996</t>
  </si>
  <si>
    <t>025997</t>
  </si>
  <si>
    <t>025998</t>
  </si>
  <si>
    <t>025999</t>
  </si>
  <si>
    <t>026000</t>
  </si>
  <si>
    <t>025982</t>
  </si>
  <si>
    <t>025986</t>
  </si>
  <si>
    <t>025989</t>
  </si>
  <si>
    <t>025988</t>
  </si>
  <si>
    <t>025987</t>
  </si>
  <si>
    <t>025395</t>
  </si>
  <si>
    <t>NB(Aouissi Brahim)</t>
  </si>
  <si>
    <t>NB (ECAMRT Les chalets)</t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</si>
  <si>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2015</t>
    </r>
  </si>
  <si>
    <t>B3 2810</t>
  </si>
  <si>
    <t>025700</t>
  </si>
  <si>
    <t>B4 0589</t>
  </si>
  <si>
    <t>060518</t>
  </si>
  <si>
    <t>B1 0058</t>
  </si>
  <si>
    <t>025693</t>
  </si>
  <si>
    <t>025698</t>
  </si>
  <si>
    <t>025699</t>
  </si>
  <si>
    <t>B3 2312</t>
  </si>
  <si>
    <t>060671</t>
  </si>
  <si>
    <t>B3 4607</t>
  </si>
  <si>
    <t>B3 4293</t>
  </si>
  <si>
    <t>B4 1868</t>
  </si>
  <si>
    <t>060516</t>
  </si>
  <si>
    <t>060677</t>
  </si>
  <si>
    <t>060676</t>
  </si>
  <si>
    <t>060680</t>
  </si>
  <si>
    <t>B4 1815</t>
  </si>
  <si>
    <t>060520</t>
  </si>
  <si>
    <t>026521</t>
  </si>
  <si>
    <t>026522</t>
  </si>
  <si>
    <t>026523</t>
  </si>
  <si>
    <t>026524</t>
  </si>
  <si>
    <t>026525</t>
  </si>
  <si>
    <t>026526</t>
  </si>
  <si>
    <t>026527</t>
  </si>
  <si>
    <t>026528</t>
  </si>
  <si>
    <t>026529</t>
  </si>
  <si>
    <t>026530</t>
  </si>
  <si>
    <t>026501</t>
  </si>
  <si>
    <t>026502</t>
  </si>
  <si>
    <t>026503</t>
  </si>
  <si>
    <t>026504</t>
  </si>
  <si>
    <t>026505</t>
  </si>
  <si>
    <t>026506</t>
  </si>
  <si>
    <t>026507</t>
  </si>
  <si>
    <t>026508</t>
  </si>
  <si>
    <t>026509</t>
  </si>
  <si>
    <t>026510</t>
  </si>
  <si>
    <t>026451</t>
  </si>
  <si>
    <t>026452</t>
  </si>
  <si>
    <t>026453</t>
  </si>
  <si>
    <t>026454</t>
  </si>
  <si>
    <t>026455</t>
  </si>
  <si>
    <t>026456</t>
  </si>
  <si>
    <t>026457</t>
  </si>
  <si>
    <t>026458</t>
  </si>
  <si>
    <t>026459</t>
  </si>
  <si>
    <t>026460</t>
  </si>
  <si>
    <t>026661</t>
  </si>
  <si>
    <t>026662</t>
  </si>
  <si>
    <t>026663</t>
  </si>
  <si>
    <t>026664</t>
  </si>
  <si>
    <t>026665</t>
  </si>
  <si>
    <t>026666</t>
  </si>
  <si>
    <t>026667</t>
  </si>
  <si>
    <t>026668</t>
  </si>
  <si>
    <t>026669</t>
  </si>
  <si>
    <t>026670</t>
  </si>
  <si>
    <t>026591</t>
  </si>
  <si>
    <t>026592</t>
  </si>
  <si>
    <t>026593</t>
  </si>
  <si>
    <t>026594</t>
  </si>
  <si>
    <t>026595</t>
  </si>
  <si>
    <t>026596</t>
  </si>
  <si>
    <t>026597</t>
  </si>
  <si>
    <t>026598</t>
  </si>
  <si>
    <t>026599</t>
  </si>
  <si>
    <t>026600</t>
  </si>
  <si>
    <t>026461</t>
  </si>
  <si>
    <t>026462</t>
  </si>
  <si>
    <t>026463</t>
  </si>
  <si>
    <t>026464</t>
  </si>
  <si>
    <t>026465</t>
  </si>
  <si>
    <t>026466</t>
  </si>
  <si>
    <t>026467</t>
  </si>
  <si>
    <t>026468</t>
  </si>
  <si>
    <t>026469</t>
  </si>
  <si>
    <t>026470</t>
  </si>
  <si>
    <t>026401</t>
  </si>
  <si>
    <t>026402</t>
  </si>
  <si>
    <t>026403</t>
  </si>
  <si>
    <t>026404</t>
  </si>
  <si>
    <t>026405</t>
  </si>
  <si>
    <t>026406</t>
  </si>
  <si>
    <t>026407</t>
  </si>
  <si>
    <t>026408</t>
  </si>
  <si>
    <t>026409</t>
  </si>
  <si>
    <t>026410</t>
  </si>
  <si>
    <t>025231</t>
  </si>
  <si>
    <t>025232</t>
  </si>
  <si>
    <t>025233</t>
  </si>
  <si>
    <t>025234</t>
  </si>
  <si>
    <t>025235</t>
  </si>
  <si>
    <t>025236</t>
  </si>
  <si>
    <t>025237</t>
  </si>
  <si>
    <t>025238</t>
  </si>
  <si>
    <t>025239</t>
  </si>
  <si>
    <t>025240</t>
  </si>
  <si>
    <t>026551</t>
  </si>
  <si>
    <t>026552</t>
  </si>
  <si>
    <t>026553</t>
  </si>
  <si>
    <t>026554</t>
  </si>
  <si>
    <t>026555</t>
  </si>
  <si>
    <t>026556</t>
  </si>
  <si>
    <t>026557</t>
  </si>
  <si>
    <t>026558</t>
  </si>
  <si>
    <t>026559</t>
  </si>
  <si>
    <t>026560</t>
  </si>
  <si>
    <t>026541</t>
  </si>
  <si>
    <t>026542</t>
  </si>
  <si>
    <t>026543</t>
  </si>
  <si>
    <t>026544</t>
  </si>
  <si>
    <t>026545</t>
  </si>
  <si>
    <t>026546</t>
  </si>
  <si>
    <t>026547</t>
  </si>
  <si>
    <t>026548</t>
  </si>
  <si>
    <t>026549</t>
  </si>
  <si>
    <t>026550</t>
  </si>
  <si>
    <t>026641</t>
  </si>
  <si>
    <t>026642</t>
  </si>
  <si>
    <t>026643</t>
  </si>
  <si>
    <t>026644</t>
  </si>
  <si>
    <t>026645</t>
  </si>
  <si>
    <t>026646</t>
  </si>
  <si>
    <t>026647</t>
  </si>
  <si>
    <t>026648</t>
  </si>
  <si>
    <t>026649</t>
  </si>
  <si>
    <t>026650</t>
  </si>
  <si>
    <t>026651</t>
  </si>
  <si>
    <t>026652</t>
  </si>
  <si>
    <t>026653</t>
  </si>
  <si>
    <t>026654</t>
  </si>
  <si>
    <t>026655</t>
  </si>
  <si>
    <t>026656</t>
  </si>
  <si>
    <t>026657</t>
  </si>
  <si>
    <t>026658</t>
  </si>
  <si>
    <t>026659</t>
  </si>
  <si>
    <t>026660</t>
  </si>
  <si>
    <t>025392</t>
  </si>
  <si>
    <t>025393</t>
  </si>
  <si>
    <t>025394</t>
  </si>
  <si>
    <t>025396</t>
  </si>
  <si>
    <t>NB (ECAMRT SNVI)</t>
  </si>
  <si>
    <t>3026244</t>
  </si>
  <si>
    <t>NB(N°0070/2015)</t>
  </si>
  <si>
    <t>025399</t>
  </si>
  <si>
    <t>NB(N°0104/2015)</t>
  </si>
  <si>
    <t>025361</t>
  </si>
  <si>
    <t>NB(N°0065/2015)</t>
  </si>
  <si>
    <t>NB(N°0113/2015)</t>
  </si>
  <si>
    <t>NB(N°0111/2015)</t>
  </si>
  <si>
    <t>060674</t>
  </si>
  <si>
    <t>NB(N°0129/2015)</t>
  </si>
  <si>
    <t>060517</t>
  </si>
  <si>
    <t>NB(N°0007/2015)</t>
  </si>
  <si>
    <t>060519</t>
  </si>
  <si>
    <t>NB(N°0066/2015)</t>
  </si>
  <si>
    <t>025692</t>
  </si>
  <si>
    <t>NB(N°0083/2015)</t>
  </si>
  <si>
    <t>025368</t>
  </si>
  <si>
    <t>NB(N°0118/2015)</t>
  </si>
  <si>
    <t>NB(N°0110/2015)</t>
  </si>
  <si>
    <t>025362</t>
  </si>
  <si>
    <t>NB(N°0064/2015)</t>
  </si>
  <si>
    <t>025694</t>
  </si>
  <si>
    <t>NB(N°0184/2015)</t>
  </si>
  <si>
    <t>025691</t>
  </si>
  <si>
    <t>NB(N°0105/2015)</t>
  </si>
  <si>
    <t>025695</t>
  </si>
  <si>
    <t>NB(N°0027/2012)</t>
  </si>
  <si>
    <t>060672</t>
  </si>
  <si>
    <t>NB(N°0122/2015)</t>
  </si>
  <si>
    <t>060673</t>
  </si>
  <si>
    <t>NB(N°0121/2015)</t>
  </si>
  <si>
    <t>060675</t>
  </si>
  <si>
    <t>NB(N°0139/2015)</t>
  </si>
  <si>
    <t>025400</t>
  </si>
  <si>
    <t>NB(N°0091/2015)</t>
  </si>
  <si>
    <t>060227</t>
  </si>
  <si>
    <t>B4 1397</t>
  </si>
  <si>
    <t>NB (Chantier ETP-MCC-18)</t>
  </si>
  <si>
    <t>EUR. UK 114725</t>
  </si>
  <si>
    <t>E13XI036577G</t>
  </si>
  <si>
    <t>NB(ST-P VSA Boubakeur)</t>
  </si>
  <si>
    <t>025391</t>
  </si>
  <si>
    <t>VENTE (EST- Bourahla mustapha)</t>
  </si>
  <si>
    <t>025696</t>
  </si>
  <si>
    <t>B1 0056</t>
  </si>
  <si>
    <t>060678</t>
  </si>
  <si>
    <t>060221</t>
  </si>
  <si>
    <t>060222</t>
  </si>
  <si>
    <t>060223</t>
  </si>
  <si>
    <t>060224</t>
  </si>
  <si>
    <t>060225</t>
  </si>
  <si>
    <t>060226</t>
  </si>
  <si>
    <t>060229</t>
  </si>
  <si>
    <t>060230</t>
  </si>
  <si>
    <t>060679</t>
  </si>
  <si>
    <t>060511</t>
  </si>
  <si>
    <t>060512</t>
  </si>
  <si>
    <t>060513</t>
  </si>
  <si>
    <t>060514</t>
  </si>
  <si>
    <t>060321</t>
  </si>
  <si>
    <t>060322</t>
  </si>
  <si>
    <t>060323</t>
  </si>
  <si>
    <t>060324</t>
  </si>
  <si>
    <t>060325</t>
  </si>
  <si>
    <t>060326</t>
  </si>
  <si>
    <t>060327</t>
  </si>
  <si>
    <t>060328</t>
  </si>
  <si>
    <t>060329</t>
  </si>
  <si>
    <t>060330</t>
  </si>
  <si>
    <t>NB (N°135/2015)</t>
  </si>
  <si>
    <t>NB (N°137/2015)</t>
  </si>
  <si>
    <t>NB (N°269/2014)</t>
  </si>
  <si>
    <t>NB (N°262/2014)</t>
  </si>
  <si>
    <t>NB (N°265/2014)</t>
  </si>
  <si>
    <t>NB (N°267/2014)</t>
  </si>
  <si>
    <t>NB (N°144/2015)</t>
  </si>
  <si>
    <t>NB (N°277/2014)</t>
  </si>
  <si>
    <t>NB (N°236/2014)</t>
  </si>
  <si>
    <t>NB (N°145/2015)</t>
  </si>
  <si>
    <t>NB (N°259/2014)</t>
  </si>
  <si>
    <t>NB (N°245/2014)</t>
  </si>
  <si>
    <t>NB (N°315/2014)</t>
  </si>
  <si>
    <t>NB (N°136/2015)</t>
  </si>
  <si>
    <t>NB (N°253/2014)</t>
  </si>
  <si>
    <t>NB (N°258/2014)</t>
  </si>
  <si>
    <t>NB (N°266/2014)</t>
  </si>
  <si>
    <t>NB (N°256/2014)</t>
  </si>
  <si>
    <t>NB (N°131/2015)</t>
  </si>
  <si>
    <t>NB (N°143/2015)</t>
  </si>
  <si>
    <t>NB (N°272/2014)</t>
  </si>
  <si>
    <t>NB (N°130/2015)</t>
  </si>
  <si>
    <t>NB (N°134/2015)</t>
  </si>
  <si>
    <t>060515</t>
  </si>
  <si>
    <t>060228</t>
  </si>
  <si>
    <t>060374</t>
  </si>
  <si>
    <t>NB (N°101/2015)</t>
  </si>
  <si>
    <t>NB (N°102/2015)</t>
  </si>
  <si>
    <t>NB (N°100/2015)</t>
  </si>
  <si>
    <t>BB 0092</t>
  </si>
  <si>
    <t>005553</t>
  </si>
  <si>
    <t>Elimination de forfait</t>
  </si>
  <si>
    <t>B1 1903</t>
  </si>
  <si>
    <t>B1 1935</t>
  </si>
  <si>
    <t>060371</t>
  </si>
  <si>
    <t>060372</t>
  </si>
  <si>
    <t>CHEF D'AGENCE</t>
  </si>
  <si>
    <r>
      <t xml:space="preserve">Mois de Juin </t>
    </r>
    <r>
      <rPr>
        <b/>
        <sz val="11"/>
        <rFont val="Arial"/>
        <family val="2"/>
      </rPr>
      <t>2015</t>
    </r>
  </si>
  <si>
    <t>B2 0378</t>
  </si>
  <si>
    <t>060373</t>
  </si>
  <si>
    <t>060169</t>
  </si>
  <si>
    <t>NB(RAIS MED)</t>
  </si>
  <si>
    <t>GARDE COMMUNAL</t>
  </si>
  <si>
    <t>B4 1304</t>
  </si>
  <si>
    <t>060166</t>
  </si>
  <si>
    <t>B4 1131</t>
  </si>
  <si>
    <t>060167</t>
  </si>
  <si>
    <t>B4 1110</t>
  </si>
  <si>
    <t>060168</t>
  </si>
  <si>
    <t>B4 0642</t>
  </si>
  <si>
    <t>060379</t>
  </si>
  <si>
    <t>B4 0643</t>
  </si>
  <si>
    <t>060377</t>
  </si>
  <si>
    <t>B4 0660</t>
  </si>
  <si>
    <t>060376</t>
  </si>
  <si>
    <t>B4 0881</t>
  </si>
  <si>
    <t>060375</t>
  </si>
  <si>
    <t>B3 0082</t>
  </si>
  <si>
    <t>005555</t>
  </si>
  <si>
    <t>B3 0083</t>
  </si>
  <si>
    <t>006880</t>
  </si>
  <si>
    <t>B1 0364</t>
  </si>
  <si>
    <t>060378</t>
  </si>
  <si>
    <t>B1 1342</t>
  </si>
  <si>
    <t>060380</t>
  </si>
  <si>
    <t>B4 1073</t>
  </si>
  <si>
    <t>060170</t>
  </si>
  <si>
    <t>B2 2085</t>
  </si>
  <si>
    <t>060164</t>
  </si>
  <si>
    <t>B2 2169</t>
  </si>
  <si>
    <t>060165</t>
  </si>
  <si>
    <t>060251</t>
  </si>
  <si>
    <t>060252</t>
  </si>
  <si>
    <t>060253</t>
  </si>
  <si>
    <t>060254</t>
  </si>
  <si>
    <t>060255</t>
  </si>
  <si>
    <t>060256</t>
  </si>
  <si>
    <t>060257</t>
  </si>
  <si>
    <t>060258</t>
  </si>
  <si>
    <t>060259</t>
  </si>
  <si>
    <t>060260</t>
  </si>
  <si>
    <t>060581</t>
  </si>
  <si>
    <t>060582</t>
  </si>
  <si>
    <t>060583</t>
  </si>
  <si>
    <t>060584</t>
  </si>
  <si>
    <t>060585</t>
  </si>
  <si>
    <t>060586</t>
  </si>
  <si>
    <t>060587</t>
  </si>
  <si>
    <t>060588</t>
  </si>
  <si>
    <t>060589</t>
  </si>
  <si>
    <t>060590</t>
  </si>
  <si>
    <t>060163</t>
  </si>
  <si>
    <t>B3 2945</t>
  </si>
  <si>
    <t>NB(N°195/2015)</t>
  </si>
  <si>
    <t>B3 4065</t>
  </si>
  <si>
    <t>060162</t>
  </si>
  <si>
    <t>NB(N°057/2010)</t>
  </si>
  <si>
    <t>B1 0917</t>
  </si>
  <si>
    <t>060161</t>
  </si>
  <si>
    <t>B1 0926</t>
  </si>
  <si>
    <t>060436</t>
  </si>
  <si>
    <t>Chef de centre</t>
  </si>
  <si>
    <t>060437</t>
  </si>
  <si>
    <t>NB(N°048/2015)</t>
  </si>
  <si>
    <t>B2 0556</t>
  </si>
  <si>
    <t>060438</t>
  </si>
  <si>
    <t>060439</t>
  </si>
  <si>
    <t>B2 0687</t>
  </si>
  <si>
    <t>B1 2141</t>
  </si>
  <si>
    <t>060432</t>
  </si>
  <si>
    <t>060431</t>
  </si>
  <si>
    <t>060440</t>
  </si>
  <si>
    <t>NB(N°179/2015)</t>
  </si>
  <si>
    <t>NB(N°058/2015)</t>
  </si>
  <si>
    <t>B2 0090</t>
  </si>
  <si>
    <t>060433</t>
  </si>
  <si>
    <t>B2 0087</t>
  </si>
  <si>
    <t>060434</t>
  </si>
  <si>
    <t>060146</t>
  </si>
  <si>
    <t>NB(N°0029/2015)</t>
  </si>
  <si>
    <t>060147</t>
  </si>
  <si>
    <t>NB(N°0055/2015)</t>
  </si>
  <si>
    <t>B4 1942</t>
  </si>
  <si>
    <t>006877</t>
  </si>
  <si>
    <t>B4 1881</t>
  </si>
  <si>
    <t>005560</t>
  </si>
  <si>
    <t>B4 1753</t>
  </si>
  <si>
    <t>006875</t>
  </si>
  <si>
    <t>B2 0562</t>
  </si>
  <si>
    <t>060435</t>
  </si>
  <si>
    <t>B2 0727</t>
  </si>
  <si>
    <t>060472</t>
  </si>
  <si>
    <t>B2 0779</t>
  </si>
  <si>
    <t>060473</t>
  </si>
  <si>
    <t>B2 0636</t>
  </si>
  <si>
    <t>060474</t>
  </si>
  <si>
    <t>060475</t>
  </si>
  <si>
    <t>NB(N°140/2015)</t>
  </si>
  <si>
    <t>B1 1801</t>
  </si>
  <si>
    <t>060145</t>
  </si>
  <si>
    <t>B3 2284</t>
  </si>
  <si>
    <t>060142</t>
  </si>
  <si>
    <t>B3 2458</t>
  </si>
  <si>
    <t>060143</t>
  </si>
  <si>
    <t>B3 3107</t>
  </si>
  <si>
    <t>060141</t>
  </si>
  <si>
    <t>B3 2293</t>
  </si>
  <si>
    <t>006879</t>
  </si>
  <si>
    <t>B2 1528</t>
  </si>
  <si>
    <t>006873</t>
  </si>
  <si>
    <t>B2 1470</t>
  </si>
  <si>
    <t>060144</t>
  </si>
  <si>
    <t>B1 1582</t>
  </si>
  <si>
    <t>060148</t>
  </si>
  <si>
    <t>B1 1266</t>
  </si>
  <si>
    <t>060150</t>
  </si>
  <si>
    <t>B1 0429</t>
  </si>
  <si>
    <t>060149</t>
  </si>
  <si>
    <t>060471</t>
  </si>
  <si>
    <t>NB(N°172/2014)</t>
  </si>
  <si>
    <t>B3 2299</t>
  </si>
  <si>
    <t>060544</t>
  </si>
  <si>
    <t>B2 1974</t>
  </si>
  <si>
    <t>006874</t>
  </si>
  <si>
    <t>B3 2326</t>
  </si>
  <si>
    <t>060546</t>
  </si>
  <si>
    <t>B2 1827</t>
  </si>
  <si>
    <t>060541</t>
  </si>
  <si>
    <t>B3 2260</t>
  </si>
  <si>
    <t>060543</t>
  </si>
  <si>
    <t>B3 2256</t>
  </si>
  <si>
    <t>060545</t>
  </si>
  <si>
    <t>B2 1407</t>
  </si>
  <si>
    <t>006872</t>
  </si>
  <si>
    <t>B3 3806</t>
  </si>
  <si>
    <t>060547</t>
  </si>
  <si>
    <t>B2 1874</t>
  </si>
  <si>
    <t>006878</t>
  </si>
  <si>
    <t>B3 2318</t>
  </si>
  <si>
    <t>060542</t>
  </si>
  <si>
    <t>060864</t>
  </si>
  <si>
    <t>NB(N°149/2015)</t>
  </si>
  <si>
    <t>B3 3188</t>
  </si>
  <si>
    <t>060865</t>
  </si>
  <si>
    <t>5102252</t>
  </si>
  <si>
    <t>5101774</t>
  </si>
  <si>
    <t>B4 2015</t>
  </si>
  <si>
    <t>060476</t>
  </si>
  <si>
    <t>S/C</t>
  </si>
  <si>
    <t>BB 0150</t>
  </si>
  <si>
    <t>060550</t>
  </si>
  <si>
    <t>B2 0125</t>
  </si>
  <si>
    <t>060549</t>
  </si>
  <si>
    <t>B4 2003</t>
  </si>
  <si>
    <t>060480</t>
  </si>
  <si>
    <t>B2 0240</t>
  </si>
  <si>
    <t>060548</t>
  </si>
  <si>
    <t>B2 0173</t>
  </si>
  <si>
    <t>060478</t>
  </si>
  <si>
    <t>B2 0228</t>
  </si>
  <si>
    <t>060479</t>
  </si>
  <si>
    <t>B4 1001</t>
  </si>
  <si>
    <t>B4 1561</t>
  </si>
  <si>
    <t>060477</t>
  </si>
  <si>
    <t>060861</t>
  </si>
  <si>
    <t>NB(N°095/2015)</t>
  </si>
  <si>
    <t>060863</t>
  </si>
  <si>
    <t>NB(N°222/2015)</t>
  </si>
  <si>
    <t>E13XH036473S</t>
  </si>
  <si>
    <t>B4 0316</t>
  </si>
  <si>
    <t>060866</t>
  </si>
  <si>
    <t>B1 0928</t>
  </si>
  <si>
    <t>060867</t>
  </si>
  <si>
    <t>060862</t>
  </si>
  <si>
    <t>B4 0793</t>
  </si>
  <si>
    <t>B2 0191</t>
  </si>
  <si>
    <t>060868</t>
  </si>
  <si>
    <t>B3 3395</t>
  </si>
  <si>
    <t>060122</t>
  </si>
  <si>
    <t>B4 1257</t>
  </si>
  <si>
    <t>060127</t>
  </si>
  <si>
    <t>B4 1227</t>
  </si>
  <si>
    <t>060126</t>
  </si>
  <si>
    <t>B4 1290</t>
  </si>
  <si>
    <t>060128</t>
  </si>
  <si>
    <t>B4 2074</t>
  </si>
  <si>
    <t>060121</t>
  </si>
  <si>
    <t>B4 2068</t>
  </si>
  <si>
    <t>060129</t>
  </si>
  <si>
    <t>B1 0072</t>
  </si>
  <si>
    <t>060125</t>
  </si>
  <si>
    <t>B1 0459</t>
  </si>
  <si>
    <t>060124</t>
  </si>
  <si>
    <t>B2 1694</t>
  </si>
  <si>
    <t>060123</t>
  </si>
  <si>
    <t>B1 1175</t>
  </si>
  <si>
    <t>060870</t>
  </si>
  <si>
    <t>B1 1014</t>
  </si>
  <si>
    <t>060869</t>
  </si>
  <si>
    <t>B1 1016</t>
  </si>
  <si>
    <t>060130</t>
  </si>
  <si>
    <t>2015075516</t>
  </si>
  <si>
    <t>2015075517</t>
  </si>
  <si>
    <t>NB(N°158/2015)</t>
  </si>
  <si>
    <t>2015075518</t>
  </si>
  <si>
    <t>2015075519</t>
  </si>
  <si>
    <t>2015075520</t>
  </si>
  <si>
    <t>NB(N°150/2015)</t>
  </si>
  <si>
    <t>NB(N°204/2015)</t>
  </si>
  <si>
    <t>NB(N°127/2015)</t>
  </si>
  <si>
    <t>B3 3840</t>
  </si>
  <si>
    <t>2015075514</t>
  </si>
  <si>
    <t>2015075511</t>
  </si>
  <si>
    <t>NB(N°268/2014)</t>
  </si>
  <si>
    <t>2015075512</t>
  </si>
  <si>
    <t>NB(N°092/2014)</t>
  </si>
  <si>
    <t>B4 2036</t>
  </si>
  <si>
    <t>2015075084</t>
  </si>
  <si>
    <t>B4 1013</t>
  </si>
  <si>
    <t>2015075083</t>
  </si>
  <si>
    <t>B3 3963</t>
  </si>
  <si>
    <t>2015075085</t>
  </si>
  <si>
    <t>NB(N°278/2015)</t>
  </si>
  <si>
    <t>B3 2708</t>
  </si>
  <si>
    <t>2015075081</t>
  </si>
  <si>
    <t>B3 2860</t>
  </si>
  <si>
    <t>2015075082</t>
  </si>
  <si>
    <t>B3 2777</t>
  </si>
  <si>
    <t>2015075088</t>
  </si>
  <si>
    <t>B3 2725</t>
  </si>
  <si>
    <t>006603</t>
  </si>
  <si>
    <t>B1 1186</t>
  </si>
  <si>
    <t>2015075086</t>
  </si>
  <si>
    <t>B1 0665</t>
  </si>
  <si>
    <t>2015075089</t>
  </si>
  <si>
    <t>2015075515</t>
  </si>
  <si>
    <t>B1 1185</t>
  </si>
  <si>
    <t>2015075087</t>
  </si>
  <si>
    <t>B1 0742</t>
  </si>
  <si>
    <t>B3 2924</t>
  </si>
  <si>
    <t>2015075090</t>
  </si>
  <si>
    <t>B3 3169</t>
  </si>
  <si>
    <t>2015076169</t>
  </si>
  <si>
    <t>B3 3223</t>
  </si>
  <si>
    <t>2015076170</t>
  </si>
  <si>
    <t>B2 1888</t>
  </si>
  <si>
    <t>2015076163</t>
  </si>
  <si>
    <t>B3 3853</t>
  </si>
  <si>
    <t>2015076162</t>
  </si>
  <si>
    <t>2015076161</t>
  </si>
  <si>
    <t>NB(N°061/2015)</t>
  </si>
  <si>
    <t>2015075513</t>
  </si>
  <si>
    <t>NB(N°266/2015)</t>
  </si>
  <si>
    <t>2015076164</t>
  </si>
  <si>
    <t>NB(N°245/2015)</t>
  </si>
  <si>
    <t>2015076165</t>
  </si>
  <si>
    <t>NB(N°146/2015)</t>
  </si>
  <si>
    <t>2015076166</t>
  </si>
  <si>
    <t>2015076167</t>
  </si>
  <si>
    <t>NB(N°215/2015)</t>
  </si>
  <si>
    <t>NB(N°022/2015)</t>
  </si>
  <si>
    <t>BC 0036</t>
  </si>
  <si>
    <t>2015075595</t>
  </si>
  <si>
    <t>2015075591</t>
  </si>
  <si>
    <t>2015075592</t>
  </si>
  <si>
    <t>2015075593</t>
  </si>
  <si>
    <t>2015075594</t>
  </si>
  <si>
    <t>NB(299/2015)</t>
  </si>
  <si>
    <t>NB(301/2015)</t>
  </si>
  <si>
    <t>NB(298/2015)</t>
  </si>
  <si>
    <t>NB(312/2015)</t>
  </si>
  <si>
    <t>BB 0114</t>
  </si>
  <si>
    <t>006601</t>
  </si>
  <si>
    <t>B1 0250</t>
  </si>
  <si>
    <t>218285</t>
  </si>
  <si>
    <t>B1 1446</t>
  </si>
  <si>
    <t>2015075600</t>
  </si>
  <si>
    <t>B1 1163</t>
  </si>
  <si>
    <t>2015073301</t>
  </si>
  <si>
    <t>B1 1174</t>
  </si>
  <si>
    <t>2015073302</t>
  </si>
  <si>
    <t>2015075599</t>
  </si>
  <si>
    <t>B3 2982</t>
  </si>
  <si>
    <t>2015076168</t>
  </si>
  <si>
    <t>2015073303</t>
  </si>
  <si>
    <t>2015075596</t>
  </si>
  <si>
    <t>NB(N°314/2015)</t>
  </si>
  <si>
    <t>2015075597</t>
  </si>
  <si>
    <t>NB(N°191/2015)</t>
  </si>
  <si>
    <t>2015075598</t>
  </si>
  <si>
    <t>NB(N°300/2015)</t>
  </si>
  <si>
    <t>2015073304</t>
  </si>
  <si>
    <t>2015073305</t>
  </si>
  <si>
    <t>NB(N°147/2015)</t>
  </si>
  <si>
    <t>NB(N°148/2015)</t>
  </si>
  <si>
    <t>NB(250/2015)</t>
  </si>
  <si>
    <t>NB(N°409/2014)</t>
  </si>
  <si>
    <t>2015073308</t>
  </si>
  <si>
    <t>NB(N°0068/2009)</t>
  </si>
  <si>
    <t>B2 1752</t>
  </si>
  <si>
    <t>2015073309</t>
  </si>
  <si>
    <t>2015073310</t>
  </si>
  <si>
    <t>B3 2675</t>
  </si>
  <si>
    <t>2015073307</t>
  </si>
  <si>
    <t>NB(N°0160/2015)</t>
  </si>
  <si>
    <t>2015075713</t>
  </si>
  <si>
    <t>2015075714</t>
  </si>
  <si>
    <t>2015075715</t>
  </si>
  <si>
    <t>NB(N°0156/2015)</t>
  </si>
  <si>
    <t>NB(N°0182/2015)</t>
  </si>
  <si>
    <t>NB(N°0180/2015)</t>
  </si>
  <si>
    <t>2015075716</t>
  </si>
  <si>
    <t>2015075717</t>
  </si>
  <si>
    <t>2015075718</t>
  </si>
  <si>
    <t>NB(N°0329/2015)</t>
  </si>
  <si>
    <t>NB(N°0332/2015)</t>
  </si>
  <si>
    <t>NB(N°0282/2015)</t>
  </si>
  <si>
    <t>2015073111</t>
  </si>
  <si>
    <t>2015073112</t>
  </si>
  <si>
    <t>2015073113</t>
  </si>
  <si>
    <t>2015073114</t>
  </si>
  <si>
    <t>2015073115</t>
  </si>
  <si>
    <t>2015073116</t>
  </si>
  <si>
    <t>2015073117</t>
  </si>
  <si>
    <t>2015073118</t>
  </si>
  <si>
    <t>2015073119</t>
  </si>
  <si>
    <t>2015073120</t>
  </si>
  <si>
    <t>2015073041</t>
  </si>
  <si>
    <t>2015073042</t>
  </si>
  <si>
    <t>2015073043</t>
  </si>
  <si>
    <t>2015073044</t>
  </si>
  <si>
    <t>2015073045</t>
  </si>
  <si>
    <t>2015073046</t>
  </si>
  <si>
    <t>2015073047</t>
  </si>
  <si>
    <t>2015073048</t>
  </si>
  <si>
    <t>2015073049</t>
  </si>
  <si>
    <t>2015073050</t>
  </si>
  <si>
    <t>2015075111</t>
  </si>
  <si>
    <t>2015075112</t>
  </si>
  <si>
    <t>2015075113</t>
  </si>
  <si>
    <t>2015075114</t>
  </si>
  <si>
    <t>2015075115</t>
  </si>
  <si>
    <t>2015075116</t>
  </si>
  <si>
    <t>2015075117</t>
  </si>
  <si>
    <t>2015075118</t>
  </si>
  <si>
    <t>2015075119</t>
  </si>
  <si>
    <t>2015075120</t>
  </si>
  <si>
    <t>2015075711</t>
  </si>
  <si>
    <t>2015075712</t>
  </si>
  <si>
    <t>2015075441</t>
  </si>
  <si>
    <t>B4 1740</t>
  </si>
  <si>
    <t>2015075442</t>
  </si>
  <si>
    <t>B4 1555</t>
  </si>
  <si>
    <t>006606</t>
  </si>
  <si>
    <t>B5 0017</t>
  </si>
  <si>
    <r>
      <t xml:space="preserve">Mois de Aout </t>
    </r>
    <r>
      <rPr>
        <b/>
        <sz val="11"/>
        <rFont val="Arial"/>
        <family val="2"/>
      </rPr>
      <t>2015</t>
    </r>
  </si>
  <si>
    <t>2015075341</t>
  </si>
  <si>
    <t>2015075342</t>
  </si>
  <si>
    <t>2015075719</t>
  </si>
  <si>
    <t>2015075445</t>
  </si>
  <si>
    <t>NB(N°0287/2015)</t>
  </si>
  <si>
    <t>NB(N°0072/2015)</t>
  </si>
  <si>
    <t>NB(N°0333/2015)</t>
  </si>
  <si>
    <t>NB(N°0201/2015)</t>
  </si>
  <si>
    <t>B3 2303</t>
  </si>
  <si>
    <t>006604</t>
  </si>
  <si>
    <t>2015075446</t>
  </si>
  <si>
    <t>NB(N°0204/2014)</t>
  </si>
  <si>
    <t>NB(N°/2015)</t>
  </si>
  <si>
    <t>B3 3235</t>
  </si>
  <si>
    <t>2015073306</t>
  </si>
  <si>
    <t>2015075720</t>
  </si>
  <si>
    <t>2015075443</t>
  </si>
  <si>
    <t>NB(N°0319/2015)</t>
  </si>
  <si>
    <t>NB(N°0106/2015)</t>
  </si>
  <si>
    <t>B1 0001</t>
  </si>
  <si>
    <t>2015075448</t>
  </si>
  <si>
    <t>B1 1830</t>
  </si>
  <si>
    <t>2015075449</t>
  </si>
  <si>
    <t>B1 2081</t>
  </si>
  <si>
    <t>2015075450</t>
  </si>
  <si>
    <t>B1 1810</t>
  </si>
  <si>
    <t>2015075447</t>
  </si>
  <si>
    <t>BB 0140</t>
  </si>
  <si>
    <t>45332162</t>
  </si>
  <si>
    <t>BB 0094</t>
  </si>
  <si>
    <t>45332163</t>
  </si>
  <si>
    <t>B2 1770</t>
  </si>
  <si>
    <t>2015075343</t>
  </si>
  <si>
    <t>2015075346</t>
  </si>
  <si>
    <t>B1 0256</t>
  </si>
  <si>
    <t>006605</t>
  </si>
  <si>
    <t>BB 0219</t>
  </si>
  <si>
    <t>45332165</t>
  </si>
  <si>
    <t>2015075444</t>
  </si>
  <si>
    <t>NB(N°0338/2015)</t>
  </si>
  <si>
    <t>2015075344</t>
  </si>
  <si>
    <t>2015075345</t>
  </si>
  <si>
    <t>NB(N°0093/2015)</t>
  </si>
  <si>
    <t>NB(N°0123/2015)</t>
  </si>
  <si>
    <t>2015075347</t>
  </si>
  <si>
    <t>B3 3272</t>
  </si>
  <si>
    <t>2015075348</t>
  </si>
  <si>
    <t>NB(N°0132/2015)</t>
  </si>
  <si>
    <r>
      <t xml:space="preserve">Mois de Septembre </t>
    </r>
    <r>
      <rPr>
        <b/>
        <sz val="11"/>
        <rFont val="Arial"/>
        <family val="2"/>
      </rPr>
      <t>2015</t>
    </r>
  </si>
  <si>
    <t>2015075349</t>
  </si>
  <si>
    <t>NB(N°0125/2015)</t>
  </si>
  <si>
    <t>2015075350</t>
  </si>
  <si>
    <t>NB(N°0342/2014)</t>
  </si>
  <si>
    <t>2015076171</t>
  </si>
  <si>
    <t>NB(N°0283/2015)</t>
  </si>
  <si>
    <t>B3 3329</t>
  </si>
  <si>
    <t>2015076172</t>
  </si>
  <si>
    <t>2015076173</t>
  </si>
  <si>
    <t>B3 3174</t>
  </si>
  <si>
    <t>B3 2459</t>
  </si>
  <si>
    <t>2015076174</t>
  </si>
  <si>
    <t>B4 1102</t>
  </si>
  <si>
    <t>2015076175</t>
  </si>
  <si>
    <t>2015076176</t>
  </si>
  <si>
    <t>NB(N°308/2015)</t>
  </si>
  <si>
    <t>2015076177</t>
  </si>
  <si>
    <t>NB(N°044/2015 )</t>
  </si>
  <si>
    <t>2015076178</t>
  </si>
  <si>
    <t>NB(N°315/2015)</t>
  </si>
  <si>
    <t>B2 1782</t>
  </si>
  <si>
    <t>2015075231</t>
  </si>
  <si>
    <t>B2 0591</t>
  </si>
  <si>
    <t>2015075232</t>
  </si>
  <si>
    <t>B2 0571</t>
  </si>
  <si>
    <t>2015075233</t>
  </si>
  <si>
    <t>B2 0432</t>
  </si>
  <si>
    <t>2015075234</t>
  </si>
  <si>
    <t>B2 0371</t>
  </si>
  <si>
    <t>2015075235</t>
  </si>
  <si>
    <t>B2 0071</t>
  </si>
  <si>
    <t>2015075236</t>
  </si>
  <si>
    <t>B1 0649</t>
  </si>
  <si>
    <t>2015076179</t>
  </si>
  <si>
    <t xml:space="preserve"> </t>
  </si>
  <si>
    <t>B3 2341</t>
  </si>
  <si>
    <t>2015075237</t>
  </si>
  <si>
    <t>B1 0687</t>
  </si>
  <si>
    <t>2015075238</t>
  </si>
  <si>
    <t>2015075240</t>
  </si>
  <si>
    <t>B4 1839</t>
  </si>
  <si>
    <t>2015076180</t>
  </si>
  <si>
    <t>B2 1285</t>
  </si>
  <si>
    <t>2015073105</t>
  </si>
  <si>
    <t>B2 1334</t>
  </si>
  <si>
    <t>006607</t>
  </si>
  <si>
    <t>B4 2020</t>
  </si>
  <si>
    <t>2015075239</t>
  </si>
  <si>
    <t>2015073102</t>
  </si>
  <si>
    <t>NB(N°108/2015)</t>
  </si>
  <si>
    <t>NB(N°264/2015)</t>
  </si>
  <si>
    <t>BB 0010</t>
  </si>
  <si>
    <t>2015073103</t>
  </si>
  <si>
    <t>BC 0434</t>
  </si>
  <si>
    <t>DN 30</t>
  </si>
  <si>
    <t>45332166</t>
  </si>
  <si>
    <t>B1 1212</t>
  </si>
  <si>
    <t>2015073107</t>
  </si>
  <si>
    <t>B1 1218</t>
  </si>
  <si>
    <t>2015073108</t>
  </si>
  <si>
    <t>B1 0551</t>
  </si>
  <si>
    <t>2015073101</t>
  </si>
  <si>
    <t>2015073104</t>
  </si>
  <si>
    <t>B1 0905</t>
  </si>
  <si>
    <t>2015073106</t>
  </si>
  <si>
    <t>45332164</t>
  </si>
  <si>
    <t>NB(APC ecole belhadj)</t>
  </si>
  <si>
    <t>BB 0151</t>
  </si>
  <si>
    <t>E13XG0362921</t>
  </si>
  <si>
    <t>2015073109</t>
  </si>
  <si>
    <t>NB(N°320/2015)</t>
  </si>
  <si>
    <t>2015073110</t>
  </si>
  <si>
    <t>2015075246</t>
  </si>
  <si>
    <t>NB(N°292/2015)</t>
  </si>
  <si>
    <t>BB 0148</t>
  </si>
  <si>
    <t>2015075249</t>
  </si>
  <si>
    <t>B3 3178</t>
  </si>
  <si>
    <t>2015075241</t>
  </si>
  <si>
    <t>B3 3242</t>
  </si>
  <si>
    <t>2015075250</t>
  </si>
  <si>
    <t>BB 0127</t>
  </si>
  <si>
    <t>45332158</t>
  </si>
  <si>
    <t>2015075248</t>
  </si>
  <si>
    <t>NB(N°339/2015)</t>
  </si>
  <si>
    <t>B1 0453</t>
  </si>
  <si>
    <t>2015075242</t>
  </si>
  <si>
    <t>2015075817</t>
  </si>
  <si>
    <t>NB(N°347/2015)</t>
  </si>
  <si>
    <t>2015075245</t>
  </si>
  <si>
    <t>NB(N°249/2015)</t>
  </si>
  <si>
    <t>2015075244</t>
  </si>
  <si>
    <t>2015075243</t>
  </si>
  <si>
    <t>NB(N°317/2015)</t>
  </si>
  <si>
    <t>2015075819</t>
  </si>
  <si>
    <t>2015075247</t>
  </si>
  <si>
    <t>NB(N°171/2015)</t>
  </si>
  <si>
    <t>2015075816</t>
  </si>
  <si>
    <t>NB(N°126/2015)</t>
  </si>
  <si>
    <t>2015075820</t>
  </si>
  <si>
    <t>NB(N°253/2015)</t>
  </si>
  <si>
    <t>2015075818</t>
  </si>
  <si>
    <t>NB(N°252/2015)</t>
  </si>
  <si>
    <t>NB(N°298/2014)</t>
  </si>
  <si>
    <t>sc</t>
  </si>
  <si>
    <t>B1 0375</t>
  </si>
  <si>
    <t>2015075813</t>
  </si>
  <si>
    <r>
      <t xml:space="preserve">Mois de Octobre </t>
    </r>
    <r>
      <rPr>
        <b/>
        <sz val="11"/>
        <rFont val="Arial"/>
        <family val="2"/>
      </rPr>
      <t>2015</t>
    </r>
  </si>
  <si>
    <t>2015075815</t>
  </si>
  <si>
    <t>NB(N°344/2015)</t>
  </si>
  <si>
    <t>2015075814</t>
  </si>
  <si>
    <t>NB(N°302/2015)</t>
  </si>
  <si>
    <t>2015075811</t>
  </si>
  <si>
    <t>B3 2793</t>
  </si>
  <si>
    <t>B3 2733</t>
  </si>
  <si>
    <t>2015075812</t>
  </si>
  <si>
    <t>B1 0116</t>
  </si>
  <si>
    <t>2015075841</t>
  </si>
  <si>
    <t>2015075842</t>
  </si>
  <si>
    <t>NB(N°362/2015)</t>
  </si>
  <si>
    <t>B2 0162</t>
  </si>
  <si>
    <t>2015075845</t>
  </si>
  <si>
    <t>B2 0270</t>
  </si>
  <si>
    <t>2015075843</t>
  </si>
  <si>
    <t>B4 0179</t>
  </si>
  <si>
    <t>2015075850</t>
  </si>
  <si>
    <t>B4 1255</t>
  </si>
  <si>
    <t>2015075847</t>
  </si>
  <si>
    <t>2015075844</t>
  </si>
  <si>
    <t>B4 1148</t>
  </si>
  <si>
    <t>2015109131</t>
  </si>
  <si>
    <t>2015109132</t>
  </si>
  <si>
    <t>2015109133</t>
  </si>
  <si>
    <t>2015109134</t>
  </si>
  <si>
    <t>2015109135</t>
  </si>
  <si>
    <t>2015109136</t>
  </si>
  <si>
    <t>2015109137</t>
  </si>
  <si>
    <t>2015109138</t>
  </si>
  <si>
    <t>2015109139</t>
  </si>
  <si>
    <t>2015109140</t>
  </si>
  <si>
    <t>2015111711</t>
  </si>
  <si>
    <t>2015111712</t>
  </si>
  <si>
    <t>2015111713</t>
  </si>
  <si>
    <t>2015111714</t>
  </si>
  <si>
    <t>2015111715</t>
  </si>
  <si>
    <t>2015111716</t>
  </si>
  <si>
    <t>2015111717</t>
  </si>
  <si>
    <t>2015111718</t>
  </si>
  <si>
    <t>2015111719</t>
  </si>
  <si>
    <t>2015111720</t>
  </si>
  <si>
    <t>2015111651</t>
  </si>
  <si>
    <t>2015111652</t>
  </si>
  <si>
    <t>2015111653</t>
  </si>
  <si>
    <t>2015111654</t>
  </si>
  <si>
    <t>B2 2150</t>
  </si>
  <si>
    <t>2015075846</t>
  </si>
  <si>
    <t>B2 2158</t>
  </si>
  <si>
    <t>2015075848</t>
  </si>
  <si>
    <t>45332157</t>
  </si>
  <si>
    <t>2015075849</t>
  </si>
  <si>
    <t>B4 1390</t>
  </si>
  <si>
    <t>2015111655</t>
  </si>
  <si>
    <t>B3 2558</t>
  </si>
  <si>
    <t>B3 2541</t>
  </si>
  <si>
    <t>2015111656</t>
  </si>
  <si>
    <t>2015111657</t>
  </si>
  <si>
    <t>2015111658</t>
  </si>
  <si>
    <t>B3 4417</t>
  </si>
  <si>
    <t>B3 4305</t>
  </si>
  <si>
    <t>2015111659</t>
  </si>
  <si>
    <t>2015111660</t>
  </si>
  <si>
    <t>NB(N°331/2015)</t>
  </si>
  <si>
    <t>NB(N°117/2015)</t>
  </si>
  <si>
    <t>Zoulikha Lakhdar</t>
  </si>
  <si>
    <t>Belmadaoui Aek</t>
  </si>
  <si>
    <t>2015111481</t>
  </si>
  <si>
    <t>2015111482</t>
  </si>
  <si>
    <t>NB(N°360/2015)</t>
  </si>
  <si>
    <t>NB(N°112/2015)</t>
  </si>
  <si>
    <t>Belhadj Khaled</t>
  </si>
  <si>
    <t>Ghafari A/krim</t>
  </si>
  <si>
    <t>B4 1010</t>
  </si>
  <si>
    <t>B1 1772</t>
  </si>
  <si>
    <t>2015111483</t>
  </si>
  <si>
    <t>2015111484</t>
  </si>
  <si>
    <t>B3 2912</t>
  </si>
  <si>
    <t>2015111485</t>
  </si>
  <si>
    <t>B3 3158</t>
  </si>
  <si>
    <t>2015111486</t>
  </si>
  <si>
    <t>2015111487</t>
  </si>
  <si>
    <t>2015111488</t>
  </si>
  <si>
    <t>2015111489</t>
  </si>
  <si>
    <t>2015111490</t>
  </si>
  <si>
    <t>B4 0970</t>
  </si>
  <si>
    <t>B3 3488</t>
  </si>
  <si>
    <t>B4 0583</t>
  </si>
  <si>
    <t>B3 3506</t>
  </si>
  <si>
    <t>B4 1756</t>
  </si>
  <si>
    <t>006609</t>
  </si>
  <si>
    <t>B3 3985</t>
  </si>
  <si>
    <t>B3 3987</t>
  </si>
  <si>
    <t>2015111747</t>
  </si>
  <si>
    <t>B3 2607</t>
  </si>
  <si>
    <t>2015111749</t>
  </si>
  <si>
    <t>B1 1387</t>
  </si>
  <si>
    <t>2015111745</t>
  </si>
  <si>
    <t>B3 2796</t>
  </si>
  <si>
    <t>2015111746</t>
  </si>
  <si>
    <t>2015111748</t>
  </si>
  <si>
    <t>2015109111</t>
  </si>
  <si>
    <t>NB(N°0090/2015)</t>
  </si>
  <si>
    <t>Arab Nassira</t>
  </si>
  <si>
    <t>2015109112</t>
  </si>
  <si>
    <t>NB(N°0094/2015)</t>
  </si>
  <si>
    <t>Younes youcef</t>
  </si>
  <si>
    <t>2015109113</t>
  </si>
  <si>
    <t>NB(N°128/2015)</t>
  </si>
  <si>
    <t>Bentaîa benalia</t>
  </si>
  <si>
    <t>B1 1268</t>
  </si>
  <si>
    <t>2015109114</t>
  </si>
  <si>
    <t>B3 0991</t>
  </si>
  <si>
    <t>2015111741</t>
  </si>
  <si>
    <t>B3 0722</t>
  </si>
  <si>
    <t>2015111750</t>
  </si>
  <si>
    <t>B1 1710</t>
  </si>
  <si>
    <t>2015111743</t>
  </si>
  <si>
    <t>B2 1536</t>
  </si>
  <si>
    <t>006801</t>
  </si>
  <si>
    <t>2015111744</t>
  </si>
  <si>
    <t>NB(CEM OUED GUELET)</t>
  </si>
  <si>
    <t>2015109115</t>
  </si>
  <si>
    <t>2015109116</t>
  </si>
  <si>
    <t>2015109117</t>
  </si>
  <si>
    <t>2015109118</t>
  </si>
  <si>
    <t>B2 1790</t>
  </si>
  <si>
    <t>2015111742</t>
  </si>
  <si>
    <t>B2 1493</t>
  </si>
  <si>
    <t>006610</t>
  </si>
  <si>
    <t>BB 0053</t>
  </si>
  <si>
    <t>B4 1990</t>
  </si>
  <si>
    <r>
      <t xml:space="preserve">Mois de Novembre </t>
    </r>
    <r>
      <rPr>
        <b/>
        <sz val="11"/>
        <rFont val="Arial"/>
        <family val="2"/>
      </rPr>
      <t>2015</t>
    </r>
  </si>
  <si>
    <t>2015109120</t>
  </si>
  <si>
    <t>NB(N°162/2015)</t>
  </si>
  <si>
    <t>Loudjeli Chorfi</t>
  </si>
  <si>
    <t>B1 2106</t>
  </si>
  <si>
    <t>2015111621</t>
  </si>
  <si>
    <t>BC 0132</t>
  </si>
  <si>
    <t>2015111622</t>
  </si>
  <si>
    <t>B1 1610</t>
  </si>
  <si>
    <t>2015111623</t>
  </si>
  <si>
    <t>2015111624</t>
  </si>
  <si>
    <t>2015111625</t>
  </si>
  <si>
    <t>NB(N°122/2015)</t>
  </si>
  <si>
    <t>NB(N°379/2015)</t>
  </si>
  <si>
    <t>BB 0025</t>
  </si>
  <si>
    <t>2015111626</t>
  </si>
  <si>
    <t>B1 1618</t>
  </si>
  <si>
    <t>2015111627</t>
  </si>
  <si>
    <t>B2 0622</t>
  </si>
  <si>
    <t>2015111628</t>
  </si>
  <si>
    <t>B1 1595</t>
  </si>
  <si>
    <t>2015111629</t>
  </si>
  <si>
    <t>B2 0703</t>
  </si>
  <si>
    <t>2015109051</t>
  </si>
  <si>
    <t>B4 0831</t>
  </si>
  <si>
    <t>2015109052</t>
  </si>
  <si>
    <t>B3 2957</t>
  </si>
  <si>
    <t>2015109054</t>
  </si>
  <si>
    <t>B4 0211</t>
  </si>
  <si>
    <t>2015109055</t>
  </si>
  <si>
    <t>B3 2350</t>
  </si>
  <si>
    <t>006803</t>
  </si>
  <si>
    <t>B1 0458</t>
  </si>
  <si>
    <t>2015109056</t>
  </si>
  <si>
    <t>Guettas Mustapha</t>
  </si>
  <si>
    <t>Kerbouci Tayeb</t>
  </si>
  <si>
    <t>BC 0415</t>
  </si>
  <si>
    <t>2015111630</t>
  </si>
  <si>
    <t>2015109057</t>
  </si>
  <si>
    <t>NB(N°373/2015)</t>
  </si>
  <si>
    <t>Rahmine Med</t>
  </si>
  <si>
    <t>2015109053</t>
  </si>
  <si>
    <t>2015109059</t>
  </si>
  <si>
    <t>B3 2543</t>
  </si>
  <si>
    <t>2015109060</t>
  </si>
  <si>
    <t>Boumahdi Farid</t>
  </si>
  <si>
    <t>B1 1161</t>
  </si>
  <si>
    <t>2015109058</t>
  </si>
  <si>
    <t>BC 0018</t>
  </si>
  <si>
    <t>BC 0332</t>
  </si>
  <si>
    <t>45329226</t>
  </si>
  <si>
    <t>B2 2217</t>
  </si>
  <si>
    <t>2015109083</t>
  </si>
  <si>
    <t>B4 1713</t>
  </si>
  <si>
    <t>006804</t>
  </si>
  <si>
    <t>B1 0334</t>
  </si>
  <si>
    <t>2015109086</t>
  </si>
  <si>
    <t>B1 0873</t>
  </si>
  <si>
    <t>2015109084</t>
  </si>
  <si>
    <t>B2 0667</t>
  </si>
  <si>
    <t>2015109081</t>
  </si>
  <si>
    <t>B4 0023</t>
  </si>
  <si>
    <t>2015109087</t>
  </si>
  <si>
    <t>B3 3276</t>
  </si>
  <si>
    <t>2015109085</t>
  </si>
  <si>
    <t>B1 0666</t>
  </si>
  <si>
    <t>2015109082</t>
  </si>
  <si>
    <t>B1 1717</t>
  </si>
  <si>
    <t>B1 0535</t>
  </si>
  <si>
    <t>2015109088</t>
  </si>
  <si>
    <t>2015109089</t>
  </si>
  <si>
    <t>B3 4470</t>
  </si>
  <si>
    <t>2015109090</t>
  </si>
  <si>
    <t>2015111765</t>
  </si>
  <si>
    <t>2015111421</t>
  </si>
  <si>
    <t>NB(N°376/2015)</t>
  </si>
  <si>
    <t>NB(N°375/2015)</t>
  </si>
  <si>
    <r>
      <t xml:space="preserve">Mois de Decembre </t>
    </r>
    <r>
      <rPr>
        <b/>
        <sz val="11"/>
        <rFont val="Arial"/>
        <family val="2"/>
      </rPr>
      <t>2015</t>
    </r>
  </si>
  <si>
    <t>2015111422</t>
  </si>
  <si>
    <t>2015111423</t>
  </si>
  <si>
    <t>2015111424</t>
  </si>
  <si>
    <t>2015109061</t>
  </si>
  <si>
    <t>2015109062</t>
  </si>
  <si>
    <t>2015109063</t>
  </si>
  <si>
    <t>2015109064</t>
  </si>
  <si>
    <t>2015109065</t>
  </si>
  <si>
    <t>2015109066</t>
  </si>
  <si>
    <t>2015109067</t>
  </si>
  <si>
    <t>2015109068</t>
  </si>
  <si>
    <t>2015109069</t>
  </si>
  <si>
    <t>2015109070</t>
  </si>
  <si>
    <t>2015111671</t>
  </si>
  <si>
    <t>2015111672</t>
  </si>
  <si>
    <t>2015111673</t>
  </si>
  <si>
    <t>2015111674</t>
  </si>
  <si>
    <t>2015111675</t>
  </si>
  <si>
    <t>2015111676</t>
  </si>
  <si>
    <t>2015111677</t>
  </si>
  <si>
    <t>2015111678</t>
  </si>
  <si>
    <t>2015111679</t>
  </si>
  <si>
    <t>2015111680</t>
  </si>
  <si>
    <t>2015111791</t>
  </si>
  <si>
    <t>2015111792</t>
  </si>
  <si>
    <t>2015111793</t>
  </si>
  <si>
    <t>2015111794</t>
  </si>
  <si>
    <t>2015111795</t>
  </si>
  <si>
    <t>2015111796</t>
  </si>
  <si>
    <t>2015111797</t>
  </si>
  <si>
    <t>2015111798</t>
  </si>
  <si>
    <t>2015111799</t>
  </si>
  <si>
    <t>2015111800</t>
  </si>
  <si>
    <t>2015111761</t>
  </si>
  <si>
    <t>2015111762</t>
  </si>
  <si>
    <t>2015111763</t>
  </si>
  <si>
    <t>2015111764</t>
  </si>
  <si>
    <t>2015111766</t>
  </si>
  <si>
    <t>NB(N°303/2015)</t>
  </si>
  <si>
    <t>NB(N°349/2015)</t>
  </si>
  <si>
    <t>Ahzi Sahraoui</t>
  </si>
  <si>
    <t>NB(N°318/2015)</t>
  </si>
  <si>
    <t>Badani anouar</t>
  </si>
  <si>
    <t>115017</t>
  </si>
  <si>
    <t>NB(ETP-CONDOTTE)</t>
  </si>
  <si>
    <t>ETP-ITALIENNE</t>
  </si>
  <si>
    <t>2015111426</t>
  </si>
  <si>
    <t>NB(N°0066/2014)</t>
  </si>
  <si>
    <t>Gasmi salah</t>
  </si>
  <si>
    <t>2015111767</t>
  </si>
  <si>
    <t>NB(N°0226/2014)</t>
  </si>
  <si>
    <t>Gasmi tayeb</t>
  </si>
  <si>
    <t>2015111768</t>
  </si>
  <si>
    <t>2015111769</t>
  </si>
  <si>
    <t>2015111770</t>
  </si>
  <si>
    <t>NB(N°0352/2015)</t>
  </si>
  <si>
    <t>Douma messaoud</t>
  </si>
  <si>
    <t>NB(N°0365/2015)</t>
  </si>
  <si>
    <t>Laghouati fethi</t>
  </si>
  <si>
    <t>NB(N°0351/2014)</t>
  </si>
  <si>
    <t>Benchoucha Amar</t>
  </si>
  <si>
    <t>BB0025</t>
  </si>
  <si>
    <t>SALLE POLIVALANTE (ODEJ)</t>
  </si>
  <si>
    <t>BR0426</t>
  </si>
  <si>
    <t>APC ECOLE EL MOUDJAMAA MADRASS</t>
  </si>
  <si>
    <t>073238</t>
  </si>
  <si>
    <t>BB0203</t>
  </si>
  <si>
    <t>APC GARE ROUTIERE</t>
  </si>
  <si>
    <t>H20008</t>
  </si>
  <si>
    <t>APC STADE COMMUNAL</t>
  </si>
  <si>
    <t>076121</t>
  </si>
  <si>
    <t>H20009</t>
  </si>
  <si>
    <t>APC ECOLE FRERES BOUCHENAFA</t>
  </si>
  <si>
    <t xml:space="preserve">BRANCHEMENT COUPE </t>
  </si>
  <si>
    <t>BB0184</t>
  </si>
  <si>
    <t>ECAMRT EX SNVI</t>
  </si>
  <si>
    <t>DEBOUCHE COMPT</t>
  </si>
  <si>
    <t>BB0095</t>
  </si>
  <si>
    <t>ANEM</t>
  </si>
  <si>
    <t>H20013</t>
  </si>
  <si>
    <t>SLEP</t>
  </si>
  <si>
    <t>076123</t>
  </si>
  <si>
    <t>BB0058</t>
  </si>
  <si>
    <t>CASERNE DGSN 15EM U R S</t>
  </si>
  <si>
    <t>BC0018</t>
  </si>
  <si>
    <t>REST KORCHI DAHMANE</t>
  </si>
  <si>
    <t>109053</t>
  </si>
  <si>
    <t>BC0132</t>
  </si>
  <si>
    <t>COIFF.BOUMEDINE KADDOUR</t>
  </si>
  <si>
    <t>111622</t>
  </si>
  <si>
    <t>BC0415</t>
  </si>
  <si>
    <t>MAGASIN LARBI ZOHRA</t>
  </si>
  <si>
    <t>111630</t>
  </si>
  <si>
    <t>H30001</t>
  </si>
  <si>
    <t>DOUCHE ZITOUNI IBNA FGHOUL</t>
  </si>
  <si>
    <t>H30008</t>
  </si>
  <si>
    <t>MAG TOUMI MED</t>
  </si>
  <si>
    <t>BC0063</t>
  </si>
  <si>
    <t>BAIN MESSAD MISSOUM</t>
  </si>
  <si>
    <t>BC0332</t>
  </si>
  <si>
    <t>DOUCHE LABIDI MOHAMED</t>
  </si>
  <si>
    <t>B50005</t>
  </si>
  <si>
    <t>OREC</t>
  </si>
  <si>
    <t>NUMAB</t>
  </si>
  <si>
    <t>RAISOC</t>
  </si>
  <si>
    <t>N° Compt</t>
  </si>
  <si>
    <t>Date</t>
  </si>
  <si>
    <t>45332167</t>
  </si>
  <si>
    <t>B5 0005</t>
  </si>
  <si>
    <t>B3 1974</t>
  </si>
  <si>
    <t>2015111425</t>
  </si>
  <si>
    <t>BB 0095</t>
  </si>
  <si>
    <t>2015111427</t>
  </si>
  <si>
    <t>2015111428</t>
  </si>
  <si>
    <t>2015111429</t>
  </si>
  <si>
    <t>2015111430</t>
  </si>
  <si>
    <t>2015111781</t>
  </si>
  <si>
    <t>NB(N°0363/2015)</t>
  </si>
  <si>
    <t>Bousalem rachid</t>
  </si>
  <si>
    <t>NB(N°0364/2015)</t>
  </si>
  <si>
    <t>Aid mohamed</t>
  </si>
  <si>
    <t>NB(N°0296/2015)</t>
  </si>
  <si>
    <t>Bouchibane med</t>
  </si>
  <si>
    <t>NB(N°0297/2015)</t>
  </si>
  <si>
    <t>Benamar redha</t>
  </si>
  <si>
    <t>B2 2086</t>
  </si>
  <si>
    <t>2015111782</t>
  </si>
  <si>
    <t>2015073591</t>
  </si>
  <si>
    <t>2015073592</t>
  </si>
  <si>
    <t>2015073593</t>
  </si>
  <si>
    <t>2015073594</t>
  </si>
  <si>
    <t>2015073595</t>
  </si>
  <si>
    <t>2015073596</t>
  </si>
  <si>
    <t>2015073597</t>
  </si>
  <si>
    <t>2015073598</t>
  </si>
  <si>
    <t>2015073599</t>
  </si>
  <si>
    <t>2015073600</t>
  </si>
  <si>
    <t>2015073511</t>
  </si>
  <si>
    <t>2015073512</t>
  </si>
  <si>
    <t>2015073513</t>
  </si>
  <si>
    <t>2015073514</t>
  </si>
  <si>
    <t>2015073515</t>
  </si>
  <si>
    <t>2015073516</t>
  </si>
  <si>
    <t>2015073517</t>
  </si>
  <si>
    <t>2015073518</t>
  </si>
  <si>
    <t>2015073519</t>
  </si>
  <si>
    <t>2015073520</t>
  </si>
  <si>
    <t>2015074851</t>
  </si>
  <si>
    <t>2015074852</t>
  </si>
  <si>
    <t>2015074853</t>
  </si>
  <si>
    <t>2015074854</t>
  </si>
  <si>
    <t>2015074855</t>
  </si>
  <si>
    <t>2015074856</t>
  </si>
  <si>
    <t>2015074857</t>
  </si>
  <si>
    <t>2015074858</t>
  </si>
  <si>
    <t>2015074859</t>
  </si>
  <si>
    <t>2015074860</t>
  </si>
  <si>
    <t>2015074631</t>
  </si>
  <si>
    <t>2015074632</t>
  </si>
  <si>
    <t>2015074633</t>
  </si>
  <si>
    <t>2015074634</t>
  </si>
  <si>
    <t>2015074635</t>
  </si>
  <si>
    <t>2015074636</t>
  </si>
  <si>
    <t>2015074637</t>
  </si>
  <si>
    <t>2015074638</t>
  </si>
  <si>
    <t>2015074639</t>
  </si>
  <si>
    <t>2015074640</t>
  </si>
  <si>
    <t>2015074951</t>
  </si>
  <si>
    <t>2015074952</t>
  </si>
  <si>
    <t>2015074953</t>
  </si>
  <si>
    <t>2015074954</t>
  </si>
  <si>
    <t>2015074955</t>
  </si>
  <si>
    <t>2015074956</t>
  </si>
  <si>
    <t>2015074957</t>
  </si>
  <si>
    <t>2015074958</t>
  </si>
  <si>
    <t>2015074959</t>
  </si>
  <si>
    <t>2015074960</t>
  </si>
  <si>
    <t>B4 0266</t>
  </si>
  <si>
    <t>2015111694</t>
  </si>
  <si>
    <t>B4 0330</t>
  </si>
  <si>
    <t>2015111692</t>
  </si>
  <si>
    <t>B4 0955</t>
  </si>
  <si>
    <t>2015111695</t>
  </si>
  <si>
    <t>B4 0466</t>
  </si>
  <si>
    <t>2015111790</t>
  </si>
  <si>
    <t>B4 0477</t>
  </si>
  <si>
    <t>2015111691</t>
  </si>
  <si>
    <t>B1 0935</t>
  </si>
  <si>
    <t>2015111785</t>
  </si>
  <si>
    <t>B1 0881</t>
  </si>
  <si>
    <t>2015111788</t>
  </si>
  <si>
    <t>B1 0898</t>
  </si>
  <si>
    <t>2015111786</t>
  </si>
  <si>
    <t>B1 0933</t>
  </si>
  <si>
    <t>2015111693</t>
  </si>
  <si>
    <t>B1 0908</t>
  </si>
  <si>
    <t>2015111787</t>
  </si>
  <si>
    <t>2015111784</t>
  </si>
  <si>
    <t>NB(N°124/2015)</t>
  </si>
  <si>
    <t>Benattalah sahraoui</t>
  </si>
  <si>
    <t>B1 1281</t>
  </si>
  <si>
    <t>2015111783</t>
  </si>
  <si>
    <t>2015111789</t>
  </si>
  <si>
    <t>2015111696</t>
  </si>
  <si>
    <t>NB(N°356/2015)</t>
  </si>
  <si>
    <t>Zenkar mahmoud</t>
  </si>
  <si>
    <t>2014006802</t>
  </si>
  <si>
    <t>APC Mosquée Abou</t>
  </si>
  <si>
    <t>B3 0201</t>
  </si>
  <si>
    <t>2015111699</t>
  </si>
  <si>
    <t>B4 2072</t>
  </si>
  <si>
    <t>2015111697</t>
  </si>
  <si>
    <t>B4 2070</t>
  </si>
  <si>
    <t>2015111698</t>
  </si>
  <si>
    <t>B2 1915</t>
  </si>
  <si>
    <t>2015111778</t>
  </si>
  <si>
    <t>B2 1503</t>
  </si>
  <si>
    <t>2015111777</t>
  </si>
  <si>
    <t>B2 2194</t>
  </si>
  <si>
    <t>2015111779</t>
  </si>
  <si>
    <t>45332176</t>
  </si>
  <si>
    <t>NB(N°396/2015)</t>
  </si>
  <si>
    <t>B2 0920</t>
  </si>
  <si>
    <t>2015111774</t>
  </si>
  <si>
    <t>B2 0918</t>
  </si>
  <si>
    <t>2015111776</t>
  </si>
  <si>
    <t>B2 0921</t>
  </si>
  <si>
    <t>2015111780</t>
  </si>
  <si>
    <t>B2 1809</t>
  </si>
  <si>
    <t>2015111773</t>
  </si>
  <si>
    <t>2015111771</t>
  </si>
  <si>
    <t>NB(N°385/2015)</t>
  </si>
  <si>
    <t>Zoulikha samir</t>
  </si>
  <si>
    <t>2015111772</t>
  </si>
  <si>
    <t>NB(N°343/2015)</t>
  </si>
  <si>
    <t>Fergani kamel</t>
  </si>
  <si>
    <t>2015111775</t>
  </si>
  <si>
    <t>NB(N°307/2015)</t>
  </si>
  <si>
    <t>Hamadache lakhdar</t>
  </si>
  <si>
    <t>2015111751</t>
  </si>
  <si>
    <t>NB(N°388/2015)</t>
  </si>
  <si>
    <t>Belaissa habbiba</t>
  </si>
  <si>
    <t>2015073621</t>
  </si>
  <si>
    <t>2015073622</t>
  </si>
  <si>
    <t>2015073623</t>
  </si>
  <si>
    <t>2015073624</t>
  </si>
  <si>
    <t>2015073625</t>
  </si>
  <si>
    <t>2015073626</t>
  </si>
  <si>
    <t>2015073627</t>
  </si>
  <si>
    <t>2015073628</t>
  </si>
  <si>
    <t>2015073629</t>
  </si>
  <si>
    <t>2015073630</t>
  </si>
  <si>
    <t>2015111700</t>
  </si>
  <si>
    <t>B1 0335</t>
  </si>
  <si>
    <t>2015111758</t>
  </si>
  <si>
    <t>B1 0338</t>
  </si>
  <si>
    <t>2015111757</t>
  </si>
  <si>
    <t>B1 0344</t>
  </si>
  <si>
    <t>2015111756</t>
  </si>
  <si>
    <t>B3 3510</t>
  </si>
  <si>
    <t>2015111754</t>
  </si>
  <si>
    <t>B3 3986</t>
  </si>
  <si>
    <t>2015111755</t>
  </si>
  <si>
    <t>B3 4371</t>
  </si>
  <si>
    <t>2015111759</t>
  </si>
  <si>
    <t>B3 3399</t>
  </si>
  <si>
    <t>2015111752</t>
  </si>
  <si>
    <t>B4 0270</t>
  </si>
  <si>
    <t>2015073426</t>
  </si>
  <si>
    <t>B4 1889</t>
  </si>
  <si>
    <t>006805</t>
  </si>
  <si>
    <t>B3 3523</t>
  </si>
  <si>
    <t>2015111753</t>
  </si>
  <si>
    <t>006807</t>
  </si>
  <si>
    <t>B1 0797</t>
  </si>
  <si>
    <t>2015073427</t>
  </si>
  <si>
    <t>B4 1039</t>
  </si>
  <si>
    <t>2015111760</t>
  </si>
  <si>
    <t>B2 0038</t>
  </si>
  <si>
    <t>2015073422</t>
  </si>
  <si>
    <t>B2 0288</t>
  </si>
  <si>
    <t>2015073428</t>
  </si>
  <si>
    <t>B2 0105</t>
  </si>
  <si>
    <t>2015073430</t>
  </si>
  <si>
    <t>B4 0050</t>
  </si>
  <si>
    <t>2015073424</t>
  </si>
  <si>
    <t>B4 0040</t>
  </si>
  <si>
    <t>2015073425</t>
  </si>
  <si>
    <t>BB 0214</t>
  </si>
  <si>
    <t>2015073421</t>
  </si>
  <si>
    <t>B1 0829</t>
  </si>
  <si>
    <t>006806</t>
  </si>
  <si>
    <t>B3 2963</t>
  </si>
  <si>
    <t>2015073423</t>
  </si>
  <si>
    <t>B1 2142</t>
  </si>
  <si>
    <t>2015073429</t>
  </si>
  <si>
    <t>BB 0061</t>
  </si>
  <si>
    <t>45329698</t>
  </si>
  <si>
    <t>B4 0011</t>
  </si>
  <si>
    <t>006809</t>
  </si>
  <si>
    <t>BC 0049</t>
  </si>
  <si>
    <t>006808</t>
  </si>
  <si>
    <t>B3 2858</t>
  </si>
  <si>
    <t>2015195791</t>
  </si>
  <si>
    <t>BB 0204</t>
  </si>
  <si>
    <t>114580</t>
  </si>
  <si>
    <t>B2 0860</t>
  </si>
  <si>
    <t>2015195794</t>
  </si>
  <si>
    <t>B1 0806</t>
  </si>
  <si>
    <t>2015195795</t>
  </si>
  <si>
    <t>B1 1372</t>
  </si>
  <si>
    <t>2015195799</t>
  </si>
  <si>
    <t>B1 1264</t>
  </si>
  <si>
    <t>2015195796</t>
  </si>
  <si>
    <t>B3 3351</t>
  </si>
  <si>
    <t>2015195793</t>
  </si>
  <si>
    <t>B3 4334</t>
  </si>
  <si>
    <t>2015195800</t>
  </si>
  <si>
    <t>B3 4066</t>
  </si>
  <si>
    <t>2015195746</t>
  </si>
  <si>
    <t>B4 0134</t>
  </si>
  <si>
    <t>2015195749</t>
  </si>
  <si>
    <t>B1 1645</t>
  </si>
  <si>
    <t>2015195748</t>
  </si>
  <si>
    <t>B1 1269</t>
  </si>
  <si>
    <t>2015195747</t>
  </si>
  <si>
    <t>2015195797</t>
  </si>
  <si>
    <t>2015195792</t>
  </si>
  <si>
    <t>2015195902</t>
  </si>
  <si>
    <t>2015195903</t>
  </si>
  <si>
    <t>2015195901</t>
  </si>
  <si>
    <t>Logts Fonct lycee 1er nov</t>
  </si>
  <si>
    <t>B2 0624</t>
  </si>
  <si>
    <t>006602</t>
  </si>
  <si>
    <t>XG 0768</t>
  </si>
  <si>
    <t>XI0010</t>
  </si>
  <si>
    <t>XG0763</t>
  </si>
  <si>
    <t>XG0762</t>
  </si>
  <si>
    <t>026531</t>
  </si>
  <si>
    <t>026532</t>
  </si>
  <si>
    <t>026533</t>
  </si>
  <si>
    <t>026534</t>
  </si>
  <si>
    <t>026535</t>
  </si>
  <si>
    <t>026536</t>
  </si>
  <si>
    <t>026537</t>
  </si>
  <si>
    <t>026538</t>
  </si>
  <si>
    <t>026539</t>
  </si>
  <si>
    <t>026540</t>
  </si>
  <si>
    <t>025397</t>
  </si>
  <si>
    <t>XG0765</t>
  </si>
  <si>
    <t>025398</t>
  </si>
  <si>
    <t>Chef de Centre</t>
  </si>
  <si>
    <t>Chef d'agence</t>
  </si>
  <si>
    <t>XG0766</t>
  </si>
  <si>
    <t>025641</t>
  </si>
  <si>
    <t>025642</t>
  </si>
  <si>
    <t>025643</t>
  </si>
  <si>
    <t>025644</t>
  </si>
  <si>
    <t>025645</t>
  </si>
  <si>
    <t>025646</t>
  </si>
  <si>
    <t>025647</t>
  </si>
  <si>
    <t>025648</t>
  </si>
  <si>
    <t>025649</t>
  </si>
  <si>
    <t>025650</t>
  </si>
  <si>
    <t>025363</t>
  </si>
  <si>
    <t>025364</t>
  </si>
  <si>
    <t>025365</t>
  </si>
  <si>
    <t>025366</t>
  </si>
  <si>
    <t>025367</t>
  </si>
  <si>
    <t>025369</t>
  </si>
  <si>
    <t>025370</t>
  </si>
  <si>
    <t>025697</t>
  </si>
  <si>
    <t>XG 0781</t>
  </si>
  <si>
    <t>XG0785</t>
  </si>
  <si>
    <t>XG 0780</t>
  </si>
  <si>
    <t>XG0786</t>
  </si>
  <si>
    <t>XG 0772</t>
  </si>
  <si>
    <t>B1 2241</t>
  </si>
  <si>
    <t>B1 2226</t>
  </si>
  <si>
    <t>B1 2243</t>
  </si>
  <si>
    <t>B1 2244</t>
  </si>
  <si>
    <t>B1 2242</t>
  </si>
  <si>
    <t>B1 2245</t>
  </si>
  <si>
    <t>B1 2227</t>
  </si>
  <si>
    <t>B1 2246</t>
  </si>
  <si>
    <t>BC 0527</t>
  </si>
  <si>
    <t>B2 2484</t>
  </si>
  <si>
    <t>B4 2142</t>
  </si>
  <si>
    <t>B2 2482</t>
  </si>
  <si>
    <t>B1 2229</t>
  </si>
  <si>
    <t>B1 2224</t>
  </si>
  <si>
    <t>B1 2225</t>
  </si>
  <si>
    <t>B1 2212</t>
  </si>
  <si>
    <t>B1 2239</t>
  </si>
  <si>
    <t>B1 2237</t>
  </si>
  <si>
    <t>B1 2211</t>
  </si>
  <si>
    <t>B1 2201</t>
  </si>
  <si>
    <t>B1 2236</t>
  </si>
  <si>
    <t>B1 2202</t>
  </si>
  <si>
    <t>B1 2206</t>
  </si>
  <si>
    <t>B1 2207</t>
  </si>
  <si>
    <t>B1 2204</t>
  </si>
  <si>
    <t>B1 2223</t>
  </si>
  <si>
    <t>B1 2210</t>
  </si>
  <si>
    <t>B1 2209</t>
  </si>
  <si>
    <t>B1 2235</t>
  </si>
  <si>
    <t>B1 2228</t>
  </si>
  <si>
    <t>B1 2208</t>
  </si>
  <si>
    <t>B3 4802</t>
  </si>
  <si>
    <t>B1 2221</t>
  </si>
  <si>
    <t>B1 2205</t>
  </si>
  <si>
    <t>B2 2488</t>
  </si>
  <si>
    <t>Belkheir mahmed</t>
  </si>
  <si>
    <t>BC 0532</t>
  </si>
  <si>
    <t>Tlemsani atika</t>
  </si>
  <si>
    <t>BC 0529</t>
  </si>
  <si>
    <t>B1 2220</t>
  </si>
  <si>
    <t>B2 2483</t>
  </si>
  <si>
    <t>Medjadji yamina</t>
  </si>
  <si>
    <t>Fast food hamdadou hamid</t>
  </si>
  <si>
    <t>BC 0534</t>
  </si>
  <si>
    <t>B2 2487</t>
  </si>
  <si>
    <t>Ferrah cherifa</t>
  </si>
  <si>
    <t>B2 2492</t>
  </si>
  <si>
    <t>Fergani malik</t>
  </si>
  <si>
    <t>Belaissa allel</t>
  </si>
  <si>
    <t>BC 0533</t>
  </si>
  <si>
    <t>Agence de tourisme</t>
  </si>
  <si>
    <t>B1 2253</t>
  </si>
  <si>
    <t>Medane toufik</t>
  </si>
  <si>
    <t>B1 2216</t>
  </si>
  <si>
    <t>Reguig fatma</t>
  </si>
  <si>
    <t>B1 2230</t>
  </si>
  <si>
    <t>Kerakri moussa</t>
  </si>
  <si>
    <t>B1 2233</t>
  </si>
  <si>
    <t>Kerakri allel</t>
  </si>
  <si>
    <t>B1 2217</t>
  </si>
  <si>
    <t>Reguig yahia</t>
  </si>
  <si>
    <t>B1 2231</t>
  </si>
  <si>
    <t>Mazari fethi</t>
  </si>
  <si>
    <t>B1 2232</t>
  </si>
  <si>
    <t>Zekkour mahmoud</t>
  </si>
  <si>
    <t>B1 2238</t>
  </si>
  <si>
    <t>Sabour benaissa</t>
  </si>
  <si>
    <t>B1 2267</t>
  </si>
  <si>
    <t>Reguig ahmed</t>
  </si>
  <si>
    <t>B1 2213</t>
  </si>
  <si>
    <t>Melouki aek</t>
  </si>
  <si>
    <t>B1 2270</t>
  </si>
  <si>
    <t>Boumediene ali</t>
  </si>
  <si>
    <t>BC 0518</t>
  </si>
  <si>
    <t>Djellal meftah</t>
  </si>
  <si>
    <t>BC 0531</t>
  </si>
  <si>
    <t>Aboub mbarek</t>
  </si>
  <si>
    <t>B3 4819</t>
  </si>
  <si>
    <t>Boudiaf messaoud</t>
  </si>
  <si>
    <t>B3 4820</t>
  </si>
  <si>
    <t>Ouacel Nasser</t>
  </si>
  <si>
    <t>B3 4818</t>
  </si>
  <si>
    <t>Bouthamri hadda</t>
  </si>
  <si>
    <t>B1 2266</t>
  </si>
  <si>
    <t>Zekkour abdellah</t>
  </si>
  <si>
    <t>B1 2269</t>
  </si>
  <si>
    <t>Belhadj noureddine</t>
  </si>
  <si>
    <t>B1 2271</t>
  </si>
  <si>
    <t>Saidani farid</t>
  </si>
  <si>
    <t>B1 2264</t>
  </si>
  <si>
    <t>Saidi med</t>
  </si>
  <si>
    <t>B1 2218</t>
  </si>
  <si>
    <t>Belhadj A/cherif</t>
  </si>
  <si>
    <t>B1 2214</t>
  </si>
  <si>
    <t>Lami med</t>
  </si>
  <si>
    <t>B1 2259</t>
  </si>
  <si>
    <t>Berkane miloud</t>
  </si>
  <si>
    <t>B1 2240</t>
  </si>
  <si>
    <t>Benmahiedine med</t>
  </si>
  <si>
    <t>B1 2234</t>
  </si>
  <si>
    <t>Rais rabah</t>
  </si>
  <si>
    <t>B1 2219</t>
  </si>
  <si>
    <t>Medjadji aek</t>
  </si>
  <si>
    <t>B1 2215</t>
  </si>
  <si>
    <t>Sabour rabah</t>
  </si>
  <si>
    <t>B1 2256</t>
  </si>
  <si>
    <t>Benzerga benyoucef</t>
  </si>
  <si>
    <t>B1 2272</t>
  </si>
  <si>
    <t>Bentebrour ahmed</t>
  </si>
  <si>
    <t>B2 2493</t>
  </si>
  <si>
    <t>Kara med</t>
  </si>
  <si>
    <t>B2 2490</t>
  </si>
  <si>
    <t>Khelladi med salah</t>
  </si>
  <si>
    <t>B1 2265</t>
  </si>
  <si>
    <t>Mazari med</t>
  </si>
  <si>
    <t>B1 2268</t>
  </si>
  <si>
    <t>Messaoudi med</t>
  </si>
  <si>
    <t>Lassar abdeslam</t>
  </si>
  <si>
    <t>NB(0051/2015)</t>
  </si>
  <si>
    <t>B2 2496</t>
  </si>
  <si>
    <t>B2 2499</t>
  </si>
  <si>
    <t>Boulala khadoudja</t>
  </si>
  <si>
    <t>B2 2504</t>
  </si>
  <si>
    <t>Foudil mustapha</t>
  </si>
  <si>
    <t>B2 2498</t>
  </si>
  <si>
    <t>Boulariah ramdane</t>
  </si>
  <si>
    <t>B2 2503</t>
  </si>
  <si>
    <t>Lakehal boudjemaa</t>
  </si>
  <si>
    <t>B2 2502</t>
  </si>
  <si>
    <t>Lassar med</t>
  </si>
  <si>
    <t>B2 2501</t>
  </si>
  <si>
    <t>Labidi boualem</t>
  </si>
  <si>
    <t>Haissane rabah</t>
  </si>
  <si>
    <t>B2 2500</t>
  </si>
  <si>
    <t>B2 2497</t>
  </si>
  <si>
    <t>Talbi kamel</t>
  </si>
  <si>
    <t>BC 0524</t>
  </si>
  <si>
    <t>Douadi med</t>
  </si>
  <si>
    <t>BB 0228</t>
  </si>
  <si>
    <t>B1 2255</t>
  </si>
  <si>
    <t>Delaa lamine</t>
  </si>
  <si>
    <t>B1 2273</t>
  </si>
  <si>
    <t>B3 4817</t>
  </si>
  <si>
    <t>Larbi aek</t>
  </si>
  <si>
    <t>Maadadi rabah</t>
  </si>
  <si>
    <t>B1 2263</t>
  </si>
  <si>
    <t>Lami embarek</t>
  </si>
  <si>
    <t>BC 0535</t>
  </si>
  <si>
    <t>B1 2250</t>
  </si>
  <si>
    <t>Benoua ahmed</t>
  </si>
  <si>
    <t>B1 2249</t>
  </si>
  <si>
    <t>Ould zmirli med</t>
  </si>
  <si>
    <t>Hasnaoui med</t>
  </si>
  <si>
    <t>B2 2491</t>
  </si>
  <si>
    <t>B1 2258</t>
  </si>
  <si>
    <t>Bourgaia youcef</t>
  </si>
  <si>
    <t>BC 0536</t>
  </si>
  <si>
    <t>Abdi med</t>
  </si>
  <si>
    <t>B5 0060</t>
  </si>
  <si>
    <t>BC 0539</t>
  </si>
  <si>
    <t>Sami med</t>
  </si>
  <si>
    <t>B2 2495</t>
  </si>
  <si>
    <t>Hasnaoui kamel</t>
  </si>
  <si>
    <t>B1 2251</t>
  </si>
  <si>
    <t>Bensaidane aek</t>
  </si>
  <si>
    <t>B5 0064</t>
  </si>
  <si>
    <t>Etp-ouali loucif</t>
  </si>
  <si>
    <t>B1 2360</t>
  </si>
  <si>
    <t>Benzekour aek</t>
  </si>
  <si>
    <t>BC 0543</t>
  </si>
  <si>
    <t>Bouziane ahmed</t>
  </si>
  <si>
    <t>B1 2367</t>
  </si>
  <si>
    <t>Belhadj laila</t>
  </si>
  <si>
    <t>BC 0542</t>
  </si>
  <si>
    <t>Mahoui houcine</t>
  </si>
  <si>
    <t>BC 0541</t>
  </si>
  <si>
    <t>Douifi messaoud</t>
  </si>
  <si>
    <t>B1 2358</t>
  </si>
  <si>
    <t>Hadgui mustapha</t>
  </si>
  <si>
    <t>B1 2359</t>
  </si>
  <si>
    <t>Haoua yahia</t>
  </si>
  <si>
    <t>B1 2357</t>
  </si>
  <si>
    <t>Hadgui med amine</t>
  </si>
  <si>
    <t>B1 2247</t>
  </si>
  <si>
    <t>Saad hamid</t>
  </si>
  <si>
    <t>B1 2254</t>
  </si>
  <si>
    <t>Soumati slimane</t>
  </si>
  <si>
    <t>B2 2512</t>
  </si>
  <si>
    <t>Abaoub med</t>
  </si>
  <si>
    <t>B2 2539</t>
  </si>
  <si>
    <t>Cheriet aissa</t>
  </si>
  <si>
    <t>B2 2538</t>
  </si>
  <si>
    <t>Ikhlef mhamed</t>
  </si>
  <si>
    <t>B2 2511</t>
  </si>
  <si>
    <t>Kechad lakrout</t>
  </si>
  <si>
    <t>B2 2535</t>
  </si>
  <si>
    <t>Hellali slimane</t>
  </si>
  <si>
    <t>B2 2520</t>
  </si>
  <si>
    <t>Diffallah med</t>
  </si>
  <si>
    <t>B2 2509</t>
  </si>
  <si>
    <t>Djellal larbi</t>
  </si>
  <si>
    <t>B2 2524</t>
  </si>
  <si>
    <t>Bouakel kaddour</t>
  </si>
  <si>
    <t>B2 2536</t>
  </si>
  <si>
    <t>Lounes sahraoui</t>
  </si>
  <si>
    <t>B2 2537</t>
  </si>
  <si>
    <t>Zaoui med</t>
  </si>
  <si>
    <t>B2 2513</t>
  </si>
  <si>
    <t>Bouzid mebarka vve aiache</t>
  </si>
  <si>
    <t>B2 2523</t>
  </si>
  <si>
    <t>Ladjal benalia</t>
  </si>
  <si>
    <t>B2 2514</t>
  </si>
  <si>
    <t>Necissa fatma</t>
  </si>
  <si>
    <t>B2 2515</t>
  </si>
  <si>
    <t>Rahim said</t>
  </si>
  <si>
    <t>B2 2540</t>
  </si>
  <si>
    <t>Rebbah berkane</t>
  </si>
  <si>
    <t>B2 2510</t>
  </si>
  <si>
    <t>Djellid houcine</t>
  </si>
  <si>
    <t>B2 2526</t>
  </si>
  <si>
    <t>Benzid hannachi</t>
  </si>
  <si>
    <t>B2 2519</t>
  </si>
  <si>
    <t>Soualhi ahmed</t>
  </si>
  <si>
    <t>B2 2521</t>
  </si>
  <si>
    <t>Ferrah rachid</t>
  </si>
  <si>
    <t>B2 2522</t>
  </si>
  <si>
    <t>Benyounes dahmane</t>
  </si>
  <si>
    <t>B2 2518</t>
  </si>
  <si>
    <t>Chekrih said</t>
  </si>
  <si>
    <t>B2 2517</t>
  </si>
  <si>
    <t>Benbakhti rameg</t>
  </si>
  <si>
    <t>B2 2516</t>
  </si>
  <si>
    <t>Zouambia moussa</t>
  </si>
  <si>
    <t>B1 2260</t>
  </si>
  <si>
    <t>Zoulikha med</t>
  </si>
  <si>
    <t>B1 2262</t>
  </si>
  <si>
    <t>Zoulikha rachid</t>
  </si>
  <si>
    <t>B1 2261</t>
  </si>
  <si>
    <t>Zoulikha laid</t>
  </si>
  <si>
    <t>Bensalah aek</t>
  </si>
  <si>
    <t>Ammad lakhdar</t>
  </si>
  <si>
    <t>BC 0548</t>
  </si>
  <si>
    <t>Bouchaaba ahmed</t>
  </si>
  <si>
    <t>B1 2363</t>
  </si>
  <si>
    <t>Lakhal a/rahmane</t>
  </si>
  <si>
    <t>B1 2361</t>
  </si>
  <si>
    <t>Beldilmi a/cherif</t>
  </si>
  <si>
    <t>B1 2362</t>
  </si>
  <si>
    <t>Yagoub kouider</t>
  </si>
  <si>
    <t>B2 2530</t>
  </si>
  <si>
    <t>Hadef cherif</t>
  </si>
  <si>
    <t>B3 4994</t>
  </si>
  <si>
    <t>Laghouati med</t>
  </si>
  <si>
    <t>B3 4707</t>
  </si>
  <si>
    <t>Laissaoui benaissa</t>
  </si>
  <si>
    <t>B3 4991</t>
  </si>
  <si>
    <t>Trifi fares</t>
  </si>
  <si>
    <t>BC 0537</t>
  </si>
  <si>
    <t>Boucher gacem sebbah</t>
  </si>
  <si>
    <t>B4 2148</t>
  </si>
  <si>
    <t>Boulala yagoub</t>
  </si>
  <si>
    <t>B1 2364</t>
  </si>
  <si>
    <t>Bouktab said</t>
  </si>
  <si>
    <t>B2 2506</t>
  </si>
  <si>
    <t>Benhellal fatma</t>
  </si>
  <si>
    <t>B2 2533</t>
  </si>
  <si>
    <t>B2 2531</t>
  </si>
  <si>
    <t>Bouamra ahmed</t>
  </si>
  <si>
    <t>B2 2534</t>
  </si>
  <si>
    <t>B2 2525</t>
  </si>
  <si>
    <t>Ghorfa benbadis</t>
  </si>
  <si>
    <t>B2 2528</t>
  </si>
  <si>
    <t>Hirt. Akaba aek</t>
  </si>
  <si>
    <t>B3 4993</t>
  </si>
  <si>
    <t>Mahieddine med</t>
  </si>
  <si>
    <t>B1 2368</t>
  </si>
  <si>
    <t>Tafraoui hakim</t>
  </si>
  <si>
    <t>Oualha nouar</t>
  </si>
  <si>
    <t>B4 2146</t>
  </si>
  <si>
    <t>BC 0538</t>
  </si>
  <si>
    <t>Coif. Ait ameur</t>
  </si>
  <si>
    <t>B1 2252</t>
  </si>
  <si>
    <t>Ali med ben ali</t>
  </si>
  <si>
    <t>B3 4990</t>
  </si>
  <si>
    <t>Rezigue med</t>
  </si>
  <si>
    <t>B1 2370</t>
  </si>
  <si>
    <t>Belkhelfa sahraoui</t>
  </si>
  <si>
    <t>B1 2371</t>
  </si>
  <si>
    <t>Belkhelfa abdellah</t>
  </si>
  <si>
    <t>B1 2372</t>
  </si>
  <si>
    <t>Belkhelfa kouider</t>
  </si>
  <si>
    <t>B1 2374</t>
  </si>
  <si>
    <t>Belkhelfa A/cherif</t>
  </si>
  <si>
    <t>BC 0549</t>
  </si>
  <si>
    <t>Coif. Makhloufi rabah</t>
  </si>
  <si>
    <t>B1 2405</t>
  </si>
  <si>
    <t>Belkhelfa fethi</t>
  </si>
  <si>
    <t>B1 2406</t>
  </si>
  <si>
    <t>Baten tayeb</t>
  </si>
  <si>
    <t>B2 2505</t>
  </si>
  <si>
    <t>Haddad ramdane</t>
  </si>
  <si>
    <t>B1 2203</t>
  </si>
  <si>
    <t>B2 2551</t>
  </si>
  <si>
    <t>B2 2552</t>
  </si>
  <si>
    <t>Azzouz mustapha</t>
  </si>
  <si>
    <t>Azzouz ouahiba</t>
  </si>
  <si>
    <t>B1 2369</t>
  </si>
  <si>
    <t>Mendil lakhdar</t>
  </si>
  <si>
    <t>B2 2562</t>
  </si>
  <si>
    <t>Zekkour houria</t>
  </si>
  <si>
    <t>B2 2564</t>
  </si>
  <si>
    <t>Khelifa belkacem</t>
  </si>
  <si>
    <t>B2 2545</t>
  </si>
  <si>
    <t>Belzekour hamadi</t>
  </si>
  <si>
    <t>B2 2563</t>
  </si>
  <si>
    <t>Kadache ali</t>
  </si>
  <si>
    <t>B4 2150</t>
  </si>
  <si>
    <t>Barkat aek</t>
  </si>
  <si>
    <t>B2 2543</t>
  </si>
  <si>
    <t>Bouziane messaoud</t>
  </si>
  <si>
    <t>B4 2151</t>
  </si>
  <si>
    <t>Soumati mhamed</t>
  </si>
  <si>
    <t>B1 2408</t>
  </si>
  <si>
    <t>Ferhaoui aek</t>
  </si>
  <si>
    <t>B3 5046</t>
  </si>
  <si>
    <t>Khali fethi</t>
  </si>
  <si>
    <t>B1 2412</t>
  </si>
  <si>
    <t>Berkani amar</t>
  </si>
  <si>
    <t>B1 2413</t>
  </si>
  <si>
    <t>Lakhal ismail</t>
  </si>
  <si>
    <t>BC 0540</t>
  </si>
  <si>
    <t>Alim-Ge Bensalem</t>
  </si>
  <si>
    <t>B3 5042</t>
  </si>
  <si>
    <t>Haissam mhamed</t>
  </si>
  <si>
    <t>B2 2489</t>
  </si>
  <si>
    <t>Djaoui ahmed</t>
  </si>
  <si>
    <t>B3 5044</t>
  </si>
  <si>
    <t>Rezoug nabila</t>
  </si>
  <si>
    <t>B1 2366</t>
  </si>
  <si>
    <t>Boudiaf med</t>
  </si>
  <si>
    <t>B1 2416</t>
  </si>
  <si>
    <t>Benaddad khaled</t>
  </si>
  <si>
    <t>B2 2508</t>
  </si>
  <si>
    <t>Fergani missoum</t>
  </si>
  <si>
    <t>B2 2550</t>
  </si>
  <si>
    <t>Aboub cherif</t>
  </si>
  <si>
    <t>B1 2414</t>
  </si>
  <si>
    <t>Lakhal fares</t>
  </si>
  <si>
    <t>B1 2415</t>
  </si>
  <si>
    <t>Leboukeche benaissa</t>
  </si>
  <si>
    <t>B2 2548</t>
  </si>
  <si>
    <t>Madani amar</t>
  </si>
  <si>
    <t>BC 0544</t>
  </si>
  <si>
    <t>Yahiaoui fouzi</t>
  </si>
  <si>
    <t>B2 2549</t>
  </si>
  <si>
    <t>Berdia med</t>
  </si>
  <si>
    <t>B1 2411</t>
  </si>
  <si>
    <t>Berber khourici</t>
  </si>
  <si>
    <t>B1 2417</t>
  </si>
  <si>
    <t>Benthaya med</t>
  </si>
  <si>
    <t>B2 2565</t>
  </si>
  <si>
    <t>Zaoui benafou</t>
  </si>
  <si>
    <t>B2 2567</t>
  </si>
  <si>
    <t>Boureza abdellah</t>
  </si>
  <si>
    <t>Lakli Kaddour</t>
  </si>
  <si>
    <t>B4 2155</t>
  </si>
  <si>
    <t>B2 2561</t>
  </si>
  <si>
    <t>Fergani aek</t>
  </si>
  <si>
    <t>NB(N°340/2015)</t>
  </si>
  <si>
    <t>Benaissa A/aziz</t>
  </si>
  <si>
    <t>NB(N°345/2015)</t>
  </si>
  <si>
    <t>B1 2410</t>
  </si>
  <si>
    <t>Cheurfi kamel</t>
  </si>
  <si>
    <t>B2 2544</t>
  </si>
  <si>
    <t>Boudiaf brahim</t>
  </si>
  <si>
    <t>B2 2553</t>
  </si>
  <si>
    <t>Bakhtaoui A/cherif</t>
  </si>
  <si>
    <t>Saib hanane</t>
  </si>
  <si>
    <t>B1 2418</t>
  </si>
  <si>
    <t>B1 2419</t>
  </si>
  <si>
    <t>Djouablia ismail</t>
  </si>
  <si>
    <t>B2 2507</t>
  </si>
  <si>
    <t>B1 2402</t>
  </si>
  <si>
    <t>Hassam mokhtar</t>
  </si>
  <si>
    <t>Fergani ali</t>
  </si>
  <si>
    <t>B4 2153</t>
  </si>
  <si>
    <t>NB(MARIH lakhadr)</t>
  </si>
  <si>
    <t>B4 2152</t>
  </si>
  <si>
    <t>Fodil noua</t>
  </si>
  <si>
    <t>B1 2401</t>
  </si>
  <si>
    <t>Berkane ahmed</t>
  </si>
  <si>
    <t>B3 5045</t>
  </si>
  <si>
    <t>Berkane zohra</t>
  </si>
  <si>
    <t>B4 2154</t>
  </si>
  <si>
    <t>B4 2147</t>
  </si>
  <si>
    <t>B1 2404</t>
  </si>
  <si>
    <t>B1 2365</t>
  </si>
  <si>
    <t>B2 2527</t>
  </si>
  <si>
    <t>B2 2529</t>
  </si>
  <si>
    <t>B2 2532</t>
  </si>
  <si>
    <t>B2 2542</t>
  </si>
  <si>
    <t>B2 2541</t>
  </si>
  <si>
    <t>B3 4992</t>
  </si>
  <si>
    <t>B3 4631</t>
  </si>
  <si>
    <t>Belhadj rabah</t>
  </si>
  <si>
    <t>B3 5043</t>
  </si>
  <si>
    <t>B2 2547</t>
  </si>
  <si>
    <t>B2 2468</t>
  </si>
  <si>
    <t>B2 2469</t>
  </si>
  <si>
    <t>B1 2403</t>
  </si>
  <si>
    <t>025341</t>
  </si>
  <si>
    <t>025342</t>
  </si>
  <si>
    <t>025343</t>
  </si>
  <si>
    <t>025344</t>
  </si>
  <si>
    <t>025345</t>
  </si>
  <si>
    <t>025346</t>
  </si>
  <si>
    <t>025347</t>
  </si>
  <si>
    <t>025348</t>
  </si>
  <si>
    <t>025349</t>
  </si>
  <si>
    <t>025350</t>
  </si>
  <si>
    <t>Mahieddine mourad</t>
  </si>
  <si>
    <t>B1 2257</t>
  </si>
  <si>
    <t>NB(Centre des Impots)</t>
  </si>
  <si>
    <t>Boukhed lotfi</t>
  </si>
  <si>
    <t>Belhadj mahieddine</t>
  </si>
  <si>
    <t>Belhadj ahmed</t>
  </si>
  <si>
    <t>Belaissa ali</t>
  </si>
  <si>
    <t>B5 0063</t>
  </si>
  <si>
    <t>B2 2571</t>
  </si>
  <si>
    <t>B2 2578</t>
  </si>
  <si>
    <t>B2 2579</t>
  </si>
  <si>
    <t>B2 2575</t>
  </si>
  <si>
    <t>B2 2574</t>
  </si>
  <si>
    <t>B1 2432</t>
  </si>
  <si>
    <t>B1 2424</t>
  </si>
  <si>
    <t>B1 2425</t>
  </si>
  <si>
    <t>B3 5195</t>
  </si>
  <si>
    <t>B2 2576</t>
  </si>
  <si>
    <t>B1 2423</t>
  </si>
  <si>
    <t>B2 2566</t>
  </si>
  <si>
    <t>B2 2546</t>
  </si>
  <si>
    <t>B2 2569</t>
  </si>
  <si>
    <t>NB (APC ECOLE MOUSSAOUI)</t>
  </si>
  <si>
    <t>Voir chef d'agence</t>
  </si>
  <si>
    <t>BB 0232</t>
  </si>
  <si>
    <t>BB 0182</t>
  </si>
  <si>
    <t>BC 0551</t>
  </si>
  <si>
    <t>B2 2623</t>
  </si>
  <si>
    <t>Khali djameleddine</t>
  </si>
  <si>
    <t>BC 0552</t>
  </si>
  <si>
    <t>B1 1650</t>
  </si>
  <si>
    <t>BC 0077</t>
  </si>
  <si>
    <t>BB 0233</t>
  </si>
  <si>
    <t>BB 0234</t>
  </si>
  <si>
    <t>B2 2494</t>
  </si>
  <si>
    <t>B3 5638</t>
  </si>
  <si>
    <t>B2 2659</t>
  </si>
  <si>
    <t>B2 2658</t>
  </si>
  <si>
    <t>B2 2660</t>
  </si>
  <si>
    <t>BC 0557</t>
  </si>
  <si>
    <t>BB 0236</t>
  </si>
  <si>
    <t>BB 0240</t>
  </si>
  <si>
    <t>B3 5639</t>
  </si>
  <si>
    <t>B3 5640</t>
  </si>
  <si>
    <t>B3 5641</t>
  </si>
  <si>
    <t>B3 5642</t>
  </si>
  <si>
    <t>B4 2157</t>
  </si>
  <si>
    <t>XG 0770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</si>
</sst>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b/>
      <i/>
      <sz val="1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112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6" fillId="0" borderId="1" xfId="1" applyFont="1" applyBorder="1" applyAlignment="1">
      <alignment horizontal="center"/>
    </xf>
    <xf numFmtId="0" fontId="6" fillId="0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6" fillId="0" borderId="1" xfId="1" applyNumberFormat="1" applyFont="1" applyBorder="1" applyAlignment="1">
      <alignment horizontal="center"/>
    </xf>
    <xf numFmtId="0" fontId="8" fillId="0" borderId="0" xfId="3" applyAlignment="1">
      <alignment vertical="center"/>
    </xf>
    <xf numFmtId="0" fontId="8" fillId="0" borderId="0" xfId="1" applyFont="1" applyAlignment="1">
      <alignment vertical="center" wrapText="1"/>
    </xf>
    <xf numFmtId="0" fontId="11" fillId="2" borderId="1" xfId="3" applyFont="1" applyFill="1" applyBorder="1" applyAlignment="1">
      <alignment horizontal="center" vertical="center"/>
    </xf>
    <xf numFmtId="20" fontId="6" fillId="0" borderId="1" xfId="1" applyNumberFormat="1" applyFont="1" applyFill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/>
    </xf>
    <xf numFmtId="49" fontId="6" fillId="0" borderId="1" xfId="1" applyNumberFormat="1" applyFont="1" applyFill="1" applyBorder="1" applyAlignment="1">
      <alignment horizontal="center"/>
    </xf>
    <xf numFmtId="49" fontId="7" fillId="0" borderId="1" xfId="1" applyNumberFormat="1" applyFont="1" applyBorder="1" applyAlignment="1">
      <alignment horizontal="center" vertical="top" wrapText="1"/>
    </xf>
    <xf numFmtId="0" fontId="7" fillId="0" borderId="1" xfId="1" applyFont="1" applyBorder="1" applyAlignment="1">
      <alignment horizontal="center" vertical="top"/>
    </xf>
    <xf numFmtId="0" fontId="7" fillId="0" borderId="1" xfId="1" applyFont="1" applyFill="1" applyBorder="1" applyAlignment="1">
      <alignment horizontal="center" vertical="top"/>
    </xf>
    <xf numFmtId="0" fontId="1" fillId="0" borderId="4" xfId="1" applyBorder="1" applyAlignment="1">
      <alignment vertical="center" wrapText="1"/>
    </xf>
    <xf numFmtId="0" fontId="9" fillId="0" borderId="0" xfId="1" applyFont="1" applyFill="1" applyBorder="1" applyAlignment="1">
      <alignment horizontal="center" vertical="center" wrapText="1"/>
    </xf>
    <xf numFmtId="14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49" fontId="6" fillId="0" borderId="0" xfId="1" applyNumberFormat="1" applyFont="1" applyBorder="1" applyAlignment="1">
      <alignment horizontal="center" vertical="center" wrapText="1"/>
    </xf>
    <xf numFmtId="14" fontId="6" fillId="0" borderId="0" xfId="1" applyNumberFormat="1" applyFont="1" applyBorder="1" applyAlignment="1">
      <alignment horizontal="center" vertical="center" wrapText="1"/>
    </xf>
    <xf numFmtId="49" fontId="7" fillId="0" borderId="0" xfId="1" applyNumberFormat="1" applyFont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 vertical="center" wrapText="1"/>
    </xf>
    <xf numFmtId="49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/>
    </xf>
    <xf numFmtId="49" fontId="6" fillId="0" borderId="0" xfId="1" applyNumberFormat="1" applyFont="1" applyBorder="1" applyAlignment="1">
      <alignment horizontal="center"/>
    </xf>
    <xf numFmtId="14" fontId="6" fillId="0" borderId="0" xfId="1" applyNumberFormat="1" applyFont="1" applyBorder="1" applyAlignment="1">
      <alignment horizontal="center"/>
    </xf>
    <xf numFmtId="0" fontId="7" fillId="0" borderId="0" xfId="1" applyFont="1" applyBorder="1" applyAlignment="1">
      <alignment horizontal="center" vertical="top"/>
    </xf>
    <xf numFmtId="49" fontId="7" fillId="0" borderId="0" xfId="1" applyNumberFormat="1" applyFont="1" applyFill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/>
    </xf>
    <xf numFmtId="49" fontId="6" fillId="0" borderId="0" xfId="1" applyNumberFormat="1" applyFont="1" applyFill="1" applyBorder="1" applyAlignment="1">
      <alignment horizontal="center"/>
    </xf>
    <xf numFmtId="14" fontId="12" fillId="0" borderId="0" xfId="1" applyNumberFormat="1" applyFont="1" applyFill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 wrapText="1"/>
    </xf>
    <xf numFmtId="0" fontId="13" fillId="0" borderId="0" xfId="1" applyFont="1" applyFill="1" applyBorder="1" applyAlignment="1">
      <alignment horizontal="center" vertical="top"/>
    </xf>
    <xf numFmtId="0" fontId="7" fillId="0" borderId="0" xfId="1" applyFont="1" applyFill="1" applyBorder="1" applyAlignment="1">
      <alignment horizontal="center" vertical="top"/>
    </xf>
    <xf numFmtId="49" fontId="6" fillId="0" borderId="1" xfId="1" applyNumberFormat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top" wrapText="1"/>
    </xf>
    <xf numFmtId="0" fontId="1" fillId="0" borderId="1" xfId="1" applyFont="1" applyBorder="1" applyAlignment="1">
      <alignment vertical="center" wrapText="1"/>
    </xf>
    <xf numFmtId="0" fontId="16" fillId="0" borderId="0" xfId="0" applyFont="1"/>
    <xf numFmtId="0" fontId="7" fillId="0" borderId="1" xfId="1" applyFont="1" applyBorder="1" applyAlignment="1">
      <alignment horizontal="center" vertical="top" wrapText="1"/>
    </xf>
    <xf numFmtId="0" fontId="17" fillId="0" borderId="0" xfId="1" applyFont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49" fontId="0" fillId="0" borderId="0" xfId="0" applyNumberFormat="1"/>
    <xf numFmtId="0" fontId="17" fillId="0" borderId="0" xfId="1" applyFont="1" applyAlignment="1">
      <alignment horizontal="left" vertical="center" wrapText="1"/>
    </xf>
    <xf numFmtId="14" fontId="6" fillId="2" borderId="1" xfId="1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center" vertical="top" wrapText="1"/>
    </xf>
    <xf numFmtId="0" fontId="9" fillId="2" borderId="1" xfId="1" applyFont="1" applyFill="1" applyBorder="1" applyAlignment="1">
      <alignment horizontal="right" vertical="center" wrapText="1"/>
    </xf>
    <xf numFmtId="49" fontId="0" fillId="0" borderId="0" xfId="0" applyNumberFormat="1" applyAlignment="1">
      <alignment horizontal="center"/>
    </xf>
    <xf numFmtId="0" fontId="0" fillId="0" borderId="6" xfId="0" applyBorder="1"/>
    <xf numFmtId="0" fontId="0" fillId="0" borderId="7" xfId="0" applyBorder="1"/>
    <xf numFmtId="49" fontId="0" fillId="0" borderId="7" xfId="0" applyNumberFormat="1" applyBorder="1" applyAlignment="1">
      <alignment horizontal="center"/>
    </xf>
    <xf numFmtId="14" fontId="0" fillId="0" borderId="8" xfId="0" applyNumberFormat="1" applyBorder="1"/>
    <xf numFmtId="0" fontId="0" fillId="0" borderId="9" xfId="0" applyBorder="1"/>
    <xf numFmtId="0" fontId="0" fillId="0" borderId="1" xfId="0" applyBorder="1"/>
    <xf numFmtId="49" fontId="0" fillId="0" borderId="1" xfId="0" applyNumberFormat="1" applyBorder="1" applyAlignment="1">
      <alignment horizontal="center"/>
    </xf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49" fontId="0" fillId="0" borderId="12" xfId="0" applyNumberFormat="1" applyBorder="1" applyAlignment="1">
      <alignment horizontal="center"/>
    </xf>
    <xf numFmtId="0" fontId="0" fillId="0" borderId="13" xfId="0" applyBorder="1"/>
    <xf numFmtId="0" fontId="0" fillId="0" borderId="10" xfId="0" applyBorder="1"/>
    <xf numFmtId="0" fontId="0" fillId="0" borderId="5" xfId="0" applyBorder="1"/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/>
    <xf numFmtId="49" fontId="0" fillId="0" borderId="0" xfId="0" applyNumberFormat="1" applyBorder="1" applyAlignment="1">
      <alignment horizontal="center"/>
    </xf>
    <xf numFmtId="49" fontId="7" fillId="0" borderId="1" xfId="1" applyNumberFormat="1" applyFont="1" applyFill="1" applyBorder="1" applyAlignment="1">
      <alignment horizontal="center" vertical="top" wrapText="1"/>
    </xf>
    <xf numFmtId="0" fontId="9" fillId="0" borderId="0" xfId="1" applyFont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49" fontId="8" fillId="0" borderId="0" xfId="1" applyNumberFormat="1" applyFont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49" fontId="1" fillId="0" borderId="0" xfId="1" applyNumberFormat="1" applyFont="1" applyAlignment="1">
      <alignment horizontal="left" vertical="center" wrapText="1"/>
    </xf>
    <xf numFmtId="49" fontId="1" fillId="0" borderId="0" xfId="1" applyNumberFormat="1" applyFont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8" fillId="0" borderId="0" xfId="1" applyFont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8" fillId="0" borderId="0" xfId="1" applyFont="1" applyAlignment="1">
      <alignment horizontal="left" vertical="center" wrapText="1"/>
    </xf>
    <xf numFmtId="0" fontId="19" fillId="0" borderId="0" xfId="1" applyFont="1" applyAlignment="1">
      <alignment horizontal="left" vertical="center" wrapText="1"/>
    </xf>
    <xf numFmtId="0" fontId="16" fillId="2" borderId="0" xfId="0" applyFont="1" applyFill="1"/>
    <xf numFmtId="0" fontId="6" fillId="0" borderId="1" xfId="1" applyNumberFormat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49" fontId="0" fillId="0" borderId="1" xfId="0" applyNumberFormat="1" applyBorder="1" applyAlignment="1">
      <alignment horizontal="left"/>
    </xf>
    <xf numFmtId="49" fontId="0" fillId="0" borderId="10" xfId="0" applyNumberFormat="1" applyBorder="1" applyAlignment="1">
      <alignment horizontal="left"/>
    </xf>
    <xf numFmtId="49" fontId="0" fillId="0" borderId="12" xfId="0" applyNumberFormat="1" applyBorder="1" applyAlignment="1">
      <alignment horizontal="left"/>
    </xf>
    <xf numFmtId="49" fontId="0" fillId="0" borderId="13" xfId="0" applyNumberFormat="1" applyBorder="1" applyAlignment="1">
      <alignment horizontal="left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"/>
  <sheetViews>
    <sheetView workbookViewId="0">
      <selection activeCell="B43" sqref="B43"/>
    </sheetView>
  </sheetViews>
  <sheetFormatPr baseColWidth="10" defaultColWidth="11.42578125" defaultRowHeight="15" x14ac:dyDescent="0.25"/>
  <cols>
    <col min="1" max="1" width="8.85546875" bestFit="1" customWidth="1"/>
    <col min="2" max="2" width="12.28515625" customWidth="1"/>
    <col min="6" max="6" width="16.5703125" customWidth="1"/>
    <col min="7" max="7" width="3.42578125" hidden="1" customWidth="1"/>
    <col min="8" max="8" width="29.85546875" customWidth="1"/>
  </cols>
  <sheetData>
    <row r="1" spans="1:11" ht="18" x14ac:dyDescent="0.25">
      <c r="A1" s="102" t="s">
        <v>0</v>
      </c>
      <c r="B1" s="102"/>
      <c r="C1" s="10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106" t="s">
        <v>2</v>
      </c>
      <c r="B2" s="106"/>
      <c r="C2" s="106"/>
      <c r="D2" s="6"/>
      <c r="E2" s="5" t="s">
        <v>3</v>
      </c>
      <c r="F2" s="5"/>
      <c r="G2" s="4"/>
      <c r="H2" s="4"/>
      <c r="I2" s="103" t="s">
        <v>4</v>
      </c>
      <c r="J2" s="104"/>
      <c r="K2" s="22">
        <f ca="1">SUMIF(F7:F183,"Elimination*",G7:G133)</f>
        <v>37</v>
      </c>
    </row>
    <row r="3" spans="1:11" x14ac:dyDescent="0.25">
      <c r="A3" s="107" t="s">
        <v>5</v>
      </c>
      <c r="B3" s="107"/>
      <c r="C3" s="107"/>
      <c r="D3" s="5"/>
      <c r="E3" s="4" t="s">
        <v>6</v>
      </c>
      <c r="F3" s="4"/>
      <c r="G3" s="4"/>
      <c r="H3" s="4"/>
      <c r="I3" s="103" t="s">
        <v>7</v>
      </c>
      <c r="J3" s="104"/>
      <c r="K3" s="22">
        <f ca="1">SUMIF(F7:F183,"NB*",G7:G133)</f>
        <v>35</v>
      </c>
    </row>
    <row r="4" spans="1:11" ht="18" x14ac:dyDescent="0.25">
      <c r="A4" s="102" t="s">
        <v>8</v>
      </c>
      <c r="B4" s="102"/>
      <c r="C4" s="102"/>
      <c r="D4" s="102"/>
      <c r="E4" s="102"/>
      <c r="F4" s="102"/>
      <c r="G4" s="4"/>
      <c r="H4" s="4"/>
      <c r="I4" s="103" t="s">
        <v>9</v>
      </c>
      <c r="J4" s="104"/>
      <c r="K4" s="22">
        <f ca="1">SUMIF(F7:F183,"Ve*",G7:G133)</f>
        <v>2</v>
      </c>
    </row>
    <row r="5" spans="1:11" ht="15.75" x14ac:dyDescent="0.25">
      <c r="A5" s="105" t="s">
        <v>18</v>
      </c>
      <c r="B5" s="105"/>
      <c r="C5" s="105"/>
      <c r="D5" s="105"/>
      <c r="E5" s="105"/>
      <c r="F5" s="105"/>
      <c r="G5" s="24"/>
      <c r="H5" s="24"/>
      <c r="I5" s="103" t="s">
        <v>10</v>
      </c>
      <c r="J5" s="104"/>
      <c r="K5" s="26">
        <f ca="1">SUM(K2:K4)</f>
        <v>74</v>
      </c>
    </row>
    <row r="6" spans="1:11" ht="21.6" customHeight="1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5" t="s">
        <v>30</v>
      </c>
      <c r="C7" s="11" t="s">
        <v>17</v>
      </c>
      <c r="D7" s="9" t="s">
        <v>31</v>
      </c>
      <c r="E7" s="14">
        <v>42008</v>
      </c>
      <c r="F7" s="30" t="s">
        <v>36</v>
      </c>
      <c r="G7" s="19">
        <v>1</v>
      </c>
      <c r="H7" s="18"/>
      <c r="I7" s="18"/>
      <c r="J7" s="18"/>
      <c r="K7" s="1"/>
    </row>
    <row r="8" spans="1:11" ht="15" customHeight="1" x14ac:dyDescent="0.25">
      <c r="A8" s="17">
        <f>+A7+1</f>
        <v>2</v>
      </c>
      <c r="B8" s="15" t="s">
        <v>32</v>
      </c>
      <c r="C8" s="11" t="s">
        <v>17</v>
      </c>
      <c r="D8" s="9" t="s">
        <v>33</v>
      </c>
      <c r="E8" s="14">
        <v>42008</v>
      </c>
      <c r="F8" s="30" t="s">
        <v>36</v>
      </c>
      <c r="G8" s="19">
        <v>1</v>
      </c>
      <c r="H8" s="25"/>
      <c r="I8" s="2"/>
      <c r="J8" s="2"/>
      <c r="K8" s="1"/>
    </row>
    <row r="9" spans="1:11" ht="15" customHeight="1" x14ac:dyDescent="0.25">
      <c r="A9" s="17">
        <f t="shared" ref="A9:A77" si="0">+A8+1</f>
        <v>3</v>
      </c>
      <c r="B9" s="15" t="s">
        <v>28</v>
      </c>
      <c r="C9" s="11" t="s">
        <v>17</v>
      </c>
      <c r="D9" s="9" t="s">
        <v>29</v>
      </c>
      <c r="E9" s="14">
        <v>42008</v>
      </c>
      <c r="F9" s="30" t="s">
        <v>36</v>
      </c>
      <c r="G9" s="19">
        <v>1</v>
      </c>
      <c r="H9" s="25"/>
      <c r="I9" s="2"/>
      <c r="J9" s="2"/>
      <c r="K9" s="1"/>
    </row>
    <row r="10" spans="1:11" ht="15" customHeight="1" x14ac:dyDescent="0.25">
      <c r="A10" s="17">
        <f t="shared" si="0"/>
        <v>4</v>
      </c>
      <c r="B10" s="15" t="s">
        <v>1930</v>
      </c>
      <c r="C10" s="11" t="s">
        <v>17</v>
      </c>
      <c r="D10" s="9" t="s">
        <v>39</v>
      </c>
      <c r="E10" s="14">
        <v>42008</v>
      </c>
      <c r="F10" s="30" t="s">
        <v>40</v>
      </c>
      <c r="G10" s="19">
        <v>1</v>
      </c>
      <c r="H10" s="25"/>
      <c r="I10" s="2"/>
      <c r="J10" s="2"/>
      <c r="K10" s="1"/>
    </row>
    <row r="11" spans="1:11" ht="15" customHeight="1" x14ac:dyDescent="0.25">
      <c r="A11" s="17">
        <f t="shared" si="0"/>
        <v>5</v>
      </c>
      <c r="B11" s="15" t="s">
        <v>43</v>
      </c>
      <c r="C11" s="11" t="s">
        <v>17</v>
      </c>
      <c r="D11" s="9" t="s">
        <v>45</v>
      </c>
      <c r="E11" s="14">
        <v>42008</v>
      </c>
      <c r="F11" s="30" t="s">
        <v>36</v>
      </c>
      <c r="G11" s="19">
        <v>1</v>
      </c>
      <c r="H11" s="25"/>
      <c r="I11" s="2"/>
      <c r="J11" s="2"/>
      <c r="K11" s="1"/>
    </row>
    <row r="12" spans="1:11" ht="15" customHeight="1" x14ac:dyDescent="0.25">
      <c r="A12" s="17">
        <f t="shared" si="0"/>
        <v>6</v>
      </c>
      <c r="B12" s="10" t="s">
        <v>41</v>
      </c>
      <c r="C12" s="11" t="s">
        <v>17</v>
      </c>
      <c r="D12" s="9" t="s">
        <v>42</v>
      </c>
      <c r="E12" s="14">
        <v>42008</v>
      </c>
      <c r="F12" s="30" t="s">
        <v>36</v>
      </c>
      <c r="G12" s="19">
        <v>1</v>
      </c>
      <c r="H12" s="2"/>
      <c r="I12" s="2"/>
      <c r="J12" s="2"/>
      <c r="K12" s="1"/>
    </row>
    <row r="13" spans="1:11" ht="15" customHeight="1" x14ac:dyDescent="0.25">
      <c r="A13" s="17">
        <f t="shared" si="0"/>
        <v>7</v>
      </c>
      <c r="B13" s="15" t="s">
        <v>23</v>
      </c>
      <c r="C13" s="11" t="s">
        <v>17</v>
      </c>
      <c r="D13" s="9" t="s">
        <v>24</v>
      </c>
      <c r="E13" s="14">
        <v>42008</v>
      </c>
      <c r="F13" s="30" t="s">
        <v>36</v>
      </c>
      <c r="G13" s="19">
        <v>1</v>
      </c>
      <c r="H13" s="2"/>
      <c r="I13" s="2"/>
      <c r="J13" s="2"/>
      <c r="K13" s="1"/>
    </row>
    <row r="14" spans="1:11" ht="15" customHeight="1" x14ac:dyDescent="0.25">
      <c r="A14" s="17">
        <f t="shared" si="0"/>
        <v>8</v>
      </c>
      <c r="B14" s="15" t="s">
        <v>37</v>
      </c>
      <c r="C14" s="11" t="s">
        <v>17</v>
      </c>
      <c r="D14" s="9" t="s">
        <v>25</v>
      </c>
      <c r="E14" s="14">
        <v>42008</v>
      </c>
      <c r="F14" s="30" t="s">
        <v>36</v>
      </c>
      <c r="G14" s="12">
        <v>1</v>
      </c>
      <c r="H14" s="13"/>
      <c r="I14" s="2"/>
      <c r="J14" s="2"/>
      <c r="K14" s="1"/>
    </row>
    <row r="15" spans="1:11" ht="15" customHeight="1" x14ac:dyDescent="0.25">
      <c r="A15" s="17">
        <f t="shared" si="0"/>
        <v>9</v>
      </c>
      <c r="B15" s="15" t="s">
        <v>34</v>
      </c>
      <c r="C15" s="11" t="s">
        <v>17</v>
      </c>
      <c r="D15" s="9" t="s">
        <v>35</v>
      </c>
      <c r="E15" s="14">
        <v>42008</v>
      </c>
      <c r="F15" s="30" t="s">
        <v>36</v>
      </c>
      <c r="G15" s="12">
        <v>1</v>
      </c>
      <c r="H15" s="13"/>
      <c r="I15" s="2"/>
      <c r="J15" s="2"/>
      <c r="K15" s="1"/>
    </row>
    <row r="16" spans="1:11" ht="15" customHeight="1" x14ac:dyDescent="0.25">
      <c r="A16" s="17">
        <f t="shared" si="0"/>
        <v>10</v>
      </c>
      <c r="B16" s="15" t="s">
        <v>26</v>
      </c>
      <c r="C16" s="11" t="s">
        <v>17</v>
      </c>
      <c r="D16" s="9" t="s">
        <v>27</v>
      </c>
      <c r="E16" s="14">
        <v>42008</v>
      </c>
      <c r="F16" s="30" t="s">
        <v>36</v>
      </c>
      <c r="G16" s="12">
        <v>1</v>
      </c>
      <c r="H16" s="13"/>
      <c r="I16" s="2"/>
      <c r="J16" s="2"/>
      <c r="K16" s="1"/>
    </row>
    <row r="17" spans="1:10" ht="15" customHeight="1" x14ac:dyDescent="0.25">
      <c r="A17" s="17">
        <f t="shared" si="0"/>
        <v>11</v>
      </c>
      <c r="B17" s="15" t="s">
        <v>19</v>
      </c>
      <c r="C17" s="11" t="s">
        <v>17</v>
      </c>
      <c r="D17" s="9" t="s">
        <v>20</v>
      </c>
      <c r="E17" s="14">
        <v>42008</v>
      </c>
      <c r="F17" s="30" t="s">
        <v>36</v>
      </c>
      <c r="G17" s="12">
        <v>1</v>
      </c>
      <c r="H17" s="13"/>
      <c r="I17" s="2"/>
      <c r="J17" s="2"/>
    </row>
    <row r="18" spans="1:10" ht="15" customHeight="1" x14ac:dyDescent="0.25">
      <c r="A18" s="17">
        <f t="shared" si="0"/>
        <v>12</v>
      </c>
      <c r="B18" s="14" t="s">
        <v>21</v>
      </c>
      <c r="C18" s="11" t="s">
        <v>17</v>
      </c>
      <c r="D18" s="9" t="s">
        <v>22</v>
      </c>
      <c r="E18" s="14">
        <v>42008</v>
      </c>
      <c r="F18" s="30" t="s">
        <v>36</v>
      </c>
      <c r="G18" s="12">
        <v>1</v>
      </c>
      <c r="H18" s="13"/>
      <c r="I18" s="2"/>
      <c r="J18" s="2"/>
    </row>
    <row r="19" spans="1:10" ht="15" customHeight="1" x14ac:dyDescent="0.25">
      <c r="A19" s="17">
        <f t="shared" si="0"/>
        <v>13</v>
      </c>
      <c r="B19" s="14" t="s">
        <v>55</v>
      </c>
      <c r="C19" s="11" t="s">
        <v>17</v>
      </c>
      <c r="D19" s="9" t="s">
        <v>56</v>
      </c>
      <c r="E19" s="10">
        <v>42009</v>
      </c>
      <c r="F19" s="30" t="s">
        <v>36</v>
      </c>
      <c r="G19" s="12">
        <v>1</v>
      </c>
      <c r="H19" s="13"/>
      <c r="I19" s="2"/>
      <c r="J19" s="2"/>
    </row>
    <row r="20" spans="1:10" ht="15" customHeight="1" x14ac:dyDescent="0.25">
      <c r="A20" s="17">
        <f t="shared" si="0"/>
        <v>14</v>
      </c>
      <c r="B20" s="15" t="s">
        <v>44</v>
      </c>
      <c r="C20" s="11" t="s">
        <v>17</v>
      </c>
      <c r="D20" s="9" t="s">
        <v>170</v>
      </c>
      <c r="E20" s="14">
        <v>42009</v>
      </c>
      <c r="F20" s="30" t="s">
        <v>36</v>
      </c>
      <c r="G20" s="12">
        <v>1</v>
      </c>
      <c r="H20" s="13"/>
      <c r="I20" s="2"/>
      <c r="J20" s="2"/>
    </row>
    <row r="21" spans="1:10" ht="15" customHeight="1" x14ac:dyDescent="0.25">
      <c r="A21" s="17">
        <f t="shared" si="0"/>
        <v>15</v>
      </c>
      <c r="B21" s="14" t="s">
        <v>52</v>
      </c>
      <c r="C21" s="11" t="s">
        <v>17</v>
      </c>
      <c r="D21" s="9" t="s">
        <v>53</v>
      </c>
      <c r="E21" s="14">
        <v>42009</v>
      </c>
      <c r="F21" s="30" t="s">
        <v>36</v>
      </c>
      <c r="G21" s="12">
        <v>1</v>
      </c>
      <c r="H21" s="13"/>
      <c r="I21" s="2"/>
      <c r="J21" s="2"/>
    </row>
    <row r="22" spans="1:10" ht="15" customHeight="1" x14ac:dyDescent="0.25">
      <c r="A22" s="17">
        <f t="shared" si="0"/>
        <v>16</v>
      </c>
      <c r="B22" s="14" t="s">
        <v>46</v>
      </c>
      <c r="C22" s="11" t="s">
        <v>17</v>
      </c>
      <c r="D22" s="9" t="s">
        <v>47</v>
      </c>
      <c r="E22" s="14">
        <v>42009</v>
      </c>
      <c r="F22" s="30" t="s">
        <v>36</v>
      </c>
      <c r="G22" s="12">
        <v>1</v>
      </c>
      <c r="H22" s="13"/>
      <c r="I22" s="2"/>
      <c r="J22" s="2"/>
    </row>
    <row r="23" spans="1:10" ht="15" customHeight="1" x14ac:dyDescent="0.25">
      <c r="A23" s="17">
        <f t="shared" si="0"/>
        <v>17</v>
      </c>
      <c r="B23" s="14" t="s">
        <v>50</v>
      </c>
      <c r="C23" s="11" t="s">
        <v>17</v>
      </c>
      <c r="D23" s="9" t="s">
        <v>51</v>
      </c>
      <c r="E23" s="14">
        <v>42009</v>
      </c>
      <c r="F23" s="30" t="s">
        <v>36</v>
      </c>
      <c r="G23" s="12">
        <v>1</v>
      </c>
      <c r="H23" s="13"/>
      <c r="I23" s="2"/>
      <c r="J23" s="2"/>
    </row>
    <row r="24" spans="1:10" ht="15" customHeight="1" x14ac:dyDescent="0.25">
      <c r="A24" s="17">
        <f t="shared" si="0"/>
        <v>18</v>
      </c>
      <c r="B24" s="15" t="s">
        <v>48</v>
      </c>
      <c r="C24" s="11" t="s">
        <v>17</v>
      </c>
      <c r="D24" s="9" t="s">
        <v>49</v>
      </c>
      <c r="E24" s="14">
        <v>42009</v>
      </c>
      <c r="F24" s="30" t="s">
        <v>36</v>
      </c>
      <c r="G24" s="12">
        <v>1</v>
      </c>
      <c r="H24" s="13"/>
      <c r="I24" s="2"/>
      <c r="J24" s="2"/>
    </row>
    <row r="25" spans="1:10" ht="15" customHeight="1" x14ac:dyDescent="0.25">
      <c r="A25" s="17">
        <f t="shared" si="0"/>
        <v>19</v>
      </c>
      <c r="B25" s="15" t="s">
        <v>57</v>
      </c>
      <c r="C25" s="11" t="s">
        <v>17</v>
      </c>
      <c r="D25" s="9" t="s">
        <v>58</v>
      </c>
      <c r="E25" s="14">
        <v>42010</v>
      </c>
      <c r="F25" s="30" t="s">
        <v>36</v>
      </c>
      <c r="G25" s="12">
        <v>1</v>
      </c>
      <c r="H25" s="13"/>
      <c r="I25" s="2"/>
      <c r="J25" s="2"/>
    </row>
    <row r="26" spans="1:10" ht="15" customHeight="1" x14ac:dyDescent="0.25">
      <c r="A26" s="17">
        <f t="shared" si="0"/>
        <v>20</v>
      </c>
      <c r="B26" s="14" t="s">
        <v>59</v>
      </c>
      <c r="C26" s="11" t="s">
        <v>17</v>
      </c>
      <c r="D26" s="9" t="s">
        <v>60</v>
      </c>
      <c r="E26" s="14">
        <v>42010</v>
      </c>
      <c r="F26" s="30" t="s">
        <v>36</v>
      </c>
      <c r="G26" s="12">
        <v>1</v>
      </c>
      <c r="H26" s="13"/>
      <c r="I26" s="2"/>
      <c r="J26" s="2"/>
    </row>
    <row r="27" spans="1:10" ht="15" customHeight="1" x14ac:dyDescent="0.25">
      <c r="A27" s="17">
        <f t="shared" si="0"/>
        <v>21</v>
      </c>
      <c r="B27" s="14" t="s">
        <v>71</v>
      </c>
      <c r="C27" s="11" t="s">
        <v>17</v>
      </c>
      <c r="D27" s="9" t="s">
        <v>72</v>
      </c>
      <c r="E27" s="14">
        <v>42010</v>
      </c>
      <c r="F27" s="30" t="s">
        <v>36</v>
      </c>
      <c r="G27" s="12">
        <v>1</v>
      </c>
      <c r="H27" s="13"/>
      <c r="I27" s="2"/>
      <c r="J27" s="2"/>
    </row>
    <row r="28" spans="1:10" ht="15" customHeight="1" x14ac:dyDescent="0.25">
      <c r="A28" s="17">
        <f t="shared" si="0"/>
        <v>22</v>
      </c>
      <c r="B28" s="14" t="s">
        <v>73</v>
      </c>
      <c r="C28" s="11" t="s">
        <v>17</v>
      </c>
      <c r="D28" s="9" t="s">
        <v>74</v>
      </c>
      <c r="E28" s="14">
        <v>42010</v>
      </c>
      <c r="F28" s="30" t="s">
        <v>36</v>
      </c>
      <c r="G28" s="12">
        <v>1</v>
      </c>
      <c r="H28" s="13"/>
      <c r="I28" s="2"/>
      <c r="J28" s="2"/>
    </row>
    <row r="29" spans="1:10" ht="15" customHeight="1" x14ac:dyDescent="0.25">
      <c r="A29" s="17">
        <f t="shared" si="0"/>
        <v>23</v>
      </c>
      <c r="B29" s="15" t="s">
        <v>69</v>
      </c>
      <c r="C29" s="11" t="s">
        <v>17</v>
      </c>
      <c r="D29" s="9" t="s">
        <v>70</v>
      </c>
      <c r="E29" s="14">
        <v>42010</v>
      </c>
      <c r="F29" s="30" t="s">
        <v>36</v>
      </c>
      <c r="G29" s="12">
        <v>1</v>
      </c>
      <c r="H29" s="13"/>
      <c r="I29" s="2"/>
      <c r="J29" s="2"/>
    </row>
    <row r="30" spans="1:10" ht="15" customHeight="1" x14ac:dyDescent="0.25">
      <c r="A30" s="17">
        <f t="shared" si="0"/>
        <v>24</v>
      </c>
      <c r="B30" s="14" t="s">
        <v>65</v>
      </c>
      <c r="C30" s="11" t="s">
        <v>17</v>
      </c>
      <c r="D30" s="9" t="s">
        <v>66</v>
      </c>
      <c r="E30" s="14">
        <v>42010</v>
      </c>
      <c r="F30" s="30" t="s">
        <v>36</v>
      </c>
      <c r="G30" s="12">
        <v>1</v>
      </c>
      <c r="H30" s="13"/>
      <c r="I30" s="2"/>
      <c r="J30" s="2"/>
    </row>
    <row r="31" spans="1:10" ht="15" customHeight="1" x14ac:dyDescent="0.25">
      <c r="A31" s="17">
        <f t="shared" si="0"/>
        <v>25</v>
      </c>
      <c r="B31" s="14" t="s">
        <v>67</v>
      </c>
      <c r="C31" s="11" t="s">
        <v>17</v>
      </c>
      <c r="D31" s="9" t="s">
        <v>68</v>
      </c>
      <c r="E31" s="14">
        <v>42010</v>
      </c>
      <c r="F31" s="30" t="s">
        <v>36</v>
      </c>
      <c r="G31" s="12">
        <v>1</v>
      </c>
      <c r="H31" s="13"/>
      <c r="I31" s="2"/>
      <c r="J31" s="2"/>
    </row>
    <row r="32" spans="1:10" ht="15" customHeight="1" x14ac:dyDescent="0.25">
      <c r="A32" s="17">
        <f t="shared" si="0"/>
        <v>26</v>
      </c>
      <c r="B32" s="14" t="s">
        <v>61</v>
      </c>
      <c r="C32" s="11" t="s">
        <v>17</v>
      </c>
      <c r="D32" s="9" t="s">
        <v>62</v>
      </c>
      <c r="E32" s="14">
        <v>42010</v>
      </c>
      <c r="F32" s="30" t="s">
        <v>36</v>
      </c>
      <c r="G32" s="12">
        <v>1</v>
      </c>
      <c r="H32" s="13"/>
      <c r="I32" s="2"/>
      <c r="J32" s="2"/>
    </row>
    <row r="33" spans="1:10" ht="15" customHeight="1" x14ac:dyDescent="0.25">
      <c r="A33" s="17">
        <f t="shared" si="0"/>
        <v>27</v>
      </c>
      <c r="B33" s="14" t="s">
        <v>63</v>
      </c>
      <c r="C33" s="11" t="s">
        <v>17</v>
      </c>
      <c r="D33" s="9" t="s">
        <v>64</v>
      </c>
      <c r="E33" s="14">
        <v>42010</v>
      </c>
      <c r="F33" s="30" t="s">
        <v>36</v>
      </c>
      <c r="G33" s="12">
        <v>1</v>
      </c>
      <c r="H33" s="1"/>
      <c r="I33" s="1"/>
      <c r="J33" s="1"/>
    </row>
    <row r="34" spans="1:10" ht="15" customHeight="1" x14ac:dyDescent="0.25">
      <c r="A34" s="17">
        <f t="shared" si="0"/>
        <v>28</v>
      </c>
      <c r="B34" s="14" t="s">
        <v>83</v>
      </c>
      <c r="C34" s="11" t="s">
        <v>84</v>
      </c>
      <c r="D34" s="9" t="s">
        <v>85</v>
      </c>
      <c r="E34" s="14">
        <v>42011</v>
      </c>
      <c r="F34" s="30" t="s">
        <v>36</v>
      </c>
      <c r="G34" s="12">
        <v>1</v>
      </c>
      <c r="H34" s="1"/>
      <c r="I34" s="1"/>
      <c r="J34" s="1"/>
    </row>
    <row r="35" spans="1:10" ht="15" customHeight="1" x14ac:dyDescent="0.25">
      <c r="A35" s="17">
        <f t="shared" si="0"/>
        <v>29</v>
      </c>
      <c r="B35" s="14" t="s">
        <v>81</v>
      </c>
      <c r="C35" s="11" t="s">
        <v>17</v>
      </c>
      <c r="D35" s="9" t="s">
        <v>82</v>
      </c>
      <c r="E35" s="14">
        <v>42011</v>
      </c>
      <c r="F35" s="30" t="s">
        <v>36</v>
      </c>
      <c r="G35" s="12">
        <v>1</v>
      </c>
      <c r="H35" s="1"/>
      <c r="I35" s="1"/>
      <c r="J35" s="1"/>
    </row>
    <row r="36" spans="1:10" ht="15" customHeight="1" x14ac:dyDescent="0.25">
      <c r="A36" s="17">
        <f t="shared" si="0"/>
        <v>30</v>
      </c>
      <c r="B36" s="14" t="s">
        <v>79</v>
      </c>
      <c r="C36" s="11" t="s">
        <v>17</v>
      </c>
      <c r="D36" s="9" t="s">
        <v>80</v>
      </c>
      <c r="E36" s="14">
        <v>42011</v>
      </c>
      <c r="F36" s="30" t="s">
        <v>36</v>
      </c>
      <c r="G36" s="12">
        <v>1</v>
      </c>
      <c r="H36" s="1"/>
      <c r="I36" s="1"/>
      <c r="J36" s="1"/>
    </row>
    <row r="37" spans="1:10" ht="15" customHeight="1" x14ac:dyDescent="0.25">
      <c r="A37" s="17">
        <f t="shared" si="0"/>
        <v>31</v>
      </c>
      <c r="B37" s="14" t="s">
        <v>77</v>
      </c>
      <c r="C37" s="11" t="s">
        <v>17</v>
      </c>
      <c r="D37" s="9" t="s">
        <v>78</v>
      </c>
      <c r="E37" s="14">
        <v>42011</v>
      </c>
      <c r="F37" s="30" t="s">
        <v>36</v>
      </c>
      <c r="G37" s="12">
        <v>1</v>
      </c>
      <c r="H37" s="1"/>
      <c r="I37" s="1"/>
      <c r="J37" s="1"/>
    </row>
    <row r="38" spans="1:10" ht="15" customHeight="1" x14ac:dyDescent="0.25">
      <c r="A38" s="17">
        <f t="shared" si="0"/>
        <v>32</v>
      </c>
      <c r="B38" s="14" t="s">
        <v>75</v>
      </c>
      <c r="C38" s="11" t="s">
        <v>17</v>
      </c>
      <c r="D38" s="9" t="s">
        <v>76</v>
      </c>
      <c r="E38" s="14">
        <v>42011</v>
      </c>
      <c r="F38" s="30" t="s">
        <v>36</v>
      </c>
      <c r="G38" s="12">
        <v>1</v>
      </c>
      <c r="H38" s="1"/>
      <c r="I38" s="1"/>
      <c r="J38" s="1"/>
    </row>
    <row r="39" spans="1:10" ht="15" customHeight="1" x14ac:dyDescent="0.25">
      <c r="A39" s="17">
        <f t="shared" si="0"/>
        <v>33</v>
      </c>
      <c r="B39" s="14" t="s">
        <v>103</v>
      </c>
      <c r="C39" s="11" t="s">
        <v>17</v>
      </c>
      <c r="D39" s="9" t="s">
        <v>88</v>
      </c>
      <c r="E39" s="10">
        <v>42012</v>
      </c>
      <c r="F39" s="30" t="s">
        <v>36</v>
      </c>
      <c r="G39" s="12">
        <v>1</v>
      </c>
      <c r="H39" s="1"/>
      <c r="I39" s="1"/>
      <c r="J39" s="1"/>
    </row>
    <row r="40" spans="1:10" ht="15" customHeight="1" x14ac:dyDescent="0.25">
      <c r="A40" s="17">
        <f t="shared" si="0"/>
        <v>34</v>
      </c>
      <c r="B40" s="14" t="s">
        <v>86</v>
      </c>
      <c r="C40" s="11" t="s">
        <v>17</v>
      </c>
      <c r="D40" s="9" t="s">
        <v>87</v>
      </c>
      <c r="E40" s="10">
        <v>42012</v>
      </c>
      <c r="F40" s="30" t="s">
        <v>36</v>
      </c>
      <c r="G40" s="12">
        <v>1</v>
      </c>
      <c r="H40" s="1"/>
      <c r="I40" s="1"/>
      <c r="J40" s="1"/>
    </row>
    <row r="41" spans="1:10" ht="15" customHeight="1" x14ac:dyDescent="0.25">
      <c r="A41" s="17">
        <f t="shared" si="0"/>
        <v>35</v>
      </c>
      <c r="B41" s="14" t="s">
        <v>89</v>
      </c>
      <c r="C41" s="11" t="s">
        <v>17</v>
      </c>
      <c r="D41" s="9" t="s">
        <v>90</v>
      </c>
      <c r="E41" s="10">
        <v>42012</v>
      </c>
      <c r="F41" s="30" t="s">
        <v>36</v>
      </c>
      <c r="G41" s="12">
        <v>1</v>
      </c>
      <c r="H41" s="1"/>
      <c r="I41" s="1"/>
      <c r="J41" s="1"/>
    </row>
    <row r="42" spans="1:10" ht="15" customHeight="1" x14ac:dyDescent="0.25">
      <c r="A42" s="17">
        <f t="shared" si="0"/>
        <v>36</v>
      </c>
      <c r="B42" s="14" t="s">
        <v>1929</v>
      </c>
      <c r="C42" s="11" t="s">
        <v>17</v>
      </c>
      <c r="D42" s="9" t="s">
        <v>93</v>
      </c>
      <c r="E42" s="10">
        <v>42012</v>
      </c>
      <c r="F42" s="30" t="s">
        <v>94</v>
      </c>
      <c r="G42" s="12">
        <v>1</v>
      </c>
      <c r="H42" s="1"/>
      <c r="I42" s="1"/>
      <c r="J42" s="1"/>
    </row>
    <row r="43" spans="1:10" ht="15" customHeight="1" x14ac:dyDescent="0.25">
      <c r="A43" s="17">
        <f t="shared" si="0"/>
        <v>37</v>
      </c>
      <c r="B43" s="14" t="s">
        <v>91</v>
      </c>
      <c r="C43" s="11" t="s">
        <v>84</v>
      </c>
      <c r="D43" s="9" t="s">
        <v>92</v>
      </c>
      <c r="E43" s="10">
        <v>42012</v>
      </c>
      <c r="F43" s="30" t="s">
        <v>36</v>
      </c>
      <c r="G43" s="12">
        <v>1</v>
      </c>
      <c r="H43" s="1"/>
      <c r="I43" s="1"/>
      <c r="J43" s="1"/>
    </row>
    <row r="44" spans="1:10" ht="15" customHeight="1" x14ac:dyDescent="0.25">
      <c r="A44" s="17">
        <f t="shared" si="0"/>
        <v>38</v>
      </c>
      <c r="B44" s="14" t="s">
        <v>1928</v>
      </c>
      <c r="C44" s="11" t="s">
        <v>84</v>
      </c>
      <c r="D44" s="9" t="s">
        <v>95</v>
      </c>
      <c r="E44" s="10">
        <v>42015</v>
      </c>
      <c r="F44" s="30" t="s">
        <v>96</v>
      </c>
      <c r="G44" s="12">
        <v>1</v>
      </c>
      <c r="H44" s="1"/>
      <c r="I44" s="1"/>
      <c r="J44" s="1"/>
    </row>
    <row r="45" spans="1:10" ht="15" customHeight="1" x14ac:dyDescent="0.25">
      <c r="A45" s="17">
        <f t="shared" si="0"/>
        <v>39</v>
      </c>
      <c r="B45" s="14" t="s">
        <v>97</v>
      </c>
      <c r="C45" s="11" t="s">
        <v>17</v>
      </c>
      <c r="D45" s="9" t="s">
        <v>98</v>
      </c>
      <c r="E45" s="10">
        <v>42015</v>
      </c>
      <c r="F45" s="30" t="s">
        <v>99</v>
      </c>
      <c r="G45" s="12">
        <v>1</v>
      </c>
      <c r="H45" s="1"/>
      <c r="I45" s="1"/>
      <c r="J45" s="1"/>
    </row>
    <row r="46" spans="1:10" ht="15" customHeight="1" x14ac:dyDescent="0.25">
      <c r="A46" s="17">
        <f t="shared" si="0"/>
        <v>40</v>
      </c>
      <c r="B46" s="14" t="s">
        <v>1927</v>
      </c>
      <c r="C46" s="11" t="s">
        <v>17</v>
      </c>
      <c r="D46" s="9" t="s">
        <v>100</v>
      </c>
      <c r="E46" s="10">
        <v>42017</v>
      </c>
      <c r="F46" s="30" t="s">
        <v>101</v>
      </c>
      <c r="G46" s="12">
        <v>1</v>
      </c>
      <c r="H46" s="1"/>
      <c r="I46" s="1"/>
      <c r="J46" s="1"/>
    </row>
    <row r="47" spans="1:10" ht="15" customHeight="1" x14ac:dyDescent="0.25">
      <c r="A47" s="17">
        <f t="shared" si="0"/>
        <v>41</v>
      </c>
      <c r="B47" s="14" t="s">
        <v>1926</v>
      </c>
      <c r="C47" s="11" t="s">
        <v>17</v>
      </c>
      <c r="D47" s="9" t="s">
        <v>108</v>
      </c>
      <c r="E47" s="10">
        <v>42020</v>
      </c>
      <c r="F47" s="30" t="s">
        <v>118</v>
      </c>
      <c r="G47" s="12">
        <v>1</v>
      </c>
      <c r="H47" s="1"/>
      <c r="I47" s="1"/>
      <c r="J47" s="1"/>
    </row>
    <row r="48" spans="1:10" ht="15" customHeight="1" x14ac:dyDescent="0.25">
      <c r="A48" s="17">
        <f t="shared" si="0"/>
        <v>42</v>
      </c>
      <c r="B48" s="14" t="s">
        <v>1925</v>
      </c>
      <c r="C48" s="11" t="s">
        <v>17</v>
      </c>
      <c r="D48" s="9" t="s">
        <v>109</v>
      </c>
      <c r="E48" s="10">
        <v>42020</v>
      </c>
      <c r="F48" s="30" t="s">
        <v>119</v>
      </c>
      <c r="G48" s="12">
        <v>1</v>
      </c>
      <c r="H48" s="1"/>
      <c r="I48" s="1"/>
      <c r="J48" s="1"/>
    </row>
    <row r="49" spans="1:10" ht="15" customHeight="1" x14ac:dyDescent="0.25">
      <c r="A49" s="17">
        <f t="shared" si="0"/>
        <v>43</v>
      </c>
      <c r="B49" s="14" t="s">
        <v>1924</v>
      </c>
      <c r="C49" s="11" t="s">
        <v>17</v>
      </c>
      <c r="D49" s="9" t="s">
        <v>110</v>
      </c>
      <c r="E49" s="10">
        <v>42020</v>
      </c>
      <c r="F49" s="30" t="s">
        <v>120</v>
      </c>
      <c r="G49" s="12">
        <v>1</v>
      </c>
      <c r="H49" s="1"/>
      <c r="I49" s="1"/>
      <c r="J49" s="1"/>
    </row>
    <row r="50" spans="1:10" ht="15" customHeight="1" x14ac:dyDescent="0.25">
      <c r="A50" s="17">
        <f t="shared" si="0"/>
        <v>44</v>
      </c>
      <c r="B50" s="14" t="s">
        <v>1922</v>
      </c>
      <c r="C50" s="11" t="s">
        <v>17</v>
      </c>
      <c r="D50" s="9" t="s">
        <v>111</v>
      </c>
      <c r="E50" s="10">
        <v>42020</v>
      </c>
      <c r="F50" s="30" t="s">
        <v>121</v>
      </c>
      <c r="G50" s="12">
        <v>1</v>
      </c>
      <c r="H50" s="1"/>
      <c r="I50" s="1"/>
      <c r="J50" s="1"/>
    </row>
    <row r="51" spans="1:10" ht="15" customHeight="1" x14ac:dyDescent="0.25">
      <c r="A51" s="17">
        <f t="shared" si="0"/>
        <v>45</v>
      </c>
      <c r="B51" s="14" t="s">
        <v>1923</v>
      </c>
      <c r="C51" s="11" t="s">
        <v>17</v>
      </c>
      <c r="D51" s="9" t="s">
        <v>112</v>
      </c>
      <c r="E51" s="10">
        <v>42020</v>
      </c>
      <c r="F51" s="30" t="s">
        <v>122</v>
      </c>
      <c r="G51" s="12">
        <v>1</v>
      </c>
      <c r="H51" s="1"/>
      <c r="I51" s="1"/>
      <c r="J51" s="1"/>
    </row>
    <row r="52" spans="1:10" ht="15" customHeight="1" x14ac:dyDescent="0.25">
      <c r="A52" s="17">
        <f t="shared" si="0"/>
        <v>46</v>
      </c>
      <c r="B52" s="14" t="s">
        <v>1920</v>
      </c>
      <c r="C52" s="11" t="s">
        <v>17</v>
      </c>
      <c r="D52" s="9" t="s">
        <v>113</v>
      </c>
      <c r="E52" s="10">
        <v>42020</v>
      </c>
      <c r="F52" s="30" t="s">
        <v>123</v>
      </c>
      <c r="G52" s="12">
        <v>1</v>
      </c>
      <c r="H52" s="1"/>
      <c r="I52" s="1"/>
      <c r="J52" s="1"/>
    </row>
    <row r="53" spans="1:10" ht="15" customHeight="1" x14ac:dyDescent="0.25">
      <c r="A53" s="17">
        <f t="shared" si="0"/>
        <v>47</v>
      </c>
      <c r="B53" s="14" t="s">
        <v>1921</v>
      </c>
      <c r="C53" s="11" t="s">
        <v>17</v>
      </c>
      <c r="D53" s="9" t="s">
        <v>114</v>
      </c>
      <c r="E53" s="10">
        <v>42020</v>
      </c>
      <c r="F53" s="30" t="s">
        <v>124</v>
      </c>
      <c r="G53" s="12">
        <v>1</v>
      </c>
      <c r="H53" s="1"/>
      <c r="I53" s="1"/>
      <c r="J53" s="1"/>
    </row>
    <row r="54" spans="1:10" ht="15" customHeight="1" x14ac:dyDescent="0.25">
      <c r="A54" s="17">
        <f t="shared" si="0"/>
        <v>48</v>
      </c>
      <c r="B54" s="14" t="s">
        <v>1931</v>
      </c>
      <c r="C54" s="11" t="s">
        <v>17</v>
      </c>
      <c r="D54" s="9" t="s">
        <v>115</v>
      </c>
      <c r="E54" s="10">
        <v>42020</v>
      </c>
      <c r="F54" s="30" t="s">
        <v>125</v>
      </c>
      <c r="G54" s="12">
        <v>1</v>
      </c>
      <c r="H54" s="1"/>
      <c r="I54" s="1"/>
      <c r="J54" s="1"/>
    </row>
    <row r="55" spans="1:10" ht="15" customHeight="1" x14ac:dyDescent="0.25">
      <c r="A55" s="17">
        <f t="shared" si="0"/>
        <v>49</v>
      </c>
      <c r="B55" s="14" t="s">
        <v>1919</v>
      </c>
      <c r="C55" s="11" t="s">
        <v>17</v>
      </c>
      <c r="D55" s="9" t="s">
        <v>116</v>
      </c>
      <c r="E55" s="10">
        <v>42020</v>
      </c>
      <c r="F55" s="30" t="s">
        <v>126</v>
      </c>
      <c r="G55" s="12">
        <v>1</v>
      </c>
      <c r="H55" s="1"/>
      <c r="I55" s="1"/>
      <c r="J55" s="1"/>
    </row>
    <row r="56" spans="1:10" ht="15" customHeight="1" x14ac:dyDescent="0.25">
      <c r="A56" s="17">
        <f t="shared" si="0"/>
        <v>50</v>
      </c>
      <c r="B56" s="14" t="s">
        <v>1932</v>
      </c>
      <c r="C56" s="11" t="s">
        <v>17</v>
      </c>
      <c r="D56" s="9" t="s">
        <v>117</v>
      </c>
      <c r="E56" s="10">
        <v>42020</v>
      </c>
      <c r="F56" s="30" t="s">
        <v>127</v>
      </c>
      <c r="G56" s="12">
        <v>1</v>
      </c>
      <c r="H56" s="1"/>
      <c r="I56" s="1"/>
      <c r="J56" s="1"/>
    </row>
    <row r="57" spans="1:10" ht="15" customHeight="1" x14ac:dyDescent="0.25">
      <c r="A57" s="17">
        <f t="shared" si="0"/>
        <v>51</v>
      </c>
      <c r="B57" s="14" t="s">
        <v>1933</v>
      </c>
      <c r="C57" s="11" t="s">
        <v>17</v>
      </c>
      <c r="D57" s="9" t="s">
        <v>128</v>
      </c>
      <c r="E57" s="10">
        <v>42021</v>
      </c>
      <c r="F57" s="30" t="s">
        <v>135</v>
      </c>
      <c r="G57" s="12">
        <v>1</v>
      </c>
      <c r="H57" s="1"/>
      <c r="I57" s="1"/>
      <c r="J57" s="1"/>
    </row>
    <row r="58" spans="1:10" ht="15" customHeight="1" x14ac:dyDescent="0.25">
      <c r="A58" s="17">
        <f t="shared" si="0"/>
        <v>52</v>
      </c>
      <c r="B58" s="14" t="s">
        <v>1934</v>
      </c>
      <c r="C58" s="11" t="s">
        <v>17</v>
      </c>
      <c r="D58" s="9" t="s">
        <v>129</v>
      </c>
      <c r="E58" s="10">
        <v>42021</v>
      </c>
      <c r="F58" s="30" t="s">
        <v>136</v>
      </c>
      <c r="G58" s="12">
        <v>1</v>
      </c>
      <c r="H58" s="1"/>
      <c r="I58" s="1"/>
      <c r="J58" s="1"/>
    </row>
    <row r="59" spans="1:10" ht="15" customHeight="1" x14ac:dyDescent="0.25">
      <c r="A59" s="17">
        <f t="shared" si="0"/>
        <v>53</v>
      </c>
      <c r="B59" s="14" t="s">
        <v>1935</v>
      </c>
      <c r="C59" s="11" t="s">
        <v>17</v>
      </c>
      <c r="D59" s="9" t="s">
        <v>130</v>
      </c>
      <c r="E59" s="10">
        <v>42021</v>
      </c>
      <c r="F59" s="30" t="s">
        <v>137</v>
      </c>
      <c r="G59" s="12">
        <v>1</v>
      </c>
      <c r="H59" s="1"/>
      <c r="I59" s="1"/>
      <c r="J59" s="1"/>
    </row>
    <row r="60" spans="1:10" ht="15" customHeight="1" x14ac:dyDescent="0.25">
      <c r="A60" s="17">
        <f t="shared" si="0"/>
        <v>54</v>
      </c>
      <c r="B60" s="14" t="s">
        <v>1936</v>
      </c>
      <c r="C60" s="11" t="s">
        <v>17</v>
      </c>
      <c r="D60" s="9" t="s">
        <v>131</v>
      </c>
      <c r="E60" s="10">
        <v>42021</v>
      </c>
      <c r="F60" s="30" t="s">
        <v>138</v>
      </c>
      <c r="G60" s="12">
        <v>1</v>
      </c>
      <c r="H60" s="1"/>
      <c r="I60" s="1"/>
      <c r="J60" s="1"/>
    </row>
    <row r="61" spans="1:10" ht="15" customHeight="1" x14ac:dyDescent="0.25">
      <c r="A61" s="17">
        <f t="shared" si="0"/>
        <v>55</v>
      </c>
      <c r="B61" s="14" t="s">
        <v>1937</v>
      </c>
      <c r="C61" s="11" t="s">
        <v>17</v>
      </c>
      <c r="D61" s="9" t="s">
        <v>132</v>
      </c>
      <c r="E61" s="10">
        <v>42021</v>
      </c>
      <c r="F61" s="30" t="s">
        <v>139</v>
      </c>
      <c r="G61" s="12">
        <v>1</v>
      </c>
      <c r="H61" s="1"/>
      <c r="I61" s="1"/>
      <c r="J61" s="1"/>
    </row>
    <row r="62" spans="1:10" ht="15" customHeight="1" x14ac:dyDescent="0.25">
      <c r="A62" s="17">
        <f t="shared" si="0"/>
        <v>56</v>
      </c>
      <c r="B62" s="14" t="s">
        <v>1938</v>
      </c>
      <c r="C62" s="11" t="s">
        <v>17</v>
      </c>
      <c r="D62" s="9" t="s">
        <v>133</v>
      </c>
      <c r="E62" s="10">
        <v>42021</v>
      </c>
      <c r="F62" s="30" t="s">
        <v>140</v>
      </c>
      <c r="G62" s="12">
        <v>1</v>
      </c>
      <c r="H62" s="1"/>
      <c r="I62" s="1"/>
      <c r="J62" s="1"/>
    </row>
    <row r="63" spans="1:10" ht="15" customHeight="1" x14ac:dyDescent="0.25">
      <c r="A63" s="17">
        <f t="shared" si="0"/>
        <v>57</v>
      </c>
      <c r="B63" s="14" t="s">
        <v>1939</v>
      </c>
      <c r="C63" s="11" t="s">
        <v>17</v>
      </c>
      <c r="D63" s="9" t="s">
        <v>134</v>
      </c>
      <c r="E63" s="10">
        <v>42021</v>
      </c>
      <c r="F63" s="30" t="s">
        <v>141</v>
      </c>
      <c r="G63" s="12">
        <v>1</v>
      </c>
      <c r="H63" s="1"/>
      <c r="I63" s="1"/>
      <c r="J63" s="1"/>
    </row>
    <row r="64" spans="1:10" ht="15" customHeight="1" x14ac:dyDescent="0.25">
      <c r="A64" s="17">
        <f t="shared" si="0"/>
        <v>58</v>
      </c>
      <c r="B64" s="14" t="s">
        <v>1940</v>
      </c>
      <c r="C64" s="11" t="s">
        <v>17</v>
      </c>
      <c r="D64" s="9" t="s">
        <v>142</v>
      </c>
      <c r="E64" s="10">
        <v>42021</v>
      </c>
      <c r="F64" s="30" t="s">
        <v>152</v>
      </c>
      <c r="G64" s="12">
        <v>1</v>
      </c>
      <c r="H64" s="1"/>
      <c r="I64" s="1"/>
      <c r="J64" s="1"/>
    </row>
    <row r="65" spans="1:10" ht="15" customHeight="1" x14ac:dyDescent="0.25">
      <c r="A65" s="17">
        <f t="shared" si="0"/>
        <v>59</v>
      </c>
      <c r="B65" s="14" t="s">
        <v>1941</v>
      </c>
      <c r="C65" s="11" t="s">
        <v>17</v>
      </c>
      <c r="D65" s="9" t="s">
        <v>143</v>
      </c>
      <c r="E65" s="10">
        <v>42021</v>
      </c>
      <c r="F65" s="30" t="s">
        <v>153</v>
      </c>
      <c r="G65" s="12">
        <v>1</v>
      </c>
      <c r="H65" s="1"/>
      <c r="I65" s="1"/>
      <c r="J65" s="1"/>
    </row>
    <row r="66" spans="1:10" ht="15" customHeight="1" x14ac:dyDescent="0.25">
      <c r="A66" s="17">
        <f t="shared" si="0"/>
        <v>60</v>
      </c>
      <c r="B66" s="14" t="s">
        <v>1942</v>
      </c>
      <c r="C66" s="11" t="s">
        <v>17</v>
      </c>
      <c r="D66" s="9" t="s">
        <v>144</v>
      </c>
      <c r="E66" s="10">
        <v>42021</v>
      </c>
      <c r="F66" s="30" t="s">
        <v>154</v>
      </c>
      <c r="G66" s="12">
        <v>1</v>
      </c>
      <c r="H66" s="1"/>
      <c r="I66" s="1"/>
      <c r="J66" s="1"/>
    </row>
    <row r="67" spans="1:10" ht="15" customHeight="1" x14ac:dyDescent="0.25">
      <c r="A67" s="17">
        <f t="shared" si="0"/>
        <v>61</v>
      </c>
      <c r="B67" s="14" t="s">
        <v>1943</v>
      </c>
      <c r="C67" s="11" t="s">
        <v>17</v>
      </c>
      <c r="D67" s="9" t="s">
        <v>145</v>
      </c>
      <c r="E67" s="10">
        <v>42021</v>
      </c>
      <c r="F67" s="30" t="s">
        <v>155</v>
      </c>
      <c r="G67" s="12">
        <v>1</v>
      </c>
      <c r="H67" s="1"/>
      <c r="I67" s="1"/>
      <c r="J67" s="1"/>
    </row>
    <row r="68" spans="1:10" ht="15" customHeight="1" x14ac:dyDescent="0.25">
      <c r="A68" s="17">
        <f t="shared" si="0"/>
        <v>62</v>
      </c>
      <c r="B68" s="14" t="s">
        <v>1944</v>
      </c>
      <c r="C68" s="11" t="s">
        <v>17</v>
      </c>
      <c r="D68" s="9" t="s">
        <v>146</v>
      </c>
      <c r="E68" s="10">
        <v>42021</v>
      </c>
      <c r="F68" s="30" t="s">
        <v>156</v>
      </c>
      <c r="G68" s="12">
        <v>1</v>
      </c>
      <c r="H68" s="1"/>
      <c r="I68" s="1"/>
      <c r="J68" s="1"/>
    </row>
    <row r="69" spans="1:10" ht="15" customHeight="1" x14ac:dyDescent="0.25">
      <c r="A69" s="17">
        <f t="shared" si="0"/>
        <v>63</v>
      </c>
      <c r="B69" s="14" t="s">
        <v>1945</v>
      </c>
      <c r="C69" s="11" t="s">
        <v>17</v>
      </c>
      <c r="D69" s="9" t="s">
        <v>147</v>
      </c>
      <c r="E69" s="10">
        <v>42021</v>
      </c>
      <c r="F69" s="30" t="s">
        <v>157</v>
      </c>
      <c r="G69" s="12">
        <v>1</v>
      </c>
      <c r="H69" s="1"/>
      <c r="I69" s="1"/>
      <c r="J69" s="1"/>
    </row>
    <row r="70" spans="1:10" ht="15" customHeight="1" x14ac:dyDescent="0.25">
      <c r="A70" s="17">
        <f t="shared" si="0"/>
        <v>64</v>
      </c>
      <c r="B70" s="14" t="s">
        <v>1946</v>
      </c>
      <c r="C70" s="11" t="s">
        <v>17</v>
      </c>
      <c r="D70" s="9" t="s">
        <v>148</v>
      </c>
      <c r="E70" s="10">
        <v>42021</v>
      </c>
      <c r="F70" s="30" t="s">
        <v>158</v>
      </c>
      <c r="G70" s="12">
        <v>1</v>
      </c>
      <c r="H70" s="1"/>
      <c r="I70" s="1"/>
      <c r="J70" s="1"/>
    </row>
    <row r="71" spans="1:10" ht="15" customHeight="1" x14ac:dyDescent="0.25">
      <c r="A71" s="17">
        <f t="shared" si="0"/>
        <v>65</v>
      </c>
      <c r="B71" s="14" t="s">
        <v>1947</v>
      </c>
      <c r="C71" s="11" t="s">
        <v>17</v>
      </c>
      <c r="D71" s="9" t="s">
        <v>149</v>
      </c>
      <c r="E71" s="10">
        <v>42021</v>
      </c>
      <c r="F71" s="30" t="s">
        <v>159</v>
      </c>
      <c r="G71" s="12">
        <v>1</v>
      </c>
      <c r="H71" s="1"/>
      <c r="I71" s="1"/>
      <c r="J71" s="1"/>
    </row>
    <row r="72" spans="1:10" ht="15" customHeight="1" x14ac:dyDescent="0.25">
      <c r="A72" s="17">
        <f t="shared" si="0"/>
        <v>66</v>
      </c>
      <c r="B72" s="14" t="s">
        <v>1948</v>
      </c>
      <c r="C72" s="11" t="s">
        <v>17</v>
      </c>
      <c r="D72" s="9" t="s">
        <v>150</v>
      </c>
      <c r="E72" s="10">
        <v>42021</v>
      </c>
      <c r="F72" s="30" t="s">
        <v>160</v>
      </c>
      <c r="G72" s="12">
        <v>1</v>
      </c>
      <c r="H72" s="1"/>
      <c r="I72" s="1"/>
      <c r="J72" s="1"/>
    </row>
    <row r="73" spans="1:10" ht="15" customHeight="1" x14ac:dyDescent="0.25">
      <c r="A73" s="17">
        <f t="shared" si="0"/>
        <v>67</v>
      </c>
      <c r="B73" s="14" t="s">
        <v>1949</v>
      </c>
      <c r="C73" s="11" t="s">
        <v>17</v>
      </c>
      <c r="D73" s="9" t="s">
        <v>151</v>
      </c>
      <c r="E73" s="10">
        <v>42021</v>
      </c>
      <c r="F73" s="30" t="s">
        <v>161</v>
      </c>
      <c r="G73" s="12">
        <v>1</v>
      </c>
      <c r="H73" s="1"/>
      <c r="I73" s="1"/>
      <c r="J73" s="1"/>
    </row>
    <row r="74" spans="1:10" ht="15" customHeight="1" x14ac:dyDescent="0.25">
      <c r="A74" s="17">
        <f t="shared" si="0"/>
        <v>68</v>
      </c>
      <c r="B74" s="14" t="s">
        <v>1950</v>
      </c>
      <c r="C74" s="11" t="s">
        <v>17</v>
      </c>
      <c r="D74" s="9" t="s">
        <v>102</v>
      </c>
      <c r="E74" s="10">
        <v>42022</v>
      </c>
      <c r="F74" s="30" t="s">
        <v>162</v>
      </c>
      <c r="G74" s="12">
        <v>1</v>
      </c>
    </row>
    <row r="75" spans="1:10" ht="15" customHeight="1" x14ac:dyDescent="0.25">
      <c r="A75" s="17">
        <f t="shared" si="0"/>
        <v>69</v>
      </c>
      <c r="B75" s="14" t="s">
        <v>104</v>
      </c>
      <c r="C75" s="11" t="s">
        <v>17</v>
      </c>
      <c r="D75" s="9" t="s">
        <v>105</v>
      </c>
      <c r="E75" s="10">
        <v>42022</v>
      </c>
      <c r="F75" s="30" t="s">
        <v>36</v>
      </c>
      <c r="G75" s="12">
        <v>1</v>
      </c>
    </row>
    <row r="76" spans="1:10" ht="15" customHeight="1" x14ac:dyDescent="0.25">
      <c r="A76" s="17">
        <f t="shared" si="0"/>
        <v>70</v>
      </c>
      <c r="B76" s="14" t="s">
        <v>1951</v>
      </c>
      <c r="C76" s="11" t="s">
        <v>17</v>
      </c>
      <c r="D76" s="9" t="s">
        <v>107</v>
      </c>
      <c r="E76" s="10">
        <v>42023</v>
      </c>
      <c r="F76" s="30" t="s">
        <v>163</v>
      </c>
      <c r="G76" s="12">
        <v>1</v>
      </c>
    </row>
    <row r="77" spans="1:10" ht="15" customHeight="1" x14ac:dyDescent="0.25">
      <c r="A77" s="17">
        <f t="shared" si="0"/>
        <v>71</v>
      </c>
      <c r="B77" s="14" t="s">
        <v>164</v>
      </c>
      <c r="C77" s="11" t="s">
        <v>17</v>
      </c>
      <c r="D77" s="9" t="s">
        <v>165</v>
      </c>
      <c r="E77" s="10">
        <v>42023</v>
      </c>
      <c r="F77" s="30" t="s">
        <v>99</v>
      </c>
      <c r="G77" s="12">
        <v>1</v>
      </c>
    </row>
    <row r="78" spans="1:10" ht="15" customHeight="1" x14ac:dyDescent="0.25">
      <c r="A78" s="17">
        <f t="shared" ref="A78:A80" si="1">+A77+1</f>
        <v>72</v>
      </c>
      <c r="B78" s="14" t="s">
        <v>1952</v>
      </c>
      <c r="C78" s="11" t="s">
        <v>17</v>
      </c>
      <c r="D78" s="9" t="s">
        <v>166</v>
      </c>
      <c r="E78" s="10">
        <v>42024</v>
      </c>
      <c r="F78" s="30" t="s">
        <v>167</v>
      </c>
      <c r="G78" s="12">
        <v>1</v>
      </c>
    </row>
    <row r="79" spans="1:10" ht="15" customHeight="1" x14ac:dyDescent="0.25">
      <c r="A79" s="17">
        <f t="shared" si="1"/>
        <v>73</v>
      </c>
      <c r="B79" s="14" t="s">
        <v>1093</v>
      </c>
      <c r="C79" s="11" t="s">
        <v>17</v>
      </c>
      <c r="D79" s="9" t="s">
        <v>1094</v>
      </c>
      <c r="E79" s="10">
        <v>42029</v>
      </c>
      <c r="F79" s="30" t="s">
        <v>36</v>
      </c>
      <c r="G79" s="12">
        <v>1</v>
      </c>
    </row>
    <row r="80" spans="1:10" ht="15" customHeight="1" x14ac:dyDescent="0.25">
      <c r="A80" s="17">
        <f t="shared" si="1"/>
        <v>74</v>
      </c>
      <c r="B80" s="14" t="s">
        <v>1953</v>
      </c>
      <c r="C80" s="11" t="s">
        <v>17</v>
      </c>
      <c r="D80" s="9" t="s">
        <v>168</v>
      </c>
      <c r="E80" s="10">
        <v>42032</v>
      </c>
      <c r="F80" s="30" t="s">
        <v>169</v>
      </c>
      <c r="G80" s="33">
        <v>1</v>
      </c>
      <c r="H80" t="s">
        <v>2342</v>
      </c>
    </row>
    <row r="81" spans="1:7" ht="15" customHeight="1" x14ac:dyDescent="0.25">
      <c r="A81" s="34"/>
      <c r="B81" s="35"/>
      <c r="C81" s="36"/>
      <c r="D81" s="37"/>
      <c r="E81" s="38"/>
      <c r="F81" s="39"/>
      <c r="G81" s="33">
        <v>1</v>
      </c>
    </row>
    <row r="82" spans="1:7" ht="15" customHeight="1" x14ac:dyDescent="0.25">
      <c r="A82" s="34"/>
      <c r="B82" s="35"/>
      <c r="C82" s="36"/>
      <c r="D82" s="37"/>
      <c r="E82" s="38"/>
      <c r="F82" s="39"/>
      <c r="G82" s="33">
        <v>1</v>
      </c>
    </row>
    <row r="83" spans="1:7" ht="15" customHeight="1" x14ac:dyDescent="0.25">
      <c r="A83" s="34"/>
      <c r="B83" s="35"/>
      <c r="C83" s="36"/>
      <c r="D83" s="37"/>
      <c r="E83" s="38"/>
      <c r="F83" s="39"/>
      <c r="G83" s="33">
        <v>1</v>
      </c>
    </row>
    <row r="84" spans="1:7" ht="15" customHeight="1" x14ac:dyDescent="0.25">
      <c r="A84" s="34"/>
      <c r="B84" s="35"/>
      <c r="C84" s="36"/>
      <c r="D84" s="37"/>
      <c r="E84" s="38"/>
      <c r="F84" s="39"/>
      <c r="G84" s="33">
        <v>1</v>
      </c>
    </row>
    <row r="85" spans="1:7" ht="15" customHeight="1" x14ac:dyDescent="0.25">
      <c r="A85" s="34"/>
      <c r="B85" s="35"/>
      <c r="C85" s="36"/>
      <c r="D85" s="37"/>
      <c r="E85" s="38"/>
      <c r="F85" s="39"/>
      <c r="G85" s="33">
        <v>1</v>
      </c>
    </row>
    <row r="86" spans="1:7" ht="15" customHeight="1" x14ac:dyDescent="0.25">
      <c r="A86" s="34"/>
      <c r="B86" s="35"/>
      <c r="C86" s="36"/>
      <c r="D86" s="37"/>
      <c r="E86" s="38"/>
      <c r="F86" s="39"/>
      <c r="G86" s="33">
        <v>1</v>
      </c>
    </row>
    <row r="87" spans="1:7" ht="15" customHeight="1" x14ac:dyDescent="0.25">
      <c r="A87" s="34"/>
      <c r="B87" s="35"/>
      <c r="C87" s="36"/>
      <c r="D87" s="37"/>
      <c r="E87" s="38"/>
      <c r="F87" s="39"/>
      <c r="G87" s="33">
        <v>1</v>
      </c>
    </row>
    <row r="88" spans="1:7" ht="15" customHeight="1" x14ac:dyDescent="0.25">
      <c r="A88" s="34"/>
      <c r="B88" s="35"/>
      <c r="C88" s="36"/>
      <c r="D88" s="37"/>
      <c r="E88" s="38"/>
      <c r="F88" s="39"/>
      <c r="G88" s="33">
        <v>1</v>
      </c>
    </row>
    <row r="89" spans="1:7" ht="15" customHeight="1" x14ac:dyDescent="0.25">
      <c r="A89" s="34"/>
      <c r="B89" s="35"/>
      <c r="C89" s="36"/>
      <c r="D89" s="37"/>
      <c r="E89" s="38"/>
      <c r="F89" s="39"/>
      <c r="G89" s="33">
        <v>1</v>
      </c>
    </row>
    <row r="90" spans="1:7" ht="15" customHeight="1" x14ac:dyDescent="0.25">
      <c r="A90" s="34"/>
      <c r="B90" s="35"/>
      <c r="C90" s="36"/>
      <c r="D90" s="37"/>
      <c r="E90" s="38"/>
      <c r="F90" s="39"/>
      <c r="G90" s="33">
        <v>1</v>
      </c>
    </row>
    <row r="91" spans="1:7" ht="15" customHeight="1" x14ac:dyDescent="0.25">
      <c r="A91" s="34"/>
      <c r="B91" s="35"/>
      <c r="C91" s="36"/>
      <c r="D91" s="37"/>
      <c r="E91" s="38"/>
      <c r="F91" s="39"/>
      <c r="G91" s="33">
        <v>1</v>
      </c>
    </row>
    <row r="92" spans="1:7" ht="15" customHeight="1" x14ac:dyDescent="0.25">
      <c r="A92" s="34"/>
      <c r="B92" s="35"/>
      <c r="C92" s="36"/>
      <c r="D92" s="37"/>
      <c r="E92" s="38"/>
      <c r="F92" s="39"/>
      <c r="G92" s="33">
        <v>1</v>
      </c>
    </row>
    <row r="93" spans="1:7" ht="15" customHeight="1" x14ac:dyDescent="0.25">
      <c r="A93" s="34"/>
      <c r="B93" s="35"/>
      <c r="C93" s="40"/>
      <c r="D93" s="41"/>
      <c r="E93" s="38"/>
      <c r="F93" s="39"/>
      <c r="G93" s="33">
        <v>1</v>
      </c>
    </row>
    <row r="94" spans="1:7" ht="15" customHeight="1" x14ac:dyDescent="0.25">
      <c r="A94" s="34"/>
      <c r="B94" s="35"/>
      <c r="C94" s="40"/>
      <c r="D94" s="41"/>
      <c r="E94" s="38"/>
      <c r="F94" s="39"/>
      <c r="G94" s="33">
        <v>1</v>
      </c>
    </row>
    <row r="95" spans="1:7" ht="15" customHeight="1" x14ac:dyDescent="0.25">
      <c r="A95" s="34"/>
      <c r="B95" s="35"/>
      <c r="C95" s="40"/>
      <c r="D95" s="41"/>
      <c r="E95" s="38"/>
      <c r="F95" s="39"/>
      <c r="G95" s="33">
        <v>1</v>
      </c>
    </row>
    <row r="96" spans="1:7" ht="15" customHeight="1" x14ac:dyDescent="0.25">
      <c r="A96" s="34"/>
      <c r="B96" s="35"/>
      <c r="C96" s="40"/>
      <c r="D96" s="41"/>
      <c r="E96" s="38"/>
      <c r="F96" s="39"/>
      <c r="G96" s="33">
        <v>1</v>
      </c>
    </row>
    <row r="97" spans="1:7" ht="15" customHeight="1" x14ac:dyDescent="0.25">
      <c r="A97" s="34"/>
      <c r="B97" s="35"/>
      <c r="C97" s="40"/>
      <c r="D97" s="41"/>
      <c r="E97" s="38"/>
      <c r="F97" s="39"/>
      <c r="G97" s="33">
        <v>1</v>
      </c>
    </row>
    <row r="98" spans="1:7" ht="15" customHeight="1" x14ac:dyDescent="0.25">
      <c r="A98" s="34"/>
      <c r="B98" s="35"/>
      <c r="C98" s="40"/>
      <c r="D98" s="41"/>
      <c r="E98" s="38"/>
      <c r="F98" s="39"/>
      <c r="G98" s="33">
        <v>1</v>
      </c>
    </row>
    <row r="99" spans="1:7" ht="15" customHeight="1" x14ac:dyDescent="0.25">
      <c r="A99" s="34"/>
      <c r="B99" s="35"/>
      <c r="C99" s="40"/>
      <c r="D99" s="41"/>
      <c r="E99" s="38"/>
      <c r="F99" s="39"/>
      <c r="G99" s="33">
        <v>1</v>
      </c>
    </row>
    <row r="100" spans="1:7" ht="15" customHeight="1" x14ac:dyDescent="0.25">
      <c r="A100" s="34"/>
      <c r="B100" s="35"/>
      <c r="C100" s="40"/>
      <c r="D100" s="41"/>
      <c r="E100" s="38"/>
      <c r="F100" s="39"/>
      <c r="G100" s="33">
        <v>1</v>
      </c>
    </row>
    <row r="101" spans="1:7" ht="15" customHeight="1" x14ac:dyDescent="0.25">
      <c r="A101" s="34"/>
      <c r="B101" s="35"/>
      <c r="C101" s="36"/>
      <c r="D101" s="37"/>
      <c r="E101" s="38"/>
      <c r="F101" s="39"/>
      <c r="G101" s="33">
        <v>1</v>
      </c>
    </row>
    <row r="102" spans="1:7" ht="15" customHeight="1" x14ac:dyDescent="0.25">
      <c r="A102" s="34"/>
      <c r="B102" s="42"/>
      <c r="C102" s="42"/>
      <c r="D102" s="37"/>
      <c r="E102" s="38"/>
      <c r="F102" s="39"/>
      <c r="G102" s="33">
        <v>1</v>
      </c>
    </row>
    <row r="103" spans="1:7" ht="15" customHeight="1" x14ac:dyDescent="0.25">
      <c r="A103" s="34"/>
      <c r="B103" s="42"/>
      <c r="C103" s="42"/>
      <c r="D103" s="43"/>
      <c r="E103" s="38"/>
      <c r="F103" s="39"/>
      <c r="G103" s="33">
        <v>1</v>
      </c>
    </row>
    <row r="104" spans="1:7" ht="15" customHeight="1" x14ac:dyDescent="0.25">
      <c r="A104" s="34"/>
      <c r="B104" s="42"/>
      <c r="C104" s="42"/>
      <c r="D104" s="43"/>
      <c r="E104" s="38"/>
      <c r="F104" s="39"/>
      <c r="G104" s="33">
        <v>1</v>
      </c>
    </row>
    <row r="105" spans="1:7" ht="15" customHeight="1" x14ac:dyDescent="0.25">
      <c r="A105" s="34"/>
      <c r="B105" s="42"/>
      <c r="C105" s="42"/>
      <c r="D105" s="43"/>
      <c r="E105" s="44"/>
      <c r="F105" s="45"/>
      <c r="G105" s="33">
        <v>1</v>
      </c>
    </row>
    <row r="106" spans="1:7" ht="15" customHeight="1" x14ac:dyDescent="0.25">
      <c r="A106" s="34"/>
      <c r="B106" s="42"/>
      <c r="C106" s="42"/>
      <c r="D106" s="43"/>
      <c r="E106" s="44"/>
      <c r="F106" s="45"/>
      <c r="G106" s="33">
        <v>1</v>
      </c>
    </row>
    <row r="107" spans="1:7" ht="15" customHeight="1" x14ac:dyDescent="0.25">
      <c r="A107" s="34"/>
      <c r="B107" s="42"/>
      <c r="C107" s="42"/>
      <c r="D107" s="42"/>
      <c r="E107" s="44"/>
      <c r="F107" s="45"/>
      <c r="G107" s="33">
        <v>1</v>
      </c>
    </row>
    <row r="108" spans="1:7" ht="15" customHeight="1" x14ac:dyDescent="0.25">
      <c r="A108" s="34"/>
      <c r="B108" s="35"/>
      <c r="C108" s="40"/>
      <c r="D108" s="41"/>
      <c r="E108" s="35"/>
      <c r="F108" s="46"/>
      <c r="G108" s="33">
        <v>1</v>
      </c>
    </row>
    <row r="109" spans="1:7" ht="15" customHeight="1" x14ac:dyDescent="0.25">
      <c r="A109" s="34"/>
      <c r="B109" s="47"/>
      <c r="C109" s="47"/>
      <c r="D109" s="48"/>
      <c r="E109" s="35"/>
      <c r="F109" s="46"/>
      <c r="G109" s="33">
        <v>1</v>
      </c>
    </row>
    <row r="110" spans="1:7" ht="15" customHeight="1" x14ac:dyDescent="0.25">
      <c r="A110" s="34"/>
      <c r="B110" s="49"/>
      <c r="C110" s="50"/>
      <c r="D110" s="51"/>
      <c r="E110" s="49"/>
      <c r="F110" s="52"/>
      <c r="G110" s="33">
        <v>1</v>
      </c>
    </row>
    <row r="111" spans="1:7" ht="15" customHeight="1" x14ac:dyDescent="0.25">
      <c r="A111" s="34"/>
      <c r="B111" s="47"/>
      <c r="C111" s="47"/>
      <c r="D111" s="48"/>
      <c r="E111" s="35"/>
      <c r="F111" s="53"/>
      <c r="G111" s="33">
        <v>1</v>
      </c>
    </row>
    <row r="112" spans="1:7" ht="15" customHeight="1" x14ac:dyDescent="0.25">
      <c r="A112" s="34"/>
      <c r="B112" s="47"/>
      <c r="C112" s="47"/>
      <c r="D112" s="48"/>
      <c r="E112" s="35"/>
      <c r="F112" s="46"/>
      <c r="G112" s="33">
        <v>1</v>
      </c>
    </row>
    <row r="113" spans="1:7" ht="15" customHeight="1" x14ac:dyDescent="0.25">
      <c r="A113" s="34"/>
      <c r="B113" s="42"/>
      <c r="C113" s="42"/>
      <c r="D113" s="43"/>
      <c r="E113" s="44"/>
      <c r="F113" s="45"/>
      <c r="G113" s="33">
        <v>1</v>
      </c>
    </row>
    <row r="114" spans="1:7" ht="15" customHeight="1" x14ac:dyDescent="0.25">
      <c r="A114" s="34"/>
      <c r="B114" s="42"/>
      <c r="C114" s="42"/>
      <c r="D114" s="43"/>
      <c r="E114" s="44"/>
      <c r="F114" s="45"/>
      <c r="G114" s="33">
        <v>1</v>
      </c>
    </row>
    <row r="115" spans="1:7" ht="15" customHeight="1" x14ac:dyDescent="0.25">
      <c r="A115" s="34"/>
      <c r="B115" s="42"/>
      <c r="C115" s="42"/>
      <c r="D115" s="43"/>
      <c r="E115" s="44"/>
      <c r="F115" s="45"/>
      <c r="G115" s="33">
        <v>1</v>
      </c>
    </row>
  </sheetData>
  <sortState ref="B37:F40">
    <sortCondition ref="D37:D40"/>
  </sortState>
  <mergeCells count="9">
    <mergeCell ref="A4:F4"/>
    <mergeCell ref="I4:J4"/>
    <mergeCell ref="A5:F5"/>
    <mergeCell ref="I5:J5"/>
    <mergeCell ref="A1:C1"/>
    <mergeCell ref="A2:C2"/>
    <mergeCell ref="I2:J2"/>
    <mergeCell ref="A3:C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A25" workbookViewId="0">
      <selection activeCell="D29" sqref="D29"/>
    </sheetView>
  </sheetViews>
  <sheetFormatPr baseColWidth="10" defaultColWidth="11.42578125" defaultRowHeight="15" x14ac:dyDescent="0.25"/>
  <cols>
    <col min="1" max="1" width="7" customWidth="1"/>
    <col min="2" max="2" width="11.5703125" customWidth="1"/>
    <col min="3" max="3" width="10.5703125" bestFit="1" customWidth="1"/>
    <col min="4" max="4" width="11.140625" bestFit="1" customWidth="1"/>
    <col min="5" max="5" width="19.42578125" customWidth="1"/>
    <col min="6" max="6" width="19.28515625" customWidth="1"/>
    <col min="7" max="7" width="2.28515625" hidden="1" customWidth="1"/>
    <col min="8" max="8" width="26.5703125" customWidth="1"/>
  </cols>
  <sheetData>
    <row r="1" spans="1:11" ht="18" x14ac:dyDescent="0.25">
      <c r="A1" s="102" t="s">
        <v>0</v>
      </c>
      <c r="B1" s="102"/>
      <c r="C1" s="10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106" t="s">
        <v>2</v>
      </c>
      <c r="B2" s="106"/>
      <c r="C2" s="106"/>
      <c r="D2" s="6"/>
      <c r="E2" s="5" t="s">
        <v>3</v>
      </c>
      <c r="F2" s="5"/>
      <c r="G2" s="4"/>
      <c r="H2" s="4"/>
      <c r="I2" s="103" t="s">
        <v>4</v>
      </c>
      <c r="J2" s="104"/>
      <c r="K2" s="22">
        <f>SUMIF(F7:F32,"Elimination*",G7:G32)</f>
        <v>18</v>
      </c>
    </row>
    <row r="3" spans="1:11" x14ac:dyDescent="0.25">
      <c r="A3" s="107" t="s">
        <v>5</v>
      </c>
      <c r="B3" s="107"/>
      <c r="C3" s="107"/>
      <c r="D3" s="5"/>
      <c r="E3" s="4" t="s">
        <v>6</v>
      </c>
      <c r="F3" s="4"/>
      <c r="G3" s="4"/>
      <c r="H3" s="4"/>
      <c r="I3" s="103" t="s">
        <v>7</v>
      </c>
      <c r="J3" s="104"/>
      <c r="K3" s="22">
        <f>SUMIF(F7:F32,"NB*",G7:G32)</f>
        <v>6</v>
      </c>
    </row>
    <row r="4" spans="1:11" ht="18" x14ac:dyDescent="0.25">
      <c r="A4" s="102" t="s">
        <v>8</v>
      </c>
      <c r="B4" s="102"/>
      <c r="C4" s="102"/>
      <c r="D4" s="102"/>
      <c r="E4" s="102"/>
      <c r="F4" s="102"/>
      <c r="G4" s="4"/>
      <c r="H4" s="4"/>
      <c r="I4" s="103" t="s">
        <v>9</v>
      </c>
      <c r="J4" s="104"/>
      <c r="K4" s="22">
        <f>SUMIF(F7:F32,"Ve*",G7:G32)</f>
        <v>2</v>
      </c>
    </row>
    <row r="5" spans="1:11" ht="15.75" x14ac:dyDescent="0.25">
      <c r="A5" s="105" t="s">
        <v>172</v>
      </c>
      <c r="B5" s="105"/>
      <c r="C5" s="105"/>
      <c r="D5" s="105"/>
      <c r="E5" s="105"/>
      <c r="F5" s="105"/>
      <c r="G5" s="24"/>
      <c r="H5" s="24"/>
      <c r="I5" s="103" t="s">
        <v>10</v>
      </c>
      <c r="J5" s="104"/>
      <c r="K5" s="26">
        <f>SUM(K2:K4)</f>
        <v>26</v>
      </c>
    </row>
    <row r="6" spans="1:11" ht="22.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4" t="s">
        <v>1955</v>
      </c>
      <c r="C7" s="11" t="s">
        <v>17</v>
      </c>
      <c r="D7" s="9" t="s">
        <v>171</v>
      </c>
      <c r="E7" s="14">
        <v>42037</v>
      </c>
      <c r="F7" s="30" t="s">
        <v>175</v>
      </c>
      <c r="G7" s="19">
        <v>1</v>
      </c>
      <c r="H7" s="88" t="s">
        <v>1954</v>
      </c>
      <c r="I7" s="18"/>
      <c r="J7" s="18"/>
      <c r="K7" s="1"/>
    </row>
    <row r="8" spans="1:11" ht="15" customHeight="1" x14ac:dyDescent="0.25">
      <c r="A8" s="17">
        <f>A7+1</f>
        <v>2</v>
      </c>
      <c r="B8" s="14" t="s">
        <v>1957</v>
      </c>
      <c r="C8" s="11" t="s">
        <v>17</v>
      </c>
      <c r="D8" s="9" t="s">
        <v>173</v>
      </c>
      <c r="E8" s="14">
        <v>42037</v>
      </c>
      <c r="F8" s="30" t="s">
        <v>174</v>
      </c>
      <c r="G8" s="19">
        <v>1</v>
      </c>
      <c r="H8" s="92" t="s">
        <v>1956</v>
      </c>
      <c r="I8" s="2"/>
      <c r="J8" s="2"/>
      <c r="K8" s="1"/>
    </row>
    <row r="9" spans="1:11" ht="15" customHeight="1" x14ac:dyDescent="0.25">
      <c r="A9" s="17">
        <f t="shared" ref="A9:A32" si="0">A8+1</f>
        <v>3</v>
      </c>
      <c r="B9" s="10" t="s">
        <v>176</v>
      </c>
      <c r="C9" s="11" t="s">
        <v>84</v>
      </c>
      <c r="D9" s="9" t="s">
        <v>177</v>
      </c>
      <c r="E9" s="14">
        <v>42037</v>
      </c>
      <c r="F9" s="30" t="s">
        <v>36</v>
      </c>
      <c r="G9" s="19">
        <v>1</v>
      </c>
      <c r="H9" s="89"/>
      <c r="I9" s="2"/>
      <c r="J9" s="2"/>
      <c r="K9" s="1"/>
    </row>
    <row r="10" spans="1:11" ht="15" customHeight="1" x14ac:dyDescent="0.25">
      <c r="A10" s="17">
        <f t="shared" si="0"/>
        <v>4</v>
      </c>
      <c r="B10" s="15" t="s">
        <v>178</v>
      </c>
      <c r="C10" s="11">
        <v>30</v>
      </c>
      <c r="D10" s="9" t="s">
        <v>179</v>
      </c>
      <c r="E10" s="14">
        <v>42045</v>
      </c>
      <c r="F10" s="30" t="s">
        <v>36</v>
      </c>
      <c r="G10" s="19">
        <v>1</v>
      </c>
      <c r="H10" s="89"/>
      <c r="I10" s="2"/>
      <c r="J10" s="2"/>
      <c r="K10" s="1"/>
    </row>
    <row r="11" spans="1:11" ht="15" customHeight="1" x14ac:dyDescent="0.25">
      <c r="A11" s="17">
        <f t="shared" si="0"/>
        <v>5</v>
      </c>
      <c r="B11" s="15" t="s">
        <v>180</v>
      </c>
      <c r="C11" s="11" t="s">
        <v>17</v>
      </c>
      <c r="D11" s="9" t="s">
        <v>181</v>
      </c>
      <c r="E11" s="14">
        <v>42045</v>
      </c>
      <c r="F11" s="30" t="s">
        <v>182</v>
      </c>
      <c r="G11" s="19">
        <v>1</v>
      </c>
      <c r="H11" s="89"/>
      <c r="I11" s="2"/>
      <c r="J11" s="2"/>
      <c r="K11" s="1"/>
    </row>
    <row r="12" spans="1:11" ht="15" customHeight="1" x14ac:dyDescent="0.25">
      <c r="A12" s="17">
        <f t="shared" si="0"/>
        <v>6</v>
      </c>
      <c r="B12" s="15" t="s">
        <v>193</v>
      </c>
      <c r="C12" s="11" t="s">
        <v>17</v>
      </c>
      <c r="D12" s="9" t="s">
        <v>194</v>
      </c>
      <c r="E12" s="14">
        <v>42047</v>
      </c>
      <c r="F12" s="30" t="s">
        <v>36</v>
      </c>
      <c r="G12" s="19">
        <v>1</v>
      </c>
      <c r="H12" s="90"/>
      <c r="I12" s="2"/>
      <c r="J12" s="2"/>
      <c r="K12" s="1"/>
    </row>
    <row r="13" spans="1:11" ht="15" customHeight="1" x14ac:dyDescent="0.25">
      <c r="A13" s="17">
        <f t="shared" si="0"/>
        <v>7</v>
      </c>
      <c r="B13" s="15" t="s">
        <v>199</v>
      </c>
      <c r="C13" s="11" t="s">
        <v>17</v>
      </c>
      <c r="D13" s="9" t="s">
        <v>200</v>
      </c>
      <c r="E13" s="14">
        <v>42047</v>
      </c>
      <c r="F13" s="30" t="s">
        <v>36</v>
      </c>
      <c r="G13" s="19">
        <v>1</v>
      </c>
      <c r="H13" s="90"/>
      <c r="I13" s="2"/>
      <c r="J13" s="2"/>
      <c r="K13" s="1"/>
    </row>
    <row r="14" spans="1:11" ht="15" customHeight="1" x14ac:dyDescent="0.25">
      <c r="A14" s="17">
        <f t="shared" si="0"/>
        <v>8</v>
      </c>
      <c r="B14" s="15" t="s">
        <v>187</v>
      </c>
      <c r="C14" s="11" t="s">
        <v>17</v>
      </c>
      <c r="D14" s="9" t="s">
        <v>188</v>
      </c>
      <c r="E14" s="14">
        <v>42047</v>
      </c>
      <c r="F14" s="30" t="s">
        <v>36</v>
      </c>
      <c r="G14" s="12">
        <v>1</v>
      </c>
      <c r="H14" s="91"/>
      <c r="I14" s="2"/>
      <c r="J14" s="2"/>
      <c r="K14" s="1"/>
    </row>
    <row r="15" spans="1:11" ht="15" customHeight="1" x14ac:dyDescent="0.25">
      <c r="A15" s="17">
        <f t="shared" si="0"/>
        <v>9</v>
      </c>
      <c r="B15" s="14" t="s">
        <v>207</v>
      </c>
      <c r="C15" s="11" t="s">
        <v>17</v>
      </c>
      <c r="D15" s="9" t="s">
        <v>208</v>
      </c>
      <c r="E15" s="14">
        <v>42047</v>
      </c>
      <c r="F15" s="30" t="s">
        <v>36</v>
      </c>
      <c r="G15" s="12">
        <v>1</v>
      </c>
      <c r="H15" s="91"/>
      <c r="I15" s="2"/>
      <c r="J15" s="2"/>
      <c r="K15" s="1"/>
    </row>
    <row r="16" spans="1:11" ht="15" customHeight="1" x14ac:dyDescent="0.25">
      <c r="A16" s="17">
        <f t="shared" si="0"/>
        <v>10</v>
      </c>
      <c r="B16" s="14" t="s">
        <v>201</v>
      </c>
      <c r="C16" s="11" t="s">
        <v>17</v>
      </c>
      <c r="D16" s="9" t="s">
        <v>202</v>
      </c>
      <c r="E16" s="14">
        <v>42047</v>
      </c>
      <c r="F16" s="30" t="s">
        <v>36</v>
      </c>
      <c r="G16" s="12">
        <v>1</v>
      </c>
      <c r="H16" s="91"/>
      <c r="I16" s="2"/>
      <c r="J16" s="2"/>
      <c r="K16" s="1"/>
    </row>
    <row r="17" spans="1:10" ht="15" customHeight="1" x14ac:dyDescent="0.25">
      <c r="A17" s="17">
        <f t="shared" si="0"/>
        <v>11</v>
      </c>
      <c r="B17" s="15" t="s">
        <v>185</v>
      </c>
      <c r="C17" s="11" t="s">
        <v>17</v>
      </c>
      <c r="D17" s="9" t="s">
        <v>186</v>
      </c>
      <c r="E17" s="14">
        <v>42047</v>
      </c>
      <c r="F17" s="30" t="s">
        <v>36</v>
      </c>
      <c r="G17" s="12">
        <v>1</v>
      </c>
      <c r="H17" s="91"/>
      <c r="I17" s="2"/>
      <c r="J17" s="2"/>
    </row>
    <row r="18" spans="1:10" ht="15" customHeight="1" x14ac:dyDescent="0.25">
      <c r="A18" s="17">
        <f t="shared" si="0"/>
        <v>12</v>
      </c>
      <c r="B18" s="15" t="s">
        <v>189</v>
      </c>
      <c r="C18" s="11" t="s">
        <v>17</v>
      </c>
      <c r="D18" s="9" t="s">
        <v>190</v>
      </c>
      <c r="E18" s="14">
        <v>42047</v>
      </c>
      <c r="F18" s="30" t="s">
        <v>36</v>
      </c>
      <c r="G18" s="12">
        <v>1</v>
      </c>
      <c r="H18" s="91"/>
      <c r="I18" s="2"/>
      <c r="J18" s="2"/>
    </row>
    <row r="19" spans="1:10" ht="15" customHeight="1" x14ac:dyDescent="0.25">
      <c r="A19" s="17">
        <f t="shared" si="0"/>
        <v>13</v>
      </c>
      <c r="B19" s="15" t="s">
        <v>195</v>
      </c>
      <c r="C19" s="11" t="s">
        <v>17</v>
      </c>
      <c r="D19" s="9" t="s">
        <v>196</v>
      </c>
      <c r="E19" s="14">
        <v>42047</v>
      </c>
      <c r="F19" s="30" t="s">
        <v>36</v>
      </c>
      <c r="G19" s="12">
        <v>1</v>
      </c>
      <c r="H19" s="91"/>
      <c r="I19" s="2"/>
      <c r="J19" s="2"/>
    </row>
    <row r="20" spans="1:10" ht="15" customHeight="1" x14ac:dyDescent="0.25">
      <c r="A20" s="17">
        <f t="shared" si="0"/>
        <v>14</v>
      </c>
      <c r="B20" s="15" t="s">
        <v>191</v>
      </c>
      <c r="C20" s="11" t="s">
        <v>17</v>
      </c>
      <c r="D20" s="9" t="s">
        <v>192</v>
      </c>
      <c r="E20" s="14">
        <v>42047</v>
      </c>
      <c r="F20" s="30" t="s">
        <v>36</v>
      </c>
      <c r="G20" s="12">
        <v>1</v>
      </c>
      <c r="H20" s="91"/>
      <c r="I20" s="2"/>
      <c r="J20" s="2"/>
    </row>
    <row r="21" spans="1:10" ht="15" customHeight="1" x14ac:dyDescent="0.25">
      <c r="A21" s="17">
        <f t="shared" si="0"/>
        <v>15</v>
      </c>
      <c r="B21" s="15" t="s">
        <v>203</v>
      </c>
      <c r="C21" s="11" t="s">
        <v>17</v>
      </c>
      <c r="D21" s="9" t="s">
        <v>204</v>
      </c>
      <c r="E21" s="14">
        <v>42047</v>
      </c>
      <c r="F21" s="30" t="s">
        <v>36</v>
      </c>
      <c r="G21" s="12">
        <v>1</v>
      </c>
      <c r="H21" s="91"/>
      <c r="I21" s="2"/>
      <c r="J21" s="2"/>
    </row>
    <row r="22" spans="1:10" ht="15" customHeight="1" x14ac:dyDescent="0.25">
      <c r="A22" s="17">
        <f t="shared" si="0"/>
        <v>16</v>
      </c>
      <c r="B22" s="15" t="s">
        <v>197</v>
      </c>
      <c r="C22" s="11" t="s">
        <v>17</v>
      </c>
      <c r="D22" s="9" t="s">
        <v>198</v>
      </c>
      <c r="E22" s="14">
        <v>42047</v>
      </c>
      <c r="F22" s="30" t="s">
        <v>36</v>
      </c>
      <c r="G22" s="12">
        <v>1</v>
      </c>
      <c r="H22" s="91"/>
      <c r="I22" s="2"/>
      <c r="J22" s="2"/>
    </row>
    <row r="23" spans="1:10" ht="15" customHeight="1" x14ac:dyDescent="0.25">
      <c r="A23" s="17">
        <f t="shared" si="0"/>
        <v>17</v>
      </c>
      <c r="B23" s="15" t="s">
        <v>183</v>
      </c>
      <c r="C23" s="11" t="s">
        <v>17</v>
      </c>
      <c r="D23" s="9" t="s">
        <v>184</v>
      </c>
      <c r="E23" s="14">
        <v>42047</v>
      </c>
      <c r="F23" s="30" t="s">
        <v>36</v>
      </c>
      <c r="G23" s="12">
        <v>1</v>
      </c>
      <c r="H23" s="91"/>
      <c r="I23" s="2"/>
      <c r="J23" s="2"/>
    </row>
    <row r="24" spans="1:10" ht="15" customHeight="1" x14ac:dyDescent="0.25">
      <c r="A24" s="17">
        <f t="shared" si="0"/>
        <v>18</v>
      </c>
      <c r="B24" s="14" t="s">
        <v>205</v>
      </c>
      <c r="C24" s="11" t="s">
        <v>17</v>
      </c>
      <c r="D24" s="9" t="s">
        <v>206</v>
      </c>
      <c r="E24" s="14">
        <v>42047</v>
      </c>
      <c r="F24" s="30" t="s">
        <v>36</v>
      </c>
      <c r="G24" s="12">
        <v>1</v>
      </c>
      <c r="H24" s="91"/>
      <c r="I24" s="2"/>
      <c r="J24" s="2"/>
    </row>
    <row r="25" spans="1:10" ht="15" customHeight="1" x14ac:dyDescent="0.25">
      <c r="A25" s="17">
        <f t="shared" si="0"/>
        <v>19</v>
      </c>
      <c r="B25" s="14" t="s">
        <v>210</v>
      </c>
      <c r="C25" s="11" t="s">
        <v>17</v>
      </c>
      <c r="D25" s="9" t="s">
        <v>209</v>
      </c>
      <c r="E25" s="14">
        <v>42050</v>
      </c>
      <c r="F25" s="30" t="s">
        <v>182</v>
      </c>
      <c r="G25" s="12">
        <v>1</v>
      </c>
      <c r="H25" s="91"/>
      <c r="I25" s="2"/>
      <c r="J25" s="2"/>
    </row>
    <row r="26" spans="1:10" ht="15" customHeight="1" x14ac:dyDescent="0.25">
      <c r="A26" s="17">
        <f t="shared" si="0"/>
        <v>20</v>
      </c>
      <c r="B26" s="27" t="s">
        <v>1959</v>
      </c>
      <c r="C26" s="11" t="s">
        <v>17</v>
      </c>
      <c r="D26" s="9" t="s">
        <v>211</v>
      </c>
      <c r="E26" s="14">
        <v>42050</v>
      </c>
      <c r="F26" s="30" t="s">
        <v>212</v>
      </c>
      <c r="G26" s="12">
        <v>1</v>
      </c>
      <c r="H26" s="93" t="s">
        <v>2339</v>
      </c>
      <c r="I26" s="2"/>
      <c r="J26" s="2"/>
    </row>
    <row r="27" spans="1:10" ht="15" customHeight="1" x14ac:dyDescent="0.25">
      <c r="A27" s="17">
        <f t="shared" si="0"/>
        <v>21</v>
      </c>
      <c r="B27" s="14" t="s">
        <v>1958</v>
      </c>
      <c r="C27" s="11" t="s">
        <v>17</v>
      </c>
      <c r="D27" s="9" t="s">
        <v>213</v>
      </c>
      <c r="E27" s="10">
        <v>42050</v>
      </c>
      <c r="F27" s="30" t="s">
        <v>214</v>
      </c>
      <c r="G27" s="12">
        <v>1</v>
      </c>
      <c r="H27" s="93" t="s">
        <v>1960</v>
      </c>
      <c r="I27" s="2"/>
      <c r="J27" s="2"/>
    </row>
    <row r="28" spans="1:10" ht="15" customHeight="1" x14ac:dyDescent="0.25">
      <c r="A28" s="17">
        <f t="shared" si="0"/>
        <v>22</v>
      </c>
      <c r="B28" s="15" t="s">
        <v>1962</v>
      </c>
      <c r="C28" s="11" t="s">
        <v>17</v>
      </c>
      <c r="D28" s="9" t="s">
        <v>216</v>
      </c>
      <c r="E28" s="10">
        <v>42052</v>
      </c>
      <c r="F28" s="30" t="s">
        <v>215</v>
      </c>
      <c r="G28" s="12">
        <v>1</v>
      </c>
      <c r="H28" s="93" t="s">
        <v>1961</v>
      </c>
      <c r="I28" s="2"/>
      <c r="J28" s="2"/>
    </row>
    <row r="29" spans="1:10" ht="15" customHeight="1" x14ac:dyDescent="0.25">
      <c r="A29" s="17">
        <f t="shared" si="0"/>
        <v>23</v>
      </c>
      <c r="B29" s="14" t="s">
        <v>1963</v>
      </c>
      <c r="C29" s="11" t="s">
        <v>17</v>
      </c>
      <c r="D29" s="9" t="s">
        <v>217</v>
      </c>
      <c r="E29" s="14">
        <v>42059</v>
      </c>
      <c r="F29" s="30" t="s">
        <v>277</v>
      </c>
      <c r="G29" s="12">
        <v>1</v>
      </c>
      <c r="H29" s="93" t="s">
        <v>1964</v>
      </c>
      <c r="I29" s="2"/>
      <c r="J29" s="2"/>
    </row>
    <row r="30" spans="1:10" ht="15" customHeight="1" x14ac:dyDescent="0.25">
      <c r="A30" s="17">
        <f t="shared" si="0"/>
        <v>24</v>
      </c>
      <c r="B30" s="14" t="s">
        <v>222</v>
      </c>
      <c r="C30" s="11" t="s">
        <v>17</v>
      </c>
      <c r="D30" s="9" t="s">
        <v>223</v>
      </c>
      <c r="E30" s="14">
        <v>42061</v>
      </c>
      <c r="F30" s="30" t="s">
        <v>36</v>
      </c>
      <c r="G30" s="12">
        <v>1</v>
      </c>
      <c r="H30" s="91"/>
      <c r="I30" s="2"/>
      <c r="J30" s="2"/>
    </row>
    <row r="31" spans="1:10" ht="15" customHeight="1" x14ac:dyDescent="0.25">
      <c r="A31" s="17">
        <f t="shared" si="0"/>
        <v>25</v>
      </c>
      <c r="B31" s="14" t="s">
        <v>220</v>
      </c>
      <c r="C31" s="11" t="s">
        <v>17</v>
      </c>
      <c r="D31" s="9" t="s">
        <v>221</v>
      </c>
      <c r="E31" s="14">
        <v>42061</v>
      </c>
      <c r="F31" s="30" t="s">
        <v>36</v>
      </c>
      <c r="G31" s="12">
        <v>1</v>
      </c>
      <c r="H31" s="91"/>
      <c r="I31" s="2"/>
      <c r="J31" s="2"/>
    </row>
    <row r="32" spans="1:10" ht="15" customHeight="1" x14ac:dyDescent="0.25">
      <c r="A32" s="17">
        <f t="shared" si="0"/>
        <v>26</v>
      </c>
      <c r="B32" s="14" t="s">
        <v>218</v>
      </c>
      <c r="C32" s="11" t="s">
        <v>17</v>
      </c>
      <c r="D32" s="9" t="s">
        <v>219</v>
      </c>
      <c r="E32" s="14">
        <v>42061</v>
      </c>
      <c r="F32" s="30" t="s">
        <v>36</v>
      </c>
      <c r="G32" s="12">
        <v>1</v>
      </c>
      <c r="H32" s="91"/>
      <c r="I32" s="2"/>
      <c r="J32" s="2"/>
    </row>
    <row r="35" spans="5:5" x14ac:dyDescent="0.25">
      <c r="E35" t="s">
        <v>235</v>
      </c>
    </row>
  </sheetData>
  <sortState ref="B30:D32">
    <sortCondition ref="B30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orientation="portrait" horizontalDpi="36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opLeftCell="A46" workbookViewId="0">
      <selection activeCell="B31" sqref="B31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6" max="6" width="19" customWidth="1"/>
    <col min="7" max="7" width="3.28515625" hidden="1" customWidth="1"/>
    <col min="8" max="8" width="17.85546875" bestFit="1" customWidth="1"/>
  </cols>
  <sheetData>
    <row r="1" spans="1:11" ht="18" x14ac:dyDescent="0.25">
      <c r="A1" s="102" t="s">
        <v>0</v>
      </c>
      <c r="B1" s="102"/>
      <c r="C1" s="10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106" t="s">
        <v>2</v>
      </c>
      <c r="B2" s="106"/>
      <c r="C2" s="106"/>
      <c r="D2" s="6"/>
      <c r="E2" s="5" t="s">
        <v>3</v>
      </c>
      <c r="F2" s="5"/>
      <c r="G2" s="4"/>
      <c r="H2" s="4"/>
      <c r="I2" s="103" t="s">
        <v>4</v>
      </c>
      <c r="J2" s="104"/>
      <c r="K2" s="22">
        <f>SUMIF(F7:F48,"Elimination*",G7:G48)</f>
        <v>10</v>
      </c>
    </row>
    <row r="3" spans="1:11" x14ac:dyDescent="0.25">
      <c r="A3" s="107" t="s">
        <v>5</v>
      </c>
      <c r="B3" s="107"/>
      <c r="C3" s="107"/>
      <c r="D3" s="5"/>
      <c r="E3" s="4" t="s">
        <v>6</v>
      </c>
      <c r="F3" s="4"/>
      <c r="G3" s="4"/>
      <c r="H3" s="4"/>
      <c r="I3" s="103" t="s">
        <v>7</v>
      </c>
      <c r="J3" s="104"/>
      <c r="K3" s="22">
        <f>SUMIF(F7:F48,"NB*",G7:G48)</f>
        <v>30</v>
      </c>
    </row>
    <row r="4" spans="1:11" ht="18" x14ac:dyDescent="0.25">
      <c r="A4" s="102" t="s">
        <v>8</v>
      </c>
      <c r="B4" s="102"/>
      <c r="C4" s="102"/>
      <c r="D4" s="102"/>
      <c r="E4" s="102"/>
      <c r="F4" s="102"/>
      <c r="G4" s="4"/>
      <c r="H4" s="4"/>
      <c r="I4" s="103" t="s">
        <v>9</v>
      </c>
      <c r="J4" s="104"/>
      <c r="K4" s="22">
        <f>SUMIF(F7:F48,"Ve*",G7:G48)</f>
        <v>2</v>
      </c>
    </row>
    <row r="5" spans="1:11" ht="15.75" x14ac:dyDescent="0.25">
      <c r="A5" s="105" t="s">
        <v>226</v>
      </c>
      <c r="B5" s="105"/>
      <c r="C5" s="105"/>
      <c r="D5" s="105"/>
      <c r="E5" s="105"/>
      <c r="F5" s="105"/>
      <c r="G5" s="24"/>
      <c r="H5" s="24"/>
      <c r="I5" s="103" t="s">
        <v>10</v>
      </c>
      <c r="J5" s="104"/>
      <c r="K5" s="26">
        <f>SUM(K2:K4)</f>
        <v>42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4" t="s">
        <v>224</v>
      </c>
      <c r="C7" s="11" t="s">
        <v>17</v>
      </c>
      <c r="D7" s="54" t="s">
        <v>225</v>
      </c>
      <c r="E7" s="14">
        <v>42064</v>
      </c>
      <c r="F7" s="30" t="s">
        <v>36</v>
      </c>
      <c r="G7" s="19">
        <v>1</v>
      </c>
      <c r="H7" s="18"/>
      <c r="I7" s="18"/>
      <c r="J7" s="18"/>
      <c r="K7" s="1"/>
    </row>
    <row r="8" spans="1:11" ht="15" customHeight="1" x14ac:dyDescent="0.25">
      <c r="A8" s="17">
        <f>A7+1</f>
        <v>2</v>
      </c>
      <c r="B8" s="14" t="s">
        <v>1965</v>
      </c>
      <c r="C8" s="11" t="s">
        <v>17</v>
      </c>
      <c r="D8" s="54" t="s">
        <v>227</v>
      </c>
      <c r="E8" s="14">
        <v>42065</v>
      </c>
      <c r="F8" s="30" t="s">
        <v>228</v>
      </c>
      <c r="G8" s="19">
        <v>1</v>
      </c>
      <c r="H8" s="60" t="s">
        <v>1966</v>
      </c>
      <c r="I8" s="2"/>
      <c r="J8" s="2"/>
      <c r="K8" s="1"/>
    </row>
    <row r="9" spans="1:11" ht="15" customHeight="1" x14ac:dyDescent="0.25">
      <c r="A9" s="17">
        <f t="shared" ref="A9:A36" si="0">A8+1</f>
        <v>3</v>
      </c>
      <c r="B9" s="10" t="s">
        <v>2340</v>
      </c>
      <c r="C9" s="11" t="s">
        <v>17</v>
      </c>
      <c r="D9" s="54" t="s">
        <v>229</v>
      </c>
      <c r="E9" s="14">
        <v>42065</v>
      </c>
      <c r="F9" s="30" t="s">
        <v>230</v>
      </c>
      <c r="G9" s="19">
        <v>1</v>
      </c>
      <c r="H9" s="60" t="s">
        <v>1967</v>
      </c>
      <c r="I9" s="2"/>
      <c r="J9" s="2"/>
      <c r="K9" s="1"/>
    </row>
    <row r="10" spans="1:11" ht="15" customHeight="1" x14ac:dyDescent="0.25">
      <c r="A10" s="17">
        <f t="shared" si="0"/>
        <v>4</v>
      </c>
      <c r="B10" s="15" t="s">
        <v>233</v>
      </c>
      <c r="C10" s="11" t="s">
        <v>17</v>
      </c>
      <c r="D10" s="54" t="s">
        <v>231</v>
      </c>
      <c r="E10" s="14">
        <v>42066</v>
      </c>
      <c r="F10" s="30" t="s">
        <v>36</v>
      </c>
      <c r="G10" s="19">
        <v>1</v>
      </c>
      <c r="H10" s="25"/>
      <c r="I10" s="2"/>
      <c r="J10" s="2"/>
      <c r="K10" s="1"/>
    </row>
    <row r="11" spans="1:11" ht="15" customHeight="1" x14ac:dyDescent="0.25">
      <c r="A11" s="17">
        <f t="shared" si="0"/>
        <v>5</v>
      </c>
      <c r="B11" s="15" t="s">
        <v>234</v>
      </c>
      <c r="C11" s="11" t="s">
        <v>17</v>
      </c>
      <c r="D11" s="54" t="s">
        <v>232</v>
      </c>
      <c r="E11" s="14">
        <v>42066</v>
      </c>
      <c r="F11" s="30" t="s">
        <v>36</v>
      </c>
      <c r="G11" s="19">
        <v>1</v>
      </c>
      <c r="H11" s="25"/>
      <c r="I11" s="2"/>
      <c r="J11" s="2"/>
      <c r="K11" s="1"/>
    </row>
    <row r="12" spans="1:11" ht="15" customHeight="1" x14ac:dyDescent="0.25">
      <c r="A12" s="17">
        <f t="shared" si="0"/>
        <v>6</v>
      </c>
      <c r="B12" s="15" t="s">
        <v>1968</v>
      </c>
      <c r="C12" s="11" t="s">
        <v>17</v>
      </c>
      <c r="D12" s="54" t="s">
        <v>236</v>
      </c>
      <c r="E12" s="14">
        <v>42067</v>
      </c>
      <c r="F12" s="30" t="s">
        <v>237</v>
      </c>
      <c r="G12" s="19">
        <v>1</v>
      </c>
      <c r="H12" s="2" t="s">
        <v>1969</v>
      </c>
      <c r="I12" s="2"/>
      <c r="J12" s="2"/>
      <c r="K12" s="1"/>
    </row>
    <row r="13" spans="1:11" ht="15" customHeight="1" x14ac:dyDescent="0.25">
      <c r="A13" s="17">
        <f t="shared" si="0"/>
        <v>7</v>
      </c>
      <c r="B13" s="15" t="s">
        <v>239</v>
      </c>
      <c r="C13" s="11" t="s">
        <v>17</v>
      </c>
      <c r="D13" s="54" t="s">
        <v>238</v>
      </c>
      <c r="E13" s="14">
        <v>42068</v>
      </c>
      <c r="F13" s="30" t="s">
        <v>36</v>
      </c>
      <c r="G13" s="19">
        <v>1</v>
      </c>
      <c r="H13" s="2"/>
      <c r="I13" s="2"/>
      <c r="J13" s="2"/>
      <c r="K13" s="1"/>
    </row>
    <row r="14" spans="1:11" ht="15" customHeight="1" x14ac:dyDescent="0.25">
      <c r="A14" s="17">
        <f t="shared" si="0"/>
        <v>8</v>
      </c>
      <c r="B14" s="15" t="s">
        <v>241</v>
      </c>
      <c r="C14" s="11" t="s">
        <v>17</v>
      </c>
      <c r="D14" s="54" t="s">
        <v>240</v>
      </c>
      <c r="E14" s="14">
        <v>42074</v>
      </c>
      <c r="F14" s="30" t="s">
        <v>99</v>
      </c>
      <c r="G14" s="12">
        <v>1</v>
      </c>
      <c r="H14" s="13"/>
      <c r="I14" s="2"/>
      <c r="J14" s="2"/>
      <c r="K14" s="1"/>
    </row>
    <row r="15" spans="1:11" ht="15" customHeight="1" x14ac:dyDescent="0.25">
      <c r="A15" s="17">
        <f t="shared" si="0"/>
        <v>9</v>
      </c>
      <c r="B15" s="14" t="s">
        <v>247</v>
      </c>
      <c r="C15" s="11" t="s">
        <v>17</v>
      </c>
      <c r="D15" s="54" t="s">
        <v>248</v>
      </c>
      <c r="E15" s="14">
        <v>42074</v>
      </c>
      <c r="F15" s="30" t="s">
        <v>36</v>
      </c>
      <c r="G15" s="12">
        <v>1</v>
      </c>
      <c r="H15" s="13"/>
      <c r="I15" s="2"/>
      <c r="J15" s="2"/>
      <c r="K15" s="1"/>
    </row>
    <row r="16" spans="1:11" ht="15" customHeight="1" x14ac:dyDescent="0.25">
      <c r="A16" s="17">
        <f t="shared" si="0"/>
        <v>10</v>
      </c>
      <c r="B16" s="15" t="s">
        <v>1970</v>
      </c>
      <c r="C16" s="11" t="s">
        <v>17</v>
      </c>
      <c r="D16" s="54" t="s">
        <v>246</v>
      </c>
      <c r="E16" s="14">
        <v>42075</v>
      </c>
      <c r="F16" s="30" t="s">
        <v>269</v>
      </c>
      <c r="G16" s="12">
        <v>1</v>
      </c>
      <c r="H16" s="94" t="s">
        <v>1971</v>
      </c>
      <c r="I16" s="2"/>
      <c r="J16" s="2"/>
      <c r="K16" s="1"/>
    </row>
    <row r="17" spans="1:11" ht="15" customHeight="1" x14ac:dyDescent="0.25">
      <c r="A17" s="17">
        <f t="shared" si="0"/>
        <v>11</v>
      </c>
      <c r="B17" s="14" t="s">
        <v>245</v>
      </c>
      <c r="C17" s="11" t="s">
        <v>17</v>
      </c>
      <c r="D17" s="54" t="s">
        <v>242</v>
      </c>
      <c r="E17" s="14">
        <v>42075</v>
      </c>
      <c r="F17" s="30" t="s">
        <v>36</v>
      </c>
      <c r="G17" s="12">
        <v>1</v>
      </c>
      <c r="H17" s="13"/>
      <c r="I17" s="2"/>
      <c r="J17" s="2"/>
      <c r="K17" s="1"/>
    </row>
    <row r="18" spans="1:11" ht="15" customHeight="1" x14ac:dyDescent="0.25">
      <c r="A18" s="17">
        <f t="shared" si="0"/>
        <v>12</v>
      </c>
      <c r="B18" s="14" t="s">
        <v>244</v>
      </c>
      <c r="C18" s="11" t="s">
        <v>17</v>
      </c>
      <c r="D18" s="54" t="s">
        <v>243</v>
      </c>
      <c r="E18" s="14">
        <v>42075</v>
      </c>
      <c r="F18" s="30" t="s">
        <v>36</v>
      </c>
      <c r="G18" s="12">
        <v>1</v>
      </c>
      <c r="H18" s="13"/>
      <c r="I18" s="2"/>
      <c r="J18" s="2"/>
    </row>
    <row r="19" spans="1:11" ht="15" customHeight="1" x14ac:dyDescent="0.25">
      <c r="A19" s="17">
        <f t="shared" si="0"/>
        <v>13</v>
      </c>
      <c r="B19" s="15" t="s">
        <v>1972</v>
      </c>
      <c r="C19" s="11" t="s">
        <v>17</v>
      </c>
      <c r="D19" s="54" t="s">
        <v>249</v>
      </c>
      <c r="E19" s="14">
        <v>42077</v>
      </c>
      <c r="F19" s="30" t="s">
        <v>259</v>
      </c>
      <c r="G19" s="12">
        <v>1</v>
      </c>
      <c r="H19" s="94" t="s">
        <v>1973</v>
      </c>
      <c r="I19" s="2"/>
      <c r="J19" s="2"/>
    </row>
    <row r="20" spans="1:11" ht="15" customHeight="1" x14ac:dyDescent="0.25">
      <c r="A20" s="17">
        <f t="shared" si="0"/>
        <v>14</v>
      </c>
      <c r="B20" s="15" t="s">
        <v>1974</v>
      </c>
      <c r="C20" s="11" t="s">
        <v>17</v>
      </c>
      <c r="D20" s="54" t="s">
        <v>250</v>
      </c>
      <c r="E20" s="14">
        <v>42077</v>
      </c>
      <c r="F20" s="30" t="s">
        <v>260</v>
      </c>
      <c r="G20" s="12">
        <v>1</v>
      </c>
      <c r="H20" s="94" t="s">
        <v>1975</v>
      </c>
      <c r="I20" s="2"/>
      <c r="J20" s="2"/>
    </row>
    <row r="21" spans="1:11" ht="15" customHeight="1" x14ac:dyDescent="0.25">
      <c r="A21" s="17">
        <f t="shared" si="0"/>
        <v>15</v>
      </c>
      <c r="B21" s="15" t="s">
        <v>1976</v>
      </c>
      <c r="C21" s="11" t="s">
        <v>17</v>
      </c>
      <c r="D21" s="54" t="s">
        <v>251</v>
      </c>
      <c r="E21" s="14">
        <v>42077</v>
      </c>
      <c r="F21" s="30" t="s">
        <v>261</v>
      </c>
      <c r="G21" s="12">
        <v>1</v>
      </c>
      <c r="H21" s="94" t="s">
        <v>1977</v>
      </c>
      <c r="I21" s="2"/>
      <c r="J21" s="2"/>
    </row>
    <row r="22" spans="1:11" ht="15" customHeight="1" x14ac:dyDescent="0.25">
      <c r="A22" s="17">
        <f t="shared" si="0"/>
        <v>16</v>
      </c>
      <c r="B22" s="15" t="s">
        <v>1978</v>
      </c>
      <c r="C22" s="11" t="s">
        <v>17</v>
      </c>
      <c r="D22" s="54" t="s">
        <v>252</v>
      </c>
      <c r="E22" s="14">
        <v>42077</v>
      </c>
      <c r="F22" s="30" t="s">
        <v>262</v>
      </c>
      <c r="G22" s="12">
        <v>1</v>
      </c>
      <c r="H22" s="94" t="s">
        <v>1979</v>
      </c>
      <c r="I22" s="2"/>
      <c r="J22" s="2"/>
    </row>
    <row r="23" spans="1:11" ht="15" customHeight="1" x14ac:dyDescent="0.25">
      <c r="A23" s="17">
        <f t="shared" si="0"/>
        <v>17</v>
      </c>
      <c r="B23" s="15" t="s">
        <v>1980</v>
      </c>
      <c r="C23" s="11" t="s">
        <v>17</v>
      </c>
      <c r="D23" s="54" t="s">
        <v>253</v>
      </c>
      <c r="E23" s="14">
        <v>42077</v>
      </c>
      <c r="F23" s="30" t="s">
        <v>263</v>
      </c>
      <c r="G23" s="12">
        <v>1</v>
      </c>
      <c r="H23" s="94" t="s">
        <v>1981</v>
      </c>
      <c r="I23" s="2"/>
      <c r="J23" s="2"/>
    </row>
    <row r="24" spans="1:11" ht="15" customHeight="1" x14ac:dyDescent="0.25">
      <c r="A24" s="17">
        <f t="shared" si="0"/>
        <v>18</v>
      </c>
      <c r="B24" s="15" t="s">
        <v>1982</v>
      </c>
      <c r="C24" s="11" t="s">
        <v>17</v>
      </c>
      <c r="D24" s="54" t="s">
        <v>254</v>
      </c>
      <c r="E24" s="14">
        <v>42077</v>
      </c>
      <c r="F24" s="30" t="s">
        <v>264</v>
      </c>
      <c r="G24" s="12">
        <v>1</v>
      </c>
      <c r="H24" s="94" t="s">
        <v>1983</v>
      </c>
      <c r="I24" s="2"/>
      <c r="J24" s="2"/>
    </row>
    <row r="25" spans="1:11" ht="15" customHeight="1" x14ac:dyDescent="0.25">
      <c r="A25" s="17">
        <f t="shared" si="0"/>
        <v>19</v>
      </c>
      <c r="B25" s="15" t="s">
        <v>1984</v>
      </c>
      <c r="C25" s="11" t="s">
        <v>17</v>
      </c>
      <c r="D25" s="54" t="s">
        <v>255</v>
      </c>
      <c r="E25" s="14">
        <v>42077</v>
      </c>
      <c r="F25" s="30" t="s">
        <v>265</v>
      </c>
      <c r="G25" s="12">
        <v>1</v>
      </c>
      <c r="H25" s="94" t="s">
        <v>1985</v>
      </c>
      <c r="I25" s="2"/>
      <c r="J25" s="2"/>
    </row>
    <row r="26" spans="1:11" ht="15" customHeight="1" x14ac:dyDescent="0.25">
      <c r="A26" s="17">
        <f t="shared" si="0"/>
        <v>20</v>
      </c>
      <c r="B26" s="15" t="s">
        <v>1986</v>
      </c>
      <c r="C26" s="11" t="s">
        <v>17</v>
      </c>
      <c r="D26" s="54" t="s">
        <v>256</v>
      </c>
      <c r="E26" s="14">
        <v>42077</v>
      </c>
      <c r="F26" s="30" t="s">
        <v>266</v>
      </c>
      <c r="G26" s="12">
        <v>1</v>
      </c>
      <c r="H26" s="94" t="s">
        <v>1987</v>
      </c>
      <c r="I26" s="2"/>
      <c r="J26" s="2"/>
    </row>
    <row r="27" spans="1:11" ht="15" customHeight="1" x14ac:dyDescent="0.25">
      <c r="A27" s="17">
        <f t="shared" si="0"/>
        <v>21</v>
      </c>
      <c r="B27" s="15" t="s">
        <v>1988</v>
      </c>
      <c r="C27" s="11" t="s">
        <v>17</v>
      </c>
      <c r="D27" s="54" t="s">
        <v>257</v>
      </c>
      <c r="E27" s="14">
        <v>42077</v>
      </c>
      <c r="F27" s="30" t="s">
        <v>267</v>
      </c>
      <c r="G27" s="12">
        <v>1</v>
      </c>
      <c r="H27" s="94" t="s">
        <v>1989</v>
      </c>
      <c r="I27" s="2"/>
      <c r="J27" s="2"/>
    </row>
    <row r="28" spans="1:11" ht="15" customHeight="1" x14ac:dyDescent="0.25">
      <c r="A28" s="17">
        <f t="shared" si="0"/>
        <v>22</v>
      </c>
      <c r="B28" s="15" t="s">
        <v>1990</v>
      </c>
      <c r="C28" s="11" t="s">
        <v>17</v>
      </c>
      <c r="D28" s="54" t="s">
        <v>258</v>
      </c>
      <c r="E28" s="14">
        <v>42077</v>
      </c>
      <c r="F28" s="30" t="s">
        <v>268</v>
      </c>
      <c r="G28" s="12">
        <v>1</v>
      </c>
      <c r="H28" s="95" t="s">
        <v>1991</v>
      </c>
    </row>
    <row r="29" spans="1:11" ht="15" customHeight="1" x14ac:dyDescent="0.25">
      <c r="A29" s="17">
        <f t="shared" si="0"/>
        <v>23</v>
      </c>
      <c r="B29" s="14" t="s">
        <v>271</v>
      </c>
      <c r="C29" s="15" t="s">
        <v>17</v>
      </c>
      <c r="D29" s="54" t="s">
        <v>270</v>
      </c>
      <c r="E29" s="14">
        <v>42079</v>
      </c>
      <c r="F29" s="55" t="s">
        <v>36</v>
      </c>
      <c r="G29" s="56">
        <v>1</v>
      </c>
      <c r="H29" s="57"/>
    </row>
    <row r="30" spans="1:11" ht="15" customHeight="1" x14ac:dyDescent="0.25">
      <c r="A30" s="17">
        <f t="shared" si="0"/>
        <v>24</v>
      </c>
      <c r="B30" s="21" t="s">
        <v>1992</v>
      </c>
      <c r="C30" s="21" t="s">
        <v>17</v>
      </c>
      <c r="D30" s="54" t="s">
        <v>274</v>
      </c>
      <c r="E30" s="14">
        <v>42082</v>
      </c>
      <c r="F30" s="32" t="s">
        <v>278</v>
      </c>
      <c r="G30" s="56">
        <v>1</v>
      </c>
      <c r="H30" s="57" t="s">
        <v>1993</v>
      </c>
    </row>
    <row r="31" spans="1:11" ht="15" customHeight="1" x14ac:dyDescent="0.25">
      <c r="A31" s="17">
        <f t="shared" si="0"/>
        <v>25</v>
      </c>
      <c r="B31" s="21" t="s">
        <v>1994</v>
      </c>
      <c r="C31" s="21" t="s">
        <v>17</v>
      </c>
      <c r="D31" s="54" t="s">
        <v>272</v>
      </c>
      <c r="E31" s="14">
        <v>42085</v>
      </c>
      <c r="F31" s="32" t="s">
        <v>273</v>
      </c>
      <c r="G31" s="56">
        <v>1</v>
      </c>
      <c r="H31" s="57" t="s">
        <v>1995</v>
      </c>
    </row>
    <row r="32" spans="1:11" ht="15" customHeight="1" x14ac:dyDescent="0.25">
      <c r="A32" s="17">
        <f t="shared" si="0"/>
        <v>26</v>
      </c>
      <c r="B32" s="20" t="s">
        <v>1996</v>
      </c>
      <c r="C32" s="20" t="s">
        <v>17</v>
      </c>
      <c r="D32" s="29" t="s">
        <v>275</v>
      </c>
      <c r="E32" s="23">
        <v>42088</v>
      </c>
      <c r="F32" s="31" t="s">
        <v>276</v>
      </c>
      <c r="G32" s="56">
        <v>1</v>
      </c>
      <c r="H32" s="57" t="s">
        <v>1997</v>
      </c>
    </row>
    <row r="33" spans="1:8" ht="15" customHeight="1" x14ac:dyDescent="0.25">
      <c r="A33" s="17">
        <f t="shared" si="0"/>
        <v>27</v>
      </c>
      <c r="B33" s="20" t="s">
        <v>404</v>
      </c>
      <c r="C33" s="20" t="s">
        <v>17</v>
      </c>
      <c r="D33" s="29" t="s">
        <v>279</v>
      </c>
      <c r="E33" s="23">
        <v>42088</v>
      </c>
      <c r="F33" s="31" t="s">
        <v>99</v>
      </c>
      <c r="G33" s="56">
        <v>1</v>
      </c>
      <c r="H33" s="57"/>
    </row>
    <row r="34" spans="1:8" ht="15" customHeight="1" x14ac:dyDescent="0.25">
      <c r="A34" s="17">
        <f t="shared" si="0"/>
        <v>28</v>
      </c>
      <c r="B34" s="20" t="s">
        <v>1998</v>
      </c>
      <c r="C34" s="20" t="s">
        <v>17</v>
      </c>
      <c r="D34" s="28" t="s">
        <v>280</v>
      </c>
      <c r="E34" s="23">
        <v>42088</v>
      </c>
      <c r="F34" s="31" t="s">
        <v>54</v>
      </c>
      <c r="G34" s="56">
        <v>1</v>
      </c>
      <c r="H34" s="57" t="s">
        <v>1999</v>
      </c>
    </row>
    <row r="35" spans="1:8" ht="15" customHeight="1" x14ac:dyDescent="0.25">
      <c r="A35" s="17">
        <f t="shared" si="0"/>
        <v>29</v>
      </c>
      <c r="B35" s="20" t="s">
        <v>2000</v>
      </c>
      <c r="C35" s="20" t="s">
        <v>17</v>
      </c>
      <c r="D35" s="28" t="s">
        <v>281</v>
      </c>
      <c r="E35" s="23">
        <v>42088</v>
      </c>
      <c r="F35" s="31" t="s">
        <v>282</v>
      </c>
      <c r="G35" s="56">
        <v>1</v>
      </c>
      <c r="H35" s="57" t="s">
        <v>2001</v>
      </c>
    </row>
    <row r="36" spans="1:8" x14ac:dyDescent="0.25">
      <c r="A36" s="17">
        <f t="shared" si="0"/>
        <v>30</v>
      </c>
      <c r="B36" s="20" t="s">
        <v>2002</v>
      </c>
      <c r="C36" s="20" t="s">
        <v>17</v>
      </c>
      <c r="D36" s="28" t="s">
        <v>283</v>
      </c>
      <c r="E36" s="23">
        <v>42092</v>
      </c>
      <c r="F36" s="31" t="s">
        <v>292</v>
      </c>
      <c r="G36" s="56">
        <v>1</v>
      </c>
      <c r="H36" s="57" t="s">
        <v>2003</v>
      </c>
    </row>
    <row r="37" spans="1:8" x14ac:dyDescent="0.25">
      <c r="A37" s="17">
        <f t="shared" ref="A37:A48" si="1">A36+1</f>
        <v>31</v>
      </c>
      <c r="B37" s="20" t="s">
        <v>2004</v>
      </c>
      <c r="C37" s="20" t="s">
        <v>17</v>
      </c>
      <c r="D37" s="28" t="s">
        <v>284</v>
      </c>
      <c r="E37" s="23">
        <v>42092</v>
      </c>
      <c r="F37" s="31" t="s">
        <v>293</v>
      </c>
      <c r="G37" s="56">
        <v>1</v>
      </c>
      <c r="H37" s="57" t="s">
        <v>2005</v>
      </c>
    </row>
    <row r="38" spans="1:8" x14ac:dyDescent="0.25">
      <c r="A38" s="17">
        <f t="shared" si="1"/>
        <v>32</v>
      </c>
      <c r="B38" s="20" t="s">
        <v>2006</v>
      </c>
      <c r="C38" s="20" t="s">
        <v>17</v>
      </c>
      <c r="D38" s="28" t="s">
        <v>285</v>
      </c>
      <c r="E38" s="23">
        <v>42092</v>
      </c>
      <c r="F38" s="31" t="s">
        <v>294</v>
      </c>
      <c r="G38" s="56">
        <v>1</v>
      </c>
      <c r="H38" s="57" t="s">
        <v>2007</v>
      </c>
    </row>
    <row r="39" spans="1:8" x14ac:dyDescent="0.25">
      <c r="A39" s="17">
        <f t="shared" si="1"/>
        <v>33</v>
      </c>
      <c r="B39" s="20" t="s">
        <v>2008</v>
      </c>
      <c r="C39" s="20" t="s">
        <v>17</v>
      </c>
      <c r="D39" s="28" t="s">
        <v>286</v>
      </c>
      <c r="E39" s="23">
        <v>42092</v>
      </c>
      <c r="F39" s="31" t="s">
        <v>295</v>
      </c>
      <c r="G39" s="56">
        <v>1</v>
      </c>
      <c r="H39" s="57" t="s">
        <v>2009</v>
      </c>
    </row>
    <row r="40" spans="1:8" x14ac:dyDescent="0.25">
      <c r="A40" s="17">
        <f t="shared" si="1"/>
        <v>34</v>
      </c>
      <c r="B40" s="20" t="s">
        <v>2010</v>
      </c>
      <c r="C40" s="20" t="s">
        <v>17</v>
      </c>
      <c r="D40" s="28" t="s">
        <v>287</v>
      </c>
      <c r="E40" s="23">
        <v>42092</v>
      </c>
      <c r="F40" s="31" t="s">
        <v>54</v>
      </c>
      <c r="G40" s="56">
        <v>1</v>
      </c>
      <c r="H40" s="57" t="s">
        <v>2011</v>
      </c>
    </row>
    <row r="41" spans="1:8" x14ac:dyDescent="0.25">
      <c r="A41" s="17">
        <f t="shared" si="1"/>
        <v>35</v>
      </c>
      <c r="B41" s="20" t="s">
        <v>2012</v>
      </c>
      <c r="C41" s="20" t="s">
        <v>17</v>
      </c>
      <c r="D41" s="28" t="s">
        <v>288</v>
      </c>
      <c r="E41" s="23">
        <v>42092</v>
      </c>
      <c r="F41" s="31" t="s">
        <v>296</v>
      </c>
      <c r="G41" s="56">
        <v>1</v>
      </c>
      <c r="H41" s="57" t="s">
        <v>2013</v>
      </c>
    </row>
    <row r="42" spans="1:8" x14ac:dyDescent="0.25">
      <c r="A42" s="17">
        <f t="shared" si="1"/>
        <v>36</v>
      </c>
      <c r="B42" s="20" t="s">
        <v>2014</v>
      </c>
      <c r="C42" s="20" t="s">
        <v>17</v>
      </c>
      <c r="D42" s="28" t="s">
        <v>289</v>
      </c>
      <c r="E42" s="23">
        <v>42092</v>
      </c>
      <c r="F42" s="31" t="s">
        <v>297</v>
      </c>
      <c r="G42" s="56">
        <v>1</v>
      </c>
      <c r="H42" s="57" t="s">
        <v>2015</v>
      </c>
    </row>
    <row r="43" spans="1:8" x14ac:dyDescent="0.25">
      <c r="A43" s="17">
        <f t="shared" si="1"/>
        <v>37</v>
      </c>
      <c r="B43" s="20" t="s">
        <v>2016</v>
      </c>
      <c r="C43" s="20" t="s">
        <v>17</v>
      </c>
      <c r="D43" s="28" t="s">
        <v>290</v>
      </c>
      <c r="E43" s="23">
        <v>42092</v>
      </c>
      <c r="F43" s="31" t="s">
        <v>298</v>
      </c>
      <c r="G43" s="56">
        <v>1</v>
      </c>
      <c r="H43" s="57" t="s">
        <v>2017</v>
      </c>
    </row>
    <row r="44" spans="1:8" x14ac:dyDescent="0.25">
      <c r="A44" s="17">
        <f t="shared" si="1"/>
        <v>38</v>
      </c>
      <c r="B44" s="20" t="s">
        <v>2018</v>
      </c>
      <c r="C44" s="20" t="s">
        <v>17</v>
      </c>
      <c r="D44" s="28" t="s">
        <v>291</v>
      </c>
      <c r="E44" s="23">
        <v>42092</v>
      </c>
      <c r="F44" s="31" t="s">
        <v>299</v>
      </c>
      <c r="G44" s="56">
        <v>1</v>
      </c>
      <c r="H44" s="57" t="s">
        <v>2019</v>
      </c>
    </row>
    <row r="45" spans="1:8" x14ac:dyDescent="0.25">
      <c r="A45" s="17">
        <f t="shared" si="1"/>
        <v>39</v>
      </c>
      <c r="B45" s="20" t="s">
        <v>2020</v>
      </c>
      <c r="C45" s="20" t="s">
        <v>17</v>
      </c>
      <c r="D45" s="28" t="s">
        <v>300</v>
      </c>
      <c r="E45" s="23">
        <v>42092</v>
      </c>
      <c r="F45" s="31" t="s">
        <v>301</v>
      </c>
      <c r="G45" s="56">
        <v>1</v>
      </c>
      <c r="H45" s="57" t="s">
        <v>2021</v>
      </c>
    </row>
    <row r="46" spans="1:8" x14ac:dyDescent="0.25">
      <c r="A46" s="17">
        <f t="shared" si="1"/>
        <v>40</v>
      </c>
      <c r="B46" s="20" t="s">
        <v>2022</v>
      </c>
      <c r="C46" s="20" t="s">
        <v>17</v>
      </c>
      <c r="D46" s="28" t="s">
        <v>302</v>
      </c>
      <c r="E46" s="23">
        <v>42092</v>
      </c>
      <c r="F46" s="31" t="s">
        <v>303</v>
      </c>
      <c r="G46" s="56">
        <v>1</v>
      </c>
      <c r="H46" s="57" t="s">
        <v>2023</v>
      </c>
    </row>
    <row r="47" spans="1:8" ht="15" customHeight="1" x14ac:dyDescent="0.25">
      <c r="A47" s="17">
        <f t="shared" si="1"/>
        <v>41</v>
      </c>
      <c r="B47" s="20" t="s">
        <v>304</v>
      </c>
      <c r="C47" s="20" t="s">
        <v>17</v>
      </c>
      <c r="D47" s="28" t="s">
        <v>305</v>
      </c>
      <c r="E47" s="23">
        <v>42092</v>
      </c>
      <c r="F47" s="58" t="s">
        <v>36</v>
      </c>
      <c r="G47" s="56">
        <v>1</v>
      </c>
      <c r="H47" s="57"/>
    </row>
    <row r="48" spans="1:8" ht="15" customHeight="1" x14ac:dyDescent="0.25">
      <c r="A48" s="17">
        <f t="shared" si="1"/>
        <v>42</v>
      </c>
      <c r="B48" s="20" t="s">
        <v>306</v>
      </c>
      <c r="C48" s="20" t="s">
        <v>17</v>
      </c>
      <c r="D48" s="28" t="s">
        <v>307</v>
      </c>
      <c r="E48" s="23">
        <v>42092</v>
      </c>
      <c r="F48" s="58" t="s">
        <v>36</v>
      </c>
      <c r="G48" s="56">
        <v>1</v>
      </c>
      <c r="H48" s="57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orientation="portrait" horizontalDpi="36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6"/>
  <sheetViews>
    <sheetView workbookViewId="0">
      <selection activeCell="B65" sqref="B65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3" max="3" width="10.140625" customWidth="1"/>
    <col min="6" max="6" width="20" customWidth="1"/>
    <col min="7" max="7" width="5.5703125" hidden="1" customWidth="1"/>
    <col min="8" max="8" width="20.42578125" customWidth="1"/>
  </cols>
  <sheetData>
    <row r="1" spans="1:11" ht="18" x14ac:dyDescent="0.25">
      <c r="A1" s="102" t="s">
        <v>0</v>
      </c>
      <c r="B1" s="102"/>
      <c r="C1" s="10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106" t="s">
        <v>2</v>
      </c>
      <c r="B2" s="106"/>
      <c r="C2" s="106"/>
      <c r="D2" s="6"/>
      <c r="E2" s="5" t="s">
        <v>3</v>
      </c>
      <c r="F2" s="5"/>
      <c r="G2" s="4"/>
      <c r="H2" s="4"/>
      <c r="I2" s="103" t="s">
        <v>4</v>
      </c>
      <c r="J2" s="104"/>
      <c r="K2" s="22">
        <f ca="1">SUMIF(F7:F448,"Elimination*",G7:G444)</f>
        <v>40</v>
      </c>
    </row>
    <row r="3" spans="1:11" x14ac:dyDescent="0.25">
      <c r="A3" s="107" t="s">
        <v>5</v>
      </c>
      <c r="B3" s="107"/>
      <c r="C3" s="107"/>
      <c r="D3" s="5"/>
      <c r="E3" s="4" t="s">
        <v>6</v>
      </c>
      <c r="F3" s="4"/>
      <c r="G3" s="4"/>
      <c r="H3" s="4"/>
      <c r="I3" s="103" t="s">
        <v>7</v>
      </c>
      <c r="J3" s="104"/>
      <c r="K3" s="22">
        <f ca="1">SUMIF(F7:F448,"NB*",G7:G444)</f>
        <v>27</v>
      </c>
    </row>
    <row r="4" spans="1:11" ht="18" x14ac:dyDescent="0.25">
      <c r="A4" s="102" t="s">
        <v>8</v>
      </c>
      <c r="B4" s="102"/>
      <c r="C4" s="102"/>
      <c r="D4" s="102"/>
      <c r="E4" s="102"/>
      <c r="F4" s="102"/>
      <c r="G4" s="4"/>
      <c r="H4" s="4"/>
      <c r="I4" s="103" t="s">
        <v>9</v>
      </c>
      <c r="J4" s="104"/>
      <c r="K4" s="22">
        <f ca="1">SUMIF(F7:F448,"Ve*",G7:G444)</f>
        <v>263</v>
      </c>
    </row>
    <row r="5" spans="1:11" ht="15.75" x14ac:dyDescent="0.25">
      <c r="A5" s="105" t="s">
        <v>314</v>
      </c>
      <c r="B5" s="105"/>
      <c r="C5" s="105"/>
      <c r="D5" s="105"/>
      <c r="E5" s="105"/>
      <c r="F5" s="105"/>
      <c r="G5" s="24"/>
      <c r="H5" s="24"/>
      <c r="I5" s="103" t="s">
        <v>10</v>
      </c>
      <c r="J5" s="104"/>
      <c r="K5" s="26">
        <f ca="1">SUM(K2:K4)</f>
        <v>330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0" t="s">
        <v>2024</v>
      </c>
      <c r="C7" s="11" t="s">
        <v>17</v>
      </c>
      <c r="D7" s="54" t="s">
        <v>310</v>
      </c>
      <c r="E7" s="14">
        <v>42095</v>
      </c>
      <c r="F7" s="30" t="s">
        <v>313</v>
      </c>
      <c r="G7" s="19">
        <v>1</v>
      </c>
      <c r="H7" s="60" t="s">
        <v>2025</v>
      </c>
      <c r="I7" s="18"/>
      <c r="J7" s="18"/>
      <c r="K7" s="1"/>
    </row>
    <row r="8" spans="1:11" ht="15" customHeight="1" x14ac:dyDescent="0.25">
      <c r="A8" s="17">
        <f>A7+1</f>
        <v>2</v>
      </c>
      <c r="B8" s="14" t="s">
        <v>2028</v>
      </c>
      <c r="C8" s="11" t="s">
        <v>17</v>
      </c>
      <c r="D8" s="54" t="s">
        <v>308</v>
      </c>
      <c r="E8" s="14">
        <v>42095</v>
      </c>
      <c r="F8" s="30" t="s">
        <v>311</v>
      </c>
      <c r="G8" s="19">
        <v>1</v>
      </c>
      <c r="H8" s="60" t="s">
        <v>2029</v>
      </c>
      <c r="I8" s="2"/>
      <c r="J8" s="2"/>
      <c r="K8" s="1"/>
    </row>
    <row r="9" spans="1:11" ht="15" customHeight="1" x14ac:dyDescent="0.25">
      <c r="A9" s="17">
        <f t="shared" ref="A9:A72" si="0">A8+1</f>
        <v>3</v>
      </c>
      <c r="B9" s="14" t="s">
        <v>2026</v>
      </c>
      <c r="C9" s="11" t="s">
        <v>17</v>
      </c>
      <c r="D9" s="54" t="s">
        <v>309</v>
      </c>
      <c r="E9" s="14">
        <v>42095</v>
      </c>
      <c r="F9" s="30" t="s">
        <v>312</v>
      </c>
      <c r="G9" s="19">
        <v>1</v>
      </c>
      <c r="H9" s="60" t="s">
        <v>2027</v>
      </c>
      <c r="I9" s="2"/>
      <c r="J9" s="2"/>
      <c r="K9" s="1"/>
    </row>
    <row r="10" spans="1:11" ht="15" customHeight="1" x14ac:dyDescent="0.25">
      <c r="A10" s="17">
        <f t="shared" si="0"/>
        <v>4</v>
      </c>
      <c r="B10" s="15" t="s">
        <v>315</v>
      </c>
      <c r="C10" s="11" t="s">
        <v>17</v>
      </c>
      <c r="D10" s="54" t="s">
        <v>316</v>
      </c>
      <c r="E10" s="14">
        <v>42095</v>
      </c>
      <c r="F10" s="58" t="s">
        <v>36</v>
      </c>
      <c r="G10" s="19">
        <v>1</v>
      </c>
      <c r="H10" s="25"/>
      <c r="I10" s="2"/>
      <c r="J10" s="2"/>
      <c r="K10" s="1"/>
    </row>
    <row r="11" spans="1:11" ht="15" customHeight="1" x14ac:dyDescent="0.25">
      <c r="A11" s="17">
        <f t="shared" si="0"/>
        <v>5</v>
      </c>
      <c r="B11" s="15" t="s">
        <v>321</v>
      </c>
      <c r="C11" s="11" t="s">
        <v>84</v>
      </c>
      <c r="D11" s="54" t="s">
        <v>322</v>
      </c>
      <c r="E11" s="14">
        <v>42095</v>
      </c>
      <c r="F11" s="30" t="s">
        <v>36</v>
      </c>
      <c r="G11" s="19">
        <v>1</v>
      </c>
      <c r="H11" s="25"/>
      <c r="I11" s="2"/>
      <c r="J11" s="2"/>
      <c r="K11" s="1"/>
    </row>
    <row r="12" spans="1:11" ht="15" customHeight="1" x14ac:dyDescent="0.25">
      <c r="A12" s="17">
        <f t="shared" si="0"/>
        <v>6</v>
      </c>
      <c r="B12" s="15" t="s">
        <v>2030</v>
      </c>
      <c r="C12" s="11" t="s">
        <v>17</v>
      </c>
      <c r="D12" s="54" t="s">
        <v>317</v>
      </c>
      <c r="E12" s="14">
        <v>42096</v>
      </c>
      <c r="F12" s="30" t="s">
        <v>318</v>
      </c>
      <c r="G12" s="19">
        <v>1</v>
      </c>
      <c r="H12" s="2" t="s">
        <v>2031</v>
      </c>
      <c r="I12" s="2"/>
      <c r="J12" s="2"/>
      <c r="K12" s="1"/>
    </row>
    <row r="13" spans="1:11" ht="15" customHeight="1" x14ac:dyDescent="0.25">
      <c r="A13" s="17">
        <f t="shared" si="0"/>
        <v>7</v>
      </c>
      <c r="B13" s="15" t="s">
        <v>319</v>
      </c>
      <c r="C13" s="11" t="s">
        <v>84</v>
      </c>
      <c r="D13" s="54" t="s">
        <v>320</v>
      </c>
      <c r="E13" s="14">
        <v>42096</v>
      </c>
      <c r="F13" s="30" t="s">
        <v>36</v>
      </c>
      <c r="G13" s="19">
        <v>1</v>
      </c>
      <c r="H13" s="2"/>
      <c r="I13" s="2"/>
      <c r="J13" s="2"/>
      <c r="K13" s="1"/>
    </row>
    <row r="14" spans="1:11" ht="15" customHeight="1" x14ac:dyDescent="0.25">
      <c r="A14" s="17">
        <f t="shared" si="0"/>
        <v>8</v>
      </c>
      <c r="B14" s="15" t="s">
        <v>323</v>
      </c>
      <c r="C14" s="11" t="s">
        <v>17</v>
      </c>
      <c r="D14" s="54" t="s">
        <v>324</v>
      </c>
      <c r="E14" s="14">
        <v>42101</v>
      </c>
      <c r="F14" s="30" t="s">
        <v>36</v>
      </c>
      <c r="G14" s="12">
        <v>1</v>
      </c>
      <c r="H14" s="13"/>
      <c r="I14" s="2"/>
      <c r="J14" s="2"/>
      <c r="K14" s="1"/>
    </row>
    <row r="15" spans="1:11" ht="15" customHeight="1" x14ac:dyDescent="0.25">
      <c r="A15" s="17">
        <f t="shared" si="0"/>
        <v>9</v>
      </c>
      <c r="B15" s="14" t="s">
        <v>325</v>
      </c>
      <c r="C15" s="11" t="s">
        <v>17</v>
      </c>
      <c r="D15" s="54" t="s">
        <v>326</v>
      </c>
      <c r="E15" s="14">
        <v>42101</v>
      </c>
      <c r="F15" s="30" t="s">
        <v>36</v>
      </c>
      <c r="G15" s="12">
        <v>1</v>
      </c>
      <c r="H15" s="13"/>
      <c r="I15" s="2"/>
      <c r="J15" s="2"/>
      <c r="K15" s="1"/>
    </row>
    <row r="16" spans="1:11" ht="15" customHeight="1" x14ac:dyDescent="0.25">
      <c r="A16" s="17">
        <f t="shared" si="0"/>
        <v>10</v>
      </c>
      <c r="B16" s="15" t="s">
        <v>2365</v>
      </c>
      <c r="C16" s="11" t="s">
        <v>17</v>
      </c>
      <c r="D16" s="54" t="s">
        <v>327</v>
      </c>
      <c r="E16" s="14">
        <v>42103</v>
      </c>
      <c r="F16" s="30" t="s">
        <v>328</v>
      </c>
      <c r="G16" s="12">
        <v>1</v>
      </c>
      <c r="H16" s="13"/>
      <c r="I16" s="2"/>
      <c r="J16" s="2"/>
      <c r="K16" s="1"/>
    </row>
    <row r="17" spans="1:11" ht="15" customHeight="1" x14ac:dyDescent="0.25">
      <c r="A17" s="17">
        <f t="shared" si="0"/>
        <v>11</v>
      </c>
      <c r="B17" s="14" t="s">
        <v>329</v>
      </c>
      <c r="C17" s="11" t="s">
        <v>17</v>
      </c>
      <c r="D17" s="54" t="s">
        <v>330</v>
      </c>
      <c r="E17" s="14">
        <v>42103</v>
      </c>
      <c r="F17" s="30" t="s">
        <v>36</v>
      </c>
      <c r="G17" s="12">
        <v>1</v>
      </c>
      <c r="H17" s="13"/>
      <c r="I17" s="2"/>
      <c r="J17" s="2"/>
      <c r="K17" s="1"/>
    </row>
    <row r="18" spans="1:11" ht="15" customHeight="1" x14ac:dyDescent="0.25">
      <c r="A18" s="17">
        <f t="shared" si="0"/>
        <v>12</v>
      </c>
      <c r="B18" s="14" t="s">
        <v>331</v>
      </c>
      <c r="C18" s="11" t="s">
        <v>17</v>
      </c>
      <c r="D18" s="54" t="s">
        <v>332</v>
      </c>
      <c r="E18" s="14">
        <v>42103</v>
      </c>
      <c r="F18" s="30" t="s">
        <v>36</v>
      </c>
      <c r="G18" s="12">
        <v>1</v>
      </c>
      <c r="H18" s="13"/>
      <c r="I18" s="2"/>
      <c r="J18" s="2"/>
    </row>
    <row r="19" spans="1:11" ht="15" customHeight="1" x14ac:dyDescent="0.25">
      <c r="A19" s="17">
        <f t="shared" si="0"/>
        <v>13</v>
      </c>
      <c r="B19" s="15" t="s">
        <v>333</v>
      </c>
      <c r="C19" s="11" t="s">
        <v>17</v>
      </c>
      <c r="D19" s="54" t="s">
        <v>334</v>
      </c>
      <c r="E19" s="14">
        <v>42103</v>
      </c>
      <c r="F19" s="30" t="s">
        <v>36</v>
      </c>
      <c r="G19" s="12">
        <v>1</v>
      </c>
      <c r="H19" s="13"/>
      <c r="I19" s="2"/>
      <c r="J19" s="2"/>
    </row>
    <row r="20" spans="1:11" ht="15" customHeight="1" x14ac:dyDescent="0.25">
      <c r="A20" s="17">
        <f t="shared" si="0"/>
        <v>14</v>
      </c>
      <c r="B20" s="15" t="s">
        <v>2034</v>
      </c>
      <c r="C20" s="11" t="s">
        <v>17</v>
      </c>
      <c r="D20" s="54" t="s">
        <v>335</v>
      </c>
      <c r="E20" s="14">
        <v>42105</v>
      </c>
      <c r="F20" s="30" t="s">
        <v>336</v>
      </c>
      <c r="G20" s="12">
        <v>1</v>
      </c>
      <c r="H20" s="94" t="s">
        <v>2035</v>
      </c>
      <c r="I20" s="2"/>
      <c r="J20" s="2"/>
    </row>
    <row r="21" spans="1:11" ht="15" customHeight="1" x14ac:dyDescent="0.25">
      <c r="A21" s="17">
        <f t="shared" si="0"/>
        <v>15</v>
      </c>
      <c r="B21" s="15" t="s">
        <v>2032</v>
      </c>
      <c r="C21" s="11" t="s">
        <v>17</v>
      </c>
      <c r="D21" s="54" t="s">
        <v>337</v>
      </c>
      <c r="E21" s="14">
        <v>42105</v>
      </c>
      <c r="F21" s="30" t="s">
        <v>338</v>
      </c>
      <c r="G21" s="12">
        <v>1</v>
      </c>
      <c r="H21" s="94" t="s">
        <v>2033</v>
      </c>
      <c r="I21" s="2"/>
      <c r="J21" s="2"/>
    </row>
    <row r="22" spans="1:11" ht="15" customHeight="1" x14ac:dyDescent="0.25">
      <c r="A22" s="17">
        <f t="shared" si="0"/>
        <v>16</v>
      </c>
      <c r="B22" s="15" t="s">
        <v>2045</v>
      </c>
      <c r="C22" s="11" t="s">
        <v>17</v>
      </c>
      <c r="D22" s="54" t="s">
        <v>351</v>
      </c>
      <c r="E22" s="14">
        <v>42108</v>
      </c>
      <c r="F22" s="30" t="s">
        <v>352</v>
      </c>
      <c r="G22" s="12">
        <v>1</v>
      </c>
      <c r="H22" s="94" t="s">
        <v>2046</v>
      </c>
      <c r="I22" s="2"/>
      <c r="J22" s="2"/>
    </row>
    <row r="23" spans="1:11" ht="15" customHeight="1" x14ac:dyDescent="0.25">
      <c r="A23" s="17">
        <f t="shared" si="0"/>
        <v>17</v>
      </c>
      <c r="B23" s="15" t="s">
        <v>2047</v>
      </c>
      <c r="C23" s="11" t="s">
        <v>17</v>
      </c>
      <c r="D23" s="54" t="s">
        <v>349</v>
      </c>
      <c r="E23" s="14">
        <v>42108</v>
      </c>
      <c r="F23" s="30" t="s">
        <v>350</v>
      </c>
      <c r="G23" s="12">
        <v>1</v>
      </c>
      <c r="H23" s="94" t="s">
        <v>2048</v>
      </c>
      <c r="I23" s="2"/>
      <c r="J23" s="2"/>
    </row>
    <row r="24" spans="1:11" ht="15" customHeight="1" x14ac:dyDescent="0.25">
      <c r="A24" s="17">
        <f t="shared" si="0"/>
        <v>18</v>
      </c>
      <c r="B24" s="15" t="s">
        <v>2049</v>
      </c>
      <c r="C24" s="11" t="s">
        <v>17</v>
      </c>
      <c r="D24" s="54" t="s">
        <v>345</v>
      </c>
      <c r="E24" s="14">
        <v>42108</v>
      </c>
      <c r="F24" s="30" t="s">
        <v>346</v>
      </c>
      <c r="G24" s="12">
        <v>1</v>
      </c>
      <c r="H24" s="94" t="s">
        <v>2050</v>
      </c>
      <c r="I24" s="2"/>
      <c r="J24" s="2"/>
    </row>
    <row r="25" spans="1:11" ht="15" customHeight="1" x14ac:dyDescent="0.25">
      <c r="A25" s="17">
        <f t="shared" si="0"/>
        <v>19</v>
      </c>
      <c r="B25" s="14" t="s">
        <v>2038</v>
      </c>
      <c r="C25" s="15" t="s">
        <v>17</v>
      </c>
      <c r="D25" s="54" t="s">
        <v>357</v>
      </c>
      <c r="E25" s="14">
        <v>42108</v>
      </c>
      <c r="F25" s="55" t="s">
        <v>2037</v>
      </c>
      <c r="G25" s="12">
        <v>1</v>
      </c>
      <c r="H25" s="94" t="s">
        <v>2036</v>
      </c>
      <c r="I25" s="2"/>
      <c r="J25" s="2"/>
    </row>
    <row r="26" spans="1:11" ht="15" customHeight="1" x14ac:dyDescent="0.25">
      <c r="A26" s="17">
        <f t="shared" si="0"/>
        <v>20</v>
      </c>
      <c r="B26" s="15" t="s">
        <v>2039</v>
      </c>
      <c r="C26" s="11" t="s">
        <v>17</v>
      </c>
      <c r="D26" s="54" t="s">
        <v>341</v>
      </c>
      <c r="E26" s="14">
        <v>42108</v>
      </c>
      <c r="F26" s="30" t="s">
        <v>342</v>
      </c>
      <c r="G26" s="12">
        <v>1</v>
      </c>
      <c r="H26" s="94" t="s">
        <v>2040</v>
      </c>
      <c r="I26" s="2"/>
      <c r="J26" s="2"/>
    </row>
    <row r="27" spans="1:11" ht="15" customHeight="1" x14ac:dyDescent="0.25">
      <c r="A27" s="17">
        <f t="shared" si="0"/>
        <v>21</v>
      </c>
      <c r="B27" s="15" t="s">
        <v>2041</v>
      </c>
      <c r="C27" s="11" t="s">
        <v>17</v>
      </c>
      <c r="D27" s="54" t="s">
        <v>347</v>
      </c>
      <c r="E27" s="14">
        <v>42108</v>
      </c>
      <c r="F27" s="30" t="s">
        <v>348</v>
      </c>
      <c r="G27" s="12">
        <v>1</v>
      </c>
      <c r="H27" s="94" t="s">
        <v>2042</v>
      </c>
      <c r="I27" s="2"/>
      <c r="J27" s="2"/>
    </row>
    <row r="28" spans="1:11" ht="15" customHeight="1" x14ac:dyDescent="0.25">
      <c r="A28" s="17">
        <f t="shared" si="0"/>
        <v>22</v>
      </c>
      <c r="B28" s="15" t="s">
        <v>2052</v>
      </c>
      <c r="C28" s="11" t="s">
        <v>17</v>
      </c>
      <c r="D28" s="54" t="s">
        <v>343</v>
      </c>
      <c r="E28" s="14">
        <v>42108</v>
      </c>
      <c r="F28" s="30" t="s">
        <v>344</v>
      </c>
      <c r="G28" s="12">
        <v>1</v>
      </c>
      <c r="H28" s="95" t="s">
        <v>2051</v>
      </c>
    </row>
    <row r="29" spans="1:11" ht="15" customHeight="1" x14ac:dyDescent="0.25">
      <c r="A29" s="17">
        <f t="shared" si="0"/>
        <v>23</v>
      </c>
      <c r="B29" s="15" t="s">
        <v>2043</v>
      </c>
      <c r="C29" s="11" t="s">
        <v>17</v>
      </c>
      <c r="D29" s="54" t="s">
        <v>339</v>
      </c>
      <c r="E29" s="14">
        <v>42108</v>
      </c>
      <c r="F29" s="30" t="s">
        <v>340</v>
      </c>
      <c r="G29" s="56">
        <v>1</v>
      </c>
      <c r="H29" s="57" t="s">
        <v>2044</v>
      </c>
    </row>
    <row r="30" spans="1:11" ht="15" customHeight="1" x14ac:dyDescent="0.25">
      <c r="A30" s="17">
        <f t="shared" si="0"/>
        <v>24</v>
      </c>
      <c r="B30" s="14" t="s">
        <v>353</v>
      </c>
      <c r="C30" s="15" t="s">
        <v>17</v>
      </c>
      <c r="D30" s="54" t="s">
        <v>354</v>
      </c>
      <c r="E30" s="14">
        <v>42108</v>
      </c>
      <c r="F30" s="55" t="s">
        <v>36</v>
      </c>
      <c r="G30" s="56">
        <v>1</v>
      </c>
      <c r="H30" s="57"/>
    </row>
    <row r="31" spans="1:11" ht="15" customHeight="1" x14ac:dyDescent="0.25">
      <c r="A31" s="17">
        <f t="shared" si="0"/>
        <v>25</v>
      </c>
      <c r="B31" s="21" t="s">
        <v>356</v>
      </c>
      <c r="C31" s="15" t="s">
        <v>17</v>
      </c>
      <c r="D31" s="54" t="s">
        <v>355</v>
      </c>
      <c r="E31" s="14">
        <v>42108</v>
      </c>
      <c r="F31" s="55" t="s">
        <v>36</v>
      </c>
      <c r="G31" s="56">
        <v>1</v>
      </c>
      <c r="H31" s="57"/>
    </row>
    <row r="32" spans="1:11" ht="15" customHeight="1" x14ac:dyDescent="0.25">
      <c r="A32" s="17">
        <f t="shared" si="0"/>
        <v>26</v>
      </c>
      <c r="B32" s="20" t="s">
        <v>2053</v>
      </c>
      <c r="C32" s="20" t="s">
        <v>17</v>
      </c>
      <c r="D32" s="29" t="s">
        <v>358</v>
      </c>
      <c r="E32" s="23">
        <v>42109</v>
      </c>
      <c r="F32" s="30" t="s">
        <v>359</v>
      </c>
      <c r="G32" s="56">
        <v>1</v>
      </c>
      <c r="H32" s="57" t="s">
        <v>2054</v>
      </c>
    </row>
    <row r="33" spans="1:8" ht="15" customHeight="1" x14ac:dyDescent="0.25">
      <c r="A33" s="17">
        <f t="shared" si="0"/>
        <v>27</v>
      </c>
      <c r="B33" s="20" t="s">
        <v>2055</v>
      </c>
      <c r="C33" s="20" t="s">
        <v>17</v>
      </c>
      <c r="D33" s="29" t="s">
        <v>360</v>
      </c>
      <c r="E33" s="23">
        <v>42109</v>
      </c>
      <c r="F33" s="31" t="s">
        <v>371</v>
      </c>
      <c r="G33" s="56">
        <v>1</v>
      </c>
      <c r="H33" s="57" t="s">
        <v>2056</v>
      </c>
    </row>
    <row r="34" spans="1:8" ht="15" customHeight="1" x14ac:dyDescent="0.25">
      <c r="A34" s="17">
        <f t="shared" si="0"/>
        <v>28</v>
      </c>
      <c r="B34" s="20" t="s">
        <v>2057</v>
      </c>
      <c r="C34" s="20" t="s">
        <v>17</v>
      </c>
      <c r="D34" s="28" t="s">
        <v>361</v>
      </c>
      <c r="E34" s="23">
        <v>42110</v>
      </c>
      <c r="F34" s="31" t="s">
        <v>362</v>
      </c>
      <c r="G34" s="56">
        <v>1</v>
      </c>
      <c r="H34" s="57"/>
    </row>
    <row r="35" spans="1:8" ht="15" customHeight="1" x14ac:dyDescent="0.25">
      <c r="A35" s="17">
        <f t="shared" si="0"/>
        <v>29</v>
      </c>
      <c r="B35" s="20" t="s">
        <v>2058</v>
      </c>
      <c r="C35" s="20" t="s">
        <v>17</v>
      </c>
      <c r="D35" s="28" t="s">
        <v>363</v>
      </c>
      <c r="E35" s="23">
        <v>42113</v>
      </c>
      <c r="F35" s="31" t="s">
        <v>364</v>
      </c>
      <c r="G35" s="56">
        <v>1</v>
      </c>
      <c r="H35" s="57" t="s">
        <v>2059</v>
      </c>
    </row>
    <row r="36" spans="1:8" ht="15" customHeight="1" x14ac:dyDescent="0.25">
      <c r="A36" s="17">
        <f t="shared" si="0"/>
        <v>30</v>
      </c>
      <c r="B36" s="20" t="s">
        <v>2060</v>
      </c>
      <c r="C36" s="20" t="s">
        <v>17</v>
      </c>
      <c r="D36" s="28" t="s">
        <v>365</v>
      </c>
      <c r="E36" s="23">
        <v>42114</v>
      </c>
      <c r="F36" s="31" t="s">
        <v>366</v>
      </c>
      <c r="G36" s="56">
        <v>1</v>
      </c>
      <c r="H36" s="57"/>
    </row>
    <row r="37" spans="1:8" ht="15" customHeight="1" x14ac:dyDescent="0.25">
      <c r="A37" s="17">
        <f t="shared" si="0"/>
        <v>31</v>
      </c>
      <c r="B37" s="20" t="s">
        <v>2061</v>
      </c>
      <c r="C37" s="20" t="s">
        <v>17</v>
      </c>
      <c r="D37" s="28" t="s">
        <v>367</v>
      </c>
      <c r="E37" s="23">
        <v>42115</v>
      </c>
      <c r="F37" s="31" t="s">
        <v>368</v>
      </c>
      <c r="G37" s="56">
        <v>1</v>
      </c>
      <c r="H37" s="57" t="s">
        <v>2062</v>
      </c>
    </row>
    <row r="38" spans="1:8" ht="15" customHeight="1" x14ac:dyDescent="0.25">
      <c r="A38" s="17">
        <f t="shared" si="0"/>
        <v>32</v>
      </c>
      <c r="B38" s="20" t="s">
        <v>370</v>
      </c>
      <c r="C38" s="20" t="s">
        <v>17</v>
      </c>
      <c r="D38" s="28" t="s">
        <v>369</v>
      </c>
      <c r="E38" s="23">
        <v>42115</v>
      </c>
      <c r="F38" s="58" t="s">
        <v>36</v>
      </c>
      <c r="G38" s="56">
        <v>1</v>
      </c>
      <c r="H38" s="57"/>
    </row>
    <row r="39" spans="1:8" ht="15" customHeight="1" x14ac:dyDescent="0.25">
      <c r="A39" s="17">
        <f t="shared" si="0"/>
        <v>33</v>
      </c>
      <c r="B39" s="20" t="s">
        <v>2373</v>
      </c>
      <c r="C39" s="20" t="s">
        <v>17</v>
      </c>
      <c r="D39" s="28" t="s">
        <v>372</v>
      </c>
      <c r="E39" s="23">
        <v>42116</v>
      </c>
      <c r="F39" s="31" t="s">
        <v>373</v>
      </c>
      <c r="G39" s="56">
        <v>1</v>
      </c>
      <c r="H39" s="57" t="s">
        <v>2063</v>
      </c>
    </row>
    <row r="40" spans="1:8" ht="15" customHeight="1" x14ac:dyDescent="0.25">
      <c r="A40" s="17">
        <f t="shared" si="0"/>
        <v>34</v>
      </c>
      <c r="B40" s="20" t="s">
        <v>374</v>
      </c>
      <c r="C40" s="20" t="s">
        <v>17</v>
      </c>
      <c r="D40" s="28" t="s">
        <v>375</v>
      </c>
      <c r="E40" s="23">
        <v>42116</v>
      </c>
      <c r="F40" s="58" t="s">
        <v>36</v>
      </c>
      <c r="G40" s="56">
        <v>1</v>
      </c>
      <c r="H40" s="57"/>
    </row>
    <row r="41" spans="1:8" ht="15" customHeight="1" x14ac:dyDescent="0.25">
      <c r="A41" s="17">
        <f t="shared" si="0"/>
        <v>35</v>
      </c>
      <c r="B41" s="20" t="s">
        <v>376</v>
      </c>
      <c r="C41" s="20" t="s">
        <v>17</v>
      </c>
      <c r="D41" s="28" t="s">
        <v>377</v>
      </c>
      <c r="E41" s="23">
        <v>42116</v>
      </c>
      <c r="F41" s="58" t="s">
        <v>36</v>
      </c>
      <c r="G41" s="56">
        <v>1</v>
      </c>
      <c r="H41" s="57"/>
    </row>
    <row r="42" spans="1:8" ht="15" customHeight="1" x14ac:dyDescent="0.25">
      <c r="A42" s="17">
        <f t="shared" si="0"/>
        <v>36</v>
      </c>
      <c r="B42" s="20" t="s">
        <v>378</v>
      </c>
      <c r="C42" s="20" t="s">
        <v>17</v>
      </c>
      <c r="D42" s="28" t="s">
        <v>379</v>
      </c>
      <c r="E42" s="23">
        <v>42116</v>
      </c>
      <c r="F42" s="58" t="s">
        <v>36</v>
      </c>
      <c r="G42" s="56">
        <v>1</v>
      </c>
      <c r="H42" s="57"/>
    </row>
    <row r="43" spans="1:8" ht="15" customHeight="1" x14ac:dyDescent="0.25">
      <c r="A43" s="17">
        <f t="shared" si="0"/>
        <v>37</v>
      </c>
      <c r="B43" s="20"/>
      <c r="C43" s="20" t="s">
        <v>17</v>
      </c>
      <c r="D43" s="28" t="s">
        <v>380</v>
      </c>
      <c r="E43" s="23">
        <v>42116</v>
      </c>
      <c r="F43" s="31" t="s">
        <v>381</v>
      </c>
      <c r="G43" s="56">
        <v>1</v>
      </c>
      <c r="H43" s="57" t="s">
        <v>1894</v>
      </c>
    </row>
    <row r="44" spans="1:8" ht="15" customHeight="1" x14ac:dyDescent="0.25">
      <c r="A44" s="17">
        <f t="shared" si="0"/>
        <v>38</v>
      </c>
      <c r="B44" s="20" t="s">
        <v>402</v>
      </c>
      <c r="C44" s="20" t="s">
        <v>17</v>
      </c>
      <c r="D44" s="28" t="s">
        <v>403</v>
      </c>
      <c r="E44" s="23">
        <v>42117</v>
      </c>
      <c r="F44" s="58" t="s">
        <v>36</v>
      </c>
      <c r="G44" s="56">
        <v>1</v>
      </c>
      <c r="H44" s="57"/>
    </row>
    <row r="45" spans="1:8" ht="15" customHeight="1" x14ac:dyDescent="0.25">
      <c r="A45" s="17">
        <f t="shared" si="0"/>
        <v>39</v>
      </c>
      <c r="B45" s="20" t="s">
        <v>400</v>
      </c>
      <c r="C45" s="20" t="s">
        <v>17</v>
      </c>
      <c r="D45" s="28" t="s">
        <v>401</v>
      </c>
      <c r="E45" s="23">
        <v>42117</v>
      </c>
      <c r="F45" s="58" t="s">
        <v>36</v>
      </c>
      <c r="G45" s="56">
        <v>1</v>
      </c>
      <c r="H45" s="57"/>
    </row>
    <row r="46" spans="1:8" ht="15" customHeight="1" x14ac:dyDescent="0.25">
      <c r="A46" s="17">
        <f t="shared" si="0"/>
        <v>40</v>
      </c>
      <c r="B46" s="20" t="s">
        <v>398</v>
      </c>
      <c r="C46" s="20" t="s">
        <v>17</v>
      </c>
      <c r="D46" s="28" t="s">
        <v>399</v>
      </c>
      <c r="E46" s="23">
        <v>42117</v>
      </c>
      <c r="F46" s="58" t="s">
        <v>36</v>
      </c>
      <c r="G46" s="56">
        <v>1</v>
      </c>
      <c r="H46" s="57"/>
    </row>
    <row r="47" spans="1:8" ht="15" customHeight="1" x14ac:dyDescent="0.25">
      <c r="A47" s="17">
        <f t="shared" si="0"/>
        <v>41</v>
      </c>
      <c r="B47" s="20" t="s">
        <v>391</v>
      </c>
      <c r="C47" s="20" t="s">
        <v>17</v>
      </c>
      <c r="D47" s="28" t="s">
        <v>390</v>
      </c>
      <c r="E47" s="23">
        <v>42117</v>
      </c>
      <c r="F47" s="58" t="s">
        <v>36</v>
      </c>
      <c r="G47" s="56">
        <v>1</v>
      </c>
      <c r="H47" s="57"/>
    </row>
    <row r="48" spans="1:8" ht="15" customHeight="1" x14ac:dyDescent="0.25">
      <c r="A48" s="17">
        <f t="shared" si="0"/>
        <v>42</v>
      </c>
      <c r="B48" s="20" t="s">
        <v>388</v>
      </c>
      <c r="C48" s="20" t="s">
        <v>17</v>
      </c>
      <c r="D48" s="28" t="s">
        <v>389</v>
      </c>
      <c r="E48" s="23">
        <v>42117</v>
      </c>
      <c r="F48" s="58" t="s">
        <v>36</v>
      </c>
      <c r="G48" s="56">
        <v>1</v>
      </c>
      <c r="H48" s="57"/>
    </row>
    <row r="49" spans="1:8" ht="15" customHeight="1" x14ac:dyDescent="0.25">
      <c r="A49" s="17">
        <f t="shared" si="0"/>
        <v>43</v>
      </c>
      <c r="B49" s="20" t="s">
        <v>382</v>
      </c>
      <c r="C49" s="20" t="s">
        <v>17</v>
      </c>
      <c r="D49" s="28" t="s">
        <v>383</v>
      </c>
      <c r="E49" s="23">
        <v>42117</v>
      </c>
      <c r="F49" s="58" t="s">
        <v>36</v>
      </c>
      <c r="G49" s="56">
        <v>1</v>
      </c>
      <c r="H49" s="57"/>
    </row>
    <row r="50" spans="1:8" ht="15" customHeight="1" x14ac:dyDescent="0.25">
      <c r="A50" s="17">
        <f t="shared" si="0"/>
        <v>44</v>
      </c>
      <c r="B50" s="20" t="s">
        <v>394</v>
      </c>
      <c r="C50" s="20" t="s">
        <v>17</v>
      </c>
      <c r="D50" s="28" t="s">
        <v>395</v>
      </c>
      <c r="E50" s="23">
        <v>42117</v>
      </c>
      <c r="F50" s="58" t="s">
        <v>36</v>
      </c>
      <c r="G50" s="56">
        <v>1</v>
      </c>
      <c r="H50" s="57"/>
    </row>
    <row r="51" spans="1:8" ht="15" customHeight="1" x14ac:dyDescent="0.25">
      <c r="A51" s="17">
        <f t="shared" si="0"/>
        <v>45</v>
      </c>
      <c r="B51" s="20" t="s">
        <v>396</v>
      </c>
      <c r="C51" s="20" t="s">
        <v>17</v>
      </c>
      <c r="D51" s="28" t="s">
        <v>397</v>
      </c>
      <c r="E51" s="23">
        <v>42117</v>
      </c>
      <c r="F51" s="58" t="s">
        <v>36</v>
      </c>
      <c r="G51" s="56">
        <v>1</v>
      </c>
    </row>
    <row r="52" spans="1:8" ht="15" customHeight="1" x14ac:dyDescent="0.25">
      <c r="A52" s="17">
        <f t="shared" si="0"/>
        <v>46</v>
      </c>
      <c r="B52" s="20" t="s">
        <v>386</v>
      </c>
      <c r="C52" s="20" t="s">
        <v>17</v>
      </c>
      <c r="D52" s="28" t="s">
        <v>387</v>
      </c>
      <c r="E52" s="23">
        <v>42117</v>
      </c>
      <c r="F52" s="58" t="s">
        <v>36</v>
      </c>
      <c r="G52" s="56">
        <v>1</v>
      </c>
    </row>
    <row r="53" spans="1:8" ht="15" customHeight="1" x14ac:dyDescent="0.25">
      <c r="A53" s="17">
        <f t="shared" si="0"/>
        <v>47</v>
      </c>
      <c r="B53" s="20" t="s">
        <v>392</v>
      </c>
      <c r="C53" s="20" t="s">
        <v>17</v>
      </c>
      <c r="D53" s="28" t="s">
        <v>393</v>
      </c>
      <c r="E53" s="23">
        <v>42117</v>
      </c>
      <c r="F53" s="58" t="s">
        <v>36</v>
      </c>
      <c r="G53" s="56">
        <v>1</v>
      </c>
    </row>
    <row r="54" spans="1:8" ht="15" customHeight="1" x14ac:dyDescent="0.25">
      <c r="A54" s="17">
        <f t="shared" si="0"/>
        <v>48</v>
      </c>
      <c r="B54" s="20" t="s">
        <v>384</v>
      </c>
      <c r="C54" s="20" t="s">
        <v>17</v>
      </c>
      <c r="D54" s="28" t="s">
        <v>385</v>
      </c>
      <c r="E54" s="23">
        <v>42117</v>
      </c>
      <c r="F54" s="58" t="s">
        <v>36</v>
      </c>
      <c r="G54" s="56">
        <v>1</v>
      </c>
    </row>
    <row r="55" spans="1:8" ht="15" customHeight="1" x14ac:dyDescent="0.25">
      <c r="A55" s="17">
        <f t="shared" si="0"/>
        <v>49</v>
      </c>
      <c r="B55" s="20" t="s">
        <v>405</v>
      </c>
      <c r="C55" s="20" t="s">
        <v>17</v>
      </c>
      <c r="D55" s="28" t="s">
        <v>406</v>
      </c>
      <c r="E55" s="23">
        <v>42117</v>
      </c>
      <c r="F55" s="58" t="s">
        <v>36</v>
      </c>
      <c r="G55" s="56">
        <v>1</v>
      </c>
    </row>
    <row r="56" spans="1:8" ht="15" customHeight="1" x14ac:dyDescent="0.25">
      <c r="A56" s="17">
        <f t="shared" si="0"/>
        <v>50</v>
      </c>
      <c r="B56" s="20" t="s">
        <v>407</v>
      </c>
      <c r="C56" s="20" t="s">
        <v>17</v>
      </c>
      <c r="D56" s="28" t="s">
        <v>408</v>
      </c>
      <c r="E56" s="23">
        <v>42117</v>
      </c>
      <c r="F56" s="58" t="s">
        <v>36</v>
      </c>
      <c r="G56" s="56">
        <v>1</v>
      </c>
    </row>
    <row r="57" spans="1:8" ht="15" customHeight="1" x14ac:dyDescent="0.25">
      <c r="A57" s="17">
        <f t="shared" si="0"/>
        <v>51</v>
      </c>
      <c r="B57" s="20" t="s">
        <v>409</v>
      </c>
      <c r="C57" s="20" t="s">
        <v>17</v>
      </c>
      <c r="D57" s="28" t="s">
        <v>410</v>
      </c>
      <c r="E57" s="23">
        <v>42117</v>
      </c>
      <c r="F57" s="58" t="s">
        <v>36</v>
      </c>
      <c r="G57" s="56">
        <v>1</v>
      </c>
    </row>
    <row r="58" spans="1:8" ht="15" customHeight="1" x14ac:dyDescent="0.25">
      <c r="A58" s="17">
        <f t="shared" si="0"/>
        <v>52</v>
      </c>
      <c r="B58" s="20" t="s">
        <v>411</v>
      </c>
      <c r="C58" s="20" t="s">
        <v>17</v>
      </c>
      <c r="D58" s="28" t="s">
        <v>412</v>
      </c>
      <c r="E58" s="23">
        <v>42117</v>
      </c>
      <c r="F58" s="58" t="s">
        <v>36</v>
      </c>
      <c r="G58" s="56">
        <v>1</v>
      </c>
    </row>
    <row r="59" spans="1:8" ht="15" customHeight="1" x14ac:dyDescent="0.25">
      <c r="A59" s="17">
        <f t="shared" si="0"/>
        <v>53</v>
      </c>
      <c r="B59" s="20" t="s">
        <v>413</v>
      </c>
      <c r="C59" s="20" t="s">
        <v>17</v>
      </c>
      <c r="D59" s="28" t="s">
        <v>414</v>
      </c>
      <c r="E59" s="23">
        <v>42117</v>
      </c>
      <c r="F59" s="58" t="s">
        <v>36</v>
      </c>
      <c r="G59" s="56">
        <v>1</v>
      </c>
    </row>
    <row r="60" spans="1:8" ht="15" customHeight="1" x14ac:dyDescent="0.25">
      <c r="A60" s="17">
        <f t="shared" si="0"/>
        <v>54</v>
      </c>
      <c r="B60" s="20" t="s">
        <v>415</v>
      </c>
      <c r="C60" s="20" t="s">
        <v>17</v>
      </c>
      <c r="D60" s="28" t="s">
        <v>416</v>
      </c>
      <c r="E60" s="23">
        <v>42119</v>
      </c>
      <c r="F60" s="58" t="s">
        <v>36</v>
      </c>
      <c r="G60" s="56">
        <v>1</v>
      </c>
    </row>
    <row r="61" spans="1:8" ht="15" customHeight="1" x14ac:dyDescent="0.25">
      <c r="A61" s="17">
        <f t="shared" si="0"/>
        <v>55</v>
      </c>
      <c r="B61" s="20" t="s">
        <v>431</v>
      </c>
      <c r="C61" s="20" t="s">
        <v>17</v>
      </c>
      <c r="D61" s="28" t="s">
        <v>432</v>
      </c>
      <c r="E61" s="23">
        <v>42119</v>
      </c>
      <c r="F61" s="58" t="s">
        <v>36</v>
      </c>
      <c r="G61" s="56">
        <v>1</v>
      </c>
    </row>
    <row r="62" spans="1:8" ht="15" customHeight="1" x14ac:dyDescent="0.25">
      <c r="A62" s="17">
        <f t="shared" si="0"/>
        <v>56</v>
      </c>
      <c r="B62" s="20" t="s">
        <v>423</v>
      </c>
      <c r="C62" s="20" t="s">
        <v>17</v>
      </c>
      <c r="D62" s="28" t="s">
        <v>424</v>
      </c>
      <c r="E62" s="23">
        <v>42119</v>
      </c>
      <c r="F62" s="58" t="s">
        <v>36</v>
      </c>
      <c r="G62" s="56">
        <v>1</v>
      </c>
    </row>
    <row r="63" spans="1:8" ht="15" customHeight="1" x14ac:dyDescent="0.25">
      <c r="A63" s="17">
        <f t="shared" si="0"/>
        <v>57</v>
      </c>
      <c r="B63" s="20" t="s">
        <v>417</v>
      </c>
      <c r="C63" s="20" t="s">
        <v>17</v>
      </c>
      <c r="D63" s="28" t="s">
        <v>418</v>
      </c>
      <c r="E63" s="23">
        <v>42119</v>
      </c>
      <c r="F63" s="58" t="s">
        <v>36</v>
      </c>
      <c r="G63" s="56">
        <v>1</v>
      </c>
    </row>
    <row r="64" spans="1:8" ht="15" customHeight="1" x14ac:dyDescent="0.25">
      <c r="A64" s="17">
        <f t="shared" si="0"/>
        <v>58</v>
      </c>
      <c r="B64" s="20" t="s">
        <v>427</v>
      </c>
      <c r="C64" s="20" t="s">
        <v>17</v>
      </c>
      <c r="D64" s="28" t="s">
        <v>428</v>
      </c>
      <c r="E64" s="23">
        <v>42119</v>
      </c>
      <c r="F64" s="58" t="s">
        <v>36</v>
      </c>
      <c r="G64" s="56">
        <v>1</v>
      </c>
    </row>
    <row r="65" spans="1:8" ht="15" customHeight="1" x14ac:dyDescent="0.25">
      <c r="A65" s="17">
        <f t="shared" si="0"/>
        <v>59</v>
      </c>
      <c r="B65" s="20" t="s">
        <v>419</v>
      </c>
      <c r="C65" s="20" t="s">
        <v>17</v>
      </c>
      <c r="D65" s="28" t="s">
        <v>420</v>
      </c>
      <c r="E65" s="23">
        <v>42119</v>
      </c>
      <c r="F65" s="58" t="s">
        <v>36</v>
      </c>
      <c r="G65" s="56">
        <v>1</v>
      </c>
    </row>
    <row r="66" spans="1:8" ht="15" customHeight="1" x14ac:dyDescent="0.25">
      <c r="A66" s="17">
        <f t="shared" si="0"/>
        <v>60</v>
      </c>
      <c r="B66" s="20" t="s">
        <v>425</v>
      </c>
      <c r="C66" s="20" t="s">
        <v>17</v>
      </c>
      <c r="D66" s="28" t="s">
        <v>426</v>
      </c>
      <c r="E66" s="23">
        <v>42119</v>
      </c>
      <c r="F66" s="58" t="s">
        <v>36</v>
      </c>
      <c r="G66" s="56">
        <v>1</v>
      </c>
    </row>
    <row r="67" spans="1:8" ht="15" customHeight="1" x14ac:dyDescent="0.25">
      <c r="A67" s="17">
        <f t="shared" si="0"/>
        <v>61</v>
      </c>
      <c r="B67" s="20" t="s">
        <v>429</v>
      </c>
      <c r="C67" s="20" t="s">
        <v>17</v>
      </c>
      <c r="D67" s="28" t="s">
        <v>430</v>
      </c>
      <c r="E67" s="23">
        <v>42119</v>
      </c>
      <c r="F67" s="58" t="s">
        <v>36</v>
      </c>
      <c r="G67" s="56">
        <v>1</v>
      </c>
    </row>
    <row r="68" spans="1:8" ht="15" customHeight="1" x14ac:dyDescent="0.25">
      <c r="A68" s="17">
        <f t="shared" si="0"/>
        <v>62</v>
      </c>
      <c r="B68" s="20" t="s">
        <v>421</v>
      </c>
      <c r="C68" s="20" t="s">
        <v>17</v>
      </c>
      <c r="D68" s="28" t="s">
        <v>422</v>
      </c>
      <c r="E68" s="23">
        <v>42119</v>
      </c>
      <c r="F68" s="58" t="s">
        <v>36</v>
      </c>
      <c r="G68" s="56">
        <v>1</v>
      </c>
    </row>
    <row r="69" spans="1:8" x14ac:dyDescent="0.25">
      <c r="A69" s="17">
        <f t="shared" si="0"/>
        <v>63</v>
      </c>
      <c r="B69" s="20" t="s">
        <v>2064</v>
      </c>
      <c r="C69" s="20" t="s">
        <v>17</v>
      </c>
      <c r="D69" s="28" t="s">
        <v>433</v>
      </c>
      <c r="E69" s="23">
        <v>42120</v>
      </c>
      <c r="F69" s="58" t="s">
        <v>434</v>
      </c>
      <c r="G69" s="56">
        <v>1</v>
      </c>
      <c r="H69" t="s">
        <v>2065</v>
      </c>
    </row>
    <row r="70" spans="1:8" ht="15" customHeight="1" x14ac:dyDescent="0.25">
      <c r="A70" s="17">
        <f t="shared" si="0"/>
        <v>64</v>
      </c>
      <c r="B70" s="20" t="s">
        <v>435</v>
      </c>
      <c r="C70" s="20" t="s">
        <v>84</v>
      </c>
      <c r="D70" s="28" t="s">
        <v>436</v>
      </c>
      <c r="E70" s="23">
        <v>42120</v>
      </c>
      <c r="F70" s="58" t="s">
        <v>36</v>
      </c>
      <c r="G70" s="56">
        <v>1</v>
      </c>
    </row>
    <row r="71" spans="1:8" x14ac:dyDescent="0.25">
      <c r="A71" s="17">
        <f t="shared" si="0"/>
        <v>65</v>
      </c>
      <c r="B71" s="20" t="s">
        <v>1877</v>
      </c>
      <c r="C71" s="20" t="s">
        <v>17</v>
      </c>
      <c r="D71" s="28" t="s">
        <v>467</v>
      </c>
      <c r="E71" s="23">
        <v>42120</v>
      </c>
      <c r="F71" s="58" t="s">
        <v>182</v>
      </c>
      <c r="G71" s="56">
        <v>1</v>
      </c>
    </row>
    <row r="72" spans="1:8" x14ac:dyDescent="0.25">
      <c r="A72" s="17">
        <f t="shared" si="0"/>
        <v>66</v>
      </c>
      <c r="B72" s="20" t="s">
        <v>1877</v>
      </c>
      <c r="C72" s="20" t="s">
        <v>17</v>
      </c>
      <c r="D72" s="28" t="s">
        <v>468</v>
      </c>
      <c r="E72" s="23">
        <v>42120</v>
      </c>
      <c r="F72" s="58" t="s">
        <v>182</v>
      </c>
      <c r="G72" s="56">
        <v>1</v>
      </c>
    </row>
    <row r="73" spans="1:8" x14ac:dyDescent="0.25">
      <c r="A73" s="17">
        <f t="shared" ref="A73:A136" si="1">A72+1</f>
        <v>67</v>
      </c>
      <c r="B73" s="20" t="s">
        <v>1877</v>
      </c>
      <c r="C73" s="20" t="s">
        <v>17</v>
      </c>
      <c r="D73" s="28" t="s">
        <v>469</v>
      </c>
      <c r="E73" s="23">
        <v>42120</v>
      </c>
      <c r="F73" s="58" t="s">
        <v>182</v>
      </c>
      <c r="G73" s="56">
        <v>1</v>
      </c>
    </row>
    <row r="74" spans="1:8" x14ac:dyDescent="0.25">
      <c r="A74" s="17">
        <f t="shared" si="1"/>
        <v>68</v>
      </c>
      <c r="B74" s="20" t="s">
        <v>1877</v>
      </c>
      <c r="C74" s="20" t="s">
        <v>17</v>
      </c>
      <c r="D74" s="28" t="s">
        <v>470</v>
      </c>
      <c r="E74" s="23">
        <v>42120</v>
      </c>
      <c r="F74" s="58" t="s">
        <v>182</v>
      </c>
      <c r="G74" s="56">
        <v>1</v>
      </c>
    </row>
    <row r="75" spans="1:8" x14ac:dyDescent="0.25">
      <c r="A75" s="17">
        <f t="shared" si="1"/>
        <v>69</v>
      </c>
      <c r="B75" s="20" t="s">
        <v>1877</v>
      </c>
      <c r="C75" s="20" t="s">
        <v>17</v>
      </c>
      <c r="D75" s="28" t="s">
        <v>471</v>
      </c>
      <c r="E75" s="23">
        <v>42120</v>
      </c>
      <c r="F75" s="58" t="s">
        <v>182</v>
      </c>
      <c r="G75" s="56">
        <v>1</v>
      </c>
    </row>
    <row r="76" spans="1:8" x14ac:dyDescent="0.25">
      <c r="A76" s="17">
        <f t="shared" si="1"/>
        <v>70</v>
      </c>
      <c r="B76" s="20" t="s">
        <v>1877</v>
      </c>
      <c r="C76" s="20" t="s">
        <v>17</v>
      </c>
      <c r="D76" s="28" t="s">
        <v>472</v>
      </c>
      <c r="E76" s="23">
        <v>42120</v>
      </c>
      <c r="F76" s="58" t="s">
        <v>182</v>
      </c>
      <c r="G76" s="56">
        <v>1</v>
      </c>
    </row>
    <row r="77" spans="1:8" x14ac:dyDescent="0.25">
      <c r="A77" s="17">
        <f t="shared" si="1"/>
        <v>71</v>
      </c>
      <c r="B77" s="20" t="s">
        <v>1877</v>
      </c>
      <c r="C77" s="20" t="s">
        <v>17</v>
      </c>
      <c r="D77" s="28" t="s">
        <v>473</v>
      </c>
      <c r="E77" s="23">
        <v>42120</v>
      </c>
      <c r="F77" s="58" t="s">
        <v>182</v>
      </c>
      <c r="G77" s="56">
        <v>1</v>
      </c>
    </row>
    <row r="78" spans="1:8" x14ac:dyDescent="0.25">
      <c r="A78" s="17">
        <f t="shared" si="1"/>
        <v>72</v>
      </c>
      <c r="B78" s="20" t="s">
        <v>1877</v>
      </c>
      <c r="C78" s="20" t="s">
        <v>17</v>
      </c>
      <c r="D78" s="28" t="s">
        <v>474</v>
      </c>
      <c r="E78" s="23">
        <v>42120</v>
      </c>
      <c r="F78" s="58" t="s">
        <v>182</v>
      </c>
      <c r="G78" s="56">
        <v>1</v>
      </c>
    </row>
    <row r="79" spans="1:8" x14ac:dyDescent="0.25">
      <c r="A79" s="17">
        <f t="shared" si="1"/>
        <v>73</v>
      </c>
      <c r="B79" s="20" t="s">
        <v>1877</v>
      </c>
      <c r="C79" s="20" t="s">
        <v>17</v>
      </c>
      <c r="D79" s="28" t="s">
        <v>475</v>
      </c>
      <c r="E79" s="23">
        <v>42120</v>
      </c>
      <c r="F79" s="58" t="s">
        <v>182</v>
      </c>
      <c r="G79" s="56">
        <v>1</v>
      </c>
    </row>
    <row r="80" spans="1:8" x14ac:dyDescent="0.25">
      <c r="A80" s="17">
        <f t="shared" si="1"/>
        <v>74</v>
      </c>
      <c r="B80" s="20" t="s">
        <v>1877</v>
      </c>
      <c r="C80" s="20" t="s">
        <v>17</v>
      </c>
      <c r="D80" s="28" t="s">
        <v>476</v>
      </c>
      <c r="E80" s="23">
        <v>42120</v>
      </c>
      <c r="F80" s="58" t="s">
        <v>182</v>
      </c>
      <c r="G80" s="56">
        <v>1</v>
      </c>
    </row>
    <row r="81" spans="1:7" x14ac:dyDescent="0.25">
      <c r="A81" s="17">
        <f t="shared" si="1"/>
        <v>75</v>
      </c>
      <c r="B81" s="20" t="s">
        <v>1877</v>
      </c>
      <c r="C81" s="20" t="s">
        <v>17</v>
      </c>
      <c r="D81" s="28" t="s">
        <v>447</v>
      </c>
      <c r="E81" s="23">
        <v>42120</v>
      </c>
      <c r="F81" s="58" t="s">
        <v>182</v>
      </c>
      <c r="G81" s="56">
        <v>1</v>
      </c>
    </row>
    <row r="82" spans="1:7" x14ac:dyDescent="0.25">
      <c r="A82" s="17">
        <f t="shared" si="1"/>
        <v>76</v>
      </c>
      <c r="B82" s="20" t="s">
        <v>1877</v>
      </c>
      <c r="C82" s="20" t="s">
        <v>17</v>
      </c>
      <c r="D82" s="28" t="s">
        <v>448</v>
      </c>
      <c r="E82" s="23">
        <v>42120</v>
      </c>
      <c r="F82" s="58" t="s">
        <v>182</v>
      </c>
      <c r="G82" s="56">
        <v>1</v>
      </c>
    </row>
    <row r="83" spans="1:7" x14ac:dyDescent="0.25">
      <c r="A83" s="17">
        <f t="shared" si="1"/>
        <v>77</v>
      </c>
      <c r="B83" s="20" t="s">
        <v>1877</v>
      </c>
      <c r="C83" s="20" t="s">
        <v>17</v>
      </c>
      <c r="D83" s="28" t="s">
        <v>449</v>
      </c>
      <c r="E83" s="23">
        <v>42120</v>
      </c>
      <c r="F83" s="58" t="s">
        <v>182</v>
      </c>
      <c r="G83" s="56">
        <v>1</v>
      </c>
    </row>
    <row r="84" spans="1:7" x14ac:dyDescent="0.25">
      <c r="A84" s="17">
        <f t="shared" si="1"/>
        <v>78</v>
      </c>
      <c r="B84" s="20" t="s">
        <v>1877</v>
      </c>
      <c r="C84" s="20" t="s">
        <v>17</v>
      </c>
      <c r="D84" s="28" t="s">
        <v>450</v>
      </c>
      <c r="E84" s="23">
        <v>42120</v>
      </c>
      <c r="F84" s="58" t="s">
        <v>182</v>
      </c>
      <c r="G84" s="56">
        <v>1</v>
      </c>
    </row>
    <row r="85" spans="1:7" x14ac:dyDescent="0.25">
      <c r="A85" s="17">
        <f t="shared" si="1"/>
        <v>79</v>
      </c>
      <c r="B85" s="20" t="s">
        <v>1877</v>
      </c>
      <c r="C85" s="20" t="s">
        <v>17</v>
      </c>
      <c r="D85" s="28" t="s">
        <v>451</v>
      </c>
      <c r="E85" s="23">
        <v>42120</v>
      </c>
      <c r="F85" s="58" t="s">
        <v>182</v>
      </c>
      <c r="G85" s="56">
        <v>1</v>
      </c>
    </row>
    <row r="86" spans="1:7" x14ac:dyDescent="0.25">
      <c r="A86" s="17">
        <f t="shared" si="1"/>
        <v>80</v>
      </c>
      <c r="B86" s="20" t="s">
        <v>1877</v>
      </c>
      <c r="C86" s="20" t="s">
        <v>17</v>
      </c>
      <c r="D86" s="28" t="s">
        <v>452</v>
      </c>
      <c r="E86" s="23">
        <v>42120</v>
      </c>
      <c r="F86" s="58" t="s">
        <v>182</v>
      </c>
      <c r="G86" s="56">
        <v>1</v>
      </c>
    </row>
    <row r="87" spans="1:7" x14ac:dyDescent="0.25">
      <c r="A87" s="17">
        <f t="shared" si="1"/>
        <v>81</v>
      </c>
      <c r="B87" s="20" t="s">
        <v>1877</v>
      </c>
      <c r="C87" s="20" t="s">
        <v>17</v>
      </c>
      <c r="D87" s="28" t="s">
        <v>453</v>
      </c>
      <c r="E87" s="23">
        <v>42120</v>
      </c>
      <c r="F87" s="58" t="s">
        <v>182</v>
      </c>
      <c r="G87" s="56">
        <v>1</v>
      </c>
    </row>
    <row r="88" spans="1:7" x14ac:dyDescent="0.25">
      <c r="A88" s="17">
        <f t="shared" si="1"/>
        <v>82</v>
      </c>
      <c r="B88" s="20" t="s">
        <v>1877</v>
      </c>
      <c r="C88" s="20" t="s">
        <v>17</v>
      </c>
      <c r="D88" s="28" t="s">
        <v>454</v>
      </c>
      <c r="E88" s="23">
        <v>42120</v>
      </c>
      <c r="F88" s="58" t="s">
        <v>182</v>
      </c>
      <c r="G88" s="56">
        <v>1</v>
      </c>
    </row>
    <row r="89" spans="1:7" x14ac:dyDescent="0.25">
      <c r="A89" s="17">
        <f t="shared" si="1"/>
        <v>83</v>
      </c>
      <c r="B89" s="20" t="s">
        <v>1877</v>
      </c>
      <c r="C89" s="20" t="s">
        <v>17</v>
      </c>
      <c r="D89" s="28" t="s">
        <v>455</v>
      </c>
      <c r="E89" s="23">
        <v>42120</v>
      </c>
      <c r="F89" s="58" t="s">
        <v>182</v>
      </c>
      <c r="G89" s="56">
        <v>1</v>
      </c>
    </row>
    <row r="90" spans="1:7" x14ac:dyDescent="0.25">
      <c r="A90" s="17">
        <f t="shared" si="1"/>
        <v>84</v>
      </c>
      <c r="B90" s="20" t="s">
        <v>1877</v>
      </c>
      <c r="C90" s="20" t="s">
        <v>17</v>
      </c>
      <c r="D90" s="28" t="s">
        <v>456</v>
      </c>
      <c r="E90" s="23">
        <v>42120</v>
      </c>
      <c r="F90" s="58" t="s">
        <v>182</v>
      </c>
      <c r="G90" s="56">
        <v>1</v>
      </c>
    </row>
    <row r="91" spans="1:7" x14ac:dyDescent="0.25">
      <c r="A91" s="17">
        <f t="shared" si="1"/>
        <v>85</v>
      </c>
      <c r="B91" s="20" t="s">
        <v>1877</v>
      </c>
      <c r="C91" s="20" t="s">
        <v>17</v>
      </c>
      <c r="D91" s="28" t="s">
        <v>477</v>
      </c>
      <c r="E91" s="23">
        <v>42120</v>
      </c>
      <c r="F91" s="58" t="s">
        <v>182</v>
      </c>
      <c r="G91" s="56">
        <v>1</v>
      </c>
    </row>
    <row r="92" spans="1:7" x14ac:dyDescent="0.25">
      <c r="A92" s="17">
        <f t="shared" si="1"/>
        <v>86</v>
      </c>
      <c r="B92" s="20" t="s">
        <v>1877</v>
      </c>
      <c r="C92" s="20" t="s">
        <v>17</v>
      </c>
      <c r="D92" s="28" t="s">
        <v>478</v>
      </c>
      <c r="E92" s="23">
        <v>42120</v>
      </c>
      <c r="F92" s="58" t="s">
        <v>182</v>
      </c>
      <c r="G92" s="56">
        <v>1</v>
      </c>
    </row>
    <row r="93" spans="1:7" x14ac:dyDescent="0.25">
      <c r="A93" s="17">
        <f t="shared" si="1"/>
        <v>87</v>
      </c>
      <c r="B93" s="20" t="s">
        <v>1877</v>
      </c>
      <c r="C93" s="20" t="s">
        <v>17</v>
      </c>
      <c r="D93" s="28" t="s">
        <v>479</v>
      </c>
      <c r="E93" s="23">
        <v>42120</v>
      </c>
      <c r="F93" s="58" t="s">
        <v>182</v>
      </c>
      <c r="G93" s="56">
        <v>1</v>
      </c>
    </row>
    <row r="94" spans="1:7" x14ac:dyDescent="0.25">
      <c r="A94" s="17">
        <f t="shared" si="1"/>
        <v>88</v>
      </c>
      <c r="B94" s="20" t="s">
        <v>1877</v>
      </c>
      <c r="C94" s="20" t="s">
        <v>17</v>
      </c>
      <c r="D94" s="28" t="s">
        <v>480</v>
      </c>
      <c r="E94" s="23">
        <v>42120</v>
      </c>
      <c r="F94" s="58" t="s">
        <v>182</v>
      </c>
      <c r="G94" s="56">
        <v>1</v>
      </c>
    </row>
    <row r="95" spans="1:7" x14ac:dyDescent="0.25">
      <c r="A95" s="17">
        <f t="shared" si="1"/>
        <v>89</v>
      </c>
      <c r="B95" s="20" t="s">
        <v>1877</v>
      </c>
      <c r="C95" s="20" t="s">
        <v>17</v>
      </c>
      <c r="D95" s="28" t="s">
        <v>481</v>
      </c>
      <c r="E95" s="23">
        <v>42120</v>
      </c>
      <c r="F95" s="58" t="s">
        <v>182</v>
      </c>
      <c r="G95" s="56">
        <v>1</v>
      </c>
    </row>
    <row r="96" spans="1:7" x14ac:dyDescent="0.25">
      <c r="A96" s="17">
        <f t="shared" si="1"/>
        <v>90</v>
      </c>
      <c r="B96" s="20" t="s">
        <v>1877</v>
      </c>
      <c r="C96" s="20" t="s">
        <v>17</v>
      </c>
      <c r="D96" s="28" t="s">
        <v>482</v>
      </c>
      <c r="E96" s="23">
        <v>42120</v>
      </c>
      <c r="F96" s="58" t="s">
        <v>182</v>
      </c>
      <c r="G96" s="56">
        <v>1</v>
      </c>
    </row>
    <row r="97" spans="1:7" x14ac:dyDescent="0.25">
      <c r="A97" s="17">
        <f t="shared" si="1"/>
        <v>91</v>
      </c>
      <c r="B97" s="20" t="s">
        <v>1877</v>
      </c>
      <c r="C97" s="20" t="s">
        <v>17</v>
      </c>
      <c r="D97" s="28" t="s">
        <v>483</v>
      </c>
      <c r="E97" s="23">
        <v>42120</v>
      </c>
      <c r="F97" s="58" t="s">
        <v>182</v>
      </c>
      <c r="G97" s="56">
        <v>1</v>
      </c>
    </row>
    <row r="98" spans="1:7" x14ac:dyDescent="0.25">
      <c r="A98" s="17">
        <f t="shared" si="1"/>
        <v>92</v>
      </c>
      <c r="B98" s="20" t="s">
        <v>1877</v>
      </c>
      <c r="C98" s="20" t="s">
        <v>17</v>
      </c>
      <c r="D98" s="28" t="s">
        <v>484</v>
      </c>
      <c r="E98" s="23">
        <v>42120</v>
      </c>
      <c r="F98" s="58" t="s">
        <v>182</v>
      </c>
      <c r="G98" s="56">
        <v>1</v>
      </c>
    </row>
    <row r="99" spans="1:7" x14ac:dyDescent="0.25">
      <c r="A99" s="17">
        <f t="shared" si="1"/>
        <v>93</v>
      </c>
      <c r="B99" s="20" t="s">
        <v>1877</v>
      </c>
      <c r="C99" s="20" t="s">
        <v>17</v>
      </c>
      <c r="D99" s="28" t="s">
        <v>485</v>
      </c>
      <c r="E99" s="23">
        <v>42120</v>
      </c>
      <c r="F99" s="58" t="s">
        <v>182</v>
      </c>
      <c r="G99" s="56">
        <v>1</v>
      </c>
    </row>
    <row r="100" spans="1:7" x14ac:dyDescent="0.25">
      <c r="A100" s="17">
        <f t="shared" si="1"/>
        <v>94</v>
      </c>
      <c r="B100" s="20" t="s">
        <v>1877</v>
      </c>
      <c r="C100" s="20" t="s">
        <v>17</v>
      </c>
      <c r="D100" s="28" t="s">
        <v>486</v>
      </c>
      <c r="E100" s="23">
        <v>42120</v>
      </c>
      <c r="F100" s="58" t="s">
        <v>182</v>
      </c>
      <c r="G100" s="56">
        <v>1</v>
      </c>
    </row>
    <row r="101" spans="1:7" x14ac:dyDescent="0.25">
      <c r="A101" s="17">
        <f t="shared" si="1"/>
        <v>95</v>
      </c>
      <c r="B101" s="20" t="s">
        <v>1877</v>
      </c>
      <c r="C101" s="20" t="s">
        <v>17</v>
      </c>
      <c r="D101" s="28" t="s">
        <v>457</v>
      </c>
      <c r="E101" s="23">
        <v>42120</v>
      </c>
      <c r="F101" s="58" t="s">
        <v>182</v>
      </c>
      <c r="G101" s="56">
        <v>1</v>
      </c>
    </row>
    <row r="102" spans="1:7" x14ac:dyDescent="0.25">
      <c r="A102" s="17">
        <f t="shared" si="1"/>
        <v>96</v>
      </c>
      <c r="B102" s="20" t="s">
        <v>1877</v>
      </c>
      <c r="C102" s="20" t="s">
        <v>17</v>
      </c>
      <c r="D102" s="28" t="s">
        <v>458</v>
      </c>
      <c r="E102" s="23">
        <v>42120</v>
      </c>
      <c r="F102" s="58" t="s">
        <v>182</v>
      </c>
      <c r="G102" s="56">
        <v>1</v>
      </c>
    </row>
    <row r="103" spans="1:7" x14ac:dyDescent="0.25">
      <c r="A103" s="17">
        <f t="shared" si="1"/>
        <v>97</v>
      </c>
      <c r="B103" s="20" t="s">
        <v>1877</v>
      </c>
      <c r="C103" s="20" t="s">
        <v>17</v>
      </c>
      <c r="D103" s="28" t="s">
        <v>459</v>
      </c>
      <c r="E103" s="23">
        <v>42120</v>
      </c>
      <c r="F103" s="58" t="s">
        <v>182</v>
      </c>
      <c r="G103" s="56">
        <v>1</v>
      </c>
    </row>
    <row r="104" spans="1:7" x14ac:dyDescent="0.25">
      <c r="A104" s="17">
        <f t="shared" si="1"/>
        <v>98</v>
      </c>
      <c r="B104" s="20" t="s">
        <v>1877</v>
      </c>
      <c r="C104" s="20" t="s">
        <v>17</v>
      </c>
      <c r="D104" s="28" t="s">
        <v>460</v>
      </c>
      <c r="E104" s="23">
        <v>42120</v>
      </c>
      <c r="F104" s="58" t="s">
        <v>182</v>
      </c>
      <c r="G104" s="56">
        <v>1</v>
      </c>
    </row>
    <row r="105" spans="1:7" x14ac:dyDescent="0.25">
      <c r="A105" s="17">
        <f t="shared" si="1"/>
        <v>99</v>
      </c>
      <c r="B105" s="20" t="s">
        <v>1877</v>
      </c>
      <c r="C105" s="20" t="s">
        <v>17</v>
      </c>
      <c r="D105" s="28" t="s">
        <v>461</v>
      </c>
      <c r="E105" s="23">
        <v>42120</v>
      </c>
      <c r="F105" s="58" t="s">
        <v>182</v>
      </c>
      <c r="G105" s="56">
        <v>1</v>
      </c>
    </row>
    <row r="106" spans="1:7" x14ac:dyDescent="0.25">
      <c r="A106" s="17">
        <f t="shared" si="1"/>
        <v>100</v>
      </c>
      <c r="B106" s="20" t="s">
        <v>1877</v>
      </c>
      <c r="C106" s="20" t="s">
        <v>17</v>
      </c>
      <c r="D106" s="28" t="s">
        <v>462</v>
      </c>
      <c r="E106" s="23">
        <v>42120</v>
      </c>
      <c r="F106" s="58" t="s">
        <v>182</v>
      </c>
      <c r="G106" s="56">
        <v>1</v>
      </c>
    </row>
    <row r="107" spans="1:7" x14ac:dyDescent="0.25">
      <c r="A107" s="17">
        <f t="shared" si="1"/>
        <v>101</v>
      </c>
      <c r="B107" s="20" t="s">
        <v>1877</v>
      </c>
      <c r="C107" s="20" t="s">
        <v>17</v>
      </c>
      <c r="D107" s="28" t="s">
        <v>463</v>
      </c>
      <c r="E107" s="23">
        <v>42120</v>
      </c>
      <c r="F107" s="58" t="s">
        <v>182</v>
      </c>
      <c r="G107" s="56">
        <v>1</v>
      </c>
    </row>
    <row r="108" spans="1:7" x14ac:dyDescent="0.25">
      <c r="A108" s="17">
        <f t="shared" si="1"/>
        <v>102</v>
      </c>
      <c r="B108" s="20" t="s">
        <v>1877</v>
      </c>
      <c r="C108" s="20" t="s">
        <v>17</v>
      </c>
      <c r="D108" s="28" t="s">
        <v>464</v>
      </c>
      <c r="E108" s="23">
        <v>42120</v>
      </c>
      <c r="F108" s="58" t="s">
        <v>182</v>
      </c>
      <c r="G108" s="56">
        <v>1</v>
      </c>
    </row>
    <row r="109" spans="1:7" x14ac:dyDescent="0.25">
      <c r="A109" s="17">
        <f t="shared" si="1"/>
        <v>103</v>
      </c>
      <c r="B109" s="20" t="s">
        <v>1877</v>
      </c>
      <c r="C109" s="20" t="s">
        <v>17</v>
      </c>
      <c r="D109" s="28" t="s">
        <v>465</v>
      </c>
      <c r="E109" s="23">
        <v>42120</v>
      </c>
      <c r="F109" s="58" t="s">
        <v>182</v>
      </c>
      <c r="G109" s="56">
        <v>1</v>
      </c>
    </row>
    <row r="110" spans="1:7" x14ac:dyDescent="0.25">
      <c r="A110" s="17">
        <f t="shared" si="1"/>
        <v>104</v>
      </c>
      <c r="B110" s="20" t="s">
        <v>1877</v>
      </c>
      <c r="C110" s="20" t="s">
        <v>17</v>
      </c>
      <c r="D110" s="28" t="s">
        <v>466</v>
      </c>
      <c r="E110" s="23">
        <v>42120</v>
      </c>
      <c r="F110" s="58" t="s">
        <v>182</v>
      </c>
      <c r="G110" s="56">
        <v>1</v>
      </c>
    </row>
    <row r="111" spans="1:7" x14ac:dyDescent="0.25">
      <c r="A111" s="17">
        <f t="shared" si="1"/>
        <v>105</v>
      </c>
      <c r="B111" s="20" t="s">
        <v>1877</v>
      </c>
      <c r="C111" s="20" t="s">
        <v>17</v>
      </c>
      <c r="D111" s="28" t="s">
        <v>487</v>
      </c>
      <c r="E111" s="23">
        <v>42120</v>
      </c>
      <c r="F111" s="58" t="s">
        <v>182</v>
      </c>
      <c r="G111" s="56">
        <v>1</v>
      </c>
    </row>
    <row r="112" spans="1:7" x14ac:dyDescent="0.25">
      <c r="A112" s="17">
        <f t="shared" si="1"/>
        <v>106</v>
      </c>
      <c r="B112" s="20" t="s">
        <v>1877</v>
      </c>
      <c r="C112" s="20" t="s">
        <v>17</v>
      </c>
      <c r="D112" s="28" t="s">
        <v>488</v>
      </c>
      <c r="E112" s="23">
        <v>42120</v>
      </c>
      <c r="F112" s="58" t="s">
        <v>182</v>
      </c>
      <c r="G112" s="56">
        <v>1</v>
      </c>
    </row>
    <row r="113" spans="1:7" x14ac:dyDescent="0.25">
      <c r="A113" s="17">
        <f t="shared" si="1"/>
        <v>107</v>
      </c>
      <c r="B113" s="20" t="s">
        <v>1877</v>
      </c>
      <c r="C113" s="20" t="s">
        <v>17</v>
      </c>
      <c r="D113" s="28" t="s">
        <v>489</v>
      </c>
      <c r="E113" s="23">
        <v>42120</v>
      </c>
      <c r="F113" s="58" t="s">
        <v>182</v>
      </c>
      <c r="G113" s="56">
        <v>1</v>
      </c>
    </row>
    <row r="114" spans="1:7" x14ac:dyDescent="0.25">
      <c r="A114" s="17">
        <f t="shared" si="1"/>
        <v>108</v>
      </c>
      <c r="B114" s="20" t="s">
        <v>1877</v>
      </c>
      <c r="C114" s="20" t="s">
        <v>17</v>
      </c>
      <c r="D114" s="28" t="s">
        <v>490</v>
      </c>
      <c r="E114" s="23">
        <v>42120</v>
      </c>
      <c r="F114" s="58" t="s">
        <v>182</v>
      </c>
      <c r="G114" s="56">
        <v>1</v>
      </c>
    </row>
    <row r="115" spans="1:7" x14ac:dyDescent="0.25">
      <c r="A115" s="17">
        <f t="shared" si="1"/>
        <v>109</v>
      </c>
      <c r="B115" s="20" t="s">
        <v>1877</v>
      </c>
      <c r="C115" s="20" t="s">
        <v>17</v>
      </c>
      <c r="D115" s="28" t="s">
        <v>491</v>
      </c>
      <c r="E115" s="23">
        <v>42120</v>
      </c>
      <c r="F115" s="58" t="s">
        <v>182</v>
      </c>
      <c r="G115" s="56">
        <v>1</v>
      </c>
    </row>
    <row r="116" spans="1:7" x14ac:dyDescent="0.25">
      <c r="A116" s="17">
        <f t="shared" si="1"/>
        <v>110</v>
      </c>
      <c r="B116" s="20" t="s">
        <v>1877</v>
      </c>
      <c r="C116" s="20" t="s">
        <v>17</v>
      </c>
      <c r="D116" s="28" t="s">
        <v>492</v>
      </c>
      <c r="E116" s="23">
        <v>42120</v>
      </c>
      <c r="F116" s="58" t="s">
        <v>182</v>
      </c>
      <c r="G116" s="56">
        <v>1</v>
      </c>
    </row>
    <row r="117" spans="1:7" x14ac:dyDescent="0.25">
      <c r="A117" s="17">
        <f t="shared" si="1"/>
        <v>111</v>
      </c>
      <c r="B117" s="20" t="s">
        <v>1877</v>
      </c>
      <c r="C117" s="20" t="s">
        <v>17</v>
      </c>
      <c r="D117" s="28" t="s">
        <v>493</v>
      </c>
      <c r="E117" s="23">
        <v>42120</v>
      </c>
      <c r="F117" s="58" t="s">
        <v>182</v>
      </c>
      <c r="G117" s="56">
        <v>1</v>
      </c>
    </row>
    <row r="118" spans="1:7" x14ac:dyDescent="0.25">
      <c r="A118" s="17">
        <f t="shared" si="1"/>
        <v>112</v>
      </c>
      <c r="B118" s="20" t="s">
        <v>1877</v>
      </c>
      <c r="C118" s="20" t="s">
        <v>17</v>
      </c>
      <c r="D118" s="28" t="s">
        <v>494</v>
      </c>
      <c r="E118" s="23">
        <v>42120</v>
      </c>
      <c r="F118" s="58" t="s">
        <v>182</v>
      </c>
      <c r="G118" s="56">
        <v>1</v>
      </c>
    </row>
    <row r="119" spans="1:7" x14ac:dyDescent="0.25">
      <c r="A119" s="17">
        <f t="shared" si="1"/>
        <v>113</v>
      </c>
      <c r="B119" s="20" t="s">
        <v>1877</v>
      </c>
      <c r="C119" s="20" t="s">
        <v>17</v>
      </c>
      <c r="D119" s="28" t="s">
        <v>495</v>
      </c>
      <c r="E119" s="23">
        <v>42120</v>
      </c>
      <c r="F119" s="58" t="s">
        <v>182</v>
      </c>
      <c r="G119" s="56">
        <v>1</v>
      </c>
    </row>
    <row r="120" spans="1:7" x14ac:dyDescent="0.25">
      <c r="A120" s="17">
        <f t="shared" si="1"/>
        <v>114</v>
      </c>
      <c r="B120" s="20" t="s">
        <v>1877</v>
      </c>
      <c r="C120" s="20" t="s">
        <v>17</v>
      </c>
      <c r="D120" s="28" t="s">
        <v>496</v>
      </c>
      <c r="E120" s="23">
        <v>42120</v>
      </c>
      <c r="F120" s="58" t="s">
        <v>182</v>
      </c>
      <c r="G120" s="56">
        <v>1</v>
      </c>
    </row>
    <row r="121" spans="1:7" x14ac:dyDescent="0.25">
      <c r="A121" s="17">
        <f t="shared" si="1"/>
        <v>115</v>
      </c>
      <c r="B121" s="20" t="s">
        <v>1877</v>
      </c>
      <c r="C121" s="20" t="s">
        <v>17</v>
      </c>
      <c r="D121" s="28" t="s">
        <v>437</v>
      </c>
      <c r="E121" s="23">
        <v>42120</v>
      </c>
      <c r="F121" s="58" t="s">
        <v>182</v>
      </c>
      <c r="G121" s="56">
        <v>1</v>
      </c>
    </row>
    <row r="122" spans="1:7" x14ac:dyDescent="0.25">
      <c r="A122" s="17">
        <f t="shared" si="1"/>
        <v>116</v>
      </c>
      <c r="B122" s="20" t="s">
        <v>1877</v>
      </c>
      <c r="C122" s="20" t="s">
        <v>17</v>
      </c>
      <c r="D122" s="28" t="s">
        <v>438</v>
      </c>
      <c r="E122" s="23">
        <v>42120</v>
      </c>
      <c r="F122" s="58" t="s">
        <v>182</v>
      </c>
      <c r="G122" s="56">
        <v>1</v>
      </c>
    </row>
    <row r="123" spans="1:7" x14ac:dyDescent="0.25">
      <c r="A123" s="17">
        <f t="shared" si="1"/>
        <v>117</v>
      </c>
      <c r="B123" s="20" t="s">
        <v>1877</v>
      </c>
      <c r="C123" s="20" t="s">
        <v>17</v>
      </c>
      <c r="D123" s="28" t="s">
        <v>439</v>
      </c>
      <c r="E123" s="23">
        <v>42120</v>
      </c>
      <c r="F123" s="58" t="s">
        <v>182</v>
      </c>
      <c r="G123" s="56">
        <v>1</v>
      </c>
    </row>
    <row r="124" spans="1:7" x14ac:dyDescent="0.25">
      <c r="A124" s="17">
        <f t="shared" si="1"/>
        <v>118</v>
      </c>
      <c r="B124" s="20" t="s">
        <v>1877</v>
      </c>
      <c r="C124" s="20" t="s">
        <v>17</v>
      </c>
      <c r="D124" s="28" t="s">
        <v>440</v>
      </c>
      <c r="E124" s="23">
        <v>42120</v>
      </c>
      <c r="F124" s="58" t="s">
        <v>182</v>
      </c>
      <c r="G124" s="56">
        <v>1</v>
      </c>
    </row>
    <row r="125" spans="1:7" x14ac:dyDescent="0.25">
      <c r="A125" s="17">
        <f t="shared" si="1"/>
        <v>119</v>
      </c>
      <c r="B125" s="20" t="s">
        <v>1877</v>
      </c>
      <c r="C125" s="20" t="s">
        <v>17</v>
      </c>
      <c r="D125" s="28" t="s">
        <v>441</v>
      </c>
      <c r="E125" s="23">
        <v>42120</v>
      </c>
      <c r="F125" s="58" t="s">
        <v>182</v>
      </c>
      <c r="G125" s="56">
        <v>1</v>
      </c>
    </row>
    <row r="126" spans="1:7" x14ac:dyDescent="0.25">
      <c r="A126" s="17">
        <f t="shared" si="1"/>
        <v>120</v>
      </c>
      <c r="B126" s="20" t="s">
        <v>1877</v>
      </c>
      <c r="C126" s="20" t="s">
        <v>17</v>
      </c>
      <c r="D126" s="28" t="s">
        <v>442</v>
      </c>
      <c r="E126" s="23">
        <v>42120</v>
      </c>
      <c r="F126" s="58" t="s">
        <v>182</v>
      </c>
      <c r="G126" s="56">
        <v>1</v>
      </c>
    </row>
    <row r="127" spans="1:7" x14ac:dyDescent="0.25">
      <c r="A127" s="17">
        <f t="shared" si="1"/>
        <v>121</v>
      </c>
      <c r="B127" s="20" t="s">
        <v>1877</v>
      </c>
      <c r="C127" s="20" t="s">
        <v>17</v>
      </c>
      <c r="D127" s="28" t="s">
        <v>443</v>
      </c>
      <c r="E127" s="23">
        <v>42120</v>
      </c>
      <c r="F127" s="58" t="s">
        <v>182</v>
      </c>
      <c r="G127" s="56">
        <v>1</v>
      </c>
    </row>
    <row r="128" spans="1:7" x14ac:dyDescent="0.25">
      <c r="A128" s="17">
        <f t="shared" si="1"/>
        <v>122</v>
      </c>
      <c r="B128" s="20" t="s">
        <v>1877</v>
      </c>
      <c r="C128" s="20" t="s">
        <v>17</v>
      </c>
      <c r="D128" s="28" t="s">
        <v>444</v>
      </c>
      <c r="E128" s="23">
        <v>42120</v>
      </c>
      <c r="F128" s="58" t="s">
        <v>182</v>
      </c>
      <c r="G128" s="56">
        <v>1</v>
      </c>
    </row>
    <row r="129" spans="1:7" x14ac:dyDescent="0.25">
      <c r="A129" s="17">
        <f t="shared" si="1"/>
        <v>123</v>
      </c>
      <c r="B129" s="20" t="s">
        <v>1877</v>
      </c>
      <c r="C129" s="20" t="s">
        <v>17</v>
      </c>
      <c r="D129" s="28" t="s">
        <v>445</v>
      </c>
      <c r="E129" s="23">
        <v>42120</v>
      </c>
      <c r="F129" s="58" t="s">
        <v>182</v>
      </c>
      <c r="G129" s="56">
        <v>1</v>
      </c>
    </row>
    <row r="130" spans="1:7" x14ac:dyDescent="0.25">
      <c r="A130" s="17">
        <f t="shared" si="1"/>
        <v>124</v>
      </c>
      <c r="B130" s="20" t="s">
        <v>1877</v>
      </c>
      <c r="C130" s="20" t="s">
        <v>17</v>
      </c>
      <c r="D130" s="28" t="s">
        <v>446</v>
      </c>
      <c r="E130" s="23">
        <v>42120</v>
      </c>
      <c r="F130" s="58" t="s">
        <v>182</v>
      </c>
      <c r="G130" s="56">
        <v>1</v>
      </c>
    </row>
    <row r="131" spans="1:7" x14ac:dyDescent="0.25">
      <c r="A131" s="17">
        <f t="shared" si="1"/>
        <v>125</v>
      </c>
      <c r="B131" s="20" t="s">
        <v>1879</v>
      </c>
      <c r="C131" s="20" t="s">
        <v>17</v>
      </c>
      <c r="D131" s="29" t="s">
        <v>497</v>
      </c>
      <c r="E131" s="23">
        <v>42121</v>
      </c>
      <c r="F131" s="58" t="s">
        <v>182</v>
      </c>
      <c r="G131" s="56">
        <v>1</v>
      </c>
    </row>
    <row r="132" spans="1:7" x14ac:dyDescent="0.25">
      <c r="A132" s="17">
        <f t="shared" si="1"/>
        <v>126</v>
      </c>
      <c r="B132" s="20" t="s">
        <v>1879</v>
      </c>
      <c r="C132" s="20" t="s">
        <v>17</v>
      </c>
      <c r="D132" s="29" t="s">
        <v>499</v>
      </c>
      <c r="E132" s="23">
        <v>42121</v>
      </c>
      <c r="F132" s="58" t="s">
        <v>182</v>
      </c>
      <c r="G132" s="56">
        <v>1</v>
      </c>
    </row>
    <row r="133" spans="1:7" x14ac:dyDescent="0.25">
      <c r="A133" s="17">
        <f t="shared" si="1"/>
        <v>127</v>
      </c>
      <c r="B133" s="20" t="s">
        <v>1879</v>
      </c>
      <c r="C133" s="20" t="s">
        <v>17</v>
      </c>
      <c r="D133" s="29" t="s">
        <v>500</v>
      </c>
      <c r="E133" s="23">
        <v>42121</v>
      </c>
      <c r="F133" s="58" t="s">
        <v>182</v>
      </c>
      <c r="G133" s="56">
        <v>1</v>
      </c>
    </row>
    <row r="134" spans="1:7" x14ac:dyDescent="0.25">
      <c r="A134" s="17">
        <f t="shared" si="1"/>
        <v>128</v>
      </c>
      <c r="B134" s="20" t="s">
        <v>1879</v>
      </c>
      <c r="C134" s="20" t="s">
        <v>17</v>
      </c>
      <c r="D134" s="29" t="s">
        <v>501</v>
      </c>
      <c r="E134" s="23">
        <v>42121</v>
      </c>
      <c r="F134" s="58" t="s">
        <v>182</v>
      </c>
      <c r="G134" s="56">
        <v>1</v>
      </c>
    </row>
    <row r="135" spans="1:7" x14ac:dyDescent="0.25">
      <c r="A135" s="17">
        <f t="shared" si="1"/>
        <v>129</v>
      </c>
      <c r="B135" s="20" t="s">
        <v>1879</v>
      </c>
      <c r="C135" s="20" t="s">
        <v>17</v>
      </c>
      <c r="D135" s="29" t="s">
        <v>502</v>
      </c>
      <c r="E135" s="23">
        <v>42121</v>
      </c>
      <c r="F135" s="58" t="s">
        <v>182</v>
      </c>
      <c r="G135" s="56">
        <v>1</v>
      </c>
    </row>
    <row r="136" spans="1:7" x14ac:dyDescent="0.25">
      <c r="A136" s="17">
        <f t="shared" si="1"/>
        <v>130</v>
      </c>
      <c r="B136" s="20" t="s">
        <v>1879</v>
      </c>
      <c r="C136" s="20" t="s">
        <v>17</v>
      </c>
      <c r="D136" s="29" t="s">
        <v>503</v>
      </c>
      <c r="E136" s="23">
        <v>42121</v>
      </c>
      <c r="F136" s="58" t="s">
        <v>182</v>
      </c>
      <c r="G136" s="56">
        <v>1</v>
      </c>
    </row>
    <row r="137" spans="1:7" x14ac:dyDescent="0.25">
      <c r="A137" s="17">
        <f t="shared" ref="A137:A201" si="2">A136+1</f>
        <v>131</v>
      </c>
      <c r="B137" s="20" t="s">
        <v>1879</v>
      </c>
      <c r="C137" s="20" t="s">
        <v>17</v>
      </c>
      <c r="D137" s="29" t="s">
        <v>504</v>
      </c>
      <c r="E137" s="23">
        <v>42121</v>
      </c>
      <c r="F137" s="58" t="s">
        <v>182</v>
      </c>
      <c r="G137" s="56">
        <v>1</v>
      </c>
    </row>
    <row r="138" spans="1:7" x14ac:dyDescent="0.25">
      <c r="A138" s="17">
        <f t="shared" si="2"/>
        <v>132</v>
      </c>
      <c r="B138" s="20" t="s">
        <v>1879</v>
      </c>
      <c r="C138" s="20" t="s">
        <v>17</v>
      </c>
      <c r="D138" s="29" t="s">
        <v>505</v>
      </c>
      <c r="E138" s="23">
        <v>42121</v>
      </c>
      <c r="F138" s="58" t="s">
        <v>182</v>
      </c>
      <c r="G138" s="56">
        <v>1</v>
      </c>
    </row>
    <row r="139" spans="1:7" x14ac:dyDescent="0.25">
      <c r="A139" s="17">
        <f t="shared" si="2"/>
        <v>133</v>
      </c>
      <c r="B139" s="20" t="s">
        <v>1879</v>
      </c>
      <c r="C139" s="20" t="s">
        <v>17</v>
      </c>
      <c r="D139" s="29" t="s">
        <v>506</v>
      </c>
      <c r="E139" s="23">
        <v>42121</v>
      </c>
      <c r="F139" s="58" t="s">
        <v>182</v>
      </c>
      <c r="G139" s="56">
        <v>1</v>
      </c>
    </row>
    <row r="140" spans="1:7" x14ac:dyDescent="0.25">
      <c r="A140" s="17">
        <f t="shared" si="2"/>
        <v>134</v>
      </c>
      <c r="B140" s="20" t="s">
        <v>1879</v>
      </c>
      <c r="C140" s="20" t="s">
        <v>17</v>
      </c>
      <c r="D140" s="29" t="s">
        <v>498</v>
      </c>
      <c r="E140" s="23">
        <v>42121</v>
      </c>
      <c r="F140" s="58" t="s">
        <v>182</v>
      </c>
      <c r="G140" s="56">
        <v>1</v>
      </c>
    </row>
    <row r="141" spans="1:7" x14ac:dyDescent="0.25">
      <c r="A141" s="17">
        <f t="shared" si="2"/>
        <v>135</v>
      </c>
      <c r="B141" s="20" t="s">
        <v>1879</v>
      </c>
      <c r="C141" s="20" t="s">
        <v>17</v>
      </c>
      <c r="D141" s="29" t="s">
        <v>507</v>
      </c>
      <c r="E141" s="23">
        <v>42121</v>
      </c>
      <c r="F141" s="58" t="s">
        <v>182</v>
      </c>
      <c r="G141" s="56">
        <v>1</v>
      </c>
    </row>
    <row r="142" spans="1:7" x14ac:dyDescent="0.25">
      <c r="A142" s="17">
        <f t="shared" si="2"/>
        <v>136</v>
      </c>
      <c r="B142" s="20" t="s">
        <v>1879</v>
      </c>
      <c r="C142" s="20" t="s">
        <v>17</v>
      </c>
      <c r="D142" s="29" t="s">
        <v>508</v>
      </c>
      <c r="E142" s="23">
        <v>42121</v>
      </c>
      <c r="F142" s="58" t="s">
        <v>182</v>
      </c>
      <c r="G142" s="56">
        <v>1</v>
      </c>
    </row>
    <row r="143" spans="1:7" x14ac:dyDescent="0.25">
      <c r="A143" s="17">
        <f t="shared" si="2"/>
        <v>137</v>
      </c>
      <c r="B143" s="20" t="s">
        <v>1879</v>
      </c>
      <c r="C143" s="20" t="s">
        <v>17</v>
      </c>
      <c r="D143" s="29" t="s">
        <v>509</v>
      </c>
      <c r="E143" s="23">
        <v>42121</v>
      </c>
      <c r="F143" s="58" t="s">
        <v>182</v>
      </c>
      <c r="G143" s="56">
        <v>1</v>
      </c>
    </row>
    <row r="144" spans="1:7" x14ac:dyDescent="0.25">
      <c r="A144" s="17">
        <f t="shared" si="2"/>
        <v>138</v>
      </c>
      <c r="B144" s="20" t="s">
        <v>1879</v>
      </c>
      <c r="C144" s="20" t="s">
        <v>17</v>
      </c>
      <c r="D144" s="29" t="s">
        <v>510</v>
      </c>
      <c r="E144" s="23">
        <v>42121</v>
      </c>
      <c r="F144" s="58" t="s">
        <v>182</v>
      </c>
      <c r="G144" s="56">
        <v>1</v>
      </c>
    </row>
    <row r="145" spans="1:7" x14ac:dyDescent="0.25">
      <c r="A145" s="17">
        <f t="shared" si="2"/>
        <v>139</v>
      </c>
      <c r="B145" s="20" t="s">
        <v>1879</v>
      </c>
      <c r="C145" s="20" t="s">
        <v>17</v>
      </c>
      <c r="D145" s="29" t="s">
        <v>511</v>
      </c>
      <c r="E145" s="23">
        <v>42121</v>
      </c>
      <c r="F145" s="58" t="s">
        <v>182</v>
      </c>
      <c r="G145" s="56">
        <v>1</v>
      </c>
    </row>
    <row r="146" spans="1:7" x14ac:dyDescent="0.25">
      <c r="A146" s="17">
        <f t="shared" si="2"/>
        <v>140</v>
      </c>
      <c r="B146" s="20" t="s">
        <v>1879</v>
      </c>
      <c r="C146" s="20" t="s">
        <v>17</v>
      </c>
      <c r="D146" s="29" t="s">
        <v>512</v>
      </c>
      <c r="E146" s="23">
        <v>42121</v>
      </c>
      <c r="F146" s="58" t="s">
        <v>182</v>
      </c>
      <c r="G146" s="56">
        <v>1</v>
      </c>
    </row>
    <row r="147" spans="1:7" x14ac:dyDescent="0.25">
      <c r="A147" s="17">
        <f t="shared" si="2"/>
        <v>141</v>
      </c>
      <c r="B147" s="20" t="s">
        <v>1879</v>
      </c>
      <c r="C147" s="20" t="s">
        <v>17</v>
      </c>
      <c r="D147" s="29" t="s">
        <v>513</v>
      </c>
      <c r="E147" s="23">
        <v>42121</v>
      </c>
      <c r="F147" s="58" t="s">
        <v>182</v>
      </c>
      <c r="G147" s="56">
        <v>1</v>
      </c>
    </row>
    <row r="148" spans="1:7" x14ac:dyDescent="0.25">
      <c r="A148" s="17">
        <f t="shared" si="2"/>
        <v>142</v>
      </c>
      <c r="B148" s="20" t="s">
        <v>1879</v>
      </c>
      <c r="C148" s="20" t="s">
        <v>17</v>
      </c>
      <c r="D148" s="29" t="s">
        <v>514</v>
      </c>
      <c r="E148" s="23">
        <v>42121</v>
      </c>
      <c r="F148" s="58" t="s">
        <v>182</v>
      </c>
      <c r="G148" s="56">
        <v>1</v>
      </c>
    </row>
    <row r="149" spans="1:7" x14ac:dyDescent="0.25">
      <c r="A149" s="17">
        <f t="shared" si="2"/>
        <v>143</v>
      </c>
      <c r="B149" s="20" t="s">
        <v>1879</v>
      </c>
      <c r="C149" s="20" t="s">
        <v>17</v>
      </c>
      <c r="D149" s="29" t="s">
        <v>515</v>
      </c>
      <c r="E149" s="23">
        <v>42121</v>
      </c>
      <c r="F149" s="58" t="s">
        <v>182</v>
      </c>
      <c r="G149" s="56">
        <v>1</v>
      </c>
    </row>
    <row r="150" spans="1:7" x14ac:dyDescent="0.25">
      <c r="A150" s="17">
        <f t="shared" si="2"/>
        <v>144</v>
      </c>
      <c r="B150" s="20" t="s">
        <v>1879</v>
      </c>
      <c r="C150" s="20" t="s">
        <v>17</v>
      </c>
      <c r="D150" s="29" t="s">
        <v>516</v>
      </c>
      <c r="E150" s="23">
        <v>42121</v>
      </c>
      <c r="F150" s="58" t="s">
        <v>182</v>
      </c>
      <c r="G150" s="56">
        <v>1</v>
      </c>
    </row>
    <row r="151" spans="1:7" x14ac:dyDescent="0.25">
      <c r="A151" s="17">
        <f t="shared" si="2"/>
        <v>145</v>
      </c>
      <c r="B151" s="20" t="s">
        <v>1879</v>
      </c>
      <c r="C151" s="20" t="s">
        <v>17</v>
      </c>
      <c r="D151" s="29" t="s">
        <v>517</v>
      </c>
      <c r="E151" s="23">
        <v>42121</v>
      </c>
      <c r="F151" s="58" t="s">
        <v>182</v>
      </c>
      <c r="G151" s="56">
        <v>1</v>
      </c>
    </row>
    <row r="152" spans="1:7" x14ac:dyDescent="0.25">
      <c r="A152" s="17">
        <f t="shared" si="2"/>
        <v>146</v>
      </c>
      <c r="B152" s="20" t="s">
        <v>1879</v>
      </c>
      <c r="C152" s="20" t="s">
        <v>17</v>
      </c>
      <c r="D152" s="29" t="s">
        <v>518</v>
      </c>
      <c r="E152" s="23">
        <v>42121</v>
      </c>
      <c r="F152" s="58" t="s">
        <v>182</v>
      </c>
      <c r="G152" s="56">
        <v>1</v>
      </c>
    </row>
    <row r="153" spans="1:7" x14ac:dyDescent="0.25">
      <c r="A153" s="17">
        <f t="shared" si="2"/>
        <v>147</v>
      </c>
      <c r="B153" s="20" t="s">
        <v>1879</v>
      </c>
      <c r="C153" s="20" t="s">
        <v>17</v>
      </c>
      <c r="D153" s="29" t="s">
        <v>519</v>
      </c>
      <c r="E153" s="23">
        <v>42121</v>
      </c>
      <c r="F153" s="58" t="s">
        <v>182</v>
      </c>
      <c r="G153" s="56">
        <v>1</v>
      </c>
    </row>
    <row r="154" spans="1:7" x14ac:dyDescent="0.25">
      <c r="A154" s="17">
        <f t="shared" si="2"/>
        <v>148</v>
      </c>
      <c r="B154" s="20" t="s">
        <v>1879</v>
      </c>
      <c r="C154" s="20" t="s">
        <v>17</v>
      </c>
      <c r="D154" s="29" t="s">
        <v>520</v>
      </c>
      <c r="E154" s="23">
        <v>42121</v>
      </c>
      <c r="F154" s="58" t="s">
        <v>182</v>
      </c>
      <c r="G154" s="56">
        <v>1</v>
      </c>
    </row>
    <row r="155" spans="1:7" x14ac:dyDescent="0.25">
      <c r="A155" s="17">
        <f t="shared" si="2"/>
        <v>149</v>
      </c>
      <c r="B155" s="20" t="s">
        <v>1879</v>
      </c>
      <c r="C155" s="20" t="s">
        <v>17</v>
      </c>
      <c r="D155" s="29" t="s">
        <v>521</v>
      </c>
      <c r="E155" s="23">
        <v>42121</v>
      </c>
      <c r="F155" s="58" t="s">
        <v>182</v>
      </c>
      <c r="G155" s="56">
        <v>1</v>
      </c>
    </row>
    <row r="156" spans="1:7" x14ac:dyDescent="0.25">
      <c r="A156" s="17">
        <f t="shared" si="2"/>
        <v>150</v>
      </c>
      <c r="B156" s="20" t="s">
        <v>1879</v>
      </c>
      <c r="C156" s="20" t="s">
        <v>17</v>
      </c>
      <c r="D156" s="29" t="s">
        <v>522</v>
      </c>
      <c r="E156" s="23">
        <v>42121</v>
      </c>
      <c r="F156" s="58" t="s">
        <v>182</v>
      </c>
      <c r="G156" s="56">
        <v>1</v>
      </c>
    </row>
    <row r="157" spans="1:7" x14ac:dyDescent="0.25">
      <c r="A157" s="17">
        <f t="shared" si="2"/>
        <v>151</v>
      </c>
      <c r="B157" s="20" t="s">
        <v>1879</v>
      </c>
      <c r="C157" s="20" t="s">
        <v>17</v>
      </c>
      <c r="D157" s="29" t="s">
        <v>523</v>
      </c>
      <c r="E157" s="23">
        <v>42121</v>
      </c>
      <c r="F157" s="58" t="s">
        <v>182</v>
      </c>
      <c r="G157" s="56">
        <v>1</v>
      </c>
    </row>
    <row r="158" spans="1:7" x14ac:dyDescent="0.25">
      <c r="A158" s="17">
        <f t="shared" si="2"/>
        <v>152</v>
      </c>
      <c r="B158" s="20" t="s">
        <v>1879</v>
      </c>
      <c r="C158" s="20" t="s">
        <v>17</v>
      </c>
      <c r="D158" s="29" t="s">
        <v>524</v>
      </c>
      <c r="E158" s="23">
        <v>42121</v>
      </c>
      <c r="F158" s="58" t="s">
        <v>182</v>
      </c>
      <c r="G158" s="56">
        <v>1</v>
      </c>
    </row>
    <row r="159" spans="1:7" x14ac:dyDescent="0.25">
      <c r="A159" s="17">
        <f t="shared" si="2"/>
        <v>153</v>
      </c>
      <c r="B159" s="20" t="s">
        <v>1879</v>
      </c>
      <c r="C159" s="20" t="s">
        <v>17</v>
      </c>
      <c r="D159" s="29" t="s">
        <v>525</v>
      </c>
      <c r="E159" s="23">
        <v>42121</v>
      </c>
      <c r="F159" s="58" t="s">
        <v>182</v>
      </c>
      <c r="G159" s="56">
        <v>1</v>
      </c>
    </row>
    <row r="160" spans="1:7" x14ac:dyDescent="0.25">
      <c r="A160" s="17">
        <f t="shared" si="2"/>
        <v>154</v>
      </c>
      <c r="B160" s="20" t="s">
        <v>1879</v>
      </c>
      <c r="C160" s="20" t="s">
        <v>17</v>
      </c>
      <c r="D160" s="29" t="s">
        <v>526</v>
      </c>
      <c r="E160" s="23">
        <v>42121</v>
      </c>
      <c r="F160" s="58" t="s">
        <v>182</v>
      </c>
      <c r="G160" s="56">
        <v>1</v>
      </c>
    </row>
    <row r="161" spans="1:7" x14ac:dyDescent="0.25">
      <c r="A161" s="17">
        <f t="shared" si="2"/>
        <v>155</v>
      </c>
      <c r="B161" s="20" t="s">
        <v>1879</v>
      </c>
      <c r="C161" s="20" t="s">
        <v>17</v>
      </c>
      <c r="D161" s="29" t="s">
        <v>527</v>
      </c>
      <c r="E161" s="23">
        <v>42121</v>
      </c>
      <c r="F161" s="58" t="s">
        <v>182</v>
      </c>
      <c r="G161" s="56">
        <v>1</v>
      </c>
    </row>
    <row r="162" spans="1:7" x14ac:dyDescent="0.25">
      <c r="A162" s="17">
        <f t="shared" si="2"/>
        <v>156</v>
      </c>
      <c r="B162" s="20" t="s">
        <v>1879</v>
      </c>
      <c r="C162" s="20" t="s">
        <v>17</v>
      </c>
      <c r="D162" s="29" t="s">
        <v>528</v>
      </c>
      <c r="E162" s="23">
        <v>42121</v>
      </c>
      <c r="F162" s="58" t="s">
        <v>182</v>
      </c>
      <c r="G162" s="56">
        <v>1</v>
      </c>
    </row>
    <row r="163" spans="1:7" x14ac:dyDescent="0.25">
      <c r="A163" s="17">
        <f t="shared" si="2"/>
        <v>157</v>
      </c>
      <c r="B163" s="20" t="s">
        <v>1879</v>
      </c>
      <c r="C163" s="20" t="s">
        <v>17</v>
      </c>
      <c r="D163" s="29" t="s">
        <v>529</v>
      </c>
      <c r="E163" s="23">
        <v>42121</v>
      </c>
      <c r="F163" s="58" t="s">
        <v>182</v>
      </c>
      <c r="G163" s="56">
        <v>1</v>
      </c>
    </row>
    <row r="164" spans="1:7" x14ac:dyDescent="0.25">
      <c r="A164" s="17">
        <f t="shared" si="2"/>
        <v>158</v>
      </c>
      <c r="B164" s="20" t="s">
        <v>1879</v>
      </c>
      <c r="C164" s="20" t="s">
        <v>17</v>
      </c>
      <c r="D164" s="29" t="s">
        <v>530</v>
      </c>
      <c r="E164" s="23">
        <v>42121</v>
      </c>
      <c r="F164" s="58" t="s">
        <v>182</v>
      </c>
      <c r="G164" s="56">
        <v>1</v>
      </c>
    </row>
    <row r="165" spans="1:7" x14ac:dyDescent="0.25">
      <c r="A165" s="17">
        <f t="shared" si="2"/>
        <v>159</v>
      </c>
      <c r="B165" s="20" t="s">
        <v>1879</v>
      </c>
      <c r="C165" s="20" t="s">
        <v>17</v>
      </c>
      <c r="D165" s="29" t="s">
        <v>531</v>
      </c>
      <c r="E165" s="23">
        <v>42121</v>
      </c>
      <c r="F165" s="58" t="s">
        <v>182</v>
      </c>
      <c r="G165" s="56">
        <v>1</v>
      </c>
    </row>
    <row r="166" spans="1:7" x14ac:dyDescent="0.25">
      <c r="A166" s="17">
        <f t="shared" si="2"/>
        <v>160</v>
      </c>
      <c r="B166" s="20" t="s">
        <v>1879</v>
      </c>
      <c r="C166" s="20" t="s">
        <v>17</v>
      </c>
      <c r="D166" s="29" t="s">
        <v>532</v>
      </c>
      <c r="E166" s="23">
        <v>42121</v>
      </c>
      <c r="F166" s="58" t="s">
        <v>182</v>
      </c>
      <c r="G166" s="56">
        <v>1</v>
      </c>
    </row>
    <row r="167" spans="1:7" x14ac:dyDescent="0.25">
      <c r="A167" s="17">
        <f t="shared" si="2"/>
        <v>161</v>
      </c>
      <c r="B167" s="20" t="s">
        <v>1879</v>
      </c>
      <c r="C167" s="20" t="s">
        <v>17</v>
      </c>
      <c r="D167" s="29" t="s">
        <v>533</v>
      </c>
      <c r="E167" s="23">
        <v>42121</v>
      </c>
      <c r="F167" s="58" t="s">
        <v>182</v>
      </c>
      <c r="G167" s="56">
        <v>1</v>
      </c>
    </row>
    <row r="168" spans="1:7" x14ac:dyDescent="0.25">
      <c r="A168" s="17">
        <f t="shared" si="2"/>
        <v>162</v>
      </c>
      <c r="B168" s="20" t="s">
        <v>1879</v>
      </c>
      <c r="C168" s="20" t="s">
        <v>17</v>
      </c>
      <c r="D168" s="29" t="s">
        <v>534</v>
      </c>
      <c r="E168" s="23">
        <v>42121</v>
      </c>
      <c r="F168" s="58" t="s">
        <v>182</v>
      </c>
      <c r="G168" s="56">
        <v>1</v>
      </c>
    </row>
    <row r="169" spans="1:7" x14ac:dyDescent="0.25">
      <c r="A169" s="17">
        <f t="shared" si="2"/>
        <v>163</v>
      </c>
      <c r="B169" s="20" t="s">
        <v>1879</v>
      </c>
      <c r="C169" s="20" t="s">
        <v>17</v>
      </c>
      <c r="D169" s="29" t="s">
        <v>535</v>
      </c>
      <c r="E169" s="23">
        <v>42121</v>
      </c>
      <c r="F169" s="58" t="s">
        <v>182</v>
      </c>
      <c r="G169" s="56">
        <v>1</v>
      </c>
    </row>
    <row r="170" spans="1:7" x14ac:dyDescent="0.25">
      <c r="A170" s="17">
        <f t="shared" si="2"/>
        <v>164</v>
      </c>
      <c r="B170" s="20" t="s">
        <v>1879</v>
      </c>
      <c r="C170" s="20" t="s">
        <v>17</v>
      </c>
      <c r="D170" s="29" t="s">
        <v>536</v>
      </c>
      <c r="E170" s="23">
        <v>42121</v>
      </c>
      <c r="F170" s="58" t="s">
        <v>182</v>
      </c>
      <c r="G170" s="56">
        <v>1</v>
      </c>
    </row>
    <row r="171" spans="1:7" x14ac:dyDescent="0.25">
      <c r="A171" s="17">
        <f t="shared" si="2"/>
        <v>165</v>
      </c>
      <c r="B171" s="20" t="s">
        <v>1879</v>
      </c>
      <c r="C171" s="20" t="s">
        <v>17</v>
      </c>
      <c r="D171" s="29" t="s">
        <v>537</v>
      </c>
      <c r="E171" s="23">
        <v>42121</v>
      </c>
      <c r="F171" s="58" t="s">
        <v>182</v>
      </c>
      <c r="G171" s="56">
        <v>1</v>
      </c>
    </row>
    <row r="172" spans="1:7" x14ac:dyDescent="0.25">
      <c r="A172" s="17">
        <f t="shared" si="2"/>
        <v>166</v>
      </c>
      <c r="B172" s="20" t="s">
        <v>1879</v>
      </c>
      <c r="C172" s="20" t="s">
        <v>17</v>
      </c>
      <c r="D172" s="29" t="s">
        <v>538</v>
      </c>
      <c r="E172" s="23">
        <v>42121</v>
      </c>
      <c r="F172" s="58" t="s">
        <v>182</v>
      </c>
      <c r="G172" s="56">
        <v>1</v>
      </c>
    </row>
    <row r="173" spans="1:7" x14ac:dyDescent="0.25">
      <c r="A173" s="17">
        <f t="shared" si="2"/>
        <v>167</v>
      </c>
      <c r="B173" s="20" t="s">
        <v>1879</v>
      </c>
      <c r="C173" s="20" t="s">
        <v>17</v>
      </c>
      <c r="D173" s="29" t="s">
        <v>539</v>
      </c>
      <c r="E173" s="23">
        <v>42121</v>
      </c>
      <c r="F173" s="58" t="s">
        <v>182</v>
      </c>
      <c r="G173" s="56">
        <v>1</v>
      </c>
    </row>
    <row r="174" spans="1:7" x14ac:dyDescent="0.25">
      <c r="A174" s="17">
        <f t="shared" si="2"/>
        <v>168</v>
      </c>
      <c r="B174" s="20" t="s">
        <v>1879</v>
      </c>
      <c r="C174" s="20" t="s">
        <v>17</v>
      </c>
      <c r="D174" s="29" t="s">
        <v>540</v>
      </c>
      <c r="E174" s="23">
        <v>42121</v>
      </c>
      <c r="F174" s="58" t="s">
        <v>182</v>
      </c>
      <c r="G174" s="56">
        <v>1</v>
      </c>
    </row>
    <row r="175" spans="1:7" x14ac:dyDescent="0.25">
      <c r="A175" s="17">
        <f t="shared" si="2"/>
        <v>169</v>
      </c>
      <c r="B175" s="20" t="s">
        <v>1879</v>
      </c>
      <c r="C175" s="20" t="s">
        <v>17</v>
      </c>
      <c r="D175" s="29" t="s">
        <v>541</v>
      </c>
      <c r="E175" s="23">
        <v>42121</v>
      </c>
      <c r="F175" s="58" t="s">
        <v>182</v>
      </c>
      <c r="G175" s="56">
        <v>1</v>
      </c>
    </row>
    <row r="176" spans="1:7" x14ac:dyDescent="0.25">
      <c r="A176" s="17">
        <f t="shared" si="2"/>
        <v>170</v>
      </c>
      <c r="B176" s="20" t="s">
        <v>1879</v>
      </c>
      <c r="C176" s="20" t="s">
        <v>17</v>
      </c>
      <c r="D176" s="29" t="s">
        <v>542</v>
      </c>
      <c r="E176" s="23">
        <v>42121</v>
      </c>
      <c r="F176" s="58" t="s">
        <v>182</v>
      </c>
      <c r="G176" s="56">
        <v>1</v>
      </c>
    </row>
    <row r="177" spans="1:7" x14ac:dyDescent="0.25">
      <c r="A177" s="17">
        <f t="shared" si="2"/>
        <v>171</v>
      </c>
      <c r="B177" s="20" t="s">
        <v>1879</v>
      </c>
      <c r="C177" s="20" t="s">
        <v>17</v>
      </c>
      <c r="D177" s="29" t="s">
        <v>543</v>
      </c>
      <c r="E177" s="23">
        <v>42121</v>
      </c>
      <c r="F177" s="58" t="s">
        <v>182</v>
      </c>
      <c r="G177" s="56">
        <v>1</v>
      </c>
    </row>
    <row r="178" spans="1:7" x14ac:dyDescent="0.25">
      <c r="A178" s="17">
        <f t="shared" si="2"/>
        <v>172</v>
      </c>
      <c r="B178" s="20" t="s">
        <v>1879</v>
      </c>
      <c r="C178" s="20" t="s">
        <v>17</v>
      </c>
      <c r="D178" s="29" t="s">
        <v>544</v>
      </c>
      <c r="E178" s="23">
        <v>42121</v>
      </c>
      <c r="F178" s="58" t="s">
        <v>182</v>
      </c>
      <c r="G178" s="56">
        <v>1</v>
      </c>
    </row>
    <row r="179" spans="1:7" x14ac:dyDescent="0.25">
      <c r="A179" s="17">
        <f t="shared" si="2"/>
        <v>173</v>
      </c>
      <c r="B179" s="20" t="s">
        <v>1879</v>
      </c>
      <c r="C179" s="20" t="s">
        <v>17</v>
      </c>
      <c r="D179" s="29" t="s">
        <v>545</v>
      </c>
      <c r="E179" s="23">
        <v>42121</v>
      </c>
      <c r="F179" s="58" t="s">
        <v>182</v>
      </c>
      <c r="G179" s="56">
        <v>1</v>
      </c>
    </row>
    <row r="180" spans="1:7" x14ac:dyDescent="0.25">
      <c r="A180" s="17">
        <f t="shared" si="2"/>
        <v>174</v>
      </c>
      <c r="B180" s="20" t="s">
        <v>1879</v>
      </c>
      <c r="C180" s="20" t="s">
        <v>17</v>
      </c>
      <c r="D180" s="29" t="s">
        <v>546</v>
      </c>
      <c r="E180" s="23">
        <v>42121</v>
      </c>
      <c r="F180" s="58" t="s">
        <v>182</v>
      </c>
      <c r="G180" s="56">
        <v>1</v>
      </c>
    </row>
    <row r="181" spans="1:7" x14ac:dyDescent="0.25">
      <c r="A181" s="17">
        <f t="shared" si="2"/>
        <v>175</v>
      </c>
      <c r="B181" s="20" t="s">
        <v>1879</v>
      </c>
      <c r="C181" s="20" t="s">
        <v>17</v>
      </c>
      <c r="D181" s="29" t="s">
        <v>548</v>
      </c>
      <c r="E181" s="23">
        <v>42121</v>
      </c>
      <c r="F181" s="58" t="s">
        <v>182</v>
      </c>
      <c r="G181" s="56">
        <v>1</v>
      </c>
    </row>
    <row r="182" spans="1:7" x14ac:dyDescent="0.25">
      <c r="A182" s="17">
        <f t="shared" si="2"/>
        <v>176</v>
      </c>
      <c r="B182" s="20" t="s">
        <v>1879</v>
      </c>
      <c r="C182" s="20" t="s">
        <v>17</v>
      </c>
      <c r="D182" s="29" t="s">
        <v>549</v>
      </c>
      <c r="E182" s="23">
        <v>42121</v>
      </c>
      <c r="F182" s="58" t="s">
        <v>182</v>
      </c>
      <c r="G182" s="56">
        <v>1</v>
      </c>
    </row>
    <row r="183" spans="1:7" x14ac:dyDescent="0.25">
      <c r="A183" s="17">
        <f t="shared" si="2"/>
        <v>177</v>
      </c>
      <c r="B183" s="20" t="s">
        <v>1879</v>
      </c>
      <c r="C183" s="20" t="s">
        <v>17</v>
      </c>
      <c r="D183" s="29" t="s">
        <v>550</v>
      </c>
      <c r="E183" s="23">
        <v>42121</v>
      </c>
      <c r="F183" s="58" t="s">
        <v>182</v>
      </c>
      <c r="G183" s="56">
        <v>1</v>
      </c>
    </row>
    <row r="184" spans="1:7" x14ac:dyDescent="0.25">
      <c r="A184" s="17">
        <f t="shared" si="2"/>
        <v>178</v>
      </c>
      <c r="B184" s="20" t="s">
        <v>1879</v>
      </c>
      <c r="C184" s="20" t="s">
        <v>17</v>
      </c>
      <c r="D184" s="29" t="s">
        <v>551</v>
      </c>
      <c r="E184" s="23">
        <v>42121</v>
      </c>
      <c r="F184" s="58" t="s">
        <v>182</v>
      </c>
      <c r="G184" s="56">
        <v>1</v>
      </c>
    </row>
    <row r="185" spans="1:7" x14ac:dyDescent="0.25">
      <c r="A185" s="17">
        <f t="shared" si="2"/>
        <v>179</v>
      </c>
      <c r="B185" s="20" t="s">
        <v>1879</v>
      </c>
      <c r="C185" s="20" t="s">
        <v>17</v>
      </c>
      <c r="D185" s="29" t="s">
        <v>552</v>
      </c>
      <c r="E185" s="23">
        <v>42121</v>
      </c>
      <c r="F185" s="58" t="s">
        <v>182</v>
      </c>
      <c r="G185" s="56">
        <v>1</v>
      </c>
    </row>
    <row r="186" spans="1:7" x14ac:dyDescent="0.25">
      <c r="A186" s="17">
        <f t="shared" si="2"/>
        <v>180</v>
      </c>
      <c r="B186" s="20" t="s">
        <v>1879</v>
      </c>
      <c r="C186" s="20" t="s">
        <v>17</v>
      </c>
      <c r="D186" s="29" t="s">
        <v>553</v>
      </c>
      <c r="E186" s="23">
        <v>42121</v>
      </c>
      <c r="F186" s="58" t="s">
        <v>182</v>
      </c>
      <c r="G186" s="56">
        <v>1</v>
      </c>
    </row>
    <row r="187" spans="1:7" x14ac:dyDescent="0.25">
      <c r="A187" s="17">
        <f t="shared" si="2"/>
        <v>181</v>
      </c>
      <c r="B187" s="20" t="s">
        <v>1879</v>
      </c>
      <c r="C187" s="20" t="s">
        <v>17</v>
      </c>
      <c r="D187" s="29" t="s">
        <v>554</v>
      </c>
      <c r="E187" s="23">
        <v>42121</v>
      </c>
      <c r="F187" s="58" t="s">
        <v>182</v>
      </c>
      <c r="G187" s="56">
        <v>1</v>
      </c>
    </row>
    <row r="188" spans="1:7" x14ac:dyDescent="0.25">
      <c r="A188" s="17">
        <f t="shared" si="2"/>
        <v>182</v>
      </c>
      <c r="B188" s="20" t="s">
        <v>1879</v>
      </c>
      <c r="C188" s="20" t="s">
        <v>17</v>
      </c>
      <c r="D188" s="29" t="s">
        <v>555</v>
      </c>
      <c r="E188" s="23">
        <v>42121</v>
      </c>
      <c r="F188" s="58" t="s">
        <v>182</v>
      </c>
      <c r="G188" s="56">
        <v>1</v>
      </c>
    </row>
    <row r="189" spans="1:7" x14ac:dyDescent="0.25">
      <c r="A189" s="17">
        <f t="shared" si="2"/>
        <v>183</v>
      </c>
      <c r="B189" s="20" t="s">
        <v>1879</v>
      </c>
      <c r="C189" s="20" t="s">
        <v>17</v>
      </c>
      <c r="D189" s="29" t="s">
        <v>556</v>
      </c>
      <c r="E189" s="23">
        <v>42121</v>
      </c>
      <c r="F189" s="58" t="s">
        <v>182</v>
      </c>
      <c r="G189" s="56">
        <v>1</v>
      </c>
    </row>
    <row r="190" spans="1:7" x14ac:dyDescent="0.25">
      <c r="A190" s="17">
        <f t="shared" si="2"/>
        <v>184</v>
      </c>
      <c r="B190" s="20" t="s">
        <v>1879</v>
      </c>
      <c r="C190" s="20" t="s">
        <v>17</v>
      </c>
      <c r="D190" s="29" t="s">
        <v>557</v>
      </c>
      <c r="E190" s="23">
        <v>42121</v>
      </c>
      <c r="F190" s="58" t="s">
        <v>182</v>
      </c>
      <c r="G190" s="56">
        <v>1</v>
      </c>
    </row>
    <row r="191" spans="1:7" x14ac:dyDescent="0.25">
      <c r="A191" s="17">
        <f t="shared" si="2"/>
        <v>185</v>
      </c>
      <c r="B191" s="20" t="s">
        <v>1879</v>
      </c>
      <c r="C191" s="20" t="s">
        <v>17</v>
      </c>
      <c r="D191" s="29" t="s">
        <v>558</v>
      </c>
      <c r="E191" s="23">
        <v>42121</v>
      </c>
      <c r="F191" s="58" t="s">
        <v>182</v>
      </c>
      <c r="G191" s="56">
        <v>1</v>
      </c>
    </row>
    <row r="192" spans="1:7" x14ac:dyDescent="0.25">
      <c r="A192" s="17">
        <f t="shared" si="2"/>
        <v>186</v>
      </c>
      <c r="B192" s="20" t="s">
        <v>1879</v>
      </c>
      <c r="C192" s="20" t="s">
        <v>17</v>
      </c>
      <c r="D192" s="29" t="s">
        <v>559</v>
      </c>
      <c r="E192" s="23">
        <v>42121</v>
      </c>
      <c r="F192" s="58" t="s">
        <v>182</v>
      </c>
      <c r="G192" s="56">
        <v>1</v>
      </c>
    </row>
    <row r="193" spans="1:8" x14ac:dyDescent="0.25">
      <c r="A193" s="17">
        <f t="shared" si="2"/>
        <v>187</v>
      </c>
      <c r="B193" s="20" t="s">
        <v>1879</v>
      </c>
      <c r="C193" s="20" t="s">
        <v>17</v>
      </c>
      <c r="D193" s="29" t="s">
        <v>560</v>
      </c>
      <c r="E193" s="23">
        <v>42121</v>
      </c>
      <c r="F193" s="58" t="s">
        <v>182</v>
      </c>
      <c r="G193" s="56">
        <v>1</v>
      </c>
    </row>
    <row r="194" spans="1:8" x14ac:dyDescent="0.25">
      <c r="A194" s="17">
        <f t="shared" si="2"/>
        <v>188</v>
      </c>
      <c r="B194" s="20" t="s">
        <v>1879</v>
      </c>
      <c r="C194" s="20" t="s">
        <v>17</v>
      </c>
      <c r="D194" s="29" t="s">
        <v>561</v>
      </c>
      <c r="E194" s="23">
        <v>42121</v>
      </c>
      <c r="F194" s="58" t="s">
        <v>182</v>
      </c>
      <c r="G194" s="56">
        <v>1</v>
      </c>
    </row>
    <row r="195" spans="1:8" x14ac:dyDescent="0.25">
      <c r="A195" s="17">
        <f t="shared" si="2"/>
        <v>189</v>
      </c>
      <c r="B195" s="20" t="s">
        <v>1879</v>
      </c>
      <c r="C195" s="20" t="s">
        <v>17</v>
      </c>
      <c r="D195" s="29" t="s">
        <v>547</v>
      </c>
      <c r="E195" s="23">
        <v>42121</v>
      </c>
      <c r="F195" s="58" t="s">
        <v>182</v>
      </c>
      <c r="G195" s="56">
        <v>1</v>
      </c>
    </row>
    <row r="196" spans="1:8" ht="15" customHeight="1" x14ac:dyDescent="0.25">
      <c r="A196" s="17">
        <f t="shared" si="2"/>
        <v>190</v>
      </c>
      <c r="B196" s="20" t="s">
        <v>1879</v>
      </c>
      <c r="C196" s="20" t="s">
        <v>17</v>
      </c>
      <c r="D196" s="29" t="s">
        <v>562</v>
      </c>
      <c r="E196" s="23">
        <v>42121</v>
      </c>
      <c r="F196" s="58" t="s">
        <v>182</v>
      </c>
      <c r="G196" s="56">
        <v>1</v>
      </c>
    </row>
    <row r="197" spans="1:8" ht="15" customHeight="1" x14ac:dyDescent="0.25">
      <c r="A197" s="17">
        <f t="shared" si="2"/>
        <v>191</v>
      </c>
      <c r="B197" s="20" t="s">
        <v>2066</v>
      </c>
      <c r="C197" s="20" t="s">
        <v>17</v>
      </c>
      <c r="D197" s="29" t="s">
        <v>563</v>
      </c>
      <c r="E197" s="23">
        <v>42122</v>
      </c>
      <c r="F197" s="58" t="s">
        <v>564</v>
      </c>
      <c r="G197" s="56">
        <v>1</v>
      </c>
    </row>
    <row r="198" spans="1:8" ht="15" customHeight="1" x14ac:dyDescent="0.25">
      <c r="A198" s="17">
        <f t="shared" si="2"/>
        <v>192</v>
      </c>
      <c r="B198" s="20" t="s">
        <v>2371</v>
      </c>
      <c r="C198" s="20">
        <v>30</v>
      </c>
      <c r="D198" s="29" t="s">
        <v>964</v>
      </c>
      <c r="E198" s="23">
        <v>42122</v>
      </c>
      <c r="F198" s="58" t="s">
        <v>565</v>
      </c>
      <c r="G198" s="56">
        <v>1</v>
      </c>
      <c r="H198" t="s">
        <v>881</v>
      </c>
    </row>
    <row r="199" spans="1:8" ht="15" customHeight="1" x14ac:dyDescent="0.25">
      <c r="A199" s="17">
        <f t="shared" si="2"/>
        <v>193</v>
      </c>
      <c r="B199" s="20" t="s">
        <v>2372</v>
      </c>
      <c r="C199" s="20">
        <v>30</v>
      </c>
      <c r="D199" s="29" t="s">
        <v>965</v>
      </c>
      <c r="E199" s="23">
        <v>42122</v>
      </c>
      <c r="F199" s="58" t="s">
        <v>710</v>
      </c>
      <c r="G199" s="56">
        <v>1</v>
      </c>
      <c r="H199" t="s">
        <v>881</v>
      </c>
    </row>
    <row r="200" spans="1:8" x14ac:dyDescent="0.25">
      <c r="A200" s="17">
        <f t="shared" si="2"/>
        <v>194</v>
      </c>
      <c r="B200" s="20" t="s">
        <v>1877</v>
      </c>
      <c r="C200" s="20" t="s">
        <v>17</v>
      </c>
      <c r="D200" s="29" t="s">
        <v>586</v>
      </c>
      <c r="E200" s="23">
        <v>42124</v>
      </c>
      <c r="F200" s="58" t="s">
        <v>182</v>
      </c>
      <c r="G200" s="56">
        <v>1</v>
      </c>
    </row>
    <row r="201" spans="1:8" x14ac:dyDescent="0.25">
      <c r="A201" s="17">
        <f t="shared" si="2"/>
        <v>195</v>
      </c>
      <c r="B201" s="20" t="s">
        <v>1877</v>
      </c>
      <c r="C201" s="20" t="s">
        <v>17</v>
      </c>
      <c r="D201" s="29" t="s">
        <v>587</v>
      </c>
      <c r="E201" s="23">
        <v>42124</v>
      </c>
      <c r="F201" s="58" t="s">
        <v>182</v>
      </c>
      <c r="G201" s="56">
        <v>1</v>
      </c>
    </row>
    <row r="202" spans="1:8" x14ac:dyDescent="0.25">
      <c r="A202" s="17">
        <f t="shared" ref="A202:A265" si="3">A201+1</f>
        <v>196</v>
      </c>
      <c r="B202" s="20" t="s">
        <v>1877</v>
      </c>
      <c r="C202" s="20" t="s">
        <v>17</v>
      </c>
      <c r="D202" s="29" t="s">
        <v>588</v>
      </c>
      <c r="E202" s="23">
        <v>42124</v>
      </c>
      <c r="F202" s="58" t="s">
        <v>182</v>
      </c>
      <c r="G202" s="56">
        <v>1</v>
      </c>
    </row>
    <row r="203" spans="1:8" x14ac:dyDescent="0.25">
      <c r="A203" s="17">
        <f t="shared" si="3"/>
        <v>197</v>
      </c>
      <c r="B203" s="20" t="s">
        <v>1877</v>
      </c>
      <c r="C203" s="20" t="s">
        <v>17</v>
      </c>
      <c r="D203" s="29" t="s">
        <v>589</v>
      </c>
      <c r="E203" s="23">
        <v>42124</v>
      </c>
      <c r="F203" s="58" t="s">
        <v>182</v>
      </c>
      <c r="G203" s="56">
        <v>1</v>
      </c>
    </row>
    <row r="204" spans="1:8" x14ac:dyDescent="0.25">
      <c r="A204" s="17">
        <f t="shared" si="3"/>
        <v>198</v>
      </c>
      <c r="B204" s="20" t="s">
        <v>1877</v>
      </c>
      <c r="C204" s="20" t="s">
        <v>17</v>
      </c>
      <c r="D204" s="29" t="s">
        <v>590</v>
      </c>
      <c r="E204" s="23">
        <v>42124</v>
      </c>
      <c r="F204" s="58" t="s">
        <v>182</v>
      </c>
      <c r="G204" s="56">
        <v>1</v>
      </c>
    </row>
    <row r="205" spans="1:8" x14ac:dyDescent="0.25">
      <c r="A205" s="17">
        <f t="shared" si="3"/>
        <v>199</v>
      </c>
      <c r="B205" s="20" t="s">
        <v>1877</v>
      </c>
      <c r="C205" s="20" t="s">
        <v>17</v>
      </c>
      <c r="D205" s="29" t="s">
        <v>591</v>
      </c>
      <c r="E205" s="23">
        <v>42124</v>
      </c>
      <c r="F205" s="58" t="s">
        <v>182</v>
      </c>
      <c r="G205" s="56">
        <v>1</v>
      </c>
    </row>
    <row r="206" spans="1:8" x14ac:dyDescent="0.25">
      <c r="A206" s="17">
        <f t="shared" si="3"/>
        <v>200</v>
      </c>
      <c r="B206" s="20" t="s">
        <v>1877</v>
      </c>
      <c r="C206" s="20" t="s">
        <v>17</v>
      </c>
      <c r="D206" s="29" t="s">
        <v>592</v>
      </c>
      <c r="E206" s="23">
        <v>42124</v>
      </c>
      <c r="F206" s="58" t="s">
        <v>182</v>
      </c>
      <c r="G206" s="56">
        <v>1</v>
      </c>
    </row>
    <row r="207" spans="1:8" x14ac:dyDescent="0.25">
      <c r="A207" s="17">
        <f t="shared" si="3"/>
        <v>201</v>
      </c>
      <c r="B207" s="20" t="s">
        <v>1877</v>
      </c>
      <c r="C207" s="20" t="s">
        <v>17</v>
      </c>
      <c r="D207" s="29" t="s">
        <v>593</v>
      </c>
      <c r="E207" s="23">
        <v>42124</v>
      </c>
      <c r="F207" s="58" t="s">
        <v>182</v>
      </c>
      <c r="G207" s="56">
        <v>1</v>
      </c>
    </row>
    <row r="208" spans="1:8" x14ac:dyDescent="0.25">
      <c r="A208" s="17">
        <f t="shared" si="3"/>
        <v>202</v>
      </c>
      <c r="B208" s="20" t="s">
        <v>1877</v>
      </c>
      <c r="C208" s="20" t="s">
        <v>17</v>
      </c>
      <c r="D208" s="29" t="s">
        <v>594</v>
      </c>
      <c r="E208" s="23">
        <v>42124</v>
      </c>
      <c r="F208" s="58" t="s">
        <v>182</v>
      </c>
      <c r="G208" s="56">
        <v>1</v>
      </c>
    </row>
    <row r="209" spans="1:7" x14ac:dyDescent="0.25">
      <c r="A209" s="17">
        <f t="shared" si="3"/>
        <v>203</v>
      </c>
      <c r="B209" s="20" t="s">
        <v>1877</v>
      </c>
      <c r="C209" s="20" t="s">
        <v>17</v>
      </c>
      <c r="D209" s="29" t="s">
        <v>595</v>
      </c>
      <c r="E209" s="23">
        <v>42124</v>
      </c>
      <c r="F209" s="58" t="s">
        <v>182</v>
      </c>
      <c r="G209" s="56">
        <v>1</v>
      </c>
    </row>
    <row r="210" spans="1:7" x14ac:dyDescent="0.25">
      <c r="A210" s="17">
        <f t="shared" si="3"/>
        <v>204</v>
      </c>
      <c r="B210" s="20" t="s">
        <v>1877</v>
      </c>
      <c r="C210" s="20" t="s">
        <v>17</v>
      </c>
      <c r="D210" s="29" t="s">
        <v>596</v>
      </c>
      <c r="E210" s="23">
        <v>42124</v>
      </c>
      <c r="F210" s="58" t="s">
        <v>182</v>
      </c>
      <c r="G210" s="56">
        <v>1</v>
      </c>
    </row>
    <row r="211" spans="1:7" x14ac:dyDescent="0.25">
      <c r="A211" s="17">
        <f t="shared" si="3"/>
        <v>205</v>
      </c>
      <c r="B211" s="20" t="s">
        <v>1877</v>
      </c>
      <c r="C211" s="20" t="s">
        <v>17</v>
      </c>
      <c r="D211" s="29" t="s">
        <v>597</v>
      </c>
      <c r="E211" s="23">
        <v>42124</v>
      </c>
      <c r="F211" s="58" t="s">
        <v>182</v>
      </c>
      <c r="G211" s="56">
        <v>1</v>
      </c>
    </row>
    <row r="212" spans="1:7" x14ac:dyDescent="0.25">
      <c r="A212" s="17">
        <f t="shared" si="3"/>
        <v>206</v>
      </c>
      <c r="B212" s="20" t="s">
        <v>1877</v>
      </c>
      <c r="C212" s="20" t="s">
        <v>17</v>
      </c>
      <c r="D212" s="29" t="s">
        <v>598</v>
      </c>
      <c r="E212" s="23">
        <v>42124</v>
      </c>
      <c r="F212" s="58" t="s">
        <v>182</v>
      </c>
      <c r="G212" s="56">
        <v>1</v>
      </c>
    </row>
    <row r="213" spans="1:7" x14ac:dyDescent="0.25">
      <c r="A213" s="17">
        <f t="shared" si="3"/>
        <v>207</v>
      </c>
      <c r="B213" s="20" t="s">
        <v>1877</v>
      </c>
      <c r="C213" s="20" t="s">
        <v>17</v>
      </c>
      <c r="D213" s="29" t="s">
        <v>599</v>
      </c>
      <c r="E213" s="23">
        <v>42124</v>
      </c>
      <c r="F213" s="58" t="s">
        <v>182</v>
      </c>
      <c r="G213" s="56">
        <v>1</v>
      </c>
    </row>
    <row r="214" spans="1:7" x14ac:dyDescent="0.25">
      <c r="A214" s="17">
        <f t="shared" si="3"/>
        <v>208</v>
      </c>
      <c r="B214" s="20" t="s">
        <v>1877</v>
      </c>
      <c r="C214" s="20" t="s">
        <v>17</v>
      </c>
      <c r="D214" s="29" t="s">
        <v>600</v>
      </c>
      <c r="E214" s="23">
        <v>42124</v>
      </c>
      <c r="F214" s="58" t="s">
        <v>182</v>
      </c>
      <c r="G214" s="56">
        <v>1</v>
      </c>
    </row>
    <row r="215" spans="1:7" x14ac:dyDescent="0.25">
      <c r="A215" s="17">
        <f t="shared" si="3"/>
        <v>209</v>
      </c>
      <c r="B215" s="20" t="s">
        <v>1877</v>
      </c>
      <c r="C215" s="20" t="s">
        <v>17</v>
      </c>
      <c r="D215" s="29" t="s">
        <v>601</v>
      </c>
      <c r="E215" s="23">
        <v>42124</v>
      </c>
      <c r="F215" s="58" t="s">
        <v>182</v>
      </c>
      <c r="G215" s="56">
        <v>1</v>
      </c>
    </row>
    <row r="216" spans="1:7" x14ac:dyDescent="0.25">
      <c r="A216" s="17">
        <f t="shared" si="3"/>
        <v>210</v>
      </c>
      <c r="B216" s="20" t="s">
        <v>1877</v>
      </c>
      <c r="C216" s="20" t="s">
        <v>17</v>
      </c>
      <c r="D216" s="29" t="s">
        <v>602</v>
      </c>
      <c r="E216" s="23">
        <v>42124</v>
      </c>
      <c r="F216" s="58" t="s">
        <v>182</v>
      </c>
      <c r="G216" s="56">
        <v>1</v>
      </c>
    </row>
    <row r="217" spans="1:7" x14ac:dyDescent="0.25">
      <c r="A217" s="17">
        <f t="shared" si="3"/>
        <v>211</v>
      </c>
      <c r="B217" s="20" t="s">
        <v>1877</v>
      </c>
      <c r="C217" s="20" t="s">
        <v>17</v>
      </c>
      <c r="D217" s="29" t="s">
        <v>603</v>
      </c>
      <c r="E217" s="23">
        <v>42124</v>
      </c>
      <c r="F217" s="58" t="s">
        <v>182</v>
      </c>
      <c r="G217" s="56">
        <v>1</v>
      </c>
    </row>
    <row r="218" spans="1:7" x14ac:dyDescent="0.25">
      <c r="A218" s="17">
        <f t="shared" si="3"/>
        <v>212</v>
      </c>
      <c r="B218" s="20" t="s">
        <v>1877</v>
      </c>
      <c r="C218" s="20" t="s">
        <v>17</v>
      </c>
      <c r="D218" s="29" t="s">
        <v>604</v>
      </c>
      <c r="E218" s="23">
        <v>42124</v>
      </c>
      <c r="F218" s="58" t="s">
        <v>182</v>
      </c>
      <c r="G218" s="56">
        <v>1</v>
      </c>
    </row>
    <row r="219" spans="1:7" x14ac:dyDescent="0.25">
      <c r="A219" s="17">
        <f t="shared" si="3"/>
        <v>213</v>
      </c>
      <c r="B219" s="20" t="s">
        <v>1877</v>
      </c>
      <c r="C219" s="20" t="s">
        <v>17</v>
      </c>
      <c r="D219" s="29" t="s">
        <v>605</v>
      </c>
      <c r="E219" s="23">
        <v>42124</v>
      </c>
      <c r="F219" s="58" t="s">
        <v>182</v>
      </c>
      <c r="G219" s="56">
        <v>1</v>
      </c>
    </row>
    <row r="220" spans="1:7" x14ac:dyDescent="0.25">
      <c r="A220" s="17">
        <f t="shared" si="3"/>
        <v>214</v>
      </c>
      <c r="B220" s="20" t="s">
        <v>1877</v>
      </c>
      <c r="C220" s="20" t="s">
        <v>17</v>
      </c>
      <c r="D220" s="29" t="s">
        <v>606</v>
      </c>
      <c r="E220" s="23">
        <v>42124</v>
      </c>
      <c r="F220" s="58" t="s">
        <v>182</v>
      </c>
      <c r="G220" s="56">
        <v>1</v>
      </c>
    </row>
    <row r="221" spans="1:7" x14ac:dyDescent="0.25">
      <c r="A221" s="17">
        <f t="shared" si="3"/>
        <v>215</v>
      </c>
      <c r="B221" s="20" t="s">
        <v>1877</v>
      </c>
      <c r="C221" s="20" t="s">
        <v>17</v>
      </c>
      <c r="D221" s="29" t="s">
        <v>607</v>
      </c>
      <c r="E221" s="23">
        <v>42124</v>
      </c>
      <c r="F221" s="58" t="s">
        <v>182</v>
      </c>
      <c r="G221" s="56">
        <v>1</v>
      </c>
    </row>
    <row r="222" spans="1:7" x14ac:dyDescent="0.25">
      <c r="A222" s="17">
        <f t="shared" si="3"/>
        <v>216</v>
      </c>
      <c r="B222" s="20" t="s">
        <v>1877</v>
      </c>
      <c r="C222" s="20" t="s">
        <v>17</v>
      </c>
      <c r="D222" s="29" t="s">
        <v>608</v>
      </c>
      <c r="E222" s="23">
        <v>42124</v>
      </c>
      <c r="F222" s="58" t="s">
        <v>182</v>
      </c>
      <c r="G222" s="56">
        <v>1</v>
      </c>
    </row>
    <row r="223" spans="1:7" x14ac:dyDescent="0.25">
      <c r="A223" s="17">
        <f t="shared" si="3"/>
        <v>217</v>
      </c>
      <c r="B223" s="20" t="s">
        <v>1877</v>
      </c>
      <c r="C223" s="20" t="s">
        <v>17</v>
      </c>
      <c r="D223" s="29" t="s">
        <v>609</v>
      </c>
      <c r="E223" s="23">
        <v>42124</v>
      </c>
      <c r="F223" s="58" t="s">
        <v>182</v>
      </c>
      <c r="G223" s="56">
        <v>1</v>
      </c>
    </row>
    <row r="224" spans="1:7" x14ac:dyDescent="0.25">
      <c r="A224" s="17">
        <f t="shared" si="3"/>
        <v>218</v>
      </c>
      <c r="B224" s="20" t="s">
        <v>1877</v>
      </c>
      <c r="C224" s="20" t="s">
        <v>17</v>
      </c>
      <c r="D224" s="28" t="s">
        <v>610</v>
      </c>
      <c r="E224" s="23">
        <v>42124</v>
      </c>
      <c r="F224" s="58" t="s">
        <v>182</v>
      </c>
      <c r="G224" s="56">
        <v>1</v>
      </c>
    </row>
    <row r="225" spans="1:7" x14ac:dyDescent="0.25">
      <c r="A225" s="17">
        <f t="shared" si="3"/>
        <v>219</v>
      </c>
      <c r="B225" s="20" t="s">
        <v>1877</v>
      </c>
      <c r="C225" s="20" t="s">
        <v>17</v>
      </c>
      <c r="D225" s="28" t="s">
        <v>611</v>
      </c>
      <c r="E225" s="23">
        <v>42124</v>
      </c>
      <c r="F225" s="58" t="s">
        <v>182</v>
      </c>
      <c r="G225" s="56">
        <v>1</v>
      </c>
    </row>
    <row r="226" spans="1:7" x14ac:dyDescent="0.25">
      <c r="A226" s="17">
        <f t="shared" si="3"/>
        <v>220</v>
      </c>
      <c r="B226" s="20" t="s">
        <v>1877</v>
      </c>
      <c r="C226" s="20" t="s">
        <v>17</v>
      </c>
      <c r="D226" s="28" t="s">
        <v>612</v>
      </c>
      <c r="E226" s="23">
        <v>42124</v>
      </c>
      <c r="F226" s="58" t="s">
        <v>182</v>
      </c>
      <c r="G226" s="56">
        <v>1</v>
      </c>
    </row>
    <row r="227" spans="1:7" x14ac:dyDescent="0.25">
      <c r="A227" s="17">
        <f t="shared" si="3"/>
        <v>221</v>
      </c>
      <c r="B227" s="20" t="s">
        <v>1877</v>
      </c>
      <c r="C227" s="20" t="s">
        <v>17</v>
      </c>
      <c r="D227" s="28" t="s">
        <v>613</v>
      </c>
      <c r="E227" s="23">
        <v>42124</v>
      </c>
      <c r="F227" s="58" t="s">
        <v>182</v>
      </c>
      <c r="G227" s="56">
        <v>1</v>
      </c>
    </row>
    <row r="228" spans="1:7" x14ac:dyDescent="0.25">
      <c r="A228" s="17">
        <f t="shared" si="3"/>
        <v>222</v>
      </c>
      <c r="B228" s="20" t="s">
        <v>1877</v>
      </c>
      <c r="C228" s="20" t="s">
        <v>17</v>
      </c>
      <c r="D228" s="28" t="s">
        <v>614</v>
      </c>
      <c r="E228" s="23">
        <v>42124</v>
      </c>
      <c r="F228" s="58" t="s">
        <v>182</v>
      </c>
      <c r="G228" s="56">
        <v>1</v>
      </c>
    </row>
    <row r="229" spans="1:7" x14ac:dyDescent="0.25">
      <c r="A229" s="17">
        <f t="shared" si="3"/>
        <v>223</v>
      </c>
      <c r="B229" s="20" t="s">
        <v>1877</v>
      </c>
      <c r="C229" s="20" t="s">
        <v>17</v>
      </c>
      <c r="D229" s="28" t="s">
        <v>615</v>
      </c>
      <c r="E229" s="23">
        <v>42124</v>
      </c>
      <c r="F229" s="58" t="s">
        <v>182</v>
      </c>
      <c r="G229" s="56">
        <v>1</v>
      </c>
    </row>
    <row r="230" spans="1:7" x14ac:dyDescent="0.25">
      <c r="A230" s="17">
        <f t="shared" si="3"/>
        <v>224</v>
      </c>
      <c r="B230" s="20" t="s">
        <v>1877</v>
      </c>
      <c r="C230" s="20" t="s">
        <v>17</v>
      </c>
      <c r="D230" s="28" t="s">
        <v>616</v>
      </c>
      <c r="E230" s="23">
        <v>42124</v>
      </c>
      <c r="F230" s="58" t="s">
        <v>182</v>
      </c>
      <c r="G230" s="56">
        <v>1</v>
      </c>
    </row>
    <row r="231" spans="1:7" x14ac:dyDescent="0.25">
      <c r="A231" s="17">
        <f t="shared" si="3"/>
        <v>225</v>
      </c>
      <c r="B231" s="20" t="s">
        <v>1877</v>
      </c>
      <c r="C231" s="20" t="s">
        <v>17</v>
      </c>
      <c r="D231" s="28" t="s">
        <v>617</v>
      </c>
      <c r="E231" s="23">
        <v>42124</v>
      </c>
      <c r="F231" s="58" t="s">
        <v>182</v>
      </c>
      <c r="G231" s="56">
        <v>1</v>
      </c>
    </row>
    <row r="232" spans="1:7" x14ac:dyDescent="0.25">
      <c r="A232" s="17">
        <f t="shared" si="3"/>
        <v>226</v>
      </c>
      <c r="B232" s="20" t="s">
        <v>1877</v>
      </c>
      <c r="C232" s="20" t="s">
        <v>17</v>
      </c>
      <c r="D232" s="28" t="s">
        <v>618</v>
      </c>
      <c r="E232" s="23">
        <v>42124</v>
      </c>
      <c r="F232" s="58" t="s">
        <v>182</v>
      </c>
      <c r="G232" s="56">
        <v>1</v>
      </c>
    </row>
    <row r="233" spans="1:7" x14ac:dyDescent="0.25">
      <c r="A233" s="17">
        <f t="shared" si="3"/>
        <v>227</v>
      </c>
      <c r="B233" s="20" t="s">
        <v>1877</v>
      </c>
      <c r="C233" s="20" t="s">
        <v>17</v>
      </c>
      <c r="D233" s="28" t="s">
        <v>619</v>
      </c>
      <c r="E233" s="23">
        <v>42124</v>
      </c>
      <c r="F233" s="58" t="s">
        <v>182</v>
      </c>
      <c r="G233" s="56">
        <v>1</v>
      </c>
    </row>
    <row r="234" spans="1:7" x14ac:dyDescent="0.25">
      <c r="A234" s="17">
        <f t="shared" si="3"/>
        <v>228</v>
      </c>
      <c r="B234" s="20" t="s">
        <v>1877</v>
      </c>
      <c r="C234" s="20" t="s">
        <v>17</v>
      </c>
      <c r="D234" s="28" t="s">
        <v>620</v>
      </c>
      <c r="E234" s="23">
        <v>42124</v>
      </c>
      <c r="F234" s="58" t="s">
        <v>182</v>
      </c>
      <c r="G234" s="56">
        <v>1</v>
      </c>
    </row>
    <row r="235" spans="1:7" x14ac:dyDescent="0.25">
      <c r="A235" s="17">
        <f t="shared" si="3"/>
        <v>229</v>
      </c>
      <c r="B235" s="20" t="s">
        <v>1877</v>
      </c>
      <c r="C235" s="20" t="s">
        <v>17</v>
      </c>
      <c r="D235" s="28" t="s">
        <v>621</v>
      </c>
      <c r="E235" s="23">
        <v>42124</v>
      </c>
      <c r="F235" s="58" t="s">
        <v>182</v>
      </c>
      <c r="G235" s="56">
        <v>1</v>
      </c>
    </row>
    <row r="236" spans="1:7" x14ac:dyDescent="0.25">
      <c r="A236" s="17">
        <f t="shared" si="3"/>
        <v>230</v>
      </c>
      <c r="B236" s="20" t="s">
        <v>1877</v>
      </c>
      <c r="C236" s="20" t="s">
        <v>17</v>
      </c>
      <c r="D236" s="28" t="s">
        <v>622</v>
      </c>
      <c r="E236" s="23">
        <v>42124</v>
      </c>
      <c r="F236" s="58" t="s">
        <v>182</v>
      </c>
      <c r="G236" s="56">
        <v>1</v>
      </c>
    </row>
    <row r="237" spans="1:7" x14ac:dyDescent="0.25">
      <c r="A237" s="17">
        <f t="shared" si="3"/>
        <v>231</v>
      </c>
      <c r="B237" s="20" t="s">
        <v>1877</v>
      </c>
      <c r="C237" s="20" t="s">
        <v>17</v>
      </c>
      <c r="D237" s="28" t="s">
        <v>623</v>
      </c>
      <c r="E237" s="23">
        <v>42124</v>
      </c>
      <c r="F237" s="58" t="s">
        <v>182</v>
      </c>
      <c r="G237" s="56">
        <v>1</v>
      </c>
    </row>
    <row r="238" spans="1:7" x14ac:dyDescent="0.25">
      <c r="A238" s="17">
        <f t="shared" si="3"/>
        <v>232</v>
      </c>
      <c r="B238" s="20" t="s">
        <v>1877</v>
      </c>
      <c r="C238" s="20" t="s">
        <v>17</v>
      </c>
      <c r="D238" s="28" t="s">
        <v>624</v>
      </c>
      <c r="E238" s="23">
        <v>42124</v>
      </c>
      <c r="F238" s="58" t="s">
        <v>182</v>
      </c>
      <c r="G238" s="56">
        <v>1</v>
      </c>
    </row>
    <row r="239" spans="1:7" x14ac:dyDescent="0.25">
      <c r="A239" s="17">
        <f t="shared" si="3"/>
        <v>233</v>
      </c>
      <c r="B239" s="20" t="s">
        <v>1877</v>
      </c>
      <c r="C239" s="20" t="s">
        <v>17</v>
      </c>
      <c r="D239" s="28" t="s">
        <v>625</v>
      </c>
      <c r="E239" s="23">
        <v>42124</v>
      </c>
      <c r="F239" s="58" t="s">
        <v>182</v>
      </c>
      <c r="G239" s="56">
        <v>1</v>
      </c>
    </row>
    <row r="240" spans="1:7" x14ac:dyDescent="0.25">
      <c r="A240" s="17">
        <f t="shared" si="3"/>
        <v>234</v>
      </c>
      <c r="B240" s="20" t="s">
        <v>1877</v>
      </c>
      <c r="C240" s="20" t="s">
        <v>17</v>
      </c>
      <c r="D240" s="28" t="s">
        <v>626</v>
      </c>
      <c r="E240" s="23">
        <v>42124</v>
      </c>
      <c r="F240" s="58" t="s">
        <v>182</v>
      </c>
      <c r="G240" s="56">
        <v>1</v>
      </c>
    </row>
    <row r="241" spans="1:7" x14ac:dyDescent="0.25">
      <c r="A241" s="17">
        <f t="shared" si="3"/>
        <v>235</v>
      </c>
      <c r="B241" s="20" t="s">
        <v>1877</v>
      </c>
      <c r="C241" s="20" t="s">
        <v>17</v>
      </c>
      <c r="D241" s="28" t="s">
        <v>627</v>
      </c>
      <c r="E241" s="23">
        <v>42124</v>
      </c>
      <c r="F241" s="58" t="s">
        <v>182</v>
      </c>
      <c r="G241" s="56">
        <v>1</v>
      </c>
    </row>
    <row r="242" spans="1:7" x14ac:dyDescent="0.25">
      <c r="A242" s="17">
        <f t="shared" si="3"/>
        <v>236</v>
      </c>
      <c r="B242" s="20" t="s">
        <v>1877</v>
      </c>
      <c r="C242" s="20" t="s">
        <v>17</v>
      </c>
      <c r="D242" s="28" t="s">
        <v>628</v>
      </c>
      <c r="E242" s="23">
        <v>42124</v>
      </c>
      <c r="F242" s="58" t="s">
        <v>182</v>
      </c>
      <c r="G242" s="56">
        <v>1</v>
      </c>
    </row>
    <row r="243" spans="1:7" x14ac:dyDescent="0.25">
      <c r="A243" s="17">
        <f t="shared" si="3"/>
        <v>237</v>
      </c>
      <c r="B243" s="20" t="s">
        <v>1877</v>
      </c>
      <c r="C243" s="20" t="s">
        <v>17</v>
      </c>
      <c r="D243" s="28" t="s">
        <v>629</v>
      </c>
      <c r="E243" s="23">
        <v>42124</v>
      </c>
      <c r="F243" s="58" t="s">
        <v>182</v>
      </c>
      <c r="G243" s="56">
        <v>1</v>
      </c>
    </row>
    <row r="244" spans="1:7" x14ac:dyDescent="0.25">
      <c r="A244" s="17">
        <f t="shared" si="3"/>
        <v>238</v>
      </c>
      <c r="B244" s="20" t="s">
        <v>1877</v>
      </c>
      <c r="C244" s="20" t="s">
        <v>17</v>
      </c>
      <c r="D244" s="28" t="s">
        <v>630</v>
      </c>
      <c r="E244" s="23">
        <v>42124</v>
      </c>
      <c r="F244" s="58" t="s">
        <v>182</v>
      </c>
      <c r="G244" s="56">
        <v>1</v>
      </c>
    </row>
    <row r="245" spans="1:7" x14ac:dyDescent="0.25">
      <c r="A245" s="17">
        <f t="shared" si="3"/>
        <v>239</v>
      </c>
      <c r="B245" s="20" t="s">
        <v>1877</v>
      </c>
      <c r="C245" s="20" t="s">
        <v>17</v>
      </c>
      <c r="D245" s="28" t="s">
        <v>631</v>
      </c>
      <c r="E245" s="23">
        <v>42124</v>
      </c>
      <c r="F245" s="58" t="s">
        <v>182</v>
      </c>
      <c r="G245" s="56">
        <v>1</v>
      </c>
    </row>
    <row r="246" spans="1:7" x14ac:dyDescent="0.25">
      <c r="A246" s="17">
        <f t="shared" si="3"/>
        <v>240</v>
      </c>
      <c r="B246" s="20" t="s">
        <v>1877</v>
      </c>
      <c r="C246" s="20" t="s">
        <v>17</v>
      </c>
      <c r="D246" s="28" t="s">
        <v>632</v>
      </c>
      <c r="E246" s="23">
        <v>42124</v>
      </c>
      <c r="F246" s="58" t="s">
        <v>182</v>
      </c>
      <c r="G246" s="56">
        <v>1</v>
      </c>
    </row>
    <row r="247" spans="1:7" x14ac:dyDescent="0.25">
      <c r="A247" s="17">
        <f t="shared" si="3"/>
        <v>241</v>
      </c>
      <c r="B247" s="20" t="s">
        <v>1877</v>
      </c>
      <c r="C247" s="20" t="s">
        <v>17</v>
      </c>
      <c r="D247" s="28" t="s">
        <v>633</v>
      </c>
      <c r="E247" s="23">
        <v>42124</v>
      </c>
      <c r="F247" s="58" t="s">
        <v>182</v>
      </c>
      <c r="G247" s="56">
        <v>1</v>
      </c>
    </row>
    <row r="248" spans="1:7" x14ac:dyDescent="0.25">
      <c r="A248" s="17">
        <f t="shared" si="3"/>
        <v>242</v>
      </c>
      <c r="B248" s="20" t="s">
        <v>1877</v>
      </c>
      <c r="C248" s="20" t="s">
        <v>17</v>
      </c>
      <c r="D248" s="28" t="s">
        <v>634</v>
      </c>
      <c r="E248" s="23">
        <v>42124</v>
      </c>
      <c r="F248" s="58" t="s">
        <v>182</v>
      </c>
      <c r="G248" s="56">
        <v>1</v>
      </c>
    </row>
    <row r="249" spans="1:7" x14ac:dyDescent="0.25">
      <c r="A249" s="17">
        <f t="shared" si="3"/>
        <v>243</v>
      </c>
      <c r="B249" s="20" t="s">
        <v>1877</v>
      </c>
      <c r="C249" s="20" t="s">
        <v>17</v>
      </c>
      <c r="D249" s="28" t="s">
        <v>635</v>
      </c>
      <c r="E249" s="23">
        <v>42124</v>
      </c>
      <c r="F249" s="58" t="s">
        <v>182</v>
      </c>
      <c r="G249" s="56">
        <v>1</v>
      </c>
    </row>
    <row r="250" spans="1:7" x14ac:dyDescent="0.25">
      <c r="A250" s="17">
        <f t="shared" si="3"/>
        <v>244</v>
      </c>
      <c r="B250" s="20" t="s">
        <v>1877</v>
      </c>
      <c r="C250" s="20" t="s">
        <v>17</v>
      </c>
      <c r="D250" s="28" t="s">
        <v>636</v>
      </c>
      <c r="E250" s="23">
        <v>42124</v>
      </c>
      <c r="F250" s="58" t="s">
        <v>182</v>
      </c>
      <c r="G250" s="56">
        <v>1</v>
      </c>
    </row>
    <row r="251" spans="1:7" x14ac:dyDescent="0.25">
      <c r="A251" s="17">
        <f t="shared" si="3"/>
        <v>245</v>
      </c>
      <c r="B251" s="20" t="s">
        <v>1877</v>
      </c>
      <c r="C251" s="20" t="s">
        <v>17</v>
      </c>
      <c r="D251" s="28" t="s">
        <v>637</v>
      </c>
      <c r="E251" s="23">
        <v>42124</v>
      </c>
      <c r="F251" s="58" t="s">
        <v>182</v>
      </c>
      <c r="G251" s="56">
        <v>1</v>
      </c>
    </row>
    <row r="252" spans="1:7" x14ac:dyDescent="0.25">
      <c r="A252" s="17">
        <f t="shared" si="3"/>
        <v>246</v>
      </c>
      <c r="B252" s="20" t="s">
        <v>1877</v>
      </c>
      <c r="C252" s="20" t="s">
        <v>17</v>
      </c>
      <c r="D252" s="28" t="s">
        <v>638</v>
      </c>
      <c r="E252" s="23">
        <v>42124</v>
      </c>
      <c r="F252" s="58" t="s">
        <v>182</v>
      </c>
      <c r="G252" s="56">
        <v>1</v>
      </c>
    </row>
    <row r="253" spans="1:7" x14ac:dyDescent="0.25">
      <c r="A253" s="17">
        <f t="shared" si="3"/>
        <v>247</v>
      </c>
      <c r="B253" s="20" t="s">
        <v>1877</v>
      </c>
      <c r="C253" s="20" t="s">
        <v>17</v>
      </c>
      <c r="D253" s="28" t="s">
        <v>639</v>
      </c>
      <c r="E253" s="23">
        <v>42124</v>
      </c>
      <c r="F253" s="58" t="s">
        <v>182</v>
      </c>
      <c r="G253" s="56">
        <v>1</v>
      </c>
    </row>
    <row r="254" spans="1:7" x14ac:dyDescent="0.25">
      <c r="A254" s="17">
        <f t="shared" si="3"/>
        <v>248</v>
      </c>
      <c r="B254" s="20" t="s">
        <v>1877</v>
      </c>
      <c r="C254" s="20" t="s">
        <v>17</v>
      </c>
      <c r="D254" s="28" t="s">
        <v>640</v>
      </c>
      <c r="E254" s="23">
        <v>42124</v>
      </c>
      <c r="F254" s="58" t="s">
        <v>182</v>
      </c>
      <c r="G254" s="56">
        <v>1</v>
      </c>
    </row>
    <row r="255" spans="1:7" x14ac:dyDescent="0.25">
      <c r="A255" s="17">
        <f t="shared" si="3"/>
        <v>249</v>
      </c>
      <c r="B255" s="20" t="s">
        <v>1877</v>
      </c>
      <c r="C255" s="20" t="s">
        <v>17</v>
      </c>
      <c r="D255" s="28" t="s">
        <v>641</v>
      </c>
      <c r="E255" s="23">
        <v>42124</v>
      </c>
      <c r="F255" s="58" t="s">
        <v>182</v>
      </c>
      <c r="G255" s="56">
        <v>1</v>
      </c>
    </row>
    <row r="256" spans="1:7" x14ac:dyDescent="0.25">
      <c r="A256" s="17">
        <f t="shared" si="3"/>
        <v>250</v>
      </c>
      <c r="B256" s="20" t="s">
        <v>1877</v>
      </c>
      <c r="C256" s="20" t="s">
        <v>17</v>
      </c>
      <c r="D256" s="28" t="s">
        <v>642</v>
      </c>
      <c r="E256" s="23">
        <v>42124</v>
      </c>
      <c r="F256" s="58" t="s">
        <v>182</v>
      </c>
      <c r="G256" s="56">
        <v>1</v>
      </c>
    </row>
    <row r="257" spans="1:7" x14ac:dyDescent="0.25">
      <c r="A257" s="17">
        <f t="shared" si="3"/>
        <v>251</v>
      </c>
      <c r="B257" s="20" t="s">
        <v>1877</v>
      </c>
      <c r="C257" s="20" t="s">
        <v>17</v>
      </c>
      <c r="D257" s="28" t="s">
        <v>643</v>
      </c>
      <c r="E257" s="23">
        <v>42124</v>
      </c>
      <c r="F257" s="58" t="s">
        <v>182</v>
      </c>
      <c r="G257" s="56">
        <v>1</v>
      </c>
    </row>
    <row r="258" spans="1:7" x14ac:dyDescent="0.25">
      <c r="A258" s="17">
        <f t="shared" si="3"/>
        <v>252</v>
      </c>
      <c r="B258" s="20" t="s">
        <v>1877</v>
      </c>
      <c r="C258" s="20" t="s">
        <v>17</v>
      </c>
      <c r="D258" s="28" t="s">
        <v>644</v>
      </c>
      <c r="E258" s="23">
        <v>42124</v>
      </c>
      <c r="F258" s="58" t="s">
        <v>182</v>
      </c>
      <c r="G258" s="56">
        <v>1</v>
      </c>
    </row>
    <row r="259" spans="1:7" x14ac:dyDescent="0.25">
      <c r="A259" s="17">
        <f t="shared" si="3"/>
        <v>253</v>
      </c>
      <c r="B259" s="20" t="s">
        <v>1877</v>
      </c>
      <c r="C259" s="20" t="s">
        <v>17</v>
      </c>
      <c r="D259" s="28" t="s">
        <v>645</v>
      </c>
      <c r="E259" s="23">
        <v>42124</v>
      </c>
      <c r="F259" s="58" t="s">
        <v>182</v>
      </c>
      <c r="G259" s="56">
        <v>1</v>
      </c>
    </row>
    <row r="260" spans="1:7" x14ac:dyDescent="0.25">
      <c r="A260" s="17">
        <f t="shared" si="3"/>
        <v>254</v>
      </c>
      <c r="B260" s="20" t="s">
        <v>1877</v>
      </c>
      <c r="C260" s="20" t="s">
        <v>17</v>
      </c>
      <c r="D260" s="28" t="s">
        <v>646</v>
      </c>
      <c r="E260" s="23">
        <v>42124</v>
      </c>
      <c r="F260" s="58" t="s">
        <v>182</v>
      </c>
      <c r="G260" s="56">
        <v>1</v>
      </c>
    </row>
    <row r="261" spans="1:7" x14ac:dyDescent="0.25">
      <c r="A261" s="17">
        <f t="shared" si="3"/>
        <v>255</v>
      </c>
      <c r="B261" s="20" t="s">
        <v>1877</v>
      </c>
      <c r="C261" s="20" t="s">
        <v>17</v>
      </c>
      <c r="D261" s="28" t="s">
        <v>647</v>
      </c>
      <c r="E261" s="23">
        <v>42124</v>
      </c>
      <c r="F261" s="58" t="s">
        <v>182</v>
      </c>
      <c r="G261" s="56">
        <v>1</v>
      </c>
    </row>
    <row r="262" spans="1:7" x14ac:dyDescent="0.25">
      <c r="A262" s="17">
        <f t="shared" si="3"/>
        <v>256</v>
      </c>
      <c r="B262" s="20" t="s">
        <v>1877</v>
      </c>
      <c r="C262" s="20" t="s">
        <v>17</v>
      </c>
      <c r="D262" s="28" t="s">
        <v>648</v>
      </c>
      <c r="E262" s="23">
        <v>42124</v>
      </c>
      <c r="F262" s="58" t="s">
        <v>182</v>
      </c>
      <c r="G262" s="56">
        <v>1</v>
      </c>
    </row>
    <row r="263" spans="1:7" x14ac:dyDescent="0.25">
      <c r="A263" s="17">
        <f t="shared" si="3"/>
        <v>257</v>
      </c>
      <c r="B263" s="20" t="s">
        <v>1877</v>
      </c>
      <c r="C263" s="20" t="s">
        <v>17</v>
      </c>
      <c r="D263" s="28" t="s">
        <v>649</v>
      </c>
      <c r="E263" s="23">
        <v>42124</v>
      </c>
      <c r="F263" s="58" t="s">
        <v>182</v>
      </c>
      <c r="G263" s="56">
        <v>1</v>
      </c>
    </row>
    <row r="264" spans="1:7" x14ac:dyDescent="0.25">
      <c r="A264" s="17">
        <f t="shared" si="3"/>
        <v>258</v>
      </c>
      <c r="B264" s="20" t="s">
        <v>1877</v>
      </c>
      <c r="C264" s="20" t="s">
        <v>17</v>
      </c>
      <c r="D264" s="28" t="s">
        <v>650</v>
      </c>
      <c r="E264" s="23">
        <v>42124</v>
      </c>
      <c r="F264" s="58" t="s">
        <v>182</v>
      </c>
      <c r="G264" s="56">
        <v>1</v>
      </c>
    </row>
    <row r="265" spans="1:7" x14ac:dyDescent="0.25">
      <c r="A265" s="17">
        <f t="shared" si="3"/>
        <v>259</v>
      </c>
      <c r="B265" s="20" t="s">
        <v>1877</v>
      </c>
      <c r="C265" s="20" t="s">
        <v>17</v>
      </c>
      <c r="D265" s="28" t="s">
        <v>651</v>
      </c>
      <c r="E265" s="23">
        <v>42124</v>
      </c>
      <c r="F265" s="58" t="s">
        <v>182</v>
      </c>
      <c r="G265" s="56">
        <v>1</v>
      </c>
    </row>
    <row r="266" spans="1:7" x14ac:dyDescent="0.25">
      <c r="A266" s="17">
        <f t="shared" ref="A266:A329" si="4">A265+1</f>
        <v>260</v>
      </c>
      <c r="B266" s="20" t="s">
        <v>1877</v>
      </c>
      <c r="C266" s="20" t="s">
        <v>17</v>
      </c>
      <c r="D266" s="28" t="s">
        <v>652</v>
      </c>
      <c r="E266" s="23">
        <v>42124</v>
      </c>
      <c r="F266" s="58" t="s">
        <v>182</v>
      </c>
      <c r="G266" s="56">
        <v>1</v>
      </c>
    </row>
    <row r="267" spans="1:7" x14ac:dyDescent="0.25">
      <c r="A267" s="17">
        <f t="shared" si="4"/>
        <v>261</v>
      </c>
      <c r="B267" s="20" t="s">
        <v>1877</v>
      </c>
      <c r="C267" s="20" t="s">
        <v>17</v>
      </c>
      <c r="D267" s="28" t="s">
        <v>653</v>
      </c>
      <c r="E267" s="23">
        <v>42124</v>
      </c>
      <c r="F267" s="58" t="s">
        <v>182</v>
      </c>
      <c r="G267" s="56">
        <v>1</v>
      </c>
    </row>
    <row r="268" spans="1:7" x14ac:dyDescent="0.25">
      <c r="A268" s="17">
        <f t="shared" si="4"/>
        <v>262</v>
      </c>
      <c r="B268" s="20" t="s">
        <v>1877</v>
      </c>
      <c r="C268" s="20" t="s">
        <v>17</v>
      </c>
      <c r="D268" s="28" t="s">
        <v>654</v>
      </c>
      <c r="E268" s="23">
        <v>42124</v>
      </c>
      <c r="F268" s="58" t="s">
        <v>182</v>
      </c>
      <c r="G268" s="56">
        <v>1</v>
      </c>
    </row>
    <row r="269" spans="1:7" x14ac:dyDescent="0.25">
      <c r="A269" s="17">
        <f t="shared" si="4"/>
        <v>263</v>
      </c>
      <c r="B269" s="20" t="s">
        <v>1877</v>
      </c>
      <c r="C269" s="20" t="s">
        <v>17</v>
      </c>
      <c r="D269" s="28" t="s">
        <v>655</v>
      </c>
      <c r="E269" s="23">
        <v>42124</v>
      </c>
      <c r="F269" s="58" t="s">
        <v>182</v>
      </c>
      <c r="G269" s="56">
        <v>1</v>
      </c>
    </row>
    <row r="270" spans="1:7" x14ac:dyDescent="0.25">
      <c r="A270" s="17">
        <f t="shared" si="4"/>
        <v>264</v>
      </c>
      <c r="B270" s="20" t="s">
        <v>1877</v>
      </c>
      <c r="C270" s="20" t="s">
        <v>17</v>
      </c>
      <c r="D270" s="28" t="s">
        <v>656</v>
      </c>
      <c r="E270" s="23">
        <v>42124</v>
      </c>
      <c r="F270" s="58" t="s">
        <v>182</v>
      </c>
      <c r="G270" s="56">
        <v>1</v>
      </c>
    </row>
    <row r="271" spans="1:7" x14ac:dyDescent="0.25">
      <c r="A271" s="17">
        <f t="shared" si="4"/>
        <v>265</v>
      </c>
      <c r="B271" s="20" t="s">
        <v>1877</v>
      </c>
      <c r="C271" s="20" t="s">
        <v>17</v>
      </c>
      <c r="D271" s="28" t="s">
        <v>657</v>
      </c>
      <c r="E271" s="23">
        <v>42124</v>
      </c>
      <c r="F271" s="58" t="s">
        <v>182</v>
      </c>
      <c r="G271" s="56">
        <v>1</v>
      </c>
    </row>
    <row r="272" spans="1:7" x14ac:dyDescent="0.25">
      <c r="A272" s="17">
        <f t="shared" si="4"/>
        <v>266</v>
      </c>
      <c r="B272" s="20" t="s">
        <v>1877</v>
      </c>
      <c r="C272" s="20" t="s">
        <v>17</v>
      </c>
      <c r="D272" s="28" t="s">
        <v>658</v>
      </c>
      <c r="E272" s="23">
        <v>42124</v>
      </c>
      <c r="F272" s="58" t="s">
        <v>182</v>
      </c>
      <c r="G272" s="56">
        <v>1</v>
      </c>
    </row>
    <row r="273" spans="1:7" x14ac:dyDescent="0.25">
      <c r="A273" s="17">
        <f t="shared" si="4"/>
        <v>267</v>
      </c>
      <c r="B273" s="20" t="s">
        <v>1877</v>
      </c>
      <c r="C273" s="20" t="s">
        <v>17</v>
      </c>
      <c r="D273" s="28" t="s">
        <v>659</v>
      </c>
      <c r="E273" s="23">
        <v>42124</v>
      </c>
      <c r="F273" s="58" t="s">
        <v>182</v>
      </c>
      <c r="G273" s="56">
        <v>1</v>
      </c>
    </row>
    <row r="274" spans="1:7" x14ac:dyDescent="0.25">
      <c r="A274" s="17">
        <f t="shared" si="4"/>
        <v>268</v>
      </c>
      <c r="B274" s="20" t="s">
        <v>1877</v>
      </c>
      <c r="C274" s="20" t="s">
        <v>17</v>
      </c>
      <c r="D274" s="28" t="s">
        <v>660</v>
      </c>
      <c r="E274" s="23">
        <v>42124</v>
      </c>
      <c r="F274" s="58" t="s">
        <v>182</v>
      </c>
      <c r="G274" s="56">
        <v>1</v>
      </c>
    </row>
    <row r="275" spans="1:7" x14ac:dyDescent="0.25">
      <c r="A275" s="17">
        <f t="shared" si="4"/>
        <v>269</v>
      </c>
      <c r="B275" s="20" t="s">
        <v>1877</v>
      </c>
      <c r="C275" s="20" t="s">
        <v>17</v>
      </c>
      <c r="D275" s="28" t="s">
        <v>661</v>
      </c>
      <c r="E275" s="23">
        <v>42124</v>
      </c>
      <c r="F275" s="58" t="s">
        <v>182</v>
      </c>
      <c r="G275" s="56">
        <v>1</v>
      </c>
    </row>
    <row r="276" spans="1:7" x14ac:dyDescent="0.25">
      <c r="A276" s="17">
        <f t="shared" si="4"/>
        <v>270</v>
      </c>
      <c r="B276" s="20" t="s">
        <v>1877</v>
      </c>
      <c r="C276" s="20" t="s">
        <v>17</v>
      </c>
      <c r="D276" s="28" t="s">
        <v>662</v>
      </c>
      <c r="E276" s="23">
        <v>42124</v>
      </c>
      <c r="F276" s="58" t="s">
        <v>182</v>
      </c>
      <c r="G276" s="56">
        <v>1</v>
      </c>
    </row>
    <row r="277" spans="1:7" x14ac:dyDescent="0.25">
      <c r="A277" s="17">
        <f t="shared" si="4"/>
        <v>271</v>
      </c>
      <c r="B277" s="20" t="s">
        <v>1877</v>
      </c>
      <c r="C277" s="20" t="s">
        <v>17</v>
      </c>
      <c r="D277" s="28" t="s">
        <v>663</v>
      </c>
      <c r="E277" s="23">
        <v>42124</v>
      </c>
      <c r="F277" s="58" t="s">
        <v>182</v>
      </c>
      <c r="G277" s="56">
        <v>1</v>
      </c>
    </row>
    <row r="278" spans="1:7" x14ac:dyDescent="0.25">
      <c r="A278" s="17">
        <f t="shared" si="4"/>
        <v>272</v>
      </c>
      <c r="B278" s="20" t="s">
        <v>1877</v>
      </c>
      <c r="C278" s="20" t="s">
        <v>17</v>
      </c>
      <c r="D278" s="28" t="s">
        <v>664</v>
      </c>
      <c r="E278" s="23">
        <v>42124</v>
      </c>
      <c r="F278" s="58" t="s">
        <v>182</v>
      </c>
      <c r="G278" s="56">
        <v>1</v>
      </c>
    </row>
    <row r="279" spans="1:7" x14ac:dyDescent="0.25">
      <c r="A279" s="17">
        <f t="shared" si="4"/>
        <v>273</v>
      </c>
      <c r="B279" s="20" t="s">
        <v>1877</v>
      </c>
      <c r="C279" s="20" t="s">
        <v>17</v>
      </c>
      <c r="D279" s="28" t="s">
        <v>665</v>
      </c>
      <c r="E279" s="23">
        <v>42124</v>
      </c>
      <c r="F279" s="58" t="s">
        <v>182</v>
      </c>
      <c r="G279" s="56">
        <v>1</v>
      </c>
    </row>
    <row r="280" spans="1:7" x14ac:dyDescent="0.25">
      <c r="A280" s="17">
        <f t="shared" si="4"/>
        <v>274</v>
      </c>
      <c r="B280" s="20" t="s">
        <v>1877</v>
      </c>
      <c r="C280" s="20" t="s">
        <v>17</v>
      </c>
      <c r="D280" s="28" t="s">
        <v>666</v>
      </c>
      <c r="E280" s="23">
        <v>42124</v>
      </c>
      <c r="F280" s="58" t="s">
        <v>182</v>
      </c>
      <c r="G280" s="56">
        <v>1</v>
      </c>
    </row>
    <row r="281" spans="1:7" x14ac:dyDescent="0.25">
      <c r="A281" s="17">
        <f t="shared" si="4"/>
        <v>275</v>
      </c>
      <c r="B281" s="20" t="s">
        <v>1877</v>
      </c>
      <c r="C281" s="20" t="s">
        <v>17</v>
      </c>
      <c r="D281" s="28" t="s">
        <v>667</v>
      </c>
      <c r="E281" s="23">
        <v>42124</v>
      </c>
      <c r="F281" s="58" t="s">
        <v>182</v>
      </c>
      <c r="G281" s="56">
        <v>1</v>
      </c>
    </row>
    <row r="282" spans="1:7" x14ac:dyDescent="0.25">
      <c r="A282" s="17">
        <f t="shared" si="4"/>
        <v>276</v>
      </c>
      <c r="B282" s="20" t="s">
        <v>1877</v>
      </c>
      <c r="C282" s="20" t="s">
        <v>17</v>
      </c>
      <c r="D282" s="28" t="s">
        <v>668</v>
      </c>
      <c r="E282" s="23">
        <v>42124</v>
      </c>
      <c r="F282" s="58" t="s">
        <v>182</v>
      </c>
      <c r="G282" s="56">
        <v>1</v>
      </c>
    </row>
    <row r="283" spans="1:7" x14ac:dyDescent="0.25">
      <c r="A283" s="17">
        <f t="shared" si="4"/>
        <v>277</v>
      </c>
      <c r="B283" s="20" t="s">
        <v>1877</v>
      </c>
      <c r="C283" s="20" t="s">
        <v>17</v>
      </c>
      <c r="D283" s="28" t="s">
        <v>669</v>
      </c>
      <c r="E283" s="23">
        <v>42124</v>
      </c>
      <c r="F283" s="58" t="s">
        <v>182</v>
      </c>
      <c r="G283" s="56">
        <v>1</v>
      </c>
    </row>
    <row r="284" spans="1:7" x14ac:dyDescent="0.25">
      <c r="A284" s="17">
        <f t="shared" si="4"/>
        <v>278</v>
      </c>
      <c r="B284" s="20" t="s">
        <v>1877</v>
      </c>
      <c r="C284" s="20" t="s">
        <v>17</v>
      </c>
      <c r="D284" s="28" t="s">
        <v>670</v>
      </c>
      <c r="E284" s="23">
        <v>42124</v>
      </c>
      <c r="F284" s="58" t="s">
        <v>182</v>
      </c>
      <c r="G284" s="56">
        <v>1</v>
      </c>
    </row>
    <row r="285" spans="1:7" x14ac:dyDescent="0.25">
      <c r="A285" s="17">
        <f t="shared" si="4"/>
        <v>279</v>
      </c>
      <c r="B285" s="20" t="s">
        <v>1877</v>
      </c>
      <c r="C285" s="20" t="s">
        <v>17</v>
      </c>
      <c r="D285" s="28" t="s">
        <v>671</v>
      </c>
      <c r="E285" s="23">
        <v>42124</v>
      </c>
      <c r="F285" s="58" t="s">
        <v>182</v>
      </c>
      <c r="G285" s="56">
        <v>1</v>
      </c>
    </row>
    <row r="286" spans="1:7" x14ac:dyDescent="0.25">
      <c r="A286" s="17">
        <f t="shared" si="4"/>
        <v>280</v>
      </c>
      <c r="B286" s="20" t="s">
        <v>1877</v>
      </c>
      <c r="C286" s="20" t="s">
        <v>17</v>
      </c>
      <c r="D286" s="28" t="s">
        <v>672</v>
      </c>
      <c r="E286" s="23">
        <v>42124</v>
      </c>
      <c r="F286" s="58" t="s">
        <v>182</v>
      </c>
      <c r="G286" s="56">
        <v>1</v>
      </c>
    </row>
    <row r="287" spans="1:7" x14ac:dyDescent="0.25">
      <c r="A287" s="17">
        <f t="shared" si="4"/>
        <v>281</v>
      </c>
      <c r="B287" s="20" t="s">
        <v>1877</v>
      </c>
      <c r="C287" s="20" t="s">
        <v>17</v>
      </c>
      <c r="D287" s="28" t="s">
        <v>673</v>
      </c>
      <c r="E287" s="23">
        <v>42124</v>
      </c>
      <c r="F287" s="58" t="s">
        <v>182</v>
      </c>
      <c r="G287" s="56">
        <v>1</v>
      </c>
    </row>
    <row r="288" spans="1:7" x14ac:dyDescent="0.25">
      <c r="A288" s="17">
        <f t="shared" si="4"/>
        <v>282</v>
      </c>
      <c r="B288" s="20" t="s">
        <v>1877</v>
      </c>
      <c r="C288" s="20" t="s">
        <v>17</v>
      </c>
      <c r="D288" s="28" t="s">
        <v>674</v>
      </c>
      <c r="E288" s="23">
        <v>42124</v>
      </c>
      <c r="F288" s="58" t="s">
        <v>182</v>
      </c>
      <c r="G288" s="56">
        <v>1</v>
      </c>
    </row>
    <row r="289" spans="1:7" x14ac:dyDescent="0.25">
      <c r="A289" s="17">
        <f t="shared" si="4"/>
        <v>283</v>
      </c>
      <c r="B289" s="20" t="s">
        <v>1877</v>
      </c>
      <c r="C289" s="20" t="s">
        <v>17</v>
      </c>
      <c r="D289" s="28" t="s">
        <v>675</v>
      </c>
      <c r="E289" s="23">
        <v>42124</v>
      </c>
      <c r="F289" s="58" t="s">
        <v>182</v>
      </c>
      <c r="G289" s="56">
        <v>1</v>
      </c>
    </row>
    <row r="290" spans="1:7" x14ac:dyDescent="0.25">
      <c r="A290" s="17">
        <f t="shared" si="4"/>
        <v>284</v>
      </c>
      <c r="B290" s="20" t="s">
        <v>1878</v>
      </c>
      <c r="C290" s="20" t="s">
        <v>17</v>
      </c>
      <c r="D290" s="28" t="s">
        <v>676</v>
      </c>
      <c r="E290" s="23">
        <v>42124</v>
      </c>
      <c r="F290" s="58" t="s">
        <v>182</v>
      </c>
      <c r="G290" s="56">
        <v>1</v>
      </c>
    </row>
    <row r="291" spans="1:7" x14ac:dyDescent="0.25">
      <c r="A291" s="17">
        <f t="shared" si="4"/>
        <v>285</v>
      </c>
      <c r="B291" s="20" t="s">
        <v>1878</v>
      </c>
      <c r="C291" s="20" t="s">
        <v>17</v>
      </c>
      <c r="D291" s="28" t="s">
        <v>677</v>
      </c>
      <c r="E291" s="23">
        <v>42124</v>
      </c>
      <c r="F291" s="58" t="s">
        <v>182</v>
      </c>
      <c r="G291" s="56">
        <v>1</v>
      </c>
    </row>
    <row r="292" spans="1:7" x14ac:dyDescent="0.25">
      <c r="A292" s="17">
        <f t="shared" si="4"/>
        <v>286</v>
      </c>
      <c r="B292" s="20" t="s">
        <v>1878</v>
      </c>
      <c r="C292" s="20" t="s">
        <v>17</v>
      </c>
      <c r="D292" s="28" t="s">
        <v>678</v>
      </c>
      <c r="E292" s="23">
        <v>42124</v>
      </c>
      <c r="F292" s="58" t="s">
        <v>182</v>
      </c>
      <c r="G292" s="56">
        <v>1</v>
      </c>
    </row>
    <row r="293" spans="1:7" x14ac:dyDescent="0.25">
      <c r="A293" s="17">
        <f t="shared" si="4"/>
        <v>287</v>
      </c>
      <c r="B293" s="20" t="s">
        <v>1878</v>
      </c>
      <c r="C293" s="20" t="s">
        <v>17</v>
      </c>
      <c r="D293" s="28" t="s">
        <v>679</v>
      </c>
      <c r="E293" s="23">
        <v>42124</v>
      </c>
      <c r="F293" s="58" t="s">
        <v>182</v>
      </c>
      <c r="G293" s="56">
        <v>1</v>
      </c>
    </row>
    <row r="294" spans="1:7" x14ac:dyDescent="0.25">
      <c r="A294" s="17">
        <f t="shared" si="4"/>
        <v>288</v>
      </c>
      <c r="B294" s="20" t="s">
        <v>1878</v>
      </c>
      <c r="C294" s="20" t="s">
        <v>17</v>
      </c>
      <c r="D294" s="28" t="s">
        <v>680</v>
      </c>
      <c r="E294" s="23">
        <v>42124</v>
      </c>
      <c r="F294" s="58" t="s">
        <v>182</v>
      </c>
      <c r="G294" s="56">
        <v>1</v>
      </c>
    </row>
    <row r="295" spans="1:7" x14ac:dyDescent="0.25">
      <c r="A295" s="17">
        <f t="shared" si="4"/>
        <v>289</v>
      </c>
      <c r="B295" s="20" t="s">
        <v>1878</v>
      </c>
      <c r="C295" s="20" t="s">
        <v>17</v>
      </c>
      <c r="D295" s="28" t="s">
        <v>681</v>
      </c>
      <c r="E295" s="23">
        <v>42124</v>
      </c>
      <c r="F295" s="58" t="s">
        <v>182</v>
      </c>
      <c r="G295" s="56">
        <v>1</v>
      </c>
    </row>
    <row r="296" spans="1:7" x14ac:dyDescent="0.25">
      <c r="A296" s="17">
        <f t="shared" si="4"/>
        <v>290</v>
      </c>
      <c r="B296" s="20" t="s">
        <v>1878</v>
      </c>
      <c r="C296" s="20" t="s">
        <v>17</v>
      </c>
      <c r="D296" s="28" t="s">
        <v>682</v>
      </c>
      <c r="E296" s="23">
        <v>42124</v>
      </c>
      <c r="F296" s="58" t="s">
        <v>182</v>
      </c>
      <c r="G296" s="56">
        <v>1</v>
      </c>
    </row>
    <row r="297" spans="1:7" x14ac:dyDescent="0.25">
      <c r="A297" s="17">
        <f t="shared" si="4"/>
        <v>291</v>
      </c>
      <c r="B297" s="20" t="s">
        <v>1878</v>
      </c>
      <c r="C297" s="20" t="s">
        <v>17</v>
      </c>
      <c r="D297" s="28" t="s">
        <v>683</v>
      </c>
      <c r="E297" s="23">
        <v>42124</v>
      </c>
      <c r="F297" s="58" t="s">
        <v>182</v>
      </c>
      <c r="G297" s="56">
        <v>1</v>
      </c>
    </row>
    <row r="298" spans="1:7" x14ac:dyDescent="0.25">
      <c r="A298" s="17">
        <f t="shared" si="4"/>
        <v>292</v>
      </c>
      <c r="B298" s="20" t="s">
        <v>1878</v>
      </c>
      <c r="C298" s="20" t="s">
        <v>17</v>
      </c>
      <c r="D298" s="28" t="s">
        <v>684</v>
      </c>
      <c r="E298" s="23">
        <v>42124</v>
      </c>
      <c r="F298" s="58" t="s">
        <v>182</v>
      </c>
      <c r="G298" s="56">
        <v>1</v>
      </c>
    </row>
    <row r="299" spans="1:7" x14ac:dyDescent="0.25">
      <c r="A299" s="17">
        <f t="shared" si="4"/>
        <v>293</v>
      </c>
      <c r="B299" s="20" t="s">
        <v>1878</v>
      </c>
      <c r="C299" s="20" t="s">
        <v>17</v>
      </c>
      <c r="D299" s="28" t="s">
        <v>685</v>
      </c>
      <c r="E299" s="23">
        <v>42124</v>
      </c>
      <c r="F299" s="58" t="s">
        <v>182</v>
      </c>
      <c r="G299" s="56">
        <v>1</v>
      </c>
    </row>
    <row r="300" spans="1:7" x14ac:dyDescent="0.25">
      <c r="A300" s="17">
        <f t="shared" si="4"/>
        <v>294</v>
      </c>
      <c r="B300" s="20" t="s">
        <v>1878</v>
      </c>
      <c r="C300" s="20" t="s">
        <v>17</v>
      </c>
      <c r="D300" s="28" t="s">
        <v>686</v>
      </c>
      <c r="E300" s="23">
        <v>42124</v>
      </c>
      <c r="F300" s="58" t="s">
        <v>182</v>
      </c>
      <c r="G300" s="56">
        <v>1</v>
      </c>
    </row>
    <row r="301" spans="1:7" x14ac:dyDescent="0.25">
      <c r="A301" s="17">
        <f t="shared" si="4"/>
        <v>295</v>
      </c>
      <c r="B301" s="20" t="s">
        <v>1878</v>
      </c>
      <c r="C301" s="20" t="s">
        <v>17</v>
      </c>
      <c r="D301" s="28" t="s">
        <v>687</v>
      </c>
      <c r="E301" s="23">
        <v>42124</v>
      </c>
      <c r="F301" s="58" t="s">
        <v>182</v>
      </c>
      <c r="G301" s="56">
        <v>1</v>
      </c>
    </row>
    <row r="302" spans="1:7" x14ac:dyDescent="0.25">
      <c r="A302" s="17">
        <f t="shared" si="4"/>
        <v>296</v>
      </c>
      <c r="B302" s="20" t="s">
        <v>1878</v>
      </c>
      <c r="C302" s="20" t="s">
        <v>17</v>
      </c>
      <c r="D302" s="28" t="s">
        <v>688</v>
      </c>
      <c r="E302" s="23">
        <v>42124</v>
      </c>
      <c r="F302" s="58" t="s">
        <v>182</v>
      </c>
      <c r="G302" s="56">
        <v>1</v>
      </c>
    </row>
    <row r="303" spans="1:7" x14ac:dyDescent="0.25">
      <c r="A303" s="17">
        <f t="shared" si="4"/>
        <v>297</v>
      </c>
      <c r="B303" s="20" t="s">
        <v>1878</v>
      </c>
      <c r="C303" s="20" t="s">
        <v>17</v>
      </c>
      <c r="D303" s="28" t="s">
        <v>689</v>
      </c>
      <c r="E303" s="23">
        <v>42124</v>
      </c>
      <c r="F303" s="58" t="s">
        <v>182</v>
      </c>
      <c r="G303" s="56">
        <v>1</v>
      </c>
    </row>
    <row r="304" spans="1:7" x14ac:dyDescent="0.25">
      <c r="A304" s="17">
        <f t="shared" si="4"/>
        <v>298</v>
      </c>
      <c r="B304" s="20" t="s">
        <v>1878</v>
      </c>
      <c r="C304" s="20" t="s">
        <v>17</v>
      </c>
      <c r="D304" s="28" t="s">
        <v>690</v>
      </c>
      <c r="E304" s="23">
        <v>42124</v>
      </c>
      <c r="F304" s="58" t="s">
        <v>182</v>
      </c>
      <c r="G304" s="56">
        <v>1</v>
      </c>
    </row>
    <row r="305" spans="1:7" x14ac:dyDescent="0.25">
      <c r="A305" s="17">
        <f t="shared" si="4"/>
        <v>299</v>
      </c>
      <c r="B305" s="20" t="s">
        <v>1878</v>
      </c>
      <c r="C305" s="20" t="s">
        <v>17</v>
      </c>
      <c r="D305" s="28" t="s">
        <v>691</v>
      </c>
      <c r="E305" s="23">
        <v>42124</v>
      </c>
      <c r="F305" s="58" t="s">
        <v>182</v>
      </c>
      <c r="G305" s="56">
        <v>1</v>
      </c>
    </row>
    <row r="306" spans="1:7" x14ac:dyDescent="0.25">
      <c r="A306" s="17">
        <f t="shared" si="4"/>
        <v>300</v>
      </c>
      <c r="B306" s="20" t="s">
        <v>1878</v>
      </c>
      <c r="C306" s="20" t="s">
        <v>17</v>
      </c>
      <c r="D306" s="28" t="s">
        <v>692</v>
      </c>
      <c r="E306" s="23">
        <v>42124</v>
      </c>
      <c r="F306" s="58" t="s">
        <v>182</v>
      </c>
      <c r="G306" s="56">
        <v>1</v>
      </c>
    </row>
    <row r="307" spans="1:7" x14ac:dyDescent="0.25">
      <c r="A307" s="17">
        <f t="shared" si="4"/>
        <v>301</v>
      </c>
      <c r="B307" s="20" t="s">
        <v>1878</v>
      </c>
      <c r="C307" s="20" t="s">
        <v>17</v>
      </c>
      <c r="D307" s="28" t="s">
        <v>693</v>
      </c>
      <c r="E307" s="23">
        <v>42124</v>
      </c>
      <c r="F307" s="58" t="s">
        <v>182</v>
      </c>
      <c r="G307" s="56">
        <v>1</v>
      </c>
    </row>
    <row r="308" spans="1:7" x14ac:dyDescent="0.25">
      <c r="A308" s="17">
        <f t="shared" si="4"/>
        <v>302</v>
      </c>
      <c r="B308" s="20" t="s">
        <v>1878</v>
      </c>
      <c r="C308" s="20" t="s">
        <v>17</v>
      </c>
      <c r="D308" s="28" t="s">
        <v>694</v>
      </c>
      <c r="E308" s="23">
        <v>42124</v>
      </c>
      <c r="F308" s="58" t="s">
        <v>182</v>
      </c>
      <c r="G308" s="56">
        <v>1</v>
      </c>
    </row>
    <row r="309" spans="1:7" x14ac:dyDescent="0.25">
      <c r="A309" s="17">
        <f t="shared" si="4"/>
        <v>303</v>
      </c>
      <c r="B309" s="20" t="s">
        <v>1878</v>
      </c>
      <c r="C309" s="20" t="s">
        <v>17</v>
      </c>
      <c r="D309" s="28" t="s">
        <v>695</v>
      </c>
      <c r="E309" s="23">
        <v>42124</v>
      </c>
      <c r="F309" s="58" t="s">
        <v>182</v>
      </c>
      <c r="G309" s="56">
        <v>1</v>
      </c>
    </row>
    <row r="310" spans="1:7" x14ac:dyDescent="0.25">
      <c r="A310" s="17">
        <f t="shared" si="4"/>
        <v>304</v>
      </c>
      <c r="B310" s="20" t="s">
        <v>1878</v>
      </c>
      <c r="C310" s="20" t="s">
        <v>17</v>
      </c>
      <c r="D310" s="28" t="s">
        <v>696</v>
      </c>
      <c r="E310" s="23">
        <v>42124</v>
      </c>
      <c r="F310" s="58" t="s">
        <v>182</v>
      </c>
      <c r="G310" s="56">
        <v>1</v>
      </c>
    </row>
    <row r="311" spans="1:7" x14ac:dyDescent="0.25">
      <c r="A311" s="17">
        <f t="shared" si="4"/>
        <v>305</v>
      </c>
      <c r="B311" s="20" t="s">
        <v>1878</v>
      </c>
      <c r="C311" s="20" t="s">
        <v>17</v>
      </c>
      <c r="D311" s="28" t="s">
        <v>697</v>
      </c>
      <c r="E311" s="23">
        <v>42124</v>
      </c>
      <c r="F311" s="58" t="s">
        <v>182</v>
      </c>
      <c r="G311" s="56">
        <v>1</v>
      </c>
    </row>
    <row r="312" spans="1:7" x14ac:dyDescent="0.25">
      <c r="A312" s="17">
        <f t="shared" si="4"/>
        <v>306</v>
      </c>
      <c r="B312" s="20" t="s">
        <v>1878</v>
      </c>
      <c r="C312" s="20" t="s">
        <v>17</v>
      </c>
      <c r="D312" s="28" t="s">
        <v>698</v>
      </c>
      <c r="E312" s="23">
        <v>42124</v>
      </c>
      <c r="F312" s="58" t="s">
        <v>182</v>
      </c>
      <c r="G312" s="56">
        <v>1</v>
      </c>
    </row>
    <row r="313" spans="1:7" x14ac:dyDescent="0.25">
      <c r="A313" s="17">
        <f t="shared" si="4"/>
        <v>307</v>
      </c>
      <c r="B313" s="20" t="s">
        <v>1878</v>
      </c>
      <c r="C313" s="20" t="s">
        <v>17</v>
      </c>
      <c r="D313" s="28" t="s">
        <v>699</v>
      </c>
      <c r="E313" s="23">
        <v>42124</v>
      </c>
      <c r="F313" s="58" t="s">
        <v>182</v>
      </c>
      <c r="G313" s="56">
        <v>1</v>
      </c>
    </row>
    <row r="314" spans="1:7" x14ac:dyDescent="0.25">
      <c r="A314" s="17">
        <f t="shared" si="4"/>
        <v>308</v>
      </c>
      <c r="B314" s="20" t="s">
        <v>1878</v>
      </c>
      <c r="C314" s="20" t="s">
        <v>17</v>
      </c>
      <c r="D314" s="28" t="s">
        <v>700</v>
      </c>
      <c r="E314" s="23">
        <v>42124</v>
      </c>
      <c r="F314" s="58" t="s">
        <v>182</v>
      </c>
      <c r="G314" s="56">
        <v>1</v>
      </c>
    </row>
    <row r="315" spans="1:7" x14ac:dyDescent="0.25">
      <c r="A315" s="17">
        <f t="shared" si="4"/>
        <v>309</v>
      </c>
      <c r="B315" s="20" t="s">
        <v>1878</v>
      </c>
      <c r="C315" s="20" t="s">
        <v>17</v>
      </c>
      <c r="D315" s="28" t="s">
        <v>701</v>
      </c>
      <c r="E315" s="23">
        <v>42124</v>
      </c>
      <c r="F315" s="58" t="s">
        <v>182</v>
      </c>
      <c r="G315" s="56">
        <v>1</v>
      </c>
    </row>
    <row r="316" spans="1:7" x14ac:dyDescent="0.25">
      <c r="A316" s="17">
        <f t="shared" si="4"/>
        <v>310</v>
      </c>
      <c r="B316" s="20" t="s">
        <v>1878</v>
      </c>
      <c r="C316" s="20" t="s">
        <v>17</v>
      </c>
      <c r="D316" s="28" t="s">
        <v>702</v>
      </c>
      <c r="E316" s="23">
        <v>42124</v>
      </c>
      <c r="F316" s="58" t="s">
        <v>182</v>
      </c>
      <c r="G316" s="56">
        <v>1</v>
      </c>
    </row>
    <row r="317" spans="1:7" x14ac:dyDescent="0.25">
      <c r="A317" s="17">
        <f t="shared" si="4"/>
        <v>311</v>
      </c>
      <c r="B317" s="20" t="s">
        <v>1878</v>
      </c>
      <c r="C317" s="20" t="s">
        <v>17</v>
      </c>
      <c r="D317" s="28" t="s">
        <v>703</v>
      </c>
      <c r="E317" s="23">
        <v>42124</v>
      </c>
      <c r="F317" s="58" t="s">
        <v>182</v>
      </c>
      <c r="G317" s="56">
        <v>1</v>
      </c>
    </row>
    <row r="318" spans="1:7" x14ac:dyDescent="0.25">
      <c r="A318" s="17">
        <f t="shared" si="4"/>
        <v>312</v>
      </c>
      <c r="B318" s="20" t="s">
        <v>1878</v>
      </c>
      <c r="C318" s="20" t="s">
        <v>17</v>
      </c>
      <c r="D318" s="28" t="s">
        <v>704</v>
      </c>
      <c r="E318" s="23">
        <v>42124</v>
      </c>
      <c r="F318" s="58" t="s">
        <v>182</v>
      </c>
      <c r="G318" s="56">
        <v>1</v>
      </c>
    </row>
    <row r="319" spans="1:7" x14ac:dyDescent="0.25">
      <c r="A319" s="17">
        <f t="shared" si="4"/>
        <v>313</v>
      </c>
      <c r="B319" s="20" t="s">
        <v>1878</v>
      </c>
      <c r="C319" s="20" t="s">
        <v>17</v>
      </c>
      <c r="D319" s="28" t="s">
        <v>705</v>
      </c>
      <c r="E319" s="23">
        <v>42124</v>
      </c>
      <c r="F319" s="58" t="s">
        <v>182</v>
      </c>
      <c r="G319" s="56">
        <v>1</v>
      </c>
    </row>
    <row r="320" spans="1:7" x14ac:dyDescent="0.25">
      <c r="A320" s="17">
        <f t="shared" si="4"/>
        <v>314</v>
      </c>
      <c r="B320" s="20" t="s">
        <v>1878</v>
      </c>
      <c r="C320" s="20" t="s">
        <v>17</v>
      </c>
      <c r="D320" s="28" t="s">
        <v>752</v>
      </c>
      <c r="E320" s="23">
        <v>42124</v>
      </c>
      <c r="F320" s="58" t="s">
        <v>182</v>
      </c>
      <c r="G320" s="56">
        <v>1</v>
      </c>
    </row>
    <row r="321" spans="1:7" x14ac:dyDescent="0.25">
      <c r="A321" s="17">
        <f t="shared" si="4"/>
        <v>315</v>
      </c>
      <c r="B321" s="20" t="s">
        <v>1878</v>
      </c>
      <c r="C321" s="20" t="s">
        <v>17</v>
      </c>
      <c r="D321" s="28" t="s">
        <v>706</v>
      </c>
      <c r="E321" s="23">
        <v>42124</v>
      </c>
      <c r="F321" s="58" t="s">
        <v>182</v>
      </c>
      <c r="G321" s="56">
        <v>1</v>
      </c>
    </row>
    <row r="322" spans="1:7" x14ac:dyDescent="0.25">
      <c r="A322" s="17">
        <f t="shared" si="4"/>
        <v>316</v>
      </c>
      <c r="B322" s="20" t="s">
        <v>1878</v>
      </c>
      <c r="C322" s="20" t="s">
        <v>17</v>
      </c>
      <c r="D322" s="28" t="s">
        <v>707</v>
      </c>
      <c r="E322" s="23">
        <v>42124</v>
      </c>
      <c r="F322" s="58" t="s">
        <v>182</v>
      </c>
      <c r="G322" s="56">
        <v>1</v>
      </c>
    </row>
    <row r="323" spans="1:7" x14ac:dyDescent="0.25">
      <c r="A323" s="17">
        <f t="shared" si="4"/>
        <v>317</v>
      </c>
      <c r="B323" s="20" t="s">
        <v>1878</v>
      </c>
      <c r="C323" s="20" t="s">
        <v>17</v>
      </c>
      <c r="D323" s="28" t="s">
        <v>708</v>
      </c>
      <c r="E323" s="23">
        <v>42124</v>
      </c>
      <c r="F323" s="58" t="s">
        <v>182</v>
      </c>
      <c r="G323" s="56">
        <v>1</v>
      </c>
    </row>
    <row r="324" spans="1:7" x14ac:dyDescent="0.25">
      <c r="A324" s="17">
        <f t="shared" si="4"/>
        <v>318</v>
      </c>
      <c r="B324" s="20" t="s">
        <v>1878</v>
      </c>
      <c r="C324" s="20" t="s">
        <v>17</v>
      </c>
      <c r="D324" s="28" t="s">
        <v>709</v>
      </c>
      <c r="E324" s="23">
        <v>42124</v>
      </c>
      <c r="F324" s="58" t="s">
        <v>182</v>
      </c>
      <c r="G324" s="56">
        <v>1</v>
      </c>
    </row>
    <row r="325" spans="1:7" x14ac:dyDescent="0.25">
      <c r="A325" s="17">
        <f t="shared" si="4"/>
        <v>319</v>
      </c>
      <c r="B325" s="20" t="s">
        <v>1895</v>
      </c>
      <c r="C325" s="20" t="s">
        <v>17</v>
      </c>
      <c r="D325" s="28" t="s">
        <v>2329</v>
      </c>
      <c r="E325" s="23">
        <v>42123</v>
      </c>
      <c r="F325" s="58" t="s">
        <v>182</v>
      </c>
      <c r="G325" s="56">
        <v>1</v>
      </c>
    </row>
    <row r="326" spans="1:7" x14ac:dyDescent="0.25">
      <c r="A326" s="17">
        <f t="shared" si="4"/>
        <v>320</v>
      </c>
      <c r="B326" s="20" t="s">
        <v>1895</v>
      </c>
      <c r="C326" s="20" t="s">
        <v>17</v>
      </c>
      <c r="D326" s="28" t="s">
        <v>2330</v>
      </c>
      <c r="E326" s="23">
        <v>42123</v>
      </c>
      <c r="F326" s="58" t="s">
        <v>182</v>
      </c>
      <c r="G326" s="56">
        <v>1</v>
      </c>
    </row>
    <row r="327" spans="1:7" x14ac:dyDescent="0.25">
      <c r="A327" s="17">
        <f t="shared" si="4"/>
        <v>321</v>
      </c>
      <c r="B327" s="20" t="s">
        <v>1895</v>
      </c>
      <c r="C327" s="20" t="s">
        <v>17</v>
      </c>
      <c r="D327" s="28" t="s">
        <v>2331</v>
      </c>
      <c r="E327" s="23">
        <v>42123</v>
      </c>
      <c r="F327" s="58" t="s">
        <v>182</v>
      </c>
      <c r="G327" s="56">
        <v>1</v>
      </c>
    </row>
    <row r="328" spans="1:7" x14ac:dyDescent="0.25">
      <c r="A328" s="17">
        <f t="shared" si="4"/>
        <v>322</v>
      </c>
      <c r="B328" s="20" t="s">
        <v>1895</v>
      </c>
      <c r="C328" s="20" t="s">
        <v>17</v>
      </c>
      <c r="D328" s="28" t="s">
        <v>2332</v>
      </c>
      <c r="E328" s="23">
        <v>42123</v>
      </c>
      <c r="F328" s="58" t="s">
        <v>182</v>
      </c>
      <c r="G328" s="56">
        <v>1</v>
      </c>
    </row>
    <row r="329" spans="1:7" x14ac:dyDescent="0.25">
      <c r="A329" s="17">
        <f t="shared" si="4"/>
        <v>323</v>
      </c>
      <c r="B329" s="20" t="s">
        <v>1895</v>
      </c>
      <c r="C329" s="20" t="s">
        <v>17</v>
      </c>
      <c r="D329" s="28" t="s">
        <v>2333</v>
      </c>
      <c r="E329" s="23">
        <v>42123</v>
      </c>
      <c r="F329" s="58" t="s">
        <v>182</v>
      </c>
      <c r="G329" s="56">
        <v>1</v>
      </c>
    </row>
    <row r="330" spans="1:7" x14ac:dyDescent="0.25">
      <c r="A330" s="17">
        <f t="shared" ref="A330:A336" si="5">A329+1</f>
        <v>324</v>
      </c>
      <c r="B330" s="20" t="s">
        <v>1895</v>
      </c>
      <c r="C330" s="20" t="s">
        <v>17</v>
      </c>
      <c r="D330" s="28" t="s">
        <v>2334</v>
      </c>
      <c r="E330" s="23">
        <v>42123</v>
      </c>
      <c r="F330" s="58" t="s">
        <v>182</v>
      </c>
      <c r="G330" s="56">
        <v>1</v>
      </c>
    </row>
    <row r="331" spans="1:7" x14ac:dyDescent="0.25">
      <c r="A331" s="17">
        <f t="shared" si="5"/>
        <v>325</v>
      </c>
      <c r="B331" s="20" t="s">
        <v>1895</v>
      </c>
      <c r="C331" s="20" t="s">
        <v>17</v>
      </c>
      <c r="D331" s="28" t="s">
        <v>2335</v>
      </c>
      <c r="E331" s="23">
        <v>42123</v>
      </c>
      <c r="F331" s="58" t="s">
        <v>182</v>
      </c>
      <c r="G331" s="56">
        <v>1</v>
      </c>
    </row>
    <row r="332" spans="1:7" x14ac:dyDescent="0.25">
      <c r="A332" s="17">
        <f t="shared" si="5"/>
        <v>326</v>
      </c>
      <c r="B332" s="20" t="s">
        <v>1895</v>
      </c>
      <c r="C332" s="20" t="s">
        <v>17</v>
      </c>
      <c r="D332" s="28" t="s">
        <v>2336</v>
      </c>
      <c r="E332" s="23">
        <v>42123</v>
      </c>
      <c r="F332" s="58" t="s">
        <v>182</v>
      </c>
      <c r="G332" s="56">
        <v>1</v>
      </c>
    </row>
    <row r="333" spans="1:7" x14ac:dyDescent="0.25">
      <c r="A333" s="17">
        <f t="shared" si="5"/>
        <v>327</v>
      </c>
      <c r="B333" s="20" t="s">
        <v>1895</v>
      </c>
      <c r="C333" s="20" t="s">
        <v>17</v>
      </c>
      <c r="D333" s="28" t="s">
        <v>2337</v>
      </c>
      <c r="E333" s="23">
        <v>42123</v>
      </c>
      <c r="F333" s="58" t="s">
        <v>182</v>
      </c>
      <c r="G333" s="56">
        <v>1</v>
      </c>
    </row>
    <row r="334" spans="1:7" x14ac:dyDescent="0.25">
      <c r="A334" s="17">
        <f t="shared" si="5"/>
        <v>328</v>
      </c>
      <c r="B334" s="20" t="s">
        <v>1895</v>
      </c>
      <c r="C334" s="20" t="s">
        <v>17</v>
      </c>
      <c r="D334" s="28" t="s">
        <v>2338</v>
      </c>
      <c r="E334" s="23">
        <v>42123</v>
      </c>
      <c r="F334" s="58" t="s">
        <v>182</v>
      </c>
      <c r="G334" s="56">
        <v>1</v>
      </c>
    </row>
    <row r="335" spans="1:7" x14ac:dyDescent="0.25">
      <c r="A335" s="17">
        <f t="shared" si="5"/>
        <v>329</v>
      </c>
      <c r="B335" s="20" t="s">
        <v>1895</v>
      </c>
      <c r="C335" s="20" t="s">
        <v>17</v>
      </c>
      <c r="D335" s="28" t="s">
        <v>1890</v>
      </c>
      <c r="E335" s="23">
        <v>42123</v>
      </c>
      <c r="F335" s="58" t="s">
        <v>182</v>
      </c>
      <c r="G335" s="56">
        <v>1</v>
      </c>
    </row>
    <row r="336" spans="1:7" x14ac:dyDescent="0.25">
      <c r="A336" s="17">
        <f t="shared" si="5"/>
        <v>330</v>
      </c>
      <c r="B336" s="20" t="s">
        <v>1895</v>
      </c>
      <c r="C336" s="20" t="s">
        <v>17</v>
      </c>
      <c r="D336" s="28" t="s">
        <v>1892</v>
      </c>
      <c r="E336" s="23">
        <v>42123</v>
      </c>
      <c r="F336" s="58" t="s">
        <v>182</v>
      </c>
      <c r="G336" s="56">
        <v>1</v>
      </c>
    </row>
  </sheetData>
  <sortState ref="B71:F130">
    <sortCondition ref="D71:D130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orientation="portrait" horizontalDpi="120" verticalDpi="7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opLeftCell="A11" workbookViewId="0">
      <selection activeCell="B19" sqref="B19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3" max="3" width="10.140625" customWidth="1"/>
    <col min="4" max="4" width="15.140625" customWidth="1"/>
    <col min="6" max="6" width="21.140625" customWidth="1"/>
    <col min="7" max="7" width="4.28515625" hidden="1" customWidth="1"/>
    <col min="8" max="8" width="17.85546875" bestFit="1" customWidth="1"/>
  </cols>
  <sheetData>
    <row r="1" spans="1:11" ht="18" x14ac:dyDescent="0.25">
      <c r="A1" s="102" t="s">
        <v>0</v>
      </c>
      <c r="B1" s="102"/>
      <c r="C1" s="10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106" t="s">
        <v>2</v>
      </c>
      <c r="B2" s="106"/>
      <c r="C2" s="106"/>
      <c r="D2" s="6"/>
      <c r="E2" s="5" t="s">
        <v>3</v>
      </c>
      <c r="F2" s="5"/>
      <c r="G2" s="4"/>
      <c r="H2" s="4"/>
      <c r="I2" s="103" t="s">
        <v>4</v>
      </c>
      <c r="J2" s="104"/>
      <c r="K2" s="22">
        <f>SUMIF(F7:F118,"Elimination*",G7:G118)</f>
        <v>6</v>
      </c>
    </row>
    <row r="3" spans="1:11" x14ac:dyDescent="0.25">
      <c r="A3" s="107" t="s">
        <v>5</v>
      </c>
      <c r="B3" s="107"/>
      <c r="C3" s="107"/>
      <c r="D3" s="5"/>
      <c r="E3" s="4" t="s">
        <v>6</v>
      </c>
      <c r="F3" s="4"/>
      <c r="G3" s="4"/>
      <c r="H3" s="4"/>
      <c r="I3" s="103" t="s">
        <v>7</v>
      </c>
      <c r="J3" s="104"/>
      <c r="K3" s="22">
        <f>SUMIF(F7:F118,"NB*",G7:G118)</f>
        <v>21</v>
      </c>
    </row>
    <row r="4" spans="1:11" ht="18" x14ac:dyDescent="0.25">
      <c r="A4" s="102" t="s">
        <v>8</v>
      </c>
      <c r="B4" s="102"/>
      <c r="C4" s="102"/>
      <c r="D4" s="102"/>
      <c r="E4" s="102"/>
      <c r="F4" s="102"/>
      <c r="G4" s="4"/>
      <c r="H4" s="4"/>
      <c r="I4" s="103" t="s">
        <v>9</v>
      </c>
      <c r="J4" s="104"/>
      <c r="K4" s="22">
        <f>SUMIF(F7:F118,"Ve*",G7:G118)</f>
        <v>32</v>
      </c>
    </row>
    <row r="5" spans="1:11" ht="15.75" x14ac:dyDescent="0.25">
      <c r="A5" s="105" t="s">
        <v>566</v>
      </c>
      <c r="B5" s="105"/>
      <c r="C5" s="105"/>
      <c r="D5" s="105"/>
      <c r="E5" s="105"/>
      <c r="F5" s="105"/>
      <c r="G5" s="24"/>
      <c r="H5" s="24"/>
      <c r="I5" s="103" t="s">
        <v>10</v>
      </c>
      <c r="J5" s="104"/>
      <c r="K5" s="26">
        <f>SUM(K2:K4)</f>
        <v>59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4" t="s">
        <v>2067</v>
      </c>
      <c r="C7" s="11" t="s">
        <v>17</v>
      </c>
      <c r="D7" s="54" t="s">
        <v>713</v>
      </c>
      <c r="E7" s="14">
        <v>42127</v>
      </c>
      <c r="F7" s="30" t="s">
        <v>714</v>
      </c>
      <c r="G7" s="19">
        <v>1</v>
      </c>
      <c r="H7" t="s">
        <v>2068</v>
      </c>
      <c r="I7" s="18"/>
      <c r="J7" s="18"/>
      <c r="K7" s="1"/>
    </row>
    <row r="8" spans="1:11" ht="15" customHeight="1" x14ac:dyDescent="0.25">
      <c r="A8" s="17">
        <f>A7+1</f>
        <v>2</v>
      </c>
      <c r="B8" s="14" t="s">
        <v>2069</v>
      </c>
      <c r="C8" s="11" t="s">
        <v>17</v>
      </c>
      <c r="D8" s="54" t="s">
        <v>715</v>
      </c>
      <c r="E8" s="14">
        <v>42127</v>
      </c>
      <c r="F8" s="30" t="s">
        <v>716</v>
      </c>
      <c r="G8" s="19">
        <v>1</v>
      </c>
      <c r="H8" t="s">
        <v>2070</v>
      </c>
      <c r="I8" s="2"/>
      <c r="J8" s="2"/>
      <c r="K8" s="1"/>
    </row>
    <row r="9" spans="1:11" ht="15" customHeight="1" x14ac:dyDescent="0.25">
      <c r="A9" s="17">
        <f t="shared" ref="A9:A65" si="0">A8+1</f>
        <v>3</v>
      </c>
      <c r="B9" s="14" t="s">
        <v>2075</v>
      </c>
      <c r="C9" s="11" t="s">
        <v>17</v>
      </c>
      <c r="D9" s="54" t="s">
        <v>727</v>
      </c>
      <c r="E9" s="14">
        <v>42127</v>
      </c>
      <c r="F9" s="30" t="s">
        <v>728</v>
      </c>
      <c r="G9" s="19">
        <v>1</v>
      </c>
      <c r="H9" t="s">
        <v>2076</v>
      </c>
      <c r="I9" s="2"/>
      <c r="J9" s="2"/>
      <c r="K9" s="1"/>
    </row>
    <row r="10" spans="1:11" ht="15" customHeight="1" x14ac:dyDescent="0.25">
      <c r="A10" s="17">
        <f t="shared" si="0"/>
        <v>4</v>
      </c>
      <c r="B10" s="14" t="s">
        <v>2073</v>
      </c>
      <c r="C10" s="11" t="s">
        <v>17</v>
      </c>
      <c r="D10" s="54" t="s">
        <v>730</v>
      </c>
      <c r="E10" s="14">
        <v>42127</v>
      </c>
      <c r="F10" s="30" t="s">
        <v>731</v>
      </c>
      <c r="G10" s="19">
        <v>1</v>
      </c>
      <c r="H10" t="s">
        <v>2074</v>
      </c>
      <c r="I10" s="2"/>
      <c r="J10" s="2"/>
      <c r="K10" s="1"/>
    </row>
    <row r="11" spans="1:11" ht="15" customHeight="1" x14ac:dyDescent="0.25">
      <c r="A11" s="17">
        <f t="shared" si="0"/>
        <v>5</v>
      </c>
      <c r="B11" s="14" t="s">
        <v>2072</v>
      </c>
      <c r="C11" s="11" t="s">
        <v>17</v>
      </c>
      <c r="D11" s="54" t="s">
        <v>744</v>
      </c>
      <c r="E11" s="14">
        <v>42127</v>
      </c>
      <c r="F11" s="30" t="s">
        <v>745</v>
      </c>
      <c r="G11" s="19">
        <v>1</v>
      </c>
      <c r="H11" t="s">
        <v>2071</v>
      </c>
      <c r="I11" s="2"/>
      <c r="J11" s="2"/>
      <c r="K11" s="1"/>
    </row>
    <row r="12" spans="1:11" ht="15" customHeight="1" x14ac:dyDescent="0.25">
      <c r="A12" s="17">
        <f t="shared" si="0"/>
        <v>6</v>
      </c>
      <c r="B12" s="14" t="s">
        <v>2078</v>
      </c>
      <c r="C12" s="11" t="s">
        <v>17</v>
      </c>
      <c r="D12" s="54" t="s">
        <v>725</v>
      </c>
      <c r="E12" s="14">
        <v>42128</v>
      </c>
      <c r="F12" s="30" t="s">
        <v>726</v>
      </c>
      <c r="G12" s="19">
        <v>1</v>
      </c>
      <c r="H12" t="s">
        <v>2079</v>
      </c>
      <c r="I12" s="2"/>
      <c r="J12" s="2"/>
      <c r="K12" s="1"/>
    </row>
    <row r="13" spans="1:11" ht="15" customHeight="1" x14ac:dyDescent="0.25">
      <c r="A13" s="17">
        <f t="shared" si="0"/>
        <v>7</v>
      </c>
      <c r="B13" s="14" t="s">
        <v>2077</v>
      </c>
      <c r="C13" s="11">
        <v>50</v>
      </c>
      <c r="D13" s="54" t="s">
        <v>749</v>
      </c>
      <c r="E13" s="14">
        <v>42128</v>
      </c>
      <c r="F13" s="30" t="s">
        <v>748</v>
      </c>
      <c r="G13" s="19">
        <v>1</v>
      </c>
      <c r="H13" t="s">
        <v>1893</v>
      </c>
      <c r="I13" s="2"/>
      <c r="J13" s="2"/>
      <c r="K13" s="1"/>
    </row>
    <row r="14" spans="1:11" ht="15" customHeight="1" x14ac:dyDescent="0.25">
      <c r="A14" s="17">
        <f t="shared" si="0"/>
        <v>8</v>
      </c>
      <c r="B14" s="14" t="s">
        <v>2080</v>
      </c>
      <c r="C14" s="11" t="s">
        <v>17</v>
      </c>
      <c r="D14" s="54" t="s">
        <v>732</v>
      </c>
      <c r="E14" s="14">
        <v>42129</v>
      </c>
      <c r="F14" s="30" t="s">
        <v>733</v>
      </c>
      <c r="G14" s="12">
        <v>1</v>
      </c>
      <c r="H14" t="s">
        <v>2081</v>
      </c>
      <c r="I14" s="2"/>
      <c r="J14" s="2"/>
      <c r="K14" s="1"/>
    </row>
    <row r="15" spans="1:11" ht="15" customHeight="1" x14ac:dyDescent="0.25">
      <c r="A15" s="17">
        <f t="shared" si="0"/>
        <v>9</v>
      </c>
      <c r="B15" s="14" t="s">
        <v>2386</v>
      </c>
      <c r="C15" s="11" t="s">
        <v>17</v>
      </c>
      <c r="D15" s="54" t="s">
        <v>754</v>
      </c>
      <c r="E15" s="14">
        <v>42134</v>
      </c>
      <c r="F15" s="30" t="s">
        <v>753</v>
      </c>
      <c r="G15" s="12">
        <v>1</v>
      </c>
      <c r="I15" s="2"/>
      <c r="J15" s="2"/>
      <c r="K15" s="1"/>
    </row>
    <row r="16" spans="1:11" ht="15" customHeight="1" x14ac:dyDescent="0.25">
      <c r="A16" s="17">
        <f t="shared" si="0"/>
        <v>10</v>
      </c>
      <c r="B16" s="14" t="s">
        <v>571</v>
      </c>
      <c r="C16" s="11" t="s">
        <v>17</v>
      </c>
      <c r="D16" s="54" t="s">
        <v>572</v>
      </c>
      <c r="E16" s="14">
        <v>42137</v>
      </c>
      <c r="F16" s="30" t="s">
        <v>36</v>
      </c>
      <c r="G16" s="12">
        <v>1</v>
      </c>
      <c r="I16" s="2"/>
      <c r="J16" s="2"/>
      <c r="K16" s="1"/>
    </row>
    <row r="17" spans="1:11" ht="15" customHeight="1" x14ac:dyDescent="0.25">
      <c r="A17" s="17">
        <f t="shared" si="0"/>
        <v>11</v>
      </c>
      <c r="B17" s="15" t="s">
        <v>575</v>
      </c>
      <c r="C17" s="11" t="s">
        <v>17</v>
      </c>
      <c r="D17" s="54" t="s">
        <v>576</v>
      </c>
      <c r="E17" s="14">
        <v>42137</v>
      </c>
      <c r="F17" s="30" t="s">
        <v>36</v>
      </c>
      <c r="G17" s="12">
        <v>1</v>
      </c>
      <c r="I17" s="2"/>
      <c r="J17" s="2"/>
      <c r="K17" s="1"/>
    </row>
    <row r="18" spans="1:11" ht="15" customHeight="1" x14ac:dyDescent="0.25">
      <c r="A18" s="17">
        <f t="shared" si="0"/>
        <v>12</v>
      </c>
      <c r="B18" s="10" t="s">
        <v>567</v>
      </c>
      <c r="C18" s="11" t="s">
        <v>17</v>
      </c>
      <c r="D18" s="54" t="s">
        <v>568</v>
      </c>
      <c r="E18" s="14">
        <v>42138</v>
      </c>
      <c r="F18" s="30" t="s">
        <v>36</v>
      </c>
      <c r="G18" s="12">
        <v>1</v>
      </c>
      <c r="I18" s="2"/>
      <c r="J18" s="2"/>
      <c r="K18" s="1"/>
    </row>
    <row r="19" spans="1:11" ht="15" customHeight="1" x14ac:dyDescent="0.25">
      <c r="A19" s="17">
        <f t="shared" si="0"/>
        <v>13</v>
      </c>
      <c r="B19" s="15" t="s">
        <v>577</v>
      </c>
      <c r="C19" s="11" t="s">
        <v>17</v>
      </c>
      <c r="D19" s="54" t="s">
        <v>574</v>
      </c>
      <c r="E19" s="14">
        <v>42138</v>
      </c>
      <c r="F19" s="30" t="s">
        <v>99</v>
      </c>
      <c r="G19" s="12">
        <v>1</v>
      </c>
    </row>
    <row r="20" spans="1:11" ht="15" customHeight="1" x14ac:dyDescent="0.25">
      <c r="A20" s="17">
        <f t="shared" si="0"/>
        <v>14</v>
      </c>
      <c r="B20" s="15" t="s">
        <v>578</v>
      </c>
      <c r="C20" s="11" t="s">
        <v>17</v>
      </c>
      <c r="D20" s="54" t="s">
        <v>573</v>
      </c>
      <c r="E20" s="14">
        <v>42138</v>
      </c>
      <c r="F20" s="30" t="s">
        <v>99</v>
      </c>
      <c r="G20" s="12">
        <v>1</v>
      </c>
    </row>
    <row r="21" spans="1:11" ht="15" customHeight="1" x14ac:dyDescent="0.25">
      <c r="A21" s="17">
        <f t="shared" si="0"/>
        <v>15</v>
      </c>
      <c r="B21" s="14" t="s">
        <v>2082</v>
      </c>
      <c r="C21" s="11" t="s">
        <v>17</v>
      </c>
      <c r="D21" s="54" t="s">
        <v>734</v>
      </c>
      <c r="E21" s="14">
        <v>42141</v>
      </c>
      <c r="F21" s="30" t="s">
        <v>735</v>
      </c>
      <c r="G21" s="12">
        <v>1</v>
      </c>
      <c r="H21" t="s">
        <v>2083</v>
      </c>
    </row>
    <row r="22" spans="1:11" ht="15" customHeight="1" x14ac:dyDescent="0.25">
      <c r="A22" s="17">
        <f t="shared" si="0"/>
        <v>16</v>
      </c>
      <c r="B22" s="14" t="s">
        <v>2090</v>
      </c>
      <c r="C22" s="11" t="s">
        <v>17</v>
      </c>
      <c r="D22" s="54" t="s">
        <v>736</v>
      </c>
      <c r="E22" s="14">
        <v>42141</v>
      </c>
      <c r="F22" s="30" t="s">
        <v>737</v>
      </c>
      <c r="G22" s="12">
        <v>1</v>
      </c>
      <c r="H22" t="s">
        <v>2091</v>
      </c>
    </row>
    <row r="23" spans="1:11" ht="15" customHeight="1" x14ac:dyDescent="0.25">
      <c r="A23" s="17">
        <f t="shared" si="0"/>
        <v>17</v>
      </c>
      <c r="B23" s="14"/>
      <c r="C23" s="11">
        <v>100</v>
      </c>
      <c r="D23" s="54" t="s">
        <v>750</v>
      </c>
      <c r="E23" s="14">
        <v>42141</v>
      </c>
      <c r="F23" s="30" t="s">
        <v>751</v>
      </c>
      <c r="G23" s="12">
        <v>1</v>
      </c>
      <c r="H23" t="s">
        <v>1893</v>
      </c>
    </row>
    <row r="24" spans="1:11" ht="15" customHeight="1" x14ac:dyDescent="0.25">
      <c r="A24" s="17">
        <f t="shared" si="0"/>
        <v>18</v>
      </c>
      <c r="B24" s="14" t="s">
        <v>2084</v>
      </c>
      <c r="C24" s="11">
        <v>40</v>
      </c>
      <c r="D24" s="54" t="s">
        <v>711</v>
      </c>
      <c r="E24" s="14">
        <v>42142</v>
      </c>
      <c r="F24" s="30" t="s">
        <v>712</v>
      </c>
      <c r="G24" s="12">
        <v>1</v>
      </c>
      <c r="H24" t="s">
        <v>2085</v>
      </c>
    </row>
    <row r="25" spans="1:11" ht="15" customHeight="1" x14ac:dyDescent="0.25">
      <c r="A25" s="17">
        <f t="shared" si="0"/>
        <v>19</v>
      </c>
      <c r="B25" s="14" t="s">
        <v>2086</v>
      </c>
      <c r="C25" s="11" t="s">
        <v>17</v>
      </c>
      <c r="D25" s="54" t="s">
        <v>738</v>
      </c>
      <c r="E25" s="14">
        <v>42145</v>
      </c>
      <c r="F25" s="30" t="s">
        <v>739</v>
      </c>
      <c r="G25" s="12">
        <v>1</v>
      </c>
      <c r="H25" t="s">
        <v>2087</v>
      </c>
    </row>
    <row r="26" spans="1:11" ht="15" customHeight="1" x14ac:dyDescent="0.25">
      <c r="A26" s="17">
        <f t="shared" si="0"/>
        <v>20</v>
      </c>
      <c r="B26" s="15" t="s">
        <v>579</v>
      </c>
      <c r="C26" s="11" t="s">
        <v>17</v>
      </c>
      <c r="D26" s="54" t="s">
        <v>580</v>
      </c>
      <c r="E26" s="14">
        <v>42149</v>
      </c>
      <c r="F26" s="30" t="s">
        <v>36</v>
      </c>
      <c r="G26" s="12">
        <v>1</v>
      </c>
    </row>
    <row r="27" spans="1:11" ht="15" customHeight="1" x14ac:dyDescent="0.25">
      <c r="A27" s="17">
        <f t="shared" si="0"/>
        <v>21</v>
      </c>
      <c r="B27" s="15" t="s">
        <v>2088</v>
      </c>
      <c r="C27" s="11" t="s">
        <v>17</v>
      </c>
      <c r="D27" s="54" t="s">
        <v>581</v>
      </c>
      <c r="E27" s="14">
        <v>42149</v>
      </c>
      <c r="F27" s="30" t="s">
        <v>717</v>
      </c>
      <c r="G27" s="12">
        <v>1</v>
      </c>
      <c r="H27" t="s">
        <v>2089</v>
      </c>
    </row>
    <row r="28" spans="1:11" ht="15" customHeight="1" x14ac:dyDescent="0.25">
      <c r="A28" s="17">
        <f t="shared" si="0"/>
        <v>22</v>
      </c>
      <c r="B28" s="14" t="s">
        <v>2092</v>
      </c>
      <c r="C28" s="11" t="s">
        <v>17</v>
      </c>
      <c r="D28" s="54" t="s">
        <v>582</v>
      </c>
      <c r="E28" s="14">
        <v>42149</v>
      </c>
      <c r="F28" s="30" t="s">
        <v>718</v>
      </c>
      <c r="G28" s="12">
        <v>1</v>
      </c>
      <c r="H28" t="s">
        <v>2093</v>
      </c>
    </row>
    <row r="29" spans="1:11" ht="15" customHeight="1" x14ac:dyDescent="0.25">
      <c r="A29" s="17">
        <f t="shared" si="0"/>
        <v>23</v>
      </c>
      <c r="B29" s="15" t="s">
        <v>2094</v>
      </c>
      <c r="C29" s="11" t="s">
        <v>17</v>
      </c>
      <c r="D29" s="54" t="s">
        <v>583</v>
      </c>
      <c r="E29" s="14">
        <v>42149</v>
      </c>
      <c r="F29" s="30" t="s">
        <v>729</v>
      </c>
      <c r="G29" s="12">
        <v>1</v>
      </c>
      <c r="H29" t="s">
        <v>2095</v>
      </c>
    </row>
    <row r="30" spans="1:11" ht="15" customHeight="1" x14ac:dyDescent="0.25">
      <c r="A30" s="17">
        <f t="shared" si="0"/>
        <v>24</v>
      </c>
      <c r="B30" s="14" t="s">
        <v>584</v>
      </c>
      <c r="C30" s="11" t="s">
        <v>17</v>
      </c>
      <c r="D30" s="54" t="s">
        <v>585</v>
      </c>
      <c r="E30" s="14">
        <v>42149</v>
      </c>
      <c r="F30" s="30" t="s">
        <v>36</v>
      </c>
      <c r="G30" s="12">
        <v>1</v>
      </c>
    </row>
    <row r="31" spans="1:11" ht="15" customHeight="1" x14ac:dyDescent="0.25">
      <c r="A31" s="17">
        <f t="shared" si="0"/>
        <v>25</v>
      </c>
      <c r="B31" s="14" t="s">
        <v>2100</v>
      </c>
      <c r="C31" s="11" t="s">
        <v>17</v>
      </c>
      <c r="D31" s="54" t="s">
        <v>719</v>
      </c>
      <c r="E31" s="14">
        <v>42151</v>
      </c>
      <c r="F31" s="30" t="s">
        <v>720</v>
      </c>
      <c r="G31" s="12">
        <v>1</v>
      </c>
      <c r="H31" t="s">
        <v>2101</v>
      </c>
    </row>
    <row r="32" spans="1:11" ht="15" customHeight="1" x14ac:dyDescent="0.25">
      <c r="A32" s="17">
        <f t="shared" si="0"/>
        <v>26</v>
      </c>
      <c r="B32" s="14" t="s">
        <v>2098</v>
      </c>
      <c r="C32" s="11" t="s">
        <v>17</v>
      </c>
      <c r="D32" s="54" t="s">
        <v>740</v>
      </c>
      <c r="E32" s="14">
        <v>42151</v>
      </c>
      <c r="F32" s="30" t="s">
        <v>741</v>
      </c>
      <c r="G32" s="12">
        <v>1</v>
      </c>
      <c r="H32" t="s">
        <v>2099</v>
      </c>
    </row>
    <row r="33" spans="1:8" ht="15" customHeight="1" x14ac:dyDescent="0.25">
      <c r="A33" s="17">
        <f t="shared" si="0"/>
        <v>27</v>
      </c>
      <c r="B33" s="14" t="s">
        <v>2096</v>
      </c>
      <c r="C33" s="11" t="s">
        <v>17</v>
      </c>
      <c r="D33" s="54" t="s">
        <v>742</v>
      </c>
      <c r="E33" s="14">
        <v>42151</v>
      </c>
      <c r="F33" s="30" t="s">
        <v>743</v>
      </c>
      <c r="G33" s="12">
        <v>1</v>
      </c>
      <c r="H33" t="s">
        <v>2097</v>
      </c>
    </row>
    <row r="34" spans="1:8" ht="15" customHeight="1" x14ac:dyDescent="0.25">
      <c r="A34" s="17">
        <f t="shared" si="0"/>
        <v>28</v>
      </c>
      <c r="B34" s="14" t="s">
        <v>569</v>
      </c>
      <c r="C34" s="11" t="s">
        <v>17</v>
      </c>
      <c r="D34" s="54" t="s">
        <v>570</v>
      </c>
      <c r="E34" s="14">
        <v>42153</v>
      </c>
      <c r="F34" s="30" t="s">
        <v>36</v>
      </c>
      <c r="G34" s="12">
        <v>1</v>
      </c>
    </row>
    <row r="35" spans="1:8" ht="15" customHeight="1" x14ac:dyDescent="0.25">
      <c r="A35" s="17">
        <f t="shared" si="0"/>
        <v>29</v>
      </c>
      <c r="B35" s="14" t="s">
        <v>2104</v>
      </c>
      <c r="C35" s="11" t="s">
        <v>17</v>
      </c>
      <c r="D35" s="54" t="s">
        <v>721</v>
      </c>
      <c r="E35" s="14">
        <v>42155</v>
      </c>
      <c r="F35" s="30" t="s">
        <v>722</v>
      </c>
      <c r="G35" s="12">
        <v>1</v>
      </c>
      <c r="H35" t="s">
        <v>2105</v>
      </c>
    </row>
    <row r="36" spans="1:8" x14ac:dyDescent="0.25">
      <c r="A36" s="17">
        <f t="shared" si="0"/>
        <v>30</v>
      </c>
      <c r="B36" s="14" t="s">
        <v>2102</v>
      </c>
      <c r="C36" s="11" t="s">
        <v>17</v>
      </c>
      <c r="D36" s="54" t="s">
        <v>723</v>
      </c>
      <c r="E36" s="14">
        <v>42155</v>
      </c>
      <c r="F36" s="30" t="s">
        <v>724</v>
      </c>
      <c r="G36" s="12">
        <v>1</v>
      </c>
      <c r="H36" t="s">
        <v>2103</v>
      </c>
    </row>
    <row r="37" spans="1:8" x14ac:dyDescent="0.25">
      <c r="A37" s="17">
        <f t="shared" si="0"/>
        <v>31</v>
      </c>
      <c r="B37" s="14" t="s">
        <v>755</v>
      </c>
      <c r="C37" s="11" t="s">
        <v>17</v>
      </c>
      <c r="D37" s="54" t="s">
        <v>756</v>
      </c>
      <c r="E37" s="14">
        <v>42155</v>
      </c>
      <c r="F37" s="30" t="s">
        <v>182</v>
      </c>
      <c r="G37" s="12">
        <v>1</v>
      </c>
    </row>
    <row r="38" spans="1:8" x14ac:dyDescent="0.25">
      <c r="A38" s="17">
        <f t="shared" si="0"/>
        <v>32</v>
      </c>
      <c r="B38" s="14" t="s">
        <v>1891</v>
      </c>
      <c r="C38" s="11" t="s">
        <v>17</v>
      </c>
      <c r="D38" s="54" t="s">
        <v>1896</v>
      </c>
      <c r="E38" s="14">
        <v>42128</v>
      </c>
      <c r="F38" s="30" t="s">
        <v>182</v>
      </c>
      <c r="G38" s="12">
        <v>1</v>
      </c>
    </row>
    <row r="39" spans="1:8" x14ac:dyDescent="0.25">
      <c r="A39" s="17">
        <f t="shared" si="0"/>
        <v>33</v>
      </c>
      <c r="B39" s="14" t="s">
        <v>1891</v>
      </c>
      <c r="C39" s="11" t="s">
        <v>17</v>
      </c>
      <c r="D39" s="54" t="s">
        <v>1897</v>
      </c>
      <c r="E39" s="14">
        <v>42128</v>
      </c>
      <c r="F39" s="30" t="s">
        <v>182</v>
      </c>
      <c r="G39" s="12">
        <v>1</v>
      </c>
    </row>
    <row r="40" spans="1:8" x14ac:dyDescent="0.25">
      <c r="A40" s="17">
        <f t="shared" si="0"/>
        <v>34</v>
      </c>
      <c r="B40" s="14" t="s">
        <v>1891</v>
      </c>
      <c r="C40" s="11" t="s">
        <v>17</v>
      </c>
      <c r="D40" s="54" t="s">
        <v>1898</v>
      </c>
      <c r="E40" s="14">
        <v>42128</v>
      </c>
      <c r="F40" s="30" t="s">
        <v>182</v>
      </c>
      <c r="G40" s="12">
        <v>1</v>
      </c>
    </row>
    <row r="41" spans="1:8" x14ac:dyDescent="0.25">
      <c r="A41" s="17">
        <f t="shared" si="0"/>
        <v>35</v>
      </c>
      <c r="B41" s="14" t="s">
        <v>1891</v>
      </c>
      <c r="C41" s="11" t="s">
        <v>17</v>
      </c>
      <c r="D41" s="54" t="s">
        <v>1899</v>
      </c>
      <c r="E41" s="14">
        <v>42128</v>
      </c>
      <c r="F41" s="30" t="s">
        <v>182</v>
      </c>
      <c r="G41" s="12">
        <v>1</v>
      </c>
    </row>
    <row r="42" spans="1:8" x14ac:dyDescent="0.25">
      <c r="A42" s="17">
        <f t="shared" si="0"/>
        <v>36</v>
      </c>
      <c r="B42" s="14" t="s">
        <v>1891</v>
      </c>
      <c r="C42" s="11" t="s">
        <v>17</v>
      </c>
      <c r="D42" s="54" t="s">
        <v>1900</v>
      </c>
      <c r="E42" s="14">
        <v>42128</v>
      </c>
      <c r="F42" s="30" t="s">
        <v>182</v>
      </c>
      <c r="G42" s="12">
        <v>1</v>
      </c>
    </row>
    <row r="43" spans="1:8" x14ac:dyDescent="0.25">
      <c r="A43" s="17">
        <f t="shared" si="0"/>
        <v>37</v>
      </c>
      <c r="B43" s="14" t="s">
        <v>1891</v>
      </c>
      <c r="C43" s="11" t="s">
        <v>17</v>
      </c>
      <c r="D43" s="54" t="s">
        <v>1901</v>
      </c>
      <c r="E43" s="14">
        <v>42128</v>
      </c>
      <c r="F43" s="30" t="s">
        <v>182</v>
      </c>
      <c r="G43" s="12">
        <v>1</v>
      </c>
    </row>
    <row r="44" spans="1:8" x14ac:dyDescent="0.25">
      <c r="A44" s="17">
        <f t="shared" si="0"/>
        <v>38</v>
      </c>
      <c r="B44" s="14" t="s">
        <v>1891</v>
      </c>
      <c r="C44" s="11" t="s">
        <v>17</v>
      </c>
      <c r="D44" s="54" t="s">
        <v>1902</v>
      </c>
      <c r="E44" s="14">
        <v>42128</v>
      </c>
      <c r="F44" s="30" t="s">
        <v>182</v>
      </c>
      <c r="G44" s="12">
        <v>1</v>
      </c>
    </row>
    <row r="45" spans="1:8" x14ac:dyDescent="0.25">
      <c r="A45" s="17">
        <f t="shared" si="0"/>
        <v>39</v>
      </c>
      <c r="B45" s="14" t="s">
        <v>1891</v>
      </c>
      <c r="C45" s="11" t="s">
        <v>17</v>
      </c>
      <c r="D45" s="54" t="s">
        <v>1903</v>
      </c>
      <c r="E45" s="14">
        <v>42128</v>
      </c>
      <c r="F45" s="30" t="s">
        <v>182</v>
      </c>
      <c r="G45" s="12">
        <v>1</v>
      </c>
    </row>
    <row r="46" spans="1:8" x14ac:dyDescent="0.25">
      <c r="A46" s="17">
        <f t="shared" si="0"/>
        <v>40</v>
      </c>
      <c r="B46" s="14" t="s">
        <v>1891</v>
      </c>
      <c r="C46" s="11" t="s">
        <v>17</v>
      </c>
      <c r="D46" s="54" t="s">
        <v>1904</v>
      </c>
      <c r="E46" s="14">
        <v>42128</v>
      </c>
      <c r="F46" s="30" t="s">
        <v>182</v>
      </c>
      <c r="G46" s="12">
        <v>1</v>
      </c>
    </row>
    <row r="47" spans="1:8" x14ac:dyDescent="0.25">
      <c r="A47" s="17">
        <f t="shared" si="0"/>
        <v>41</v>
      </c>
      <c r="B47" s="14" t="s">
        <v>1891</v>
      </c>
      <c r="C47" s="11" t="s">
        <v>17</v>
      </c>
      <c r="D47" s="54" t="s">
        <v>1905</v>
      </c>
      <c r="E47" s="14">
        <v>42128</v>
      </c>
      <c r="F47" s="30" t="s">
        <v>182</v>
      </c>
      <c r="G47" s="12">
        <v>1</v>
      </c>
    </row>
    <row r="48" spans="1:8" x14ac:dyDescent="0.25">
      <c r="A48" s="17">
        <f t="shared" si="0"/>
        <v>42</v>
      </c>
      <c r="B48" s="14" t="s">
        <v>1891</v>
      </c>
      <c r="C48" s="11" t="s">
        <v>17</v>
      </c>
      <c r="D48" s="54" t="s">
        <v>1880</v>
      </c>
      <c r="E48" s="14">
        <v>42128</v>
      </c>
      <c r="F48" s="30" t="s">
        <v>182</v>
      </c>
      <c r="G48" s="12">
        <v>1</v>
      </c>
    </row>
    <row r="49" spans="1:7" x14ac:dyDescent="0.25">
      <c r="A49" s="17">
        <f t="shared" si="0"/>
        <v>43</v>
      </c>
      <c r="B49" s="14" t="s">
        <v>1891</v>
      </c>
      <c r="C49" s="11" t="s">
        <v>17</v>
      </c>
      <c r="D49" s="54" t="s">
        <v>1881</v>
      </c>
      <c r="E49" s="14">
        <v>42128</v>
      </c>
      <c r="F49" s="30" t="s">
        <v>182</v>
      </c>
      <c r="G49" s="12">
        <v>1</v>
      </c>
    </row>
    <row r="50" spans="1:7" x14ac:dyDescent="0.25">
      <c r="A50" s="17">
        <f t="shared" si="0"/>
        <v>44</v>
      </c>
      <c r="B50" s="14" t="s">
        <v>1891</v>
      </c>
      <c r="C50" s="11" t="s">
        <v>17</v>
      </c>
      <c r="D50" s="54" t="s">
        <v>1882</v>
      </c>
      <c r="E50" s="14">
        <v>42128</v>
      </c>
      <c r="F50" s="30" t="s">
        <v>182</v>
      </c>
      <c r="G50" s="12">
        <v>1</v>
      </c>
    </row>
    <row r="51" spans="1:7" x14ac:dyDescent="0.25">
      <c r="A51" s="17">
        <f t="shared" si="0"/>
        <v>45</v>
      </c>
      <c r="B51" s="14" t="s">
        <v>1891</v>
      </c>
      <c r="C51" s="11" t="s">
        <v>17</v>
      </c>
      <c r="D51" s="54" t="s">
        <v>1883</v>
      </c>
      <c r="E51" s="14">
        <v>42128</v>
      </c>
      <c r="F51" s="30" t="s">
        <v>182</v>
      </c>
      <c r="G51" s="12">
        <v>1</v>
      </c>
    </row>
    <row r="52" spans="1:7" x14ac:dyDescent="0.25">
      <c r="A52" s="17">
        <f t="shared" si="0"/>
        <v>46</v>
      </c>
      <c r="B52" s="14" t="s">
        <v>1891</v>
      </c>
      <c r="C52" s="11" t="s">
        <v>17</v>
      </c>
      <c r="D52" s="54" t="s">
        <v>1884</v>
      </c>
      <c r="E52" s="14">
        <v>42128</v>
      </c>
      <c r="F52" s="30" t="s">
        <v>182</v>
      </c>
      <c r="G52" s="12">
        <v>1</v>
      </c>
    </row>
    <row r="53" spans="1:7" x14ac:dyDescent="0.25">
      <c r="A53" s="17">
        <f t="shared" si="0"/>
        <v>47</v>
      </c>
      <c r="B53" s="14" t="s">
        <v>1891</v>
      </c>
      <c r="C53" s="11" t="s">
        <v>17</v>
      </c>
      <c r="D53" s="54" t="s">
        <v>1885</v>
      </c>
      <c r="E53" s="14">
        <v>42128</v>
      </c>
      <c r="F53" s="30" t="s">
        <v>182</v>
      </c>
      <c r="G53" s="12">
        <v>1</v>
      </c>
    </row>
    <row r="54" spans="1:7" x14ac:dyDescent="0.25">
      <c r="A54" s="17">
        <f t="shared" si="0"/>
        <v>48</v>
      </c>
      <c r="B54" s="14" t="s">
        <v>1891</v>
      </c>
      <c r="C54" s="11" t="s">
        <v>17</v>
      </c>
      <c r="D54" s="54" t="s">
        <v>1886</v>
      </c>
      <c r="E54" s="14">
        <v>42128</v>
      </c>
      <c r="F54" s="30" t="s">
        <v>182</v>
      </c>
      <c r="G54" s="12">
        <v>1</v>
      </c>
    </row>
    <row r="55" spans="1:7" x14ac:dyDescent="0.25">
      <c r="A55" s="17">
        <f t="shared" si="0"/>
        <v>49</v>
      </c>
      <c r="B55" s="14" t="s">
        <v>1891</v>
      </c>
      <c r="C55" s="11" t="s">
        <v>17</v>
      </c>
      <c r="D55" s="54" t="s">
        <v>1887</v>
      </c>
      <c r="E55" s="14">
        <v>42128</v>
      </c>
      <c r="F55" s="30" t="s">
        <v>182</v>
      </c>
      <c r="G55" s="12">
        <v>1</v>
      </c>
    </row>
    <row r="56" spans="1:7" x14ac:dyDescent="0.25">
      <c r="A56" s="17">
        <f t="shared" si="0"/>
        <v>50</v>
      </c>
      <c r="B56" s="14" t="s">
        <v>1891</v>
      </c>
      <c r="C56" s="11" t="s">
        <v>17</v>
      </c>
      <c r="D56" s="54" t="s">
        <v>1888</v>
      </c>
      <c r="E56" s="14">
        <v>42128</v>
      </c>
      <c r="F56" s="30" t="s">
        <v>182</v>
      </c>
      <c r="G56" s="12">
        <v>1</v>
      </c>
    </row>
    <row r="57" spans="1:7" x14ac:dyDescent="0.25">
      <c r="A57" s="17">
        <f t="shared" si="0"/>
        <v>51</v>
      </c>
      <c r="B57" s="14" t="s">
        <v>1891</v>
      </c>
      <c r="C57" s="11" t="s">
        <v>17</v>
      </c>
      <c r="D57" s="54" t="s">
        <v>1889</v>
      </c>
      <c r="E57" s="14">
        <v>42128</v>
      </c>
      <c r="F57" s="30" t="s">
        <v>182</v>
      </c>
      <c r="G57" s="12">
        <v>1</v>
      </c>
    </row>
    <row r="58" spans="1:7" x14ac:dyDescent="0.25">
      <c r="A58" s="17">
        <f t="shared" si="0"/>
        <v>52</v>
      </c>
      <c r="B58" s="14" t="s">
        <v>1891</v>
      </c>
      <c r="C58" s="11" t="s">
        <v>17</v>
      </c>
      <c r="D58" s="54" t="s">
        <v>1906</v>
      </c>
      <c r="E58" s="14">
        <v>42128</v>
      </c>
      <c r="F58" s="30" t="s">
        <v>182</v>
      </c>
      <c r="G58" s="12">
        <v>1</v>
      </c>
    </row>
    <row r="59" spans="1:7" x14ac:dyDescent="0.25">
      <c r="A59" s="17">
        <f t="shared" si="0"/>
        <v>53</v>
      </c>
      <c r="B59" s="14" t="s">
        <v>1891</v>
      </c>
      <c r="C59" s="11" t="s">
        <v>17</v>
      </c>
      <c r="D59" s="54" t="s">
        <v>1907</v>
      </c>
      <c r="E59" s="14">
        <v>42128</v>
      </c>
      <c r="F59" s="30" t="s">
        <v>182</v>
      </c>
      <c r="G59" s="12">
        <v>1</v>
      </c>
    </row>
    <row r="60" spans="1:7" x14ac:dyDescent="0.25">
      <c r="A60" s="17">
        <f t="shared" si="0"/>
        <v>54</v>
      </c>
      <c r="B60" s="14" t="s">
        <v>1891</v>
      </c>
      <c r="C60" s="11" t="s">
        <v>17</v>
      </c>
      <c r="D60" s="54" t="s">
        <v>1908</v>
      </c>
      <c r="E60" s="14">
        <v>42128</v>
      </c>
      <c r="F60" s="30" t="s">
        <v>182</v>
      </c>
      <c r="G60" s="12">
        <v>1</v>
      </c>
    </row>
    <row r="61" spans="1:7" x14ac:dyDescent="0.25">
      <c r="A61" s="17">
        <f t="shared" si="0"/>
        <v>55</v>
      </c>
      <c r="B61" s="14" t="s">
        <v>1891</v>
      </c>
      <c r="C61" s="11" t="s">
        <v>17</v>
      </c>
      <c r="D61" s="54" t="s">
        <v>1909</v>
      </c>
      <c r="E61" s="14">
        <v>42128</v>
      </c>
      <c r="F61" s="30" t="s">
        <v>182</v>
      </c>
      <c r="G61" s="12">
        <v>1</v>
      </c>
    </row>
    <row r="62" spans="1:7" x14ac:dyDescent="0.25">
      <c r="A62" s="17">
        <f t="shared" si="0"/>
        <v>56</v>
      </c>
      <c r="B62" s="14" t="s">
        <v>1891</v>
      </c>
      <c r="C62" s="11" t="s">
        <v>17</v>
      </c>
      <c r="D62" s="54" t="s">
        <v>1910</v>
      </c>
      <c r="E62" s="14">
        <v>42128</v>
      </c>
      <c r="F62" s="30" t="s">
        <v>182</v>
      </c>
      <c r="G62" s="12">
        <v>1</v>
      </c>
    </row>
    <row r="63" spans="1:7" x14ac:dyDescent="0.25">
      <c r="A63" s="17">
        <f t="shared" si="0"/>
        <v>57</v>
      </c>
      <c r="B63" s="14" t="s">
        <v>1891</v>
      </c>
      <c r="C63" s="11" t="s">
        <v>17</v>
      </c>
      <c r="D63" s="54" t="s">
        <v>1911</v>
      </c>
      <c r="E63" s="14">
        <v>42128</v>
      </c>
      <c r="F63" s="30" t="s">
        <v>182</v>
      </c>
      <c r="G63" s="12">
        <v>1</v>
      </c>
    </row>
    <row r="64" spans="1:7" x14ac:dyDescent="0.25">
      <c r="A64" s="17">
        <f t="shared" si="0"/>
        <v>58</v>
      </c>
      <c r="B64" s="14" t="s">
        <v>1891</v>
      </c>
      <c r="C64" s="11" t="s">
        <v>17</v>
      </c>
      <c r="D64" s="54" t="s">
        <v>1912</v>
      </c>
      <c r="E64" s="14">
        <v>42128</v>
      </c>
      <c r="F64" s="30" t="s">
        <v>182</v>
      </c>
      <c r="G64" s="12">
        <v>1</v>
      </c>
    </row>
    <row r="65" spans="1:7" x14ac:dyDescent="0.25">
      <c r="A65" s="17">
        <f t="shared" si="0"/>
        <v>59</v>
      </c>
      <c r="B65" s="14" t="s">
        <v>1891</v>
      </c>
      <c r="C65" s="11" t="s">
        <v>17</v>
      </c>
      <c r="D65" s="54" t="s">
        <v>1913</v>
      </c>
      <c r="E65" s="14">
        <v>42128</v>
      </c>
      <c r="F65" s="30" t="s">
        <v>182</v>
      </c>
      <c r="G65" s="12">
        <v>1</v>
      </c>
    </row>
  </sheetData>
  <sortState ref="B7:F34">
    <sortCondition ref="E7:E34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7"/>
  <sheetViews>
    <sheetView workbookViewId="0">
      <selection activeCell="B39" sqref="B39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3" max="3" width="10.140625" customWidth="1"/>
    <col min="6" max="6" width="18.85546875" customWidth="1"/>
    <col min="7" max="7" width="7.140625" hidden="1" customWidth="1"/>
    <col min="8" max="8" width="18.5703125" bestFit="1" customWidth="1"/>
  </cols>
  <sheetData>
    <row r="1" spans="1:11" ht="18" x14ac:dyDescent="0.25">
      <c r="A1" s="102" t="s">
        <v>0</v>
      </c>
      <c r="B1" s="102"/>
      <c r="C1" s="10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106" t="s">
        <v>2</v>
      </c>
      <c r="B2" s="106"/>
      <c r="C2" s="106"/>
      <c r="D2" s="6"/>
      <c r="E2" s="5" t="s">
        <v>3</v>
      </c>
      <c r="F2" s="5"/>
      <c r="G2" s="4"/>
      <c r="H2" s="4"/>
      <c r="I2" s="103" t="s">
        <v>4</v>
      </c>
      <c r="J2" s="104"/>
      <c r="K2" s="22">
        <f>SUMIF(F7:F195,"Elimination*",G7:G195)</f>
        <v>62</v>
      </c>
    </row>
    <row r="3" spans="1:11" x14ac:dyDescent="0.25">
      <c r="A3" s="107" t="s">
        <v>5</v>
      </c>
      <c r="B3" s="107"/>
      <c r="C3" s="107"/>
      <c r="D3" s="5"/>
      <c r="E3" s="4" t="s">
        <v>6</v>
      </c>
      <c r="F3" s="4"/>
      <c r="G3" s="4"/>
      <c r="H3" s="4"/>
      <c r="I3" s="103" t="s">
        <v>7</v>
      </c>
      <c r="J3" s="104"/>
      <c r="K3" s="22">
        <f>SUMIF(F7:F195,"NB*",G7:G195)</f>
        <v>38</v>
      </c>
    </row>
    <row r="4" spans="1:11" ht="18" x14ac:dyDescent="0.25">
      <c r="A4" s="102" t="s">
        <v>8</v>
      </c>
      <c r="B4" s="102"/>
      <c r="C4" s="102"/>
      <c r="D4" s="102"/>
      <c r="E4" s="102"/>
      <c r="F4" s="102"/>
      <c r="G4" s="4"/>
      <c r="H4" s="4"/>
      <c r="I4" s="103" t="s">
        <v>9</v>
      </c>
      <c r="J4" s="104"/>
      <c r="K4" s="22">
        <f>SUMIF(F7:F195,"Ve*",G7:G195)</f>
        <v>21</v>
      </c>
    </row>
    <row r="5" spans="1:11" ht="15.75" x14ac:dyDescent="0.25">
      <c r="A5" s="105" t="s">
        <v>817</v>
      </c>
      <c r="B5" s="105"/>
      <c r="C5" s="105"/>
      <c r="D5" s="105"/>
      <c r="E5" s="105"/>
      <c r="F5" s="105"/>
      <c r="G5" s="24"/>
      <c r="H5" s="24"/>
      <c r="I5" s="103" t="s">
        <v>10</v>
      </c>
      <c r="J5" s="104"/>
      <c r="K5" s="26">
        <f>SUM(K2:K4)</f>
        <v>121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4" t="s">
        <v>747</v>
      </c>
      <c r="C7" s="11" t="s">
        <v>17</v>
      </c>
      <c r="D7" s="54" t="s">
        <v>746</v>
      </c>
      <c r="E7" s="14">
        <v>42157</v>
      </c>
      <c r="F7" s="30" t="s">
        <v>36</v>
      </c>
      <c r="G7" s="19">
        <v>1</v>
      </c>
      <c r="H7" s="60" t="s">
        <v>881</v>
      </c>
      <c r="I7" s="18"/>
      <c r="J7" s="18"/>
      <c r="K7" s="1"/>
    </row>
    <row r="8" spans="1:11" ht="15" customHeight="1" x14ac:dyDescent="0.25">
      <c r="A8" s="17">
        <f>A7+1</f>
        <v>2</v>
      </c>
      <c r="B8" s="14" t="s">
        <v>2106</v>
      </c>
      <c r="C8" s="11" t="s">
        <v>17</v>
      </c>
      <c r="D8" s="54" t="s">
        <v>770</v>
      </c>
      <c r="E8" s="14">
        <v>42157</v>
      </c>
      <c r="F8" s="30" t="s">
        <v>794</v>
      </c>
      <c r="G8" s="19">
        <v>1</v>
      </c>
      <c r="H8" s="60" t="s">
        <v>2107</v>
      </c>
      <c r="I8" s="2"/>
      <c r="J8" s="2"/>
      <c r="K8" s="1"/>
    </row>
    <row r="9" spans="1:11" ht="15" customHeight="1" x14ac:dyDescent="0.25">
      <c r="A9" s="17">
        <f t="shared" ref="A9:A72" si="0">A8+1</f>
        <v>3</v>
      </c>
      <c r="B9" s="14" t="s">
        <v>2108</v>
      </c>
      <c r="C9" s="11" t="s">
        <v>17</v>
      </c>
      <c r="D9" s="54" t="s">
        <v>771</v>
      </c>
      <c r="E9" s="14">
        <v>42157</v>
      </c>
      <c r="F9" s="30" t="s">
        <v>793</v>
      </c>
      <c r="G9" s="19">
        <v>1</v>
      </c>
      <c r="H9" s="60" t="s">
        <v>2109</v>
      </c>
      <c r="I9" s="2"/>
      <c r="J9" s="2"/>
      <c r="K9" s="1"/>
    </row>
    <row r="10" spans="1:11" ht="15" customHeight="1" x14ac:dyDescent="0.25">
      <c r="A10" s="17">
        <f t="shared" si="0"/>
        <v>4</v>
      </c>
      <c r="B10" s="14" t="s">
        <v>2110</v>
      </c>
      <c r="C10" s="11" t="s">
        <v>17</v>
      </c>
      <c r="D10" s="54" t="s">
        <v>772</v>
      </c>
      <c r="E10" s="14">
        <v>42157</v>
      </c>
      <c r="F10" s="30" t="s">
        <v>795</v>
      </c>
      <c r="G10" s="19">
        <v>1</v>
      </c>
      <c r="H10" s="60" t="s">
        <v>2111</v>
      </c>
      <c r="I10" s="2"/>
      <c r="J10" s="2"/>
      <c r="K10" s="1"/>
    </row>
    <row r="11" spans="1:11" ht="15" customHeight="1" x14ac:dyDescent="0.25">
      <c r="A11" s="17">
        <f t="shared" si="0"/>
        <v>5</v>
      </c>
      <c r="B11" s="14" t="s">
        <v>2112</v>
      </c>
      <c r="C11" s="11" t="s">
        <v>17</v>
      </c>
      <c r="D11" s="54" t="s">
        <v>773</v>
      </c>
      <c r="E11" s="14">
        <v>42157</v>
      </c>
      <c r="F11" s="30" t="s">
        <v>801</v>
      </c>
      <c r="G11" s="19">
        <v>1</v>
      </c>
      <c r="H11" s="60" t="s">
        <v>2113</v>
      </c>
      <c r="I11" s="2"/>
      <c r="J11" s="2"/>
      <c r="K11" s="1"/>
    </row>
    <row r="12" spans="1:11" ht="15" customHeight="1" x14ac:dyDescent="0.25">
      <c r="A12" s="17">
        <f t="shared" si="0"/>
        <v>6</v>
      </c>
      <c r="B12" s="14" t="s">
        <v>2114</v>
      </c>
      <c r="C12" s="11" t="s">
        <v>17</v>
      </c>
      <c r="D12" s="54" t="s">
        <v>774</v>
      </c>
      <c r="E12" s="14">
        <v>42157</v>
      </c>
      <c r="F12" s="30" t="s">
        <v>798</v>
      </c>
      <c r="G12" s="19">
        <v>1</v>
      </c>
      <c r="H12" s="60" t="s">
        <v>2115</v>
      </c>
      <c r="I12" s="2"/>
      <c r="J12" s="2"/>
      <c r="K12" s="1"/>
    </row>
    <row r="13" spans="1:11" ht="15" customHeight="1" x14ac:dyDescent="0.25">
      <c r="A13" s="17">
        <f t="shared" si="0"/>
        <v>7</v>
      </c>
      <c r="B13" s="14" t="s">
        <v>2116</v>
      </c>
      <c r="C13" s="11" t="s">
        <v>17</v>
      </c>
      <c r="D13" s="54" t="s">
        <v>775</v>
      </c>
      <c r="E13" s="14">
        <v>42157</v>
      </c>
      <c r="F13" s="30" t="s">
        <v>797</v>
      </c>
      <c r="G13" s="19">
        <v>1</v>
      </c>
      <c r="H13" s="60" t="s">
        <v>2117</v>
      </c>
      <c r="I13" s="2"/>
      <c r="J13" s="2"/>
      <c r="K13" s="1"/>
    </row>
    <row r="14" spans="1:11" ht="15" customHeight="1" x14ac:dyDescent="0.25">
      <c r="A14" s="17">
        <f t="shared" si="0"/>
        <v>8</v>
      </c>
      <c r="B14" s="14" t="s">
        <v>2118</v>
      </c>
      <c r="C14" s="11" t="s">
        <v>17</v>
      </c>
      <c r="D14" s="54" t="s">
        <v>776</v>
      </c>
      <c r="E14" s="14">
        <v>42157</v>
      </c>
      <c r="F14" s="30" t="s">
        <v>800</v>
      </c>
      <c r="G14" s="12">
        <v>1</v>
      </c>
      <c r="H14" s="60" t="s">
        <v>2119</v>
      </c>
      <c r="I14" s="2"/>
      <c r="J14" s="2"/>
      <c r="K14" s="1"/>
    </row>
    <row r="15" spans="1:11" ht="15" customHeight="1" x14ac:dyDescent="0.25">
      <c r="A15" s="17">
        <f t="shared" si="0"/>
        <v>9</v>
      </c>
      <c r="B15" s="14" t="s">
        <v>2120</v>
      </c>
      <c r="C15" s="11" t="s">
        <v>17</v>
      </c>
      <c r="D15" s="54" t="s">
        <v>777</v>
      </c>
      <c r="E15" s="14">
        <v>42157</v>
      </c>
      <c r="F15" s="30" t="s">
        <v>802</v>
      </c>
      <c r="G15" s="12">
        <v>1</v>
      </c>
      <c r="H15" s="60" t="s">
        <v>2121</v>
      </c>
      <c r="I15" s="2"/>
      <c r="J15" s="2"/>
      <c r="K15" s="1"/>
    </row>
    <row r="16" spans="1:11" ht="15" customHeight="1" x14ac:dyDescent="0.25">
      <c r="A16" s="17">
        <f t="shared" si="0"/>
        <v>10</v>
      </c>
      <c r="B16" s="14" t="s">
        <v>2122</v>
      </c>
      <c r="C16" s="11" t="s">
        <v>17</v>
      </c>
      <c r="D16" s="54" t="s">
        <v>778</v>
      </c>
      <c r="E16" s="14">
        <v>42157</v>
      </c>
      <c r="F16" s="30" t="s">
        <v>799</v>
      </c>
      <c r="G16" s="12">
        <v>1</v>
      </c>
      <c r="H16" s="60" t="s">
        <v>2123</v>
      </c>
      <c r="I16" s="2"/>
      <c r="J16" s="2"/>
      <c r="K16" s="1"/>
    </row>
    <row r="17" spans="1:11" ht="15" customHeight="1" x14ac:dyDescent="0.25">
      <c r="A17" s="17">
        <f t="shared" si="0"/>
        <v>11</v>
      </c>
      <c r="B17" s="14" t="s">
        <v>2124</v>
      </c>
      <c r="C17" s="11" t="s">
        <v>17</v>
      </c>
      <c r="D17" s="54" t="s">
        <v>779</v>
      </c>
      <c r="E17" s="14">
        <v>42157</v>
      </c>
      <c r="F17" s="30" t="s">
        <v>796</v>
      </c>
      <c r="G17" s="12">
        <v>1</v>
      </c>
      <c r="H17" s="60" t="s">
        <v>2125</v>
      </c>
      <c r="I17" s="2"/>
      <c r="J17" s="2"/>
      <c r="K17" s="1"/>
    </row>
    <row r="18" spans="1:11" ht="15" customHeight="1" x14ac:dyDescent="0.25">
      <c r="A18" s="17">
        <f t="shared" si="0"/>
        <v>12</v>
      </c>
      <c r="B18" s="14" t="s">
        <v>2126</v>
      </c>
      <c r="C18" s="11" t="s">
        <v>17</v>
      </c>
      <c r="D18" s="54" t="s">
        <v>757</v>
      </c>
      <c r="E18" s="14">
        <v>42157</v>
      </c>
      <c r="F18" s="30" t="s">
        <v>787</v>
      </c>
      <c r="G18" s="12">
        <v>1</v>
      </c>
      <c r="H18" s="60" t="s">
        <v>2127</v>
      </c>
    </row>
    <row r="19" spans="1:11" ht="15" customHeight="1" x14ac:dyDescent="0.25">
      <c r="A19" s="17">
        <f t="shared" si="0"/>
        <v>13</v>
      </c>
      <c r="B19" s="14" t="s">
        <v>2128</v>
      </c>
      <c r="C19" s="11" t="s">
        <v>17</v>
      </c>
      <c r="D19" s="54" t="s">
        <v>758</v>
      </c>
      <c r="E19" s="14">
        <v>42157</v>
      </c>
      <c r="F19" s="30" t="s">
        <v>792</v>
      </c>
      <c r="G19" s="12">
        <v>1</v>
      </c>
      <c r="H19" s="60" t="s">
        <v>2129</v>
      </c>
    </row>
    <row r="20" spans="1:11" ht="15" customHeight="1" x14ac:dyDescent="0.25">
      <c r="A20" s="17">
        <f t="shared" si="0"/>
        <v>14</v>
      </c>
      <c r="B20" s="14" t="s">
        <v>2130</v>
      </c>
      <c r="C20" s="11" t="s">
        <v>17</v>
      </c>
      <c r="D20" s="54" t="s">
        <v>759</v>
      </c>
      <c r="E20" s="14">
        <v>42157</v>
      </c>
      <c r="F20" s="30" t="s">
        <v>790</v>
      </c>
      <c r="G20" s="12">
        <v>1</v>
      </c>
      <c r="H20" s="60" t="s">
        <v>2131</v>
      </c>
    </row>
    <row r="21" spans="1:11" ht="15" customHeight="1" x14ac:dyDescent="0.25">
      <c r="A21" s="17">
        <f t="shared" si="0"/>
        <v>15</v>
      </c>
      <c r="B21" s="14" t="s">
        <v>2132</v>
      </c>
      <c r="C21" s="11" t="s">
        <v>17</v>
      </c>
      <c r="D21" s="54" t="s">
        <v>760</v>
      </c>
      <c r="E21" s="14">
        <v>42157</v>
      </c>
      <c r="F21" s="30" t="s">
        <v>791</v>
      </c>
      <c r="G21" s="12">
        <v>1</v>
      </c>
      <c r="H21" s="60" t="s">
        <v>2133</v>
      </c>
    </row>
    <row r="22" spans="1:11" ht="15" customHeight="1" x14ac:dyDescent="0.25">
      <c r="A22" s="17">
        <f t="shared" si="0"/>
        <v>16</v>
      </c>
      <c r="B22" s="14" t="s">
        <v>2134</v>
      </c>
      <c r="C22" s="11" t="s">
        <v>17</v>
      </c>
      <c r="D22" s="54" t="s">
        <v>761</v>
      </c>
      <c r="E22" s="14">
        <v>42157</v>
      </c>
      <c r="F22" s="30" t="s">
        <v>789</v>
      </c>
      <c r="G22" s="12">
        <v>1</v>
      </c>
      <c r="H22" s="60" t="s">
        <v>2135</v>
      </c>
    </row>
    <row r="23" spans="1:11" ht="15" customHeight="1" x14ac:dyDescent="0.25">
      <c r="A23" s="17">
        <f t="shared" si="0"/>
        <v>17</v>
      </c>
      <c r="B23" s="14" t="s">
        <v>2136</v>
      </c>
      <c r="C23" s="11" t="s">
        <v>17</v>
      </c>
      <c r="D23" s="54" t="s">
        <v>762</v>
      </c>
      <c r="E23" s="14">
        <v>42157</v>
      </c>
      <c r="F23" s="30" t="s">
        <v>786</v>
      </c>
      <c r="G23" s="12">
        <v>1</v>
      </c>
      <c r="H23" s="60" t="s">
        <v>2137</v>
      </c>
    </row>
    <row r="24" spans="1:11" ht="15" customHeight="1" x14ac:dyDescent="0.25">
      <c r="A24" s="17">
        <f t="shared" si="0"/>
        <v>18</v>
      </c>
      <c r="B24" s="14" t="s">
        <v>2138</v>
      </c>
      <c r="C24" s="11" t="s">
        <v>17</v>
      </c>
      <c r="D24" s="54" t="s">
        <v>763</v>
      </c>
      <c r="E24" s="14">
        <v>42157</v>
      </c>
      <c r="F24" s="30" t="s">
        <v>788</v>
      </c>
      <c r="G24" s="12">
        <v>1</v>
      </c>
      <c r="H24" s="60" t="s">
        <v>2139</v>
      </c>
    </row>
    <row r="25" spans="1:11" ht="15" customHeight="1" x14ac:dyDescent="0.25">
      <c r="A25" s="17">
        <f t="shared" si="0"/>
        <v>19</v>
      </c>
      <c r="B25" s="14" t="s">
        <v>2140</v>
      </c>
      <c r="C25" s="11" t="s">
        <v>17</v>
      </c>
      <c r="D25" s="54" t="s">
        <v>764</v>
      </c>
      <c r="E25" s="14">
        <v>42157</v>
      </c>
      <c r="F25" s="30" t="s">
        <v>785</v>
      </c>
      <c r="G25" s="12">
        <v>1</v>
      </c>
      <c r="H25" s="60" t="s">
        <v>2141</v>
      </c>
    </row>
    <row r="26" spans="1:11" ht="15" customHeight="1" x14ac:dyDescent="0.25">
      <c r="A26" s="17">
        <f t="shared" si="0"/>
        <v>20</v>
      </c>
      <c r="B26" s="14" t="s">
        <v>2142</v>
      </c>
      <c r="C26" s="11" t="s">
        <v>17</v>
      </c>
      <c r="D26" s="54" t="s">
        <v>765</v>
      </c>
      <c r="E26" s="14">
        <v>42158</v>
      </c>
      <c r="F26" s="30" t="s">
        <v>783</v>
      </c>
      <c r="G26" s="12">
        <v>1</v>
      </c>
      <c r="H26" s="60" t="s">
        <v>2143</v>
      </c>
    </row>
    <row r="27" spans="1:11" ht="15" customHeight="1" x14ac:dyDescent="0.25">
      <c r="A27" s="17">
        <f t="shared" si="0"/>
        <v>21</v>
      </c>
      <c r="B27" s="14" t="s">
        <v>2144</v>
      </c>
      <c r="C27" s="11" t="s">
        <v>17</v>
      </c>
      <c r="D27" s="54" t="s">
        <v>766</v>
      </c>
      <c r="E27" s="14">
        <v>42158</v>
      </c>
      <c r="F27" s="30" t="s">
        <v>782</v>
      </c>
      <c r="G27" s="12">
        <v>1</v>
      </c>
      <c r="H27" s="60" t="s">
        <v>2145</v>
      </c>
    </row>
    <row r="28" spans="1:11" ht="15" customHeight="1" x14ac:dyDescent="0.25">
      <c r="A28" s="17">
        <f t="shared" si="0"/>
        <v>22</v>
      </c>
      <c r="B28" s="14" t="s">
        <v>2146</v>
      </c>
      <c r="C28" s="11" t="s">
        <v>17</v>
      </c>
      <c r="D28" s="54" t="s">
        <v>767</v>
      </c>
      <c r="E28" s="14">
        <v>42158</v>
      </c>
      <c r="F28" s="30" t="s">
        <v>781</v>
      </c>
      <c r="G28" s="12">
        <v>1</v>
      </c>
      <c r="H28" s="60" t="s">
        <v>2147</v>
      </c>
    </row>
    <row r="29" spans="1:11" ht="15" customHeight="1" x14ac:dyDescent="0.25">
      <c r="A29" s="17">
        <f t="shared" si="0"/>
        <v>23</v>
      </c>
      <c r="B29" s="14" t="s">
        <v>2148</v>
      </c>
      <c r="C29" s="11" t="s">
        <v>17</v>
      </c>
      <c r="D29" s="54" t="s">
        <v>768</v>
      </c>
      <c r="E29" s="14">
        <v>42158</v>
      </c>
      <c r="F29" s="30" t="s">
        <v>780</v>
      </c>
      <c r="G29" s="12">
        <v>1</v>
      </c>
      <c r="H29" s="60" t="s">
        <v>2149</v>
      </c>
    </row>
    <row r="30" spans="1:11" ht="15" customHeight="1" x14ac:dyDescent="0.25">
      <c r="A30" s="17">
        <f t="shared" si="0"/>
        <v>24</v>
      </c>
      <c r="B30" s="14" t="s">
        <v>2150</v>
      </c>
      <c r="C30" s="11" t="s">
        <v>17</v>
      </c>
      <c r="D30" s="54" t="s">
        <v>769</v>
      </c>
      <c r="E30" s="14">
        <v>42158</v>
      </c>
      <c r="F30" s="30" t="s">
        <v>784</v>
      </c>
      <c r="G30" s="12">
        <v>1</v>
      </c>
      <c r="H30" s="60" t="s">
        <v>2151</v>
      </c>
    </row>
    <row r="31" spans="1:11" ht="15" customHeight="1" x14ac:dyDescent="0.25">
      <c r="A31" s="17">
        <f t="shared" si="0"/>
        <v>25</v>
      </c>
      <c r="B31" s="14" t="s">
        <v>2152</v>
      </c>
      <c r="C31" s="11" t="s">
        <v>17</v>
      </c>
      <c r="D31" s="54" t="s">
        <v>803</v>
      </c>
      <c r="E31" s="14">
        <v>42164</v>
      </c>
      <c r="F31" s="30" t="s">
        <v>806</v>
      </c>
      <c r="G31" s="12">
        <v>1</v>
      </c>
      <c r="H31" s="60" t="s">
        <v>2153</v>
      </c>
    </row>
    <row r="32" spans="1:11" ht="15" customHeight="1" x14ac:dyDescent="0.25">
      <c r="A32" s="17">
        <f t="shared" si="0"/>
        <v>26</v>
      </c>
      <c r="B32" s="14" t="s">
        <v>2156</v>
      </c>
      <c r="C32" s="11" t="s">
        <v>17</v>
      </c>
      <c r="D32" s="54" t="s">
        <v>804</v>
      </c>
      <c r="E32" s="14">
        <v>42164</v>
      </c>
      <c r="F32" s="30" t="s">
        <v>808</v>
      </c>
      <c r="G32" s="12">
        <v>1</v>
      </c>
      <c r="H32" s="60" t="s">
        <v>2157</v>
      </c>
    </row>
    <row r="33" spans="1:8" ht="15" customHeight="1" x14ac:dyDescent="0.25">
      <c r="A33" s="17">
        <f t="shared" si="0"/>
        <v>27</v>
      </c>
      <c r="B33" s="14" t="s">
        <v>2154</v>
      </c>
      <c r="C33" s="11" t="s">
        <v>17</v>
      </c>
      <c r="D33" s="54" t="s">
        <v>805</v>
      </c>
      <c r="E33" s="14">
        <v>42164</v>
      </c>
      <c r="F33" s="30" t="s">
        <v>807</v>
      </c>
      <c r="G33" s="12">
        <v>1</v>
      </c>
      <c r="H33" s="60" t="s">
        <v>2155</v>
      </c>
    </row>
    <row r="34" spans="1:8" ht="15" customHeight="1" x14ac:dyDescent="0.25">
      <c r="A34" s="17">
        <f t="shared" si="0"/>
        <v>28</v>
      </c>
      <c r="B34" s="14" t="s">
        <v>809</v>
      </c>
      <c r="C34" s="11" t="s">
        <v>84</v>
      </c>
      <c r="D34" s="54" t="s">
        <v>810</v>
      </c>
      <c r="E34" s="14">
        <v>42166</v>
      </c>
      <c r="F34" s="30" t="s">
        <v>811</v>
      </c>
      <c r="G34" s="12">
        <v>1</v>
      </c>
      <c r="H34" s="60" t="s">
        <v>816</v>
      </c>
    </row>
    <row r="35" spans="1:8" x14ac:dyDescent="0.25">
      <c r="A35" s="17">
        <f t="shared" si="0"/>
        <v>29</v>
      </c>
      <c r="B35" s="14" t="s">
        <v>813</v>
      </c>
      <c r="C35" s="11" t="s">
        <v>17</v>
      </c>
      <c r="D35" s="54" t="s">
        <v>814</v>
      </c>
      <c r="E35" s="14">
        <v>42166</v>
      </c>
      <c r="F35" s="30" t="s">
        <v>811</v>
      </c>
      <c r="G35" s="12">
        <v>1</v>
      </c>
      <c r="H35" s="60"/>
    </row>
    <row r="36" spans="1:8" ht="15" customHeight="1" x14ac:dyDescent="0.25">
      <c r="A36" s="17">
        <f t="shared" si="0"/>
        <v>30</v>
      </c>
      <c r="B36" s="14" t="s">
        <v>812</v>
      </c>
      <c r="C36" s="11" t="s">
        <v>17</v>
      </c>
      <c r="D36" s="54" t="s">
        <v>815</v>
      </c>
      <c r="E36" s="14">
        <v>42166</v>
      </c>
      <c r="F36" s="30" t="s">
        <v>811</v>
      </c>
      <c r="G36" s="12">
        <v>1</v>
      </c>
      <c r="H36" s="60"/>
    </row>
    <row r="37" spans="1:8" ht="15" customHeight="1" x14ac:dyDescent="0.25">
      <c r="A37" s="17">
        <f t="shared" si="0"/>
        <v>31</v>
      </c>
      <c r="B37" s="14" t="s">
        <v>818</v>
      </c>
      <c r="C37" s="11" t="s">
        <v>17</v>
      </c>
      <c r="D37" s="54" t="s">
        <v>819</v>
      </c>
      <c r="E37" s="14">
        <v>42170</v>
      </c>
      <c r="F37" s="30" t="s">
        <v>811</v>
      </c>
      <c r="G37" s="12">
        <v>1</v>
      </c>
      <c r="H37" s="60"/>
    </row>
    <row r="38" spans="1:8" ht="15" customHeight="1" x14ac:dyDescent="0.25">
      <c r="A38" s="17">
        <f t="shared" si="0"/>
        <v>32</v>
      </c>
      <c r="B38" s="14" t="s">
        <v>2374</v>
      </c>
      <c r="C38" s="11" t="s">
        <v>17</v>
      </c>
      <c r="D38" s="54" t="s">
        <v>820</v>
      </c>
      <c r="E38" s="14">
        <v>42173</v>
      </c>
      <c r="F38" s="30" t="s">
        <v>821</v>
      </c>
      <c r="G38" s="12">
        <v>1</v>
      </c>
      <c r="H38" s="60" t="s">
        <v>822</v>
      </c>
    </row>
    <row r="39" spans="1:8" ht="15" customHeight="1" x14ac:dyDescent="0.25">
      <c r="A39" s="17">
        <f t="shared" si="0"/>
        <v>33</v>
      </c>
      <c r="B39" s="14" t="s">
        <v>823</v>
      </c>
      <c r="C39" s="11" t="s">
        <v>17</v>
      </c>
      <c r="D39" s="54" t="s">
        <v>824</v>
      </c>
      <c r="E39" s="14">
        <v>42173</v>
      </c>
      <c r="F39" s="30" t="s">
        <v>811</v>
      </c>
      <c r="G39" s="12">
        <v>1</v>
      </c>
      <c r="H39" s="60"/>
    </row>
    <row r="40" spans="1:8" ht="15" customHeight="1" x14ac:dyDescent="0.25">
      <c r="A40" s="17">
        <f t="shared" si="0"/>
        <v>34</v>
      </c>
      <c r="B40" s="14" t="s">
        <v>825</v>
      </c>
      <c r="C40" s="11" t="s">
        <v>17</v>
      </c>
      <c r="D40" s="54" t="s">
        <v>826</v>
      </c>
      <c r="E40" s="14">
        <v>42173</v>
      </c>
      <c r="F40" s="30" t="s">
        <v>811</v>
      </c>
      <c r="G40" s="12">
        <v>1</v>
      </c>
      <c r="H40" s="60"/>
    </row>
    <row r="41" spans="1:8" ht="15" customHeight="1" x14ac:dyDescent="0.25">
      <c r="A41" s="17">
        <f t="shared" si="0"/>
        <v>35</v>
      </c>
      <c r="B41" s="14" t="s">
        <v>827</v>
      </c>
      <c r="C41" s="11" t="s">
        <v>17</v>
      </c>
      <c r="D41" s="54" t="s">
        <v>828</v>
      </c>
      <c r="E41" s="14">
        <v>42173</v>
      </c>
      <c r="F41" s="30" t="s">
        <v>811</v>
      </c>
      <c r="G41" s="12">
        <v>1</v>
      </c>
      <c r="H41" s="60"/>
    </row>
    <row r="42" spans="1:8" ht="15" customHeight="1" x14ac:dyDescent="0.25">
      <c r="A42" s="17">
        <f t="shared" si="0"/>
        <v>36</v>
      </c>
      <c r="B42" s="14" t="s">
        <v>835</v>
      </c>
      <c r="C42" s="11" t="s">
        <v>17</v>
      </c>
      <c r="D42" s="54" t="s">
        <v>836</v>
      </c>
      <c r="E42" s="14">
        <v>42173</v>
      </c>
      <c r="F42" s="30" t="s">
        <v>811</v>
      </c>
      <c r="G42" s="12">
        <v>1</v>
      </c>
      <c r="H42" s="60"/>
    </row>
    <row r="43" spans="1:8" ht="15" customHeight="1" x14ac:dyDescent="0.25">
      <c r="A43" s="17">
        <f t="shared" si="0"/>
        <v>37</v>
      </c>
      <c r="B43" s="14" t="s">
        <v>833</v>
      </c>
      <c r="C43" s="11" t="s">
        <v>17</v>
      </c>
      <c r="D43" s="54" t="s">
        <v>834</v>
      </c>
      <c r="E43" s="14">
        <v>42173</v>
      </c>
      <c r="F43" s="30" t="s">
        <v>811</v>
      </c>
      <c r="G43" s="12">
        <v>1</v>
      </c>
      <c r="H43" s="60"/>
    </row>
    <row r="44" spans="1:8" x14ac:dyDescent="0.25">
      <c r="A44" s="17">
        <f t="shared" si="0"/>
        <v>38</v>
      </c>
      <c r="B44" s="14" t="s">
        <v>831</v>
      </c>
      <c r="C44" s="11" t="s">
        <v>17</v>
      </c>
      <c r="D44" s="54" t="s">
        <v>832</v>
      </c>
      <c r="E44" s="14">
        <v>42173</v>
      </c>
      <c r="F44" s="30" t="s">
        <v>811</v>
      </c>
      <c r="G44" s="12">
        <v>1</v>
      </c>
      <c r="H44" s="60"/>
    </row>
    <row r="45" spans="1:8" x14ac:dyDescent="0.25">
      <c r="A45" s="17">
        <f t="shared" si="0"/>
        <v>39</v>
      </c>
      <c r="B45" s="14" t="s">
        <v>829</v>
      </c>
      <c r="C45" s="11" t="s">
        <v>17</v>
      </c>
      <c r="D45" s="54" t="s">
        <v>830</v>
      </c>
      <c r="E45" s="14">
        <v>42173</v>
      </c>
      <c r="F45" s="30" t="s">
        <v>811</v>
      </c>
      <c r="G45" s="12">
        <v>1</v>
      </c>
      <c r="H45" s="60"/>
    </row>
    <row r="46" spans="1:8" x14ac:dyDescent="0.25">
      <c r="A46" s="17">
        <f t="shared" si="0"/>
        <v>40</v>
      </c>
      <c r="B46" s="14" t="s">
        <v>837</v>
      </c>
      <c r="C46" s="11" t="s">
        <v>84</v>
      </c>
      <c r="D46" s="54" t="s">
        <v>838</v>
      </c>
      <c r="E46" s="14">
        <v>42173</v>
      </c>
      <c r="F46" s="30" t="s">
        <v>811</v>
      </c>
      <c r="G46" s="12">
        <v>1</v>
      </c>
    </row>
    <row r="47" spans="1:8" x14ac:dyDescent="0.25">
      <c r="A47" s="17">
        <f t="shared" si="0"/>
        <v>41</v>
      </c>
      <c r="B47" s="14" t="s">
        <v>839</v>
      </c>
      <c r="C47" s="11" t="s">
        <v>84</v>
      </c>
      <c r="D47" s="54" t="s">
        <v>840</v>
      </c>
      <c r="E47" s="14">
        <v>42173</v>
      </c>
      <c r="F47" s="30" t="s">
        <v>811</v>
      </c>
      <c r="G47" s="12">
        <v>1</v>
      </c>
    </row>
    <row r="48" spans="1:8" x14ac:dyDescent="0.25">
      <c r="A48" s="17">
        <f t="shared" si="0"/>
        <v>42</v>
      </c>
      <c r="B48" s="14" t="s">
        <v>841</v>
      </c>
      <c r="C48" s="11" t="s">
        <v>17</v>
      </c>
      <c r="D48" s="54" t="s">
        <v>842</v>
      </c>
      <c r="E48" s="14">
        <v>42176</v>
      </c>
      <c r="F48" s="30" t="s">
        <v>811</v>
      </c>
      <c r="G48" s="12">
        <v>1</v>
      </c>
    </row>
    <row r="49" spans="1:7" x14ac:dyDescent="0.25">
      <c r="A49" s="17">
        <f t="shared" si="0"/>
        <v>43</v>
      </c>
      <c r="B49" s="14" t="s">
        <v>843</v>
      </c>
      <c r="C49" s="11" t="s">
        <v>17</v>
      </c>
      <c r="D49" s="54" t="s">
        <v>844</v>
      </c>
      <c r="E49" s="14">
        <v>42176</v>
      </c>
      <c r="F49" s="30" t="s">
        <v>811</v>
      </c>
      <c r="G49" s="12">
        <v>1</v>
      </c>
    </row>
    <row r="50" spans="1:7" x14ac:dyDescent="0.25">
      <c r="A50" s="17">
        <f t="shared" si="0"/>
        <v>44</v>
      </c>
      <c r="B50" s="14" t="s">
        <v>845</v>
      </c>
      <c r="C50" s="11" t="s">
        <v>17</v>
      </c>
      <c r="D50" s="54" t="s">
        <v>846</v>
      </c>
      <c r="E50" s="14">
        <v>42176</v>
      </c>
      <c r="F50" s="30" t="s">
        <v>811</v>
      </c>
      <c r="G50" s="12">
        <v>1</v>
      </c>
    </row>
    <row r="51" spans="1:7" x14ac:dyDescent="0.25">
      <c r="A51" s="17">
        <f t="shared" si="0"/>
        <v>45</v>
      </c>
      <c r="B51" s="14" t="s">
        <v>849</v>
      </c>
      <c r="C51" s="11" t="s">
        <v>17</v>
      </c>
      <c r="D51" s="54" t="s">
        <v>848</v>
      </c>
      <c r="E51" s="14">
        <v>42176</v>
      </c>
      <c r="F51" s="30" t="s">
        <v>811</v>
      </c>
      <c r="G51" s="12">
        <v>1</v>
      </c>
    </row>
    <row r="52" spans="1:7" x14ac:dyDescent="0.25">
      <c r="A52" s="17">
        <f t="shared" si="0"/>
        <v>46</v>
      </c>
      <c r="B52" s="14" t="s">
        <v>847</v>
      </c>
      <c r="C52" s="11" t="s">
        <v>17</v>
      </c>
      <c r="D52" s="54" t="s">
        <v>850</v>
      </c>
      <c r="E52" s="14">
        <v>42176</v>
      </c>
      <c r="F52" s="30" t="s">
        <v>811</v>
      </c>
      <c r="G52" s="12">
        <v>1</v>
      </c>
    </row>
    <row r="53" spans="1:7" x14ac:dyDescent="0.25">
      <c r="A53" s="17">
        <f t="shared" si="0"/>
        <v>47</v>
      </c>
      <c r="B53" s="14" t="s">
        <v>1876</v>
      </c>
      <c r="C53" s="11" t="s">
        <v>17</v>
      </c>
      <c r="D53" s="54" t="s">
        <v>851</v>
      </c>
      <c r="E53" s="14">
        <v>42177</v>
      </c>
      <c r="F53" s="30" t="s">
        <v>182</v>
      </c>
      <c r="G53" s="12">
        <v>1</v>
      </c>
    </row>
    <row r="54" spans="1:7" x14ac:dyDescent="0.25">
      <c r="A54" s="17">
        <f t="shared" si="0"/>
        <v>48</v>
      </c>
      <c r="B54" s="14" t="s">
        <v>1876</v>
      </c>
      <c r="C54" s="11" t="s">
        <v>17</v>
      </c>
      <c r="D54" s="54" t="s">
        <v>852</v>
      </c>
      <c r="E54" s="14">
        <v>42177</v>
      </c>
      <c r="F54" s="30" t="s">
        <v>182</v>
      </c>
      <c r="G54" s="12">
        <v>1</v>
      </c>
    </row>
    <row r="55" spans="1:7" x14ac:dyDescent="0.25">
      <c r="A55" s="17">
        <f t="shared" si="0"/>
        <v>49</v>
      </c>
      <c r="B55" s="14" t="s">
        <v>1876</v>
      </c>
      <c r="C55" s="11" t="s">
        <v>17</v>
      </c>
      <c r="D55" s="54" t="s">
        <v>853</v>
      </c>
      <c r="E55" s="14">
        <v>42177</v>
      </c>
      <c r="F55" s="30" t="s">
        <v>182</v>
      </c>
      <c r="G55" s="12">
        <v>1</v>
      </c>
    </row>
    <row r="56" spans="1:7" x14ac:dyDescent="0.25">
      <c r="A56" s="17">
        <f t="shared" si="0"/>
        <v>50</v>
      </c>
      <c r="B56" s="14" t="s">
        <v>1876</v>
      </c>
      <c r="C56" s="11" t="s">
        <v>17</v>
      </c>
      <c r="D56" s="54" t="s">
        <v>854</v>
      </c>
      <c r="E56" s="14">
        <v>42177</v>
      </c>
      <c r="F56" s="30" t="s">
        <v>182</v>
      </c>
      <c r="G56" s="12">
        <v>1</v>
      </c>
    </row>
    <row r="57" spans="1:7" x14ac:dyDescent="0.25">
      <c r="A57" s="17">
        <f t="shared" si="0"/>
        <v>51</v>
      </c>
      <c r="B57" s="14" t="s">
        <v>1876</v>
      </c>
      <c r="C57" s="11" t="s">
        <v>17</v>
      </c>
      <c r="D57" s="54" t="s">
        <v>855</v>
      </c>
      <c r="E57" s="14">
        <v>42177</v>
      </c>
      <c r="F57" s="30" t="s">
        <v>182</v>
      </c>
      <c r="G57" s="12">
        <v>1</v>
      </c>
    </row>
    <row r="58" spans="1:7" x14ac:dyDescent="0.25">
      <c r="A58" s="17">
        <f t="shared" si="0"/>
        <v>52</v>
      </c>
      <c r="B58" s="14" t="s">
        <v>1876</v>
      </c>
      <c r="C58" s="11" t="s">
        <v>17</v>
      </c>
      <c r="D58" s="54" t="s">
        <v>856</v>
      </c>
      <c r="E58" s="14">
        <v>42177</v>
      </c>
      <c r="F58" s="30" t="s">
        <v>182</v>
      </c>
      <c r="G58" s="12">
        <v>1</v>
      </c>
    </row>
    <row r="59" spans="1:7" x14ac:dyDescent="0.25">
      <c r="A59" s="17">
        <f t="shared" si="0"/>
        <v>53</v>
      </c>
      <c r="B59" s="14" t="s">
        <v>1876</v>
      </c>
      <c r="C59" s="11" t="s">
        <v>17</v>
      </c>
      <c r="D59" s="54" t="s">
        <v>857</v>
      </c>
      <c r="E59" s="14">
        <v>42177</v>
      </c>
      <c r="F59" s="30" t="s">
        <v>182</v>
      </c>
      <c r="G59" s="12">
        <v>1</v>
      </c>
    </row>
    <row r="60" spans="1:7" x14ac:dyDescent="0.25">
      <c r="A60" s="17">
        <f t="shared" si="0"/>
        <v>54</v>
      </c>
      <c r="B60" s="14" t="s">
        <v>1876</v>
      </c>
      <c r="C60" s="11" t="s">
        <v>17</v>
      </c>
      <c r="D60" s="54" t="s">
        <v>858</v>
      </c>
      <c r="E60" s="14">
        <v>42177</v>
      </c>
      <c r="F60" s="30" t="s">
        <v>182</v>
      </c>
      <c r="G60" s="12">
        <v>1</v>
      </c>
    </row>
    <row r="61" spans="1:7" x14ac:dyDescent="0.25">
      <c r="A61" s="17">
        <f t="shared" si="0"/>
        <v>55</v>
      </c>
      <c r="B61" s="14" t="s">
        <v>1876</v>
      </c>
      <c r="C61" s="11" t="s">
        <v>17</v>
      </c>
      <c r="D61" s="54" t="s">
        <v>859</v>
      </c>
      <c r="E61" s="14">
        <v>42177</v>
      </c>
      <c r="F61" s="30" t="s">
        <v>182</v>
      </c>
      <c r="G61" s="12">
        <v>1</v>
      </c>
    </row>
    <row r="62" spans="1:7" x14ac:dyDescent="0.25">
      <c r="A62" s="17">
        <f t="shared" si="0"/>
        <v>56</v>
      </c>
      <c r="B62" s="14" t="s">
        <v>1876</v>
      </c>
      <c r="C62" s="11" t="s">
        <v>17</v>
      </c>
      <c r="D62" s="54" t="s">
        <v>860</v>
      </c>
      <c r="E62" s="14">
        <v>42177</v>
      </c>
      <c r="F62" s="30" t="s">
        <v>182</v>
      </c>
      <c r="G62" s="12">
        <v>1</v>
      </c>
    </row>
    <row r="63" spans="1:7" x14ac:dyDescent="0.25">
      <c r="A63" s="17">
        <f t="shared" si="0"/>
        <v>57</v>
      </c>
      <c r="B63" s="14" t="s">
        <v>1876</v>
      </c>
      <c r="C63" s="11" t="s">
        <v>17</v>
      </c>
      <c r="D63" s="54" t="s">
        <v>861</v>
      </c>
      <c r="E63" s="14">
        <v>42177</v>
      </c>
      <c r="F63" s="30" t="s">
        <v>182</v>
      </c>
      <c r="G63" s="12">
        <v>1</v>
      </c>
    </row>
    <row r="64" spans="1:7" x14ac:dyDescent="0.25">
      <c r="A64" s="17">
        <f t="shared" si="0"/>
        <v>58</v>
      </c>
      <c r="B64" s="14" t="s">
        <v>1876</v>
      </c>
      <c r="C64" s="11" t="s">
        <v>17</v>
      </c>
      <c r="D64" s="54" t="s">
        <v>862</v>
      </c>
      <c r="E64" s="14">
        <v>42177</v>
      </c>
      <c r="F64" s="30" t="s">
        <v>182</v>
      </c>
      <c r="G64" s="12">
        <v>1</v>
      </c>
    </row>
    <row r="65" spans="1:8" x14ac:dyDescent="0.25">
      <c r="A65" s="17">
        <f t="shared" si="0"/>
        <v>59</v>
      </c>
      <c r="B65" s="14" t="s">
        <v>1876</v>
      </c>
      <c r="C65" s="11" t="s">
        <v>17</v>
      </c>
      <c r="D65" s="54" t="s">
        <v>863</v>
      </c>
      <c r="E65" s="14">
        <v>42177</v>
      </c>
      <c r="F65" s="30" t="s">
        <v>182</v>
      </c>
      <c r="G65" s="12">
        <v>1</v>
      </c>
    </row>
    <row r="66" spans="1:8" x14ac:dyDescent="0.25">
      <c r="A66" s="17">
        <f t="shared" si="0"/>
        <v>60</v>
      </c>
      <c r="B66" s="14" t="s">
        <v>1876</v>
      </c>
      <c r="C66" s="11" t="s">
        <v>17</v>
      </c>
      <c r="D66" s="54" t="s">
        <v>864</v>
      </c>
      <c r="E66" s="14">
        <v>42177</v>
      </c>
      <c r="F66" s="30" t="s">
        <v>182</v>
      </c>
      <c r="G66" s="12">
        <v>1</v>
      </c>
    </row>
    <row r="67" spans="1:8" x14ac:dyDescent="0.25">
      <c r="A67" s="17">
        <f t="shared" si="0"/>
        <v>61</v>
      </c>
      <c r="B67" s="14" t="s">
        <v>1876</v>
      </c>
      <c r="C67" s="11" t="s">
        <v>17</v>
      </c>
      <c r="D67" s="54" t="s">
        <v>865</v>
      </c>
      <c r="E67" s="14">
        <v>42177</v>
      </c>
      <c r="F67" s="30" t="s">
        <v>182</v>
      </c>
      <c r="G67" s="12">
        <v>1</v>
      </c>
    </row>
    <row r="68" spans="1:8" x14ac:dyDescent="0.25">
      <c r="A68" s="17">
        <f t="shared" si="0"/>
        <v>62</v>
      </c>
      <c r="B68" s="14" t="s">
        <v>1876</v>
      </c>
      <c r="C68" s="11" t="s">
        <v>17</v>
      </c>
      <c r="D68" s="54" t="s">
        <v>866</v>
      </c>
      <c r="E68" s="14">
        <v>42177</v>
      </c>
      <c r="F68" s="30" t="s">
        <v>182</v>
      </c>
      <c r="G68" s="12">
        <v>1</v>
      </c>
    </row>
    <row r="69" spans="1:8" x14ac:dyDescent="0.25">
      <c r="A69" s="17">
        <f t="shared" si="0"/>
        <v>63</v>
      </c>
      <c r="B69" s="14" t="s">
        <v>1876</v>
      </c>
      <c r="C69" s="11" t="s">
        <v>17</v>
      </c>
      <c r="D69" s="54" t="s">
        <v>867</v>
      </c>
      <c r="E69" s="14">
        <v>42177</v>
      </c>
      <c r="F69" s="30" t="s">
        <v>182</v>
      </c>
      <c r="G69" s="12">
        <v>1</v>
      </c>
    </row>
    <row r="70" spans="1:8" x14ac:dyDescent="0.25">
      <c r="A70" s="17">
        <f t="shared" si="0"/>
        <v>64</v>
      </c>
      <c r="B70" s="14" t="s">
        <v>1876</v>
      </c>
      <c r="C70" s="11" t="s">
        <v>17</v>
      </c>
      <c r="D70" s="54" t="s">
        <v>868</v>
      </c>
      <c r="E70" s="14">
        <v>42177</v>
      </c>
      <c r="F70" s="30" t="s">
        <v>182</v>
      </c>
      <c r="G70" s="12">
        <v>1</v>
      </c>
    </row>
    <row r="71" spans="1:8" x14ac:dyDescent="0.25">
      <c r="A71" s="17">
        <f t="shared" si="0"/>
        <v>65</v>
      </c>
      <c r="B71" s="14" t="s">
        <v>1876</v>
      </c>
      <c r="C71" s="11" t="s">
        <v>17</v>
      </c>
      <c r="D71" s="54" t="s">
        <v>869</v>
      </c>
      <c r="E71" s="14">
        <v>42177</v>
      </c>
      <c r="F71" s="30" t="s">
        <v>182</v>
      </c>
      <c r="G71" s="12">
        <v>1</v>
      </c>
    </row>
    <row r="72" spans="1:8" x14ac:dyDescent="0.25">
      <c r="A72" s="17">
        <f t="shared" si="0"/>
        <v>66</v>
      </c>
      <c r="B72" s="14" t="s">
        <v>1876</v>
      </c>
      <c r="C72" s="11" t="s">
        <v>17</v>
      </c>
      <c r="D72" s="54" t="s">
        <v>870</v>
      </c>
      <c r="E72" s="14">
        <v>42177</v>
      </c>
      <c r="F72" s="30" t="s">
        <v>182</v>
      </c>
      <c r="G72" s="12">
        <v>1</v>
      </c>
    </row>
    <row r="73" spans="1:8" x14ac:dyDescent="0.25">
      <c r="A73" s="17">
        <f t="shared" ref="A73:A127" si="1">A72+1</f>
        <v>67</v>
      </c>
      <c r="B73" s="14" t="s">
        <v>877</v>
      </c>
      <c r="C73" s="11" t="s">
        <v>17</v>
      </c>
      <c r="D73" s="54" t="s">
        <v>878</v>
      </c>
      <c r="E73" s="14">
        <v>42177</v>
      </c>
      <c r="F73" s="30" t="s">
        <v>811</v>
      </c>
      <c r="G73" s="12">
        <v>1</v>
      </c>
    </row>
    <row r="74" spans="1:8" x14ac:dyDescent="0.25">
      <c r="A74" s="17">
        <f t="shared" si="1"/>
        <v>68</v>
      </c>
      <c r="B74" s="14" t="s">
        <v>874</v>
      </c>
      <c r="C74" s="11" t="s">
        <v>17</v>
      </c>
      <c r="D74" s="54" t="s">
        <v>875</v>
      </c>
      <c r="E74" s="14">
        <v>42177</v>
      </c>
      <c r="F74" s="30" t="s">
        <v>876</v>
      </c>
      <c r="G74" s="12">
        <v>1</v>
      </c>
      <c r="H74" t="s">
        <v>2159</v>
      </c>
    </row>
    <row r="75" spans="1:8" x14ac:dyDescent="0.25">
      <c r="A75" s="17">
        <f t="shared" si="1"/>
        <v>69</v>
      </c>
      <c r="B75" s="14" t="s">
        <v>872</v>
      </c>
      <c r="C75" s="11" t="s">
        <v>17</v>
      </c>
      <c r="D75" s="54" t="s">
        <v>871</v>
      </c>
      <c r="E75" s="14">
        <v>42177</v>
      </c>
      <c r="F75" s="30" t="s">
        <v>873</v>
      </c>
      <c r="G75" s="12">
        <v>1</v>
      </c>
      <c r="H75" t="s">
        <v>2158</v>
      </c>
    </row>
    <row r="76" spans="1:8" x14ac:dyDescent="0.25">
      <c r="A76" s="17">
        <f t="shared" si="1"/>
        <v>70</v>
      </c>
      <c r="B76" s="14" t="s">
        <v>879</v>
      </c>
      <c r="C76" s="11" t="s">
        <v>17</v>
      </c>
      <c r="D76" s="54" t="s">
        <v>880</v>
      </c>
      <c r="E76" s="14">
        <v>42177</v>
      </c>
      <c r="F76" s="30" t="s">
        <v>811</v>
      </c>
      <c r="G76" s="12">
        <v>1</v>
      </c>
    </row>
    <row r="77" spans="1:8" x14ac:dyDescent="0.25">
      <c r="A77" s="17">
        <f t="shared" si="1"/>
        <v>71</v>
      </c>
      <c r="B77" s="14" t="s">
        <v>2160</v>
      </c>
      <c r="C77" s="11" t="s">
        <v>17</v>
      </c>
      <c r="D77" s="54" t="s">
        <v>882</v>
      </c>
      <c r="E77" s="14">
        <v>42178</v>
      </c>
      <c r="F77" s="30" t="s">
        <v>883</v>
      </c>
      <c r="G77" s="12">
        <v>1</v>
      </c>
      <c r="H77" t="s">
        <v>2161</v>
      </c>
    </row>
    <row r="78" spans="1:8" x14ac:dyDescent="0.25">
      <c r="A78" s="17">
        <f t="shared" si="1"/>
        <v>72</v>
      </c>
      <c r="B78" s="14" t="s">
        <v>884</v>
      </c>
      <c r="C78" s="11" t="s">
        <v>17</v>
      </c>
      <c r="D78" s="54" t="s">
        <v>885</v>
      </c>
      <c r="E78" s="14">
        <v>42178</v>
      </c>
      <c r="F78" s="30" t="s">
        <v>811</v>
      </c>
      <c r="G78" s="12">
        <v>1</v>
      </c>
    </row>
    <row r="79" spans="1:8" x14ac:dyDescent="0.25">
      <c r="A79" s="17">
        <f t="shared" si="1"/>
        <v>73</v>
      </c>
      <c r="B79" s="14" t="s">
        <v>887</v>
      </c>
      <c r="C79" s="11" t="s">
        <v>17</v>
      </c>
      <c r="D79" s="54" t="s">
        <v>886</v>
      </c>
      <c r="E79" s="14">
        <v>42178</v>
      </c>
      <c r="F79" s="30" t="s">
        <v>811</v>
      </c>
      <c r="G79" s="12">
        <v>1</v>
      </c>
    </row>
    <row r="80" spans="1:8" x14ac:dyDescent="0.25">
      <c r="A80" s="17">
        <f t="shared" si="1"/>
        <v>74</v>
      </c>
      <c r="B80" s="14" t="s">
        <v>2162</v>
      </c>
      <c r="C80" s="11" t="s">
        <v>17</v>
      </c>
      <c r="D80" s="54" t="s">
        <v>890</v>
      </c>
      <c r="E80" s="14">
        <v>42179</v>
      </c>
      <c r="F80" s="30" t="s">
        <v>893</v>
      </c>
      <c r="G80" s="12">
        <v>1</v>
      </c>
      <c r="H80" t="s">
        <v>2163</v>
      </c>
    </row>
    <row r="81" spans="1:8" x14ac:dyDescent="0.25">
      <c r="A81" s="17">
        <f t="shared" si="1"/>
        <v>75</v>
      </c>
      <c r="B81" s="14" t="s">
        <v>888</v>
      </c>
      <c r="C81" s="11" t="s">
        <v>17</v>
      </c>
      <c r="D81" s="54" t="s">
        <v>889</v>
      </c>
      <c r="E81" s="14">
        <v>42179</v>
      </c>
      <c r="F81" s="30" t="s">
        <v>182</v>
      </c>
      <c r="G81" s="12">
        <v>1</v>
      </c>
    </row>
    <row r="82" spans="1:8" x14ac:dyDescent="0.25">
      <c r="A82" s="17">
        <f t="shared" si="1"/>
        <v>76</v>
      </c>
      <c r="B82" s="14" t="s">
        <v>2164</v>
      </c>
      <c r="C82" s="11" t="s">
        <v>17</v>
      </c>
      <c r="D82" s="54" t="s">
        <v>891</v>
      </c>
      <c r="E82" s="14">
        <v>42179</v>
      </c>
      <c r="F82" s="30" t="s">
        <v>892</v>
      </c>
      <c r="G82" s="12">
        <v>1</v>
      </c>
      <c r="H82" t="s">
        <v>2165</v>
      </c>
    </row>
    <row r="83" spans="1:8" x14ac:dyDescent="0.25">
      <c r="A83" s="17">
        <f t="shared" si="1"/>
        <v>77</v>
      </c>
      <c r="B83" s="14" t="s">
        <v>894</v>
      </c>
      <c r="C83" s="11" t="s">
        <v>17</v>
      </c>
      <c r="D83" s="54" t="s">
        <v>895</v>
      </c>
      <c r="E83" s="14">
        <v>42179</v>
      </c>
      <c r="F83" s="30" t="s">
        <v>811</v>
      </c>
      <c r="G83" s="12">
        <v>1</v>
      </c>
    </row>
    <row r="84" spans="1:8" x14ac:dyDescent="0.25">
      <c r="A84" s="17">
        <f t="shared" si="1"/>
        <v>78</v>
      </c>
      <c r="B84" s="14" t="s">
        <v>896</v>
      </c>
      <c r="C84" s="11" t="s">
        <v>17</v>
      </c>
      <c r="D84" s="54" t="s">
        <v>897</v>
      </c>
      <c r="E84" s="14">
        <v>42179</v>
      </c>
      <c r="F84" s="30" t="s">
        <v>811</v>
      </c>
      <c r="G84" s="12">
        <v>1</v>
      </c>
    </row>
    <row r="85" spans="1:8" x14ac:dyDescent="0.25">
      <c r="A85" s="17">
        <f t="shared" si="1"/>
        <v>79</v>
      </c>
      <c r="B85" s="14" t="s">
        <v>2166</v>
      </c>
      <c r="C85" s="11" t="s">
        <v>17</v>
      </c>
      <c r="D85" s="54" t="s">
        <v>898</v>
      </c>
      <c r="E85" s="14">
        <v>42180</v>
      </c>
      <c r="F85" s="30" t="s">
        <v>899</v>
      </c>
      <c r="G85" s="12">
        <v>1</v>
      </c>
      <c r="H85" t="s">
        <v>2167</v>
      </c>
    </row>
    <row r="86" spans="1:8" x14ac:dyDescent="0.25">
      <c r="A86" s="17">
        <f t="shared" si="1"/>
        <v>80</v>
      </c>
      <c r="B86" s="14" t="s">
        <v>2168</v>
      </c>
      <c r="C86" s="11" t="s">
        <v>17</v>
      </c>
      <c r="D86" s="54" t="s">
        <v>900</v>
      </c>
      <c r="E86" s="14">
        <v>42180</v>
      </c>
      <c r="F86" s="30" t="s">
        <v>901</v>
      </c>
      <c r="G86" s="12">
        <v>1</v>
      </c>
      <c r="H86" t="s">
        <v>2169</v>
      </c>
    </row>
    <row r="87" spans="1:8" x14ac:dyDescent="0.25">
      <c r="A87" s="17">
        <f t="shared" si="1"/>
        <v>81</v>
      </c>
      <c r="B87" s="14" t="s">
        <v>904</v>
      </c>
      <c r="C87" s="11" t="s">
        <v>84</v>
      </c>
      <c r="D87" s="54" t="s">
        <v>905</v>
      </c>
      <c r="E87" s="14">
        <v>42180</v>
      </c>
      <c r="F87" s="30" t="s">
        <v>811</v>
      </c>
      <c r="G87" s="12">
        <v>1</v>
      </c>
    </row>
    <row r="88" spans="1:8" x14ac:dyDescent="0.25">
      <c r="A88" s="17">
        <f t="shared" si="1"/>
        <v>82</v>
      </c>
      <c r="B88" s="14" t="s">
        <v>906</v>
      </c>
      <c r="C88" s="11" t="s">
        <v>84</v>
      </c>
      <c r="D88" s="54" t="s">
        <v>907</v>
      </c>
      <c r="E88" s="14">
        <v>42180</v>
      </c>
      <c r="F88" s="30" t="s">
        <v>811</v>
      </c>
      <c r="G88" s="12">
        <v>1</v>
      </c>
    </row>
    <row r="89" spans="1:8" x14ac:dyDescent="0.25">
      <c r="A89" s="17">
        <f t="shared" si="1"/>
        <v>83</v>
      </c>
      <c r="B89" s="14" t="s">
        <v>902</v>
      </c>
      <c r="C89" s="11" t="s">
        <v>84</v>
      </c>
      <c r="D89" s="54" t="s">
        <v>903</v>
      </c>
      <c r="E89" s="14">
        <v>42180</v>
      </c>
      <c r="F89" s="30" t="s">
        <v>811</v>
      </c>
      <c r="G89" s="12">
        <v>1</v>
      </c>
    </row>
    <row r="90" spans="1:8" x14ac:dyDescent="0.25">
      <c r="A90" s="17">
        <f t="shared" si="1"/>
        <v>84</v>
      </c>
      <c r="B90" s="14" t="s">
        <v>908</v>
      </c>
      <c r="C90" s="11" t="s">
        <v>17</v>
      </c>
      <c r="D90" s="54" t="s">
        <v>909</v>
      </c>
      <c r="E90" s="14">
        <v>42180</v>
      </c>
      <c r="F90" s="30" t="s">
        <v>811</v>
      </c>
      <c r="G90" s="12">
        <v>1</v>
      </c>
    </row>
    <row r="91" spans="1:8" x14ac:dyDescent="0.25">
      <c r="A91" s="17">
        <f t="shared" si="1"/>
        <v>85</v>
      </c>
      <c r="B91" s="14" t="s">
        <v>910</v>
      </c>
      <c r="C91" s="11" t="s">
        <v>17</v>
      </c>
      <c r="D91" s="54" t="s">
        <v>911</v>
      </c>
      <c r="E91" s="14">
        <v>42180</v>
      </c>
      <c r="F91" s="30" t="s">
        <v>811</v>
      </c>
      <c r="G91" s="12">
        <v>1</v>
      </c>
    </row>
    <row r="92" spans="1:8" x14ac:dyDescent="0.25">
      <c r="A92" s="17">
        <f t="shared" si="1"/>
        <v>86</v>
      </c>
      <c r="B92" s="14" t="s">
        <v>912</v>
      </c>
      <c r="C92" s="11" t="s">
        <v>17</v>
      </c>
      <c r="D92" s="54" t="s">
        <v>913</v>
      </c>
      <c r="E92" s="14">
        <v>42180</v>
      </c>
      <c r="F92" s="30" t="s">
        <v>811</v>
      </c>
      <c r="G92" s="12">
        <v>1</v>
      </c>
    </row>
    <row r="93" spans="1:8" x14ac:dyDescent="0.25">
      <c r="A93" s="17">
        <f t="shared" si="1"/>
        <v>87</v>
      </c>
      <c r="B93" s="27" t="s">
        <v>914</v>
      </c>
      <c r="C93" s="11" t="s">
        <v>17</v>
      </c>
      <c r="D93" s="54" t="s">
        <v>915</v>
      </c>
      <c r="E93" s="14">
        <v>42180</v>
      </c>
      <c r="F93" s="30" t="s">
        <v>811</v>
      </c>
      <c r="G93" s="12">
        <v>1</v>
      </c>
    </row>
    <row r="94" spans="1:8" x14ac:dyDescent="0.25">
      <c r="A94" s="17">
        <f t="shared" si="1"/>
        <v>88</v>
      </c>
      <c r="B94" s="14" t="s">
        <v>918</v>
      </c>
      <c r="C94" s="11" t="s">
        <v>17</v>
      </c>
      <c r="D94" s="54" t="s">
        <v>919</v>
      </c>
      <c r="E94" s="14">
        <v>42182</v>
      </c>
      <c r="F94" s="30" t="s">
        <v>811</v>
      </c>
      <c r="G94" s="12">
        <v>1</v>
      </c>
    </row>
    <row r="95" spans="1:8" x14ac:dyDescent="0.25">
      <c r="A95" s="17">
        <f t="shared" si="1"/>
        <v>89</v>
      </c>
      <c r="B95" s="14" t="s">
        <v>928</v>
      </c>
      <c r="C95" s="11" t="s">
        <v>84</v>
      </c>
      <c r="D95" s="54" t="s">
        <v>929</v>
      </c>
      <c r="E95" s="14">
        <v>42182</v>
      </c>
      <c r="F95" s="30" t="s">
        <v>811</v>
      </c>
      <c r="G95" s="12">
        <v>1</v>
      </c>
    </row>
    <row r="96" spans="1:8" x14ac:dyDescent="0.25">
      <c r="A96" s="17">
        <f t="shared" si="1"/>
        <v>90</v>
      </c>
      <c r="B96" s="14" t="s">
        <v>926</v>
      </c>
      <c r="C96" s="11" t="s">
        <v>84</v>
      </c>
      <c r="D96" s="54" t="s">
        <v>927</v>
      </c>
      <c r="E96" s="14">
        <v>42182</v>
      </c>
      <c r="F96" s="30" t="s">
        <v>811</v>
      </c>
      <c r="G96" s="12">
        <v>1</v>
      </c>
    </row>
    <row r="97" spans="1:8" x14ac:dyDescent="0.25">
      <c r="A97" s="17">
        <f t="shared" si="1"/>
        <v>91</v>
      </c>
      <c r="B97" s="14" t="s">
        <v>924</v>
      </c>
      <c r="C97" s="11" t="s">
        <v>17</v>
      </c>
      <c r="D97" s="54" t="s">
        <v>925</v>
      </c>
      <c r="E97" s="14">
        <v>42182</v>
      </c>
      <c r="F97" s="30" t="s">
        <v>811</v>
      </c>
      <c r="G97" s="12">
        <v>1</v>
      </c>
    </row>
    <row r="98" spans="1:8" x14ac:dyDescent="0.25">
      <c r="A98" s="17">
        <f t="shared" si="1"/>
        <v>92</v>
      </c>
      <c r="B98" s="14" t="s">
        <v>920</v>
      </c>
      <c r="C98" s="11" t="s">
        <v>17</v>
      </c>
      <c r="D98" s="54" t="s">
        <v>921</v>
      </c>
      <c r="E98" s="14">
        <v>42182</v>
      </c>
      <c r="F98" s="30" t="s">
        <v>811</v>
      </c>
      <c r="G98" s="12">
        <v>1</v>
      </c>
    </row>
    <row r="99" spans="1:8" x14ac:dyDescent="0.25">
      <c r="A99" s="17">
        <f t="shared" si="1"/>
        <v>93</v>
      </c>
      <c r="B99" s="14" t="s">
        <v>922</v>
      </c>
      <c r="C99" s="11" t="s">
        <v>17</v>
      </c>
      <c r="D99" s="54" t="s">
        <v>923</v>
      </c>
      <c r="E99" s="14">
        <v>42182</v>
      </c>
      <c r="F99" s="30" t="s">
        <v>811</v>
      </c>
      <c r="G99" s="12">
        <v>1</v>
      </c>
    </row>
    <row r="100" spans="1:8" x14ac:dyDescent="0.25">
      <c r="A100" s="17">
        <f t="shared" si="1"/>
        <v>94</v>
      </c>
      <c r="B100" s="14" t="s">
        <v>930</v>
      </c>
      <c r="C100" s="11" t="s">
        <v>17</v>
      </c>
      <c r="D100" s="54" t="s">
        <v>931</v>
      </c>
      <c r="E100" s="14">
        <v>42182</v>
      </c>
      <c r="F100" s="30" t="s">
        <v>811</v>
      </c>
      <c r="G100" s="12">
        <v>1</v>
      </c>
    </row>
    <row r="101" spans="1:8" x14ac:dyDescent="0.25">
      <c r="A101" s="17">
        <f t="shared" si="1"/>
        <v>95</v>
      </c>
      <c r="B101" s="14" t="s">
        <v>932</v>
      </c>
      <c r="C101" s="11" t="s">
        <v>17</v>
      </c>
      <c r="D101" s="54" t="s">
        <v>933</v>
      </c>
      <c r="E101" s="14">
        <v>42182</v>
      </c>
      <c r="F101" s="30" t="s">
        <v>811</v>
      </c>
      <c r="G101" s="12">
        <v>1</v>
      </c>
    </row>
    <row r="102" spans="1:8" x14ac:dyDescent="0.25">
      <c r="A102" s="17">
        <f t="shared" si="1"/>
        <v>96</v>
      </c>
      <c r="B102" s="14" t="s">
        <v>936</v>
      </c>
      <c r="C102" s="11" t="s">
        <v>17</v>
      </c>
      <c r="D102" s="54" t="s">
        <v>937</v>
      </c>
      <c r="E102" s="14">
        <v>42182</v>
      </c>
      <c r="F102" s="30" t="s">
        <v>811</v>
      </c>
      <c r="G102" s="12">
        <v>1</v>
      </c>
    </row>
    <row r="103" spans="1:8" x14ac:dyDescent="0.25">
      <c r="A103" s="17">
        <f t="shared" si="1"/>
        <v>97</v>
      </c>
      <c r="B103" s="14" t="s">
        <v>934</v>
      </c>
      <c r="C103" s="11" t="s">
        <v>17</v>
      </c>
      <c r="D103" s="54" t="s">
        <v>935</v>
      </c>
      <c r="E103" s="14">
        <v>42182</v>
      </c>
      <c r="F103" s="30" t="s">
        <v>811</v>
      </c>
      <c r="G103" s="12">
        <v>1</v>
      </c>
    </row>
    <row r="104" spans="1:8" x14ac:dyDescent="0.25">
      <c r="A104" s="17">
        <f t="shared" si="1"/>
        <v>98</v>
      </c>
      <c r="B104" s="14" t="s">
        <v>2170</v>
      </c>
      <c r="C104" s="11" t="s">
        <v>17</v>
      </c>
      <c r="D104" s="54" t="s">
        <v>916</v>
      </c>
      <c r="E104" s="14">
        <v>42183</v>
      </c>
      <c r="F104" s="30" t="s">
        <v>917</v>
      </c>
      <c r="G104" s="12">
        <v>1</v>
      </c>
      <c r="H104" t="s">
        <v>2171</v>
      </c>
    </row>
    <row r="105" spans="1:8" x14ac:dyDescent="0.25">
      <c r="A105" s="17">
        <f t="shared" si="1"/>
        <v>99</v>
      </c>
      <c r="B105" s="14" t="s">
        <v>2172</v>
      </c>
      <c r="C105" s="11" t="s">
        <v>17</v>
      </c>
      <c r="D105" s="54" t="s">
        <v>938</v>
      </c>
      <c r="E105" s="14">
        <v>42183</v>
      </c>
      <c r="F105" s="30" t="s">
        <v>939</v>
      </c>
      <c r="G105" s="12">
        <v>1</v>
      </c>
      <c r="H105" t="s">
        <v>2173</v>
      </c>
    </row>
    <row r="106" spans="1:8" x14ac:dyDescent="0.25">
      <c r="A106" s="17">
        <f t="shared" si="1"/>
        <v>100</v>
      </c>
      <c r="B106" s="14" t="s">
        <v>952</v>
      </c>
      <c r="C106" s="11" t="s">
        <v>84</v>
      </c>
      <c r="D106" s="54" t="s">
        <v>953</v>
      </c>
      <c r="E106" s="14">
        <v>42183</v>
      </c>
      <c r="F106" s="30" t="s">
        <v>811</v>
      </c>
      <c r="G106" s="12">
        <v>1</v>
      </c>
    </row>
    <row r="107" spans="1:8" x14ac:dyDescent="0.25">
      <c r="A107" s="17">
        <f t="shared" si="1"/>
        <v>101</v>
      </c>
      <c r="B107" s="14" t="s">
        <v>942</v>
      </c>
      <c r="C107" s="11" t="s">
        <v>84</v>
      </c>
      <c r="D107" s="54" t="s">
        <v>943</v>
      </c>
      <c r="E107" s="14">
        <v>42183</v>
      </c>
      <c r="F107" s="30" t="s">
        <v>811</v>
      </c>
      <c r="G107" s="12">
        <v>1</v>
      </c>
    </row>
    <row r="108" spans="1:8" x14ac:dyDescent="0.25">
      <c r="A108" s="17">
        <f t="shared" si="1"/>
        <v>102</v>
      </c>
      <c r="B108" s="14" t="s">
        <v>956</v>
      </c>
      <c r="C108" s="11" t="s">
        <v>84</v>
      </c>
      <c r="D108" s="54" t="s">
        <v>957</v>
      </c>
      <c r="E108" s="14">
        <v>42183</v>
      </c>
      <c r="F108" s="30" t="s">
        <v>811</v>
      </c>
      <c r="G108" s="12">
        <v>1</v>
      </c>
    </row>
    <row r="109" spans="1:8" x14ac:dyDescent="0.25">
      <c r="A109" s="17">
        <f t="shared" si="1"/>
        <v>103</v>
      </c>
      <c r="B109" s="14" t="s">
        <v>946</v>
      </c>
      <c r="C109" s="11" t="s">
        <v>17</v>
      </c>
      <c r="D109" s="54" t="s">
        <v>947</v>
      </c>
      <c r="E109" s="14">
        <v>42183</v>
      </c>
      <c r="F109" s="30" t="s">
        <v>811</v>
      </c>
      <c r="G109" s="12">
        <v>1</v>
      </c>
    </row>
    <row r="110" spans="1:8" x14ac:dyDescent="0.25">
      <c r="A110" s="17">
        <f t="shared" si="1"/>
        <v>104</v>
      </c>
      <c r="B110" s="14" t="s">
        <v>958</v>
      </c>
      <c r="C110" s="11" t="s">
        <v>17</v>
      </c>
      <c r="D110" s="54" t="s">
        <v>959</v>
      </c>
      <c r="E110" s="14">
        <v>42183</v>
      </c>
      <c r="F110" s="30" t="s">
        <v>811</v>
      </c>
      <c r="G110" s="12">
        <v>1</v>
      </c>
    </row>
    <row r="111" spans="1:8" x14ac:dyDescent="0.25">
      <c r="A111" s="17">
        <f t="shared" si="1"/>
        <v>105</v>
      </c>
      <c r="B111" s="14" t="s">
        <v>948</v>
      </c>
      <c r="C111" s="11" t="s">
        <v>17</v>
      </c>
      <c r="D111" s="54" t="s">
        <v>949</v>
      </c>
      <c r="E111" s="14">
        <v>42183</v>
      </c>
      <c r="F111" s="30" t="s">
        <v>811</v>
      </c>
      <c r="G111" s="12">
        <v>1</v>
      </c>
    </row>
    <row r="112" spans="1:8" x14ac:dyDescent="0.25">
      <c r="A112" s="17">
        <f t="shared" si="1"/>
        <v>106</v>
      </c>
      <c r="B112" s="14" t="s">
        <v>940</v>
      </c>
      <c r="C112" s="11" t="s">
        <v>17</v>
      </c>
      <c r="D112" s="54" t="s">
        <v>941</v>
      </c>
      <c r="E112" s="14">
        <v>42183</v>
      </c>
      <c r="F112" s="30" t="s">
        <v>811</v>
      </c>
      <c r="G112" s="12">
        <v>1</v>
      </c>
    </row>
    <row r="113" spans="1:8" x14ac:dyDescent="0.25">
      <c r="A113" s="17">
        <f t="shared" si="1"/>
        <v>107</v>
      </c>
      <c r="B113" s="14" t="s">
        <v>950</v>
      </c>
      <c r="C113" s="11" t="s">
        <v>17</v>
      </c>
      <c r="D113" s="54" t="s">
        <v>951</v>
      </c>
      <c r="E113" s="14">
        <v>42183</v>
      </c>
      <c r="F113" s="30" t="s">
        <v>811</v>
      </c>
      <c r="G113" s="12">
        <v>1</v>
      </c>
    </row>
    <row r="114" spans="1:8" x14ac:dyDescent="0.25">
      <c r="A114" s="17">
        <f t="shared" si="1"/>
        <v>108</v>
      </c>
      <c r="B114" s="14" t="s">
        <v>944</v>
      </c>
      <c r="C114" s="11" t="s">
        <v>17</v>
      </c>
      <c r="D114" s="54" t="s">
        <v>945</v>
      </c>
      <c r="E114" s="14">
        <v>42183</v>
      </c>
      <c r="F114" s="30" t="s">
        <v>811</v>
      </c>
      <c r="G114" s="12">
        <v>1</v>
      </c>
    </row>
    <row r="115" spans="1:8" x14ac:dyDescent="0.25">
      <c r="A115" s="17">
        <f t="shared" si="1"/>
        <v>109</v>
      </c>
      <c r="B115" s="14" t="s">
        <v>954</v>
      </c>
      <c r="C115" s="11" t="s">
        <v>17</v>
      </c>
      <c r="D115" s="54" t="s">
        <v>955</v>
      </c>
      <c r="E115" s="14">
        <v>42183</v>
      </c>
      <c r="F115" s="30" t="s">
        <v>811</v>
      </c>
      <c r="G115" s="12">
        <v>1</v>
      </c>
    </row>
    <row r="116" spans="1:8" x14ac:dyDescent="0.25">
      <c r="A116" s="17">
        <f t="shared" si="1"/>
        <v>110</v>
      </c>
      <c r="B116" s="14" t="s">
        <v>981</v>
      </c>
      <c r="C116" s="11" t="s">
        <v>84</v>
      </c>
      <c r="D116" s="54" t="s">
        <v>1875</v>
      </c>
      <c r="E116" s="14">
        <v>42184</v>
      </c>
      <c r="F116" s="30" t="s">
        <v>811</v>
      </c>
      <c r="G116" s="12">
        <v>1</v>
      </c>
    </row>
    <row r="117" spans="1:8" x14ac:dyDescent="0.25">
      <c r="A117" s="17">
        <f t="shared" si="1"/>
        <v>111</v>
      </c>
      <c r="B117" s="14" t="s">
        <v>966</v>
      </c>
      <c r="C117" s="11" t="s">
        <v>17</v>
      </c>
      <c r="D117" s="54" t="s">
        <v>967</v>
      </c>
      <c r="E117" s="14">
        <v>42184</v>
      </c>
      <c r="F117" s="30" t="s">
        <v>811</v>
      </c>
      <c r="G117" s="12">
        <v>1</v>
      </c>
    </row>
    <row r="118" spans="1:8" x14ac:dyDescent="0.25">
      <c r="A118" s="17">
        <f t="shared" si="1"/>
        <v>112</v>
      </c>
      <c r="B118" s="14" t="s">
        <v>982</v>
      </c>
      <c r="C118" s="11" t="s">
        <v>17</v>
      </c>
      <c r="D118" s="54" t="s">
        <v>983</v>
      </c>
      <c r="E118" s="14">
        <v>42184</v>
      </c>
      <c r="F118" s="30" t="s">
        <v>811</v>
      </c>
      <c r="G118" s="12">
        <v>1</v>
      </c>
    </row>
    <row r="119" spans="1:8" x14ac:dyDescent="0.25">
      <c r="A119" s="17">
        <f t="shared" si="1"/>
        <v>113</v>
      </c>
      <c r="B119" s="14" t="s">
        <v>977</v>
      </c>
      <c r="C119" s="11" t="s">
        <v>17</v>
      </c>
      <c r="D119" s="54" t="s">
        <v>978</v>
      </c>
      <c r="E119" s="14">
        <v>42184</v>
      </c>
      <c r="F119" s="30" t="s">
        <v>811</v>
      </c>
      <c r="G119" s="12">
        <v>1</v>
      </c>
    </row>
    <row r="120" spans="1:8" x14ac:dyDescent="0.25">
      <c r="A120" s="17">
        <f t="shared" si="1"/>
        <v>114</v>
      </c>
      <c r="B120" s="14" t="s">
        <v>979</v>
      </c>
      <c r="C120" s="11" t="s">
        <v>17</v>
      </c>
      <c r="D120" s="54" t="s">
        <v>980</v>
      </c>
      <c r="E120" s="14">
        <v>42184</v>
      </c>
      <c r="F120" s="30" t="s">
        <v>811</v>
      </c>
      <c r="G120" s="12">
        <v>1</v>
      </c>
    </row>
    <row r="121" spans="1:8" x14ac:dyDescent="0.25">
      <c r="A121" s="17">
        <f t="shared" si="1"/>
        <v>115</v>
      </c>
      <c r="B121" s="14" t="s">
        <v>973</v>
      </c>
      <c r="C121" s="11" t="s">
        <v>17</v>
      </c>
      <c r="D121" s="54" t="s">
        <v>974</v>
      </c>
      <c r="E121" s="14">
        <v>42184</v>
      </c>
      <c r="F121" s="30" t="s">
        <v>811</v>
      </c>
      <c r="G121" s="12">
        <v>1</v>
      </c>
    </row>
    <row r="122" spans="1:8" x14ac:dyDescent="0.25">
      <c r="A122" s="17">
        <f t="shared" si="1"/>
        <v>116</v>
      </c>
      <c r="B122" s="14" t="s">
        <v>975</v>
      </c>
      <c r="C122" s="11" t="s">
        <v>17</v>
      </c>
      <c r="D122" s="54" t="s">
        <v>976</v>
      </c>
      <c r="E122" s="14">
        <v>42184</v>
      </c>
      <c r="F122" s="30" t="s">
        <v>811</v>
      </c>
      <c r="G122" s="12">
        <v>1</v>
      </c>
    </row>
    <row r="123" spans="1:8" x14ac:dyDescent="0.25">
      <c r="A123" s="17">
        <f t="shared" si="1"/>
        <v>117</v>
      </c>
      <c r="B123" s="14" t="s">
        <v>971</v>
      </c>
      <c r="C123" s="11" t="s">
        <v>17</v>
      </c>
      <c r="D123" s="54" t="s">
        <v>972</v>
      </c>
      <c r="E123" s="14">
        <v>42184</v>
      </c>
      <c r="F123" s="30" t="s">
        <v>811</v>
      </c>
      <c r="G123" s="12">
        <v>1</v>
      </c>
    </row>
    <row r="124" spans="1:8" x14ac:dyDescent="0.25">
      <c r="A124" s="17">
        <f t="shared" si="1"/>
        <v>118</v>
      </c>
      <c r="B124" s="14" t="s">
        <v>969</v>
      </c>
      <c r="C124" s="11" t="s">
        <v>17</v>
      </c>
      <c r="D124" s="54" t="s">
        <v>970</v>
      </c>
      <c r="E124" s="14">
        <v>42184</v>
      </c>
      <c r="F124" s="30" t="s">
        <v>811</v>
      </c>
      <c r="G124" s="12">
        <v>1</v>
      </c>
    </row>
    <row r="125" spans="1:8" x14ac:dyDescent="0.25">
      <c r="A125" s="17">
        <f t="shared" si="1"/>
        <v>119</v>
      </c>
      <c r="B125" s="14" t="s">
        <v>2174</v>
      </c>
      <c r="C125" s="11" t="s">
        <v>17</v>
      </c>
      <c r="D125" s="54" t="s">
        <v>960</v>
      </c>
      <c r="E125" s="14">
        <v>42184</v>
      </c>
      <c r="F125" s="30" t="s">
        <v>961</v>
      </c>
      <c r="G125" s="12">
        <v>1</v>
      </c>
      <c r="H125" t="s">
        <v>2175</v>
      </c>
    </row>
    <row r="126" spans="1:8" x14ac:dyDescent="0.25">
      <c r="A126" s="17">
        <f t="shared" si="1"/>
        <v>120</v>
      </c>
      <c r="B126" s="14" t="s">
        <v>962</v>
      </c>
      <c r="C126" s="11" t="s">
        <v>17</v>
      </c>
      <c r="D126" s="54" t="s">
        <v>963</v>
      </c>
      <c r="E126" s="14">
        <v>42184</v>
      </c>
      <c r="F126" s="30" t="s">
        <v>811</v>
      </c>
      <c r="G126" s="12">
        <v>1</v>
      </c>
      <c r="H126" t="s">
        <v>968</v>
      </c>
    </row>
    <row r="127" spans="1:8" x14ac:dyDescent="0.25">
      <c r="A127" s="17">
        <f t="shared" si="1"/>
        <v>121</v>
      </c>
      <c r="B127" s="14" t="s">
        <v>2176</v>
      </c>
      <c r="C127" s="11" t="s">
        <v>17</v>
      </c>
      <c r="D127" s="54" t="s">
        <v>984</v>
      </c>
      <c r="E127" s="14">
        <v>42185</v>
      </c>
      <c r="F127" s="30" t="s">
        <v>985</v>
      </c>
      <c r="G127" s="12">
        <v>1</v>
      </c>
      <c r="H127" t="s">
        <v>2177</v>
      </c>
    </row>
  </sheetData>
  <sortState ref="B116:H126">
    <sortCondition ref="D116:D126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orientation="portrait" horizontalDpi="120" verticalDpi="7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opLeftCell="A41" workbookViewId="0">
      <selection activeCell="E29" sqref="E29"/>
    </sheetView>
  </sheetViews>
  <sheetFormatPr baseColWidth="10" defaultColWidth="11.42578125" defaultRowHeight="15" x14ac:dyDescent="0.25"/>
  <cols>
    <col min="1" max="1" width="6.140625" customWidth="1"/>
    <col min="2" max="2" width="9.5703125" customWidth="1"/>
    <col min="3" max="3" width="10.140625" customWidth="1"/>
    <col min="4" max="4" width="13.7109375" customWidth="1"/>
    <col min="6" max="6" width="18.85546875" customWidth="1"/>
    <col min="7" max="7" width="3.28515625" hidden="1" customWidth="1"/>
    <col min="8" max="8" width="15.5703125" bestFit="1" customWidth="1"/>
  </cols>
  <sheetData>
    <row r="1" spans="1:11" ht="18" x14ac:dyDescent="0.25">
      <c r="A1" s="102" t="s">
        <v>0</v>
      </c>
      <c r="B1" s="102"/>
      <c r="C1" s="10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106" t="s">
        <v>2</v>
      </c>
      <c r="B2" s="106"/>
      <c r="C2" s="106"/>
      <c r="D2" s="6"/>
      <c r="E2" s="5" t="s">
        <v>3</v>
      </c>
      <c r="F2" s="5"/>
      <c r="G2" s="4"/>
      <c r="H2" s="4"/>
      <c r="I2" s="103" t="s">
        <v>4</v>
      </c>
      <c r="J2" s="104"/>
      <c r="K2" s="22">
        <f>SUMIF(F7:F112,"Elimination*",G7:G112)</f>
        <v>34</v>
      </c>
    </row>
    <row r="3" spans="1:11" x14ac:dyDescent="0.25">
      <c r="A3" s="107" t="s">
        <v>5</v>
      </c>
      <c r="B3" s="107"/>
      <c r="C3" s="107"/>
      <c r="D3" s="5"/>
      <c r="E3" s="4" t="s">
        <v>6</v>
      </c>
      <c r="F3" s="4"/>
      <c r="G3" s="4"/>
      <c r="H3" s="4"/>
      <c r="I3" s="103" t="s">
        <v>7</v>
      </c>
      <c r="J3" s="104"/>
      <c r="K3" s="22">
        <f>SUMIF(F7:F112,"NB*",G7:G112)</f>
        <v>14</v>
      </c>
    </row>
    <row r="4" spans="1:11" ht="18" x14ac:dyDescent="0.25">
      <c r="A4" s="102" t="s">
        <v>8</v>
      </c>
      <c r="B4" s="102"/>
      <c r="C4" s="102"/>
      <c r="D4" s="102"/>
      <c r="E4" s="102"/>
      <c r="F4" s="102"/>
      <c r="G4" s="4"/>
      <c r="H4" s="4"/>
      <c r="I4" s="103" t="s">
        <v>9</v>
      </c>
      <c r="J4" s="104"/>
      <c r="K4" s="22">
        <f>SUMIF(F7:F112,"Ve*",G7:G112)</f>
        <v>0</v>
      </c>
    </row>
    <row r="5" spans="1:11" ht="15.75" x14ac:dyDescent="0.25">
      <c r="A5" s="105" t="s">
        <v>817</v>
      </c>
      <c r="B5" s="105"/>
      <c r="C5" s="105"/>
      <c r="D5" s="105"/>
      <c r="E5" s="105"/>
      <c r="F5" s="105"/>
      <c r="G5" s="24"/>
      <c r="H5" s="24"/>
      <c r="I5" s="103" t="s">
        <v>10</v>
      </c>
      <c r="J5" s="104"/>
      <c r="K5" s="26">
        <f>SUM(K2:K4)</f>
        <v>48</v>
      </c>
    </row>
    <row r="6" spans="1:11" ht="33.7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4" t="s">
        <v>2178</v>
      </c>
      <c r="C7" s="11" t="s">
        <v>17</v>
      </c>
      <c r="D7" s="54" t="s">
        <v>986</v>
      </c>
      <c r="E7" s="14">
        <v>42186</v>
      </c>
      <c r="F7" s="30" t="s">
        <v>987</v>
      </c>
      <c r="G7" s="19">
        <v>1</v>
      </c>
      <c r="H7" s="96" t="s">
        <v>2179</v>
      </c>
      <c r="I7" s="18"/>
      <c r="J7" s="18"/>
      <c r="K7" s="1"/>
    </row>
    <row r="8" spans="1:11" ht="15" customHeight="1" x14ac:dyDescent="0.25">
      <c r="A8" s="17">
        <f>+A7+1</f>
        <v>2</v>
      </c>
      <c r="B8" s="14" t="s">
        <v>1462</v>
      </c>
      <c r="C8" s="11">
        <v>80</v>
      </c>
      <c r="D8" s="54" t="s">
        <v>988</v>
      </c>
      <c r="E8" s="14">
        <v>42186</v>
      </c>
      <c r="F8" s="30" t="s">
        <v>811</v>
      </c>
      <c r="G8" s="19">
        <v>1</v>
      </c>
      <c r="H8" s="25"/>
      <c r="I8" s="2"/>
      <c r="J8" s="2"/>
      <c r="K8" s="1"/>
    </row>
    <row r="9" spans="1:11" x14ac:dyDescent="0.25">
      <c r="A9" s="17">
        <f t="shared" ref="A9:A54" si="0">+A8+1</f>
        <v>3</v>
      </c>
      <c r="B9" s="14" t="s">
        <v>994</v>
      </c>
      <c r="C9" s="11" t="s">
        <v>17</v>
      </c>
      <c r="D9" s="54" t="s">
        <v>993</v>
      </c>
      <c r="E9" s="14">
        <v>42192</v>
      </c>
      <c r="F9" s="30" t="s">
        <v>811</v>
      </c>
      <c r="G9" s="19">
        <v>1</v>
      </c>
      <c r="H9" s="25"/>
      <c r="I9" s="2"/>
      <c r="J9" s="2"/>
      <c r="K9" s="1"/>
    </row>
    <row r="10" spans="1:11" x14ac:dyDescent="0.25">
      <c r="A10" s="17">
        <f t="shared" si="0"/>
        <v>4</v>
      </c>
      <c r="B10" s="14" t="s">
        <v>989</v>
      </c>
      <c r="C10" s="11" t="s">
        <v>17</v>
      </c>
      <c r="D10" s="54" t="s">
        <v>990</v>
      </c>
      <c r="E10" s="14">
        <v>42192</v>
      </c>
      <c r="F10" s="30" t="s">
        <v>811</v>
      </c>
      <c r="G10" s="19">
        <v>1</v>
      </c>
      <c r="H10" s="25"/>
      <c r="I10" s="2"/>
      <c r="J10" s="2"/>
      <c r="K10" s="1"/>
    </row>
    <row r="11" spans="1:11" x14ac:dyDescent="0.25">
      <c r="A11" s="17">
        <f t="shared" si="0"/>
        <v>5</v>
      </c>
      <c r="B11" s="14" t="s">
        <v>991</v>
      </c>
      <c r="C11" s="11" t="s">
        <v>17</v>
      </c>
      <c r="D11" s="54" t="s">
        <v>992</v>
      </c>
      <c r="E11" s="14">
        <v>42192</v>
      </c>
      <c r="F11" s="30" t="s">
        <v>811</v>
      </c>
      <c r="G11" s="19">
        <v>1</v>
      </c>
      <c r="H11" s="25"/>
      <c r="I11" s="2"/>
      <c r="J11" s="2"/>
      <c r="K11" s="1"/>
    </row>
    <row r="12" spans="1:11" x14ac:dyDescent="0.25">
      <c r="A12" s="17">
        <f t="shared" si="0"/>
        <v>6</v>
      </c>
      <c r="B12" s="14" t="s">
        <v>995</v>
      </c>
      <c r="C12" s="11" t="s">
        <v>17</v>
      </c>
      <c r="D12" s="54" t="s">
        <v>996</v>
      </c>
      <c r="E12" s="14">
        <v>42192</v>
      </c>
      <c r="F12" s="30" t="s">
        <v>811</v>
      </c>
      <c r="G12" s="19">
        <v>1</v>
      </c>
      <c r="H12" s="2"/>
      <c r="I12" s="2"/>
      <c r="J12" s="2"/>
      <c r="K12" s="1"/>
    </row>
    <row r="13" spans="1:11" x14ac:dyDescent="0.25">
      <c r="A13" s="17">
        <f t="shared" si="0"/>
        <v>7</v>
      </c>
      <c r="B13" s="14" t="s">
        <v>997</v>
      </c>
      <c r="C13" s="11" t="s">
        <v>17</v>
      </c>
      <c r="D13" s="54" t="s">
        <v>998</v>
      </c>
      <c r="E13" s="14">
        <v>42192</v>
      </c>
      <c r="F13" s="30" t="s">
        <v>811</v>
      </c>
      <c r="G13" s="19">
        <v>1</v>
      </c>
      <c r="H13" s="2"/>
      <c r="I13" s="2"/>
      <c r="J13" s="2"/>
      <c r="K13" s="1"/>
    </row>
    <row r="14" spans="1:11" x14ac:dyDescent="0.25">
      <c r="A14" s="17">
        <f t="shared" si="0"/>
        <v>8</v>
      </c>
      <c r="B14" s="14" t="s">
        <v>1005</v>
      </c>
      <c r="C14" s="11" t="s">
        <v>17</v>
      </c>
      <c r="D14" s="54" t="s">
        <v>1006</v>
      </c>
      <c r="E14" s="14">
        <v>42193</v>
      </c>
      <c r="F14" s="30" t="s">
        <v>811</v>
      </c>
      <c r="G14" s="12">
        <v>1</v>
      </c>
      <c r="H14" s="13"/>
      <c r="I14" s="2"/>
      <c r="J14" s="2"/>
      <c r="K14" s="1"/>
    </row>
    <row r="15" spans="1:11" x14ac:dyDescent="0.25">
      <c r="A15" s="17">
        <f t="shared" si="0"/>
        <v>9</v>
      </c>
      <c r="B15" s="14" t="s">
        <v>1001</v>
      </c>
      <c r="C15" s="11" t="s">
        <v>17</v>
      </c>
      <c r="D15" s="54" t="s">
        <v>1002</v>
      </c>
      <c r="E15" s="14">
        <v>42193</v>
      </c>
      <c r="F15" s="30" t="s">
        <v>811</v>
      </c>
      <c r="G15" s="12">
        <v>1</v>
      </c>
      <c r="H15" s="13"/>
      <c r="I15" s="2"/>
      <c r="J15" s="2"/>
      <c r="K15" s="1"/>
    </row>
    <row r="16" spans="1:11" x14ac:dyDescent="0.25">
      <c r="A16" s="17">
        <f t="shared" si="0"/>
        <v>10</v>
      </c>
      <c r="B16" s="14" t="s">
        <v>999</v>
      </c>
      <c r="C16" s="11" t="s">
        <v>17</v>
      </c>
      <c r="D16" s="54" t="s">
        <v>1000</v>
      </c>
      <c r="E16" s="14">
        <v>42193</v>
      </c>
      <c r="F16" s="30" t="s">
        <v>811</v>
      </c>
      <c r="G16" s="12">
        <v>1</v>
      </c>
      <c r="H16" s="13"/>
      <c r="I16" s="2"/>
      <c r="J16" s="2"/>
      <c r="K16" s="1"/>
    </row>
    <row r="17" spans="1:11" x14ac:dyDescent="0.25">
      <c r="A17" s="17">
        <f t="shared" si="0"/>
        <v>11</v>
      </c>
      <c r="B17" s="14" t="s">
        <v>1003</v>
      </c>
      <c r="C17" s="11" t="s">
        <v>17</v>
      </c>
      <c r="D17" s="54" t="s">
        <v>1004</v>
      </c>
      <c r="E17" s="14">
        <v>42193</v>
      </c>
      <c r="F17" s="30" t="s">
        <v>811</v>
      </c>
      <c r="G17" s="12">
        <v>1</v>
      </c>
      <c r="H17" s="13"/>
      <c r="I17" s="2"/>
      <c r="J17" s="2"/>
      <c r="K17" s="1"/>
    </row>
    <row r="18" spans="1:11" x14ac:dyDescent="0.25">
      <c r="A18" s="17">
        <f t="shared" si="0"/>
        <v>12</v>
      </c>
      <c r="B18" s="14" t="s">
        <v>1007</v>
      </c>
      <c r="C18" s="11" t="s">
        <v>17</v>
      </c>
      <c r="D18" s="54" t="s">
        <v>1008</v>
      </c>
      <c r="E18" s="14">
        <v>42193</v>
      </c>
      <c r="F18" s="30" t="s">
        <v>811</v>
      </c>
      <c r="G18" s="12">
        <v>1</v>
      </c>
    </row>
    <row r="19" spans="1:11" x14ac:dyDescent="0.25">
      <c r="A19" s="17">
        <f t="shared" si="0"/>
        <v>13</v>
      </c>
      <c r="B19" s="14" t="s">
        <v>1013</v>
      </c>
      <c r="C19" s="11" t="s">
        <v>17</v>
      </c>
      <c r="D19" s="54" t="s">
        <v>1014</v>
      </c>
      <c r="E19" s="14">
        <v>42193</v>
      </c>
      <c r="F19" s="30" t="s">
        <v>811</v>
      </c>
      <c r="G19" s="12">
        <v>1</v>
      </c>
    </row>
    <row r="20" spans="1:11" x14ac:dyDescent="0.25">
      <c r="A20" s="17">
        <f t="shared" si="0"/>
        <v>14</v>
      </c>
      <c r="B20" s="14" t="s">
        <v>1011</v>
      </c>
      <c r="C20" s="11" t="s">
        <v>17</v>
      </c>
      <c r="D20" s="54" t="s">
        <v>1012</v>
      </c>
      <c r="E20" s="14">
        <v>42193</v>
      </c>
      <c r="F20" s="30" t="s">
        <v>811</v>
      </c>
      <c r="G20" s="12">
        <v>1</v>
      </c>
    </row>
    <row r="21" spans="1:11" x14ac:dyDescent="0.25">
      <c r="A21" s="17">
        <f t="shared" si="0"/>
        <v>15</v>
      </c>
      <c r="B21" s="14" t="s">
        <v>1009</v>
      </c>
      <c r="C21" s="11" t="s">
        <v>17</v>
      </c>
      <c r="D21" s="54" t="s">
        <v>1010</v>
      </c>
      <c r="E21" s="14">
        <v>42193</v>
      </c>
      <c r="F21" s="30" t="s">
        <v>811</v>
      </c>
      <c r="G21" s="12">
        <v>1</v>
      </c>
    </row>
    <row r="22" spans="1:11" x14ac:dyDescent="0.25">
      <c r="A22" s="17">
        <f t="shared" si="0"/>
        <v>16</v>
      </c>
      <c r="B22" s="14" t="s">
        <v>1019</v>
      </c>
      <c r="C22" s="11" t="s">
        <v>17</v>
      </c>
      <c r="D22" s="54" t="s">
        <v>1020</v>
      </c>
      <c r="E22" s="14">
        <v>42194</v>
      </c>
      <c r="F22" s="30" t="s">
        <v>811</v>
      </c>
      <c r="G22" s="12">
        <v>1</v>
      </c>
    </row>
    <row r="23" spans="1:11" x14ac:dyDescent="0.25">
      <c r="A23" s="17">
        <f t="shared" si="0"/>
        <v>17</v>
      </c>
      <c r="B23" s="14" t="s">
        <v>1017</v>
      </c>
      <c r="C23" s="11" t="s">
        <v>17</v>
      </c>
      <c r="D23" s="54" t="s">
        <v>1018</v>
      </c>
      <c r="E23" s="14">
        <v>42194</v>
      </c>
      <c r="F23" s="30" t="s">
        <v>811</v>
      </c>
      <c r="G23" s="12">
        <v>1</v>
      </c>
    </row>
    <row r="24" spans="1:11" x14ac:dyDescent="0.25">
      <c r="A24" s="17">
        <f t="shared" si="0"/>
        <v>18</v>
      </c>
      <c r="B24" s="14" t="s">
        <v>1015</v>
      </c>
      <c r="C24" s="11" t="s">
        <v>17</v>
      </c>
      <c r="D24" s="54" t="s">
        <v>1016</v>
      </c>
      <c r="E24" s="14">
        <v>42194</v>
      </c>
      <c r="F24" s="30" t="s">
        <v>811</v>
      </c>
      <c r="G24" s="12">
        <v>1</v>
      </c>
    </row>
    <row r="25" spans="1:11" x14ac:dyDescent="0.25">
      <c r="A25" s="17">
        <f t="shared" si="0"/>
        <v>19</v>
      </c>
      <c r="B25" s="14" t="s">
        <v>2182</v>
      </c>
      <c r="C25" s="11" t="s">
        <v>17</v>
      </c>
      <c r="D25" s="54" t="s">
        <v>1021</v>
      </c>
      <c r="E25" s="14">
        <v>42197</v>
      </c>
      <c r="F25" s="30" t="s">
        <v>1042</v>
      </c>
      <c r="G25" s="12">
        <v>1</v>
      </c>
      <c r="H25" t="s">
        <v>2183</v>
      </c>
    </row>
    <row r="26" spans="1:11" x14ac:dyDescent="0.25">
      <c r="A26" s="17">
        <f t="shared" si="0"/>
        <v>20</v>
      </c>
      <c r="B26" s="14" t="s">
        <v>2180</v>
      </c>
      <c r="C26" s="11" t="s">
        <v>17</v>
      </c>
      <c r="D26" s="54" t="s">
        <v>1022</v>
      </c>
      <c r="E26" s="14">
        <v>42197</v>
      </c>
      <c r="F26" s="30" t="s">
        <v>1023</v>
      </c>
      <c r="G26" s="12">
        <v>1</v>
      </c>
      <c r="H26" t="s">
        <v>2181</v>
      </c>
    </row>
    <row r="27" spans="1:11" x14ac:dyDescent="0.25">
      <c r="A27" s="17">
        <f t="shared" si="0"/>
        <v>21</v>
      </c>
      <c r="B27" s="14" t="s">
        <v>2184</v>
      </c>
      <c r="C27" s="11" t="s">
        <v>17</v>
      </c>
      <c r="D27" s="54" t="s">
        <v>1024</v>
      </c>
      <c r="E27" s="14">
        <v>42198</v>
      </c>
      <c r="F27" s="30" t="s">
        <v>1027</v>
      </c>
      <c r="G27" s="12">
        <v>1</v>
      </c>
    </row>
    <row r="28" spans="1:11" x14ac:dyDescent="0.25">
      <c r="A28" s="17">
        <f t="shared" si="0"/>
        <v>22</v>
      </c>
      <c r="B28" s="14" t="s">
        <v>2187</v>
      </c>
      <c r="C28" s="11" t="s">
        <v>17</v>
      </c>
      <c r="D28" s="54" t="s">
        <v>1025</v>
      </c>
      <c r="E28" s="14">
        <v>42198</v>
      </c>
      <c r="F28" s="30" t="s">
        <v>1029</v>
      </c>
      <c r="G28" s="12">
        <v>1</v>
      </c>
    </row>
    <row r="29" spans="1:11" x14ac:dyDescent="0.25">
      <c r="A29" s="17">
        <f t="shared" si="0"/>
        <v>23</v>
      </c>
      <c r="B29" s="14" t="s">
        <v>2185</v>
      </c>
      <c r="C29" s="11" t="s">
        <v>17</v>
      </c>
      <c r="D29" s="54" t="s">
        <v>1026</v>
      </c>
      <c r="E29" s="14">
        <v>42198</v>
      </c>
      <c r="F29" s="30" t="s">
        <v>1028</v>
      </c>
      <c r="G29" s="12">
        <v>1</v>
      </c>
      <c r="H29" t="s">
        <v>2186</v>
      </c>
    </row>
    <row r="30" spans="1:11" x14ac:dyDescent="0.25">
      <c r="A30" s="17">
        <f t="shared" si="0"/>
        <v>24</v>
      </c>
      <c r="B30" s="14" t="s">
        <v>1030</v>
      </c>
      <c r="C30" s="11" t="s">
        <v>17</v>
      </c>
      <c r="D30" s="54" t="s">
        <v>1031</v>
      </c>
      <c r="E30" s="14">
        <v>42198</v>
      </c>
      <c r="F30" s="30" t="s">
        <v>811</v>
      </c>
      <c r="G30" s="12">
        <v>1</v>
      </c>
    </row>
    <row r="31" spans="1:11" x14ac:dyDescent="0.25">
      <c r="A31" s="17">
        <f t="shared" si="0"/>
        <v>25</v>
      </c>
      <c r="B31" s="14" t="s">
        <v>2188</v>
      </c>
      <c r="C31" s="11" t="s">
        <v>17</v>
      </c>
      <c r="D31" s="54" t="s">
        <v>1032</v>
      </c>
      <c r="E31" s="14">
        <v>42199</v>
      </c>
      <c r="F31" s="30" t="s">
        <v>1033</v>
      </c>
      <c r="G31" s="12">
        <v>1</v>
      </c>
      <c r="H31" t="s">
        <v>2189</v>
      </c>
    </row>
    <row r="32" spans="1:11" x14ac:dyDescent="0.25">
      <c r="A32" s="17">
        <f t="shared" si="0"/>
        <v>26</v>
      </c>
      <c r="B32" s="14" t="s">
        <v>2190</v>
      </c>
      <c r="C32" s="11" t="s">
        <v>17</v>
      </c>
      <c r="D32" s="54" t="s">
        <v>1034</v>
      </c>
      <c r="E32" s="14">
        <v>42200</v>
      </c>
      <c r="F32" s="30" t="s">
        <v>1035</v>
      </c>
      <c r="G32" s="12">
        <v>1</v>
      </c>
      <c r="H32" t="s">
        <v>2191</v>
      </c>
    </row>
    <row r="33" spans="1:8" x14ac:dyDescent="0.25">
      <c r="A33" s="17">
        <f t="shared" si="0"/>
        <v>27</v>
      </c>
      <c r="B33" s="14" t="s">
        <v>1038</v>
      </c>
      <c r="C33" s="11" t="s">
        <v>17</v>
      </c>
      <c r="D33" s="54" t="s">
        <v>1039</v>
      </c>
      <c r="E33" s="14">
        <v>42200</v>
      </c>
      <c r="F33" s="30" t="s">
        <v>811</v>
      </c>
      <c r="G33" s="12">
        <v>1</v>
      </c>
    </row>
    <row r="34" spans="1:8" x14ac:dyDescent="0.25">
      <c r="A34" s="17">
        <f t="shared" si="0"/>
        <v>28</v>
      </c>
      <c r="B34" s="14" t="s">
        <v>1036</v>
      </c>
      <c r="C34" s="11" t="s">
        <v>17</v>
      </c>
      <c r="D34" s="54" t="s">
        <v>1037</v>
      </c>
      <c r="E34" s="14">
        <v>42200</v>
      </c>
      <c r="F34" s="30" t="s">
        <v>811</v>
      </c>
      <c r="G34" s="12">
        <v>1</v>
      </c>
    </row>
    <row r="35" spans="1:8" x14ac:dyDescent="0.25">
      <c r="A35" s="17">
        <f t="shared" si="0"/>
        <v>29</v>
      </c>
      <c r="B35" s="14" t="s">
        <v>1040</v>
      </c>
      <c r="C35" s="11" t="s">
        <v>17</v>
      </c>
      <c r="D35" s="54" t="s">
        <v>1041</v>
      </c>
      <c r="E35" s="14">
        <v>42200</v>
      </c>
      <c r="F35" s="30" t="s">
        <v>811</v>
      </c>
      <c r="G35" s="12">
        <v>1</v>
      </c>
    </row>
    <row r="36" spans="1:8" x14ac:dyDescent="0.25">
      <c r="A36" s="17">
        <f t="shared" si="0"/>
        <v>30</v>
      </c>
      <c r="B36" s="14" t="s">
        <v>1049</v>
      </c>
      <c r="C36" s="11" t="s">
        <v>84</v>
      </c>
      <c r="D36" s="54" t="s">
        <v>1050</v>
      </c>
      <c r="E36" s="14">
        <v>42201</v>
      </c>
      <c r="F36" s="30" t="s">
        <v>811</v>
      </c>
      <c r="G36" s="12">
        <v>1</v>
      </c>
    </row>
    <row r="37" spans="1:8" x14ac:dyDescent="0.25">
      <c r="A37" s="17">
        <f t="shared" si="0"/>
        <v>31</v>
      </c>
      <c r="B37" s="14" t="s">
        <v>1043</v>
      </c>
      <c r="C37" s="11" t="s">
        <v>17</v>
      </c>
      <c r="D37" s="54" t="s">
        <v>1044</v>
      </c>
      <c r="E37" s="14">
        <v>42201</v>
      </c>
      <c r="F37" s="30" t="s">
        <v>811</v>
      </c>
      <c r="G37" s="12">
        <v>1</v>
      </c>
    </row>
    <row r="38" spans="1:8" x14ac:dyDescent="0.25">
      <c r="A38" s="17">
        <f t="shared" si="0"/>
        <v>32</v>
      </c>
      <c r="B38" s="14" t="s">
        <v>1045</v>
      </c>
      <c r="C38" s="11" t="s">
        <v>17</v>
      </c>
      <c r="D38" s="54" t="s">
        <v>1046</v>
      </c>
      <c r="E38" s="14">
        <v>42201</v>
      </c>
      <c r="F38" s="30" t="s">
        <v>811</v>
      </c>
      <c r="G38" s="12">
        <v>1</v>
      </c>
    </row>
    <row r="39" spans="1:8" x14ac:dyDescent="0.25">
      <c r="A39" s="17">
        <f t="shared" si="0"/>
        <v>33</v>
      </c>
      <c r="B39" s="14" t="s">
        <v>1047</v>
      </c>
      <c r="C39" s="11" t="s">
        <v>17</v>
      </c>
      <c r="D39" s="54" t="s">
        <v>1048</v>
      </c>
      <c r="E39" s="14">
        <v>42201</v>
      </c>
      <c r="F39" s="30" t="s">
        <v>811</v>
      </c>
      <c r="G39" s="12">
        <v>1</v>
      </c>
    </row>
    <row r="40" spans="1:8" x14ac:dyDescent="0.25">
      <c r="A40" s="17">
        <f t="shared" si="0"/>
        <v>34</v>
      </c>
      <c r="B40" s="14" t="s">
        <v>1051</v>
      </c>
      <c r="C40" s="11" t="s">
        <v>17</v>
      </c>
      <c r="D40" s="54" t="s">
        <v>1052</v>
      </c>
      <c r="E40" s="14">
        <v>42204</v>
      </c>
      <c r="F40" s="30" t="s">
        <v>811</v>
      </c>
      <c r="G40" s="12">
        <v>1</v>
      </c>
    </row>
    <row r="41" spans="1:8" x14ac:dyDescent="0.25">
      <c r="A41" s="17">
        <f t="shared" si="0"/>
        <v>35</v>
      </c>
      <c r="B41" s="14" t="s">
        <v>1056</v>
      </c>
      <c r="C41" s="11" t="s">
        <v>17</v>
      </c>
      <c r="D41" s="54" t="s">
        <v>1057</v>
      </c>
      <c r="E41" s="14">
        <v>42204</v>
      </c>
      <c r="F41" s="30" t="s">
        <v>811</v>
      </c>
      <c r="G41" s="12">
        <v>1</v>
      </c>
    </row>
    <row r="42" spans="1:8" x14ac:dyDescent="0.25">
      <c r="A42" s="17">
        <f t="shared" si="0"/>
        <v>36</v>
      </c>
      <c r="B42" s="14" t="s">
        <v>1053</v>
      </c>
      <c r="C42" s="11" t="s">
        <v>17</v>
      </c>
      <c r="D42" s="54" t="s">
        <v>1054</v>
      </c>
      <c r="E42" s="14">
        <v>42204</v>
      </c>
      <c r="F42" s="30" t="s">
        <v>811</v>
      </c>
      <c r="G42" s="12">
        <v>1</v>
      </c>
    </row>
    <row r="43" spans="1:8" x14ac:dyDescent="0.25">
      <c r="A43" s="17">
        <f t="shared" si="0"/>
        <v>37</v>
      </c>
      <c r="B43" s="14" t="s">
        <v>1058</v>
      </c>
      <c r="C43" s="11" t="s">
        <v>17</v>
      </c>
      <c r="D43" s="54" t="s">
        <v>1055</v>
      </c>
      <c r="E43" s="14">
        <v>42204</v>
      </c>
      <c r="F43" s="30" t="s">
        <v>811</v>
      </c>
      <c r="G43" s="12">
        <v>1</v>
      </c>
      <c r="H43" t="s">
        <v>968</v>
      </c>
    </row>
    <row r="44" spans="1:8" x14ac:dyDescent="0.25">
      <c r="A44" s="17">
        <f t="shared" si="0"/>
        <v>38</v>
      </c>
      <c r="B44" s="14" t="s">
        <v>1059</v>
      </c>
      <c r="C44" s="11" t="s">
        <v>17</v>
      </c>
      <c r="D44" s="54" t="s">
        <v>1060</v>
      </c>
      <c r="E44" s="14">
        <v>42207</v>
      </c>
      <c r="F44" s="30" t="s">
        <v>811</v>
      </c>
      <c r="G44" s="12">
        <v>1</v>
      </c>
    </row>
    <row r="45" spans="1:8" x14ac:dyDescent="0.25">
      <c r="A45" s="17">
        <f t="shared" si="0"/>
        <v>39</v>
      </c>
      <c r="B45" s="14" t="s">
        <v>1061</v>
      </c>
      <c r="C45" s="11" t="s">
        <v>17</v>
      </c>
      <c r="D45" s="54" t="s">
        <v>1062</v>
      </c>
      <c r="E45" s="14">
        <v>42207</v>
      </c>
      <c r="F45" s="30" t="s">
        <v>811</v>
      </c>
      <c r="G45" s="12">
        <v>1</v>
      </c>
      <c r="H45" t="s">
        <v>968</v>
      </c>
    </row>
    <row r="46" spans="1:8" x14ac:dyDescent="0.25">
      <c r="A46" s="17">
        <f t="shared" si="0"/>
        <v>40</v>
      </c>
      <c r="B46" s="14" t="s">
        <v>1063</v>
      </c>
      <c r="C46" s="11" t="s">
        <v>17</v>
      </c>
      <c r="D46" s="54" t="s">
        <v>1064</v>
      </c>
      <c r="E46" s="14">
        <v>42207</v>
      </c>
      <c r="F46" s="30" t="s">
        <v>811</v>
      </c>
      <c r="G46" s="12">
        <v>1</v>
      </c>
    </row>
    <row r="47" spans="1:8" x14ac:dyDescent="0.25">
      <c r="A47" s="17">
        <f t="shared" si="0"/>
        <v>41</v>
      </c>
      <c r="B47" s="14" t="s">
        <v>1067</v>
      </c>
      <c r="C47" s="11" t="s">
        <v>17</v>
      </c>
      <c r="D47" s="54" t="s">
        <v>1068</v>
      </c>
      <c r="E47" s="14">
        <v>42208</v>
      </c>
      <c r="F47" s="30" t="s">
        <v>811</v>
      </c>
      <c r="G47" s="12">
        <v>1</v>
      </c>
    </row>
    <row r="48" spans="1:8" x14ac:dyDescent="0.25">
      <c r="A48" s="17">
        <f t="shared" si="0"/>
        <v>42</v>
      </c>
      <c r="B48" s="14" t="s">
        <v>1065</v>
      </c>
      <c r="C48" s="11" t="s">
        <v>17</v>
      </c>
      <c r="D48" s="54" t="s">
        <v>1066</v>
      </c>
      <c r="E48" s="14">
        <v>42208</v>
      </c>
      <c r="F48" s="30" t="s">
        <v>811</v>
      </c>
      <c r="G48" s="12">
        <v>1</v>
      </c>
    </row>
    <row r="49" spans="1:8" x14ac:dyDescent="0.25">
      <c r="A49" s="17">
        <f t="shared" si="0"/>
        <v>43</v>
      </c>
      <c r="B49" s="14" t="s">
        <v>2192</v>
      </c>
      <c r="C49" s="11" t="s">
        <v>17</v>
      </c>
      <c r="D49" s="54" t="s">
        <v>1069</v>
      </c>
      <c r="E49" s="14">
        <v>42211</v>
      </c>
      <c r="F49" s="30" t="s">
        <v>1070</v>
      </c>
      <c r="G49" s="12">
        <v>1</v>
      </c>
      <c r="H49" t="s">
        <v>2193</v>
      </c>
    </row>
    <row r="50" spans="1:8" x14ac:dyDescent="0.25">
      <c r="A50" s="17">
        <f t="shared" si="0"/>
        <v>44</v>
      </c>
      <c r="B50" s="14" t="s">
        <v>2194</v>
      </c>
      <c r="C50" s="11" t="s">
        <v>17</v>
      </c>
      <c r="D50" s="54" t="s">
        <v>1071</v>
      </c>
      <c r="E50" s="14">
        <v>42213</v>
      </c>
      <c r="F50" s="30" t="s">
        <v>1072</v>
      </c>
      <c r="G50" s="12">
        <v>1</v>
      </c>
      <c r="H50" t="s">
        <v>2195</v>
      </c>
    </row>
    <row r="51" spans="1:8" x14ac:dyDescent="0.25">
      <c r="A51" s="17">
        <f t="shared" si="0"/>
        <v>45</v>
      </c>
      <c r="B51" s="14" t="s">
        <v>2197</v>
      </c>
      <c r="C51" s="11" t="s">
        <v>17</v>
      </c>
      <c r="D51" s="54" t="s">
        <v>1073</v>
      </c>
      <c r="E51" s="14">
        <v>42214</v>
      </c>
      <c r="F51" s="30" t="s">
        <v>1074</v>
      </c>
      <c r="G51" s="12">
        <v>1</v>
      </c>
      <c r="H51" t="s">
        <v>2196</v>
      </c>
    </row>
    <row r="52" spans="1:8" x14ac:dyDescent="0.25">
      <c r="A52" s="17">
        <f t="shared" si="0"/>
        <v>46</v>
      </c>
      <c r="B52" s="14" t="s">
        <v>2198</v>
      </c>
      <c r="C52" s="11" t="s">
        <v>17</v>
      </c>
      <c r="D52" s="54" t="s">
        <v>1075</v>
      </c>
      <c r="E52" s="14">
        <v>42214</v>
      </c>
      <c r="F52" s="30" t="s">
        <v>1076</v>
      </c>
      <c r="G52" s="12">
        <v>1</v>
      </c>
      <c r="H52" t="s">
        <v>2199</v>
      </c>
    </row>
    <row r="53" spans="1:8" x14ac:dyDescent="0.25">
      <c r="A53" s="17">
        <f t="shared" si="0"/>
        <v>47</v>
      </c>
      <c r="B53" s="14" t="s">
        <v>2202</v>
      </c>
      <c r="C53" s="11" t="s">
        <v>17</v>
      </c>
      <c r="D53" s="54" t="s">
        <v>1077</v>
      </c>
      <c r="E53" s="14">
        <v>42215</v>
      </c>
      <c r="F53" s="30" t="s">
        <v>1079</v>
      </c>
      <c r="G53" s="12">
        <v>1</v>
      </c>
      <c r="H53" t="s">
        <v>2203</v>
      </c>
    </row>
    <row r="54" spans="1:8" x14ac:dyDescent="0.25">
      <c r="A54" s="17">
        <f t="shared" si="0"/>
        <v>48</v>
      </c>
      <c r="B54" s="14" t="s">
        <v>2200</v>
      </c>
      <c r="C54" s="11" t="s">
        <v>17</v>
      </c>
      <c r="D54" s="54" t="s">
        <v>1078</v>
      </c>
      <c r="E54" s="14">
        <v>42215</v>
      </c>
      <c r="F54" s="30" t="s">
        <v>1080</v>
      </c>
      <c r="G54" s="12">
        <v>1</v>
      </c>
      <c r="H54" t="s">
        <v>2201</v>
      </c>
    </row>
  </sheetData>
  <sortState ref="B7:H54">
    <sortCondition ref="D47:D48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workbookViewId="0">
      <selection activeCell="B84" sqref="B84"/>
    </sheetView>
  </sheetViews>
  <sheetFormatPr baseColWidth="10" defaultColWidth="11.42578125" defaultRowHeight="15" x14ac:dyDescent="0.25"/>
  <cols>
    <col min="1" max="1" width="8.28515625" customWidth="1"/>
    <col min="2" max="2" width="11.85546875" customWidth="1"/>
    <col min="3" max="3" width="13.140625" customWidth="1"/>
    <col min="4" max="4" width="12.85546875" customWidth="1"/>
    <col min="5" max="5" width="12.5703125" customWidth="1"/>
    <col min="6" max="6" width="17.140625" customWidth="1"/>
    <col min="7" max="7" width="3.140625" hidden="1" customWidth="1"/>
    <col min="8" max="8" width="18.5703125" bestFit="1" customWidth="1"/>
  </cols>
  <sheetData>
    <row r="1" spans="1:11" ht="18" x14ac:dyDescent="0.25">
      <c r="A1" s="102" t="s">
        <v>0</v>
      </c>
      <c r="B1" s="102"/>
      <c r="C1" s="10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106" t="s">
        <v>2</v>
      </c>
      <c r="B2" s="106"/>
      <c r="C2" s="106"/>
      <c r="D2" s="6"/>
      <c r="E2" s="5" t="s">
        <v>3</v>
      </c>
      <c r="F2" s="5"/>
      <c r="G2" s="4"/>
      <c r="H2" s="4"/>
      <c r="I2" s="103" t="s">
        <v>4</v>
      </c>
      <c r="J2" s="104"/>
      <c r="K2" s="22">
        <f>SUMIF(F7:F137,"Elimination*",G7:G137)</f>
        <v>20</v>
      </c>
    </row>
    <row r="3" spans="1:11" x14ac:dyDescent="0.25">
      <c r="A3" s="107" t="s">
        <v>5</v>
      </c>
      <c r="B3" s="107"/>
      <c r="C3" s="107"/>
      <c r="D3" s="5"/>
      <c r="E3" s="4" t="s">
        <v>6</v>
      </c>
      <c r="F3" s="4"/>
      <c r="G3" s="4"/>
      <c r="H3" s="4"/>
      <c r="I3" s="103" t="s">
        <v>7</v>
      </c>
      <c r="J3" s="104"/>
      <c r="K3" s="22">
        <f>SUMIF(F7:F137,"NB*",G7:G137)</f>
        <v>32</v>
      </c>
    </row>
    <row r="4" spans="1:11" ht="18" x14ac:dyDescent="0.25">
      <c r="A4" s="102" t="s">
        <v>8</v>
      </c>
      <c r="B4" s="102"/>
      <c r="C4" s="102"/>
      <c r="D4" s="102"/>
      <c r="E4" s="102"/>
      <c r="F4" s="102"/>
      <c r="G4" s="4"/>
      <c r="H4" s="4"/>
      <c r="I4" s="103" t="s">
        <v>9</v>
      </c>
      <c r="J4" s="104"/>
      <c r="K4" s="22">
        <f>SUMIF(F7:F137,"Ve*",G7:G137)</f>
        <v>34</v>
      </c>
    </row>
    <row r="5" spans="1:11" ht="15.75" x14ac:dyDescent="0.25">
      <c r="A5" s="105" t="s">
        <v>1175</v>
      </c>
      <c r="B5" s="105"/>
      <c r="C5" s="105"/>
      <c r="D5" s="105"/>
      <c r="E5" s="105"/>
      <c r="F5" s="105"/>
      <c r="G5" s="24"/>
      <c r="H5" s="24"/>
      <c r="I5" s="103" t="s">
        <v>10</v>
      </c>
      <c r="J5" s="104"/>
      <c r="K5" s="26">
        <f>SUM(K2:K4)</f>
        <v>86</v>
      </c>
    </row>
    <row r="6" spans="1:11" ht="22.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ht="15" customHeight="1" x14ac:dyDescent="0.25">
      <c r="A7" s="17">
        <v>1</v>
      </c>
      <c r="B7" s="14" t="s">
        <v>1081</v>
      </c>
      <c r="C7" s="11" t="s">
        <v>17</v>
      </c>
      <c r="D7" s="54" t="s">
        <v>1082</v>
      </c>
      <c r="E7" s="14">
        <v>42218</v>
      </c>
      <c r="F7" s="30" t="s">
        <v>99</v>
      </c>
      <c r="G7" s="19">
        <v>1</v>
      </c>
      <c r="H7" s="59"/>
      <c r="I7" s="18"/>
      <c r="J7" s="18"/>
      <c r="K7" s="1"/>
    </row>
    <row r="8" spans="1:11" ht="15" customHeight="1" x14ac:dyDescent="0.25">
      <c r="A8" s="17">
        <f>A7+1</f>
        <v>2</v>
      </c>
      <c r="B8" s="14" t="s">
        <v>2204</v>
      </c>
      <c r="C8" s="11" t="s">
        <v>17</v>
      </c>
      <c r="D8" s="54" t="s">
        <v>1083</v>
      </c>
      <c r="E8" s="14">
        <v>42219</v>
      </c>
      <c r="F8" s="30" t="s">
        <v>1087</v>
      </c>
      <c r="G8" s="19">
        <v>1</v>
      </c>
      <c r="H8" s="60" t="s">
        <v>2205</v>
      </c>
      <c r="I8" s="2"/>
      <c r="J8" s="2"/>
      <c r="K8" s="1"/>
    </row>
    <row r="9" spans="1:11" ht="15" customHeight="1" x14ac:dyDescent="0.25">
      <c r="A9" s="17">
        <f t="shared" ref="A9:A87" si="0">A8+1</f>
        <v>3</v>
      </c>
      <c r="B9" s="14" t="s">
        <v>2206</v>
      </c>
      <c r="C9" s="11" t="s">
        <v>17</v>
      </c>
      <c r="D9" s="54" t="s">
        <v>1084</v>
      </c>
      <c r="E9" s="14">
        <v>42219</v>
      </c>
      <c r="F9" s="30" t="s">
        <v>1088</v>
      </c>
      <c r="G9" s="19">
        <v>1</v>
      </c>
      <c r="H9" s="60" t="s">
        <v>2207</v>
      </c>
      <c r="I9" s="2"/>
      <c r="J9" s="2"/>
      <c r="K9" s="1"/>
    </row>
    <row r="10" spans="1:11" ht="15" customHeight="1" x14ac:dyDescent="0.25">
      <c r="A10" s="17">
        <f t="shared" si="0"/>
        <v>4</v>
      </c>
      <c r="B10" s="14" t="s">
        <v>2208</v>
      </c>
      <c r="C10" s="11" t="s">
        <v>17</v>
      </c>
      <c r="D10" s="54" t="s">
        <v>1085</v>
      </c>
      <c r="E10" s="14">
        <v>42219</v>
      </c>
      <c r="F10" s="30" t="s">
        <v>1089</v>
      </c>
      <c r="G10" s="19">
        <v>1</v>
      </c>
      <c r="H10" s="60" t="s">
        <v>2209</v>
      </c>
      <c r="I10" s="2"/>
      <c r="J10" s="2"/>
      <c r="K10" s="1"/>
    </row>
    <row r="11" spans="1:11" ht="15" customHeight="1" x14ac:dyDescent="0.25">
      <c r="A11" s="17">
        <f t="shared" si="0"/>
        <v>5</v>
      </c>
      <c r="B11" s="14" t="s">
        <v>2210</v>
      </c>
      <c r="C11" s="11" t="s">
        <v>17</v>
      </c>
      <c r="D11" s="54" t="s">
        <v>1086</v>
      </c>
      <c r="E11" s="14">
        <v>42219</v>
      </c>
      <c r="F11" s="30" t="s">
        <v>1090</v>
      </c>
      <c r="G11" s="19">
        <v>1</v>
      </c>
      <c r="H11" s="60" t="s">
        <v>2211</v>
      </c>
      <c r="I11" s="2"/>
      <c r="J11" s="2"/>
      <c r="K11" s="1"/>
    </row>
    <row r="12" spans="1:11" ht="15" customHeight="1" x14ac:dyDescent="0.25">
      <c r="A12" s="17">
        <f t="shared" si="0"/>
        <v>6</v>
      </c>
      <c r="B12" s="14" t="s">
        <v>1091</v>
      </c>
      <c r="C12" s="11" t="s">
        <v>84</v>
      </c>
      <c r="D12" s="54" t="s">
        <v>1092</v>
      </c>
      <c r="E12" s="14">
        <v>42219</v>
      </c>
      <c r="F12" s="30" t="s">
        <v>811</v>
      </c>
      <c r="G12" s="19">
        <v>1</v>
      </c>
      <c r="H12" s="2"/>
      <c r="I12" s="2"/>
      <c r="J12" s="2"/>
      <c r="K12" s="1"/>
    </row>
    <row r="13" spans="1:11" ht="15" customHeight="1" x14ac:dyDescent="0.25">
      <c r="A13" s="17">
        <f t="shared" si="0"/>
        <v>7</v>
      </c>
      <c r="B13" s="14" t="s">
        <v>1097</v>
      </c>
      <c r="C13" s="11" t="s">
        <v>17</v>
      </c>
      <c r="D13" s="54" t="s">
        <v>1098</v>
      </c>
      <c r="E13" s="14">
        <v>42222</v>
      </c>
      <c r="F13" s="30" t="s">
        <v>811</v>
      </c>
      <c r="G13" s="19">
        <v>1</v>
      </c>
      <c r="H13" s="2"/>
      <c r="I13" s="2"/>
      <c r="J13" s="2"/>
      <c r="K13" s="1"/>
    </row>
    <row r="14" spans="1:11" ht="15" customHeight="1" x14ac:dyDescent="0.25">
      <c r="A14" s="17">
        <f t="shared" si="0"/>
        <v>8</v>
      </c>
      <c r="B14" s="14" t="s">
        <v>1099</v>
      </c>
      <c r="C14" s="11" t="s">
        <v>17</v>
      </c>
      <c r="D14" s="54" t="s">
        <v>1100</v>
      </c>
      <c r="E14" s="14">
        <v>42222</v>
      </c>
      <c r="F14" s="30" t="s">
        <v>811</v>
      </c>
      <c r="G14" s="12">
        <v>1</v>
      </c>
      <c r="H14" s="13"/>
      <c r="I14" s="2"/>
      <c r="J14" s="2"/>
      <c r="K14" s="1"/>
    </row>
    <row r="15" spans="1:11" ht="15" customHeight="1" x14ac:dyDescent="0.25">
      <c r="A15" s="17">
        <f t="shared" si="0"/>
        <v>9</v>
      </c>
      <c r="B15" s="14" t="s">
        <v>2212</v>
      </c>
      <c r="C15" s="11" t="s">
        <v>17</v>
      </c>
      <c r="D15" s="54" t="s">
        <v>1101</v>
      </c>
      <c r="E15" s="14">
        <v>42222</v>
      </c>
      <c r="F15" s="30" t="s">
        <v>1115</v>
      </c>
      <c r="G15" s="12">
        <v>1</v>
      </c>
      <c r="H15" s="94" t="s">
        <v>2213</v>
      </c>
      <c r="I15" s="2"/>
      <c r="J15" s="2"/>
      <c r="K15" s="1"/>
    </row>
    <row r="16" spans="1:11" ht="15" customHeight="1" x14ac:dyDescent="0.25">
      <c r="A16" s="17">
        <f t="shared" si="0"/>
        <v>10</v>
      </c>
      <c r="B16" s="14" t="s">
        <v>1095</v>
      </c>
      <c r="C16" s="11" t="s">
        <v>17</v>
      </c>
      <c r="D16" s="54" t="s">
        <v>1096</v>
      </c>
      <c r="E16" s="14">
        <v>42222</v>
      </c>
      <c r="F16" s="30" t="s">
        <v>811</v>
      </c>
      <c r="G16" s="12">
        <v>1</v>
      </c>
      <c r="H16" s="13"/>
      <c r="I16" s="2"/>
      <c r="J16" s="2"/>
      <c r="K16" s="1"/>
    </row>
    <row r="17" spans="1:11" ht="15" customHeight="1" x14ac:dyDescent="0.25">
      <c r="A17" s="17">
        <f t="shared" si="0"/>
        <v>11</v>
      </c>
      <c r="B17" s="14" t="s">
        <v>1102</v>
      </c>
      <c r="C17" s="11" t="s">
        <v>17</v>
      </c>
      <c r="D17" s="54" t="s">
        <v>1103</v>
      </c>
      <c r="E17" s="14">
        <v>42225</v>
      </c>
      <c r="F17" s="30" t="s">
        <v>99</v>
      </c>
      <c r="G17" s="12">
        <v>1</v>
      </c>
      <c r="H17" s="13"/>
      <c r="I17" s="2"/>
      <c r="J17" s="2"/>
      <c r="K17" s="1"/>
    </row>
    <row r="18" spans="1:11" ht="15" customHeight="1" x14ac:dyDescent="0.25">
      <c r="A18" s="17">
        <f t="shared" si="0"/>
        <v>12</v>
      </c>
      <c r="B18" s="14" t="s">
        <v>2220</v>
      </c>
      <c r="C18" s="11" t="s">
        <v>17</v>
      </c>
      <c r="D18" s="54" t="s">
        <v>1104</v>
      </c>
      <c r="E18" s="14">
        <v>42226</v>
      </c>
      <c r="F18" s="30" t="s">
        <v>1116</v>
      </c>
      <c r="G18" s="12">
        <v>1</v>
      </c>
      <c r="H18" t="s">
        <v>2343</v>
      </c>
    </row>
    <row r="19" spans="1:11" ht="15" customHeight="1" x14ac:dyDescent="0.25">
      <c r="A19" s="17">
        <f t="shared" si="0"/>
        <v>13</v>
      </c>
      <c r="B19" s="14" t="s">
        <v>2218</v>
      </c>
      <c r="C19" s="11" t="s">
        <v>17</v>
      </c>
      <c r="D19" s="54" t="s">
        <v>1105</v>
      </c>
      <c r="E19" s="14">
        <v>42226</v>
      </c>
      <c r="F19" s="30" t="s">
        <v>1106</v>
      </c>
      <c r="G19" s="12">
        <v>1</v>
      </c>
      <c r="H19" t="s">
        <v>2219</v>
      </c>
    </row>
    <row r="20" spans="1:11" ht="15" customHeight="1" x14ac:dyDescent="0.25">
      <c r="A20" s="17">
        <f t="shared" si="0"/>
        <v>14</v>
      </c>
      <c r="B20" s="14" t="s">
        <v>2216</v>
      </c>
      <c r="C20" s="11" t="s">
        <v>17</v>
      </c>
      <c r="D20" s="54" t="s">
        <v>1107</v>
      </c>
      <c r="E20" s="14">
        <v>42226</v>
      </c>
      <c r="F20" s="30" t="s">
        <v>1108</v>
      </c>
      <c r="G20" s="12">
        <v>1</v>
      </c>
      <c r="H20" t="s">
        <v>2217</v>
      </c>
    </row>
    <row r="21" spans="1:11" ht="15" customHeight="1" x14ac:dyDescent="0.25">
      <c r="A21" s="17">
        <f t="shared" si="0"/>
        <v>15</v>
      </c>
      <c r="B21" s="14" t="s">
        <v>2214</v>
      </c>
      <c r="C21" s="11" t="s">
        <v>17</v>
      </c>
      <c r="D21" s="54" t="s">
        <v>1109</v>
      </c>
      <c r="E21" s="14">
        <v>42226</v>
      </c>
      <c r="F21" s="30" t="s">
        <v>1110</v>
      </c>
      <c r="G21" s="12">
        <v>1</v>
      </c>
      <c r="H21" t="s">
        <v>2215</v>
      </c>
    </row>
    <row r="22" spans="1:11" ht="15" customHeight="1" x14ac:dyDescent="0.25">
      <c r="A22" s="17">
        <f t="shared" si="0"/>
        <v>16</v>
      </c>
      <c r="B22" s="14" t="s">
        <v>2221</v>
      </c>
      <c r="C22" s="11" t="s">
        <v>17</v>
      </c>
      <c r="D22" s="54" t="s">
        <v>1111</v>
      </c>
      <c r="E22" s="14">
        <v>42228</v>
      </c>
      <c r="F22" s="30" t="s">
        <v>1113</v>
      </c>
      <c r="G22" s="12">
        <v>1</v>
      </c>
      <c r="H22" t="s">
        <v>2223</v>
      </c>
    </row>
    <row r="23" spans="1:11" ht="15" customHeight="1" x14ac:dyDescent="0.25">
      <c r="A23" s="17">
        <f t="shared" si="0"/>
        <v>17</v>
      </c>
      <c r="B23" s="14" t="s">
        <v>2222</v>
      </c>
      <c r="C23" s="11" t="s">
        <v>17</v>
      </c>
      <c r="D23" s="54" t="s">
        <v>1112</v>
      </c>
      <c r="E23" s="14">
        <v>42228</v>
      </c>
      <c r="F23" s="30" t="s">
        <v>1114</v>
      </c>
      <c r="G23" s="12">
        <v>1</v>
      </c>
      <c r="H23" t="s">
        <v>2224</v>
      </c>
    </row>
    <row r="24" spans="1:11" ht="15" customHeight="1" x14ac:dyDescent="0.25">
      <c r="A24" s="17">
        <f t="shared" si="0"/>
        <v>18</v>
      </c>
      <c r="B24" s="14" t="s">
        <v>2225</v>
      </c>
      <c r="C24" s="11" t="s">
        <v>17</v>
      </c>
      <c r="D24" s="54" t="s">
        <v>1117</v>
      </c>
      <c r="E24" s="14">
        <v>42229</v>
      </c>
      <c r="F24" s="30" t="s">
        <v>1118</v>
      </c>
      <c r="G24" s="12">
        <v>1</v>
      </c>
      <c r="H24" t="s">
        <v>2226</v>
      </c>
    </row>
    <row r="25" spans="1:11" ht="15" customHeight="1" x14ac:dyDescent="0.25">
      <c r="A25" s="17">
        <f t="shared" si="0"/>
        <v>19</v>
      </c>
      <c r="B25" s="14" t="s">
        <v>1119</v>
      </c>
      <c r="C25" s="11" t="s">
        <v>17</v>
      </c>
      <c r="D25" s="54" t="s">
        <v>1120</v>
      </c>
      <c r="E25" s="14">
        <v>42229</v>
      </c>
      <c r="F25" s="30" t="s">
        <v>811</v>
      </c>
      <c r="G25" s="12">
        <v>1</v>
      </c>
    </row>
    <row r="26" spans="1:11" ht="15" customHeight="1" x14ac:dyDescent="0.25">
      <c r="A26" s="17">
        <f t="shared" si="0"/>
        <v>20</v>
      </c>
      <c r="B26" s="14" t="s">
        <v>1122</v>
      </c>
      <c r="C26" s="11" t="s">
        <v>17</v>
      </c>
      <c r="D26" s="54" t="s">
        <v>1121</v>
      </c>
      <c r="E26" s="14">
        <v>42229</v>
      </c>
      <c r="F26" s="30" t="s">
        <v>811</v>
      </c>
      <c r="G26" s="12">
        <v>1</v>
      </c>
    </row>
    <row r="27" spans="1:11" ht="15" customHeight="1" x14ac:dyDescent="0.25">
      <c r="A27" s="17">
        <f t="shared" si="0"/>
        <v>21</v>
      </c>
      <c r="B27" s="14" t="s">
        <v>2233</v>
      </c>
      <c r="C27" s="11" t="s">
        <v>17</v>
      </c>
      <c r="D27" s="54" t="s">
        <v>1123</v>
      </c>
      <c r="E27" s="14">
        <v>42234</v>
      </c>
      <c r="F27" s="30" t="s">
        <v>1124</v>
      </c>
      <c r="G27" s="12">
        <v>1</v>
      </c>
      <c r="H27" t="s">
        <v>2234</v>
      </c>
    </row>
    <row r="28" spans="1:11" ht="15" customHeight="1" x14ac:dyDescent="0.25">
      <c r="A28" s="17">
        <f t="shared" si="0"/>
        <v>22</v>
      </c>
      <c r="B28" s="14" t="s">
        <v>2231</v>
      </c>
      <c r="C28" s="11" t="s">
        <v>17</v>
      </c>
      <c r="D28" s="54" t="s">
        <v>1125</v>
      </c>
      <c r="E28" s="14">
        <v>42234</v>
      </c>
      <c r="F28" s="30" t="s">
        <v>1130</v>
      </c>
      <c r="G28" s="12">
        <v>1</v>
      </c>
      <c r="H28" t="s">
        <v>2232</v>
      </c>
    </row>
    <row r="29" spans="1:11" ht="15" customHeight="1" x14ac:dyDescent="0.25">
      <c r="A29" s="17">
        <f t="shared" si="0"/>
        <v>23</v>
      </c>
      <c r="B29" s="14" t="s">
        <v>2229</v>
      </c>
      <c r="C29" s="11" t="s">
        <v>17</v>
      </c>
      <c r="D29" s="54" t="s">
        <v>1126</v>
      </c>
      <c r="E29" s="14">
        <v>42234</v>
      </c>
      <c r="F29" s="30" t="s">
        <v>1128</v>
      </c>
      <c r="G29" s="12">
        <v>1</v>
      </c>
      <c r="H29" t="s">
        <v>2230</v>
      </c>
    </row>
    <row r="30" spans="1:11" ht="15" customHeight="1" x14ac:dyDescent="0.25">
      <c r="A30" s="17">
        <f t="shared" si="0"/>
        <v>24</v>
      </c>
      <c r="B30" s="14" t="s">
        <v>2227</v>
      </c>
      <c r="C30" s="11" t="s">
        <v>17</v>
      </c>
      <c r="D30" s="54" t="s">
        <v>1127</v>
      </c>
      <c r="E30" s="14">
        <v>42234</v>
      </c>
      <c r="F30" s="30" t="s">
        <v>1129</v>
      </c>
      <c r="G30" s="12">
        <v>1</v>
      </c>
      <c r="H30" t="s">
        <v>2228</v>
      </c>
    </row>
    <row r="31" spans="1:11" ht="15" customHeight="1" x14ac:dyDescent="0.25">
      <c r="A31" s="17">
        <f t="shared" si="0"/>
        <v>25</v>
      </c>
      <c r="B31" s="14" t="s">
        <v>1918</v>
      </c>
      <c r="C31" s="11" t="s">
        <v>17</v>
      </c>
      <c r="D31" s="54" t="s">
        <v>1137</v>
      </c>
      <c r="E31" s="14">
        <v>42234</v>
      </c>
      <c r="F31" s="30" t="s">
        <v>99</v>
      </c>
      <c r="G31" s="12">
        <v>1</v>
      </c>
    </row>
    <row r="32" spans="1:11" ht="15" customHeight="1" x14ac:dyDescent="0.25">
      <c r="A32" s="17">
        <f t="shared" si="0"/>
        <v>26</v>
      </c>
      <c r="B32" s="14" t="s">
        <v>1918</v>
      </c>
      <c r="C32" s="11" t="s">
        <v>17</v>
      </c>
      <c r="D32" s="54" t="s">
        <v>1138</v>
      </c>
      <c r="E32" s="14">
        <v>42234</v>
      </c>
      <c r="F32" s="30" t="s">
        <v>99</v>
      </c>
      <c r="G32" s="12">
        <v>1</v>
      </c>
    </row>
    <row r="33" spans="1:7" ht="15" customHeight="1" x14ac:dyDescent="0.25">
      <c r="A33" s="17">
        <f t="shared" si="0"/>
        <v>27</v>
      </c>
      <c r="B33" s="14" t="s">
        <v>1918</v>
      </c>
      <c r="C33" s="11" t="s">
        <v>17</v>
      </c>
      <c r="D33" s="54" t="s">
        <v>1139</v>
      </c>
      <c r="E33" s="14">
        <v>42234</v>
      </c>
      <c r="F33" s="30" t="s">
        <v>99</v>
      </c>
      <c r="G33" s="12">
        <v>1</v>
      </c>
    </row>
    <row r="34" spans="1:7" ht="15" customHeight="1" x14ac:dyDescent="0.25">
      <c r="A34" s="17">
        <f t="shared" si="0"/>
        <v>28</v>
      </c>
      <c r="B34" s="14" t="s">
        <v>1918</v>
      </c>
      <c r="C34" s="11" t="s">
        <v>17</v>
      </c>
      <c r="D34" s="54" t="s">
        <v>1140</v>
      </c>
      <c r="E34" s="14">
        <v>42234</v>
      </c>
      <c r="F34" s="30" t="s">
        <v>99</v>
      </c>
      <c r="G34" s="12">
        <v>1</v>
      </c>
    </row>
    <row r="35" spans="1:7" ht="15" customHeight="1" x14ac:dyDescent="0.25">
      <c r="A35" s="17">
        <f t="shared" si="0"/>
        <v>29</v>
      </c>
      <c r="B35" s="14" t="s">
        <v>1918</v>
      </c>
      <c r="C35" s="11" t="s">
        <v>17</v>
      </c>
      <c r="D35" s="54" t="s">
        <v>1141</v>
      </c>
      <c r="E35" s="14">
        <v>42234</v>
      </c>
      <c r="F35" s="30" t="s">
        <v>99</v>
      </c>
      <c r="G35" s="12">
        <v>1</v>
      </c>
    </row>
    <row r="36" spans="1:7" ht="15" customHeight="1" x14ac:dyDescent="0.25">
      <c r="A36" s="17">
        <f t="shared" si="0"/>
        <v>30</v>
      </c>
      <c r="B36" s="14" t="s">
        <v>1918</v>
      </c>
      <c r="C36" s="11" t="s">
        <v>17</v>
      </c>
      <c r="D36" s="54" t="s">
        <v>1142</v>
      </c>
      <c r="E36" s="14">
        <v>42234</v>
      </c>
      <c r="F36" s="30" t="s">
        <v>99</v>
      </c>
      <c r="G36" s="12">
        <v>1</v>
      </c>
    </row>
    <row r="37" spans="1:7" ht="15" customHeight="1" x14ac:dyDescent="0.25">
      <c r="A37" s="17">
        <f t="shared" si="0"/>
        <v>31</v>
      </c>
      <c r="B37" s="14" t="s">
        <v>1918</v>
      </c>
      <c r="C37" s="11" t="s">
        <v>17</v>
      </c>
      <c r="D37" s="54" t="s">
        <v>1143</v>
      </c>
      <c r="E37" s="14">
        <v>42234</v>
      </c>
      <c r="F37" s="30" t="s">
        <v>99</v>
      </c>
      <c r="G37" s="12">
        <v>1</v>
      </c>
    </row>
    <row r="38" spans="1:7" ht="15" customHeight="1" x14ac:dyDescent="0.25">
      <c r="A38" s="17">
        <f t="shared" si="0"/>
        <v>32</v>
      </c>
      <c r="B38" s="14" t="s">
        <v>1918</v>
      </c>
      <c r="C38" s="11" t="s">
        <v>17</v>
      </c>
      <c r="D38" s="54" t="s">
        <v>1144</v>
      </c>
      <c r="E38" s="14">
        <v>42234</v>
      </c>
      <c r="F38" s="30" t="s">
        <v>99</v>
      </c>
      <c r="G38" s="12">
        <v>1</v>
      </c>
    </row>
    <row r="39" spans="1:7" ht="15" customHeight="1" x14ac:dyDescent="0.25">
      <c r="A39" s="17">
        <f t="shared" si="0"/>
        <v>33</v>
      </c>
      <c r="B39" s="14" t="s">
        <v>1918</v>
      </c>
      <c r="C39" s="11" t="s">
        <v>17</v>
      </c>
      <c r="D39" s="54" t="s">
        <v>1145</v>
      </c>
      <c r="E39" s="14">
        <v>42234</v>
      </c>
      <c r="F39" s="30" t="s">
        <v>99</v>
      </c>
      <c r="G39" s="12">
        <v>1</v>
      </c>
    </row>
    <row r="40" spans="1:7" ht="15" customHeight="1" x14ac:dyDescent="0.25">
      <c r="A40" s="17">
        <f t="shared" si="0"/>
        <v>34</v>
      </c>
      <c r="B40" s="14" t="s">
        <v>1918</v>
      </c>
      <c r="C40" s="11" t="s">
        <v>17</v>
      </c>
      <c r="D40" s="54" t="s">
        <v>1146</v>
      </c>
      <c r="E40" s="14">
        <v>42234</v>
      </c>
      <c r="F40" s="30" t="s">
        <v>99</v>
      </c>
      <c r="G40" s="12">
        <v>1</v>
      </c>
    </row>
    <row r="41" spans="1:7" ht="15" customHeight="1" x14ac:dyDescent="0.25">
      <c r="A41" s="17">
        <f t="shared" si="0"/>
        <v>35</v>
      </c>
      <c r="B41" s="14" t="s">
        <v>1918</v>
      </c>
      <c r="C41" s="11" t="s">
        <v>17</v>
      </c>
      <c r="D41" s="54" t="s">
        <v>1147</v>
      </c>
      <c r="E41" s="14">
        <v>42234</v>
      </c>
      <c r="F41" s="30" t="s">
        <v>99</v>
      </c>
      <c r="G41" s="12">
        <v>1</v>
      </c>
    </row>
    <row r="42" spans="1:7" ht="15" customHeight="1" x14ac:dyDescent="0.25">
      <c r="A42" s="17">
        <f t="shared" si="0"/>
        <v>36</v>
      </c>
      <c r="B42" s="14" t="s">
        <v>1918</v>
      </c>
      <c r="C42" s="11" t="s">
        <v>17</v>
      </c>
      <c r="D42" s="54" t="s">
        <v>1148</v>
      </c>
      <c r="E42" s="14">
        <v>42234</v>
      </c>
      <c r="F42" s="30" t="s">
        <v>99</v>
      </c>
      <c r="G42" s="12">
        <v>1</v>
      </c>
    </row>
    <row r="43" spans="1:7" ht="15" customHeight="1" x14ac:dyDescent="0.25">
      <c r="A43" s="17">
        <f t="shared" si="0"/>
        <v>37</v>
      </c>
      <c r="B43" s="14" t="s">
        <v>1918</v>
      </c>
      <c r="C43" s="11" t="s">
        <v>17</v>
      </c>
      <c r="D43" s="54" t="s">
        <v>1149</v>
      </c>
      <c r="E43" s="14">
        <v>42234</v>
      </c>
      <c r="F43" s="30" t="s">
        <v>99</v>
      </c>
      <c r="G43" s="12">
        <v>1</v>
      </c>
    </row>
    <row r="44" spans="1:7" ht="15" customHeight="1" x14ac:dyDescent="0.25">
      <c r="A44" s="17">
        <f t="shared" si="0"/>
        <v>38</v>
      </c>
      <c r="B44" s="14" t="s">
        <v>1918</v>
      </c>
      <c r="C44" s="11" t="s">
        <v>17</v>
      </c>
      <c r="D44" s="54" t="s">
        <v>1150</v>
      </c>
      <c r="E44" s="14">
        <v>42234</v>
      </c>
      <c r="F44" s="30" t="s">
        <v>99</v>
      </c>
      <c r="G44" s="12">
        <v>1</v>
      </c>
    </row>
    <row r="45" spans="1:7" ht="15" customHeight="1" x14ac:dyDescent="0.25">
      <c r="A45" s="17">
        <f t="shared" si="0"/>
        <v>39</v>
      </c>
      <c r="B45" s="14" t="s">
        <v>1918</v>
      </c>
      <c r="C45" s="11" t="s">
        <v>17</v>
      </c>
      <c r="D45" s="54" t="s">
        <v>1151</v>
      </c>
      <c r="E45" s="14">
        <v>42234</v>
      </c>
      <c r="F45" s="30" t="s">
        <v>99</v>
      </c>
      <c r="G45" s="12">
        <v>1</v>
      </c>
    </row>
    <row r="46" spans="1:7" ht="15" customHeight="1" x14ac:dyDescent="0.25">
      <c r="A46" s="17">
        <f t="shared" si="0"/>
        <v>40</v>
      </c>
      <c r="B46" s="14" t="s">
        <v>1918</v>
      </c>
      <c r="C46" s="11" t="s">
        <v>17</v>
      </c>
      <c r="D46" s="54" t="s">
        <v>1152</v>
      </c>
      <c r="E46" s="14">
        <v>42234</v>
      </c>
      <c r="F46" s="30" t="s">
        <v>99</v>
      </c>
      <c r="G46" s="12">
        <v>1</v>
      </c>
    </row>
    <row r="47" spans="1:7" ht="15" customHeight="1" x14ac:dyDescent="0.25">
      <c r="A47" s="17">
        <f t="shared" si="0"/>
        <v>41</v>
      </c>
      <c r="B47" s="14" t="s">
        <v>1918</v>
      </c>
      <c r="C47" s="11" t="s">
        <v>17</v>
      </c>
      <c r="D47" s="54" t="s">
        <v>1153</v>
      </c>
      <c r="E47" s="14">
        <v>42234</v>
      </c>
      <c r="F47" s="30" t="s">
        <v>99</v>
      </c>
      <c r="G47" s="12">
        <v>1</v>
      </c>
    </row>
    <row r="48" spans="1:7" ht="15" customHeight="1" x14ac:dyDescent="0.25">
      <c r="A48" s="17">
        <f t="shared" si="0"/>
        <v>42</v>
      </c>
      <c r="B48" s="14" t="s">
        <v>1918</v>
      </c>
      <c r="C48" s="11" t="s">
        <v>17</v>
      </c>
      <c r="D48" s="54" t="s">
        <v>1154</v>
      </c>
      <c r="E48" s="14">
        <v>42234</v>
      </c>
      <c r="F48" s="30" t="s">
        <v>99</v>
      </c>
      <c r="G48" s="12">
        <v>1</v>
      </c>
    </row>
    <row r="49" spans="1:8" ht="15" customHeight="1" x14ac:dyDescent="0.25">
      <c r="A49" s="17">
        <f t="shared" si="0"/>
        <v>43</v>
      </c>
      <c r="B49" s="14" t="s">
        <v>1918</v>
      </c>
      <c r="C49" s="11" t="s">
        <v>17</v>
      </c>
      <c r="D49" s="54" t="s">
        <v>1155</v>
      </c>
      <c r="E49" s="14">
        <v>42234</v>
      </c>
      <c r="F49" s="30" t="s">
        <v>99</v>
      </c>
      <c r="G49" s="12">
        <v>1</v>
      </c>
    </row>
    <row r="50" spans="1:8" ht="15" customHeight="1" x14ac:dyDescent="0.25">
      <c r="A50" s="17">
        <f t="shared" si="0"/>
        <v>44</v>
      </c>
      <c r="B50" s="14" t="s">
        <v>1918</v>
      </c>
      <c r="C50" s="11" t="s">
        <v>17</v>
      </c>
      <c r="D50" s="54" t="s">
        <v>1156</v>
      </c>
      <c r="E50" s="14">
        <v>42234</v>
      </c>
      <c r="F50" s="30" t="s">
        <v>99</v>
      </c>
      <c r="G50" s="12">
        <v>1</v>
      </c>
    </row>
    <row r="51" spans="1:8" ht="15" customHeight="1" x14ac:dyDescent="0.25">
      <c r="A51" s="17">
        <f t="shared" si="0"/>
        <v>45</v>
      </c>
      <c r="B51" s="14" t="s">
        <v>1918</v>
      </c>
      <c r="C51" s="11" t="s">
        <v>17</v>
      </c>
      <c r="D51" s="54" t="s">
        <v>1157</v>
      </c>
      <c r="E51" s="14">
        <v>42234</v>
      </c>
      <c r="F51" s="30" t="s">
        <v>99</v>
      </c>
      <c r="G51" s="12">
        <v>1</v>
      </c>
    </row>
    <row r="52" spans="1:8" ht="15" customHeight="1" x14ac:dyDescent="0.25">
      <c r="A52" s="17">
        <f t="shared" si="0"/>
        <v>46</v>
      </c>
      <c r="B52" s="14" t="s">
        <v>1918</v>
      </c>
      <c r="C52" s="11" t="s">
        <v>17</v>
      </c>
      <c r="D52" s="54" t="s">
        <v>1158</v>
      </c>
      <c r="E52" s="14">
        <v>42234</v>
      </c>
      <c r="F52" s="30" t="s">
        <v>99</v>
      </c>
      <c r="G52" s="12">
        <v>1</v>
      </c>
    </row>
    <row r="53" spans="1:8" ht="15" customHeight="1" x14ac:dyDescent="0.25">
      <c r="A53" s="17">
        <f t="shared" si="0"/>
        <v>47</v>
      </c>
      <c r="B53" s="14" t="s">
        <v>1918</v>
      </c>
      <c r="C53" s="11" t="s">
        <v>17</v>
      </c>
      <c r="D53" s="54" t="s">
        <v>1159</v>
      </c>
      <c r="E53" s="14">
        <v>42234</v>
      </c>
      <c r="F53" s="30" t="s">
        <v>99</v>
      </c>
      <c r="G53" s="12">
        <v>1</v>
      </c>
    </row>
    <row r="54" spans="1:8" ht="15" customHeight="1" x14ac:dyDescent="0.25">
      <c r="A54" s="17">
        <f t="shared" si="0"/>
        <v>48</v>
      </c>
      <c r="B54" s="14" t="s">
        <v>1918</v>
      </c>
      <c r="C54" s="11" t="s">
        <v>17</v>
      </c>
      <c r="D54" s="54" t="s">
        <v>1160</v>
      </c>
      <c r="E54" s="14">
        <v>42234</v>
      </c>
      <c r="F54" s="30" t="s">
        <v>99</v>
      </c>
      <c r="G54" s="12">
        <v>1</v>
      </c>
    </row>
    <row r="55" spans="1:8" ht="15" customHeight="1" x14ac:dyDescent="0.25">
      <c r="A55" s="17">
        <f t="shared" si="0"/>
        <v>49</v>
      </c>
      <c r="B55" s="14" t="s">
        <v>1918</v>
      </c>
      <c r="C55" s="11" t="s">
        <v>17</v>
      </c>
      <c r="D55" s="54" t="s">
        <v>1161</v>
      </c>
      <c r="E55" s="14">
        <v>42234</v>
      </c>
      <c r="F55" s="30" t="s">
        <v>99</v>
      </c>
      <c r="G55" s="12">
        <v>1</v>
      </c>
    </row>
    <row r="56" spans="1:8" ht="15" customHeight="1" x14ac:dyDescent="0.25">
      <c r="A56" s="17">
        <f t="shared" si="0"/>
        <v>50</v>
      </c>
      <c r="B56" s="14" t="s">
        <v>1918</v>
      </c>
      <c r="C56" s="11" t="s">
        <v>17</v>
      </c>
      <c r="D56" s="54" t="s">
        <v>1162</v>
      </c>
      <c r="E56" s="14">
        <v>42234</v>
      </c>
      <c r="F56" s="30" t="s">
        <v>99</v>
      </c>
      <c r="G56" s="12">
        <v>1</v>
      </c>
    </row>
    <row r="57" spans="1:8" ht="15" customHeight="1" x14ac:dyDescent="0.25">
      <c r="A57" s="17">
        <f t="shared" si="0"/>
        <v>51</v>
      </c>
      <c r="B57" s="14" t="s">
        <v>1918</v>
      </c>
      <c r="C57" s="11" t="s">
        <v>17</v>
      </c>
      <c r="D57" s="54" t="s">
        <v>1163</v>
      </c>
      <c r="E57" s="14">
        <v>42234</v>
      </c>
      <c r="F57" s="30" t="s">
        <v>99</v>
      </c>
      <c r="G57" s="12">
        <v>1</v>
      </c>
    </row>
    <row r="58" spans="1:8" ht="15" customHeight="1" x14ac:dyDescent="0.25">
      <c r="A58" s="17">
        <f t="shared" si="0"/>
        <v>52</v>
      </c>
      <c r="B58" s="14" t="s">
        <v>1918</v>
      </c>
      <c r="C58" s="11" t="s">
        <v>17</v>
      </c>
      <c r="D58" s="54" t="s">
        <v>1164</v>
      </c>
      <c r="E58" s="14">
        <v>42234</v>
      </c>
      <c r="F58" s="30" t="s">
        <v>99</v>
      </c>
      <c r="G58" s="12">
        <v>1</v>
      </c>
    </row>
    <row r="59" spans="1:8" ht="15" customHeight="1" x14ac:dyDescent="0.25">
      <c r="A59" s="17">
        <f t="shared" si="0"/>
        <v>53</v>
      </c>
      <c r="B59" s="14" t="s">
        <v>1918</v>
      </c>
      <c r="C59" s="11" t="s">
        <v>17</v>
      </c>
      <c r="D59" s="54" t="s">
        <v>1165</v>
      </c>
      <c r="E59" s="14">
        <v>42234</v>
      </c>
      <c r="F59" s="30" t="s">
        <v>99</v>
      </c>
      <c r="G59" s="12">
        <v>1</v>
      </c>
    </row>
    <row r="60" spans="1:8" ht="15" customHeight="1" x14ac:dyDescent="0.25">
      <c r="A60" s="17">
        <f t="shared" si="0"/>
        <v>54</v>
      </c>
      <c r="B60" s="14" t="s">
        <v>1918</v>
      </c>
      <c r="C60" s="11" t="s">
        <v>17</v>
      </c>
      <c r="D60" s="54" t="s">
        <v>1166</v>
      </c>
      <c r="E60" s="14">
        <v>42234</v>
      </c>
      <c r="F60" s="30" t="s">
        <v>99</v>
      </c>
      <c r="G60" s="12">
        <v>1</v>
      </c>
    </row>
    <row r="61" spans="1:8" ht="15" customHeight="1" x14ac:dyDescent="0.25">
      <c r="A61" s="17">
        <f t="shared" si="0"/>
        <v>55</v>
      </c>
      <c r="B61" s="14" t="s">
        <v>1918</v>
      </c>
      <c r="C61" s="11" t="s">
        <v>17</v>
      </c>
      <c r="D61" s="54" t="s">
        <v>1167</v>
      </c>
      <c r="E61" s="14">
        <v>42234</v>
      </c>
      <c r="F61" s="30" t="s">
        <v>99</v>
      </c>
      <c r="G61" s="12">
        <v>1</v>
      </c>
    </row>
    <row r="62" spans="1:8" ht="15" customHeight="1" x14ac:dyDescent="0.25">
      <c r="A62" s="17">
        <f t="shared" si="0"/>
        <v>56</v>
      </c>
      <c r="B62" s="14" t="s">
        <v>1918</v>
      </c>
      <c r="C62" s="11" t="s">
        <v>17</v>
      </c>
      <c r="D62" s="54" t="s">
        <v>1168</v>
      </c>
      <c r="E62" s="14">
        <v>42234</v>
      </c>
      <c r="F62" s="30" t="s">
        <v>99</v>
      </c>
      <c r="G62" s="12">
        <v>1</v>
      </c>
    </row>
    <row r="63" spans="1:8" ht="15" customHeight="1" x14ac:dyDescent="0.25">
      <c r="A63" s="17">
        <f t="shared" si="0"/>
        <v>57</v>
      </c>
      <c r="B63" s="14" t="s">
        <v>2235</v>
      </c>
      <c r="C63" s="11" t="s">
        <v>17</v>
      </c>
      <c r="D63" s="54" t="s">
        <v>1131</v>
      </c>
      <c r="E63" s="14">
        <v>42235</v>
      </c>
      <c r="F63" s="30" t="s">
        <v>1135</v>
      </c>
      <c r="G63" s="12">
        <v>1</v>
      </c>
      <c r="H63" t="s">
        <v>2236</v>
      </c>
    </row>
    <row r="64" spans="1:8" ht="15" customHeight="1" x14ac:dyDescent="0.25">
      <c r="A64" s="17">
        <f t="shared" si="0"/>
        <v>58</v>
      </c>
      <c r="B64" s="14" t="s">
        <v>2237</v>
      </c>
      <c r="C64" s="11" t="s">
        <v>17</v>
      </c>
      <c r="D64" s="54" t="s">
        <v>1132</v>
      </c>
      <c r="E64" s="14">
        <v>42235</v>
      </c>
      <c r="F64" s="30" t="s">
        <v>1136</v>
      </c>
      <c r="G64" s="12">
        <v>1</v>
      </c>
      <c r="H64" t="s">
        <v>2238</v>
      </c>
    </row>
    <row r="65" spans="1:8" ht="15" customHeight="1" x14ac:dyDescent="0.25">
      <c r="A65" s="17">
        <f t="shared" si="0"/>
        <v>59</v>
      </c>
      <c r="B65" s="14" t="s">
        <v>2239</v>
      </c>
      <c r="C65" s="11" t="s">
        <v>17</v>
      </c>
      <c r="D65" s="54" t="s">
        <v>1133</v>
      </c>
      <c r="E65" s="14">
        <v>42235</v>
      </c>
      <c r="F65" s="30" t="s">
        <v>1134</v>
      </c>
      <c r="G65" s="12">
        <v>1</v>
      </c>
      <c r="H65" t="s">
        <v>2240</v>
      </c>
    </row>
    <row r="66" spans="1:8" ht="15" customHeight="1" x14ac:dyDescent="0.25">
      <c r="A66" s="17">
        <f t="shared" si="0"/>
        <v>60</v>
      </c>
      <c r="B66" s="14" t="s">
        <v>1170</v>
      </c>
      <c r="C66" s="11" t="s">
        <v>17</v>
      </c>
      <c r="D66" s="54" t="s">
        <v>1169</v>
      </c>
      <c r="E66" s="14">
        <v>42236</v>
      </c>
      <c r="F66" s="30" t="s">
        <v>811</v>
      </c>
      <c r="G66" s="12">
        <v>1</v>
      </c>
    </row>
    <row r="67" spans="1:8" ht="15" customHeight="1" x14ac:dyDescent="0.25">
      <c r="A67" s="17">
        <f t="shared" si="0"/>
        <v>61</v>
      </c>
      <c r="B67" s="14" t="s">
        <v>1172</v>
      </c>
      <c r="C67" s="11" t="s">
        <v>17</v>
      </c>
      <c r="D67" s="54" t="s">
        <v>1171</v>
      </c>
      <c r="E67" s="14">
        <v>42236</v>
      </c>
      <c r="F67" s="30" t="s">
        <v>811</v>
      </c>
      <c r="G67" s="12">
        <v>1</v>
      </c>
    </row>
    <row r="68" spans="1:8" ht="15" customHeight="1" x14ac:dyDescent="0.25">
      <c r="A68" s="17">
        <f t="shared" si="0"/>
        <v>62</v>
      </c>
      <c r="B68" s="14" t="s">
        <v>1174</v>
      </c>
      <c r="C68" s="11" t="s">
        <v>84</v>
      </c>
      <c r="D68" s="54" t="s">
        <v>1173</v>
      </c>
      <c r="E68" s="14">
        <v>42236</v>
      </c>
      <c r="F68" s="30" t="s">
        <v>1188</v>
      </c>
      <c r="G68" s="12">
        <v>1</v>
      </c>
      <c r="H68" t="s">
        <v>881</v>
      </c>
    </row>
    <row r="69" spans="1:8" ht="15" customHeight="1" x14ac:dyDescent="0.25">
      <c r="A69" s="17">
        <f t="shared" si="0"/>
        <v>63</v>
      </c>
      <c r="B69" s="14" t="s">
        <v>2247</v>
      </c>
      <c r="C69" s="11" t="s">
        <v>17</v>
      </c>
      <c r="D69" s="54" t="s">
        <v>1176</v>
      </c>
      <c r="E69" s="14">
        <v>42239</v>
      </c>
      <c r="F69" s="30" t="s">
        <v>1180</v>
      </c>
      <c r="G69" s="12">
        <v>1</v>
      </c>
      <c r="H69" t="s">
        <v>2248</v>
      </c>
    </row>
    <row r="70" spans="1:8" ht="15" customHeight="1" x14ac:dyDescent="0.25">
      <c r="A70" s="17">
        <f t="shared" si="0"/>
        <v>64</v>
      </c>
      <c r="B70" s="14" t="s">
        <v>2245</v>
      </c>
      <c r="C70" s="11" t="s">
        <v>17</v>
      </c>
      <c r="D70" s="54" t="s">
        <v>1177</v>
      </c>
      <c r="E70" s="14">
        <v>42239</v>
      </c>
      <c r="F70" s="30" t="s">
        <v>1183</v>
      </c>
      <c r="G70" s="12">
        <v>1</v>
      </c>
      <c r="H70" t="s">
        <v>2246</v>
      </c>
    </row>
    <row r="71" spans="1:8" ht="15" customHeight="1" x14ac:dyDescent="0.25">
      <c r="A71" s="17">
        <f t="shared" si="0"/>
        <v>65</v>
      </c>
      <c r="B71" s="14" t="s">
        <v>2243</v>
      </c>
      <c r="C71" s="11" t="s">
        <v>17</v>
      </c>
      <c r="D71" s="54" t="s">
        <v>1179</v>
      </c>
      <c r="E71" s="14">
        <v>42239</v>
      </c>
      <c r="F71" s="30" t="s">
        <v>1182</v>
      </c>
      <c r="G71" s="12">
        <v>1</v>
      </c>
      <c r="H71" t="s">
        <v>2244</v>
      </c>
    </row>
    <row r="72" spans="1:8" ht="15" customHeight="1" x14ac:dyDescent="0.25">
      <c r="A72" s="17">
        <f t="shared" si="0"/>
        <v>66</v>
      </c>
      <c r="B72" s="14" t="s">
        <v>2249</v>
      </c>
      <c r="C72" s="11" t="s">
        <v>17</v>
      </c>
      <c r="D72" s="54" t="s">
        <v>1178</v>
      </c>
      <c r="E72" s="14">
        <v>42239</v>
      </c>
      <c r="F72" s="30" t="s">
        <v>1181</v>
      </c>
      <c r="G72" s="12">
        <v>1</v>
      </c>
      <c r="H72" t="s">
        <v>2250</v>
      </c>
    </row>
    <row r="73" spans="1:8" ht="15" customHeight="1" x14ac:dyDescent="0.25">
      <c r="A73" s="17">
        <f t="shared" si="0"/>
        <v>67</v>
      </c>
      <c r="B73" s="14" t="s">
        <v>1184</v>
      </c>
      <c r="C73" s="11" t="s">
        <v>84</v>
      </c>
      <c r="D73" s="54" t="s">
        <v>1185</v>
      </c>
      <c r="E73" s="14">
        <v>42239</v>
      </c>
      <c r="F73" s="30" t="s">
        <v>811</v>
      </c>
      <c r="G73" s="12">
        <v>1</v>
      </c>
    </row>
    <row r="74" spans="1:8" ht="15" customHeight="1" x14ac:dyDescent="0.25">
      <c r="A74" s="17">
        <f t="shared" si="0"/>
        <v>68</v>
      </c>
      <c r="B74" s="14" t="s">
        <v>2241</v>
      </c>
      <c r="C74" s="11" t="s">
        <v>17</v>
      </c>
      <c r="D74" s="54" t="s">
        <v>1186</v>
      </c>
      <c r="E74" s="14">
        <v>42239</v>
      </c>
      <c r="F74" s="30" t="s">
        <v>1187</v>
      </c>
      <c r="G74" s="12">
        <v>1</v>
      </c>
      <c r="H74" t="s">
        <v>2242</v>
      </c>
    </row>
    <row r="75" spans="1:8" ht="15" customHeight="1" x14ac:dyDescent="0.25">
      <c r="A75" s="17">
        <f t="shared" si="0"/>
        <v>69</v>
      </c>
      <c r="B75" s="14" t="s">
        <v>2253</v>
      </c>
      <c r="C75" s="11" t="s">
        <v>17</v>
      </c>
      <c r="D75" s="54" t="s">
        <v>1192</v>
      </c>
      <c r="E75" s="14">
        <v>42241</v>
      </c>
      <c r="F75" s="30" t="s">
        <v>1194</v>
      </c>
      <c r="G75" s="12">
        <v>1</v>
      </c>
      <c r="H75" t="s">
        <v>2254</v>
      </c>
    </row>
    <row r="76" spans="1:8" ht="15" customHeight="1" x14ac:dyDescent="0.25">
      <c r="A76" s="17">
        <f t="shared" si="0"/>
        <v>70</v>
      </c>
      <c r="B76" s="14" t="s">
        <v>1201</v>
      </c>
      <c r="C76" s="11" t="s">
        <v>17</v>
      </c>
      <c r="D76" s="54" t="s">
        <v>1202</v>
      </c>
      <c r="E76" s="14">
        <v>42241</v>
      </c>
      <c r="F76" s="30" t="s">
        <v>811</v>
      </c>
      <c r="G76" s="12">
        <v>1</v>
      </c>
    </row>
    <row r="77" spans="1:8" ht="15" customHeight="1" x14ac:dyDescent="0.25">
      <c r="A77" s="17">
        <f t="shared" si="0"/>
        <v>71</v>
      </c>
      <c r="B77" s="14" t="s">
        <v>1195</v>
      </c>
      <c r="C77" s="11" t="s">
        <v>17</v>
      </c>
      <c r="D77" s="54" t="s">
        <v>1196</v>
      </c>
      <c r="E77" s="14">
        <v>42241</v>
      </c>
      <c r="F77" s="30" t="s">
        <v>811</v>
      </c>
      <c r="G77" s="12">
        <v>1</v>
      </c>
    </row>
    <row r="78" spans="1:8" ht="15" customHeight="1" x14ac:dyDescent="0.25">
      <c r="A78" s="17">
        <f t="shared" si="0"/>
        <v>72</v>
      </c>
      <c r="B78" s="14" t="s">
        <v>1197</v>
      </c>
      <c r="C78" s="11" t="s">
        <v>17</v>
      </c>
      <c r="D78" s="54" t="s">
        <v>1198</v>
      </c>
      <c r="E78" s="14">
        <v>42241</v>
      </c>
      <c r="F78" s="30" t="s">
        <v>811</v>
      </c>
      <c r="G78" s="12">
        <v>1</v>
      </c>
    </row>
    <row r="79" spans="1:8" ht="15" customHeight="1" x14ac:dyDescent="0.25">
      <c r="A79" s="17">
        <f t="shared" si="0"/>
        <v>73</v>
      </c>
      <c r="B79" s="14" t="s">
        <v>1199</v>
      </c>
      <c r="C79" s="11" t="s">
        <v>17</v>
      </c>
      <c r="D79" s="54" t="s">
        <v>1200</v>
      </c>
      <c r="E79" s="14">
        <v>42241</v>
      </c>
      <c r="F79" s="30" t="s">
        <v>811</v>
      </c>
      <c r="G79" s="12">
        <v>1</v>
      </c>
    </row>
    <row r="80" spans="1:8" ht="15" customHeight="1" x14ac:dyDescent="0.25">
      <c r="A80" s="17">
        <f t="shared" si="0"/>
        <v>74</v>
      </c>
      <c r="B80" s="14" t="s">
        <v>2251</v>
      </c>
      <c r="C80" s="11" t="s">
        <v>17</v>
      </c>
      <c r="D80" s="54" t="s">
        <v>1191</v>
      </c>
      <c r="E80" s="14">
        <v>42241</v>
      </c>
      <c r="F80" s="30" t="s">
        <v>1193</v>
      </c>
      <c r="G80" s="12">
        <v>1</v>
      </c>
      <c r="H80" t="s">
        <v>2252</v>
      </c>
    </row>
    <row r="81" spans="1:8" ht="15" customHeight="1" x14ac:dyDescent="0.25">
      <c r="A81" s="17">
        <f t="shared" si="0"/>
        <v>75</v>
      </c>
      <c r="B81" s="14" t="s">
        <v>1203</v>
      </c>
      <c r="C81" s="11">
        <v>30</v>
      </c>
      <c r="D81" s="54" t="s">
        <v>1204</v>
      </c>
      <c r="E81" s="14">
        <v>42242</v>
      </c>
      <c r="F81" s="30" t="s">
        <v>811</v>
      </c>
      <c r="G81" s="12">
        <v>1</v>
      </c>
    </row>
    <row r="82" spans="1:8" ht="15" customHeight="1" x14ac:dyDescent="0.25">
      <c r="A82" s="17">
        <f t="shared" si="0"/>
        <v>76</v>
      </c>
      <c r="B82" s="14" t="s">
        <v>1205</v>
      </c>
      <c r="C82" s="11">
        <v>30</v>
      </c>
      <c r="D82" s="54" t="s">
        <v>1206</v>
      </c>
      <c r="E82" s="14">
        <v>42242</v>
      </c>
      <c r="F82" s="30" t="s">
        <v>811</v>
      </c>
      <c r="G82" s="12">
        <v>1</v>
      </c>
    </row>
    <row r="83" spans="1:8" ht="15" customHeight="1" x14ac:dyDescent="0.25">
      <c r="A83" s="17">
        <f t="shared" si="0"/>
        <v>77</v>
      </c>
      <c r="B83" s="14" t="s">
        <v>1207</v>
      </c>
      <c r="C83" s="11" t="s">
        <v>17</v>
      </c>
      <c r="D83" s="54" t="s">
        <v>1208</v>
      </c>
      <c r="E83" s="14">
        <v>42242</v>
      </c>
      <c r="F83" s="30" t="s">
        <v>811</v>
      </c>
      <c r="G83" s="12">
        <v>1</v>
      </c>
      <c r="H83" t="s">
        <v>2362</v>
      </c>
    </row>
    <row r="84" spans="1:8" ht="15" customHeight="1" x14ac:dyDescent="0.25">
      <c r="A84" s="17">
        <f t="shared" si="0"/>
        <v>78</v>
      </c>
      <c r="B84" s="101">
        <v>131017</v>
      </c>
      <c r="C84" s="11" t="s">
        <v>17</v>
      </c>
      <c r="D84" s="54" t="s">
        <v>1209</v>
      </c>
      <c r="E84" s="14">
        <v>42242</v>
      </c>
      <c r="F84" s="30" t="s">
        <v>2361</v>
      </c>
      <c r="G84" s="12">
        <v>1</v>
      </c>
      <c r="H84" t="s">
        <v>881</v>
      </c>
    </row>
    <row r="85" spans="1:8" ht="15" customHeight="1" x14ac:dyDescent="0.25">
      <c r="A85" s="17">
        <f t="shared" si="0"/>
        <v>79</v>
      </c>
      <c r="B85" s="14" t="s">
        <v>1210</v>
      </c>
      <c r="C85" s="11" t="s">
        <v>84</v>
      </c>
      <c r="D85" s="54" t="s">
        <v>1211</v>
      </c>
      <c r="E85" s="14">
        <v>42243</v>
      </c>
      <c r="F85" s="30" t="s">
        <v>811</v>
      </c>
      <c r="G85" s="12">
        <v>1</v>
      </c>
    </row>
    <row r="86" spans="1:8" ht="15" customHeight="1" x14ac:dyDescent="0.25">
      <c r="A86" s="17">
        <f t="shared" si="0"/>
        <v>80</v>
      </c>
      <c r="B86" s="14" t="s">
        <v>1212</v>
      </c>
      <c r="C86" s="11">
        <v>30</v>
      </c>
      <c r="D86" s="54" t="s">
        <v>1213</v>
      </c>
      <c r="E86" s="14">
        <v>42243</v>
      </c>
      <c r="F86" s="30" t="s">
        <v>811</v>
      </c>
      <c r="G86" s="12">
        <v>1</v>
      </c>
    </row>
    <row r="87" spans="1:8" ht="15" customHeight="1" x14ac:dyDescent="0.25">
      <c r="A87" s="17">
        <f t="shared" si="0"/>
        <v>81</v>
      </c>
      <c r="B87" s="14" t="s">
        <v>2255</v>
      </c>
      <c r="C87" s="11" t="s">
        <v>17</v>
      </c>
      <c r="D87" s="54" t="s">
        <v>1214</v>
      </c>
      <c r="E87" s="14">
        <v>42243</v>
      </c>
      <c r="F87" s="30" t="s">
        <v>1215</v>
      </c>
      <c r="G87" s="12">
        <v>1</v>
      </c>
      <c r="H87" t="s">
        <v>2256</v>
      </c>
    </row>
    <row r="88" spans="1:8" ht="15" customHeight="1" x14ac:dyDescent="0.25">
      <c r="A88" s="17">
        <f t="shared" ref="A88:A89" si="1">A87+1</f>
        <v>82</v>
      </c>
      <c r="B88" s="14" t="s">
        <v>2257</v>
      </c>
      <c r="C88" s="11" t="s">
        <v>17</v>
      </c>
      <c r="D88" s="54" t="s">
        <v>1216</v>
      </c>
      <c r="E88" s="14">
        <v>42247</v>
      </c>
      <c r="F88" s="30" t="s">
        <v>1218</v>
      </c>
      <c r="G88" s="12">
        <v>1</v>
      </c>
      <c r="H88" t="s">
        <v>2258</v>
      </c>
    </row>
    <row r="89" spans="1:8" ht="15" customHeight="1" x14ac:dyDescent="0.25">
      <c r="A89" s="17">
        <f t="shared" si="1"/>
        <v>83</v>
      </c>
      <c r="B89" s="14" t="s">
        <v>2259</v>
      </c>
      <c r="C89" s="11" t="s">
        <v>17</v>
      </c>
      <c r="D89" s="54" t="s">
        <v>1217</v>
      </c>
      <c r="E89" s="14">
        <v>42247</v>
      </c>
      <c r="F89" s="30" t="s">
        <v>1219</v>
      </c>
      <c r="G89" s="12">
        <v>1</v>
      </c>
      <c r="H89" t="s">
        <v>2260</v>
      </c>
    </row>
    <row r="90" spans="1:8" ht="15" customHeight="1" x14ac:dyDescent="0.25">
      <c r="A90" s="17">
        <f t="shared" ref="A90:A92" si="2">A89+1</f>
        <v>84</v>
      </c>
      <c r="B90" s="14" t="s">
        <v>1221</v>
      </c>
      <c r="C90" s="11" t="s">
        <v>17</v>
      </c>
      <c r="D90" s="54" t="s">
        <v>1220</v>
      </c>
      <c r="E90" s="14">
        <v>42247</v>
      </c>
      <c r="F90" s="30" t="s">
        <v>811</v>
      </c>
      <c r="G90" s="12">
        <v>1</v>
      </c>
      <c r="H90" t="s">
        <v>1259</v>
      </c>
    </row>
    <row r="91" spans="1:8" ht="15" customHeight="1" x14ac:dyDescent="0.25">
      <c r="A91" s="17">
        <f t="shared" si="2"/>
        <v>85</v>
      </c>
      <c r="B91" s="14" t="s">
        <v>2261</v>
      </c>
      <c r="C91" s="11" t="s">
        <v>17</v>
      </c>
      <c r="D91" s="54" t="s">
        <v>1222</v>
      </c>
      <c r="E91" s="14">
        <v>42247</v>
      </c>
      <c r="F91" s="30" t="s">
        <v>1223</v>
      </c>
      <c r="G91" s="12">
        <v>1</v>
      </c>
      <c r="H91" t="s">
        <v>2262</v>
      </c>
    </row>
    <row r="92" spans="1:8" ht="15" customHeight="1" x14ac:dyDescent="0.25">
      <c r="A92" s="17">
        <f t="shared" si="2"/>
        <v>86</v>
      </c>
      <c r="B92" s="14" t="s">
        <v>1189</v>
      </c>
      <c r="C92" s="11" t="s">
        <v>17</v>
      </c>
      <c r="D92" s="54" t="s">
        <v>1190</v>
      </c>
      <c r="E92" s="14">
        <v>42247</v>
      </c>
      <c r="F92" s="30" t="s">
        <v>811</v>
      </c>
      <c r="G92" s="12">
        <v>1</v>
      </c>
    </row>
    <row r="93" spans="1:8" ht="14.1" customHeight="1" x14ac:dyDescent="0.25"/>
  </sheetData>
  <sortState ref="B82:H87">
    <sortCondition ref="E75:E81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orientation="portrait" horizontalDpi="36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43" workbookViewId="0">
      <selection activeCell="B54" sqref="B54"/>
    </sheetView>
  </sheetViews>
  <sheetFormatPr baseColWidth="10" defaultColWidth="11.42578125" defaultRowHeight="15" x14ac:dyDescent="0.25"/>
  <cols>
    <col min="1" max="1" width="8.28515625" customWidth="1"/>
    <col min="2" max="2" width="11.85546875" customWidth="1"/>
    <col min="3" max="3" width="13.140625" customWidth="1"/>
    <col min="4" max="4" width="13.85546875" customWidth="1"/>
    <col min="5" max="5" width="12.5703125" customWidth="1"/>
    <col min="6" max="6" width="17.140625" customWidth="1"/>
    <col min="7" max="7" width="2.7109375" hidden="1" customWidth="1"/>
    <col min="8" max="8" width="19.28515625" bestFit="1" customWidth="1"/>
  </cols>
  <sheetData>
    <row r="1" spans="1:11" ht="18" x14ac:dyDescent="0.25">
      <c r="A1" s="102" t="s">
        <v>0</v>
      </c>
      <c r="B1" s="102"/>
      <c r="C1" s="10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106" t="s">
        <v>2</v>
      </c>
      <c r="B2" s="106"/>
      <c r="C2" s="106"/>
      <c r="D2" s="6"/>
      <c r="E2" s="5" t="s">
        <v>3</v>
      </c>
      <c r="F2" s="5"/>
      <c r="G2" s="4"/>
      <c r="H2" s="4"/>
      <c r="I2" s="103" t="s">
        <v>4</v>
      </c>
      <c r="J2" s="104"/>
      <c r="K2" s="22">
        <f>SUMIF(F7:F80,"Elimination*",G7:G80)</f>
        <v>28</v>
      </c>
    </row>
    <row r="3" spans="1:11" x14ac:dyDescent="0.25">
      <c r="A3" s="107" t="s">
        <v>5</v>
      </c>
      <c r="B3" s="107"/>
      <c r="C3" s="107"/>
      <c r="D3" s="5"/>
      <c r="E3" s="4" t="s">
        <v>6</v>
      </c>
      <c r="F3" s="4"/>
      <c r="G3" s="4"/>
      <c r="H3" s="4"/>
      <c r="I3" s="103" t="s">
        <v>7</v>
      </c>
      <c r="J3" s="104"/>
      <c r="K3" s="22">
        <f>SUMIF(F7:F80,"NB*",G7:G80)</f>
        <v>23</v>
      </c>
    </row>
    <row r="4" spans="1:11" ht="18" x14ac:dyDescent="0.25">
      <c r="A4" s="102" t="s">
        <v>8</v>
      </c>
      <c r="B4" s="102"/>
      <c r="C4" s="102"/>
      <c r="D4" s="102"/>
      <c r="E4" s="102"/>
      <c r="F4" s="102"/>
      <c r="G4" s="4"/>
      <c r="H4" s="4"/>
      <c r="I4" s="103" t="s">
        <v>9</v>
      </c>
      <c r="J4" s="104"/>
      <c r="K4" s="22">
        <f>SUMIF(F7:F80,"Ve*",G7:G80)</f>
        <v>2</v>
      </c>
    </row>
    <row r="5" spans="1:11" ht="15.75" x14ac:dyDescent="0.25">
      <c r="A5" s="105" t="s">
        <v>1224</v>
      </c>
      <c r="B5" s="105"/>
      <c r="C5" s="105"/>
      <c r="D5" s="105"/>
      <c r="E5" s="105"/>
      <c r="F5" s="105"/>
      <c r="G5" s="24"/>
      <c r="H5" s="24"/>
      <c r="I5" s="103" t="s">
        <v>10</v>
      </c>
      <c r="J5" s="104"/>
      <c r="K5" s="26">
        <f>SUM(K2:K4)</f>
        <v>53</v>
      </c>
    </row>
    <row r="6" spans="1:11" ht="22.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x14ac:dyDescent="0.25">
      <c r="A7" s="17">
        <v>1</v>
      </c>
      <c r="B7" s="14" t="s">
        <v>2263</v>
      </c>
      <c r="C7" s="11" t="s">
        <v>17</v>
      </c>
      <c r="D7" s="54" t="s">
        <v>1225</v>
      </c>
      <c r="E7" s="14">
        <v>42248</v>
      </c>
      <c r="F7" s="30" t="s">
        <v>1226</v>
      </c>
      <c r="G7" s="19">
        <v>1</v>
      </c>
      <c r="H7" s="62" t="s">
        <v>2264</v>
      </c>
      <c r="I7" s="18"/>
      <c r="J7" s="18"/>
      <c r="K7" s="1"/>
    </row>
    <row r="8" spans="1:11" x14ac:dyDescent="0.25">
      <c r="A8" s="17">
        <f>A7+1</f>
        <v>2</v>
      </c>
      <c r="B8" s="14" t="s">
        <v>2265</v>
      </c>
      <c r="C8" s="11" t="s">
        <v>17</v>
      </c>
      <c r="D8" s="54" t="s">
        <v>1227</v>
      </c>
      <c r="E8" s="14">
        <v>42249</v>
      </c>
      <c r="F8" s="30" t="s">
        <v>1228</v>
      </c>
      <c r="G8" s="19">
        <v>1</v>
      </c>
      <c r="H8" s="60" t="s">
        <v>2266</v>
      </c>
      <c r="I8" s="2"/>
      <c r="J8" s="2"/>
      <c r="K8" s="1"/>
    </row>
    <row r="9" spans="1:11" x14ac:dyDescent="0.25">
      <c r="A9" s="17">
        <f t="shared" ref="A9:A59" si="0">A8+1</f>
        <v>3</v>
      </c>
      <c r="B9" s="14" t="s">
        <v>2267</v>
      </c>
      <c r="C9" s="11" t="s">
        <v>17</v>
      </c>
      <c r="D9" s="54" t="s">
        <v>1229</v>
      </c>
      <c r="E9" s="14">
        <v>42249</v>
      </c>
      <c r="F9" s="30" t="s">
        <v>1230</v>
      </c>
      <c r="G9" s="19">
        <v>1</v>
      </c>
      <c r="H9" s="97" t="s">
        <v>2268</v>
      </c>
      <c r="I9" s="2"/>
      <c r="J9" s="2"/>
      <c r="K9" s="1"/>
    </row>
    <row r="10" spans="1:11" x14ac:dyDescent="0.25">
      <c r="A10" s="17">
        <f t="shared" si="0"/>
        <v>4</v>
      </c>
      <c r="B10" s="14" t="s">
        <v>1231</v>
      </c>
      <c r="C10" s="11" t="s">
        <v>17</v>
      </c>
      <c r="D10" s="54" t="s">
        <v>1232</v>
      </c>
      <c r="E10" s="14">
        <v>42250</v>
      </c>
      <c r="F10" s="30" t="s">
        <v>811</v>
      </c>
      <c r="G10" s="19">
        <v>1</v>
      </c>
      <c r="H10" s="97"/>
      <c r="I10" s="2"/>
      <c r="J10" s="2"/>
      <c r="K10" s="1"/>
    </row>
    <row r="11" spans="1:11" x14ac:dyDescent="0.25">
      <c r="A11" s="17">
        <f t="shared" si="0"/>
        <v>5</v>
      </c>
      <c r="B11" s="14" t="s">
        <v>1234</v>
      </c>
      <c r="C11" s="11" t="s">
        <v>17</v>
      </c>
      <c r="D11" s="54" t="s">
        <v>1233</v>
      </c>
      <c r="E11" s="14">
        <v>42250</v>
      </c>
      <c r="F11" s="30" t="s">
        <v>811</v>
      </c>
      <c r="G11" s="19">
        <v>1</v>
      </c>
      <c r="H11" s="97" t="s">
        <v>1328</v>
      </c>
      <c r="I11" s="2"/>
      <c r="J11" s="2"/>
      <c r="K11" s="1"/>
    </row>
    <row r="12" spans="1:11" x14ac:dyDescent="0.25">
      <c r="A12" s="17">
        <f t="shared" si="0"/>
        <v>6</v>
      </c>
      <c r="B12" s="14" t="s">
        <v>1235</v>
      </c>
      <c r="C12" s="11" t="s">
        <v>17</v>
      </c>
      <c r="D12" s="54" t="s">
        <v>1236</v>
      </c>
      <c r="E12" s="14">
        <v>42254</v>
      </c>
      <c r="F12" s="30" t="s">
        <v>811</v>
      </c>
      <c r="G12" s="19">
        <v>1</v>
      </c>
      <c r="H12" s="97"/>
      <c r="I12" s="2"/>
      <c r="J12" s="2"/>
      <c r="K12" s="1"/>
    </row>
    <row r="13" spans="1:11" x14ac:dyDescent="0.25">
      <c r="A13" s="17">
        <f t="shared" si="0"/>
        <v>7</v>
      </c>
      <c r="B13" s="14" t="s">
        <v>1237</v>
      </c>
      <c r="C13" s="11" t="s">
        <v>17</v>
      </c>
      <c r="D13" s="54" t="s">
        <v>1238</v>
      </c>
      <c r="E13" s="14">
        <v>42256</v>
      </c>
      <c r="F13" s="30" t="s">
        <v>99</v>
      </c>
      <c r="G13" s="19">
        <v>1</v>
      </c>
      <c r="H13" s="97"/>
      <c r="I13" s="2"/>
      <c r="J13" s="2"/>
      <c r="K13" s="1"/>
    </row>
    <row r="14" spans="1:11" x14ac:dyDescent="0.25">
      <c r="A14" s="17">
        <f t="shared" si="0"/>
        <v>8</v>
      </c>
      <c r="B14" s="14" t="s">
        <v>2269</v>
      </c>
      <c r="C14" s="11" t="s">
        <v>17</v>
      </c>
      <c r="D14" s="54" t="s">
        <v>1239</v>
      </c>
      <c r="E14" s="14">
        <v>42256</v>
      </c>
      <c r="F14" s="30" t="s">
        <v>1240</v>
      </c>
      <c r="G14" s="12">
        <v>1</v>
      </c>
      <c r="H14" s="97" t="s">
        <v>2270</v>
      </c>
      <c r="I14" s="2"/>
      <c r="J14" s="2"/>
      <c r="K14" s="1"/>
    </row>
    <row r="15" spans="1:11" x14ac:dyDescent="0.25">
      <c r="A15" s="17">
        <f t="shared" si="0"/>
        <v>9</v>
      </c>
      <c r="B15" s="14" t="s">
        <v>2271</v>
      </c>
      <c r="C15" s="11" t="s">
        <v>17</v>
      </c>
      <c r="D15" s="54" t="s">
        <v>1241</v>
      </c>
      <c r="E15" s="14">
        <v>42256</v>
      </c>
      <c r="F15" s="30" t="s">
        <v>1242</v>
      </c>
      <c r="G15" s="12">
        <v>1</v>
      </c>
      <c r="H15" s="97" t="s">
        <v>2272</v>
      </c>
      <c r="I15" s="2"/>
      <c r="J15" s="2"/>
      <c r="K15" s="1"/>
    </row>
    <row r="16" spans="1:11" x14ac:dyDescent="0.25">
      <c r="A16" s="17">
        <f t="shared" si="0"/>
        <v>10</v>
      </c>
      <c r="B16" s="14" t="s">
        <v>2273</v>
      </c>
      <c r="C16" s="11" t="s">
        <v>17</v>
      </c>
      <c r="D16" s="54" t="s">
        <v>1243</v>
      </c>
      <c r="E16" s="14">
        <v>42257</v>
      </c>
      <c r="F16" s="30" t="s">
        <v>1244</v>
      </c>
      <c r="G16" s="12">
        <v>1</v>
      </c>
      <c r="H16" s="97" t="s">
        <v>2274</v>
      </c>
      <c r="I16" s="2"/>
      <c r="J16" s="2"/>
      <c r="K16" s="1"/>
    </row>
    <row r="17" spans="1:14" x14ac:dyDescent="0.25">
      <c r="A17" s="17">
        <f t="shared" si="0"/>
        <v>11</v>
      </c>
      <c r="B17" s="14" t="s">
        <v>1245</v>
      </c>
      <c r="C17" s="11" t="s">
        <v>17</v>
      </c>
      <c r="D17" s="54" t="s">
        <v>1246</v>
      </c>
      <c r="E17" s="14">
        <v>42259</v>
      </c>
      <c r="F17" s="30" t="s">
        <v>811</v>
      </c>
      <c r="G17" s="12">
        <v>1</v>
      </c>
      <c r="H17" s="97"/>
      <c r="I17" s="2"/>
      <c r="J17" s="2"/>
      <c r="K17" s="1"/>
    </row>
    <row r="18" spans="1:14" x14ac:dyDescent="0.25">
      <c r="A18" s="17">
        <f t="shared" si="0"/>
        <v>12</v>
      </c>
      <c r="B18" s="14" t="s">
        <v>1247</v>
      </c>
      <c r="C18" s="11" t="s">
        <v>17</v>
      </c>
      <c r="D18" s="54" t="s">
        <v>1248</v>
      </c>
      <c r="E18" s="14">
        <v>42259</v>
      </c>
      <c r="F18" s="30" t="s">
        <v>811</v>
      </c>
      <c r="G18" s="12">
        <v>1</v>
      </c>
      <c r="H18" s="97"/>
    </row>
    <row r="19" spans="1:14" x14ac:dyDescent="0.25">
      <c r="A19" s="17">
        <f t="shared" si="0"/>
        <v>13</v>
      </c>
      <c r="B19" s="14" t="s">
        <v>1249</v>
      </c>
      <c r="C19" s="11" t="s">
        <v>17</v>
      </c>
      <c r="D19" s="54" t="s">
        <v>1250</v>
      </c>
      <c r="E19" s="14">
        <v>42259</v>
      </c>
      <c r="F19" s="30" t="s">
        <v>811</v>
      </c>
      <c r="G19" s="12">
        <v>1</v>
      </c>
      <c r="H19" s="97"/>
    </row>
    <row r="20" spans="1:14" x14ac:dyDescent="0.25">
      <c r="A20" s="17">
        <f t="shared" si="0"/>
        <v>14</v>
      </c>
      <c r="B20" s="14" t="s">
        <v>1251</v>
      </c>
      <c r="C20" s="11" t="s">
        <v>17</v>
      </c>
      <c r="D20" s="54" t="s">
        <v>1252</v>
      </c>
      <c r="E20" s="14">
        <v>42259</v>
      </c>
      <c r="F20" s="30" t="s">
        <v>811</v>
      </c>
      <c r="G20" s="12">
        <v>1</v>
      </c>
      <c r="H20" s="97"/>
    </row>
    <row r="21" spans="1:14" x14ac:dyDescent="0.25">
      <c r="A21" s="17">
        <f t="shared" si="0"/>
        <v>15</v>
      </c>
      <c r="B21" s="14" t="s">
        <v>1253</v>
      </c>
      <c r="C21" s="11" t="s">
        <v>17</v>
      </c>
      <c r="D21" s="54" t="s">
        <v>1254</v>
      </c>
      <c r="E21" s="14">
        <v>42259</v>
      </c>
      <c r="F21" s="30" t="s">
        <v>811</v>
      </c>
      <c r="G21" s="12">
        <v>1</v>
      </c>
      <c r="H21" s="97"/>
    </row>
    <row r="22" spans="1:14" x14ac:dyDescent="0.25">
      <c r="A22" s="17">
        <f t="shared" si="0"/>
        <v>16</v>
      </c>
      <c r="B22" s="14" t="s">
        <v>1255</v>
      </c>
      <c r="C22" s="11" t="s">
        <v>17</v>
      </c>
      <c r="D22" s="54" t="s">
        <v>1256</v>
      </c>
      <c r="E22" s="14">
        <v>42259</v>
      </c>
      <c r="F22" s="30" t="s">
        <v>811</v>
      </c>
      <c r="G22" s="12">
        <v>1</v>
      </c>
      <c r="H22" s="97"/>
    </row>
    <row r="23" spans="1:14" x14ac:dyDescent="0.25">
      <c r="A23" s="17">
        <f t="shared" si="0"/>
        <v>17</v>
      </c>
      <c r="B23" s="14" t="s">
        <v>1257</v>
      </c>
      <c r="C23" s="11" t="s">
        <v>17</v>
      </c>
      <c r="D23" s="54" t="s">
        <v>1258</v>
      </c>
      <c r="E23" s="14">
        <v>42260</v>
      </c>
      <c r="F23" s="30" t="s">
        <v>811</v>
      </c>
      <c r="G23" s="12">
        <v>1</v>
      </c>
      <c r="H23" s="97"/>
    </row>
    <row r="24" spans="1:14" x14ac:dyDescent="0.25">
      <c r="A24" s="17">
        <f t="shared" si="0"/>
        <v>18</v>
      </c>
      <c r="B24" s="14" t="s">
        <v>1260</v>
      </c>
      <c r="C24" s="11" t="s">
        <v>17</v>
      </c>
      <c r="D24" s="54" t="s">
        <v>1261</v>
      </c>
      <c r="E24" s="14">
        <v>42260</v>
      </c>
      <c r="F24" s="30" t="s">
        <v>811</v>
      </c>
      <c r="G24" s="12">
        <v>1</v>
      </c>
      <c r="H24" s="97"/>
    </row>
    <row r="25" spans="1:14" x14ac:dyDescent="0.25">
      <c r="A25" s="17">
        <f t="shared" si="0"/>
        <v>19</v>
      </c>
      <c r="B25" s="14" t="s">
        <v>1262</v>
      </c>
      <c r="C25" s="11" t="s">
        <v>17</v>
      </c>
      <c r="D25" s="54" t="s">
        <v>1263</v>
      </c>
      <c r="E25" s="14">
        <v>42260</v>
      </c>
      <c r="F25" s="30" t="s">
        <v>811</v>
      </c>
      <c r="G25" s="12">
        <v>1</v>
      </c>
      <c r="H25" s="97"/>
    </row>
    <row r="26" spans="1:14" x14ac:dyDescent="0.25">
      <c r="A26" s="17">
        <f t="shared" si="0"/>
        <v>20</v>
      </c>
      <c r="B26" s="14" t="s">
        <v>2304</v>
      </c>
      <c r="C26" s="11" t="s">
        <v>17</v>
      </c>
      <c r="D26" s="54" t="s">
        <v>1264</v>
      </c>
      <c r="E26" s="14">
        <v>42260</v>
      </c>
      <c r="F26" s="30" t="s">
        <v>2305</v>
      </c>
      <c r="G26" s="12">
        <v>1</v>
      </c>
      <c r="H26" s="97"/>
    </row>
    <row r="27" spans="1:14" x14ac:dyDescent="0.25">
      <c r="A27" s="17">
        <f t="shared" si="0"/>
        <v>21</v>
      </c>
      <c r="B27" s="14" t="s">
        <v>1265</v>
      </c>
      <c r="C27" s="11" t="s">
        <v>17</v>
      </c>
      <c r="D27" s="54" t="s">
        <v>1266</v>
      </c>
      <c r="E27" s="14">
        <v>42261</v>
      </c>
      <c r="F27" s="30" t="s">
        <v>811</v>
      </c>
      <c r="G27" s="12">
        <v>1</v>
      </c>
      <c r="H27" s="97"/>
    </row>
    <row r="28" spans="1:14" x14ac:dyDescent="0.25">
      <c r="A28" s="17">
        <f t="shared" si="0"/>
        <v>22</v>
      </c>
      <c r="B28" s="14" t="s">
        <v>1267</v>
      </c>
      <c r="C28" s="11" t="s">
        <v>17</v>
      </c>
      <c r="D28" s="54" t="s">
        <v>1268</v>
      </c>
      <c r="E28" s="14">
        <v>42261</v>
      </c>
      <c r="F28" s="30" t="s">
        <v>811</v>
      </c>
      <c r="G28" s="12">
        <v>1</v>
      </c>
      <c r="H28" s="97"/>
      <c r="N28" t="s">
        <v>1259</v>
      </c>
    </row>
    <row r="29" spans="1:14" x14ac:dyDescent="0.25">
      <c r="A29" s="17">
        <f t="shared" si="0"/>
        <v>23</v>
      </c>
      <c r="B29" s="14" t="s">
        <v>1269</v>
      </c>
      <c r="C29" s="11" t="s">
        <v>17</v>
      </c>
      <c r="D29" s="54" t="s">
        <v>1270</v>
      </c>
      <c r="E29" s="14">
        <v>42261</v>
      </c>
      <c r="F29" s="30" t="s">
        <v>811</v>
      </c>
      <c r="G29" s="12">
        <v>1</v>
      </c>
      <c r="H29" s="97"/>
    </row>
    <row r="30" spans="1:14" x14ac:dyDescent="0.25">
      <c r="A30" s="17">
        <f t="shared" si="0"/>
        <v>24</v>
      </c>
      <c r="B30" s="14" t="s">
        <v>1271</v>
      </c>
      <c r="C30" s="11" t="s">
        <v>17</v>
      </c>
      <c r="D30" s="54" t="s">
        <v>1272</v>
      </c>
      <c r="E30" s="14">
        <v>42261</v>
      </c>
      <c r="F30" s="30" t="s">
        <v>811</v>
      </c>
      <c r="G30" s="12">
        <v>1</v>
      </c>
      <c r="H30" s="97"/>
    </row>
    <row r="31" spans="1:14" x14ac:dyDescent="0.25">
      <c r="A31" s="17">
        <f t="shared" si="0"/>
        <v>25</v>
      </c>
      <c r="B31" s="14" t="s">
        <v>2277</v>
      </c>
      <c r="C31" s="11" t="s">
        <v>17</v>
      </c>
      <c r="D31" s="54" t="s">
        <v>1273</v>
      </c>
      <c r="E31" s="14">
        <v>42262</v>
      </c>
      <c r="F31" s="30" t="s">
        <v>1274</v>
      </c>
      <c r="G31" s="12">
        <v>1</v>
      </c>
      <c r="H31" s="97" t="s">
        <v>2278</v>
      </c>
    </row>
    <row r="32" spans="1:14" x14ac:dyDescent="0.25">
      <c r="A32" s="17">
        <f t="shared" si="0"/>
        <v>26</v>
      </c>
      <c r="B32" s="14" t="s">
        <v>2275</v>
      </c>
      <c r="C32" s="11" t="s">
        <v>17</v>
      </c>
      <c r="D32" s="54" t="s">
        <v>1286</v>
      </c>
      <c r="E32" s="14">
        <v>42262</v>
      </c>
      <c r="F32" s="30" t="s">
        <v>1275</v>
      </c>
      <c r="G32" s="12">
        <v>1</v>
      </c>
      <c r="H32" s="97" t="s">
        <v>2276</v>
      </c>
    </row>
    <row r="33" spans="1:8" x14ac:dyDescent="0.25">
      <c r="A33" s="17">
        <f t="shared" si="0"/>
        <v>27</v>
      </c>
      <c r="B33" s="14" t="s">
        <v>1276</v>
      </c>
      <c r="C33" s="11" t="s">
        <v>17</v>
      </c>
      <c r="D33" s="54" t="s">
        <v>1277</v>
      </c>
      <c r="E33" s="14">
        <v>42263</v>
      </c>
      <c r="F33" s="30" t="s">
        <v>811</v>
      </c>
      <c r="G33" s="12">
        <v>1</v>
      </c>
      <c r="H33" s="97"/>
    </row>
    <row r="34" spans="1:8" x14ac:dyDescent="0.25">
      <c r="A34" s="17">
        <f t="shared" si="0"/>
        <v>28</v>
      </c>
      <c r="B34" s="14" t="s">
        <v>1278</v>
      </c>
      <c r="C34" s="11" t="s">
        <v>1279</v>
      </c>
      <c r="D34" s="54" t="s">
        <v>1280</v>
      </c>
      <c r="E34" s="14">
        <v>42263</v>
      </c>
      <c r="F34" s="30" t="s">
        <v>811</v>
      </c>
      <c r="G34" s="12">
        <v>1</v>
      </c>
      <c r="H34" s="97"/>
    </row>
    <row r="35" spans="1:8" x14ac:dyDescent="0.25">
      <c r="A35" s="17">
        <f t="shared" si="0"/>
        <v>29</v>
      </c>
      <c r="B35" s="14" t="s">
        <v>1281</v>
      </c>
      <c r="C35" s="11" t="s">
        <v>17</v>
      </c>
      <c r="D35" s="54" t="s">
        <v>1282</v>
      </c>
      <c r="E35" s="14">
        <v>42264</v>
      </c>
      <c r="F35" s="30" t="s">
        <v>811</v>
      </c>
      <c r="G35" s="12">
        <v>1</v>
      </c>
      <c r="H35" s="97"/>
    </row>
    <row r="36" spans="1:8" x14ac:dyDescent="0.25">
      <c r="A36" s="17">
        <f t="shared" si="0"/>
        <v>30</v>
      </c>
      <c r="B36" s="14" t="s">
        <v>1283</v>
      </c>
      <c r="C36" s="11" t="s">
        <v>17</v>
      </c>
      <c r="D36" s="54" t="s">
        <v>1284</v>
      </c>
      <c r="E36" s="14">
        <v>42264</v>
      </c>
      <c r="F36" s="30" t="s">
        <v>811</v>
      </c>
      <c r="G36" s="12">
        <v>1</v>
      </c>
      <c r="H36" s="97"/>
    </row>
    <row r="37" spans="1:8" ht="15" customHeight="1" x14ac:dyDescent="0.25">
      <c r="A37" s="17">
        <f t="shared" si="0"/>
        <v>31</v>
      </c>
      <c r="B37" s="14" t="s">
        <v>1285</v>
      </c>
      <c r="C37" s="11" t="s">
        <v>17</v>
      </c>
      <c r="D37" s="54" t="s">
        <v>1287</v>
      </c>
      <c r="E37" s="14">
        <v>42264</v>
      </c>
      <c r="F37" s="30" t="s">
        <v>811</v>
      </c>
      <c r="G37" s="12">
        <v>1</v>
      </c>
      <c r="H37" s="97"/>
    </row>
    <row r="38" spans="1:8" ht="15" customHeight="1" x14ac:dyDescent="0.25">
      <c r="A38" s="17">
        <f t="shared" si="0"/>
        <v>32</v>
      </c>
      <c r="B38" s="14" t="s">
        <v>1288</v>
      </c>
      <c r="C38" s="11" t="s">
        <v>17</v>
      </c>
      <c r="D38" s="54" t="s">
        <v>1289</v>
      </c>
      <c r="E38" s="14">
        <v>42264</v>
      </c>
      <c r="F38" s="30" t="s">
        <v>811</v>
      </c>
      <c r="G38" s="12">
        <v>1</v>
      </c>
      <c r="H38" s="97"/>
    </row>
    <row r="39" spans="1:8" ht="15" customHeight="1" x14ac:dyDescent="0.25">
      <c r="A39" s="17">
        <f t="shared" si="0"/>
        <v>33</v>
      </c>
      <c r="B39" s="14" t="s">
        <v>2363</v>
      </c>
      <c r="C39" s="11">
        <v>30</v>
      </c>
      <c r="D39" s="54" t="s">
        <v>1290</v>
      </c>
      <c r="E39" s="14">
        <v>42264</v>
      </c>
      <c r="F39" s="30" t="s">
        <v>1291</v>
      </c>
      <c r="G39" s="12">
        <v>1</v>
      </c>
      <c r="H39" s="97"/>
    </row>
    <row r="40" spans="1:8" ht="15" customHeight="1" x14ac:dyDescent="0.25">
      <c r="A40" s="17">
        <f t="shared" si="0"/>
        <v>34</v>
      </c>
      <c r="B40" s="14" t="s">
        <v>1292</v>
      </c>
      <c r="C40" s="11">
        <v>65</v>
      </c>
      <c r="D40" s="54" t="s">
        <v>1293</v>
      </c>
      <c r="E40" s="14">
        <v>42264</v>
      </c>
      <c r="F40" s="30" t="s">
        <v>811</v>
      </c>
      <c r="G40" s="12">
        <v>1</v>
      </c>
      <c r="H40" s="97"/>
    </row>
    <row r="41" spans="1:8" x14ac:dyDescent="0.25">
      <c r="A41" s="17">
        <f t="shared" si="0"/>
        <v>35</v>
      </c>
      <c r="B41" s="14" t="s">
        <v>2279</v>
      </c>
      <c r="C41" s="11" t="s">
        <v>17</v>
      </c>
      <c r="D41" s="54" t="s">
        <v>1294</v>
      </c>
      <c r="E41" s="14">
        <v>42267</v>
      </c>
      <c r="F41" s="30" t="s">
        <v>1295</v>
      </c>
      <c r="G41" s="12">
        <v>1</v>
      </c>
      <c r="H41" s="97" t="s">
        <v>2280</v>
      </c>
    </row>
    <row r="42" spans="1:8" x14ac:dyDescent="0.25">
      <c r="A42" s="17">
        <f t="shared" si="0"/>
        <v>36</v>
      </c>
      <c r="B42" s="14" t="s">
        <v>2281</v>
      </c>
      <c r="C42" s="11" t="s">
        <v>17</v>
      </c>
      <c r="D42" s="54" t="s">
        <v>1296</v>
      </c>
      <c r="E42" s="14">
        <v>42267</v>
      </c>
      <c r="F42" s="30" t="s">
        <v>2287</v>
      </c>
      <c r="G42" s="12">
        <v>1</v>
      </c>
      <c r="H42" s="97" t="s">
        <v>2282</v>
      </c>
    </row>
    <row r="43" spans="1:8" x14ac:dyDescent="0.25">
      <c r="A43" s="17">
        <f t="shared" si="0"/>
        <v>37</v>
      </c>
      <c r="B43" s="14" t="s">
        <v>2366</v>
      </c>
      <c r="C43" s="11" t="s">
        <v>17</v>
      </c>
      <c r="D43" s="54" t="s">
        <v>1297</v>
      </c>
      <c r="E43" s="14">
        <v>42267</v>
      </c>
      <c r="F43" s="30" t="s">
        <v>1298</v>
      </c>
      <c r="G43" s="12">
        <v>1</v>
      </c>
      <c r="H43" s="97" t="s">
        <v>2288</v>
      </c>
    </row>
    <row r="44" spans="1:8" x14ac:dyDescent="0.25">
      <c r="A44" s="17">
        <f t="shared" si="0"/>
        <v>38</v>
      </c>
      <c r="B44" s="14" t="s">
        <v>1299</v>
      </c>
      <c r="C44" s="11" t="s">
        <v>17</v>
      </c>
      <c r="D44" s="54" t="s">
        <v>1300</v>
      </c>
      <c r="E44" s="14">
        <v>42267</v>
      </c>
      <c r="F44" s="30" t="s">
        <v>811</v>
      </c>
      <c r="G44" s="12">
        <v>1</v>
      </c>
      <c r="H44" s="97"/>
    </row>
    <row r="45" spans="1:8" x14ac:dyDescent="0.25">
      <c r="A45" s="17">
        <f t="shared" si="0"/>
        <v>39</v>
      </c>
      <c r="B45" s="14" t="s">
        <v>1301</v>
      </c>
      <c r="C45" s="11" t="s">
        <v>17</v>
      </c>
      <c r="D45" s="54" t="s">
        <v>1302</v>
      </c>
      <c r="E45" s="14">
        <v>42268</v>
      </c>
      <c r="F45" s="30" t="s">
        <v>811</v>
      </c>
      <c r="G45" s="12">
        <v>1</v>
      </c>
      <c r="H45" s="97" t="s">
        <v>1328</v>
      </c>
    </row>
    <row r="46" spans="1:8" x14ac:dyDescent="0.25">
      <c r="A46" s="17">
        <f t="shared" si="0"/>
        <v>40</v>
      </c>
      <c r="B46" s="14" t="s">
        <v>1303</v>
      </c>
      <c r="C46" s="11" t="s">
        <v>17</v>
      </c>
      <c r="D46" s="54" t="s">
        <v>1304</v>
      </c>
      <c r="E46" s="14">
        <v>42268</v>
      </c>
      <c r="F46" s="30" t="s">
        <v>811</v>
      </c>
      <c r="G46" s="12">
        <v>1</v>
      </c>
      <c r="H46" s="97" t="s">
        <v>1328</v>
      </c>
    </row>
    <row r="47" spans="1:8" x14ac:dyDescent="0.25">
      <c r="A47" s="17">
        <f t="shared" si="0"/>
        <v>41</v>
      </c>
      <c r="B47" s="14" t="s">
        <v>1305</v>
      </c>
      <c r="C47" s="11">
        <v>30</v>
      </c>
      <c r="D47" s="54" t="s">
        <v>1306</v>
      </c>
      <c r="E47" s="14">
        <v>42268</v>
      </c>
      <c r="F47" s="30" t="s">
        <v>811</v>
      </c>
      <c r="G47" s="12">
        <v>1</v>
      </c>
      <c r="H47" s="97"/>
    </row>
    <row r="48" spans="1:8" x14ac:dyDescent="0.25">
      <c r="A48" s="17">
        <f t="shared" si="0"/>
        <v>42</v>
      </c>
      <c r="B48" s="14" t="s">
        <v>2284</v>
      </c>
      <c r="C48" s="11" t="s">
        <v>17</v>
      </c>
      <c r="D48" s="54" t="s">
        <v>1307</v>
      </c>
      <c r="E48" s="14">
        <v>42270</v>
      </c>
      <c r="F48" s="30" t="s">
        <v>1308</v>
      </c>
      <c r="G48" s="12">
        <v>1</v>
      </c>
      <c r="H48" s="97" t="s">
        <v>2283</v>
      </c>
    </row>
    <row r="49" spans="1:8" x14ac:dyDescent="0.25">
      <c r="A49" s="17">
        <f t="shared" si="0"/>
        <v>43</v>
      </c>
      <c r="B49" s="14" t="s">
        <v>1309</v>
      </c>
      <c r="C49" s="11" t="s">
        <v>17</v>
      </c>
      <c r="D49" s="54" t="s">
        <v>1310</v>
      </c>
      <c r="E49" s="14">
        <v>42270</v>
      </c>
      <c r="F49" s="30" t="s">
        <v>811</v>
      </c>
      <c r="G49" s="12">
        <v>1</v>
      </c>
      <c r="H49" s="97"/>
    </row>
    <row r="50" spans="1:8" x14ac:dyDescent="0.25">
      <c r="A50" s="17">
        <f t="shared" si="0"/>
        <v>44</v>
      </c>
      <c r="B50" s="14" t="s">
        <v>2285</v>
      </c>
      <c r="C50" s="11" t="s">
        <v>17</v>
      </c>
      <c r="D50" s="54" t="s">
        <v>1316</v>
      </c>
      <c r="E50" s="14">
        <v>42275</v>
      </c>
      <c r="F50" s="30" t="s">
        <v>1317</v>
      </c>
      <c r="G50" s="12">
        <v>1</v>
      </c>
      <c r="H50" s="97" t="s">
        <v>2286</v>
      </c>
    </row>
    <row r="51" spans="1:8" x14ac:dyDescent="0.25">
      <c r="A51" s="17">
        <f t="shared" si="0"/>
        <v>45</v>
      </c>
      <c r="B51" s="14" t="s">
        <v>2290</v>
      </c>
      <c r="C51" s="11" t="s">
        <v>17</v>
      </c>
      <c r="D51" s="54" t="s">
        <v>1315</v>
      </c>
      <c r="E51" s="14">
        <v>42275</v>
      </c>
      <c r="F51" s="30" t="s">
        <v>2289</v>
      </c>
      <c r="G51" s="12">
        <v>1</v>
      </c>
      <c r="H51" s="97" t="s">
        <v>2291</v>
      </c>
    </row>
    <row r="52" spans="1:8" x14ac:dyDescent="0.25">
      <c r="A52" s="17">
        <f t="shared" si="0"/>
        <v>46</v>
      </c>
      <c r="B52" s="14" t="s">
        <v>2292</v>
      </c>
      <c r="C52" s="11" t="s">
        <v>17</v>
      </c>
      <c r="D52" s="54" t="s">
        <v>1313</v>
      </c>
      <c r="E52" s="14">
        <v>42275</v>
      </c>
      <c r="F52" s="30" t="s">
        <v>1314</v>
      </c>
      <c r="G52" s="12">
        <v>1</v>
      </c>
      <c r="H52" s="97" t="s">
        <v>2293</v>
      </c>
    </row>
    <row r="53" spans="1:8" x14ac:dyDescent="0.25">
      <c r="A53" s="17">
        <f t="shared" si="0"/>
        <v>47</v>
      </c>
      <c r="B53" s="14" t="s">
        <v>2294</v>
      </c>
      <c r="C53" s="11" t="s">
        <v>17</v>
      </c>
      <c r="D53" s="54" t="s">
        <v>1319</v>
      </c>
      <c r="E53" s="14">
        <v>42275</v>
      </c>
      <c r="F53" s="30" t="s">
        <v>1320</v>
      </c>
      <c r="G53" s="12">
        <v>1</v>
      </c>
      <c r="H53" s="97" t="s">
        <v>2295</v>
      </c>
    </row>
    <row r="54" spans="1:8" x14ac:dyDescent="0.25">
      <c r="A54" s="17">
        <f t="shared" si="0"/>
        <v>48</v>
      </c>
      <c r="B54" s="14" t="s">
        <v>2370</v>
      </c>
      <c r="C54" s="11" t="s">
        <v>17</v>
      </c>
      <c r="D54" s="54" t="s">
        <v>1321</v>
      </c>
      <c r="E54" s="14">
        <v>42275</v>
      </c>
      <c r="F54" s="30" t="s">
        <v>1322</v>
      </c>
      <c r="G54" s="12">
        <v>1</v>
      </c>
      <c r="H54" s="97" t="s">
        <v>2367</v>
      </c>
    </row>
    <row r="55" spans="1:8" x14ac:dyDescent="0.25">
      <c r="A55" s="17">
        <f t="shared" si="0"/>
        <v>49</v>
      </c>
      <c r="B55" s="14" t="s">
        <v>2297</v>
      </c>
      <c r="C55" s="11" t="s">
        <v>17</v>
      </c>
      <c r="D55" s="54" t="s">
        <v>1311</v>
      </c>
      <c r="E55" s="14">
        <v>42275</v>
      </c>
      <c r="F55" s="30" t="s">
        <v>1312</v>
      </c>
      <c r="G55" s="12">
        <v>1</v>
      </c>
      <c r="H55" s="97" t="s">
        <v>2296</v>
      </c>
    </row>
    <row r="56" spans="1:8" x14ac:dyDescent="0.25">
      <c r="A56" s="17">
        <f t="shared" si="0"/>
        <v>50</v>
      </c>
      <c r="B56" s="14" t="s">
        <v>2298</v>
      </c>
      <c r="C56" s="11" t="s">
        <v>17</v>
      </c>
      <c r="D56" s="54" t="s">
        <v>1325</v>
      </c>
      <c r="E56" s="14">
        <v>42275</v>
      </c>
      <c r="F56" s="30" t="s">
        <v>1326</v>
      </c>
      <c r="G56" s="12">
        <v>1</v>
      </c>
      <c r="H56" s="97" t="s">
        <v>2299</v>
      </c>
    </row>
    <row r="57" spans="1:8" x14ac:dyDescent="0.25">
      <c r="A57" s="17">
        <f t="shared" si="0"/>
        <v>51</v>
      </c>
      <c r="B57" s="14" t="s">
        <v>2300</v>
      </c>
      <c r="C57" s="11" t="s">
        <v>17</v>
      </c>
      <c r="D57" s="54" t="s">
        <v>1318</v>
      </c>
      <c r="E57" s="14">
        <v>42275</v>
      </c>
      <c r="F57" s="30" t="s">
        <v>1327</v>
      </c>
      <c r="G57" s="12">
        <v>1</v>
      </c>
      <c r="H57" s="97" t="s">
        <v>2303</v>
      </c>
    </row>
    <row r="58" spans="1:8" x14ac:dyDescent="0.25">
      <c r="A58" s="17">
        <f t="shared" si="0"/>
        <v>52</v>
      </c>
      <c r="B58" s="14" t="s">
        <v>2301</v>
      </c>
      <c r="C58" s="11" t="s">
        <v>17</v>
      </c>
      <c r="D58" s="54" t="s">
        <v>1323</v>
      </c>
      <c r="E58" s="14">
        <v>42275</v>
      </c>
      <c r="F58" s="30" t="s">
        <v>1324</v>
      </c>
      <c r="G58" s="12">
        <v>1</v>
      </c>
      <c r="H58" s="97" t="s">
        <v>2302</v>
      </c>
    </row>
    <row r="59" spans="1:8" x14ac:dyDescent="0.25">
      <c r="A59" s="17">
        <f t="shared" si="0"/>
        <v>53</v>
      </c>
      <c r="B59" s="14" t="s">
        <v>1329</v>
      </c>
      <c r="C59" s="11" t="s">
        <v>17</v>
      </c>
      <c r="D59" s="54" t="s">
        <v>1330</v>
      </c>
      <c r="E59" s="14">
        <v>42277</v>
      </c>
      <c r="F59" s="30" t="s">
        <v>99</v>
      </c>
      <c r="G59" s="12">
        <v>1</v>
      </c>
      <c r="H59" s="97"/>
    </row>
  </sheetData>
  <sortState ref="B50:F58">
    <sortCondition ref="D50:D58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topLeftCell="A76" workbookViewId="0">
      <selection activeCell="B80" sqref="B80"/>
    </sheetView>
  </sheetViews>
  <sheetFormatPr baseColWidth="10" defaultColWidth="11.42578125" defaultRowHeight="15" x14ac:dyDescent="0.25"/>
  <cols>
    <col min="1" max="1" width="8.28515625" customWidth="1"/>
    <col min="2" max="2" width="11.85546875" customWidth="1"/>
    <col min="3" max="3" width="13.140625" customWidth="1"/>
    <col min="4" max="4" width="13.85546875" customWidth="1"/>
    <col min="5" max="5" width="12.5703125" customWidth="1"/>
    <col min="6" max="6" width="21.140625" bestFit="1" customWidth="1"/>
    <col min="7" max="7" width="3.5703125" hidden="1" customWidth="1"/>
    <col min="8" max="8" width="15.85546875" bestFit="1" customWidth="1"/>
  </cols>
  <sheetData>
    <row r="1" spans="1:11" ht="18" x14ac:dyDescent="0.25">
      <c r="A1" s="102" t="s">
        <v>0</v>
      </c>
      <c r="B1" s="102"/>
      <c r="C1" s="10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106" t="s">
        <v>2</v>
      </c>
      <c r="B2" s="106"/>
      <c r="C2" s="106"/>
      <c r="D2" s="6"/>
      <c r="E2" s="5" t="s">
        <v>3</v>
      </c>
      <c r="F2" s="5"/>
      <c r="G2" s="4"/>
      <c r="H2" s="4"/>
      <c r="I2" s="103" t="s">
        <v>4</v>
      </c>
      <c r="J2" s="104"/>
      <c r="K2" s="22">
        <f>SUMIF(F7:F83,"Elimination*",G7:G83)</f>
        <v>36</v>
      </c>
    </row>
    <row r="3" spans="1:11" x14ac:dyDescent="0.25">
      <c r="A3" s="107" t="s">
        <v>5</v>
      </c>
      <c r="B3" s="107"/>
      <c r="C3" s="107"/>
      <c r="D3" s="5"/>
      <c r="E3" s="4" t="s">
        <v>6</v>
      </c>
      <c r="F3" s="4"/>
      <c r="G3" s="4"/>
      <c r="H3" s="4"/>
      <c r="I3" s="103" t="s">
        <v>7</v>
      </c>
      <c r="J3" s="104"/>
      <c r="K3" s="22">
        <f>SUMIF(F7:F83,"NB*",G7:G83)</f>
        <v>15</v>
      </c>
    </row>
    <row r="4" spans="1:11" ht="18" x14ac:dyDescent="0.25">
      <c r="A4" s="102" t="s">
        <v>8</v>
      </c>
      <c r="B4" s="102"/>
      <c r="C4" s="102"/>
      <c r="D4" s="102"/>
      <c r="E4" s="102"/>
      <c r="F4" s="102"/>
      <c r="G4" s="4"/>
      <c r="H4" s="4"/>
      <c r="I4" s="103" t="s">
        <v>9</v>
      </c>
      <c r="J4" s="104"/>
      <c r="K4" s="22">
        <f>SUMIF(F7:F83,"Ve*",G7:G83)</f>
        <v>26</v>
      </c>
    </row>
    <row r="5" spans="1:11" ht="15.75" x14ac:dyDescent="0.25">
      <c r="A5" s="105" t="s">
        <v>1331</v>
      </c>
      <c r="B5" s="105"/>
      <c r="C5" s="105"/>
      <c r="D5" s="105"/>
      <c r="E5" s="105"/>
      <c r="F5" s="105"/>
      <c r="G5" s="24"/>
      <c r="H5" s="24"/>
      <c r="I5" s="103" t="s">
        <v>10</v>
      </c>
      <c r="J5" s="104"/>
      <c r="K5" s="26">
        <f>SUM(K2:K4)</f>
        <v>77</v>
      </c>
    </row>
    <row r="6" spans="1:11" ht="22.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x14ac:dyDescent="0.25">
      <c r="A7" s="17">
        <v>1</v>
      </c>
      <c r="B7" s="14" t="s">
        <v>2306</v>
      </c>
      <c r="C7" s="11" t="s">
        <v>17</v>
      </c>
      <c r="D7" s="54" t="s">
        <v>1332</v>
      </c>
      <c r="E7" s="14">
        <v>42281</v>
      </c>
      <c r="F7" s="30" t="s">
        <v>1333</v>
      </c>
      <c r="G7" s="19">
        <v>1</v>
      </c>
      <c r="H7" s="98" t="s">
        <v>2307</v>
      </c>
      <c r="I7" s="18"/>
      <c r="J7" s="18"/>
      <c r="K7" s="1"/>
    </row>
    <row r="8" spans="1:11" x14ac:dyDescent="0.25">
      <c r="A8" s="17">
        <f>A7+1</f>
        <v>2</v>
      </c>
      <c r="B8" s="14" t="s">
        <v>2308</v>
      </c>
      <c r="C8" s="11" t="s">
        <v>17</v>
      </c>
      <c r="D8" s="54" t="s">
        <v>1334</v>
      </c>
      <c r="E8" s="14">
        <v>42281</v>
      </c>
      <c r="F8" s="30" t="s">
        <v>1335</v>
      </c>
      <c r="G8" s="19">
        <v>1</v>
      </c>
      <c r="H8" s="60" t="s">
        <v>2309</v>
      </c>
      <c r="I8" s="2"/>
      <c r="J8" s="2"/>
      <c r="K8" s="1"/>
    </row>
    <row r="9" spans="1:11" x14ac:dyDescent="0.25">
      <c r="A9" s="17">
        <f t="shared" ref="A9:A22" si="0">A8+1</f>
        <v>3</v>
      </c>
      <c r="B9" s="14" t="s">
        <v>1337</v>
      </c>
      <c r="C9" s="11" t="s">
        <v>17</v>
      </c>
      <c r="D9" s="54" t="s">
        <v>1336</v>
      </c>
      <c r="E9" s="14">
        <v>42281</v>
      </c>
      <c r="F9" s="30" t="s">
        <v>811</v>
      </c>
      <c r="G9" s="19">
        <v>1</v>
      </c>
      <c r="H9" s="25"/>
      <c r="I9" s="2"/>
      <c r="J9" s="2"/>
      <c r="K9" s="1"/>
    </row>
    <row r="10" spans="1:11" x14ac:dyDescent="0.25">
      <c r="A10" s="17">
        <f t="shared" si="0"/>
        <v>4</v>
      </c>
      <c r="B10" s="14" t="s">
        <v>1338</v>
      </c>
      <c r="C10" s="11" t="s">
        <v>17</v>
      </c>
      <c r="D10" s="54" t="s">
        <v>1339</v>
      </c>
      <c r="E10" s="14">
        <v>42282</v>
      </c>
      <c r="F10" s="30" t="s">
        <v>99</v>
      </c>
      <c r="G10" s="19">
        <v>1</v>
      </c>
      <c r="H10" s="25"/>
      <c r="I10" s="2"/>
      <c r="J10" s="2"/>
      <c r="K10" s="1"/>
    </row>
    <row r="11" spans="1:11" x14ac:dyDescent="0.25">
      <c r="A11" s="17">
        <f t="shared" si="0"/>
        <v>5</v>
      </c>
      <c r="B11" s="14" t="s">
        <v>1340</v>
      </c>
      <c r="C11" s="11" t="s">
        <v>17</v>
      </c>
      <c r="D11" s="54" t="s">
        <v>1341</v>
      </c>
      <c r="E11" s="14">
        <v>42284</v>
      </c>
      <c r="F11" s="30" t="s">
        <v>99</v>
      </c>
      <c r="G11" s="19">
        <v>1</v>
      </c>
      <c r="H11" s="60"/>
      <c r="I11" s="2"/>
      <c r="J11" s="2"/>
      <c r="K11" s="1"/>
    </row>
    <row r="12" spans="1:11" x14ac:dyDescent="0.25">
      <c r="A12" s="17">
        <f t="shared" si="0"/>
        <v>6</v>
      </c>
      <c r="B12" s="14" t="s">
        <v>2310</v>
      </c>
      <c r="C12" s="11" t="s">
        <v>17</v>
      </c>
      <c r="D12" s="54" t="s">
        <v>1342</v>
      </c>
      <c r="E12" s="14">
        <v>42284</v>
      </c>
      <c r="F12" s="30" t="s">
        <v>1343</v>
      </c>
      <c r="G12" s="19">
        <v>1</v>
      </c>
      <c r="H12" s="2" t="s">
        <v>2311</v>
      </c>
      <c r="I12" s="2"/>
      <c r="J12" s="2"/>
      <c r="K12" s="1"/>
    </row>
    <row r="13" spans="1:11" x14ac:dyDescent="0.25">
      <c r="A13" s="17">
        <f t="shared" si="0"/>
        <v>7</v>
      </c>
      <c r="B13" s="14" t="s">
        <v>1346</v>
      </c>
      <c r="C13" s="11" t="s">
        <v>17</v>
      </c>
      <c r="D13" s="54" t="s">
        <v>1347</v>
      </c>
      <c r="E13" s="14">
        <v>42285</v>
      </c>
      <c r="F13" s="30" t="s">
        <v>811</v>
      </c>
      <c r="G13" s="19">
        <v>1</v>
      </c>
      <c r="H13" s="2"/>
      <c r="I13" s="2"/>
      <c r="J13" s="2"/>
      <c r="K13" s="1"/>
    </row>
    <row r="14" spans="1:11" x14ac:dyDescent="0.25">
      <c r="A14" s="17">
        <f t="shared" si="0"/>
        <v>8</v>
      </c>
      <c r="B14" s="14" t="s">
        <v>1353</v>
      </c>
      <c r="C14" s="11" t="s">
        <v>17</v>
      </c>
      <c r="D14" s="54" t="s">
        <v>1352</v>
      </c>
      <c r="E14" s="14">
        <v>42285</v>
      </c>
      <c r="F14" s="30" t="s">
        <v>811</v>
      </c>
      <c r="G14" s="19">
        <v>1</v>
      </c>
      <c r="H14" s="13"/>
      <c r="I14" s="2"/>
      <c r="J14" s="2"/>
      <c r="K14" s="1"/>
    </row>
    <row r="15" spans="1:11" x14ac:dyDescent="0.25">
      <c r="A15" s="17">
        <f t="shared" si="0"/>
        <v>9</v>
      </c>
      <c r="B15" s="14" t="s">
        <v>1344</v>
      </c>
      <c r="C15" s="11" t="s">
        <v>17</v>
      </c>
      <c r="D15" s="54" t="s">
        <v>1345</v>
      </c>
      <c r="E15" s="14">
        <v>42285</v>
      </c>
      <c r="F15" s="30" t="s">
        <v>811</v>
      </c>
      <c r="G15" s="19">
        <v>1</v>
      </c>
      <c r="H15" s="13"/>
      <c r="I15" s="2"/>
      <c r="J15" s="2"/>
      <c r="K15" s="1"/>
    </row>
    <row r="16" spans="1:11" x14ac:dyDescent="0.25">
      <c r="A16" s="17">
        <f t="shared" si="0"/>
        <v>10</v>
      </c>
      <c r="B16" s="14" t="s">
        <v>1378</v>
      </c>
      <c r="C16" s="11" t="s">
        <v>17</v>
      </c>
      <c r="D16" s="54" t="s">
        <v>1379</v>
      </c>
      <c r="E16" s="14">
        <v>42285</v>
      </c>
      <c r="F16" s="30" t="s">
        <v>811</v>
      </c>
      <c r="G16" s="19">
        <v>1</v>
      </c>
      <c r="H16" s="13"/>
      <c r="I16" s="2"/>
      <c r="J16" s="2"/>
      <c r="K16" s="1"/>
    </row>
    <row r="17" spans="1:11" x14ac:dyDescent="0.25">
      <c r="A17" s="17">
        <f t="shared" si="0"/>
        <v>11</v>
      </c>
      <c r="B17" s="14" t="s">
        <v>1350</v>
      </c>
      <c r="C17" s="11" t="s">
        <v>17</v>
      </c>
      <c r="D17" s="54" t="s">
        <v>1351</v>
      </c>
      <c r="E17" s="14">
        <v>42285</v>
      </c>
      <c r="F17" s="30" t="s">
        <v>811</v>
      </c>
      <c r="G17" s="19">
        <v>1</v>
      </c>
      <c r="H17" s="13"/>
      <c r="I17" s="2"/>
      <c r="J17" s="2"/>
      <c r="K17" s="1"/>
    </row>
    <row r="18" spans="1:11" x14ac:dyDescent="0.25">
      <c r="A18" s="17">
        <f t="shared" si="0"/>
        <v>12</v>
      </c>
      <c r="B18" s="14" t="s">
        <v>1380</v>
      </c>
      <c r="C18" s="11" t="s">
        <v>17</v>
      </c>
      <c r="D18" s="54" t="s">
        <v>1381</v>
      </c>
      <c r="E18" s="14">
        <v>42285</v>
      </c>
      <c r="F18" s="30" t="s">
        <v>811</v>
      </c>
      <c r="G18" s="19">
        <v>1</v>
      </c>
      <c r="H18" s="13"/>
      <c r="I18" s="2"/>
      <c r="J18" s="2"/>
      <c r="K18" s="1"/>
    </row>
    <row r="19" spans="1:11" x14ac:dyDescent="0.25">
      <c r="A19" s="17">
        <f t="shared" si="0"/>
        <v>13</v>
      </c>
      <c r="B19" s="14" t="s">
        <v>1348</v>
      </c>
      <c r="C19" s="11" t="s">
        <v>17</v>
      </c>
      <c r="D19" s="54" t="s">
        <v>1349</v>
      </c>
      <c r="E19" s="14">
        <v>42285</v>
      </c>
      <c r="F19" s="30" t="s">
        <v>811</v>
      </c>
      <c r="G19" s="19">
        <v>1</v>
      </c>
      <c r="H19" s="13"/>
      <c r="I19" s="2"/>
      <c r="J19" s="2"/>
      <c r="K19" s="1"/>
    </row>
    <row r="20" spans="1:11" x14ac:dyDescent="0.25">
      <c r="A20" s="17">
        <f t="shared" si="0"/>
        <v>14</v>
      </c>
      <c r="B20" s="14" t="s">
        <v>178</v>
      </c>
      <c r="C20" s="11">
        <v>30</v>
      </c>
      <c r="D20" s="54" t="s">
        <v>1382</v>
      </c>
      <c r="E20" s="14">
        <v>42285</v>
      </c>
      <c r="F20" s="30" t="s">
        <v>811</v>
      </c>
      <c r="G20" s="19">
        <v>1</v>
      </c>
      <c r="H20" s="13"/>
      <c r="I20" s="2"/>
      <c r="J20" s="2"/>
      <c r="K20" s="1"/>
    </row>
    <row r="21" spans="1:11" x14ac:dyDescent="0.25">
      <c r="A21" s="17">
        <f t="shared" si="0"/>
        <v>15</v>
      </c>
      <c r="B21" s="14" t="s">
        <v>1917</v>
      </c>
      <c r="C21" s="11" t="s">
        <v>17</v>
      </c>
      <c r="D21" s="54" t="s">
        <v>1354</v>
      </c>
      <c r="E21" s="14">
        <v>42285</v>
      </c>
      <c r="F21" s="30" t="s">
        <v>99</v>
      </c>
      <c r="G21" s="19">
        <v>1</v>
      </c>
    </row>
    <row r="22" spans="1:11" x14ac:dyDescent="0.25">
      <c r="A22" s="17">
        <f t="shared" si="0"/>
        <v>16</v>
      </c>
      <c r="B22" s="14" t="s">
        <v>1917</v>
      </c>
      <c r="C22" s="11" t="s">
        <v>17</v>
      </c>
      <c r="D22" s="54" t="s">
        <v>1355</v>
      </c>
      <c r="E22" s="14">
        <v>42285</v>
      </c>
      <c r="F22" s="30" t="s">
        <v>99</v>
      </c>
      <c r="G22" s="19">
        <v>1</v>
      </c>
    </row>
    <row r="23" spans="1:11" x14ac:dyDescent="0.25">
      <c r="A23" s="17">
        <f t="shared" ref="A23:A83" si="1">A22+1</f>
        <v>17</v>
      </c>
      <c r="B23" s="14" t="s">
        <v>1917</v>
      </c>
      <c r="C23" s="11" t="s">
        <v>17</v>
      </c>
      <c r="D23" s="54" t="s">
        <v>1356</v>
      </c>
      <c r="E23" s="14">
        <v>42285</v>
      </c>
      <c r="F23" s="30" t="s">
        <v>99</v>
      </c>
      <c r="G23" s="19">
        <v>1</v>
      </c>
    </row>
    <row r="24" spans="1:11" x14ac:dyDescent="0.25">
      <c r="A24" s="17">
        <f t="shared" si="1"/>
        <v>18</v>
      </c>
      <c r="B24" s="14" t="s">
        <v>1917</v>
      </c>
      <c r="C24" s="11" t="s">
        <v>17</v>
      </c>
      <c r="D24" s="54" t="s">
        <v>1357</v>
      </c>
      <c r="E24" s="14">
        <v>42285</v>
      </c>
      <c r="F24" s="30" t="s">
        <v>99</v>
      </c>
      <c r="G24" s="19">
        <v>1</v>
      </c>
    </row>
    <row r="25" spans="1:11" x14ac:dyDescent="0.25">
      <c r="A25" s="17">
        <f t="shared" si="1"/>
        <v>19</v>
      </c>
      <c r="B25" s="14" t="s">
        <v>1917</v>
      </c>
      <c r="C25" s="11" t="s">
        <v>17</v>
      </c>
      <c r="D25" s="54" t="s">
        <v>1358</v>
      </c>
      <c r="E25" s="14">
        <v>42285</v>
      </c>
      <c r="F25" s="30" t="s">
        <v>99</v>
      </c>
      <c r="G25" s="19">
        <v>1</v>
      </c>
    </row>
    <row r="26" spans="1:11" x14ac:dyDescent="0.25">
      <c r="A26" s="17">
        <f t="shared" si="1"/>
        <v>20</v>
      </c>
      <c r="B26" s="14" t="s">
        <v>1917</v>
      </c>
      <c r="C26" s="11" t="s">
        <v>17</v>
      </c>
      <c r="D26" s="54" t="s">
        <v>1359</v>
      </c>
      <c r="E26" s="14">
        <v>42285</v>
      </c>
      <c r="F26" s="30" t="s">
        <v>99</v>
      </c>
      <c r="G26" s="19">
        <v>1</v>
      </c>
    </row>
    <row r="27" spans="1:11" x14ac:dyDescent="0.25">
      <c r="A27" s="17">
        <f t="shared" si="1"/>
        <v>21</v>
      </c>
      <c r="B27" s="14" t="s">
        <v>1917</v>
      </c>
      <c r="C27" s="11" t="s">
        <v>17</v>
      </c>
      <c r="D27" s="54" t="s">
        <v>1360</v>
      </c>
      <c r="E27" s="14">
        <v>42285</v>
      </c>
      <c r="F27" s="30" t="s">
        <v>99</v>
      </c>
      <c r="G27" s="19">
        <v>1</v>
      </c>
    </row>
    <row r="28" spans="1:11" x14ac:dyDescent="0.25">
      <c r="A28" s="17">
        <f t="shared" si="1"/>
        <v>22</v>
      </c>
      <c r="B28" s="14" t="s">
        <v>1917</v>
      </c>
      <c r="C28" s="11" t="s">
        <v>17</v>
      </c>
      <c r="D28" s="54" t="s">
        <v>1361</v>
      </c>
      <c r="E28" s="14">
        <v>42285</v>
      </c>
      <c r="F28" s="30" t="s">
        <v>99</v>
      </c>
      <c r="G28" s="19">
        <v>1</v>
      </c>
    </row>
    <row r="29" spans="1:11" x14ac:dyDescent="0.25">
      <c r="A29" s="17">
        <f t="shared" si="1"/>
        <v>23</v>
      </c>
      <c r="B29" s="14" t="s">
        <v>1917</v>
      </c>
      <c r="C29" s="11" t="s">
        <v>17</v>
      </c>
      <c r="D29" s="54" t="s">
        <v>1362</v>
      </c>
      <c r="E29" s="14">
        <v>42285</v>
      </c>
      <c r="F29" s="30" t="s">
        <v>99</v>
      </c>
      <c r="G29" s="19">
        <v>1</v>
      </c>
    </row>
    <row r="30" spans="1:11" x14ac:dyDescent="0.25">
      <c r="A30" s="17">
        <f t="shared" si="1"/>
        <v>24</v>
      </c>
      <c r="B30" s="14" t="s">
        <v>1917</v>
      </c>
      <c r="C30" s="11" t="s">
        <v>17</v>
      </c>
      <c r="D30" s="54" t="s">
        <v>1363</v>
      </c>
      <c r="E30" s="14">
        <v>42285</v>
      </c>
      <c r="F30" s="30" t="s">
        <v>99</v>
      </c>
      <c r="G30" s="19">
        <v>1</v>
      </c>
    </row>
    <row r="31" spans="1:11" x14ac:dyDescent="0.25">
      <c r="A31" s="17">
        <f t="shared" si="1"/>
        <v>25</v>
      </c>
      <c r="B31" s="14" t="s">
        <v>1917</v>
      </c>
      <c r="C31" s="11" t="s">
        <v>17</v>
      </c>
      <c r="D31" s="54" t="s">
        <v>1364</v>
      </c>
      <c r="E31" s="14">
        <v>42285</v>
      </c>
      <c r="F31" s="30" t="s">
        <v>99</v>
      </c>
      <c r="G31" s="19">
        <v>1</v>
      </c>
    </row>
    <row r="32" spans="1:11" x14ac:dyDescent="0.25">
      <c r="A32" s="17">
        <f t="shared" si="1"/>
        <v>26</v>
      </c>
      <c r="B32" s="14" t="s">
        <v>1917</v>
      </c>
      <c r="C32" s="11" t="s">
        <v>17</v>
      </c>
      <c r="D32" s="54" t="s">
        <v>1365</v>
      </c>
      <c r="E32" s="14">
        <v>42285</v>
      </c>
      <c r="F32" s="30" t="s">
        <v>99</v>
      </c>
      <c r="G32" s="19">
        <v>1</v>
      </c>
    </row>
    <row r="33" spans="1:7" x14ac:dyDescent="0.25">
      <c r="A33" s="17">
        <f t="shared" si="1"/>
        <v>27</v>
      </c>
      <c r="B33" s="14" t="s">
        <v>1917</v>
      </c>
      <c r="C33" s="11" t="s">
        <v>17</v>
      </c>
      <c r="D33" s="54" t="s">
        <v>1366</v>
      </c>
      <c r="E33" s="14">
        <v>42285</v>
      </c>
      <c r="F33" s="30" t="s">
        <v>99</v>
      </c>
      <c r="G33" s="19">
        <v>1</v>
      </c>
    </row>
    <row r="34" spans="1:7" x14ac:dyDescent="0.25">
      <c r="A34" s="17">
        <f t="shared" si="1"/>
        <v>28</v>
      </c>
      <c r="B34" s="14" t="s">
        <v>1917</v>
      </c>
      <c r="C34" s="11" t="s">
        <v>17</v>
      </c>
      <c r="D34" s="54" t="s">
        <v>1367</v>
      </c>
      <c r="E34" s="14">
        <v>42285</v>
      </c>
      <c r="F34" s="30" t="s">
        <v>99</v>
      </c>
      <c r="G34" s="19">
        <v>1</v>
      </c>
    </row>
    <row r="35" spans="1:7" x14ac:dyDescent="0.25">
      <c r="A35" s="17">
        <f t="shared" si="1"/>
        <v>29</v>
      </c>
      <c r="B35" s="14" t="s">
        <v>1917</v>
      </c>
      <c r="C35" s="11" t="s">
        <v>17</v>
      </c>
      <c r="D35" s="54" t="s">
        <v>1368</v>
      </c>
      <c r="E35" s="14">
        <v>42285</v>
      </c>
      <c r="F35" s="30" t="s">
        <v>99</v>
      </c>
      <c r="G35" s="19">
        <v>1</v>
      </c>
    </row>
    <row r="36" spans="1:7" x14ac:dyDescent="0.25">
      <c r="A36" s="17">
        <f t="shared" si="1"/>
        <v>30</v>
      </c>
      <c r="B36" s="14" t="s">
        <v>1917</v>
      </c>
      <c r="C36" s="11" t="s">
        <v>17</v>
      </c>
      <c r="D36" s="54" t="s">
        <v>1369</v>
      </c>
      <c r="E36" s="14">
        <v>42285</v>
      </c>
      <c r="F36" s="30" t="s">
        <v>99</v>
      </c>
      <c r="G36" s="19">
        <v>1</v>
      </c>
    </row>
    <row r="37" spans="1:7" x14ac:dyDescent="0.25">
      <c r="A37" s="17">
        <f t="shared" si="1"/>
        <v>31</v>
      </c>
      <c r="B37" s="14" t="s">
        <v>1917</v>
      </c>
      <c r="C37" s="11" t="s">
        <v>17</v>
      </c>
      <c r="D37" s="54" t="s">
        <v>1370</v>
      </c>
      <c r="E37" s="14">
        <v>42285</v>
      </c>
      <c r="F37" s="30" t="s">
        <v>99</v>
      </c>
      <c r="G37" s="19">
        <v>1</v>
      </c>
    </row>
    <row r="38" spans="1:7" x14ac:dyDescent="0.25">
      <c r="A38" s="17">
        <f t="shared" si="1"/>
        <v>32</v>
      </c>
      <c r="B38" s="14" t="s">
        <v>1917</v>
      </c>
      <c r="C38" s="11" t="s">
        <v>17</v>
      </c>
      <c r="D38" s="54" t="s">
        <v>1371</v>
      </c>
      <c r="E38" s="14">
        <v>42285</v>
      </c>
      <c r="F38" s="30" t="s">
        <v>99</v>
      </c>
      <c r="G38" s="19">
        <v>1</v>
      </c>
    </row>
    <row r="39" spans="1:7" x14ac:dyDescent="0.25">
      <c r="A39" s="17">
        <f t="shared" si="1"/>
        <v>33</v>
      </c>
      <c r="B39" s="14" t="s">
        <v>1917</v>
      </c>
      <c r="C39" s="11" t="s">
        <v>17</v>
      </c>
      <c r="D39" s="54" t="s">
        <v>1372</v>
      </c>
      <c r="E39" s="14">
        <v>42285</v>
      </c>
      <c r="F39" s="30" t="s">
        <v>99</v>
      </c>
      <c r="G39" s="19">
        <v>1</v>
      </c>
    </row>
    <row r="40" spans="1:7" x14ac:dyDescent="0.25">
      <c r="A40" s="17">
        <f t="shared" si="1"/>
        <v>34</v>
      </c>
      <c r="B40" s="14" t="s">
        <v>1917</v>
      </c>
      <c r="C40" s="11" t="s">
        <v>17</v>
      </c>
      <c r="D40" s="54" t="s">
        <v>1373</v>
      </c>
      <c r="E40" s="14">
        <v>42285</v>
      </c>
      <c r="F40" s="30" t="s">
        <v>99</v>
      </c>
      <c r="G40" s="19">
        <v>1</v>
      </c>
    </row>
    <row r="41" spans="1:7" x14ac:dyDescent="0.25">
      <c r="A41" s="17">
        <f t="shared" si="1"/>
        <v>35</v>
      </c>
      <c r="B41" s="14" t="s">
        <v>1917</v>
      </c>
      <c r="C41" s="11" t="s">
        <v>17</v>
      </c>
      <c r="D41" s="54" t="s">
        <v>1374</v>
      </c>
      <c r="E41" s="14">
        <v>42285</v>
      </c>
      <c r="F41" s="30" t="s">
        <v>99</v>
      </c>
      <c r="G41" s="19">
        <v>1</v>
      </c>
    </row>
    <row r="42" spans="1:7" x14ac:dyDescent="0.25">
      <c r="A42" s="17">
        <f t="shared" si="1"/>
        <v>36</v>
      </c>
      <c r="B42" s="14" t="s">
        <v>1917</v>
      </c>
      <c r="C42" s="11" t="s">
        <v>17</v>
      </c>
      <c r="D42" s="54" t="s">
        <v>1375</v>
      </c>
      <c r="E42" s="14">
        <v>42285</v>
      </c>
      <c r="F42" s="30" t="s">
        <v>99</v>
      </c>
      <c r="G42" s="19">
        <v>1</v>
      </c>
    </row>
    <row r="43" spans="1:7" x14ac:dyDescent="0.25">
      <c r="A43" s="17">
        <f t="shared" si="1"/>
        <v>37</v>
      </c>
      <c r="B43" s="14" t="s">
        <v>1917</v>
      </c>
      <c r="C43" s="11" t="s">
        <v>17</v>
      </c>
      <c r="D43" s="54" t="s">
        <v>1376</v>
      </c>
      <c r="E43" s="14">
        <v>42285</v>
      </c>
      <c r="F43" s="30" t="s">
        <v>99</v>
      </c>
      <c r="G43" s="19">
        <v>1</v>
      </c>
    </row>
    <row r="44" spans="1:7" x14ac:dyDescent="0.25">
      <c r="A44" s="17">
        <f t="shared" si="1"/>
        <v>38</v>
      </c>
      <c r="B44" s="14" t="s">
        <v>1917</v>
      </c>
      <c r="C44" s="11" t="s">
        <v>17</v>
      </c>
      <c r="D44" s="54" t="s">
        <v>1377</v>
      </c>
      <c r="E44" s="14">
        <v>42285</v>
      </c>
      <c r="F44" s="30" t="s">
        <v>99</v>
      </c>
      <c r="G44" s="19">
        <v>1</v>
      </c>
    </row>
    <row r="45" spans="1:7" x14ac:dyDescent="0.25">
      <c r="A45" s="17">
        <f t="shared" si="1"/>
        <v>39</v>
      </c>
      <c r="B45" s="14" t="s">
        <v>1384</v>
      </c>
      <c r="C45" s="11" t="s">
        <v>17</v>
      </c>
      <c r="D45" s="54" t="s">
        <v>1383</v>
      </c>
      <c r="E45" s="14">
        <v>42288</v>
      </c>
      <c r="F45" s="30" t="s">
        <v>811</v>
      </c>
      <c r="G45" s="19">
        <v>1</v>
      </c>
    </row>
    <row r="46" spans="1:7" x14ac:dyDescent="0.25">
      <c r="A46" s="17">
        <f t="shared" si="1"/>
        <v>40</v>
      </c>
      <c r="B46" s="14" t="s">
        <v>1386</v>
      </c>
      <c r="C46" s="11" t="s">
        <v>17</v>
      </c>
      <c r="D46" s="54" t="s">
        <v>1385</v>
      </c>
      <c r="E46" s="14">
        <v>42291</v>
      </c>
      <c r="F46" s="30" t="s">
        <v>811</v>
      </c>
      <c r="G46" s="19">
        <v>1</v>
      </c>
    </row>
    <row r="47" spans="1:7" x14ac:dyDescent="0.25">
      <c r="A47" s="17">
        <f t="shared" si="1"/>
        <v>41</v>
      </c>
      <c r="B47" s="14" t="s">
        <v>1387</v>
      </c>
      <c r="C47" s="11" t="s">
        <v>17</v>
      </c>
      <c r="D47" s="54" t="s">
        <v>1388</v>
      </c>
      <c r="E47" s="14">
        <v>42291</v>
      </c>
      <c r="F47" s="30" t="s">
        <v>811</v>
      </c>
      <c r="G47" s="19">
        <v>1</v>
      </c>
    </row>
    <row r="48" spans="1:7" x14ac:dyDescent="0.25">
      <c r="A48" s="17">
        <f t="shared" si="1"/>
        <v>42</v>
      </c>
      <c r="B48" s="14" t="s">
        <v>1391</v>
      </c>
      <c r="C48" s="11" t="s">
        <v>17</v>
      </c>
      <c r="D48" s="54" t="s">
        <v>1389</v>
      </c>
      <c r="E48" s="14">
        <v>42291</v>
      </c>
      <c r="F48" s="30" t="s">
        <v>811</v>
      </c>
      <c r="G48" s="19">
        <v>1</v>
      </c>
    </row>
    <row r="49" spans="1:8" x14ac:dyDescent="0.25">
      <c r="A49" s="17">
        <f t="shared" si="1"/>
        <v>43</v>
      </c>
      <c r="B49" s="14" t="s">
        <v>1392</v>
      </c>
      <c r="C49" s="11" t="s">
        <v>17</v>
      </c>
      <c r="D49" s="54" t="s">
        <v>1390</v>
      </c>
      <c r="E49" s="14">
        <v>42291</v>
      </c>
      <c r="F49" s="30" t="s">
        <v>811</v>
      </c>
      <c r="G49" s="19">
        <v>1</v>
      </c>
    </row>
    <row r="50" spans="1:8" x14ac:dyDescent="0.25">
      <c r="A50" s="17">
        <f t="shared" si="1"/>
        <v>44</v>
      </c>
      <c r="B50" s="14" t="s">
        <v>2312</v>
      </c>
      <c r="C50" s="11" t="s">
        <v>17</v>
      </c>
      <c r="D50" s="54" t="s">
        <v>1393</v>
      </c>
      <c r="E50" s="14">
        <v>42295</v>
      </c>
      <c r="F50" s="30" t="s">
        <v>1395</v>
      </c>
      <c r="G50" s="19">
        <v>1</v>
      </c>
      <c r="H50" t="s">
        <v>1397</v>
      </c>
    </row>
    <row r="51" spans="1:8" x14ac:dyDescent="0.25">
      <c r="A51" s="17">
        <f t="shared" si="1"/>
        <v>45</v>
      </c>
      <c r="B51" s="14" t="s">
        <v>2313</v>
      </c>
      <c r="C51" s="11" t="s">
        <v>17</v>
      </c>
      <c r="D51" s="54" t="s">
        <v>1394</v>
      </c>
      <c r="E51" s="14">
        <v>42295</v>
      </c>
      <c r="F51" s="30" t="s">
        <v>1396</v>
      </c>
      <c r="G51" s="19">
        <v>1</v>
      </c>
      <c r="H51" t="s">
        <v>1398</v>
      </c>
    </row>
    <row r="52" spans="1:8" x14ac:dyDescent="0.25">
      <c r="A52" s="17">
        <f t="shared" si="1"/>
        <v>46</v>
      </c>
      <c r="B52" s="14" t="s">
        <v>2314</v>
      </c>
      <c r="C52" s="11" t="s">
        <v>17</v>
      </c>
      <c r="D52" s="54" t="s">
        <v>1399</v>
      </c>
      <c r="E52" s="14">
        <v>42297</v>
      </c>
      <c r="F52" s="30" t="s">
        <v>1401</v>
      </c>
      <c r="G52" s="19">
        <v>1</v>
      </c>
      <c r="H52" t="s">
        <v>1403</v>
      </c>
    </row>
    <row r="53" spans="1:8" x14ac:dyDescent="0.25">
      <c r="A53" s="17">
        <f t="shared" si="1"/>
        <v>47</v>
      </c>
      <c r="B53" s="14" t="s">
        <v>2315</v>
      </c>
      <c r="C53" s="11" t="s">
        <v>17</v>
      </c>
      <c r="D53" s="54" t="s">
        <v>1400</v>
      </c>
      <c r="E53" s="14">
        <v>42297</v>
      </c>
      <c r="F53" s="30" t="s">
        <v>1402</v>
      </c>
      <c r="G53" s="19">
        <v>1</v>
      </c>
      <c r="H53" t="s">
        <v>1404</v>
      </c>
    </row>
    <row r="54" spans="1:8" x14ac:dyDescent="0.25">
      <c r="A54" s="17">
        <f t="shared" si="1"/>
        <v>48</v>
      </c>
      <c r="B54" s="14" t="s">
        <v>1406</v>
      </c>
      <c r="C54" s="11" t="s">
        <v>17</v>
      </c>
      <c r="D54" s="54" t="s">
        <v>1407</v>
      </c>
      <c r="E54" s="14">
        <v>42298</v>
      </c>
      <c r="F54" s="30" t="s">
        <v>811</v>
      </c>
      <c r="G54" s="12">
        <v>1</v>
      </c>
    </row>
    <row r="55" spans="1:8" x14ac:dyDescent="0.25">
      <c r="A55" s="17">
        <f t="shared" si="1"/>
        <v>49</v>
      </c>
      <c r="B55" s="14" t="s">
        <v>1405</v>
      </c>
      <c r="C55" s="11" t="s">
        <v>17</v>
      </c>
      <c r="D55" s="54" t="s">
        <v>1408</v>
      </c>
      <c r="E55" s="14">
        <v>42298</v>
      </c>
      <c r="F55" s="30" t="s">
        <v>811</v>
      </c>
      <c r="G55" s="12">
        <v>1</v>
      </c>
    </row>
    <row r="56" spans="1:8" x14ac:dyDescent="0.25">
      <c r="A56" s="17">
        <f t="shared" si="1"/>
        <v>50</v>
      </c>
      <c r="B56" s="14" t="s">
        <v>1409</v>
      </c>
      <c r="C56" s="11" t="s">
        <v>17</v>
      </c>
      <c r="D56" s="54" t="s">
        <v>1410</v>
      </c>
      <c r="E56" s="14">
        <v>42298</v>
      </c>
      <c r="F56" s="30" t="s">
        <v>811</v>
      </c>
      <c r="G56" s="12">
        <v>1</v>
      </c>
      <c r="H56" t="s">
        <v>968</v>
      </c>
    </row>
    <row r="57" spans="1:8" x14ac:dyDescent="0.25">
      <c r="A57" s="17">
        <f t="shared" si="1"/>
        <v>51</v>
      </c>
      <c r="B57" s="14" t="s">
        <v>1411</v>
      </c>
      <c r="C57" s="11" t="s">
        <v>17</v>
      </c>
      <c r="D57" s="54" t="s">
        <v>1412</v>
      </c>
      <c r="E57" s="14">
        <v>42298</v>
      </c>
      <c r="F57" s="30" t="s">
        <v>811</v>
      </c>
      <c r="G57" s="12">
        <v>1</v>
      </c>
    </row>
    <row r="58" spans="1:8" x14ac:dyDescent="0.25">
      <c r="A58" s="17">
        <f t="shared" si="1"/>
        <v>52</v>
      </c>
      <c r="B58" s="14" t="s">
        <v>1417</v>
      </c>
      <c r="C58" s="11" t="s">
        <v>17</v>
      </c>
      <c r="D58" s="54" t="s">
        <v>1413</v>
      </c>
      <c r="E58" s="14">
        <v>42299</v>
      </c>
      <c r="F58" s="30" t="s">
        <v>811</v>
      </c>
      <c r="G58" s="12">
        <v>1</v>
      </c>
    </row>
    <row r="59" spans="1:8" x14ac:dyDescent="0.25">
      <c r="A59" s="17">
        <f t="shared" si="1"/>
        <v>53</v>
      </c>
      <c r="B59" s="14" t="s">
        <v>1418</v>
      </c>
      <c r="C59" s="11" t="s">
        <v>17</v>
      </c>
      <c r="D59" s="54" t="s">
        <v>1414</v>
      </c>
      <c r="E59" s="14">
        <v>42299</v>
      </c>
      <c r="F59" s="30" t="s">
        <v>811</v>
      </c>
      <c r="G59" s="12">
        <v>1</v>
      </c>
    </row>
    <row r="60" spans="1:8" x14ac:dyDescent="0.25">
      <c r="A60" s="17">
        <f t="shared" si="1"/>
        <v>54</v>
      </c>
      <c r="B60" s="14" t="s">
        <v>1419</v>
      </c>
      <c r="C60" s="11" t="s">
        <v>17</v>
      </c>
      <c r="D60" s="54" t="s">
        <v>1415</v>
      </c>
      <c r="E60" s="14">
        <v>42299</v>
      </c>
      <c r="F60" s="30" t="s">
        <v>811</v>
      </c>
      <c r="G60" s="12">
        <v>1</v>
      </c>
    </row>
    <row r="61" spans="1:8" x14ac:dyDescent="0.25">
      <c r="A61" s="17">
        <f t="shared" si="1"/>
        <v>55</v>
      </c>
      <c r="B61" s="14" t="s">
        <v>1420</v>
      </c>
      <c r="C61" s="11" t="s">
        <v>17</v>
      </c>
      <c r="D61" s="54" t="s">
        <v>1416</v>
      </c>
      <c r="E61" s="14">
        <v>42299</v>
      </c>
      <c r="F61" s="30" t="s">
        <v>811</v>
      </c>
      <c r="G61" s="12">
        <v>1</v>
      </c>
    </row>
    <row r="62" spans="1:8" x14ac:dyDescent="0.25">
      <c r="A62" s="17">
        <f t="shared" si="1"/>
        <v>56</v>
      </c>
      <c r="B62" s="14" t="s">
        <v>1421</v>
      </c>
      <c r="C62" s="11" t="s">
        <v>84</v>
      </c>
      <c r="D62" s="54" t="s">
        <v>1422</v>
      </c>
      <c r="E62" s="14">
        <v>42299</v>
      </c>
      <c r="F62" s="30" t="s">
        <v>811</v>
      </c>
      <c r="G62" s="12">
        <v>1</v>
      </c>
    </row>
    <row r="63" spans="1:8" x14ac:dyDescent="0.25">
      <c r="A63" s="17">
        <f t="shared" si="1"/>
        <v>57</v>
      </c>
      <c r="B63" s="14" t="s">
        <v>1428</v>
      </c>
      <c r="C63" s="11" t="s">
        <v>17</v>
      </c>
      <c r="D63" s="54" t="s">
        <v>1429</v>
      </c>
      <c r="E63" s="14">
        <v>42302</v>
      </c>
      <c r="F63" s="30" t="s">
        <v>811</v>
      </c>
      <c r="G63" s="12">
        <v>1</v>
      </c>
    </row>
    <row r="64" spans="1:8" x14ac:dyDescent="0.25">
      <c r="A64" s="17">
        <f t="shared" si="1"/>
        <v>58</v>
      </c>
      <c r="B64" s="14" t="s">
        <v>1430</v>
      </c>
      <c r="C64" s="11" t="s">
        <v>17</v>
      </c>
      <c r="D64" s="54" t="s">
        <v>1431</v>
      </c>
      <c r="E64" s="14">
        <v>42302</v>
      </c>
      <c r="F64" s="30" t="s">
        <v>811</v>
      </c>
      <c r="G64" s="12">
        <v>1</v>
      </c>
    </row>
    <row r="65" spans="1:8" x14ac:dyDescent="0.25">
      <c r="A65" s="17">
        <f t="shared" si="1"/>
        <v>59</v>
      </c>
      <c r="B65" s="14" t="s">
        <v>1424</v>
      </c>
      <c r="C65" s="11" t="s">
        <v>17</v>
      </c>
      <c r="D65" s="54" t="s">
        <v>1425</v>
      </c>
      <c r="E65" s="14">
        <v>42302</v>
      </c>
      <c r="F65" s="30" t="s">
        <v>811</v>
      </c>
      <c r="G65" s="12">
        <v>1</v>
      </c>
    </row>
    <row r="66" spans="1:8" x14ac:dyDescent="0.25">
      <c r="A66" s="17">
        <f t="shared" si="1"/>
        <v>60</v>
      </c>
      <c r="B66" s="14" t="s">
        <v>1423</v>
      </c>
      <c r="C66" s="11" t="s">
        <v>17</v>
      </c>
      <c r="D66" s="54" t="s">
        <v>1432</v>
      </c>
      <c r="E66" s="14">
        <v>42302</v>
      </c>
      <c r="F66" s="30" t="s">
        <v>811</v>
      </c>
      <c r="G66" s="12">
        <v>1</v>
      </c>
    </row>
    <row r="67" spans="1:8" x14ac:dyDescent="0.25">
      <c r="A67" s="17">
        <f t="shared" si="1"/>
        <v>61</v>
      </c>
      <c r="B67" s="14" t="s">
        <v>1426</v>
      </c>
      <c r="C67" s="11" t="s">
        <v>17</v>
      </c>
      <c r="D67" s="54" t="s">
        <v>1427</v>
      </c>
      <c r="E67" s="14">
        <v>42302</v>
      </c>
      <c r="F67" s="30" t="s">
        <v>811</v>
      </c>
      <c r="G67" s="12">
        <v>1</v>
      </c>
    </row>
    <row r="68" spans="1:8" x14ac:dyDescent="0.25">
      <c r="A68" s="17">
        <f t="shared" si="1"/>
        <v>62</v>
      </c>
      <c r="B68" s="14" t="s">
        <v>2317</v>
      </c>
      <c r="C68" s="11" t="s">
        <v>17</v>
      </c>
      <c r="D68" s="54" t="s">
        <v>1433</v>
      </c>
      <c r="E68" s="14">
        <v>42302</v>
      </c>
      <c r="F68" s="30" t="s">
        <v>1434</v>
      </c>
      <c r="G68" s="12">
        <v>1</v>
      </c>
      <c r="H68" t="s">
        <v>1435</v>
      </c>
    </row>
    <row r="69" spans="1:8" x14ac:dyDescent="0.25">
      <c r="A69" s="17">
        <f t="shared" si="1"/>
        <v>63</v>
      </c>
      <c r="B69" s="14" t="s">
        <v>2316</v>
      </c>
      <c r="C69" s="11" t="s">
        <v>17</v>
      </c>
      <c r="D69" s="54" t="s">
        <v>1436</v>
      </c>
      <c r="E69" s="14">
        <v>42302</v>
      </c>
      <c r="F69" s="30" t="s">
        <v>1437</v>
      </c>
      <c r="G69" s="12">
        <v>1</v>
      </c>
      <c r="H69" t="s">
        <v>1438</v>
      </c>
    </row>
    <row r="70" spans="1:8" x14ac:dyDescent="0.25">
      <c r="A70" s="17">
        <f t="shared" si="1"/>
        <v>64</v>
      </c>
      <c r="B70" s="14" t="s">
        <v>2318</v>
      </c>
      <c r="C70" s="11" t="s">
        <v>17</v>
      </c>
      <c r="D70" s="54" t="s">
        <v>1439</v>
      </c>
      <c r="E70" s="14">
        <v>42302</v>
      </c>
      <c r="F70" s="30" t="s">
        <v>1440</v>
      </c>
      <c r="G70" s="12">
        <v>1</v>
      </c>
      <c r="H70" t="s">
        <v>1441</v>
      </c>
    </row>
    <row r="71" spans="1:8" x14ac:dyDescent="0.25">
      <c r="A71" s="17">
        <f t="shared" si="1"/>
        <v>65</v>
      </c>
      <c r="B71" s="14" t="s">
        <v>1442</v>
      </c>
      <c r="C71" s="11" t="s">
        <v>17</v>
      </c>
      <c r="D71" s="54" t="s">
        <v>1443</v>
      </c>
      <c r="E71" s="14">
        <v>42303</v>
      </c>
      <c r="F71" s="30" t="s">
        <v>811</v>
      </c>
      <c r="G71" s="12">
        <v>1</v>
      </c>
      <c r="H71" t="s">
        <v>968</v>
      </c>
    </row>
    <row r="72" spans="1:8" x14ac:dyDescent="0.25">
      <c r="A72" s="17">
        <f t="shared" si="1"/>
        <v>66</v>
      </c>
      <c r="B72" s="14" t="s">
        <v>1444</v>
      </c>
      <c r="C72" s="11" t="s">
        <v>17</v>
      </c>
      <c r="D72" s="54" t="s">
        <v>1445</v>
      </c>
      <c r="E72" s="14">
        <v>42303</v>
      </c>
      <c r="F72" s="30" t="s">
        <v>811</v>
      </c>
      <c r="G72" s="12">
        <v>1</v>
      </c>
    </row>
    <row r="73" spans="1:8" x14ac:dyDescent="0.25">
      <c r="A73" s="17">
        <f t="shared" si="1"/>
        <v>67</v>
      </c>
      <c r="B73" s="14" t="s">
        <v>1446</v>
      </c>
      <c r="C73" s="11" t="s">
        <v>17</v>
      </c>
      <c r="D73" s="54" t="s">
        <v>1447</v>
      </c>
      <c r="E73" s="14">
        <v>42303</v>
      </c>
      <c r="F73" s="30" t="s">
        <v>811</v>
      </c>
      <c r="G73" s="12">
        <v>1</v>
      </c>
    </row>
    <row r="74" spans="1:8" x14ac:dyDescent="0.25">
      <c r="A74" s="17">
        <f t="shared" si="1"/>
        <v>68</v>
      </c>
      <c r="B74" s="14" t="s">
        <v>1448</v>
      </c>
      <c r="C74" s="11" t="s">
        <v>17</v>
      </c>
      <c r="D74" s="54" t="s">
        <v>1449</v>
      </c>
      <c r="E74" s="14">
        <v>42304</v>
      </c>
      <c r="F74" s="30" t="s">
        <v>811</v>
      </c>
      <c r="G74" s="12">
        <v>1</v>
      </c>
    </row>
    <row r="75" spans="1:8" ht="15" customHeight="1" x14ac:dyDescent="0.25">
      <c r="A75" s="17">
        <f t="shared" si="1"/>
        <v>69</v>
      </c>
      <c r="B75" s="14" t="s">
        <v>1450</v>
      </c>
      <c r="C75" s="11" t="s">
        <v>84</v>
      </c>
      <c r="D75" s="54" t="s">
        <v>1451</v>
      </c>
      <c r="E75" s="14">
        <v>42304</v>
      </c>
      <c r="F75" s="30" t="s">
        <v>811</v>
      </c>
      <c r="G75" s="12">
        <v>1</v>
      </c>
    </row>
    <row r="76" spans="1:8" ht="15" customHeight="1" x14ac:dyDescent="0.25">
      <c r="A76" s="17">
        <f t="shared" si="1"/>
        <v>70</v>
      </c>
      <c r="B76" s="14" t="s">
        <v>2320</v>
      </c>
      <c r="C76" s="11" t="s">
        <v>17</v>
      </c>
      <c r="D76" s="54" t="s">
        <v>1452</v>
      </c>
      <c r="E76" s="14">
        <v>42304</v>
      </c>
      <c r="F76" s="30" t="s">
        <v>1453</v>
      </c>
      <c r="G76" s="12">
        <v>1</v>
      </c>
      <c r="H76" t="s">
        <v>881</v>
      </c>
    </row>
    <row r="77" spans="1:8" ht="15" customHeight="1" x14ac:dyDescent="0.25">
      <c r="A77" s="17">
        <f t="shared" si="1"/>
        <v>71</v>
      </c>
      <c r="B77" s="14" t="s">
        <v>2375</v>
      </c>
      <c r="C77" s="11" t="s">
        <v>17</v>
      </c>
      <c r="D77" s="54" t="s">
        <v>1454</v>
      </c>
      <c r="E77" s="14">
        <v>42304</v>
      </c>
      <c r="F77" s="30" t="s">
        <v>1453</v>
      </c>
      <c r="G77" s="12">
        <v>1</v>
      </c>
      <c r="H77" t="s">
        <v>881</v>
      </c>
    </row>
    <row r="78" spans="1:8" ht="15" customHeight="1" x14ac:dyDescent="0.25">
      <c r="A78" s="17">
        <f t="shared" si="1"/>
        <v>72</v>
      </c>
      <c r="B78" s="14" t="s">
        <v>2376</v>
      </c>
      <c r="C78" s="11" t="s">
        <v>17</v>
      </c>
      <c r="D78" s="54" t="s">
        <v>1455</v>
      </c>
      <c r="E78" s="14">
        <v>42304</v>
      </c>
      <c r="F78" s="30" t="s">
        <v>1453</v>
      </c>
      <c r="G78" s="12">
        <v>1</v>
      </c>
      <c r="H78" t="s">
        <v>881</v>
      </c>
    </row>
    <row r="79" spans="1:8" ht="15" customHeight="1" x14ac:dyDescent="0.25">
      <c r="A79" s="17">
        <f t="shared" si="1"/>
        <v>73</v>
      </c>
      <c r="B79" s="14" t="s">
        <v>2377</v>
      </c>
      <c r="C79" s="11" t="s">
        <v>17</v>
      </c>
      <c r="D79" s="54" t="s">
        <v>1456</v>
      </c>
      <c r="E79" s="14">
        <v>42304</v>
      </c>
      <c r="F79" s="30" t="s">
        <v>1453</v>
      </c>
      <c r="G79" s="12">
        <v>1</v>
      </c>
      <c r="H79" t="s">
        <v>881</v>
      </c>
    </row>
    <row r="80" spans="1:8" ht="15" customHeight="1" x14ac:dyDescent="0.25">
      <c r="A80" s="17">
        <f t="shared" si="1"/>
        <v>74</v>
      </c>
      <c r="B80" s="14" t="s">
        <v>2319</v>
      </c>
      <c r="C80" s="11" t="s">
        <v>17</v>
      </c>
      <c r="D80" s="54" t="s">
        <v>1457</v>
      </c>
      <c r="E80" s="14">
        <v>42304</v>
      </c>
      <c r="F80" s="30" t="s">
        <v>1453</v>
      </c>
      <c r="G80" s="12">
        <v>1</v>
      </c>
      <c r="H80" t="s">
        <v>881</v>
      </c>
    </row>
    <row r="81" spans="1:7" x14ac:dyDescent="0.25">
      <c r="A81" s="17">
        <f t="shared" si="1"/>
        <v>75</v>
      </c>
      <c r="B81" s="14" t="s">
        <v>1458</v>
      </c>
      <c r="C81" s="11" t="s">
        <v>17</v>
      </c>
      <c r="D81" s="54" t="s">
        <v>1459</v>
      </c>
      <c r="E81" s="14">
        <v>42305</v>
      </c>
      <c r="F81" s="30" t="s">
        <v>811</v>
      </c>
      <c r="G81" s="12">
        <v>1</v>
      </c>
    </row>
    <row r="82" spans="1:7" x14ac:dyDescent="0.25">
      <c r="A82" s="17">
        <f t="shared" si="1"/>
        <v>76</v>
      </c>
      <c r="B82" s="14" t="s">
        <v>1463</v>
      </c>
      <c r="C82" s="11" t="s">
        <v>17</v>
      </c>
      <c r="D82" s="54">
        <v>2015109119</v>
      </c>
      <c r="E82" s="14">
        <v>42305</v>
      </c>
      <c r="F82" s="30" t="s">
        <v>811</v>
      </c>
      <c r="G82" s="12">
        <v>1</v>
      </c>
    </row>
    <row r="83" spans="1:7" x14ac:dyDescent="0.25">
      <c r="A83" s="17">
        <f t="shared" si="1"/>
        <v>77</v>
      </c>
      <c r="B83" s="14" t="s">
        <v>1460</v>
      </c>
      <c r="C83" s="11" t="s">
        <v>84</v>
      </c>
      <c r="D83" s="54" t="s">
        <v>1461</v>
      </c>
      <c r="E83" s="14">
        <v>42305</v>
      </c>
      <c r="F83" s="30" t="s">
        <v>811</v>
      </c>
      <c r="G83" s="12">
        <v>1</v>
      </c>
    </row>
    <row r="84" spans="1:7" x14ac:dyDescent="0.25">
      <c r="D84" s="61"/>
    </row>
  </sheetData>
  <sortState ref="B63:F67">
    <sortCondition ref="D63:D67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orientation="portrait" horizontalDpi="36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selection activeCell="B13" sqref="B13"/>
    </sheetView>
  </sheetViews>
  <sheetFormatPr baseColWidth="10" defaultColWidth="11.42578125" defaultRowHeight="15" x14ac:dyDescent="0.25"/>
  <cols>
    <col min="1" max="1" width="8.28515625" customWidth="1"/>
    <col min="2" max="2" width="11.85546875" customWidth="1"/>
    <col min="3" max="3" width="11.7109375" customWidth="1"/>
    <col min="4" max="4" width="13.85546875" customWidth="1"/>
    <col min="5" max="5" width="12.5703125" customWidth="1"/>
    <col min="6" max="6" width="18.5703125" customWidth="1"/>
    <col min="7" max="7" width="5.42578125" hidden="1" customWidth="1"/>
    <col min="8" max="8" width="19.28515625" customWidth="1"/>
  </cols>
  <sheetData>
    <row r="1" spans="1:11" ht="18" x14ac:dyDescent="0.25">
      <c r="A1" s="102" t="s">
        <v>0</v>
      </c>
      <c r="B1" s="102"/>
      <c r="C1" s="10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106" t="s">
        <v>2</v>
      </c>
      <c r="B2" s="106"/>
      <c r="C2" s="106"/>
      <c r="D2" s="6"/>
      <c r="E2" s="5" t="s">
        <v>3</v>
      </c>
      <c r="F2" s="5"/>
      <c r="G2" s="4"/>
      <c r="H2" s="4"/>
      <c r="I2" s="103" t="s">
        <v>4</v>
      </c>
      <c r="J2" s="104"/>
      <c r="K2" s="22">
        <f>SUMIF(F7:F40,"Elimination*",G7:G40)</f>
        <v>27</v>
      </c>
    </row>
    <row r="3" spans="1:11" x14ac:dyDescent="0.25">
      <c r="A3" s="107" t="s">
        <v>5</v>
      </c>
      <c r="B3" s="107"/>
      <c r="C3" s="107"/>
      <c r="D3" s="5"/>
      <c r="E3" s="4" t="s">
        <v>6</v>
      </c>
      <c r="F3" s="4"/>
      <c r="G3" s="4"/>
      <c r="H3" s="4"/>
      <c r="I3" s="103" t="s">
        <v>7</v>
      </c>
      <c r="J3" s="104"/>
      <c r="K3" s="22">
        <f>SUMIF(F7:F40,"NB*",G7:G40)</f>
        <v>5</v>
      </c>
    </row>
    <row r="4" spans="1:11" ht="18" x14ac:dyDescent="0.25">
      <c r="A4" s="102" t="s">
        <v>8</v>
      </c>
      <c r="B4" s="102"/>
      <c r="C4" s="102"/>
      <c r="D4" s="102"/>
      <c r="E4" s="102"/>
      <c r="F4" s="102"/>
      <c r="G4" s="4"/>
      <c r="H4" s="4"/>
      <c r="I4" s="103" t="s">
        <v>9</v>
      </c>
      <c r="J4" s="104"/>
      <c r="K4" s="22">
        <f>SUMIF(F7:F40,"Ve*",G7:G40)</f>
        <v>2</v>
      </c>
    </row>
    <row r="5" spans="1:11" ht="15.75" x14ac:dyDescent="0.25">
      <c r="A5" s="105" t="s">
        <v>1464</v>
      </c>
      <c r="B5" s="105"/>
      <c r="C5" s="105"/>
      <c r="D5" s="105"/>
      <c r="E5" s="105"/>
      <c r="F5" s="105"/>
      <c r="G5" s="24"/>
      <c r="H5" s="24"/>
      <c r="I5" s="103" t="s">
        <v>10</v>
      </c>
      <c r="J5" s="104"/>
      <c r="K5" s="26">
        <f>SUM(K2:K4)</f>
        <v>34</v>
      </c>
    </row>
    <row r="6" spans="1:11" ht="22.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x14ac:dyDescent="0.25">
      <c r="A7" s="17">
        <v>1</v>
      </c>
      <c r="B7" s="14" t="s">
        <v>2321</v>
      </c>
      <c r="C7" s="11" t="s">
        <v>17</v>
      </c>
      <c r="D7" s="54" t="s">
        <v>1465</v>
      </c>
      <c r="E7" s="14">
        <v>42312</v>
      </c>
      <c r="F7" s="30" t="s">
        <v>1466</v>
      </c>
      <c r="G7" s="19">
        <v>1</v>
      </c>
      <c r="H7" s="62" t="s">
        <v>1467</v>
      </c>
      <c r="I7" s="18"/>
      <c r="J7" s="18"/>
      <c r="K7" s="1"/>
    </row>
    <row r="8" spans="1:11" x14ac:dyDescent="0.25">
      <c r="A8" s="17">
        <f>A7+1</f>
        <v>2</v>
      </c>
      <c r="B8" s="14" t="s">
        <v>1468</v>
      </c>
      <c r="C8" s="11" t="s">
        <v>17</v>
      </c>
      <c r="D8" s="54" t="s">
        <v>1469</v>
      </c>
      <c r="E8" s="14">
        <v>42313</v>
      </c>
      <c r="F8" s="30" t="s">
        <v>811</v>
      </c>
      <c r="G8" s="19">
        <v>1</v>
      </c>
      <c r="H8" s="25"/>
      <c r="I8" s="2"/>
      <c r="J8" s="2"/>
      <c r="K8" s="1"/>
    </row>
    <row r="9" spans="1:11" x14ac:dyDescent="0.25">
      <c r="A9" s="17">
        <f t="shared" ref="A9:A40" si="0">A8+1</f>
        <v>3</v>
      </c>
      <c r="B9" s="14" t="s">
        <v>1470</v>
      </c>
      <c r="C9" s="11" t="s">
        <v>17</v>
      </c>
      <c r="D9" s="54" t="s">
        <v>1471</v>
      </c>
      <c r="E9" s="14">
        <v>42313</v>
      </c>
      <c r="F9" s="30" t="s">
        <v>811</v>
      </c>
      <c r="G9" s="19">
        <v>1</v>
      </c>
      <c r="H9" s="25"/>
      <c r="I9" s="2"/>
      <c r="J9" s="2"/>
      <c r="K9" s="1"/>
    </row>
    <row r="10" spans="1:11" x14ac:dyDescent="0.25">
      <c r="A10" s="17">
        <f t="shared" si="0"/>
        <v>4</v>
      </c>
      <c r="B10" s="14" t="s">
        <v>1472</v>
      </c>
      <c r="C10" s="11" t="s">
        <v>17</v>
      </c>
      <c r="D10" s="54" t="s">
        <v>1473</v>
      </c>
      <c r="E10" s="14">
        <v>42313</v>
      </c>
      <c r="F10" s="30" t="s">
        <v>811</v>
      </c>
      <c r="G10" s="19">
        <v>1</v>
      </c>
      <c r="H10" s="25"/>
      <c r="I10" s="2"/>
      <c r="J10" s="2"/>
      <c r="K10" s="1"/>
    </row>
    <row r="11" spans="1:11" x14ac:dyDescent="0.25">
      <c r="A11" s="17">
        <f t="shared" si="0"/>
        <v>5</v>
      </c>
      <c r="B11" s="14" t="s">
        <v>2322</v>
      </c>
      <c r="C11" s="11" t="s">
        <v>17</v>
      </c>
      <c r="D11" s="54" t="s">
        <v>1474</v>
      </c>
      <c r="E11" s="14">
        <v>42316</v>
      </c>
      <c r="F11" s="30" t="s">
        <v>1476</v>
      </c>
      <c r="G11" s="19">
        <v>1</v>
      </c>
      <c r="H11" s="60" t="s">
        <v>1498</v>
      </c>
      <c r="I11" s="2"/>
      <c r="J11" s="2"/>
      <c r="K11" s="1"/>
    </row>
    <row r="12" spans="1:11" x14ac:dyDescent="0.25">
      <c r="A12" s="17">
        <f t="shared" si="0"/>
        <v>6</v>
      </c>
      <c r="B12" s="14" t="s">
        <v>2378</v>
      </c>
      <c r="C12" s="11" t="s">
        <v>17</v>
      </c>
      <c r="D12" s="54" t="s">
        <v>1475</v>
      </c>
      <c r="E12" s="14">
        <v>42316</v>
      </c>
      <c r="F12" s="30" t="s">
        <v>1477</v>
      </c>
      <c r="G12" s="19">
        <v>1</v>
      </c>
      <c r="H12" s="2" t="s">
        <v>1499</v>
      </c>
      <c r="I12" s="2"/>
      <c r="J12" s="2"/>
      <c r="K12" s="1"/>
    </row>
    <row r="13" spans="1:11" x14ac:dyDescent="0.25">
      <c r="A13" s="17">
        <f t="shared" si="0"/>
        <v>7</v>
      </c>
      <c r="B13" s="14" t="s">
        <v>1478</v>
      </c>
      <c r="C13" s="11" t="s">
        <v>17</v>
      </c>
      <c r="D13" s="54" t="s">
        <v>1479</v>
      </c>
      <c r="E13" s="14">
        <v>42320</v>
      </c>
      <c r="F13" s="30" t="s">
        <v>811</v>
      </c>
      <c r="G13" s="19">
        <v>1</v>
      </c>
      <c r="H13" s="2"/>
      <c r="I13" s="2"/>
      <c r="J13" s="2"/>
      <c r="K13" s="1"/>
    </row>
    <row r="14" spans="1:11" x14ac:dyDescent="0.25">
      <c r="A14" s="17">
        <f t="shared" si="0"/>
        <v>8</v>
      </c>
      <c r="B14" s="14" t="s">
        <v>1480</v>
      </c>
      <c r="C14" s="11" t="s">
        <v>17</v>
      </c>
      <c r="D14" s="54" t="s">
        <v>1481</v>
      </c>
      <c r="E14" s="14">
        <v>42320</v>
      </c>
      <c r="F14" s="30" t="s">
        <v>811</v>
      </c>
      <c r="G14" s="19">
        <v>1</v>
      </c>
      <c r="H14" s="13"/>
      <c r="I14" s="2"/>
      <c r="J14" s="2"/>
      <c r="K14" s="1"/>
    </row>
    <row r="15" spans="1:11" x14ac:dyDescent="0.25">
      <c r="A15" s="17">
        <f t="shared" si="0"/>
        <v>9</v>
      </c>
      <c r="B15" s="14" t="s">
        <v>1874</v>
      </c>
      <c r="C15" s="11" t="s">
        <v>17</v>
      </c>
      <c r="D15" s="54" t="s">
        <v>1483</v>
      </c>
      <c r="E15" s="14">
        <v>42320</v>
      </c>
      <c r="F15" s="30" t="s">
        <v>811</v>
      </c>
      <c r="G15" s="19">
        <v>1</v>
      </c>
      <c r="H15" s="13"/>
      <c r="I15" s="2"/>
      <c r="J15" s="2"/>
      <c r="K15" s="1"/>
    </row>
    <row r="16" spans="1:11" x14ac:dyDescent="0.25">
      <c r="A16" s="17">
        <f t="shared" si="0"/>
        <v>10</v>
      </c>
      <c r="B16" s="14" t="s">
        <v>1484</v>
      </c>
      <c r="C16" s="11" t="s">
        <v>17</v>
      </c>
      <c r="D16" s="54" t="s">
        <v>1485</v>
      </c>
      <c r="E16" s="14">
        <v>42320</v>
      </c>
      <c r="F16" s="30" t="s">
        <v>811</v>
      </c>
      <c r="G16" s="19">
        <v>1</v>
      </c>
      <c r="H16" s="13"/>
      <c r="I16" s="2"/>
      <c r="J16" s="2"/>
      <c r="K16" s="1"/>
    </row>
    <row r="17" spans="1:11" x14ac:dyDescent="0.25">
      <c r="A17" s="17">
        <f t="shared" si="0"/>
        <v>11</v>
      </c>
      <c r="B17" s="14" t="s">
        <v>1486</v>
      </c>
      <c r="C17" s="11" t="s">
        <v>17</v>
      </c>
      <c r="D17" s="54" t="s">
        <v>1487</v>
      </c>
      <c r="E17" s="14">
        <v>42320</v>
      </c>
      <c r="F17" s="30" t="s">
        <v>811</v>
      </c>
      <c r="G17" s="19">
        <v>1</v>
      </c>
      <c r="H17" s="13"/>
      <c r="I17" s="2"/>
      <c r="J17" s="2"/>
      <c r="K17" s="1"/>
    </row>
    <row r="18" spans="1:11" x14ac:dyDescent="0.25">
      <c r="A18" s="17">
        <f t="shared" si="0"/>
        <v>12</v>
      </c>
      <c r="B18" s="14" t="s">
        <v>1488</v>
      </c>
      <c r="C18" s="11" t="s">
        <v>17</v>
      </c>
      <c r="D18" s="54" t="s">
        <v>1489</v>
      </c>
      <c r="E18" s="14">
        <v>42320</v>
      </c>
      <c r="F18" s="30" t="s">
        <v>811</v>
      </c>
      <c r="G18" s="19">
        <v>1</v>
      </c>
      <c r="H18" s="13"/>
      <c r="I18" s="2"/>
      <c r="J18" s="2"/>
      <c r="K18" s="1"/>
    </row>
    <row r="19" spans="1:11" x14ac:dyDescent="0.25">
      <c r="A19" s="17">
        <f t="shared" si="0"/>
        <v>13</v>
      </c>
      <c r="B19" s="14" t="s">
        <v>1490</v>
      </c>
      <c r="C19" s="11" t="s">
        <v>17</v>
      </c>
      <c r="D19" s="54" t="s">
        <v>1491</v>
      </c>
      <c r="E19" s="14">
        <v>42320</v>
      </c>
      <c r="F19" s="30" t="s">
        <v>811</v>
      </c>
      <c r="G19" s="19">
        <v>1</v>
      </c>
      <c r="H19" s="13"/>
      <c r="I19" s="2"/>
      <c r="J19" s="2"/>
      <c r="K19" s="1"/>
    </row>
    <row r="20" spans="1:11" x14ac:dyDescent="0.25">
      <c r="A20" s="17">
        <f t="shared" si="0"/>
        <v>14</v>
      </c>
      <c r="B20" s="14" t="s">
        <v>1492</v>
      </c>
      <c r="C20" s="11" t="s">
        <v>17</v>
      </c>
      <c r="D20" s="54" t="s">
        <v>1493</v>
      </c>
      <c r="E20" s="14">
        <v>42320</v>
      </c>
      <c r="F20" s="30" t="s">
        <v>811</v>
      </c>
      <c r="G20" s="19">
        <v>1</v>
      </c>
      <c r="H20" s="13"/>
      <c r="I20" s="2"/>
      <c r="J20" s="2"/>
      <c r="K20" s="1"/>
    </row>
    <row r="21" spans="1:11" x14ac:dyDescent="0.25">
      <c r="A21" s="17">
        <f t="shared" si="0"/>
        <v>15</v>
      </c>
      <c r="B21" s="14" t="s">
        <v>1494</v>
      </c>
      <c r="C21" s="11" t="s">
        <v>84</v>
      </c>
      <c r="D21" s="54" t="s">
        <v>1495</v>
      </c>
      <c r="E21" s="14">
        <v>42320</v>
      </c>
      <c r="F21" s="30" t="s">
        <v>811</v>
      </c>
      <c r="G21" s="19">
        <v>1</v>
      </c>
    </row>
    <row r="22" spans="1:11" x14ac:dyDescent="0.25">
      <c r="A22" s="17">
        <f t="shared" si="0"/>
        <v>16</v>
      </c>
      <c r="B22" s="14" t="s">
        <v>1496</v>
      </c>
      <c r="C22" s="11" t="s">
        <v>17</v>
      </c>
      <c r="D22" s="54" t="s">
        <v>1497</v>
      </c>
      <c r="E22" s="14">
        <v>42320</v>
      </c>
      <c r="F22" s="30" t="s">
        <v>811</v>
      </c>
      <c r="G22" s="19">
        <v>1</v>
      </c>
    </row>
    <row r="23" spans="1:11" x14ac:dyDescent="0.25">
      <c r="A23" s="17">
        <f t="shared" si="0"/>
        <v>17</v>
      </c>
      <c r="B23" s="14" t="s">
        <v>1500</v>
      </c>
      <c r="C23" s="11" t="s">
        <v>17</v>
      </c>
      <c r="D23" s="54" t="s">
        <v>1501</v>
      </c>
      <c r="E23" s="14">
        <v>42327</v>
      </c>
      <c r="F23" s="30" t="s">
        <v>811</v>
      </c>
      <c r="G23" s="19">
        <v>1</v>
      </c>
    </row>
    <row r="24" spans="1:11" x14ac:dyDescent="0.25">
      <c r="A24" s="17">
        <f t="shared" si="0"/>
        <v>18</v>
      </c>
      <c r="B24" s="14" t="s">
        <v>1512</v>
      </c>
      <c r="C24" s="11" t="s">
        <v>17</v>
      </c>
      <c r="D24" s="54" t="s">
        <v>1505</v>
      </c>
      <c r="E24" s="14">
        <v>42330</v>
      </c>
      <c r="F24" s="30" t="s">
        <v>811</v>
      </c>
      <c r="G24" s="19">
        <v>1</v>
      </c>
    </row>
    <row r="25" spans="1:11" x14ac:dyDescent="0.25">
      <c r="A25" s="17">
        <f t="shared" si="0"/>
        <v>19</v>
      </c>
      <c r="B25" s="14" t="s">
        <v>2368</v>
      </c>
      <c r="C25" s="11" t="s">
        <v>17</v>
      </c>
      <c r="D25" s="54" t="s">
        <v>1502</v>
      </c>
      <c r="E25" s="14">
        <v>42330</v>
      </c>
      <c r="F25" s="30" t="s">
        <v>1503</v>
      </c>
      <c r="G25" s="19">
        <v>1</v>
      </c>
      <c r="H25" t="s">
        <v>1504</v>
      </c>
    </row>
    <row r="26" spans="1:11" x14ac:dyDescent="0.25">
      <c r="A26" s="17">
        <f t="shared" si="0"/>
        <v>20</v>
      </c>
      <c r="B26" s="14" t="s">
        <v>1507</v>
      </c>
      <c r="C26" s="11" t="s">
        <v>17</v>
      </c>
      <c r="D26" s="54" t="s">
        <v>1506</v>
      </c>
      <c r="E26" s="14">
        <v>42330</v>
      </c>
      <c r="F26" s="30" t="s">
        <v>811</v>
      </c>
      <c r="G26" s="19">
        <v>1</v>
      </c>
    </row>
    <row r="27" spans="1:11" x14ac:dyDescent="0.25">
      <c r="A27" s="17">
        <f t="shared" si="0"/>
        <v>21</v>
      </c>
      <c r="B27" s="14" t="s">
        <v>2369</v>
      </c>
      <c r="C27" s="11" t="s">
        <v>17</v>
      </c>
      <c r="D27" s="54" t="s">
        <v>1508</v>
      </c>
      <c r="E27" s="14">
        <v>42331</v>
      </c>
      <c r="F27" s="30" t="s">
        <v>54</v>
      </c>
      <c r="G27" s="19">
        <v>1</v>
      </c>
      <c r="H27" t="s">
        <v>1509</v>
      </c>
    </row>
    <row r="28" spans="1:11" x14ac:dyDescent="0.25">
      <c r="A28" s="17">
        <f t="shared" si="0"/>
        <v>22</v>
      </c>
      <c r="B28" s="14" t="s">
        <v>1510</v>
      </c>
      <c r="C28" s="11" t="s">
        <v>17</v>
      </c>
      <c r="D28" s="54" t="s">
        <v>1511</v>
      </c>
      <c r="E28" s="14">
        <v>42332</v>
      </c>
      <c r="F28" s="30" t="s">
        <v>99</v>
      </c>
      <c r="G28" s="19">
        <v>1</v>
      </c>
    </row>
    <row r="29" spans="1:11" x14ac:dyDescent="0.25">
      <c r="A29" s="17">
        <f t="shared" si="0"/>
        <v>23</v>
      </c>
      <c r="B29" s="14" t="s">
        <v>1513</v>
      </c>
      <c r="C29" s="11">
        <v>40</v>
      </c>
      <c r="D29" s="54" t="s">
        <v>1514</v>
      </c>
      <c r="E29" s="14">
        <v>42333</v>
      </c>
      <c r="F29" s="30" t="s">
        <v>811</v>
      </c>
      <c r="G29" s="19">
        <v>1</v>
      </c>
    </row>
    <row r="30" spans="1:11" x14ac:dyDescent="0.25">
      <c r="A30" s="17">
        <f t="shared" si="0"/>
        <v>24</v>
      </c>
      <c r="B30" s="14" t="s">
        <v>1515</v>
      </c>
      <c r="C30" s="11" t="s">
        <v>17</v>
      </c>
      <c r="D30" s="54" t="s">
        <v>1516</v>
      </c>
      <c r="E30" s="14">
        <v>42334</v>
      </c>
      <c r="F30" s="30" t="s">
        <v>811</v>
      </c>
      <c r="G30" s="19">
        <v>1</v>
      </c>
    </row>
    <row r="31" spans="1:11" x14ac:dyDescent="0.25">
      <c r="A31" s="17">
        <f t="shared" si="0"/>
        <v>25</v>
      </c>
      <c r="B31" s="14" t="s">
        <v>1517</v>
      </c>
      <c r="C31" s="11" t="s">
        <v>84</v>
      </c>
      <c r="D31" s="54" t="s">
        <v>1518</v>
      </c>
      <c r="E31" s="14">
        <v>42334</v>
      </c>
      <c r="F31" s="30" t="s">
        <v>811</v>
      </c>
      <c r="G31" s="19">
        <v>1</v>
      </c>
    </row>
    <row r="32" spans="1:11" x14ac:dyDescent="0.25">
      <c r="A32" s="17">
        <f t="shared" si="0"/>
        <v>26</v>
      </c>
      <c r="B32" s="14" t="s">
        <v>1523</v>
      </c>
      <c r="C32" s="11" t="s">
        <v>17</v>
      </c>
      <c r="D32" s="54" t="s">
        <v>1524</v>
      </c>
      <c r="E32" s="14">
        <v>42337</v>
      </c>
      <c r="F32" s="30" t="s">
        <v>811</v>
      </c>
      <c r="G32" s="19">
        <v>1</v>
      </c>
    </row>
    <row r="33" spans="1:8" x14ac:dyDescent="0.25">
      <c r="A33" s="17">
        <f t="shared" si="0"/>
        <v>27</v>
      </c>
      <c r="B33" s="14" t="s">
        <v>1529</v>
      </c>
      <c r="C33" s="11" t="s">
        <v>17</v>
      </c>
      <c r="D33" s="54" t="s">
        <v>1530</v>
      </c>
      <c r="E33" s="14">
        <v>42337</v>
      </c>
      <c r="F33" s="30" t="s">
        <v>811</v>
      </c>
      <c r="G33" s="19">
        <v>1</v>
      </c>
    </row>
    <row r="34" spans="1:8" x14ac:dyDescent="0.25">
      <c r="A34" s="17">
        <f t="shared" si="0"/>
        <v>28</v>
      </c>
      <c r="B34" s="14" t="s">
        <v>1521</v>
      </c>
      <c r="C34" s="11" t="s">
        <v>17</v>
      </c>
      <c r="D34" s="54" t="s">
        <v>1522</v>
      </c>
      <c r="E34" s="14">
        <v>42337</v>
      </c>
      <c r="F34" s="30" t="s">
        <v>811</v>
      </c>
      <c r="G34" s="19">
        <v>1</v>
      </c>
    </row>
    <row r="35" spans="1:8" x14ac:dyDescent="0.25">
      <c r="A35" s="17">
        <f t="shared" si="0"/>
        <v>29</v>
      </c>
      <c r="B35" s="14" t="s">
        <v>1527</v>
      </c>
      <c r="C35" s="11" t="s">
        <v>17</v>
      </c>
      <c r="D35" s="54" t="s">
        <v>1528</v>
      </c>
      <c r="E35" s="14">
        <v>42337</v>
      </c>
      <c r="F35" s="30" t="s">
        <v>811</v>
      </c>
      <c r="G35" s="19">
        <v>1</v>
      </c>
    </row>
    <row r="36" spans="1:8" x14ac:dyDescent="0.25">
      <c r="A36" s="17">
        <f t="shared" si="0"/>
        <v>30</v>
      </c>
      <c r="B36" s="14" t="s">
        <v>1519</v>
      </c>
      <c r="C36" s="11" t="s">
        <v>17</v>
      </c>
      <c r="D36" s="54" t="s">
        <v>1520</v>
      </c>
      <c r="E36" s="14">
        <v>42337</v>
      </c>
      <c r="F36" s="30" t="s">
        <v>811</v>
      </c>
      <c r="G36" s="19">
        <v>1</v>
      </c>
    </row>
    <row r="37" spans="1:8" x14ac:dyDescent="0.25">
      <c r="A37" s="17">
        <f t="shared" si="0"/>
        <v>31</v>
      </c>
      <c r="B37" s="27" t="s">
        <v>1525</v>
      </c>
      <c r="C37" s="11" t="s">
        <v>17</v>
      </c>
      <c r="D37" s="54" t="s">
        <v>1526</v>
      </c>
      <c r="E37" s="14">
        <v>42337</v>
      </c>
      <c r="F37" s="30" t="s">
        <v>811</v>
      </c>
      <c r="G37" s="19">
        <v>1</v>
      </c>
      <c r="H37" t="s">
        <v>968</v>
      </c>
    </row>
    <row r="38" spans="1:8" x14ac:dyDescent="0.25">
      <c r="A38" s="17">
        <f t="shared" si="0"/>
        <v>32</v>
      </c>
      <c r="B38" s="14" t="s">
        <v>1532</v>
      </c>
      <c r="C38" s="11" t="s">
        <v>17</v>
      </c>
      <c r="D38" s="54" t="s">
        <v>1533</v>
      </c>
      <c r="E38" s="14">
        <v>42338</v>
      </c>
      <c r="F38" s="30" t="s">
        <v>811</v>
      </c>
      <c r="G38" s="19">
        <v>1</v>
      </c>
    </row>
    <row r="39" spans="1:8" x14ac:dyDescent="0.25">
      <c r="A39" s="17">
        <f t="shared" si="0"/>
        <v>33</v>
      </c>
      <c r="B39" s="14" t="s">
        <v>1531</v>
      </c>
      <c r="C39" s="11" t="s">
        <v>17</v>
      </c>
      <c r="D39" s="54" t="s">
        <v>1534</v>
      </c>
      <c r="E39" s="14">
        <v>42338</v>
      </c>
      <c r="F39" s="30" t="s">
        <v>811</v>
      </c>
      <c r="G39" s="19">
        <v>1</v>
      </c>
    </row>
    <row r="40" spans="1:8" x14ac:dyDescent="0.25">
      <c r="A40" s="17">
        <f t="shared" si="0"/>
        <v>34</v>
      </c>
      <c r="B40" s="14" t="s">
        <v>1535</v>
      </c>
      <c r="C40" s="11" t="s">
        <v>17</v>
      </c>
      <c r="D40" s="54" t="s">
        <v>1536</v>
      </c>
      <c r="E40" s="14">
        <v>42338</v>
      </c>
      <c r="F40" s="30" t="s">
        <v>99</v>
      </c>
      <c r="G40" s="19">
        <v>1</v>
      </c>
    </row>
  </sheetData>
  <sortState ref="B32:H37">
    <sortCondition ref="D32:D37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4"/>
  <sheetViews>
    <sheetView tabSelected="1" topLeftCell="A171" workbookViewId="0">
      <selection activeCell="B182" sqref="B182"/>
    </sheetView>
  </sheetViews>
  <sheetFormatPr baseColWidth="10" defaultColWidth="11.42578125" defaultRowHeight="15" x14ac:dyDescent="0.25"/>
  <cols>
    <col min="1" max="1" width="8.28515625" customWidth="1"/>
    <col min="2" max="2" width="11.85546875" customWidth="1"/>
    <col min="3" max="3" width="11.7109375" customWidth="1"/>
    <col min="4" max="4" width="13.85546875" customWidth="1"/>
    <col min="5" max="5" width="12.5703125" customWidth="1"/>
    <col min="6" max="6" width="18.5703125" customWidth="1"/>
    <col min="7" max="7" width="5.42578125" hidden="1" customWidth="1"/>
    <col min="8" max="8" width="19.28515625" customWidth="1"/>
  </cols>
  <sheetData>
    <row r="1" spans="1:11" ht="18" x14ac:dyDescent="0.25">
      <c r="A1" s="102" t="s">
        <v>0</v>
      </c>
      <c r="B1" s="102"/>
      <c r="C1" s="10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106" t="s">
        <v>2</v>
      </c>
      <c r="B2" s="106"/>
      <c r="C2" s="106"/>
      <c r="D2" s="6"/>
      <c r="E2" s="5" t="s">
        <v>3</v>
      </c>
      <c r="F2" s="5"/>
      <c r="G2" s="4"/>
      <c r="H2" s="4"/>
      <c r="I2" s="103" t="s">
        <v>4</v>
      </c>
      <c r="J2" s="104"/>
      <c r="K2" s="22">
        <f>SUMIF(F7:F396,"Elimination*",G7:G396)</f>
        <v>60</v>
      </c>
    </row>
    <row r="3" spans="1:11" x14ac:dyDescent="0.25">
      <c r="A3" s="107" t="s">
        <v>5</v>
      </c>
      <c r="B3" s="107"/>
      <c r="C3" s="107"/>
      <c r="D3" s="5"/>
      <c r="E3" s="4" t="s">
        <v>6</v>
      </c>
      <c r="F3" s="4"/>
      <c r="G3" s="4"/>
      <c r="H3" s="4"/>
      <c r="I3" s="103" t="s">
        <v>7</v>
      </c>
      <c r="J3" s="104"/>
      <c r="K3" s="22">
        <f>SUMIF(F7:F396,"NB*",G7:G396)</f>
        <v>30</v>
      </c>
    </row>
    <row r="4" spans="1:11" ht="18" x14ac:dyDescent="0.25">
      <c r="A4" s="102" t="s">
        <v>8</v>
      </c>
      <c r="B4" s="102"/>
      <c r="C4" s="102"/>
      <c r="D4" s="102"/>
      <c r="E4" s="102"/>
      <c r="F4" s="102"/>
      <c r="G4" s="4"/>
      <c r="H4" s="4"/>
      <c r="I4" s="103" t="s">
        <v>9</v>
      </c>
      <c r="J4" s="104"/>
      <c r="K4" s="22">
        <f>SUMIF(F7:F396,"Ve*",G7:G396)</f>
        <v>97</v>
      </c>
    </row>
    <row r="5" spans="1:11" ht="15.75" x14ac:dyDescent="0.25">
      <c r="A5" s="105" t="s">
        <v>1541</v>
      </c>
      <c r="B5" s="105"/>
      <c r="C5" s="105"/>
      <c r="D5" s="105"/>
      <c r="E5" s="105"/>
      <c r="F5" s="105"/>
      <c r="G5" s="24"/>
      <c r="H5" s="24"/>
      <c r="I5" s="103" t="s">
        <v>10</v>
      </c>
      <c r="J5" s="104"/>
      <c r="K5" s="26">
        <f>SUM(K2:K4)</f>
        <v>187</v>
      </c>
    </row>
    <row r="6" spans="1:11" ht="22.5" x14ac:dyDescent="0.25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8"/>
      <c r="H6" s="3"/>
      <c r="I6" s="3"/>
      <c r="J6" s="3"/>
      <c r="K6" s="1"/>
    </row>
    <row r="7" spans="1:11" x14ac:dyDescent="0.25">
      <c r="A7" s="17">
        <v>1</v>
      </c>
      <c r="B7" s="14" t="s">
        <v>2348</v>
      </c>
      <c r="C7" s="11" t="s">
        <v>17</v>
      </c>
      <c r="D7" s="54" t="s">
        <v>1537</v>
      </c>
      <c r="E7" s="14">
        <v>42341</v>
      </c>
      <c r="F7" s="30" t="s">
        <v>1539</v>
      </c>
      <c r="G7" s="19">
        <v>1</v>
      </c>
      <c r="H7" s="99" t="s">
        <v>2323</v>
      </c>
      <c r="I7" s="18"/>
      <c r="J7" s="18"/>
      <c r="K7" s="1"/>
    </row>
    <row r="8" spans="1:11" x14ac:dyDescent="0.25">
      <c r="A8" s="17">
        <f>A7+1</f>
        <v>2</v>
      </c>
      <c r="B8" s="14" t="s">
        <v>2349</v>
      </c>
      <c r="C8" s="11" t="s">
        <v>17</v>
      </c>
      <c r="D8" s="54" t="s">
        <v>1538</v>
      </c>
      <c r="E8" s="14">
        <v>42341</v>
      </c>
      <c r="F8" s="30" t="s">
        <v>1540</v>
      </c>
      <c r="G8" s="19">
        <v>1</v>
      </c>
      <c r="H8" s="99" t="s">
        <v>2344</v>
      </c>
      <c r="I8" s="2"/>
      <c r="J8" s="2"/>
      <c r="K8" s="1"/>
    </row>
    <row r="9" spans="1:11" x14ac:dyDescent="0.25">
      <c r="A9" s="17">
        <f t="shared" ref="A9:A72" si="0">A8+1</f>
        <v>3</v>
      </c>
      <c r="B9" s="14" t="s">
        <v>1916</v>
      </c>
      <c r="C9" s="11" t="s">
        <v>17</v>
      </c>
      <c r="D9" s="54" t="s">
        <v>1542</v>
      </c>
      <c r="E9" s="14">
        <v>42341</v>
      </c>
      <c r="F9" s="30" t="s">
        <v>99</v>
      </c>
      <c r="G9" s="19">
        <v>1</v>
      </c>
      <c r="H9" s="25"/>
      <c r="I9" s="2"/>
      <c r="J9" s="2"/>
      <c r="K9" s="1"/>
    </row>
    <row r="10" spans="1:11" x14ac:dyDescent="0.25">
      <c r="A10" s="17">
        <f t="shared" si="0"/>
        <v>4</v>
      </c>
      <c r="B10" s="14" t="s">
        <v>1916</v>
      </c>
      <c r="C10" s="11" t="s">
        <v>17</v>
      </c>
      <c r="D10" s="54" t="s">
        <v>1543</v>
      </c>
      <c r="E10" s="14">
        <v>42341</v>
      </c>
      <c r="F10" s="30" t="s">
        <v>99</v>
      </c>
      <c r="G10" s="19">
        <v>1</v>
      </c>
      <c r="H10" s="25"/>
      <c r="I10" s="2"/>
      <c r="J10" s="2"/>
      <c r="K10" s="1"/>
    </row>
    <row r="11" spans="1:11" x14ac:dyDescent="0.25">
      <c r="A11" s="17">
        <f t="shared" si="0"/>
        <v>5</v>
      </c>
      <c r="B11" s="14" t="s">
        <v>1916</v>
      </c>
      <c r="C11" s="11" t="s">
        <v>17</v>
      </c>
      <c r="D11" s="54" t="s">
        <v>1544</v>
      </c>
      <c r="E11" s="14">
        <v>42341</v>
      </c>
      <c r="F11" s="30" t="s">
        <v>99</v>
      </c>
      <c r="G11" s="19">
        <v>1</v>
      </c>
      <c r="H11" s="60"/>
      <c r="I11" s="2"/>
      <c r="J11" s="2"/>
      <c r="K11" s="1"/>
    </row>
    <row r="12" spans="1:11" x14ac:dyDescent="0.25">
      <c r="A12" s="17">
        <f t="shared" si="0"/>
        <v>6</v>
      </c>
      <c r="B12" s="14" t="s">
        <v>1916</v>
      </c>
      <c r="C12" s="11" t="s">
        <v>17</v>
      </c>
      <c r="D12" s="54" t="s">
        <v>1545</v>
      </c>
      <c r="E12" s="14">
        <v>42341</v>
      </c>
      <c r="F12" s="30" t="s">
        <v>99</v>
      </c>
      <c r="G12" s="19">
        <v>1</v>
      </c>
      <c r="H12" s="2"/>
      <c r="I12" s="2"/>
      <c r="J12" s="2"/>
      <c r="K12" s="1"/>
    </row>
    <row r="13" spans="1:11" x14ac:dyDescent="0.25">
      <c r="A13" s="17">
        <f t="shared" si="0"/>
        <v>7</v>
      </c>
      <c r="B13" s="14" t="s">
        <v>1916</v>
      </c>
      <c r="C13" s="11" t="s">
        <v>17</v>
      </c>
      <c r="D13" s="54" t="s">
        <v>1546</v>
      </c>
      <c r="E13" s="14">
        <v>42341</v>
      </c>
      <c r="F13" s="30" t="s">
        <v>99</v>
      </c>
      <c r="G13" s="19">
        <v>1</v>
      </c>
      <c r="H13" s="2"/>
      <c r="I13" s="2"/>
      <c r="J13" s="2"/>
      <c r="K13" s="1"/>
    </row>
    <row r="14" spans="1:11" x14ac:dyDescent="0.25">
      <c r="A14" s="17">
        <f t="shared" si="0"/>
        <v>8</v>
      </c>
      <c r="B14" s="14" t="s">
        <v>1916</v>
      </c>
      <c r="C14" s="11" t="s">
        <v>17</v>
      </c>
      <c r="D14" s="54" t="s">
        <v>1547</v>
      </c>
      <c r="E14" s="14">
        <v>42341</v>
      </c>
      <c r="F14" s="30" t="s">
        <v>99</v>
      </c>
      <c r="G14" s="19">
        <v>1</v>
      </c>
      <c r="H14" s="13"/>
      <c r="I14" s="2"/>
      <c r="J14" s="2"/>
      <c r="K14" s="1"/>
    </row>
    <row r="15" spans="1:11" x14ac:dyDescent="0.25">
      <c r="A15" s="17">
        <f t="shared" si="0"/>
        <v>9</v>
      </c>
      <c r="B15" s="14" t="s">
        <v>1916</v>
      </c>
      <c r="C15" s="11" t="s">
        <v>17</v>
      </c>
      <c r="D15" s="54" t="s">
        <v>1548</v>
      </c>
      <c r="E15" s="14">
        <v>42341</v>
      </c>
      <c r="F15" s="30" t="s">
        <v>99</v>
      </c>
      <c r="G15" s="19">
        <v>1</v>
      </c>
      <c r="H15" s="13"/>
      <c r="I15" s="2"/>
      <c r="J15" s="2"/>
      <c r="K15" s="1"/>
    </row>
    <row r="16" spans="1:11" x14ac:dyDescent="0.25">
      <c r="A16" s="17">
        <f t="shared" si="0"/>
        <v>10</v>
      </c>
      <c r="B16" s="14" t="s">
        <v>1916</v>
      </c>
      <c r="C16" s="11" t="s">
        <v>17</v>
      </c>
      <c r="D16" s="54" t="s">
        <v>1549</v>
      </c>
      <c r="E16" s="14">
        <v>42341</v>
      </c>
      <c r="F16" s="30" t="s">
        <v>99</v>
      </c>
      <c r="G16" s="19">
        <v>1</v>
      </c>
      <c r="H16" s="13"/>
      <c r="I16" s="2"/>
      <c r="J16" s="2"/>
      <c r="K16" s="1"/>
    </row>
    <row r="17" spans="1:11" x14ac:dyDescent="0.25">
      <c r="A17" s="17">
        <f t="shared" si="0"/>
        <v>11</v>
      </c>
      <c r="B17" s="14" t="s">
        <v>1916</v>
      </c>
      <c r="C17" s="11" t="s">
        <v>17</v>
      </c>
      <c r="D17" s="54" t="s">
        <v>1550</v>
      </c>
      <c r="E17" s="14">
        <v>42341</v>
      </c>
      <c r="F17" s="30" t="s">
        <v>99</v>
      </c>
      <c r="G17" s="19">
        <v>1</v>
      </c>
      <c r="H17" s="13"/>
      <c r="I17" s="2"/>
      <c r="J17" s="2"/>
      <c r="K17" s="1"/>
    </row>
    <row r="18" spans="1:11" x14ac:dyDescent="0.25">
      <c r="A18" s="17">
        <f t="shared" si="0"/>
        <v>12</v>
      </c>
      <c r="B18" s="14" t="s">
        <v>1916</v>
      </c>
      <c r="C18" s="11" t="s">
        <v>17</v>
      </c>
      <c r="D18" s="54" t="s">
        <v>1551</v>
      </c>
      <c r="E18" s="14">
        <v>42341</v>
      </c>
      <c r="F18" s="30" t="s">
        <v>99</v>
      </c>
      <c r="G18" s="19">
        <v>1</v>
      </c>
      <c r="H18" s="13"/>
      <c r="I18" s="2"/>
      <c r="J18" s="2"/>
      <c r="K18" s="1"/>
    </row>
    <row r="19" spans="1:11" x14ac:dyDescent="0.25">
      <c r="A19" s="17">
        <f t="shared" si="0"/>
        <v>13</v>
      </c>
      <c r="B19" s="14" t="s">
        <v>1916</v>
      </c>
      <c r="C19" s="11" t="s">
        <v>17</v>
      </c>
      <c r="D19" s="54" t="s">
        <v>1552</v>
      </c>
      <c r="E19" s="14">
        <v>42341</v>
      </c>
      <c r="F19" s="30" t="s">
        <v>99</v>
      </c>
      <c r="G19" s="19">
        <v>1</v>
      </c>
      <c r="H19" s="13"/>
      <c r="I19" s="2"/>
      <c r="J19" s="2"/>
      <c r="K19" s="1"/>
    </row>
    <row r="20" spans="1:11" x14ac:dyDescent="0.25">
      <c r="A20" s="17">
        <f t="shared" si="0"/>
        <v>14</v>
      </c>
      <c r="B20" s="14" t="s">
        <v>1916</v>
      </c>
      <c r="C20" s="11" t="s">
        <v>17</v>
      </c>
      <c r="D20" s="54" t="s">
        <v>1553</v>
      </c>
      <c r="E20" s="14">
        <v>42341</v>
      </c>
      <c r="F20" s="30" t="s">
        <v>99</v>
      </c>
      <c r="G20" s="19">
        <v>1</v>
      </c>
      <c r="H20" s="13"/>
      <c r="I20" s="2"/>
      <c r="J20" s="2"/>
      <c r="K20" s="1"/>
    </row>
    <row r="21" spans="1:11" x14ac:dyDescent="0.25">
      <c r="A21" s="17">
        <f t="shared" si="0"/>
        <v>15</v>
      </c>
      <c r="B21" s="14" t="s">
        <v>1916</v>
      </c>
      <c r="C21" s="11" t="s">
        <v>17</v>
      </c>
      <c r="D21" s="54" t="s">
        <v>1554</v>
      </c>
      <c r="E21" s="14">
        <v>42341</v>
      </c>
      <c r="F21" s="30" t="s">
        <v>99</v>
      </c>
      <c r="G21" s="19">
        <v>1</v>
      </c>
    </row>
    <row r="22" spans="1:11" x14ac:dyDescent="0.25">
      <c r="A22" s="17">
        <f t="shared" si="0"/>
        <v>16</v>
      </c>
      <c r="B22" s="14" t="s">
        <v>1916</v>
      </c>
      <c r="C22" s="11" t="s">
        <v>17</v>
      </c>
      <c r="D22" s="54" t="s">
        <v>1555</v>
      </c>
      <c r="E22" s="14">
        <v>42341</v>
      </c>
      <c r="F22" s="30" t="s">
        <v>99</v>
      </c>
      <c r="G22" s="19">
        <v>1</v>
      </c>
    </row>
    <row r="23" spans="1:11" x14ac:dyDescent="0.25">
      <c r="A23" s="17">
        <f t="shared" si="0"/>
        <v>17</v>
      </c>
      <c r="B23" s="14" t="s">
        <v>1916</v>
      </c>
      <c r="C23" s="11" t="s">
        <v>17</v>
      </c>
      <c r="D23" s="54" t="s">
        <v>1556</v>
      </c>
      <c r="E23" s="14">
        <v>42341</v>
      </c>
      <c r="F23" s="30" t="s">
        <v>99</v>
      </c>
      <c r="G23" s="19">
        <v>1</v>
      </c>
    </row>
    <row r="24" spans="1:11" x14ac:dyDescent="0.25">
      <c r="A24" s="17">
        <f t="shared" si="0"/>
        <v>18</v>
      </c>
      <c r="B24" s="14" t="s">
        <v>1916</v>
      </c>
      <c r="C24" s="11" t="s">
        <v>17</v>
      </c>
      <c r="D24" s="54" t="s">
        <v>1557</v>
      </c>
      <c r="E24" s="14">
        <v>42341</v>
      </c>
      <c r="F24" s="30" t="s">
        <v>99</v>
      </c>
      <c r="G24" s="19">
        <v>1</v>
      </c>
    </row>
    <row r="25" spans="1:11" x14ac:dyDescent="0.25">
      <c r="A25" s="17">
        <f t="shared" si="0"/>
        <v>19</v>
      </c>
      <c r="B25" s="14" t="s">
        <v>1916</v>
      </c>
      <c r="C25" s="11" t="s">
        <v>17</v>
      </c>
      <c r="D25" s="54" t="s">
        <v>1558</v>
      </c>
      <c r="E25" s="14">
        <v>42341</v>
      </c>
      <c r="F25" s="30" t="s">
        <v>99</v>
      </c>
      <c r="G25" s="19">
        <v>1</v>
      </c>
    </row>
    <row r="26" spans="1:11" x14ac:dyDescent="0.25">
      <c r="A26" s="17">
        <f t="shared" si="0"/>
        <v>20</v>
      </c>
      <c r="B26" s="14" t="s">
        <v>1916</v>
      </c>
      <c r="C26" s="11" t="s">
        <v>17</v>
      </c>
      <c r="D26" s="54" t="s">
        <v>1559</v>
      </c>
      <c r="E26" s="14">
        <v>42341</v>
      </c>
      <c r="F26" s="30" t="s">
        <v>99</v>
      </c>
      <c r="G26" s="19">
        <v>1</v>
      </c>
    </row>
    <row r="27" spans="1:11" x14ac:dyDescent="0.25">
      <c r="A27" s="17">
        <f t="shared" si="0"/>
        <v>21</v>
      </c>
      <c r="B27" s="14" t="s">
        <v>1916</v>
      </c>
      <c r="C27" s="11" t="s">
        <v>17</v>
      </c>
      <c r="D27" s="54" t="s">
        <v>1560</v>
      </c>
      <c r="E27" s="14">
        <v>42341</v>
      </c>
      <c r="F27" s="30" t="s">
        <v>99</v>
      </c>
      <c r="G27" s="19">
        <v>1</v>
      </c>
    </row>
    <row r="28" spans="1:11" x14ac:dyDescent="0.25">
      <c r="A28" s="17">
        <f t="shared" si="0"/>
        <v>22</v>
      </c>
      <c r="B28" s="14" t="s">
        <v>1916</v>
      </c>
      <c r="C28" s="11" t="s">
        <v>17</v>
      </c>
      <c r="D28" s="54" t="s">
        <v>1561</v>
      </c>
      <c r="E28" s="14">
        <v>42341</v>
      </c>
      <c r="F28" s="30" t="s">
        <v>99</v>
      </c>
      <c r="G28" s="19">
        <v>1</v>
      </c>
    </row>
    <row r="29" spans="1:11" x14ac:dyDescent="0.25">
      <c r="A29" s="17">
        <f t="shared" si="0"/>
        <v>23</v>
      </c>
      <c r="B29" s="14" t="s">
        <v>1916</v>
      </c>
      <c r="C29" s="11" t="s">
        <v>17</v>
      </c>
      <c r="D29" s="54" t="s">
        <v>1562</v>
      </c>
      <c r="E29" s="14">
        <v>42341</v>
      </c>
      <c r="F29" s="30" t="s">
        <v>99</v>
      </c>
      <c r="G29" s="19">
        <v>1</v>
      </c>
    </row>
    <row r="30" spans="1:11" x14ac:dyDescent="0.25">
      <c r="A30" s="17">
        <f t="shared" si="0"/>
        <v>24</v>
      </c>
      <c r="B30" s="14" t="s">
        <v>1916</v>
      </c>
      <c r="C30" s="11" t="s">
        <v>17</v>
      </c>
      <c r="D30" s="54" t="s">
        <v>1563</v>
      </c>
      <c r="E30" s="14">
        <v>42341</v>
      </c>
      <c r="F30" s="30" t="s">
        <v>99</v>
      </c>
      <c r="G30" s="19">
        <v>1</v>
      </c>
    </row>
    <row r="31" spans="1:11" x14ac:dyDescent="0.25">
      <c r="A31" s="17">
        <f t="shared" si="0"/>
        <v>25</v>
      </c>
      <c r="B31" s="14" t="s">
        <v>1916</v>
      </c>
      <c r="C31" s="11" t="s">
        <v>17</v>
      </c>
      <c r="D31" s="54" t="s">
        <v>1564</v>
      </c>
      <c r="E31" s="14">
        <v>42341</v>
      </c>
      <c r="F31" s="30" t="s">
        <v>99</v>
      </c>
      <c r="G31" s="19">
        <v>1</v>
      </c>
    </row>
    <row r="32" spans="1:11" x14ac:dyDescent="0.25">
      <c r="A32" s="17">
        <f t="shared" si="0"/>
        <v>26</v>
      </c>
      <c r="B32" s="14" t="s">
        <v>1916</v>
      </c>
      <c r="C32" s="11" t="s">
        <v>17</v>
      </c>
      <c r="D32" s="54" t="s">
        <v>1565</v>
      </c>
      <c r="E32" s="14">
        <v>42341</v>
      </c>
      <c r="F32" s="30" t="s">
        <v>99</v>
      </c>
      <c r="G32" s="19">
        <v>1</v>
      </c>
    </row>
    <row r="33" spans="1:8" x14ac:dyDescent="0.25">
      <c r="A33" s="17">
        <f t="shared" si="0"/>
        <v>27</v>
      </c>
      <c r="B33" s="14" t="s">
        <v>1916</v>
      </c>
      <c r="C33" s="11" t="s">
        <v>17</v>
      </c>
      <c r="D33" s="54" t="s">
        <v>1566</v>
      </c>
      <c r="E33" s="14">
        <v>42341</v>
      </c>
      <c r="F33" s="30" t="s">
        <v>99</v>
      </c>
      <c r="G33" s="19">
        <v>1</v>
      </c>
    </row>
    <row r="34" spans="1:8" x14ac:dyDescent="0.25">
      <c r="A34" s="17">
        <f t="shared" si="0"/>
        <v>28</v>
      </c>
      <c r="B34" s="14" t="s">
        <v>1916</v>
      </c>
      <c r="C34" s="11" t="s">
        <v>17</v>
      </c>
      <c r="D34" s="54" t="s">
        <v>1567</v>
      </c>
      <c r="E34" s="14">
        <v>42341</v>
      </c>
      <c r="F34" s="30" t="s">
        <v>99</v>
      </c>
      <c r="G34" s="19">
        <v>1</v>
      </c>
    </row>
    <row r="35" spans="1:8" x14ac:dyDescent="0.25">
      <c r="A35" s="17">
        <f t="shared" si="0"/>
        <v>29</v>
      </c>
      <c r="B35" s="14" t="s">
        <v>1916</v>
      </c>
      <c r="C35" s="11" t="s">
        <v>17</v>
      </c>
      <c r="D35" s="54" t="s">
        <v>1568</v>
      </c>
      <c r="E35" s="14">
        <v>42341</v>
      </c>
      <c r="F35" s="30" t="s">
        <v>99</v>
      </c>
      <c r="G35" s="19">
        <v>1</v>
      </c>
    </row>
    <row r="36" spans="1:8" x14ac:dyDescent="0.25">
      <c r="A36" s="17">
        <f t="shared" si="0"/>
        <v>30</v>
      </c>
      <c r="B36" s="14" t="s">
        <v>1916</v>
      </c>
      <c r="C36" s="11" t="s">
        <v>17</v>
      </c>
      <c r="D36" s="54" t="s">
        <v>1569</v>
      </c>
      <c r="E36" s="14">
        <v>42341</v>
      </c>
      <c r="F36" s="30" t="s">
        <v>99</v>
      </c>
      <c r="G36" s="19">
        <v>1</v>
      </c>
    </row>
    <row r="37" spans="1:8" x14ac:dyDescent="0.25">
      <c r="A37" s="17">
        <f t="shared" si="0"/>
        <v>31</v>
      </c>
      <c r="B37" s="14" t="s">
        <v>1916</v>
      </c>
      <c r="C37" s="11" t="s">
        <v>17</v>
      </c>
      <c r="D37" s="54" t="s">
        <v>1570</v>
      </c>
      <c r="E37" s="14">
        <v>42341</v>
      </c>
      <c r="F37" s="30" t="s">
        <v>99</v>
      </c>
      <c r="G37" s="19">
        <v>1</v>
      </c>
    </row>
    <row r="38" spans="1:8" x14ac:dyDescent="0.25">
      <c r="A38" s="17">
        <f t="shared" si="0"/>
        <v>32</v>
      </c>
      <c r="B38" s="14" t="s">
        <v>1916</v>
      </c>
      <c r="C38" s="11" t="s">
        <v>17</v>
      </c>
      <c r="D38" s="54" t="s">
        <v>1571</v>
      </c>
      <c r="E38" s="14">
        <v>42341</v>
      </c>
      <c r="F38" s="30" t="s">
        <v>99</v>
      </c>
      <c r="G38" s="19">
        <v>1</v>
      </c>
    </row>
    <row r="39" spans="1:8" x14ac:dyDescent="0.25">
      <c r="A39" s="17">
        <f t="shared" si="0"/>
        <v>33</v>
      </c>
      <c r="B39" s="14" t="s">
        <v>1916</v>
      </c>
      <c r="C39" s="11" t="s">
        <v>17</v>
      </c>
      <c r="D39" s="54" t="s">
        <v>1572</v>
      </c>
      <c r="E39" s="14">
        <v>42341</v>
      </c>
      <c r="F39" s="30" t="s">
        <v>99</v>
      </c>
      <c r="G39" s="19">
        <v>1</v>
      </c>
    </row>
    <row r="40" spans="1:8" x14ac:dyDescent="0.25">
      <c r="A40" s="17">
        <f t="shared" si="0"/>
        <v>34</v>
      </c>
      <c r="B40" s="14" t="s">
        <v>1916</v>
      </c>
      <c r="C40" s="11" t="s">
        <v>17</v>
      </c>
      <c r="D40" s="54" t="s">
        <v>1573</v>
      </c>
      <c r="E40" s="14">
        <v>42341</v>
      </c>
      <c r="F40" s="30" t="s">
        <v>99</v>
      </c>
      <c r="G40" s="19">
        <v>1</v>
      </c>
    </row>
    <row r="41" spans="1:8" x14ac:dyDescent="0.25">
      <c r="A41" s="17">
        <f t="shared" si="0"/>
        <v>35</v>
      </c>
      <c r="B41" s="14" t="s">
        <v>1916</v>
      </c>
      <c r="C41" s="11" t="s">
        <v>17</v>
      </c>
      <c r="D41" s="54" t="s">
        <v>1574</v>
      </c>
      <c r="E41" s="14">
        <v>42341</v>
      </c>
      <c r="F41" s="30" t="s">
        <v>99</v>
      </c>
      <c r="G41" s="19">
        <v>1</v>
      </c>
      <c r="H41" s="57"/>
    </row>
    <row r="42" spans="1:8" x14ac:dyDescent="0.25">
      <c r="A42" s="17">
        <f t="shared" si="0"/>
        <v>36</v>
      </c>
      <c r="B42" s="63" t="s">
        <v>38</v>
      </c>
      <c r="C42" s="64" t="s">
        <v>17</v>
      </c>
      <c r="D42" s="65" t="s">
        <v>1575</v>
      </c>
      <c r="E42" s="63">
        <v>42344</v>
      </c>
      <c r="F42" s="66" t="s">
        <v>169</v>
      </c>
      <c r="G42" s="67">
        <v>1</v>
      </c>
      <c r="H42" s="100" t="s">
        <v>1873</v>
      </c>
    </row>
    <row r="43" spans="1:8" x14ac:dyDescent="0.25">
      <c r="A43" s="17">
        <f t="shared" si="0"/>
        <v>37</v>
      </c>
      <c r="B43" s="14" t="s">
        <v>2385</v>
      </c>
      <c r="C43" s="11" t="s">
        <v>17</v>
      </c>
      <c r="D43" s="54" t="s">
        <v>1576</v>
      </c>
      <c r="E43" s="14">
        <v>42344</v>
      </c>
      <c r="F43" s="30" t="s">
        <v>1580</v>
      </c>
      <c r="G43" s="19">
        <v>1</v>
      </c>
      <c r="H43" s="57" t="s">
        <v>2345</v>
      </c>
    </row>
    <row r="44" spans="1:8" x14ac:dyDescent="0.25">
      <c r="A44" s="17">
        <f t="shared" si="0"/>
        <v>38</v>
      </c>
      <c r="B44" s="14" t="s">
        <v>2325</v>
      </c>
      <c r="C44" s="11" t="s">
        <v>17</v>
      </c>
      <c r="D44" s="54" t="s">
        <v>1577</v>
      </c>
      <c r="E44" s="14">
        <v>42344</v>
      </c>
      <c r="F44" s="30" t="s">
        <v>1581</v>
      </c>
      <c r="G44" s="19">
        <v>1</v>
      </c>
      <c r="H44" s="57" t="s">
        <v>1582</v>
      </c>
    </row>
    <row r="45" spans="1:8" x14ac:dyDescent="0.25">
      <c r="A45" s="17">
        <f t="shared" si="0"/>
        <v>39</v>
      </c>
      <c r="B45" s="63" t="s">
        <v>2384</v>
      </c>
      <c r="C45" s="64" t="s">
        <v>17</v>
      </c>
      <c r="D45" s="65" t="s">
        <v>1578</v>
      </c>
      <c r="E45" s="63">
        <v>42344</v>
      </c>
      <c r="F45" s="66" t="s">
        <v>169</v>
      </c>
      <c r="G45" s="67">
        <v>1</v>
      </c>
      <c r="H45" s="100" t="s">
        <v>1873</v>
      </c>
    </row>
    <row r="46" spans="1:8" x14ac:dyDescent="0.25">
      <c r="A46" s="17">
        <f t="shared" si="0"/>
        <v>40</v>
      </c>
      <c r="B46" s="14" t="s">
        <v>2324</v>
      </c>
      <c r="C46" s="11" t="s">
        <v>17</v>
      </c>
      <c r="D46" s="54" t="s">
        <v>1579</v>
      </c>
      <c r="E46" s="14">
        <v>42344</v>
      </c>
      <c r="F46" s="30" t="s">
        <v>1583</v>
      </c>
      <c r="G46" s="19">
        <v>1</v>
      </c>
      <c r="H46" s="57" t="s">
        <v>1584</v>
      </c>
    </row>
    <row r="47" spans="1:8" x14ac:dyDescent="0.25">
      <c r="A47" s="17">
        <f t="shared" si="0"/>
        <v>41</v>
      </c>
      <c r="B47" s="14" t="s">
        <v>2346</v>
      </c>
      <c r="C47" s="11">
        <v>50</v>
      </c>
      <c r="D47" s="54" t="s">
        <v>1585</v>
      </c>
      <c r="E47" s="14">
        <v>42344</v>
      </c>
      <c r="F47" s="30" t="s">
        <v>1586</v>
      </c>
      <c r="G47" s="19">
        <v>1</v>
      </c>
      <c r="H47" s="57" t="s">
        <v>1587</v>
      </c>
    </row>
    <row r="48" spans="1:8" x14ac:dyDescent="0.25">
      <c r="A48" s="17">
        <f t="shared" si="0"/>
        <v>42</v>
      </c>
      <c r="B48" s="14" t="s">
        <v>2327</v>
      </c>
      <c r="C48" s="11" t="s">
        <v>17</v>
      </c>
      <c r="D48" s="54" t="s">
        <v>1588</v>
      </c>
      <c r="E48" s="14">
        <v>42345</v>
      </c>
      <c r="F48" s="30" t="s">
        <v>1589</v>
      </c>
      <c r="G48" s="19">
        <v>1</v>
      </c>
      <c r="H48" s="57" t="s">
        <v>1590</v>
      </c>
    </row>
    <row r="49" spans="1:8" x14ac:dyDescent="0.25">
      <c r="A49" s="17">
        <f t="shared" si="0"/>
        <v>43</v>
      </c>
      <c r="B49" s="14" t="s">
        <v>2326</v>
      </c>
      <c r="C49" s="11" t="s">
        <v>17</v>
      </c>
      <c r="D49" s="54" t="s">
        <v>1591</v>
      </c>
      <c r="E49" s="14">
        <v>42345</v>
      </c>
      <c r="F49" s="30" t="s">
        <v>1592</v>
      </c>
      <c r="G49" s="19">
        <v>1</v>
      </c>
      <c r="H49" s="57" t="s">
        <v>1593</v>
      </c>
    </row>
    <row r="50" spans="1:8" x14ac:dyDescent="0.25">
      <c r="A50" s="17">
        <f t="shared" si="0"/>
        <v>44</v>
      </c>
      <c r="B50" s="14" t="s">
        <v>2350</v>
      </c>
      <c r="C50" s="11" t="s">
        <v>17</v>
      </c>
      <c r="D50" s="54" t="s">
        <v>1594</v>
      </c>
      <c r="E50" s="14">
        <v>42345</v>
      </c>
      <c r="F50" s="30" t="s">
        <v>1597</v>
      </c>
      <c r="G50" s="19">
        <v>1</v>
      </c>
      <c r="H50" s="57" t="s">
        <v>1598</v>
      </c>
    </row>
    <row r="51" spans="1:8" x14ac:dyDescent="0.25">
      <c r="A51" s="17">
        <f t="shared" si="0"/>
        <v>45</v>
      </c>
      <c r="B51" s="14" t="s">
        <v>2351</v>
      </c>
      <c r="C51" s="11" t="s">
        <v>17</v>
      </c>
      <c r="D51" s="54" t="s">
        <v>1595</v>
      </c>
      <c r="E51" s="14">
        <v>42345</v>
      </c>
      <c r="F51" s="30" t="s">
        <v>1599</v>
      </c>
      <c r="G51" s="19">
        <v>1</v>
      </c>
      <c r="H51" s="57" t="s">
        <v>1600</v>
      </c>
    </row>
    <row r="52" spans="1:8" x14ac:dyDescent="0.25">
      <c r="A52" s="17">
        <f t="shared" si="0"/>
        <v>46</v>
      </c>
      <c r="B52" s="14" t="s">
        <v>2347</v>
      </c>
      <c r="C52" s="11" t="s">
        <v>17</v>
      </c>
      <c r="D52" s="54" t="s">
        <v>1596</v>
      </c>
      <c r="E52" s="14">
        <v>42345</v>
      </c>
      <c r="F52" s="30" t="s">
        <v>1601</v>
      </c>
      <c r="G52" s="19">
        <v>1</v>
      </c>
      <c r="H52" s="57" t="s">
        <v>1602</v>
      </c>
    </row>
    <row r="53" spans="1:8" x14ac:dyDescent="0.25">
      <c r="A53" s="17">
        <f t="shared" si="0"/>
        <v>47</v>
      </c>
      <c r="B53" s="14" t="s">
        <v>1650</v>
      </c>
      <c r="C53" s="11">
        <v>30</v>
      </c>
      <c r="D53" s="54" t="s">
        <v>1649</v>
      </c>
      <c r="E53" s="14">
        <v>42345</v>
      </c>
      <c r="F53" s="30" t="s">
        <v>811</v>
      </c>
      <c r="G53" s="19">
        <v>1</v>
      </c>
      <c r="H53" s="57"/>
    </row>
    <row r="54" spans="1:8" x14ac:dyDescent="0.25">
      <c r="A54" s="17">
        <f t="shared" si="0"/>
        <v>48</v>
      </c>
      <c r="B54" s="14" t="s">
        <v>1651</v>
      </c>
      <c r="C54" s="11" t="s">
        <v>17</v>
      </c>
      <c r="D54" s="54" t="s">
        <v>1652</v>
      </c>
      <c r="E54" s="14">
        <v>42345</v>
      </c>
      <c r="F54" s="30" t="s">
        <v>99</v>
      </c>
      <c r="G54" s="19">
        <v>1</v>
      </c>
      <c r="H54" s="57"/>
    </row>
    <row r="55" spans="1:8" x14ac:dyDescent="0.25">
      <c r="A55" s="17">
        <f t="shared" si="0"/>
        <v>49</v>
      </c>
      <c r="B55" s="14" t="s">
        <v>1653</v>
      </c>
      <c r="C55" s="11" t="s">
        <v>17</v>
      </c>
      <c r="D55" s="54" t="s">
        <v>1654</v>
      </c>
      <c r="E55" s="14">
        <v>42345</v>
      </c>
      <c r="F55" s="30" t="s">
        <v>811</v>
      </c>
      <c r="G55" s="19">
        <v>1</v>
      </c>
      <c r="H55" s="57"/>
    </row>
    <row r="56" spans="1:8" x14ac:dyDescent="0.25">
      <c r="A56" s="17">
        <f t="shared" si="0"/>
        <v>50</v>
      </c>
      <c r="B56" s="14" t="s">
        <v>2352</v>
      </c>
      <c r="C56" s="11" t="s">
        <v>17</v>
      </c>
      <c r="D56" s="54" t="s">
        <v>1655</v>
      </c>
      <c r="E56" s="14">
        <v>42346</v>
      </c>
      <c r="F56" s="30" t="s">
        <v>1659</v>
      </c>
      <c r="G56" s="19">
        <v>1</v>
      </c>
      <c r="H56" s="57" t="s">
        <v>1660</v>
      </c>
    </row>
    <row r="57" spans="1:8" x14ac:dyDescent="0.25">
      <c r="A57" s="17">
        <f t="shared" si="0"/>
        <v>51</v>
      </c>
      <c r="B57" s="14" t="s">
        <v>2353</v>
      </c>
      <c r="C57" s="11" t="s">
        <v>17</v>
      </c>
      <c r="D57" s="54" t="s">
        <v>1656</v>
      </c>
      <c r="E57" s="14">
        <v>42346</v>
      </c>
      <c r="F57" s="30" t="s">
        <v>1661</v>
      </c>
      <c r="G57" s="19">
        <v>1</v>
      </c>
      <c r="H57" s="57" t="s">
        <v>1662</v>
      </c>
    </row>
    <row r="58" spans="1:8" x14ac:dyDescent="0.25">
      <c r="A58" s="17">
        <f t="shared" si="0"/>
        <v>52</v>
      </c>
      <c r="B58" s="14" t="s">
        <v>2354</v>
      </c>
      <c r="C58" s="11" t="s">
        <v>17</v>
      </c>
      <c r="D58" s="54" t="s">
        <v>1657</v>
      </c>
      <c r="E58" s="14">
        <v>42346</v>
      </c>
      <c r="F58" s="30" t="s">
        <v>1663</v>
      </c>
      <c r="G58" s="19">
        <v>1</v>
      </c>
      <c r="H58" s="57" t="s">
        <v>1664</v>
      </c>
    </row>
    <row r="59" spans="1:8" x14ac:dyDescent="0.25">
      <c r="A59" s="17">
        <f t="shared" si="0"/>
        <v>53</v>
      </c>
      <c r="B59" s="14" t="s">
        <v>2328</v>
      </c>
      <c r="C59" s="11" t="s">
        <v>17</v>
      </c>
      <c r="D59" s="54" t="s">
        <v>1658</v>
      </c>
      <c r="E59" s="14">
        <v>42346</v>
      </c>
      <c r="F59" s="30" t="s">
        <v>1665</v>
      </c>
      <c r="G59" s="19">
        <v>1</v>
      </c>
      <c r="H59" s="57" t="s">
        <v>1666</v>
      </c>
    </row>
    <row r="60" spans="1:8" x14ac:dyDescent="0.25">
      <c r="A60" s="17">
        <f t="shared" si="0"/>
        <v>54</v>
      </c>
      <c r="B60" s="14" t="s">
        <v>1667</v>
      </c>
      <c r="C60" s="11" t="s">
        <v>17</v>
      </c>
      <c r="D60" s="54" t="s">
        <v>1668</v>
      </c>
      <c r="E60" s="14">
        <v>42346</v>
      </c>
      <c r="F60" s="30" t="s">
        <v>99</v>
      </c>
      <c r="G60" s="19">
        <v>1</v>
      </c>
    </row>
    <row r="61" spans="1:8" x14ac:dyDescent="0.25">
      <c r="A61" s="17">
        <f t="shared" si="0"/>
        <v>55</v>
      </c>
      <c r="B61" s="14" t="s">
        <v>1914</v>
      </c>
      <c r="C61" s="11" t="s">
        <v>17</v>
      </c>
      <c r="D61" s="54" t="s">
        <v>1669</v>
      </c>
      <c r="E61" s="14">
        <v>42347</v>
      </c>
      <c r="F61" s="30" t="s">
        <v>99</v>
      </c>
      <c r="G61" s="19">
        <v>1</v>
      </c>
    </row>
    <row r="62" spans="1:8" x14ac:dyDescent="0.25">
      <c r="A62" s="17">
        <f t="shared" si="0"/>
        <v>56</v>
      </c>
      <c r="B62" s="14" t="s">
        <v>1914</v>
      </c>
      <c r="C62" s="11" t="s">
        <v>17</v>
      </c>
      <c r="D62" s="54" t="s">
        <v>1670</v>
      </c>
      <c r="E62" s="14">
        <v>42347</v>
      </c>
      <c r="F62" s="30" t="s">
        <v>99</v>
      </c>
      <c r="G62" s="19">
        <v>1</v>
      </c>
    </row>
    <row r="63" spans="1:8" x14ac:dyDescent="0.25">
      <c r="A63" s="17">
        <f t="shared" si="0"/>
        <v>57</v>
      </c>
      <c r="B63" s="14" t="s">
        <v>1914</v>
      </c>
      <c r="C63" s="11" t="s">
        <v>17</v>
      </c>
      <c r="D63" s="54" t="s">
        <v>1671</v>
      </c>
      <c r="E63" s="14">
        <v>42347</v>
      </c>
      <c r="F63" s="30" t="s">
        <v>99</v>
      </c>
      <c r="G63" s="19">
        <v>1</v>
      </c>
    </row>
    <row r="64" spans="1:8" x14ac:dyDescent="0.25">
      <c r="A64" s="17">
        <f t="shared" si="0"/>
        <v>58</v>
      </c>
      <c r="B64" s="14" t="s">
        <v>1914</v>
      </c>
      <c r="C64" s="11" t="s">
        <v>17</v>
      </c>
      <c r="D64" s="54" t="s">
        <v>1672</v>
      </c>
      <c r="E64" s="14">
        <v>42347</v>
      </c>
      <c r="F64" s="30" t="s">
        <v>99</v>
      </c>
      <c r="G64" s="19">
        <v>1</v>
      </c>
    </row>
    <row r="65" spans="1:7" x14ac:dyDescent="0.25">
      <c r="A65" s="17">
        <f t="shared" si="0"/>
        <v>59</v>
      </c>
      <c r="B65" s="14" t="s">
        <v>1914</v>
      </c>
      <c r="C65" s="11" t="s">
        <v>17</v>
      </c>
      <c r="D65" s="54" t="s">
        <v>1673</v>
      </c>
      <c r="E65" s="14">
        <v>42347</v>
      </c>
      <c r="F65" s="30" t="s">
        <v>99</v>
      </c>
      <c r="G65" s="19">
        <v>1</v>
      </c>
    </row>
    <row r="66" spans="1:7" x14ac:dyDescent="0.25">
      <c r="A66" s="17">
        <f t="shared" si="0"/>
        <v>60</v>
      </c>
      <c r="B66" s="14" t="s">
        <v>1914</v>
      </c>
      <c r="C66" s="11" t="s">
        <v>17</v>
      </c>
      <c r="D66" s="54" t="s">
        <v>1674</v>
      </c>
      <c r="E66" s="14">
        <v>42347</v>
      </c>
      <c r="F66" s="30" t="s">
        <v>99</v>
      </c>
      <c r="G66" s="19">
        <v>1</v>
      </c>
    </row>
    <row r="67" spans="1:7" x14ac:dyDescent="0.25">
      <c r="A67" s="17">
        <f t="shared" si="0"/>
        <v>61</v>
      </c>
      <c r="B67" s="14" t="s">
        <v>1914</v>
      </c>
      <c r="C67" s="11" t="s">
        <v>17</v>
      </c>
      <c r="D67" s="54" t="s">
        <v>1675</v>
      </c>
      <c r="E67" s="14">
        <v>42347</v>
      </c>
      <c r="F67" s="30" t="s">
        <v>99</v>
      </c>
      <c r="G67" s="19">
        <v>1</v>
      </c>
    </row>
    <row r="68" spans="1:7" x14ac:dyDescent="0.25">
      <c r="A68" s="17">
        <f t="shared" si="0"/>
        <v>62</v>
      </c>
      <c r="B68" s="14" t="s">
        <v>1914</v>
      </c>
      <c r="C68" s="11" t="s">
        <v>17</v>
      </c>
      <c r="D68" s="54" t="s">
        <v>1676</v>
      </c>
      <c r="E68" s="14">
        <v>42347</v>
      </c>
      <c r="F68" s="30" t="s">
        <v>99</v>
      </c>
      <c r="G68" s="19">
        <v>1</v>
      </c>
    </row>
    <row r="69" spans="1:7" x14ac:dyDescent="0.25">
      <c r="A69" s="17">
        <f t="shared" si="0"/>
        <v>63</v>
      </c>
      <c r="B69" s="14" t="s">
        <v>1914</v>
      </c>
      <c r="C69" s="11" t="s">
        <v>17</v>
      </c>
      <c r="D69" s="54" t="s">
        <v>1677</v>
      </c>
      <c r="E69" s="14">
        <v>42347</v>
      </c>
      <c r="F69" s="30" t="s">
        <v>99</v>
      </c>
      <c r="G69" s="19">
        <v>1</v>
      </c>
    </row>
    <row r="70" spans="1:7" x14ac:dyDescent="0.25">
      <c r="A70" s="17">
        <f t="shared" si="0"/>
        <v>64</v>
      </c>
      <c r="B70" s="14" t="s">
        <v>1914</v>
      </c>
      <c r="C70" s="11" t="s">
        <v>17</v>
      </c>
      <c r="D70" s="54" t="s">
        <v>1678</v>
      </c>
      <c r="E70" s="14">
        <v>42347</v>
      </c>
      <c r="F70" s="30" t="s">
        <v>99</v>
      </c>
      <c r="G70" s="19">
        <v>1</v>
      </c>
    </row>
    <row r="71" spans="1:7" x14ac:dyDescent="0.25">
      <c r="A71" s="17">
        <f t="shared" si="0"/>
        <v>65</v>
      </c>
      <c r="B71" s="14" t="s">
        <v>1914</v>
      </c>
      <c r="C71" s="11" t="s">
        <v>17</v>
      </c>
      <c r="D71" s="54" t="s">
        <v>1679</v>
      </c>
      <c r="E71" s="14">
        <v>42347</v>
      </c>
      <c r="F71" s="30" t="s">
        <v>99</v>
      </c>
      <c r="G71" s="19">
        <v>1</v>
      </c>
    </row>
    <row r="72" spans="1:7" x14ac:dyDescent="0.25">
      <c r="A72" s="17">
        <f t="shared" si="0"/>
        <v>66</v>
      </c>
      <c r="B72" s="14" t="s">
        <v>1914</v>
      </c>
      <c r="C72" s="11" t="s">
        <v>17</v>
      </c>
      <c r="D72" s="54" t="s">
        <v>1680</v>
      </c>
      <c r="E72" s="14">
        <v>42347</v>
      </c>
      <c r="F72" s="30" t="s">
        <v>99</v>
      </c>
      <c r="G72" s="19">
        <v>1</v>
      </c>
    </row>
    <row r="73" spans="1:7" x14ac:dyDescent="0.25">
      <c r="A73" s="17">
        <f t="shared" ref="A73:A136" si="1">A72+1</f>
        <v>67</v>
      </c>
      <c r="B73" s="14" t="s">
        <v>1914</v>
      </c>
      <c r="C73" s="11" t="s">
        <v>17</v>
      </c>
      <c r="D73" s="54" t="s">
        <v>1681</v>
      </c>
      <c r="E73" s="14">
        <v>42347</v>
      </c>
      <c r="F73" s="30" t="s">
        <v>99</v>
      </c>
      <c r="G73" s="19">
        <v>1</v>
      </c>
    </row>
    <row r="74" spans="1:7" x14ac:dyDescent="0.25">
      <c r="A74" s="17">
        <f t="shared" si="1"/>
        <v>68</v>
      </c>
      <c r="B74" s="14" t="s">
        <v>1914</v>
      </c>
      <c r="C74" s="11" t="s">
        <v>17</v>
      </c>
      <c r="D74" s="54" t="s">
        <v>1682</v>
      </c>
      <c r="E74" s="14">
        <v>42347</v>
      </c>
      <c r="F74" s="30" t="s">
        <v>99</v>
      </c>
      <c r="G74" s="19">
        <v>1</v>
      </c>
    </row>
    <row r="75" spans="1:7" x14ac:dyDescent="0.25">
      <c r="A75" s="17">
        <f t="shared" si="1"/>
        <v>69</v>
      </c>
      <c r="B75" s="14" t="s">
        <v>1914</v>
      </c>
      <c r="C75" s="11" t="s">
        <v>17</v>
      </c>
      <c r="D75" s="54" t="s">
        <v>1683</v>
      </c>
      <c r="E75" s="14">
        <v>42347</v>
      </c>
      <c r="F75" s="30" t="s">
        <v>99</v>
      </c>
      <c r="G75" s="19">
        <v>1</v>
      </c>
    </row>
    <row r="76" spans="1:7" x14ac:dyDescent="0.25">
      <c r="A76" s="17">
        <f t="shared" si="1"/>
        <v>70</v>
      </c>
      <c r="B76" s="14" t="s">
        <v>1914</v>
      </c>
      <c r="C76" s="11" t="s">
        <v>17</v>
      </c>
      <c r="D76" s="54" t="s">
        <v>1684</v>
      </c>
      <c r="E76" s="14">
        <v>42347</v>
      </c>
      <c r="F76" s="30" t="s">
        <v>99</v>
      </c>
      <c r="G76" s="19">
        <v>1</v>
      </c>
    </row>
    <row r="77" spans="1:7" x14ac:dyDescent="0.25">
      <c r="A77" s="17">
        <f t="shared" si="1"/>
        <v>71</v>
      </c>
      <c r="B77" s="14" t="s">
        <v>1914</v>
      </c>
      <c r="C77" s="11" t="s">
        <v>17</v>
      </c>
      <c r="D77" s="54" t="s">
        <v>1685</v>
      </c>
      <c r="E77" s="14">
        <v>42347</v>
      </c>
      <c r="F77" s="30" t="s">
        <v>99</v>
      </c>
      <c r="G77" s="19">
        <v>1</v>
      </c>
    </row>
    <row r="78" spans="1:7" x14ac:dyDescent="0.25">
      <c r="A78" s="17">
        <f t="shared" si="1"/>
        <v>72</v>
      </c>
      <c r="B78" s="14" t="s">
        <v>1914</v>
      </c>
      <c r="C78" s="11" t="s">
        <v>17</v>
      </c>
      <c r="D78" s="54" t="s">
        <v>1686</v>
      </c>
      <c r="E78" s="14">
        <v>42347</v>
      </c>
      <c r="F78" s="30" t="s">
        <v>99</v>
      </c>
      <c r="G78" s="19">
        <v>1</v>
      </c>
    </row>
    <row r="79" spans="1:7" x14ac:dyDescent="0.25">
      <c r="A79" s="17">
        <f t="shared" si="1"/>
        <v>73</v>
      </c>
      <c r="B79" s="14" t="s">
        <v>1914</v>
      </c>
      <c r="C79" s="11" t="s">
        <v>17</v>
      </c>
      <c r="D79" s="54" t="s">
        <v>1687</v>
      </c>
      <c r="E79" s="14">
        <v>42347</v>
      </c>
      <c r="F79" s="30" t="s">
        <v>99</v>
      </c>
      <c r="G79" s="19">
        <v>1</v>
      </c>
    </row>
    <row r="80" spans="1:7" x14ac:dyDescent="0.25">
      <c r="A80" s="17">
        <f t="shared" si="1"/>
        <v>74</v>
      </c>
      <c r="B80" s="14" t="s">
        <v>1914</v>
      </c>
      <c r="C80" s="11" t="s">
        <v>17</v>
      </c>
      <c r="D80" s="54" t="s">
        <v>1688</v>
      </c>
      <c r="E80" s="14">
        <v>42347</v>
      </c>
      <c r="F80" s="30" t="s">
        <v>99</v>
      </c>
      <c r="G80" s="19">
        <v>1</v>
      </c>
    </row>
    <row r="81" spans="1:7" x14ac:dyDescent="0.25">
      <c r="A81" s="17">
        <f t="shared" si="1"/>
        <v>75</v>
      </c>
      <c r="B81" s="14" t="s">
        <v>1914</v>
      </c>
      <c r="C81" s="11" t="s">
        <v>17</v>
      </c>
      <c r="D81" s="54" t="s">
        <v>1689</v>
      </c>
      <c r="E81" s="14">
        <v>42347</v>
      </c>
      <c r="F81" s="30" t="s">
        <v>99</v>
      </c>
      <c r="G81" s="19">
        <v>1</v>
      </c>
    </row>
    <row r="82" spans="1:7" x14ac:dyDescent="0.25">
      <c r="A82" s="17">
        <f t="shared" si="1"/>
        <v>76</v>
      </c>
      <c r="B82" s="14" t="s">
        <v>1914</v>
      </c>
      <c r="C82" s="11" t="s">
        <v>17</v>
      </c>
      <c r="D82" s="54" t="s">
        <v>1690</v>
      </c>
      <c r="E82" s="14">
        <v>42347</v>
      </c>
      <c r="F82" s="30" t="s">
        <v>99</v>
      </c>
      <c r="G82" s="19">
        <v>1</v>
      </c>
    </row>
    <row r="83" spans="1:7" x14ac:dyDescent="0.25">
      <c r="A83" s="17">
        <f t="shared" si="1"/>
        <v>77</v>
      </c>
      <c r="B83" s="14" t="s">
        <v>1914</v>
      </c>
      <c r="C83" s="11" t="s">
        <v>17</v>
      </c>
      <c r="D83" s="54" t="s">
        <v>1691</v>
      </c>
      <c r="E83" s="14">
        <v>42347</v>
      </c>
      <c r="F83" s="30" t="s">
        <v>99</v>
      </c>
      <c r="G83" s="19">
        <v>1</v>
      </c>
    </row>
    <row r="84" spans="1:7" x14ac:dyDescent="0.25">
      <c r="A84" s="17">
        <f t="shared" si="1"/>
        <v>78</v>
      </c>
      <c r="B84" s="14" t="s">
        <v>1914</v>
      </c>
      <c r="C84" s="11" t="s">
        <v>17</v>
      </c>
      <c r="D84" s="54" t="s">
        <v>1692</v>
      </c>
      <c r="E84" s="14">
        <v>42347</v>
      </c>
      <c r="F84" s="30" t="s">
        <v>99</v>
      </c>
      <c r="G84" s="19">
        <v>1</v>
      </c>
    </row>
    <row r="85" spans="1:7" x14ac:dyDescent="0.25">
      <c r="A85" s="17">
        <f t="shared" si="1"/>
        <v>79</v>
      </c>
      <c r="B85" s="14" t="s">
        <v>1914</v>
      </c>
      <c r="C85" s="11" t="s">
        <v>17</v>
      </c>
      <c r="D85" s="54" t="s">
        <v>1693</v>
      </c>
      <c r="E85" s="14">
        <v>42347</v>
      </c>
      <c r="F85" s="30" t="s">
        <v>99</v>
      </c>
      <c r="G85" s="19">
        <v>1</v>
      </c>
    </row>
    <row r="86" spans="1:7" x14ac:dyDescent="0.25">
      <c r="A86" s="17">
        <f t="shared" si="1"/>
        <v>80</v>
      </c>
      <c r="B86" s="14" t="s">
        <v>1914</v>
      </c>
      <c r="C86" s="11" t="s">
        <v>17</v>
      </c>
      <c r="D86" s="54" t="s">
        <v>1694</v>
      </c>
      <c r="E86" s="14">
        <v>42347</v>
      </c>
      <c r="F86" s="30" t="s">
        <v>99</v>
      </c>
      <c r="G86" s="19">
        <v>1</v>
      </c>
    </row>
    <row r="87" spans="1:7" x14ac:dyDescent="0.25">
      <c r="A87" s="17">
        <f t="shared" si="1"/>
        <v>81</v>
      </c>
      <c r="B87" s="14" t="s">
        <v>1914</v>
      </c>
      <c r="C87" s="11" t="s">
        <v>17</v>
      </c>
      <c r="D87" s="54" t="s">
        <v>1695</v>
      </c>
      <c r="E87" s="14">
        <v>42347</v>
      </c>
      <c r="F87" s="30" t="s">
        <v>99</v>
      </c>
      <c r="G87" s="19">
        <v>1</v>
      </c>
    </row>
    <row r="88" spans="1:7" x14ac:dyDescent="0.25">
      <c r="A88" s="17">
        <f t="shared" si="1"/>
        <v>82</v>
      </c>
      <c r="B88" s="14" t="s">
        <v>1914</v>
      </c>
      <c r="C88" s="11" t="s">
        <v>17</v>
      </c>
      <c r="D88" s="54" t="s">
        <v>1696</v>
      </c>
      <c r="E88" s="14">
        <v>42347</v>
      </c>
      <c r="F88" s="30" t="s">
        <v>99</v>
      </c>
      <c r="G88" s="19">
        <v>1</v>
      </c>
    </row>
    <row r="89" spans="1:7" x14ac:dyDescent="0.25">
      <c r="A89" s="17">
        <f t="shared" si="1"/>
        <v>83</v>
      </c>
      <c r="B89" s="14" t="s">
        <v>1914</v>
      </c>
      <c r="C89" s="11" t="s">
        <v>17</v>
      </c>
      <c r="D89" s="54" t="s">
        <v>1697</v>
      </c>
      <c r="E89" s="14">
        <v>42347</v>
      </c>
      <c r="F89" s="30" t="s">
        <v>99</v>
      </c>
      <c r="G89" s="19">
        <v>1</v>
      </c>
    </row>
    <row r="90" spans="1:7" x14ac:dyDescent="0.25">
      <c r="A90" s="17">
        <f t="shared" si="1"/>
        <v>84</v>
      </c>
      <c r="B90" s="14" t="s">
        <v>1914</v>
      </c>
      <c r="C90" s="11" t="s">
        <v>17</v>
      </c>
      <c r="D90" s="54" t="s">
        <v>1698</v>
      </c>
      <c r="E90" s="14">
        <v>42347</v>
      </c>
      <c r="F90" s="30" t="s">
        <v>99</v>
      </c>
      <c r="G90" s="19">
        <v>1</v>
      </c>
    </row>
    <row r="91" spans="1:7" x14ac:dyDescent="0.25">
      <c r="A91" s="17">
        <f t="shared" si="1"/>
        <v>85</v>
      </c>
      <c r="B91" s="14" t="s">
        <v>1914</v>
      </c>
      <c r="C91" s="11" t="s">
        <v>17</v>
      </c>
      <c r="D91" s="54" t="s">
        <v>1699</v>
      </c>
      <c r="E91" s="14">
        <v>42347</v>
      </c>
      <c r="F91" s="30" t="s">
        <v>99</v>
      </c>
      <c r="G91" s="19">
        <v>1</v>
      </c>
    </row>
    <row r="92" spans="1:7" x14ac:dyDescent="0.25">
      <c r="A92" s="17">
        <f t="shared" si="1"/>
        <v>86</v>
      </c>
      <c r="B92" s="14" t="s">
        <v>1914</v>
      </c>
      <c r="C92" s="11" t="s">
        <v>17</v>
      </c>
      <c r="D92" s="54" t="s">
        <v>1700</v>
      </c>
      <c r="E92" s="14">
        <v>42347</v>
      </c>
      <c r="F92" s="30" t="s">
        <v>99</v>
      </c>
      <c r="G92" s="19">
        <v>1</v>
      </c>
    </row>
    <row r="93" spans="1:7" x14ac:dyDescent="0.25">
      <c r="A93" s="17">
        <f t="shared" si="1"/>
        <v>87</v>
      </c>
      <c r="B93" s="14" t="s">
        <v>1914</v>
      </c>
      <c r="C93" s="11" t="s">
        <v>17</v>
      </c>
      <c r="D93" s="54" t="s">
        <v>1701</v>
      </c>
      <c r="E93" s="14">
        <v>42347</v>
      </c>
      <c r="F93" s="30" t="s">
        <v>99</v>
      </c>
      <c r="G93" s="19">
        <v>1</v>
      </c>
    </row>
    <row r="94" spans="1:7" x14ac:dyDescent="0.25">
      <c r="A94" s="17">
        <f t="shared" si="1"/>
        <v>88</v>
      </c>
      <c r="B94" s="14" t="s">
        <v>1914</v>
      </c>
      <c r="C94" s="11" t="s">
        <v>17</v>
      </c>
      <c r="D94" s="54" t="s">
        <v>1702</v>
      </c>
      <c r="E94" s="14">
        <v>42347</v>
      </c>
      <c r="F94" s="30" t="s">
        <v>99</v>
      </c>
      <c r="G94" s="19">
        <v>1</v>
      </c>
    </row>
    <row r="95" spans="1:7" x14ac:dyDescent="0.25">
      <c r="A95" s="17">
        <f t="shared" si="1"/>
        <v>89</v>
      </c>
      <c r="B95" s="14" t="s">
        <v>1914</v>
      </c>
      <c r="C95" s="11" t="s">
        <v>17</v>
      </c>
      <c r="D95" s="54" t="s">
        <v>1703</v>
      </c>
      <c r="E95" s="14">
        <v>42347</v>
      </c>
      <c r="F95" s="30" t="s">
        <v>99</v>
      </c>
      <c r="G95" s="19">
        <v>1</v>
      </c>
    </row>
    <row r="96" spans="1:7" x14ac:dyDescent="0.25">
      <c r="A96" s="17">
        <f t="shared" si="1"/>
        <v>90</v>
      </c>
      <c r="B96" s="14" t="s">
        <v>1914</v>
      </c>
      <c r="C96" s="11" t="s">
        <v>17</v>
      </c>
      <c r="D96" s="54" t="s">
        <v>1704</v>
      </c>
      <c r="E96" s="14">
        <v>42347</v>
      </c>
      <c r="F96" s="30" t="s">
        <v>99</v>
      </c>
      <c r="G96" s="19">
        <v>1</v>
      </c>
    </row>
    <row r="97" spans="1:7" x14ac:dyDescent="0.25">
      <c r="A97" s="17">
        <f t="shared" si="1"/>
        <v>91</v>
      </c>
      <c r="B97" s="14" t="s">
        <v>1914</v>
      </c>
      <c r="C97" s="11" t="s">
        <v>17</v>
      </c>
      <c r="D97" s="54" t="s">
        <v>1705</v>
      </c>
      <c r="E97" s="14">
        <v>42347</v>
      </c>
      <c r="F97" s="30" t="s">
        <v>99</v>
      </c>
      <c r="G97" s="19">
        <v>1</v>
      </c>
    </row>
    <row r="98" spans="1:7" x14ac:dyDescent="0.25">
      <c r="A98" s="17">
        <f t="shared" si="1"/>
        <v>92</v>
      </c>
      <c r="B98" s="14" t="s">
        <v>1914</v>
      </c>
      <c r="C98" s="11" t="s">
        <v>17</v>
      </c>
      <c r="D98" s="54" t="s">
        <v>1706</v>
      </c>
      <c r="E98" s="14">
        <v>42347</v>
      </c>
      <c r="F98" s="30" t="s">
        <v>99</v>
      </c>
      <c r="G98" s="19">
        <v>1</v>
      </c>
    </row>
    <row r="99" spans="1:7" x14ac:dyDescent="0.25">
      <c r="A99" s="17">
        <f t="shared" si="1"/>
        <v>93</v>
      </c>
      <c r="B99" s="14" t="s">
        <v>1914</v>
      </c>
      <c r="C99" s="11" t="s">
        <v>17</v>
      </c>
      <c r="D99" s="54" t="s">
        <v>1707</v>
      </c>
      <c r="E99" s="14">
        <v>42347</v>
      </c>
      <c r="F99" s="30" t="s">
        <v>99</v>
      </c>
      <c r="G99" s="19">
        <v>1</v>
      </c>
    </row>
    <row r="100" spans="1:7" x14ac:dyDescent="0.25">
      <c r="A100" s="17">
        <f t="shared" si="1"/>
        <v>94</v>
      </c>
      <c r="B100" s="14" t="s">
        <v>1914</v>
      </c>
      <c r="C100" s="11" t="s">
        <v>17</v>
      </c>
      <c r="D100" s="54" t="s">
        <v>1708</v>
      </c>
      <c r="E100" s="14">
        <v>42347</v>
      </c>
      <c r="F100" s="30" t="s">
        <v>99</v>
      </c>
      <c r="G100" s="19">
        <v>1</v>
      </c>
    </row>
    <row r="101" spans="1:7" x14ac:dyDescent="0.25">
      <c r="A101" s="17">
        <f t="shared" si="1"/>
        <v>95</v>
      </c>
      <c r="B101" s="14" t="s">
        <v>1914</v>
      </c>
      <c r="C101" s="11" t="s">
        <v>17</v>
      </c>
      <c r="D101" s="54" t="s">
        <v>1709</v>
      </c>
      <c r="E101" s="14">
        <v>42347</v>
      </c>
      <c r="F101" s="30" t="s">
        <v>99</v>
      </c>
      <c r="G101" s="19">
        <v>1</v>
      </c>
    </row>
    <row r="102" spans="1:7" x14ac:dyDescent="0.25">
      <c r="A102" s="17">
        <f t="shared" si="1"/>
        <v>96</v>
      </c>
      <c r="B102" s="14" t="s">
        <v>1914</v>
      </c>
      <c r="C102" s="11" t="s">
        <v>17</v>
      </c>
      <c r="D102" s="54" t="s">
        <v>1710</v>
      </c>
      <c r="E102" s="14">
        <v>42347</v>
      </c>
      <c r="F102" s="30" t="s">
        <v>99</v>
      </c>
      <c r="G102" s="19">
        <v>1</v>
      </c>
    </row>
    <row r="103" spans="1:7" x14ac:dyDescent="0.25">
      <c r="A103" s="17">
        <f t="shared" si="1"/>
        <v>97</v>
      </c>
      <c r="B103" s="14" t="s">
        <v>1914</v>
      </c>
      <c r="C103" s="11" t="s">
        <v>17</v>
      </c>
      <c r="D103" s="54" t="s">
        <v>1711</v>
      </c>
      <c r="E103" s="14">
        <v>42347</v>
      </c>
      <c r="F103" s="30" t="s">
        <v>99</v>
      </c>
      <c r="G103" s="19">
        <v>1</v>
      </c>
    </row>
    <row r="104" spans="1:7" x14ac:dyDescent="0.25">
      <c r="A104" s="17">
        <f t="shared" si="1"/>
        <v>98</v>
      </c>
      <c r="B104" s="14" t="s">
        <v>1914</v>
      </c>
      <c r="C104" s="11" t="s">
        <v>17</v>
      </c>
      <c r="D104" s="54" t="s">
        <v>1712</v>
      </c>
      <c r="E104" s="14">
        <v>42347</v>
      </c>
      <c r="F104" s="30" t="s">
        <v>99</v>
      </c>
      <c r="G104" s="19">
        <v>1</v>
      </c>
    </row>
    <row r="105" spans="1:7" x14ac:dyDescent="0.25">
      <c r="A105" s="17">
        <f t="shared" si="1"/>
        <v>99</v>
      </c>
      <c r="B105" s="14" t="s">
        <v>1914</v>
      </c>
      <c r="C105" s="11" t="s">
        <v>17</v>
      </c>
      <c r="D105" s="54" t="s">
        <v>1713</v>
      </c>
      <c r="E105" s="14">
        <v>42347</v>
      </c>
      <c r="F105" s="30" t="s">
        <v>99</v>
      </c>
      <c r="G105" s="19">
        <v>1</v>
      </c>
    </row>
    <row r="106" spans="1:7" x14ac:dyDescent="0.25">
      <c r="A106" s="17">
        <f t="shared" si="1"/>
        <v>100</v>
      </c>
      <c r="B106" s="14" t="s">
        <v>1914</v>
      </c>
      <c r="C106" s="11" t="s">
        <v>17</v>
      </c>
      <c r="D106" s="54" t="s">
        <v>1714</v>
      </c>
      <c r="E106" s="14">
        <v>42347</v>
      </c>
      <c r="F106" s="30" t="s">
        <v>99</v>
      </c>
      <c r="G106" s="19">
        <v>1</v>
      </c>
    </row>
    <row r="107" spans="1:7" x14ac:dyDescent="0.25">
      <c r="A107" s="17">
        <f t="shared" si="1"/>
        <v>101</v>
      </c>
      <c r="B107" s="14" t="s">
        <v>1914</v>
      </c>
      <c r="C107" s="11" t="s">
        <v>17</v>
      </c>
      <c r="D107" s="54" t="s">
        <v>1715</v>
      </c>
      <c r="E107" s="14">
        <v>42347</v>
      </c>
      <c r="F107" s="30" t="s">
        <v>99</v>
      </c>
      <c r="G107" s="19">
        <v>1</v>
      </c>
    </row>
    <row r="108" spans="1:7" x14ac:dyDescent="0.25">
      <c r="A108" s="17">
        <f t="shared" si="1"/>
        <v>102</v>
      </c>
      <c r="B108" s="14" t="s">
        <v>1914</v>
      </c>
      <c r="C108" s="11" t="s">
        <v>17</v>
      </c>
      <c r="D108" s="54" t="s">
        <v>1716</v>
      </c>
      <c r="E108" s="14">
        <v>42347</v>
      </c>
      <c r="F108" s="30" t="s">
        <v>99</v>
      </c>
      <c r="G108" s="19">
        <v>1</v>
      </c>
    </row>
    <row r="109" spans="1:7" x14ac:dyDescent="0.25">
      <c r="A109" s="17">
        <f t="shared" si="1"/>
        <v>103</v>
      </c>
      <c r="B109" s="14" t="s">
        <v>1914</v>
      </c>
      <c r="C109" s="11" t="s">
        <v>17</v>
      </c>
      <c r="D109" s="54" t="s">
        <v>1717</v>
      </c>
      <c r="E109" s="14">
        <v>42347</v>
      </c>
      <c r="F109" s="30" t="s">
        <v>99</v>
      </c>
      <c r="G109" s="19">
        <v>1</v>
      </c>
    </row>
    <row r="110" spans="1:7" x14ac:dyDescent="0.25">
      <c r="A110" s="17">
        <f t="shared" si="1"/>
        <v>104</v>
      </c>
      <c r="B110" s="14" t="s">
        <v>1914</v>
      </c>
      <c r="C110" s="11" t="s">
        <v>17</v>
      </c>
      <c r="D110" s="54" t="s">
        <v>1718</v>
      </c>
      <c r="E110" s="14">
        <v>42347</v>
      </c>
      <c r="F110" s="30" t="s">
        <v>99</v>
      </c>
      <c r="G110" s="19">
        <v>1</v>
      </c>
    </row>
    <row r="111" spans="1:7" x14ac:dyDescent="0.25">
      <c r="A111" s="17">
        <f t="shared" si="1"/>
        <v>105</v>
      </c>
      <c r="B111" s="14" t="s">
        <v>1727</v>
      </c>
      <c r="C111" s="11" t="s">
        <v>17</v>
      </c>
      <c r="D111" s="54" t="s">
        <v>1728</v>
      </c>
      <c r="E111" s="14">
        <v>42348</v>
      </c>
      <c r="F111" s="30" t="s">
        <v>811</v>
      </c>
      <c r="G111" s="19">
        <v>1</v>
      </c>
    </row>
    <row r="112" spans="1:7" x14ac:dyDescent="0.25">
      <c r="A112" s="17">
        <f t="shared" si="1"/>
        <v>106</v>
      </c>
      <c r="B112" s="14" t="s">
        <v>1721</v>
      </c>
      <c r="C112" s="11" t="s">
        <v>17</v>
      </c>
      <c r="D112" s="54" t="s">
        <v>1722</v>
      </c>
      <c r="E112" s="14">
        <v>42348</v>
      </c>
      <c r="F112" s="30" t="s">
        <v>811</v>
      </c>
      <c r="G112" s="19">
        <v>1</v>
      </c>
    </row>
    <row r="113" spans="1:8" x14ac:dyDescent="0.25">
      <c r="A113" s="17">
        <f t="shared" si="1"/>
        <v>107</v>
      </c>
      <c r="B113" s="14" t="s">
        <v>1735</v>
      </c>
      <c r="C113" s="11" t="s">
        <v>17</v>
      </c>
      <c r="D113" s="54" t="s">
        <v>1736</v>
      </c>
      <c r="E113" s="14">
        <v>42348</v>
      </c>
      <c r="F113" s="30" t="s">
        <v>811</v>
      </c>
      <c r="G113" s="19">
        <v>1</v>
      </c>
    </row>
    <row r="114" spans="1:8" x14ac:dyDescent="0.25">
      <c r="A114" s="17">
        <f t="shared" si="1"/>
        <v>108</v>
      </c>
      <c r="B114" s="14" t="s">
        <v>1719</v>
      </c>
      <c r="C114" s="11" t="s">
        <v>17</v>
      </c>
      <c r="D114" s="54" t="s">
        <v>1720</v>
      </c>
      <c r="E114" s="14">
        <v>42348</v>
      </c>
      <c r="F114" s="30" t="s">
        <v>811</v>
      </c>
      <c r="G114" s="19">
        <v>1</v>
      </c>
    </row>
    <row r="115" spans="1:8" x14ac:dyDescent="0.25">
      <c r="A115" s="17">
        <f t="shared" si="1"/>
        <v>109</v>
      </c>
      <c r="B115" s="14" t="s">
        <v>1723</v>
      </c>
      <c r="C115" s="11" t="s">
        <v>17</v>
      </c>
      <c r="D115" s="54" t="s">
        <v>1724</v>
      </c>
      <c r="E115" s="14">
        <v>42348</v>
      </c>
      <c r="F115" s="30" t="s">
        <v>811</v>
      </c>
      <c r="G115" s="19">
        <v>1</v>
      </c>
    </row>
    <row r="116" spans="1:8" x14ac:dyDescent="0.25">
      <c r="A116" s="17">
        <f t="shared" si="1"/>
        <v>110</v>
      </c>
      <c r="B116" s="14" t="s">
        <v>1729</v>
      </c>
      <c r="C116" s="11" t="s">
        <v>17</v>
      </c>
      <c r="D116" s="54" t="s">
        <v>1730</v>
      </c>
      <c r="E116" s="14">
        <v>42348</v>
      </c>
      <c r="F116" s="30" t="s">
        <v>811</v>
      </c>
      <c r="G116" s="19">
        <v>1</v>
      </c>
    </row>
    <row r="117" spans="1:8" x14ac:dyDescent="0.25">
      <c r="A117" s="17">
        <f t="shared" si="1"/>
        <v>111</v>
      </c>
      <c r="B117" s="14" t="s">
        <v>1733</v>
      </c>
      <c r="C117" s="11" t="s">
        <v>17</v>
      </c>
      <c r="D117" s="54" t="s">
        <v>1734</v>
      </c>
      <c r="E117" s="14">
        <v>42348</v>
      </c>
      <c r="F117" s="30" t="s">
        <v>811</v>
      </c>
      <c r="G117" s="19">
        <v>1</v>
      </c>
    </row>
    <row r="118" spans="1:8" x14ac:dyDescent="0.25">
      <c r="A118" s="17">
        <f t="shared" si="1"/>
        <v>112</v>
      </c>
      <c r="B118" s="14" t="s">
        <v>1737</v>
      </c>
      <c r="C118" s="11" t="s">
        <v>17</v>
      </c>
      <c r="D118" s="54" t="s">
        <v>1738</v>
      </c>
      <c r="E118" s="14">
        <v>42348</v>
      </c>
      <c r="F118" s="30" t="s">
        <v>811</v>
      </c>
      <c r="G118" s="19">
        <v>1</v>
      </c>
    </row>
    <row r="119" spans="1:8" x14ac:dyDescent="0.25">
      <c r="A119" s="17">
        <f t="shared" si="1"/>
        <v>113</v>
      </c>
      <c r="B119" s="14" t="s">
        <v>1731</v>
      </c>
      <c r="C119" s="11" t="s">
        <v>17</v>
      </c>
      <c r="D119" s="54" t="s">
        <v>1732</v>
      </c>
      <c r="E119" s="14">
        <v>42348</v>
      </c>
      <c r="F119" s="30" t="s">
        <v>811</v>
      </c>
      <c r="G119" s="19">
        <v>1</v>
      </c>
    </row>
    <row r="120" spans="1:8" x14ac:dyDescent="0.25">
      <c r="A120" s="17">
        <f t="shared" si="1"/>
        <v>114</v>
      </c>
      <c r="B120" s="14" t="s">
        <v>1725</v>
      </c>
      <c r="C120" s="11" t="s">
        <v>17</v>
      </c>
      <c r="D120" s="54" t="s">
        <v>1726</v>
      </c>
      <c r="E120" s="14">
        <v>42348</v>
      </c>
      <c r="F120" s="30" t="s">
        <v>811</v>
      </c>
      <c r="G120" s="19">
        <v>1</v>
      </c>
      <c r="H120" s="57"/>
    </row>
    <row r="121" spans="1:8" x14ac:dyDescent="0.25">
      <c r="A121" s="17">
        <f t="shared" si="1"/>
        <v>115</v>
      </c>
      <c r="B121" s="14" t="s">
        <v>2355</v>
      </c>
      <c r="C121" s="11" t="s">
        <v>17</v>
      </c>
      <c r="D121" s="54" t="s">
        <v>1739</v>
      </c>
      <c r="E121" s="14">
        <v>42352</v>
      </c>
      <c r="F121" s="30" t="s">
        <v>1740</v>
      </c>
      <c r="G121" s="19">
        <v>1</v>
      </c>
      <c r="H121" s="57" t="s">
        <v>1741</v>
      </c>
    </row>
    <row r="122" spans="1:8" x14ac:dyDescent="0.25">
      <c r="A122" s="17">
        <f t="shared" si="1"/>
        <v>116</v>
      </c>
      <c r="B122" s="14" t="s">
        <v>1742</v>
      </c>
      <c r="C122" s="11" t="s">
        <v>17</v>
      </c>
      <c r="D122" s="54" t="s">
        <v>1743</v>
      </c>
      <c r="E122" s="14">
        <v>42352</v>
      </c>
      <c r="F122" s="30" t="s">
        <v>811</v>
      </c>
      <c r="G122" s="19">
        <v>1</v>
      </c>
      <c r="H122" s="57"/>
    </row>
    <row r="123" spans="1:8" x14ac:dyDescent="0.25">
      <c r="A123" s="17">
        <f t="shared" si="1"/>
        <v>117</v>
      </c>
      <c r="B123" s="14" t="s">
        <v>1482</v>
      </c>
      <c r="C123" s="11" t="s">
        <v>17</v>
      </c>
      <c r="D123" s="54" t="s">
        <v>1744</v>
      </c>
      <c r="E123" s="14">
        <v>42352</v>
      </c>
      <c r="F123" s="30" t="s">
        <v>811</v>
      </c>
      <c r="G123" s="19">
        <v>1</v>
      </c>
      <c r="H123" s="57"/>
    </row>
    <row r="124" spans="1:8" x14ac:dyDescent="0.25">
      <c r="A124" s="17">
        <f t="shared" si="1"/>
        <v>118</v>
      </c>
      <c r="B124" s="14" t="s">
        <v>2356</v>
      </c>
      <c r="C124" s="11" t="s">
        <v>17</v>
      </c>
      <c r="D124" s="54" t="s">
        <v>1745</v>
      </c>
      <c r="E124" s="14">
        <v>42354</v>
      </c>
      <c r="F124" s="30" t="s">
        <v>1746</v>
      </c>
      <c r="G124" s="19">
        <v>1</v>
      </c>
      <c r="H124" s="57" t="s">
        <v>1747</v>
      </c>
    </row>
    <row r="125" spans="1:8" x14ac:dyDescent="0.25">
      <c r="A125" s="17">
        <f t="shared" si="1"/>
        <v>119</v>
      </c>
      <c r="B125" s="14" t="s">
        <v>2379</v>
      </c>
      <c r="C125" s="11" t="s">
        <v>84</v>
      </c>
      <c r="D125" s="54" t="s">
        <v>1748</v>
      </c>
      <c r="E125" s="14">
        <v>42354</v>
      </c>
      <c r="F125" s="30" t="s">
        <v>1763</v>
      </c>
      <c r="G125" s="19">
        <v>1</v>
      </c>
      <c r="H125" s="57" t="s">
        <v>1749</v>
      </c>
    </row>
    <row r="126" spans="1:8" x14ac:dyDescent="0.25">
      <c r="A126" s="17">
        <f t="shared" si="1"/>
        <v>120</v>
      </c>
      <c r="B126" s="14" t="s">
        <v>1750</v>
      </c>
      <c r="C126" s="11" t="s">
        <v>17</v>
      </c>
      <c r="D126" s="54" t="s">
        <v>1751</v>
      </c>
      <c r="E126" s="14">
        <v>42354</v>
      </c>
      <c r="F126" s="30" t="s">
        <v>99</v>
      </c>
      <c r="G126" s="19">
        <v>1</v>
      </c>
      <c r="H126" s="57"/>
    </row>
    <row r="127" spans="1:8" x14ac:dyDescent="0.25">
      <c r="A127" s="17">
        <f t="shared" si="1"/>
        <v>121</v>
      </c>
      <c r="B127" s="14" t="s">
        <v>1752</v>
      </c>
      <c r="C127" s="11" t="s">
        <v>17</v>
      </c>
      <c r="D127" s="54" t="s">
        <v>1753</v>
      </c>
      <c r="E127" s="14">
        <v>42354</v>
      </c>
      <c r="F127" s="30" t="s">
        <v>811</v>
      </c>
      <c r="G127" s="19">
        <v>1</v>
      </c>
      <c r="H127" s="57"/>
    </row>
    <row r="128" spans="1:8" x14ac:dyDescent="0.25">
      <c r="A128" s="17">
        <f t="shared" si="1"/>
        <v>122</v>
      </c>
      <c r="B128" s="14" t="s">
        <v>1754</v>
      </c>
      <c r="C128" s="11" t="s">
        <v>17</v>
      </c>
      <c r="D128" s="54" t="s">
        <v>1755</v>
      </c>
      <c r="E128" s="14">
        <v>42354</v>
      </c>
      <c r="F128" s="30" t="s">
        <v>811</v>
      </c>
      <c r="G128" s="19">
        <v>1</v>
      </c>
      <c r="H128" s="57"/>
    </row>
    <row r="129" spans="1:8" x14ac:dyDescent="0.25">
      <c r="A129" s="17">
        <f t="shared" si="1"/>
        <v>123</v>
      </c>
      <c r="B129" s="14" t="s">
        <v>1758</v>
      </c>
      <c r="C129" s="11" t="s">
        <v>17</v>
      </c>
      <c r="D129" s="54" t="s">
        <v>1759</v>
      </c>
      <c r="E129" s="14">
        <v>42355</v>
      </c>
      <c r="F129" s="30" t="s">
        <v>811</v>
      </c>
      <c r="G129" s="19">
        <v>1</v>
      </c>
      <c r="H129" s="57"/>
    </row>
    <row r="130" spans="1:8" x14ac:dyDescent="0.25">
      <c r="A130" s="17">
        <f t="shared" si="1"/>
        <v>124</v>
      </c>
      <c r="B130" s="14" t="s">
        <v>1756</v>
      </c>
      <c r="C130" s="11" t="s">
        <v>17</v>
      </c>
      <c r="D130" s="54" t="s">
        <v>1757</v>
      </c>
      <c r="E130" s="14">
        <v>42355</v>
      </c>
      <c r="F130" s="30" t="s">
        <v>811</v>
      </c>
      <c r="G130" s="19">
        <v>1</v>
      </c>
      <c r="H130" s="57"/>
    </row>
    <row r="131" spans="1:8" x14ac:dyDescent="0.25">
      <c r="A131" s="17">
        <f t="shared" si="1"/>
        <v>125</v>
      </c>
      <c r="B131" s="14" t="s">
        <v>1760</v>
      </c>
      <c r="C131" s="11" t="s">
        <v>17</v>
      </c>
      <c r="D131" s="54" t="s">
        <v>1761</v>
      </c>
      <c r="E131" s="14">
        <v>42355</v>
      </c>
      <c r="F131" s="30" t="s">
        <v>811</v>
      </c>
      <c r="G131" s="19">
        <v>1</v>
      </c>
      <c r="H131" s="57"/>
    </row>
    <row r="132" spans="1:8" x14ac:dyDescent="0.25">
      <c r="A132" s="17">
        <f t="shared" si="1"/>
        <v>126</v>
      </c>
      <c r="B132" s="14" t="s">
        <v>2380</v>
      </c>
      <c r="C132" s="11">
        <v>30</v>
      </c>
      <c r="D132" s="54" t="s">
        <v>1762</v>
      </c>
      <c r="E132" s="14">
        <v>42355</v>
      </c>
      <c r="F132" s="30" t="s">
        <v>2341</v>
      </c>
      <c r="G132" s="19">
        <v>1</v>
      </c>
      <c r="H132" s="57" t="s">
        <v>881</v>
      </c>
    </row>
    <row r="133" spans="1:8" x14ac:dyDescent="0.25">
      <c r="A133" s="17">
        <f t="shared" si="1"/>
        <v>127</v>
      </c>
      <c r="B133" s="14" t="s">
        <v>1770</v>
      </c>
      <c r="C133" s="11" t="s">
        <v>17</v>
      </c>
      <c r="D133" s="54" t="s">
        <v>1771</v>
      </c>
      <c r="E133" s="14">
        <v>42359</v>
      </c>
      <c r="F133" s="30" t="s">
        <v>811</v>
      </c>
      <c r="G133" s="19">
        <v>1</v>
      </c>
      <c r="H133" s="57"/>
    </row>
    <row r="134" spans="1:8" x14ac:dyDescent="0.25">
      <c r="A134" s="17">
        <f t="shared" si="1"/>
        <v>128</v>
      </c>
      <c r="B134" s="14" t="s">
        <v>1764</v>
      </c>
      <c r="C134" s="11" t="s">
        <v>17</v>
      </c>
      <c r="D134" s="54" t="s">
        <v>1765</v>
      </c>
      <c r="E134" s="14">
        <v>42359</v>
      </c>
      <c r="F134" s="30" t="s">
        <v>811</v>
      </c>
      <c r="G134" s="19">
        <v>1</v>
      </c>
      <c r="H134" s="57"/>
    </row>
    <row r="135" spans="1:8" x14ac:dyDescent="0.25">
      <c r="A135" s="17">
        <f t="shared" si="1"/>
        <v>129</v>
      </c>
      <c r="B135" s="14" t="s">
        <v>1766</v>
      </c>
      <c r="C135" s="11" t="s">
        <v>17</v>
      </c>
      <c r="D135" s="54" t="s">
        <v>1767</v>
      </c>
      <c r="E135" s="14">
        <v>42359</v>
      </c>
      <c r="F135" s="30" t="s">
        <v>811</v>
      </c>
      <c r="G135" s="19">
        <v>1</v>
      </c>
      <c r="H135" s="57"/>
    </row>
    <row r="136" spans="1:8" x14ac:dyDescent="0.25">
      <c r="A136" s="17">
        <f t="shared" si="1"/>
        <v>130</v>
      </c>
      <c r="B136" s="14" t="s">
        <v>1768</v>
      </c>
      <c r="C136" s="11" t="s">
        <v>17</v>
      </c>
      <c r="D136" s="54" t="s">
        <v>1769</v>
      </c>
      <c r="E136" s="14">
        <v>42359</v>
      </c>
      <c r="F136" s="30" t="s">
        <v>811</v>
      </c>
      <c r="G136" s="19">
        <v>1</v>
      </c>
      <c r="H136" s="57"/>
    </row>
    <row r="137" spans="1:8" x14ac:dyDescent="0.25">
      <c r="A137" s="17">
        <f t="shared" ref="A137:A193" si="2">A136+1</f>
        <v>131</v>
      </c>
      <c r="B137" s="14" t="s">
        <v>2357</v>
      </c>
      <c r="C137" s="11" t="s">
        <v>17</v>
      </c>
      <c r="D137" s="54" t="s">
        <v>1772</v>
      </c>
      <c r="E137" s="14">
        <v>42360</v>
      </c>
      <c r="F137" s="30" t="s">
        <v>1773</v>
      </c>
      <c r="G137" s="19">
        <v>1</v>
      </c>
      <c r="H137" s="57" t="s">
        <v>1774</v>
      </c>
    </row>
    <row r="138" spans="1:8" x14ac:dyDescent="0.25">
      <c r="A138" s="17">
        <f t="shared" si="2"/>
        <v>132</v>
      </c>
      <c r="B138" s="14" t="s">
        <v>2358</v>
      </c>
      <c r="C138" s="15" t="s">
        <v>17</v>
      </c>
      <c r="D138" s="54" t="s">
        <v>1869</v>
      </c>
      <c r="E138" s="14">
        <v>42360</v>
      </c>
      <c r="F138" s="87" t="s">
        <v>1776</v>
      </c>
      <c r="G138" s="19">
        <v>1</v>
      </c>
      <c r="H138" s="57" t="s">
        <v>1777</v>
      </c>
    </row>
    <row r="139" spans="1:8" x14ac:dyDescent="0.25">
      <c r="A139" s="17">
        <f t="shared" si="2"/>
        <v>133</v>
      </c>
      <c r="B139" s="14" t="s">
        <v>2359</v>
      </c>
      <c r="C139" s="15" t="s">
        <v>17</v>
      </c>
      <c r="D139" s="54" t="s">
        <v>1868</v>
      </c>
      <c r="E139" s="14">
        <v>42360</v>
      </c>
      <c r="F139" s="87" t="s">
        <v>1779</v>
      </c>
      <c r="G139" s="19">
        <v>1</v>
      </c>
      <c r="H139" s="57" t="s">
        <v>1780</v>
      </c>
    </row>
    <row r="140" spans="1:8" x14ac:dyDescent="0.25">
      <c r="A140" s="17">
        <f t="shared" si="2"/>
        <v>134</v>
      </c>
      <c r="B140" s="14" t="s">
        <v>2360</v>
      </c>
      <c r="C140" s="11" t="s">
        <v>17</v>
      </c>
      <c r="D140" s="54" t="s">
        <v>1781</v>
      </c>
      <c r="E140" s="14">
        <v>42360</v>
      </c>
      <c r="F140" s="30" t="s">
        <v>1782</v>
      </c>
      <c r="G140" s="19">
        <v>1</v>
      </c>
      <c r="H140" s="57" t="s">
        <v>1783</v>
      </c>
    </row>
    <row r="141" spans="1:8" x14ac:dyDescent="0.25">
      <c r="A141" s="17">
        <f t="shared" si="2"/>
        <v>135</v>
      </c>
      <c r="B141" s="14" t="s">
        <v>1915</v>
      </c>
      <c r="C141" s="11" t="s">
        <v>17</v>
      </c>
      <c r="D141" s="54" t="s">
        <v>1784</v>
      </c>
      <c r="E141" s="14">
        <v>42360</v>
      </c>
      <c r="F141" s="30" t="s">
        <v>99</v>
      </c>
      <c r="G141" s="19">
        <v>1</v>
      </c>
      <c r="H141" s="57"/>
    </row>
    <row r="142" spans="1:8" x14ac:dyDescent="0.25">
      <c r="A142" s="17">
        <f t="shared" si="2"/>
        <v>136</v>
      </c>
      <c r="B142" s="14" t="s">
        <v>1915</v>
      </c>
      <c r="C142" s="11" t="s">
        <v>17</v>
      </c>
      <c r="D142" s="54" t="s">
        <v>1785</v>
      </c>
      <c r="E142" s="14">
        <v>42360</v>
      </c>
      <c r="F142" s="30" t="s">
        <v>99</v>
      </c>
      <c r="G142" s="19">
        <v>1</v>
      </c>
      <c r="H142" s="57"/>
    </row>
    <row r="143" spans="1:8" x14ac:dyDescent="0.25">
      <c r="A143" s="17">
        <f t="shared" si="2"/>
        <v>137</v>
      </c>
      <c r="B143" s="14" t="s">
        <v>1915</v>
      </c>
      <c r="C143" s="11" t="s">
        <v>17</v>
      </c>
      <c r="D143" s="54" t="s">
        <v>1786</v>
      </c>
      <c r="E143" s="14">
        <v>42360</v>
      </c>
      <c r="F143" s="30" t="s">
        <v>99</v>
      </c>
      <c r="G143" s="19">
        <v>1</v>
      </c>
    </row>
    <row r="144" spans="1:8" x14ac:dyDescent="0.25">
      <c r="A144" s="17">
        <f t="shared" si="2"/>
        <v>138</v>
      </c>
      <c r="B144" s="14" t="s">
        <v>1915</v>
      </c>
      <c r="C144" s="11" t="s">
        <v>17</v>
      </c>
      <c r="D144" s="54" t="s">
        <v>1787</v>
      </c>
      <c r="E144" s="14">
        <v>42360</v>
      </c>
      <c r="F144" s="30" t="s">
        <v>99</v>
      </c>
      <c r="G144" s="19">
        <v>1</v>
      </c>
    </row>
    <row r="145" spans="1:8" x14ac:dyDescent="0.25">
      <c r="A145" s="17">
        <f t="shared" si="2"/>
        <v>139</v>
      </c>
      <c r="B145" s="14" t="s">
        <v>1915</v>
      </c>
      <c r="C145" s="11" t="s">
        <v>17</v>
      </c>
      <c r="D145" s="54" t="s">
        <v>1788</v>
      </c>
      <c r="E145" s="14">
        <v>42360</v>
      </c>
      <c r="F145" s="30" t="s">
        <v>99</v>
      </c>
      <c r="G145" s="19">
        <v>1</v>
      </c>
    </row>
    <row r="146" spans="1:8" x14ac:dyDescent="0.25">
      <c r="A146" s="17">
        <f t="shared" si="2"/>
        <v>140</v>
      </c>
      <c r="B146" s="14" t="s">
        <v>1915</v>
      </c>
      <c r="C146" s="11" t="s">
        <v>17</v>
      </c>
      <c r="D146" s="54" t="s">
        <v>1789</v>
      </c>
      <c r="E146" s="14">
        <v>42360</v>
      </c>
      <c r="F146" s="30" t="s">
        <v>99</v>
      </c>
      <c r="G146" s="19">
        <v>1</v>
      </c>
    </row>
    <row r="147" spans="1:8" x14ac:dyDescent="0.25">
      <c r="A147" s="17">
        <f t="shared" si="2"/>
        <v>141</v>
      </c>
      <c r="B147" s="14" t="s">
        <v>1915</v>
      </c>
      <c r="C147" s="11" t="s">
        <v>17</v>
      </c>
      <c r="D147" s="54" t="s">
        <v>1790</v>
      </c>
      <c r="E147" s="14">
        <v>42360</v>
      </c>
      <c r="F147" s="30" t="s">
        <v>99</v>
      </c>
      <c r="G147" s="19">
        <v>1</v>
      </c>
    </row>
    <row r="148" spans="1:8" x14ac:dyDescent="0.25">
      <c r="A148" s="17">
        <f t="shared" si="2"/>
        <v>142</v>
      </c>
      <c r="B148" s="14" t="s">
        <v>1915</v>
      </c>
      <c r="C148" s="11" t="s">
        <v>17</v>
      </c>
      <c r="D148" s="54" t="s">
        <v>1791</v>
      </c>
      <c r="E148" s="14">
        <v>42360</v>
      </c>
      <c r="F148" s="30" t="s">
        <v>99</v>
      </c>
      <c r="G148" s="19">
        <v>1</v>
      </c>
    </row>
    <row r="149" spans="1:8" x14ac:dyDescent="0.25">
      <c r="A149" s="17">
        <f t="shared" si="2"/>
        <v>143</v>
      </c>
      <c r="B149" s="14" t="s">
        <v>1915</v>
      </c>
      <c r="C149" s="11" t="s">
        <v>17</v>
      </c>
      <c r="D149" s="54" t="s">
        <v>1792</v>
      </c>
      <c r="E149" s="14">
        <v>42360</v>
      </c>
      <c r="F149" s="30" t="s">
        <v>99</v>
      </c>
      <c r="G149" s="19">
        <v>1</v>
      </c>
    </row>
    <row r="150" spans="1:8" x14ac:dyDescent="0.25">
      <c r="A150" s="17">
        <f t="shared" si="2"/>
        <v>144</v>
      </c>
      <c r="B150" s="14" t="s">
        <v>1915</v>
      </c>
      <c r="C150" s="11" t="s">
        <v>17</v>
      </c>
      <c r="D150" s="54" t="s">
        <v>1793</v>
      </c>
      <c r="E150" s="14">
        <v>42360</v>
      </c>
      <c r="F150" s="30" t="s">
        <v>99</v>
      </c>
      <c r="G150" s="19">
        <v>1</v>
      </c>
    </row>
    <row r="151" spans="1:8" x14ac:dyDescent="0.25">
      <c r="A151" s="17">
        <f t="shared" si="2"/>
        <v>145</v>
      </c>
      <c r="B151" s="14" t="s">
        <v>1915</v>
      </c>
      <c r="C151" s="11" t="s">
        <v>17</v>
      </c>
      <c r="D151" s="54" t="s">
        <v>1794</v>
      </c>
      <c r="E151" s="14">
        <v>42360</v>
      </c>
      <c r="F151" s="30" t="s">
        <v>99</v>
      </c>
      <c r="G151" s="19">
        <v>1</v>
      </c>
    </row>
    <row r="152" spans="1:8" x14ac:dyDescent="0.25">
      <c r="A152" s="17">
        <f t="shared" si="2"/>
        <v>146</v>
      </c>
      <c r="B152" s="14" t="s">
        <v>1811</v>
      </c>
      <c r="C152" s="11" t="s">
        <v>84</v>
      </c>
      <c r="D152" s="54" t="s">
        <v>1812</v>
      </c>
      <c r="E152" s="14">
        <v>42361</v>
      </c>
      <c r="F152" s="30" t="s">
        <v>811</v>
      </c>
      <c r="G152" s="19">
        <v>1</v>
      </c>
    </row>
    <row r="153" spans="1:8" x14ac:dyDescent="0.25">
      <c r="A153" s="17">
        <f t="shared" si="2"/>
        <v>147</v>
      </c>
      <c r="B153" s="14" t="s">
        <v>2364</v>
      </c>
      <c r="C153" s="11" t="s">
        <v>84</v>
      </c>
      <c r="D153" s="54" t="s">
        <v>1815</v>
      </c>
      <c r="E153" s="14">
        <v>42361</v>
      </c>
      <c r="F153" s="30" t="s">
        <v>811</v>
      </c>
      <c r="G153" s="19">
        <v>1</v>
      </c>
      <c r="H153" t="s">
        <v>816</v>
      </c>
    </row>
    <row r="154" spans="1:8" x14ac:dyDescent="0.25">
      <c r="A154" s="17">
        <f t="shared" si="2"/>
        <v>148</v>
      </c>
      <c r="B154" s="14" t="s">
        <v>1809</v>
      </c>
      <c r="C154" s="11" t="s">
        <v>17</v>
      </c>
      <c r="D154" s="54" t="s">
        <v>1810</v>
      </c>
      <c r="E154" s="14">
        <v>42361</v>
      </c>
      <c r="F154" s="30" t="s">
        <v>811</v>
      </c>
      <c r="G154" s="19">
        <v>1</v>
      </c>
    </row>
    <row r="155" spans="1:8" x14ac:dyDescent="0.25">
      <c r="A155" s="17">
        <f t="shared" si="2"/>
        <v>149</v>
      </c>
      <c r="B155" s="14" t="s">
        <v>1807</v>
      </c>
      <c r="C155" s="11" t="s">
        <v>17</v>
      </c>
      <c r="D155" s="54" t="s">
        <v>1808</v>
      </c>
      <c r="E155" s="14">
        <v>42361</v>
      </c>
      <c r="F155" s="30" t="s">
        <v>811</v>
      </c>
      <c r="G155" s="19">
        <v>1</v>
      </c>
    </row>
    <row r="156" spans="1:8" x14ac:dyDescent="0.25">
      <c r="A156" s="17">
        <f t="shared" si="2"/>
        <v>150</v>
      </c>
      <c r="B156" s="14" t="s">
        <v>1813</v>
      </c>
      <c r="C156" s="11" t="s">
        <v>17</v>
      </c>
      <c r="D156" s="54" t="s">
        <v>1814</v>
      </c>
      <c r="E156" s="14">
        <v>42361</v>
      </c>
      <c r="F156" s="30" t="s">
        <v>811</v>
      </c>
      <c r="G156" s="19">
        <v>1</v>
      </c>
    </row>
    <row r="157" spans="1:8" x14ac:dyDescent="0.25">
      <c r="A157" s="17">
        <f t="shared" si="2"/>
        <v>151</v>
      </c>
      <c r="B157" s="14" t="s">
        <v>1801</v>
      </c>
      <c r="C157" s="11" t="s">
        <v>17</v>
      </c>
      <c r="D157" s="54" t="s">
        <v>1802</v>
      </c>
      <c r="E157" s="14">
        <v>42361</v>
      </c>
      <c r="F157" s="30" t="s">
        <v>811</v>
      </c>
      <c r="G157" s="19">
        <v>1</v>
      </c>
    </row>
    <row r="158" spans="1:8" x14ac:dyDescent="0.25">
      <c r="A158" s="17">
        <f t="shared" si="2"/>
        <v>152</v>
      </c>
      <c r="B158" s="14" t="s">
        <v>1803</v>
      </c>
      <c r="C158" s="11" t="s">
        <v>17</v>
      </c>
      <c r="D158" s="54" t="s">
        <v>1804</v>
      </c>
      <c r="E158" s="14">
        <v>42361</v>
      </c>
      <c r="F158" s="30" t="s">
        <v>811</v>
      </c>
      <c r="G158" s="19">
        <v>1</v>
      </c>
    </row>
    <row r="159" spans="1:8" x14ac:dyDescent="0.25">
      <c r="A159" s="17">
        <f t="shared" si="2"/>
        <v>153</v>
      </c>
      <c r="B159" s="14" t="s">
        <v>1799</v>
      </c>
      <c r="C159" s="11" t="s">
        <v>17</v>
      </c>
      <c r="D159" s="54" t="s">
        <v>1800</v>
      </c>
      <c r="E159" s="14">
        <v>42361</v>
      </c>
      <c r="F159" s="30" t="s">
        <v>811</v>
      </c>
      <c r="G159" s="19">
        <v>1</v>
      </c>
    </row>
    <row r="160" spans="1:8" x14ac:dyDescent="0.25">
      <c r="A160" s="17">
        <f t="shared" si="2"/>
        <v>154</v>
      </c>
      <c r="B160" s="14" t="s">
        <v>1797</v>
      </c>
      <c r="C160" s="11" t="s">
        <v>17</v>
      </c>
      <c r="D160" s="54" t="s">
        <v>1798</v>
      </c>
      <c r="E160" s="14">
        <v>42361</v>
      </c>
      <c r="F160" s="30" t="s">
        <v>811</v>
      </c>
      <c r="G160" s="19">
        <v>1</v>
      </c>
    </row>
    <row r="161" spans="1:7" x14ac:dyDescent="0.25">
      <c r="A161" s="17">
        <f t="shared" si="2"/>
        <v>155</v>
      </c>
      <c r="B161" s="14" t="s">
        <v>1795</v>
      </c>
      <c r="C161" s="11" t="s">
        <v>17</v>
      </c>
      <c r="D161" s="54" t="s">
        <v>1796</v>
      </c>
      <c r="E161" s="14">
        <v>42361</v>
      </c>
      <c r="F161" s="30" t="s">
        <v>811</v>
      </c>
      <c r="G161" s="19">
        <v>1</v>
      </c>
    </row>
    <row r="162" spans="1:7" x14ac:dyDescent="0.25">
      <c r="A162" s="17">
        <f t="shared" si="2"/>
        <v>156</v>
      </c>
      <c r="B162" s="14" t="s">
        <v>1805</v>
      </c>
      <c r="C162" s="11" t="s">
        <v>17</v>
      </c>
      <c r="D162" s="54" t="s">
        <v>1806</v>
      </c>
      <c r="E162" s="14">
        <v>42361</v>
      </c>
      <c r="F162" s="30" t="s">
        <v>811</v>
      </c>
      <c r="G162" s="19">
        <v>1</v>
      </c>
    </row>
    <row r="163" spans="1:7" x14ac:dyDescent="0.25">
      <c r="A163" s="17">
        <f t="shared" si="2"/>
        <v>157</v>
      </c>
      <c r="B163" s="14" t="s">
        <v>1830</v>
      </c>
      <c r="C163" s="11" t="s">
        <v>17</v>
      </c>
      <c r="D163" s="54" t="s">
        <v>1831</v>
      </c>
      <c r="E163" s="14">
        <v>42365</v>
      </c>
      <c r="F163" s="30" t="s">
        <v>811</v>
      </c>
      <c r="G163" s="19">
        <v>1</v>
      </c>
    </row>
    <row r="164" spans="1:7" x14ac:dyDescent="0.25">
      <c r="A164" s="17">
        <f t="shared" si="2"/>
        <v>158</v>
      </c>
      <c r="B164" s="14" t="s">
        <v>1820</v>
      </c>
      <c r="C164" s="11" t="s">
        <v>17</v>
      </c>
      <c r="D164" s="54" t="s">
        <v>1821</v>
      </c>
      <c r="E164" s="14">
        <v>42365</v>
      </c>
      <c r="F164" s="30" t="s">
        <v>811</v>
      </c>
      <c r="G164" s="19">
        <v>1</v>
      </c>
    </row>
    <row r="165" spans="1:7" x14ac:dyDescent="0.25">
      <c r="A165" s="17">
        <f t="shared" si="2"/>
        <v>159</v>
      </c>
      <c r="B165" s="14" t="s">
        <v>1826</v>
      </c>
      <c r="C165" s="11" t="s">
        <v>17</v>
      </c>
      <c r="D165" s="54" t="s">
        <v>1827</v>
      </c>
      <c r="E165" s="14">
        <v>42365</v>
      </c>
      <c r="F165" s="30" t="s">
        <v>811</v>
      </c>
      <c r="G165" s="19">
        <v>1</v>
      </c>
    </row>
    <row r="166" spans="1:7" x14ac:dyDescent="0.25">
      <c r="A166" s="17">
        <f t="shared" si="2"/>
        <v>160</v>
      </c>
      <c r="B166" s="14" t="s">
        <v>1828</v>
      </c>
      <c r="C166" s="11" t="s">
        <v>17</v>
      </c>
      <c r="D166" s="54" t="s">
        <v>1829</v>
      </c>
      <c r="E166" s="14">
        <v>42365</v>
      </c>
      <c r="F166" s="30" t="s">
        <v>811</v>
      </c>
      <c r="G166" s="19">
        <v>1</v>
      </c>
    </row>
    <row r="167" spans="1:7" x14ac:dyDescent="0.25">
      <c r="A167" s="17">
        <f t="shared" si="2"/>
        <v>161</v>
      </c>
      <c r="B167" s="14" t="s">
        <v>1816</v>
      </c>
      <c r="C167" s="15" t="s">
        <v>17</v>
      </c>
      <c r="D167" s="54" t="s">
        <v>1817</v>
      </c>
      <c r="E167" s="14">
        <v>42365</v>
      </c>
      <c r="F167" s="87" t="s">
        <v>811</v>
      </c>
      <c r="G167" s="19">
        <v>1</v>
      </c>
    </row>
    <row r="168" spans="1:7" x14ac:dyDescent="0.25">
      <c r="A168" s="17">
        <f t="shared" si="2"/>
        <v>162</v>
      </c>
      <c r="B168" s="14" t="s">
        <v>1822</v>
      </c>
      <c r="C168" s="15" t="s">
        <v>17</v>
      </c>
      <c r="D168" s="54" t="s">
        <v>1823</v>
      </c>
      <c r="E168" s="14">
        <v>42365</v>
      </c>
      <c r="F168" s="87" t="s">
        <v>811</v>
      </c>
      <c r="G168" s="19">
        <v>1</v>
      </c>
    </row>
    <row r="169" spans="1:7" x14ac:dyDescent="0.25">
      <c r="A169" s="17">
        <f t="shared" si="2"/>
        <v>163</v>
      </c>
      <c r="B169" s="14" t="s">
        <v>1824</v>
      </c>
      <c r="C169" s="15" t="s">
        <v>17</v>
      </c>
      <c r="D169" s="54" t="s">
        <v>1825</v>
      </c>
      <c r="E169" s="14">
        <v>42365</v>
      </c>
      <c r="F169" s="87" t="s">
        <v>811</v>
      </c>
      <c r="G169" s="19">
        <v>1</v>
      </c>
    </row>
    <row r="170" spans="1:7" x14ac:dyDescent="0.25">
      <c r="A170" s="17">
        <f t="shared" si="2"/>
        <v>164</v>
      </c>
      <c r="B170" s="14" t="s">
        <v>1818</v>
      </c>
      <c r="C170" s="15" t="s">
        <v>17</v>
      </c>
      <c r="D170" s="54" t="s">
        <v>1819</v>
      </c>
      <c r="E170" s="14">
        <v>42365</v>
      </c>
      <c r="F170" s="87" t="s">
        <v>811</v>
      </c>
      <c r="G170" s="19">
        <v>1</v>
      </c>
    </row>
    <row r="171" spans="1:7" x14ac:dyDescent="0.25">
      <c r="A171" s="17">
        <f t="shared" si="2"/>
        <v>165</v>
      </c>
      <c r="B171" s="14" t="s">
        <v>1832</v>
      </c>
      <c r="C171" s="15" t="s">
        <v>84</v>
      </c>
      <c r="D171" s="54" t="s">
        <v>1833</v>
      </c>
      <c r="E171" s="14">
        <v>42366</v>
      </c>
      <c r="F171" s="87" t="s">
        <v>811</v>
      </c>
      <c r="G171" s="19">
        <v>1</v>
      </c>
    </row>
    <row r="172" spans="1:7" x14ac:dyDescent="0.25">
      <c r="A172" s="17">
        <f t="shared" si="2"/>
        <v>166</v>
      </c>
      <c r="B172" s="14" t="s">
        <v>1834</v>
      </c>
      <c r="C172" s="11" t="s">
        <v>17</v>
      </c>
      <c r="D172" s="54" t="s">
        <v>1835</v>
      </c>
      <c r="E172" s="14">
        <v>42366</v>
      </c>
      <c r="F172" s="30" t="s">
        <v>811</v>
      </c>
      <c r="G172" s="19">
        <v>1</v>
      </c>
    </row>
    <row r="173" spans="1:7" x14ac:dyDescent="0.25">
      <c r="A173" s="17">
        <f t="shared" si="2"/>
        <v>167</v>
      </c>
      <c r="B173" s="14" t="s">
        <v>1836</v>
      </c>
      <c r="C173" s="11" t="s">
        <v>17</v>
      </c>
      <c r="D173" s="54" t="s">
        <v>1837</v>
      </c>
      <c r="E173" s="14">
        <v>42366</v>
      </c>
      <c r="F173" s="30" t="s">
        <v>811</v>
      </c>
      <c r="G173" s="19">
        <v>1</v>
      </c>
    </row>
    <row r="174" spans="1:7" x14ac:dyDescent="0.25">
      <c r="A174" s="17">
        <f t="shared" si="2"/>
        <v>168</v>
      </c>
      <c r="B174" s="14" t="s">
        <v>1838</v>
      </c>
      <c r="C174" s="11">
        <v>30</v>
      </c>
      <c r="D174" s="54" t="s">
        <v>1839</v>
      </c>
      <c r="E174" s="14">
        <v>42367</v>
      </c>
      <c r="F174" s="30" t="s">
        <v>811</v>
      </c>
      <c r="G174" s="19">
        <v>1</v>
      </c>
    </row>
    <row r="175" spans="1:7" x14ac:dyDescent="0.25">
      <c r="A175" s="17">
        <f t="shared" si="2"/>
        <v>169</v>
      </c>
      <c r="B175" s="14" t="s">
        <v>1842</v>
      </c>
      <c r="C175" s="11" t="s">
        <v>84</v>
      </c>
      <c r="D175" s="54" t="s">
        <v>1843</v>
      </c>
      <c r="E175" s="14">
        <v>42367</v>
      </c>
      <c r="F175" s="30" t="s">
        <v>811</v>
      </c>
      <c r="G175" s="19">
        <v>1</v>
      </c>
    </row>
    <row r="176" spans="1:7" x14ac:dyDescent="0.25">
      <c r="A176" s="17">
        <f t="shared" si="2"/>
        <v>170</v>
      </c>
      <c r="B176" s="14" t="s">
        <v>1840</v>
      </c>
      <c r="C176" s="11" t="s">
        <v>84</v>
      </c>
      <c r="D176" s="54" t="s">
        <v>1841</v>
      </c>
      <c r="E176" s="14">
        <v>42367</v>
      </c>
      <c r="F176" s="30" t="s">
        <v>811</v>
      </c>
      <c r="G176" s="19">
        <v>1</v>
      </c>
    </row>
    <row r="177" spans="1:8" x14ac:dyDescent="0.25">
      <c r="A177" s="17">
        <f t="shared" si="2"/>
        <v>171</v>
      </c>
      <c r="B177" s="14" t="s">
        <v>1844</v>
      </c>
      <c r="C177" s="11" t="s">
        <v>17</v>
      </c>
      <c r="D177" s="54" t="s">
        <v>1845</v>
      </c>
      <c r="E177" s="14">
        <v>42367</v>
      </c>
      <c r="F177" s="30" t="s">
        <v>811</v>
      </c>
      <c r="G177" s="19">
        <v>1</v>
      </c>
    </row>
    <row r="178" spans="1:8" x14ac:dyDescent="0.25">
      <c r="A178" s="17">
        <f t="shared" si="2"/>
        <v>172</v>
      </c>
      <c r="B178" s="14" t="s">
        <v>1846</v>
      </c>
      <c r="C178" s="11">
        <v>50</v>
      </c>
      <c r="D178" s="54" t="s">
        <v>1847</v>
      </c>
      <c r="E178" s="14">
        <v>42368</v>
      </c>
      <c r="F178" s="30" t="s">
        <v>811</v>
      </c>
      <c r="G178" s="19">
        <v>1</v>
      </c>
    </row>
    <row r="179" spans="1:8" x14ac:dyDescent="0.25">
      <c r="A179" s="17">
        <f t="shared" si="2"/>
        <v>173</v>
      </c>
      <c r="B179" s="14" t="s">
        <v>1848</v>
      </c>
      <c r="C179" s="11" t="s">
        <v>17</v>
      </c>
      <c r="D179" s="54" t="s">
        <v>1849</v>
      </c>
      <c r="E179" s="14">
        <v>42368</v>
      </c>
      <c r="F179" s="30" t="s">
        <v>811</v>
      </c>
      <c r="G179" s="19">
        <v>1</v>
      </c>
    </row>
    <row r="180" spans="1:8" x14ac:dyDescent="0.25">
      <c r="A180" s="17">
        <f t="shared" si="2"/>
        <v>174</v>
      </c>
      <c r="B180" s="14" t="s">
        <v>1850</v>
      </c>
      <c r="C180" s="11" t="s">
        <v>17</v>
      </c>
      <c r="D180" s="54" t="s">
        <v>1851</v>
      </c>
      <c r="E180" s="14">
        <v>42368</v>
      </c>
      <c r="F180" s="30" t="s">
        <v>811</v>
      </c>
      <c r="G180" s="19">
        <v>1</v>
      </c>
    </row>
    <row r="181" spans="1:8" x14ac:dyDescent="0.25">
      <c r="A181" s="17">
        <f t="shared" si="2"/>
        <v>175</v>
      </c>
      <c r="B181" s="14" t="s">
        <v>1852</v>
      </c>
      <c r="C181" s="11" t="s">
        <v>17</v>
      </c>
      <c r="D181" s="54" t="s">
        <v>1853</v>
      </c>
      <c r="E181" s="14">
        <v>42368</v>
      </c>
      <c r="F181" s="30" t="s">
        <v>811</v>
      </c>
      <c r="G181" s="19">
        <v>1</v>
      </c>
    </row>
    <row r="182" spans="1:8" x14ac:dyDescent="0.25">
      <c r="A182" s="17">
        <f t="shared" si="2"/>
        <v>176</v>
      </c>
      <c r="B182" s="14" t="s">
        <v>1854</v>
      </c>
      <c r="C182" s="11" t="s">
        <v>17</v>
      </c>
      <c r="D182" s="54" t="s">
        <v>1855</v>
      </c>
      <c r="E182" s="14">
        <v>42368</v>
      </c>
      <c r="F182" s="30" t="s">
        <v>811</v>
      </c>
      <c r="G182" s="19">
        <v>1</v>
      </c>
    </row>
    <row r="183" spans="1:8" x14ac:dyDescent="0.25">
      <c r="A183" s="17">
        <f t="shared" si="2"/>
        <v>177</v>
      </c>
      <c r="B183" s="14" t="s">
        <v>1856</v>
      </c>
      <c r="C183" s="11" t="s">
        <v>17</v>
      </c>
      <c r="D183" s="54" t="s">
        <v>1857</v>
      </c>
      <c r="E183" s="14">
        <v>42368</v>
      </c>
      <c r="F183" s="30" t="s">
        <v>811</v>
      </c>
      <c r="G183" s="19">
        <v>1</v>
      </c>
    </row>
    <row r="184" spans="1:8" x14ac:dyDescent="0.25">
      <c r="A184" s="17">
        <f t="shared" si="2"/>
        <v>178</v>
      </c>
      <c r="B184" s="14" t="s">
        <v>1858</v>
      </c>
      <c r="C184" s="11" t="s">
        <v>17</v>
      </c>
      <c r="D184" s="54" t="s">
        <v>1859</v>
      </c>
      <c r="E184" s="14">
        <v>42368</v>
      </c>
      <c r="F184" s="30" t="s">
        <v>811</v>
      </c>
      <c r="G184" s="19">
        <v>1</v>
      </c>
    </row>
    <row r="185" spans="1:8" x14ac:dyDescent="0.25">
      <c r="A185" s="17">
        <f t="shared" si="2"/>
        <v>179</v>
      </c>
      <c r="B185" s="14" t="s">
        <v>1860</v>
      </c>
      <c r="C185" s="11" t="s">
        <v>17</v>
      </c>
      <c r="D185" s="54" t="s">
        <v>1861</v>
      </c>
      <c r="E185" s="14">
        <v>42369</v>
      </c>
      <c r="F185" s="30" t="s">
        <v>811</v>
      </c>
      <c r="G185" s="19">
        <v>1</v>
      </c>
    </row>
    <row r="186" spans="1:8" x14ac:dyDescent="0.25">
      <c r="A186" s="17">
        <f t="shared" si="2"/>
        <v>180</v>
      </c>
      <c r="B186" s="14" t="s">
        <v>1866</v>
      </c>
      <c r="C186" s="11" t="s">
        <v>17</v>
      </c>
      <c r="D186" s="54" t="s">
        <v>1867</v>
      </c>
      <c r="E186" s="14">
        <v>42369</v>
      </c>
      <c r="F186" s="30" t="s">
        <v>811</v>
      </c>
      <c r="G186" s="19">
        <v>1</v>
      </c>
      <c r="H186" s="57"/>
    </row>
    <row r="187" spans="1:8" x14ac:dyDescent="0.25">
      <c r="A187" s="17">
        <f t="shared" si="2"/>
        <v>181</v>
      </c>
      <c r="B187" s="14" t="s">
        <v>1864</v>
      </c>
      <c r="C187" s="11" t="s">
        <v>17</v>
      </c>
      <c r="D187" s="54" t="s">
        <v>1865</v>
      </c>
      <c r="E187" s="14">
        <v>42369</v>
      </c>
      <c r="F187" s="30" t="s">
        <v>811</v>
      </c>
      <c r="G187" s="19">
        <v>1</v>
      </c>
      <c r="H187" s="57"/>
    </row>
    <row r="188" spans="1:8" x14ac:dyDescent="0.25">
      <c r="A188" s="17">
        <f t="shared" si="2"/>
        <v>182</v>
      </c>
      <c r="B188" s="14" t="s">
        <v>1862</v>
      </c>
      <c r="C188" s="11" t="s">
        <v>17</v>
      </c>
      <c r="D188" s="54" t="s">
        <v>1863</v>
      </c>
      <c r="E188" s="14">
        <v>42369</v>
      </c>
      <c r="F188" s="30" t="s">
        <v>811</v>
      </c>
      <c r="G188" s="19">
        <v>1</v>
      </c>
      <c r="H188" s="57"/>
    </row>
    <row r="189" spans="1:8" x14ac:dyDescent="0.25">
      <c r="A189" s="17">
        <f t="shared" si="2"/>
        <v>183</v>
      </c>
      <c r="B189" s="63" t="s">
        <v>106</v>
      </c>
      <c r="C189" s="64" t="s">
        <v>17</v>
      </c>
      <c r="D189" s="65" t="s">
        <v>1775</v>
      </c>
      <c r="E189" s="63">
        <v>42369</v>
      </c>
      <c r="F189" s="66" t="s">
        <v>54</v>
      </c>
      <c r="G189" s="19">
        <v>1</v>
      </c>
      <c r="H189" s="100" t="s">
        <v>1873</v>
      </c>
    </row>
    <row r="190" spans="1:8" x14ac:dyDescent="0.25">
      <c r="A190" s="17">
        <f t="shared" si="2"/>
        <v>184</v>
      </c>
      <c r="B190" s="63" t="s">
        <v>2383</v>
      </c>
      <c r="C190" s="64" t="s">
        <v>17</v>
      </c>
      <c r="D190" s="65" t="s">
        <v>1778</v>
      </c>
      <c r="E190" s="63">
        <v>42369</v>
      </c>
      <c r="F190" s="66" t="s">
        <v>54</v>
      </c>
      <c r="G190" s="19">
        <v>1</v>
      </c>
      <c r="H190" s="100" t="s">
        <v>1873</v>
      </c>
    </row>
    <row r="191" spans="1:8" x14ac:dyDescent="0.25">
      <c r="A191" s="17">
        <f t="shared" si="2"/>
        <v>185</v>
      </c>
      <c r="B191" s="63" t="s">
        <v>106</v>
      </c>
      <c r="C191" s="64" t="s">
        <v>17</v>
      </c>
      <c r="D191" s="65" t="s">
        <v>1872</v>
      </c>
      <c r="E191" s="63">
        <v>42369</v>
      </c>
      <c r="F191" s="66" t="s">
        <v>54</v>
      </c>
      <c r="G191" s="19">
        <v>1</v>
      </c>
      <c r="H191" s="100" t="s">
        <v>1873</v>
      </c>
    </row>
    <row r="192" spans="1:8" x14ac:dyDescent="0.25">
      <c r="A192" s="17">
        <f t="shared" si="2"/>
        <v>186</v>
      </c>
      <c r="B192" s="63" t="s">
        <v>2381</v>
      </c>
      <c r="C192" s="64" t="s">
        <v>17</v>
      </c>
      <c r="D192" s="65" t="s">
        <v>1870</v>
      </c>
      <c r="E192" s="63">
        <v>42369</v>
      </c>
      <c r="F192" s="66" t="s">
        <v>54</v>
      </c>
      <c r="G192" s="19">
        <v>1</v>
      </c>
      <c r="H192" s="100" t="s">
        <v>1873</v>
      </c>
    </row>
    <row r="193" spans="1:8" x14ac:dyDescent="0.25">
      <c r="A193" s="17">
        <f t="shared" si="2"/>
        <v>187</v>
      </c>
      <c r="B193" s="63" t="s">
        <v>2382</v>
      </c>
      <c r="C193" s="64" t="s">
        <v>17</v>
      </c>
      <c r="D193" s="65" t="s">
        <v>1871</v>
      </c>
      <c r="E193" s="63">
        <v>42369</v>
      </c>
      <c r="F193" s="66" t="s">
        <v>54</v>
      </c>
      <c r="G193" s="19">
        <v>1</v>
      </c>
      <c r="H193" s="100" t="s">
        <v>1873</v>
      </c>
    </row>
    <row r="194" spans="1:8" x14ac:dyDescent="0.25">
      <c r="H194" s="57"/>
    </row>
  </sheetData>
  <sortState ref="B189:E193">
    <sortCondition ref="D189:D193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" right="0.7" top="0.75" bottom="0.75" header="0.3" footer="0.3"/>
  <pageSetup paperSize="9" orientation="portrait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I4" sqref="I4"/>
    </sheetView>
  </sheetViews>
  <sheetFormatPr baseColWidth="10" defaultColWidth="11.42578125" defaultRowHeight="15" x14ac:dyDescent="0.25"/>
  <cols>
    <col min="2" max="2" width="35.7109375" customWidth="1"/>
    <col min="3" max="3" width="11.42578125" style="68"/>
  </cols>
  <sheetData>
    <row r="1" spans="1:4" ht="15.75" thickBot="1" x14ac:dyDescent="0.3"/>
    <row r="2" spans="1:4" ht="15.75" thickBot="1" x14ac:dyDescent="0.3">
      <c r="A2" s="82" t="s">
        <v>1645</v>
      </c>
      <c r="B2" s="82" t="s">
        <v>1646</v>
      </c>
      <c r="C2" s="83" t="s">
        <v>1647</v>
      </c>
      <c r="D2" s="84" t="s">
        <v>1648</v>
      </c>
    </row>
    <row r="3" spans="1:4" x14ac:dyDescent="0.25">
      <c r="A3" s="69" t="s">
        <v>1603</v>
      </c>
      <c r="B3" s="70" t="s">
        <v>1604</v>
      </c>
      <c r="C3" s="71">
        <v>111626</v>
      </c>
      <c r="D3" s="72">
        <v>42316</v>
      </c>
    </row>
    <row r="4" spans="1:4" x14ac:dyDescent="0.25">
      <c r="A4" s="73" t="s">
        <v>1605</v>
      </c>
      <c r="B4" s="74" t="s">
        <v>1606</v>
      </c>
      <c r="C4" s="75" t="s">
        <v>1607</v>
      </c>
      <c r="D4" s="76">
        <v>42249</v>
      </c>
    </row>
    <row r="5" spans="1:4" x14ac:dyDescent="0.25">
      <c r="A5" s="73" t="s">
        <v>1610</v>
      </c>
      <c r="B5" s="74" t="s">
        <v>1611</v>
      </c>
      <c r="C5" s="75" t="s">
        <v>1612</v>
      </c>
      <c r="D5" s="76">
        <v>42270</v>
      </c>
    </row>
    <row r="6" spans="1:4" x14ac:dyDescent="0.25">
      <c r="A6" s="73" t="s">
        <v>1621</v>
      </c>
      <c r="B6" s="74" t="s">
        <v>1622</v>
      </c>
      <c r="C6" s="75" t="s">
        <v>1623</v>
      </c>
      <c r="D6" s="76">
        <v>42274</v>
      </c>
    </row>
    <row r="7" spans="1:4" x14ac:dyDescent="0.25">
      <c r="A7" s="73" t="s">
        <v>1626</v>
      </c>
      <c r="B7" s="74" t="s">
        <v>1627</v>
      </c>
      <c r="C7" s="75" t="s">
        <v>1628</v>
      </c>
      <c r="D7" s="76">
        <v>42330</v>
      </c>
    </row>
    <row r="8" spans="1:4" x14ac:dyDescent="0.25">
      <c r="A8" s="73" t="s">
        <v>1629</v>
      </c>
      <c r="B8" s="74" t="s">
        <v>1630</v>
      </c>
      <c r="C8" s="75" t="s">
        <v>1631</v>
      </c>
      <c r="D8" s="76">
        <v>42313</v>
      </c>
    </row>
    <row r="9" spans="1:4" x14ac:dyDescent="0.25">
      <c r="A9" s="73" t="s">
        <v>1632</v>
      </c>
      <c r="B9" s="74" t="s">
        <v>1633</v>
      </c>
      <c r="C9" s="75" t="s">
        <v>1634</v>
      </c>
      <c r="D9" s="76">
        <v>42327</v>
      </c>
    </row>
    <row r="10" spans="1:4" x14ac:dyDescent="0.25">
      <c r="A10" s="73" t="s">
        <v>1637</v>
      </c>
      <c r="B10" s="74" t="s">
        <v>1638</v>
      </c>
      <c r="C10" s="75" t="s">
        <v>1612</v>
      </c>
      <c r="D10" s="76">
        <v>42270</v>
      </c>
    </row>
    <row r="11" spans="1:4" x14ac:dyDescent="0.25">
      <c r="A11" s="73" t="s">
        <v>1641</v>
      </c>
      <c r="B11" s="74" t="s">
        <v>1642</v>
      </c>
      <c r="C11" s="75" t="s">
        <v>1514</v>
      </c>
      <c r="D11" s="76">
        <v>42333</v>
      </c>
    </row>
    <row r="12" spans="1:4" x14ac:dyDescent="0.25">
      <c r="A12" s="73" t="s">
        <v>1643</v>
      </c>
      <c r="B12" s="74" t="s">
        <v>1644</v>
      </c>
      <c r="C12" s="54" t="s">
        <v>1649</v>
      </c>
      <c r="D12" s="76">
        <v>42315</v>
      </c>
    </row>
    <row r="13" spans="1:4" x14ac:dyDescent="0.25">
      <c r="A13" s="73" t="s">
        <v>1613</v>
      </c>
      <c r="B13" s="74" t="s">
        <v>1614</v>
      </c>
      <c r="C13" s="108" t="s">
        <v>1615</v>
      </c>
      <c r="D13" s="109"/>
    </row>
    <row r="14" spans="1:4" x14ac:dyDescent="0.25">
      <c r="A14" s="73" t="s">
        <v>1616</v>
      </c>
      <c r="B14" s="74" t="s">
        <v>1617</v>
      </c>
      <c r="C14" s="108" t="s">
        <v>1618</v>
      </c>
      <c r="D14" s="109"/>
    </row>
    <row r="15" spans="1:4" ht="15.75" thickBot="1" x14ac:dyDescent="0.3">
      <c r="A15" s="77" t="s">
        <v>1624</v>
      </c>
      <c r="B15" s="78" t="s">
        <v>1625</v>
      </c>
      <c r="C15" s="110" t="s">
        <v>1618</v>
      </c>
      <c r="D15" s="111"/>
    </row>
    <row r="16" spans="1:4" x14ac:dyDescent="0.25">
      <c r="A16" s="85"/>
      <c r="B16" s="85"/>
      <c r="C16" s="86"/>
      <c r="D16" s="85"/>
    </row>
    <row r="17" spans="1:4" ht="15.75" thickBot="1" x14ac:dyDescent="0.3"/>
    <row r="18" spans="1:4" x14ac:dyDescent="0.25">
      <c r="A18" s="69" t="s">
        <v>1608</v>
      </c>
      <c r="B18" s="70" t="s">
        <v>1609</v>
      </c>
      <c r="C18" s="108" t="s">
        <v>1618</v>
      </c>
      <c r="D18" s="109"/>
    </row>
    <row r="19" spans="1:4" x14ac:dyDescent="0.25">
      <c r="A19" s="73" t="s">
        <v>1619</v>
      </c>
      <c r="B19" s="74" t="s">
        <v>1620</v>
      </c>
      <c r="C19" s="54" t="s">
        <v>1654</v>
      </c>
      <c r="D19" s="14">
        <v>42345</v>
      </c>
    </row>
    <row r="20" spans="1:4" x14ac:dyDescent="0.25">
      <c r="A20" s="73" t="s">
        <v>1635</v>
      </c>
      <c r="B20" s="74" t="s">
        <v>1636</v>
      </c>
      <c r="C20" s="75"/>
      <c r="D20" s="81"/>
    </row>
    <row r="21" spans="1:4" ht="15.75" thickBot="1" x14ac:dyDescent="0.3">
      <c r="A21" s="77" t="s">
        <v>1639</v>
      </c>
      <c r="B21" s="78" t="s">
        <v>1640</v>
      </c>
      <c r="C21" s="79"/>
      <c r="D21" s="80"/>
    </row>
  </sheetData>
  <mergeCells count="4">
    <mergeCell ref="C13:D13"/>
    <mergeCell ref="C14:D14"/>
    <mergeCell ref="C15:D15"/>
    <mergeCell ref="C18:D18"/>
  </mergeCells>
  <pageMargins left="0.7" right="0.7" top="0.75" bottom="0.75" header="0.3" footer="0.3"/>
  <pageSetup orientation="portrait" horizontalDpi="36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1</vt:i4>
      </vt:variant>
    </vt:vector>
  </HeadingPairs>
  <TitlesOfParts>
    <vt:vector size="14" baseType="lpstr">
      <vt:lpstr>Janvier 2015</vt:lpstr>
      <vt:lpstr>Février 2015</vt:lpstr>
      <vt:lpstr>Mars 2015</vt:lpstr>
      <vt:lpstr>Avril 2015</vt:lpstr>
      <vt:lpstr>Mai 2015</vt:lpstr>
      <vt:lpstr>Juin 2015</vt:lpstr>
      <vt:lpstr>Juillet 2015</vt:lpstr>
      <vt:lpstr>Aout 2015</vt:lpstr>
      <vt:lpstr>Septembre 2015</vt:lpstr>
      <vt:lpstr>Octobre 2015</vt:lpstr>
      <vt:lpstr>Novembre 2015</vt:lpstr>
      <vt:lpstr>Decembre 2015</vt:lpstr>
      <vt:lpstr>Feuil1</vt:lpstr>
      <vt:lpstr>'Janvier 2015'!Impression_des_titres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2016-04-25T14:30:14Z</cp:lastPrinted>
  <dcterms:created xsi:type="dcterms:W3CDTF">2014-12-31T15:00:30Z</dcterms:created>
  <dcterms:modified xsi:type="dcterms:W3CDTF">2019-12-15T08:34:31Z</dcterms:modified>
</cp:coreProperties>
</file>