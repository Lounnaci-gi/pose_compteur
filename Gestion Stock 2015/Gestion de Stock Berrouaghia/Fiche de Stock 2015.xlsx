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555" yWindow="75" windowWidth="11700" windowHeight="6825" activeTab="3"/>
  </bookViews>
  <sheets>
    <sheet name="JANVIER 2015" sheetId="1" r:id="rId1"/>
    <sheet name="FEVRIER 2015" sheetId="2" r:id="rId2"/>
    <sheet name="Mars 2015" sheetId="3" r:id="rId3"/>
    <sheet name="Avril 2015" sheetId="4" r:id="rId4"/>
    <sheet name="Mai 2015" sheetId="5" r:id="rId5"/>
    <sheet name="Juin 2015" sheetId="6" r:id="rId6"/>
    <sheet name="Juillet 2015" sheetId="7" r:id="rId7"/>
    <sheet name="Aout 2015" sheetId="8" r:id="rId8"/>
    <sheet name="Septembre 2015" sheetId="9" r:id="rId9"/>
    <sheet name="Octobre 2015" sheetId="10" r:id="rId10"/>
    <sheet name="Novembre 2015" sheetId="11" r:id="rId11"/>
    <sheet name="Decembre 2015" sheetId="12" r:id="rId12"/>
    <sheet name="annee 2015" sheetId="14" r:id="rId13"/>
  </sheets>
  <calcPr calcId="124519"/>
</workbook>
</file>

<file path=xl/calcChain.xml><?xml version="1.0" encoding="utf-8"?>
<calcChain xmlns="http://schemas.openxmlformats.org/spreadsheetml/2006/main">
  <c r="G46" i="14"/>
  <c r="G45"/>
  <c r="J40"/>
  <c r="I40"/>
  <c r="H40"/>
  <c r="G40"/>
  <c r="J39"/>
  <c r="I39"/>
  <c r="H39"/>
  <c r="G39"/>
  <c r="J38"/>
  <c r="I38"/>
  <c r="H38"/>
  <c r="G38"/>
  <c r="J37"/>
  <c r="I37"/>
  <c r="H37"/>
  <c r="G37"/>
  <c r="J36"/>
  <c r="I36"/>
  <c r="H36"/>
  <c r="G36"/>
  <c r="J35"/>
  <c r="I35"/>
  <c r="H35"/>
  <c r="G35"/>
  <c r="J34"/>
  <c r="I34"/>
  <c r="H34"/>
  <c r="G34"/>
  <c r="J33"/>
  <c r="I33"/>
  <c r="H33"/>
  <c r="G33"/>
  <c r="J32"/>
  <c r="I32"/>
  <c r="H32"/>
  <c r="G32"/>
  <c r="J31"/>
  <c r="I31"/>
  <c r="H31"/>
  <c r="G31"/>
  <c r="J30"/>
  <c r="I30"/>
  <c r="H30"/>
  <c r="G30"/>
  <c r="J29"/>
  <c r="I29"/>
  <c r="H29"/>
  <c r="G29"/>
  <c r="J28"/>
  <c r="I28"/>
  <c r="H28"/>
  <c r="G28"/>
  <c r="J27"/>
  <c r="I27"/>
  <c r="H27"/>
  <c r="G27"/>
  <c r="J26"/>
  <c r="I26"/>
  <c r="H26"/>
  <c r="G26"/>
  <c r="J25"/>
  <c r="I25"/>
  <c r="H25"/>
  <c r="G25"/>
  <c r="J24"/>
  <c r="I24"/>
  <c r="H24"/>
  <c r="G24"/>
  <c r="J23"/>
  <c r="I23"/>
  <c r="H23"/>
  <c r="G23"/>
  <c r="J22"/>
  <c r="I22"/>
  <c r="H22"/>
  <c r="G22"/>
  <c r="J21"/>
  <c r="I21"/>
  <c r="H21"/>
  <c r="G21"/>
  <c r="J20"/>
  <c r="I20"/>
  <c r="H20"/>
  <c r="G20"/>
  <c r="J19"/>
  <c r="I19"/>
  <c r="H19"/>
  <c r="G19"/>
  <c r="J18"/>
  <c r="I18"/>
  <c r="H18"/>
  <c r="G18"/>
  <c r="J17"/>
  <c r="I17"/>
  <c r="H17"/>
  <c r="G17"/>
  <c r="J16"/>
  <c r="I16"/>
  <c r="H16"/>
  <c r="G16"/>
  <c r="J15"/>
  <c r="I15"/>
  <c r="H15"/>
  <c r="G15"/>
  <c r="J14"/>
  <c r="I14"/>
  <c r="H14"/>
  <c r="G14"/>
  <c r="J13"/>
  <c r="I13"/>
  <c r="H13"/>
  <c r="G13"/>
  <c r="J12"/>
  <c r="I12"/>
  <c r="H12"/>
  <c r="G12"/>
  <c r="J11"/>
  <c r="I11"/>
  <c r="H11"/>
  <c r="G11"/>
  <c r="J10"/>
  <c r="I10"/>
  <c r="H10"/>
  <c r="G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E40"/>
  <c r="D40"/>
  <c r="C40"/>
  <c r="E39"/>
  <c r="D39"/>
  <c r="C39"/>
  <c r="E38"/>
  <c r="D38"/>
  <c r="C38"/>
  <c r="E37"/>
  <c r="D37"/>
  <c r="C37"/>
  <c r="E36"/>
  <c r="D36"/>
  <c r="C36"/>
  <c r="E35"/>
  <c r="D35"/>
  <c r="C35"/>
  <c r="E34"/>
  <c r="D34"/>
  <c r="C34"/>
  <c r="E33"/>
  <c r="D33"/>
  <c r="C33"/>
  <c r="E32"/>
  <c r="D32"/>
  <c r="C32"/>
  <c r="E31"/>
  <c r="D31"/>
  <c r="C31"/>
  <c r="E30"/>
  <c r="D30"/>
  <c r="C30"/>
  <c r="E29"/>
  <c r="D29"/>
  <c r="C29"/>
  <c r="E28"/>
  <c r="D28"/>
  <c r="C28"/>
  <c r="E27"/>
  <c r="D27"/>
  <c r="C27"/>
  <c r="E26"/>
  <c r="D26"/>
  <c r="C26"/>
  <c r="E25"/>
  <c r="D25"/>
  <c r="C25"/>
  <c r="E24"/>
  <c r="D24"/>
  <c r="C24"/>
  <c r="E23"/>
  <c r="D23"/>
  <c r="C23"/>
  <c r="E22"/>
  <c r="D22"/>
  <c r="C22"/>
  <c r="E21"/>
  <c r="D21"/>
  <c r="C21"/>
  <c r="E20"/>
  <c r="D20"/>
  <c r="C20"/>
  <c r="E19"/>
  <c r="D19"/>
  <c r="C19"/>
  <c r="E18"/>
  <c r="D18"/>
  <c r="C18"/>
  <c r="E17"/>
  <c r="D17"/>
  <c r="C17"/>
  <c r="E16"/>
  <c r="D16"/>
  <c r="C16"/>
  <c r="E15"/>
  <c r="D15"/>
  <c r="C15"/>
  <c r="E14"/>
  <c r="D14"/>
  <c r="C14"/>
  <c r="E13"/>
  <c r="D13"/>
  <c r="C13"/>
  <c r="E12"/>
  <c r="D12"/>
  <c r="C12"/>
  <c r="E11"/>
  <c r="E41" s="1"/>
  <c r="D11"/>
  <c r="C11"/>
  <c r="C41" s="1"/>
  <c r="E10"/>
  <c r="D10"/>
  <c r="D41" s="1"/>
  <c r="C10"/>
  <c r="B10"/>
  <c r="J41"/>
  <c r="I41"/>
  <c r="H41"/>
  <c r="G41"/>
  <c r="B41"/>
  <c r="K40"/>
  <c r="F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K10"/>
  <c r="K41" s="1"/>
  <c r="F10"/>
  <c r="L10" l="1"/>
  <c r="L41" s="1"/>
  <c r="G47" s="1"/>
  <c r="G48" s="1"/>
  <c r="G50" s="1"/>
  <c r="L40"/>
  <c r="F41"/>
  <c r="L11"/>
  <c r="J41" i="12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K18"/>
  <c r="F18"/>
  <c r="L18" s="1"/>
  <c r="K17"/>
  <c r="F17"/>
  <c r="L17" s="1"/>
  <c r="K16"/>
  <c r="F16"/>
  <c r="K15"/>
  <c r="F15"/>
  <c r="L15" s="1"/>
  <c r="K14"/>
  <c r="F14"/>
  <c r="L14" s="1"/>
  <c r="K13"/>
  <c r="F13"/>
  <c r="L13" s="1"/>
  <c r="K12"/>
  <c r="F12"/>
  <c r="L12" s="1"/>
  <c r="K11"/>
  <c r="F11"/>
  <c r="F41" s="1"/>
  <c r="K10"/>
  <c r="F10"/>
  <c r="L10" s="1"/>
  <c r="L19" l="1"/>
  <c r="L16"/>
  <c r="K41"/>
  <c r="L11"/>
  <c r="J41" i="11"/>
  <c r="I41"/>
  <c r="H41"/>
  <c r="G41"/>
  <c r="E41"/>
  <c r="D41"/>
  <c r="C41"/>
  <c r="B41"/>
  <c r="K40"/>
  <c r="F40"/>
  <c r="L40" s="1"/>
  <c r="K39"/>
  <c r="F39"/>
  <c r="L39" s="1"/>
  <c r="K38"/>
  <c r="F38"/>
  <c r="K37"/>
  <c r="F37"/>
  <c r="L37" s="1"/>
  <c r="K36"/>
  <c r="F36"/>
  <c r="L36" s="1"/>
  <c r="K35"/>
  <c r="F35"/>
  <c r="K34"/>
  <c r="F34"/>
  <c r="K33"/>
  <c r="F33"/>
  <c r="K32"/>
  <c r="F32"/>
  <c r="K31"/>
  <c r="F31"/>
  <c r="K30"/>
  <c r="F30"/>
  <c r="K29"/>
  <c r="F29"/>
  <c r="K28"/>
  <c r="F28"/>
  <c r="K27"/>
  <c r="F27"/>
  <c r="K26"/>
  <c r="F26"/>
  <c r="K25"/>
  <c r="F25"/>
  <c r="L25" s="1"/>
  <c r="K24"/>
  <c r="F24"/>
  <c r="L24" s="1"/>
  <c r="K23"/>
  <c r="F23"/>
  <c r="L23" s="1"/>
  <c r="K22"/>
  <c r="F22"/>
  <c r="L22" s="1"/>
  <c r="K21"/>
  <c r="F2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K13"/>
  <c r="F13"/>
  <c r="L13" s="1"/>
  <c r="K12"/>
  <c r="F12"/>
  <c r="L12" s="1"/>
  <c r="K11"/>
  <c r="F11"/>
  <c r="L11" s="1"/>
  <c r="K10"/>
  <c r="F10"/>
  <c r="L10" s="1"/>
  <c r="L41" i="12" l="1"/>
  <c r="G47" s="1"/>
  <c r="G48" s="1"/>
  <c r="G50" s="1"/>
  <c r="L38" i="11"/>
  <c r="L26"/>
  <c r="L27"/>
  <c r="L28"/>
  <c r="L29"/>
  <c r="L30"/>
  <c r="L31"/>
  <c r="L32"/>
  <c r="L33"/>
  <c r="L34"/>
  <c r="L35"/>
  <c r="L14"/>
  <c r="L21"/>
  <c r="K41"/>
  <c r="F41"/>
  <c r="J41" i="10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K10"/>
  <c r="F10"/>
  <c r="L10" s="1"/>
  <c r="L41" i="11" l="1"/>
  <c r="G47" s="1"/>
  <c r="G48" s="1"/>
  <c r="G50" s="1"/>
  <c r="K41" i="10"/>
  <c r="L23"/>
  <c r="F41"/>
  <c r="L11"/>
  <c r="L41" s="1"/>
  <c r="G47" s="1"/>
  <c r="G48" s="1"/>
  <c r="G50" s="1"/>
  <c r="J41" i="9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K24"/>
  <c r="F24"/>
  <c r="L24" s="1"/>
  <c r="K23"/>
  <c r="F23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L10" s="1"/>
  <c r="K41" l="1"/>
  <c r="L25"/>
  <c r="L23"/>
  <c r="F41"/>
  <c r="J39" i="8"/>
  <c r="I39"/>
  <c r="H39"/>
  <c r="G39"/>
  <c r="E39"/>
  <c r="D39"/>
  <c r="C39"/>
  <c r="B39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L10" s="1"/>
  <c r="K9"/>
  <c r="F9"/>
  <c r="K8"/>
  <c r="K39" s="1"/>
  <c r="F8"/>
  <c r="L8" s="1"/>
  <c r="L41" i="9" l="1"/>
  <c r="G47" s="1"/>
  <c r="G48" s="1"/>
  <c r="G50" s="1"/>
  <c r="L33" i="8"/>
  <c r="F39"/>
  <c r="L9"/>
  <c r="J41" i="7"/>
  <c r="I41"/>
  <c r="H41"/>
  <c r="G41"/>
  <c r="E41"/>
  <c r="D41"/>
  <c r="C41"/>
  <c r="B41"/>
  <c r="K40"/>
  <c r="F40"/>
  <c r="K39"/>
  <c r="F39"/>
  <c r="K38"/>
  <c r="F38"/>
  <c r="K37"/>
  <c r="F37"/>
  <c r="K36"/>
  <c r="F36"/>
  <c r="K35"/>
  <c r="F35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K17"/>
  <c r="F17"/>
  <c r="K16"/>
  <c r="F16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L35" l="1"/>
  <c r="L36"/>
  <c r="L37"/>
  <c r="L38"/>
  <c r="L39"/>
  <c r="L40"/>
  <c r="L39" i="8"/>
  <c r="G45" s="1"/>
  <c r="F41" i="7"/>
  <c r="L18"/>
  <c r="L17"/>
  <c r="L16"/>
  <c r="K41"/>
  <c r="L10"/>
  <c r="G50" i="5"/>
  <c r="G46" i="8" l="1"/>
  <c r="G48" s="1"/>
  <c r="L41" i="7"/>
  <c r="G47" s="1"/>
  <c r="G48" s="1"/>
  <c r="G50" s="1"/>
  <c r="J41" i="6"/>
  <c r="I41"/>
  <c r="H41"/>
  <c r="G41"/>
  <c r="E41"/>
  <c r="D41"/>
  <c r="C41"/>
  <c r="B41"/>
  <c r="K40"/>
  <c r="F40"/>
  <c r="L40" s="1"/>
  <c r="K39"/>
  <c r="F39"/>
  <c r="L39" s="1"/>
  <c r="K38"/>
  <c r="F38"/>
  <c r="K37"/>
  <c r="F37"/>
  <c r="L37" s="1"/>
  <c r="K36"/>
  <c r="F36"/>
  <c r="K35"/>
  <c r="F35"/>
  <c r="L35" s="1"/>
  <c r="K34"/>
  <c r="F34"/>
  <c r="K33"/>
  <c r="F33"/>
  <c r="L33" s="1"/>
  <c r="K32"/>
  <c r="F32"/>
  <c r="K31"/>
  <c r="F31"/>
  <c r="K30"/>
  <c r="F30"/>
  <c r="K29"/>
  <c r="F29"/>
  <c r="L29" s="1"/>
  <c r="K28"/>
  <c r="F28"/>
  <c r="L28" s="1"/>
  <c r="K27"/>
  <c r="F27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K10"/>
  <c r="K41" s="1"/>
  <c r="F10"/>
  <c r="L10" s="1"/>
  <c r="L38" l="1"/>
  <c r="L36"/>
  <c r="L34"/>
  <c r="L32"/>
  <c r="L31"/>
  <c r="L30"/>
  <c r="L27"/>
  <c r="L20"/>
  <c r="F41"/>
  <c r="L11"/>
  <c r="L41" l="1"/>
  <c r="G47" s="1"/>
  <c r="G48" s="1"/>
  <c r="G50" s="1"/>
  <c r="J41" i="5"/>
  <c r="I41"/>
  <c r="H41"/>
  <c r="G41"/>
  <c r="E41"/>
  <c r="D41"/>
  <c r="C41"/>
  <c r="B41"/>
  <c r="K40"/>
  <c r="F40"/>
  <c r="L40" s="1"/>
  <c r="K39"/>
  <c r="F39"/>
  <c r="L39" s="1"/>
  <c r="K38"/>
  <c r="F38"/>
  <c r="K37"/>
  <c r="F37"/>
  <c r="L37" s="1"/>
  <c r="K36"/>
  <c r="F36"/>
  <c r="K35"/>
  <c r="F35"/>
  <c r="K34"/>
  <c r="F34"/>
  <c r="K33"/>
  <c r="F33"/>
  <c r="K32"/>
  <c r="F32"/>
  <c r="K31"/>
  <c r="F31"/>
  <c r="K30"/>
  <c r="F30"/>
  <c r="K29"/>
  <c r="F29"/>
  <c r="K28"/>
  <c r="F28"/>
  <c r="K27"/>
  <c r="F27"/>
  <c r="K26"/>
  <c r="F26"/>
  <c r="K25"/>
  <c r="F25"/>
  <c r="K24"/>
  <c r="F24"/>
  <c r="K23"/>
  <c r="F23"/>
  <c r="K22"/>
  <c r="F22"/>
  <c r="K21"/>
  <c r="F2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K10"/>
  <c r="K41" s="1"/>
  <c r="F10"/>
  <c r="L10" s="1"/>
  <c r="L21" l="1"/>
  <c r="L24"/>
  <c r="L25"/>
  <c r="L26"/>
  <c r="L27"/>
  <c r="L28"/>
  <c r="L38"/>
  <c r="L23"/>
  <c r="L22"/>
  <c r="L29"/>
  <c r="L30"/>
  <c r="L31"/>
  <c r="L32"/>
  <c r="L33"/>
  <c r="L34"/>
  <c r="L35"/>
  <c r="L36"/>
  <c r="F41"/>
  <c r="L11"/>
  <c r="L41" l="1"/>
  <c r="G47" s="1"/>
  <c r="G48" s="1"/>
  <c r="J41" i="4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F41" l="1"/>
  <c r="K41"/>
  <c r="L10"/>
  <c r="L41" s="1"/>
  <c r="F8" i="2"/>
  <c r="L8" s="1"/>
  <c r="K8"/>
  <c r="F9"/>
  <c r="K9"/>
  <c r="L9"/>
  <c r="F10"/>
  <c r="K10"/>
  <c r="L10" s="1"/>
  <c r="F11"/>
  <c r="L11" s="1"/>
  <c r="K11"/>
  <c r="F12"/>
  <c r="L12" s="1"/>
  <c r="K12"/>
  <c r="F13"/>
  <c r="K13"/>
  <c r="L13"/>
  <c r="F14"/>
  <c r="K14"/>
  <c r="L14" s="1"/>
  <c r="F15"/>
  <c r="L15" s="1"/>
  <c r="K15"/>
  <c r="F16"/>
  <c r="L16" s="1"/>
  <c r="K16"/>
  <c r="F17"/>
  <c r="K17"/>
  <c r="L17"/>
  <c r="F18"/>
  <c r="K18"/>
  <c r="L18" s="1"/>
  <c r="F19"/>
  <c r="L19" s="1"/>
  <c r="K19"/>
  <c r="F20"/>
  <c r="L20" s="1"/>
  <c r="K20"/>
  <c r="F21"/>
  <c r="K21"/>
  <c r="L21"/>
  <c r="F22"/>
  <c r="K22"/>
  <c r="L22" s="1"/>
  <c r="F23"/>
  <c r="L23" s="1"/>
  <c r="K23"/>
  <c r="F24"/>
  <c r="L24" s="1"/>
  <c r="K24"/>
  <c r="F25"/>
  <c r="K25"/>
  <c r="L25"/>
  <c r="F26"/>
  <c r="K26"/>
  <c r="L26" s="1"/>
  <c r="F27"/>
  <c r="L27" s="1"/>
  <c r="K27"/>
  <c r="F28"/>
  <c r="L28" s="1"/>
  <c r="K28"/>
  <c r="F29"/>
  <c r="L29" s="1"/>
  <c r="K29"/>
  <c r="F30"/>
  <c r="K30"/>
  <c r="L30"/>
  <c r="F31"/>
  <c r="K31"/>
  <c r="F32"/>
  <c r="K32"/>
  <c r="F33"/>
  <c r="K33"/>
  <c r="L33" s="1"/>
  <c r="F34"/>
  <c r="K34"/>
  <c r="L34"/>
  <c r="F35"/>
  <c r="K35"/>
  <c r="F36"/>
  <c r="K36"/>
  <c r="F37"/>
  <c r="K37"/>
  <c r="L37" s="1"/>
  <c r="F38"/>
  <c r="K38"/>
  <c r="L38"/>
  <c r="B39"/>
  <c r="C39"/>
  <c r="D39"/>
  <c r="E39"/>
  <c r="G39"/>
  <c r="H39"/>
  <c r="I39"/>
  <c r="J39"/>
  <c r="G47" i="4" l="1"/>
  <c r="L36" i="2"/>
  <c r="L35"/>
  <c r="L32"/>
  <c r="L31"/>
  <c r="K39"/>
  <c r="F39"/>
  <c r="L39"/>
  <c r="G45" s="1"/>
  <c r="G46" s="1"/>
  <c r="G48" s="1"/>
  <c r="G48" i="4" l="1"/>
  <c r="G50" s="1"/>
  <c r="J41" i="3"/>
  <c r="I41"/>
  <c r="H41"/>
  <c r="G41"/>
  <c r="E41"/>
  <c r="D41"/>
  <c r="C41"/>
  <c r="B41"/>
  <c r="K40"/>
  <c r="F40"/>
  <c r="K39"/>
  <c r="F39"/>
  <c r="K38"/>
  <c r="F38"/>
  <c r="K37"/>
  <c r="F37"/>
  <c r="K36"/>
  <c r="F36"/>
  <c r="K35"/>
  <c r="F35"/>
  <c r="K34"/>
  <c r="F34"/>
  <c r="K33"/>
  <c r="F33"/>
  <c r="K32"/>
  <c r="F32"/>
  <c r="K31"/>
  <c r="F31"/>
  <c r="K30"/>
  <c r="F30"/>
  <c r="K29"/>
  <c r="F29"/>
  <c r="K28"/>
  <c r="F28"/>
  <c r="K27"/>
  <c r="F27"/>
  <c r="K26"/>
  <c r="F26"/>
  <c r="K25"/>
  <c r="F25"/>
  <c r="K24"/>
  <c r="F24"/>
  <c r="K23"/>
  <c r="F23"/>
  <c r="K22"/>
  <c r="F22"/>
  <c r="K21"/>
  <c r="F21"/>
  <c r="K20"/>
  <c r="F20"/>
  <c r="K19"/>
  <c r="F19"/>
  <c r="K18"/>
  <c r="F18"/>
  <c r="K17"/>
  <c r="F17"/>
  <c r="K16"/>
  <c r="F16"/>
  <c r="K15"/>
  <c r="F15"/>
  <c r="K14"/>
  <c r="F14"/>
  <c r="K13"/>
  <c r="F13"/>
  <c r="K12"/>
  <c r="F12"/>
  <c r="K11"/>
  <c r="F11"/>
  <c r="K10"/>
  <c r="F10"/>
  <c r="L10" l="1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K41"/>
  <c r="L12"/>
  <c r="F41"/>
  <c r="L11"/>
  <c r="L41" l="1"/>
  <c r="G47" s="1"/>
  <c r="G48" s="1"/>
  <c r="G50" s="1"/>
  <c r="H40" i="1"/>
  <c r="I40"/>
  <c r="J40"/>
  <c r="G40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9"/>
  <c r="C40"/>
  <c r="D40"/>
  <c r="E40"/>
  <c r="B40"/>
  <c r="F10"/>
  <c r="F11"/>
  <c r="L11" s="1"/>
  <c r="F12"/>
  <c r="F13"/>
  <c r="F14"/>
  <c r="F15"/>
  <c r="F16"/>
  <c r="F17"/>
  <c r="L17" s="1"/>
  <c r="F18"/>
  <c r="F19"/>
  <c r="F20"/>
  <c r="F21"/>
  <c r="F22"/>
  <c r="F23"/>
  <c r="L23" s="1"/>
  <c r="F24"/>
  <c r="F25"/>
  <c r="L25" s="1"/>
  <c r="F26"/>
  <c r="F27"/>
  <c r="F28"/>
  <c r="F29"/>
  <c r="F30"/>
  <c r="F31"/>
  <c r="L31" s="1"/>
  <c r="F32"/>
  <c r="F33"/>
  <c r="F34"/>
  <c r="F35"/>
  <c r="L35" s="1"/>
  <c r="F36"/>
  <c r="F37"/>
  <c r="L37" s="1"/>
  <c r="F38"/>
  <c r="F39"/>
  <c r="L39" s="1"/>
  <c r="F9"/>
  <c r="L9" l="1"/>
  <c r="L38"/>
  <c r="L34"/>
  <c r="L32"/>
  <c r="L30"/>
  <c r="L26"/>
  <c r="L22"/>
  <c r="L18"/>
  <c r="L10"/>
  <c r="L20"/>
  <c r="L16"/>
  <c r="L28"/>
  <c r="L36"/>
  <c r="L24"/>
  <c r="L12"/>
  <c r="L15"/>
  <c r="L14"/>
  <c r="L29"/>
  <c r="L13"/>
  <c r="L33"/>
  <c r="L27"/>
  <c r="F40"/>
  <c r="L21"/>
  <c r="L19"/>
  <c r="K40"/>
  <c r="L40" l="1"/>
  <c r="G46" s="1"/>
  <c r="G47" s="1"/>
  <c r="G49" s="1"/>
</calcChain>
</file>

<file path=xl/sharedStrings.xml><?xml version="1.0" encoding="utf-8"?>
<sst xmlns="http://schemas.openxmlformats.org/spreadsheetml/2006/main" count="462" uniqueCount="52">
  <si>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</si>
  <si>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</si>
  <si>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</si>
  <si>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</si>
  <si>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</si>
  <si>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</si>
  <si>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</si>
  <si>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</si>
  <si>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</si>
  <si>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</si>
  <si>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</si>
  <si>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</si>
  <si>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</si>
  <si>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</si>
  <si>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</si>
  <si>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</si>
  <si>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</si>
  <si>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</si>
  <si>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</si>
  <si>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</si>
  <si>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</si>
  <si>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</si>
  <si>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</si>
  <si>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</si>
  <si>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</si>
  <si>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</si>
  <si>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</si>
  <si>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</si>
  <si>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20 Compteurs Réintégré Robaia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</si>
  <si>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</si>
  <si>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</si>
  <si>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 xml:space="preserve">35 Compteurs Réintégré Robaia </t>
  </si>
  <si>
    <t>10 Compteurs Réintégré Ouled Dheid</t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</si>
  <si>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</si>
  <si>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20 Compteurs Réintégré Seghouane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</si>
  <si>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</si>
  <si>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10 Compteurs Réintégré Robaîa</t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</si>
  <si>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</si>
  <si>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10 Compteurs Réintégré Seghouane</t>
  </si>
  <si>
    <t>10 Compteurs Réintégré Centre Omaria</t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</si>
  <si>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</si>
  <si>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</si>
  <si>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08 Compteurs DN 50 X 3,65 x 3,80,20/27 Réintégré Robaia</t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</si>
  <si>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</si>
  <si>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01 COMPTEUR N°SERIE : E13XH036473S hors stock (n'ai pas géré par l'agence berrouaghia)</t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</si>
  <si>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</si>
  <si>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</si>
  <si>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20 Compteurs Réintégré a Robaîa</t>
  </si>
  <si>
    <r>
      <t>Mois de Novembre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</si>
  <si>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01 Compteur 20/27 Réintégré a Oumaria</t>
  </si>
  <si>
    <r>
      <t>Mois de Decembre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</si>
  <si>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annee 2015</t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</si>
</sst>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55"/>
      </bottom>
      <diagonal/>
    </border>
    <border>
      <left/>
      <right/>
      <top style="medium">
        <color indexed="64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75">
    <xf numFmtId="0" fontId="0" fillId="0" borderId="0" xfId="0"/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Border="1" applyAlignment="1">
      <alignment horizontal="center" vertical="center" wrapText="1"/>
    </xf>
    <xf numFmtId="0" fontId="12" fillId="2" borderId="0" xfId="3" applyFont="1" applyFill="1" applyBorder="1" applyAlignment="1">
      <alignment horizontal="center" vertical="center" wrapText="1"/>
    </xf>
    <xf numFmtId="0" fontId="12" fillId="0" borderId="0" xfId="3" applyFont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14" fillId="2" borderId="21" xfId="3" applyFont="1" applyFill="1" applyBorder="1" applyAlignment="1" applyProtection="1">
      <alignment horizontal="center" vertical="center" wrapText="1"/>
      <protection locked="0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1" fillId="2" borderId="6" xfId="3" applyFont="1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5" xfId="3" applyFill="1" applyBorder="1" applyAlignment="1">
      <alignment horizontal="center" vertical="center" wrapText="1"/>
    </xf>
    <xf numFmtId="0" fontId="6" fillId="2" borderId="56" xfId="3" applyFont="1" applyFill="1" applyBorder="1" applyAlignment="1">
      <alignment horizontal="center" vertical="center" wrapText="1"/>
    </xf>
    <xf numFmtId="0" fontId="6" fillId="2" borderId="57" xfId="3" applyFont="1" applyFill="1" applyBorder="1" applyAlignment="1">
      <alignment horizontal="center" vertical="center" wrapText="1"/>
    </xf>
    <xf numFmtId="0" fontId="6" fillId="2" borderId="58" xfId="3" applyFont="1" applyFill="1" applyBorder="1" applyAlignment="1">
      <alignment horizontal="center" vertical="center" wrapText="1"/>
    </xf>
    <xf numFmtId="0" fontId="6" fillId="2" borderId="59" xfId="3" applyFont="1" applyFill="1" applyBorder="1" applyAlignment="1">
      <alignment horizontal="center" vertical="center" wrapText="1"/>
    </xf>
    <xf numFmtId="0" fontId="1" fillId="2" borderId="7" xfId="3" applyFont="1" applyFill="1" applyBorder="1" applyAlignment="1" applyProtection="1">
      <alignment vertical="center" wrapText="1"/>
      <protection locked="0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5" xfId="3" applyFill="1" applyBorder="1" applyAlignment="1">
      <alignment horizontal="center" vertical="center" wrapText="1"/>
    </xf>
    <xf numFmtId="1" fontId="7" fillId="2" borderId="0" xfId="3" applyNumberFormat="1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5" xfId="3" applyFill="1" applyBorder="1" applyAlignment="1">
      <alignment horizontal="center" vertical="center" wrapText="1"/>
    </xf>
    <xf numFmtId="0" fontId="0" fillId="3" borderId="0" xfId="0" applyFill="1"/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  <xf numFmtId="0" fontId="4" fillId="0" borderId="41" xfId="3" applyFont="1" applyBorder="1" applyAlignment="1">
      <alignment horizontal="center" vertical="center"/>
    </xf>
    <xf numFmtId="0" fontId="6" fillId="0" borderId="48" xfId="3" applyFont="1" applyBorder="1" applyAlignment="1">
      <alignment horizontal="center" vertical="center" wrapText="1"/>
    </xf>
    <xf numFmtId="0" fontId="6" fillId="0" borderId="49" xfId="3" applyFont="1" applyBorder="1" applyAlignment="1">
      <alignment horizontal="center" vertical="center" wrapText="1"/>
    </xf>
    <xf numFmtId="0" fontId="6" fillId="2" borderId="50" xfId="3" applyFont="1" applyFill="1" applyBorder="1" applyAlignment="1">
      <alignment horizontal="center" vertical="center" wrapText="1"/>
    </xf>
    <xf numFmtId="0" fontId="6" fillId="2" borderId="51" xfId="3" applyFont="1" applyFill="1" applyBorder="1" applyAlignment="1">
      <alignment horizontal="center" vertical="center" wrapText="1"/>
    </xf>
    <xf numFmtId="0" fontId="6" fillId="2" borderId="52" xfId="3" applyFont="1" applyFill="1" applyBorder="1" applyAlignment="1">
      <alignment horizontal="center" vertical="center" wrapText="1"/>
    </xf>
    <xf numFmtId="0" fontId="15" fillId="0" borderId="48" xfId="3" applyFont="1" applyBorder="1" applyAlignment="1">
      <alignment horizontal="center" vertical="center" wrapText="1"/>
    </xf>
    <xf numFmtId="0" fontId="15" fillId="0" borderId="49" xfId="3" applyFont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center" vertical="center" wrapText="1"/>
    </xf>
    <xf numFmtId="0" fontId="7" fillId="2" borderId="47" xfId="3" applyFill="1" applyBorder="1" applyAlignment="1">
      <alignment horizontal="center" vertical="center" wrapText="1"/>
    </xf>
    <xf numFmtId="0" fontId="7" fillId="2" borderId="46" xfId="3" applyFill="1" applyBorder="1" applyAlignment="1">
      <alignment horizontal="center" vertical="center" wrapText="1"/>
    </xf>
    <xf numFmtId="0" fontId="7" fillId="2" borderId="44" xfId="3" applyFill="1" applyBorder="1" applyAlignment="1">
      <alignment horizontal="center" vertical="center" wrapText="1"/>
    </xf>
    <xf numFmtId="0" fontId="7" fillId="2" borderId="45" xfId="3" applyFill="1" applyBorder="1" applyAlignment="1">
      <alignment horizontal="center" vertical="center" wrapText="1"/>
    </xf>
    <xf numFmtId="0" fontId="7" fillId="2" borderId="44" xfId="3" applyFont="1" applyFill="1" applyBorder="1" applyAlignment="1">
      <alignment horizontal="center" vertical="center" wrapText="1"/>
    </xf>
    <xf numFmtId="0" fontId="7" fillId="2" borderId="45" xfId="3" applyFont="1" applyFill="1" applyBorder="1" applyAlignment="1">
      <alignment horizontal="center" vertical="center" wrapText="1"/>
    </xf>
    <xf numFmtId="1" fontId="7" fillId="2" borderId="30" xfId="3" applyNumberFormat="1" applyFill="1" applyBorder="1" applyAlignment="1">
      <alignment horizontal="center" vertical="center" wrapText="1"/>
    </xf>
    <xf numFmtId="1" fontId="7" fillId="2" borderId="31" xfId="3" applyNumberFormat="1" applyFill="1" applyBorder="1" applyAlignment="1">
      <alignment horizontal="center" vertical="center" wrapText="1"/>
    </xf>
    <xf numFmtId="1" fontId="7" fillId="2" borderId="42" xfId="3" applyNumberFormat="1" applyFill="1" applyBorder="1" applyAlignment="1">
      <alignment horizontal="center" vertical="center" wrapText="1"/>
    </xf>
    <xf numFmtId="1" fontId="7" fillId="2" borderId="43" xfId="3" applyNumberFormat="1" applyFill="1" applyBorder="1" applyAlignment="1">
      <alignment horizontal="center" vertical="center" wrapText="1"/>
    </xf>
    <xf numFmtId="0" fontId="7" fillId="2" borderId="42" xfId="3" applyFill="1" applyBorder="1" applyAlignment="1">
      <alignment horizontal="center" vertical="center" wrapText="1"/>
    </xf>
    <xf numFmtId="0" fontId="7" fillId="2" borderId="43" xfId="3" applyFill="1" applyBorder="1" applyAlignment="1">
      <alignment horizontal="center" vertical="center" wrapText="1"/>
    </xf>
    <xf numFmtId="0" fontId="7" fillId="2" borderId="53" xfId="3" applyFill="1" applyBorder="1" applyAlignment="1">
      <alignment horizontal="center" vertical="center" wrapText="1"/>
    </xf>
    <xf numFmtId="0" fontId="7" fillId="2" borderId="54" xfId="3" applyFont="1" applyFill="1" applyBorder="1" applyAlignment="1">
      <alignment horizontal="center" vertical="center" wrapText="1"/>
    </xf>
    <xf numFmtId="0" fontId="7" fillId="2" borderId="55" xfId="3" applyFill="1" applyBorder="1" applyAlignment="1">
      <alignment horizontal="center" vertical="center" wrapText="1"/>
    </xf>
    <xf numFmtId="0" fontId="7" fillId="2" borderId="21" xfId="3" applyFill="1" applyBorder="1" applyAlignment="1">
      <alignment horizontal="center" vertical="center" wrapText="1"/>
    </xf>
    <xf numFmtId="0" fontId="7" fillId="2" borderId="53" xfId="3" applyFill="1" applyBorder="1" applyAlignment="1" applyProtection="1">
      <alignment horizontal="center" vertical="center" wrapText="1"/>
      <protection locked="0"/>
    </xf>
    <xf numFmtId="0" fontId="7" fillId="2" borderId="23" xfId="3" applyFill="1" applyBorder="1" applyAlignment="1">
      <alignment horizontal="center" vertical="center" wrapText="1"/>
    </xf>
    <xf numFmtId="0" fontId="1" fillId="2" borderId="6" xfId="3" applyFont="1" applyFill="1" applyBorder="1" applyAlignment="1">
      <alignment horizontal="center" vertical="center" wrapText="1"/>
    </xf>
    <xf numFmtId="0" fontId="6" fillId="0" borderId="50" xfId="3" applyFont="1" applyBorder="1" applyAlignment="1">
      <alignment horizontal="center" vertical="center" wrapText="1"/>
    </xf>
    <xf numFmtId="0" fontId="6" fillId="2" borderId="17" xfId="3" applyFont="1" applyFill="1" applyBorder="1" applyAlignment="1">
      <alignment horizontal="center" vertical="center" wrapText="1"/>
    </xf>
    <xf numFmtId="0" fontId="6" fillId="2" borderId="39" xfId="3" applyFont="1" applyFill="1" applyBorder="1" applyAlignment="1">
      <alignment horizontal="center" vertical="center" wrapText="1"/>
    </xf>
    <xf numFmtId="0" fontId="6" fillId="2" borderId="46" xfId="3" applyFont="1" applyFill="1" applyBorder="1" applyAlignment="1">
      <alignment horizontal="center" vertical="center" wrapText="1"/>
    </xf>
    <xf numFmtId="0" fontId="6" fillId="2" borderId="40" xfId="3" applyFont="1" applyFill="1" applyBorder="1" applyAlignment="1">
      <alignment horizontal="center" vertical="center" wrapText="1"/>
    </xf>
    <xf numFmtId="0" fontId="15" fillId="0" borderId="52" xfId="3" applyFont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6963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63500</xdr:colOff>
      <xdr:row>40</xdr:row>
      <xdr:rowOff>57150</xdr:rowOff>
    </xdr:from>
    <xdr:to>
      <xdr:col>11</xdr:col>
      <xdr:colOff>508000</xdr:colOff>
      <xdr:row>47</xdr:row>
      <xdr:rowOff>63500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289550" y="6991350"/>
          <a:ext cx="984250" cy="1162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50800</xdr:rowOff>
    </xdr:from>
    <xdr:to>
      <xdr:col>11</xdr:col>
      <xdr:colOff>482600</xdr:colOff>
      <xdr:row>48</xdr:row>
      <xdr:rowOff>69850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835650" y="8210550"/>
          <a:ext cx="984250" cy="1162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50800</xdr:rowOff>
    </xdr:from>
    <xdr:to>
      <xdr:col>11</xdr:col>
      <xdr:colOff>482600</xdr:colOff>
      <xdr:row>48</xdr:row>
      <xdr:rowOff>69850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835650" y="8210550"/>
          <a:ext cx="984250" cy="1162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50800</xdr:rowOff>
    </xdr:from>
    <xdr:to>
      <xdr:col>11</xdr:col>
      <xdr:colOff>482600</xdr:colOff>
      <xdr:row>48</xdr:row>
      <xdr:rowOff>69850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835650" y="8121650"/>
          <a:ext cx="984250" cy="1162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127000</xdr:colOff>
      <xdr:row>42</xdr:row>
      <xdr:rowOff>88900</xdr:rowOff>
    </xdr:from>
    <xdr:to>
      <xdr:col>11</xdr:col>
      <xdr:colOff>514350</xdr:colOff>
      <xdr:row>48</xdr:row>
      <xdr:rowOff>107950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867400" y="8159750"/>
          <a:ext cx="984250" cy="1162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127000</xdr:colOff>
      <xdr:row>42</xdr:row>
      <xdr:rowOff>88900</xdr:rowOff>
    </xdr:from>
    <xdr:to>
      <xdr:col>11</xdr:col>
      <xdr:colOff>514350</xdr:colOff>
      <xdr:row>48</xdr:row>
      <xdr:rowOff>107950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867400" y="8159750"/>
          <a:ext cx="984250" cy="1162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127000</xdr:colOff>
      <xdr:row>40</xdr:row>
      <xdr:rowOff>88900</xdr:rowOff>
    </xdr:from>
    <xdr:to>
      <xdr:col>11</xdr:col>
      <xdr:colOff>514350</xdr:colOff>
      <xdr:row>46</xdr:row>
      <xdr:rowOff>107950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22925" y="8518525"/>
          <a:ext cx="958850" cy="12192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98424</xdr:colOff>
      <xdr:row>42</xdr:row>
      <xdr:rowOff>88900</xdr:rowOff>
    </xdr:from>
    <xdr:to>
      <xdr:col>11</xdr:col>
      <xdr:colOff>457199</xdr:colOff>
      <xdr:row>49</xdr:row>
      <xdr:rowOff>142875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4349" y="8394700"/>
          <a:ext cx="930275" cy="14541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98424</xdr:colOff>
      <xdr:row>42</xdr:row>
      <xdr:rowOff>88900</xdr:rowOff>
    </xdr:from>
    <xdr:to>
      <xdr:col>11</xdr:col>
      <xdr:colOff>457199</xdr:colOff>
      <xdr:row>49</xdr:row>
      <xdr:rowOff>142875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594349" y="8394700"/>
          <a:ext cx="930275" cy="14541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98424</xdr:colOff>
      <xdr:row>42</xdr:row>
      <xdr:rowOff>88900</xdr:rowOff>
    </xdr:from>
    <xdr:to>
      <xdr:col>11</xdr:col>
      <xdr:colOff>457199</xdr:colOff>
      <xdr:row>49</xdr:row>
      <xdr:rowOff>142875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4349" y="8518525"/>
          <a:ext cx="930275" cy="14541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98424</xdr:colOff>
      <xdr:row>42</xdr:row>
      <xdr:rowOff>88900</xdr:rowOff>
    </xdr:from>
    <xdr:to>
      <xdr:col>11</xdr:col>
      <xdr:colOff>457199</xdr:colOff>
      <xdr:row>49</xdr:row>
      <xdr:rowOff>142875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594349" y="8518525"/>
          <a:ext cx="930275" cy="14541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98424</xdr:colOff>
      <xdr:row>42</xdr:row>
      <xdr:rowOff>88900</xdr:rowOff>
    </xdr:from>
    <xdr:to>
      <xdr:col>11</xdr:col>
      <xdr:colOff>457199</xdr:colOff>
      <xdr:row>49</xdr:row>
      <xdr:rowOff>142875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4349" y="8518525"/>
          <a:ext cx="930275" cy="14541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opLeftCell="A31" workbookViewId="0">
      <selection activeCell="C65" sqref="C65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26" t="s">
        <v>0</v>
      </c>
      <c r="B1" s="126"/>
      <c r="C1" s="126"/>
      <c r="D1" s="126"/>
      <c r="E1" s="37"/>
      <c r="F1" s="38"/>
      <c r="G1" s="127" t="s">
        <v>1</v>
      </c>
      <c r="H1" s="127"/>
      <c r="I1" s="127"/>
      <c r="J1" s="127"/>
      <c r="K1" s="127"/>
      <c r="L1" s="127"/>
    </row>
    <row r="2" spans="1:12" ht="13.5" customHeight="1">
      <c r="A2" s="127" t="s">
        <v>2</v>
      </c>
      <c r="B2" s="127"/>
      <c r="C2" s="127"/>
      <c r="D2" s="127"/>
      <c r="E2" s="37"/>
      <c r="F2" s="38"/>
      <c r="G2" s="138" t="s">
        <v>3</v>
      </c>
      <c r="H2" s="138"/>
      <c r="I2" s="138"/>
      <c r="J2" s="138"/>
      <c r="K2" s="138"/>
      <c r="L2" s="138"/>
    </row>
    <row r="3" spans="1:12">
      <c r="A3" s="138" t="s">
        <v>4</v>
      </c>
      <c r="B3" s="138"/>
      <c r="C3" s="138"/>
      <c r="D3" s="138"/>
      <c r="E3" s="37"/>
      <c r="F3" s="38"/>
      <c r="G3" s="38"/>
      <c r="H3" s="37"/>
      <c r="I3" s="37"/>
      <c r="J3" s="37"/>
      <c r="K3" s="38"/>
      <c r="L3" s="1"/>
    </row>
    <row r="4" spans="1:12" ht="12" customHeight="1">
      <c r="A4" s="126" t="s">
        <v>5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</row>
    <row r="5" spans="1:12" ht="15.75">
      <c r="A5" s="127" t="s">
        <v>29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</row>
    <row r="6" spans="1:12" ht="3.75" customHeight="1" thickBot="1">
      <c r="A6" s="2" t="s">
        <v>6</v>
      </c>
      <c r="B6" s="12"/>
      <c r="C6" s="13"/>
      <c r="D6" s="13"/>
      <c r="E6" s="13"/>
      <c r="F6" s="12"/>
      <c r="G6" s="12"/>
      <c r="H6" s="129"/>
      <c r="I6" s="129"/>
      <c r="J6" s="13"/>
      <c r="K6" s="39"/>
      <c r="L6" s="3"/>
    </row>
    <row r="7" spans="1:12">
      <c r="A7" s="130" t="s">
        <v>7</v>
      </c>
      <c r="B7" s="132" t="s">
        <v>8</v>
      </c>
      <c r="C7" s="133"/>
      <c r="D7" s="133"/>
      <c r="E7" s="133"/>
      <c r="F7" s="134"/>
      <c r="G7" s="135" t="s">
        <v>9</v>
      </c>
      <c r="H7" s="133"/>
      <c r="I7" s="133"/>
      <c r="J7" s="133"/>
      <c r="K7" s="134"/>
      <c r="L7" s="136" t="s">
        <v>10</v>
      </c>
    </row>
    <row r="8" spans="1:12" ht="15.75" thickBot="1">
      <c r="A8" s="131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37"/>
    </row>
    <row r="9" spans="1:12" ht="15.75" thickBot="1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>
      <c r="A12" s="8">
        <v>4</v>
      </c>
      <c r="B12" s="23">
        <v>1</v>
      </c>
      <c r="C12" s="24"/>
      <c r="D12" s="24"/>
      <c r="E12" s="25"/>
      <c r="F12" s="19">
        <f t="shared" si="0"/>
        <v>1</v>
      </c>
      <c r="G12" s="33">
        <v>11</v>
      </c>
      <c r="H12" s="24"/>
      <c r="I12" s="24"/>
      <c r="J12" s="24"/>
      <c r="K12" s="17">
        <f t="shared" si="1"/>
        <v>11</v>
      </c>
      <c r="L12" s="7">
        <f t="shared" si="2"/>
        <v>12</v>
      </c>
    </row>
    <row r="13" spans="1:12" ht="15.75" thickBot="1">
      <c r="A13" s="8">
        <v>5</v>
      </c>
      <c r="B13" s="23"/>
      <c r="C13" s="24"/>
      <c r="D13" s="24"/>
      <c r="E13" s="25"/>
      <c r="F13" s="19">
        <f t="shared" si="0"/>
        <v>0</v>
      </c>
      <c r="G13" s="32">
        <v>6</v>
      </c>
      <c r="H13" s="24"/>
      <c r="I13" s="24"/>
      <c r="J13" s="24"/>
      <c r="K13" s="17">
        <f t="shared" si="1"/>
        <v>6</v>
      </c>
      <c r="L13" s="7">
        <f t="shared" si="2"/>
        <v>6</v>
      </c>
    </row>
    <row r="14" spans="1:12" ht="15.75" thickBot="1">
      <c r="A14" s="8">
        <v>6</v>
      </c>
      <c r="B14" s="23"/>
      <c r="C14" s="24"/>
      <c r="D14" s="24"/>
      <c r="E14" s="25"/>
      <c r="F14" s="19">
        <f t="shared" si="0"/>
        <v>0</v>
      </c>
      <c r="G14" s="32">
        <v>9</v>
      </c>
      <c r="H14" s="24"/>
      <c r="I14" s="24"/>
      <c r="J14" s="24"/>
      <c r="K14" s="17">
        <f t="shared" si="1"/>
        <v>9</v>
      </c>
      <c r="L14" s="7">
        <f t="shared" si="2"/>
        <v>9</v>
      </c>
    </row>
    <row r="15" spans="1:12" ht="15.75" thickBot="1">
      <c r="A15" s="8">
        <v>7</v>
      </c>
      <c r="B15" s="23"/>
      <c r="C15" s="24"/>
      <c r="D15" s="24"/>
      <c r="E15" s="25"/>
      <c r="F15" s="19">
        <f t="shared" si="0"/>
        <v>0</v>
      </c>
      <c r="G15" s="32">
        <v>5</v>
      </c>
      <c r="H15" s="24"/>
      <c r="I15" s="24"/>
      <c r="J15" s="24"/>
      <c r="K15" s="17">
        <f t="shared" si="1"/>
        <v>5</v>
      </c>
      <c r="L15" s="7">
        <f t="shared" si="2"/>
        <v>5</v>
      </c>
    </row>
    <row r="16" spans="1:12" ht="15.75" thickBot="1">
      <c r="A16" s="8">
        <v>8</v>
      </c>
      <c r="B16" s="23">
        <v>1</v>
      </c>
      <c r="C16" s="24"/>
      <c r="D16" s="24"/>
      <c r="E16" s="25"/>
      <c r="F16" s="19">
        <f t="shared" si="0"/>
        <v>1</v>
      </c>
      <c r="G16" s="32">
        <v>3</v>
      </c>
      <c r="H16" s="24">
        <v>1</v>
      </c>
      <c r="I16" s="24"/>
      <c r="J16" s="24"/>
      <c r="K16" s="17">
        <f t="shared" si="1"/>
        <v>4</v>
      </c>
      <c r="L16" s="7">
        <f t="shared" si="2"/>
        <v>5</v>
      </c>
    </row>
    <row r="17" spans="1:12" ht="15.75" thickBot="1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>
      <c r="A19" s="8">
        <v>11</v>
      </c>
      <c r="B19" s="23">
        <v>1</v>
      </c>
      <c r="C19" s="24"/>
      <c r="D19" s="24"/>
      <c r="E19" s="25"/>
      <c r="F19" s="19">
        <f t="shared" si="0"/>
        <v>1</v>
      </c>
      <c r="G19" s="32"/>
      <c r="H19" s="24"/>
      <c r="I19" s="24"/>
      <c r="J19" s="24"/>
      <c r="K19" s="17">
        <f t="shared" si="1"/>
        <v>0</v>
      </c>
      <c r="L19" s="7">
        <f t="shared" si="2"/>
        <v>1</v>
      </c>
    </row>
    <row r="20" spans="1:12" ht="15.75" thickBot="1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>
        <v>1</v>
      </c>
      <c r="I20" s="35"/>
      <c r="J20" s="35"/>
      <c r="K20" s="17">
        <f t="shared" si="1"/>
        <v>1</v>
      </c>
      <c r="L20" s="7">
        <f t="shared" si="2"/>
        <v>1</v>
      </c>
    </row>
    <row r="21" spans="1:12" ht="15.75" thickBot="1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>
      <c r="A24" s="8">
        <v>16</v>
      </c>
      <c r="B24" s="23">
        <v>10</v>
      </c>
      <c r="C24" s="24"/>
      <c r="D24" s="24"/>
      <c r="E24" s="25"/>
      <c r="F24" s="19">
        <f t="shared" si="0"/>
        <v>10</v>
      </c>
      <c r="G24" s="32"/>
      <c r="H24" s="24"/>
      <c r="I24" s="24"/>
      <c r="J24" s="24"/>
      <c r="K24" s="17">
        <f t="shared" si="1"/>
        <v>0</v>
      </c>
      <c r="L24" s="7">
        <f t="shared" si="2"/>
        <v>10</v>
      </c>
    </row>
    <row r="25" spans="1:12" ht="15.75" thickBot="1">
      <c r="A25" s="8">
        <v>17</v>
      </c>
      <c r="B25" s="23">
        <v>17</v>
      </c>
      <c r="C25" s="49"/>
      <c r="D25" s="27"/>
      <c r="E25" s="25"/>
      <c r="F25" s="19">
        <f t="shared" si="0"/>
        <v>17</v>
      </c>
      <c r="G25" s="32"/>
      <c r="H25" s="24"/>
      <c r="I25" s="24"/>
      <c r="J25" s="24"/>
      <c r="K25" s="17">
        <f t="shared" si="1"/>
        <v>0</v>
      </c>
      <c r="L25" s="7">
        <f t="shared" si="2"/>
        <v>17</v>
      </c>
    </row>
    <row r="26" spans="1:12" ht="15.75" thickBot="1">
      <c r="A26" s="8">
        <v>18</v>
      </c>
      <c r="B26" s="23">
        <v>1</v>
      </c>
      <c r="C26" s="24"/>
      <c r="D26" s="24"/>
      <c r="E26" s="25"/>
      <c r="F26" s="19">
        <f t="shared" si="0"/>
        <v>1</v>
      </c>
      <c r="G26" s="32">
        <v>1</v>
      </c>
      <c r="H26" s="24"/>
      <c r="I26" s="24"/>
      <c r="J26" s="24"/>
      <c r="K26" s="17">
        <f t="shared" si="1"/>
        <v>1</v>
      </c>
      <c r="L26" s="7">
        <f t="shared" si="2"/>
        <v>2</v>
      </c>
    </row>
    <row r="27" spans="1:12" ht="15.75" thickBot="1">
      <c r="A27" s="8">
        <v>19</v>
      </c>
      <c r="B27" s="23">
        <v>1</v>
      </c>
      <c r="C27" s="24"/>
      <c r="D27" s="24"/>
      <c r="E27" s="25"/>
      <c r="F27" s="19">
        <f t="shared" si="0"/>
        <v>1</v>
      </c>
      <c r="G27" s="32"/>
      <c r="H27" s="24"/>
      <c r="I27" s="24"/>
      <c r="J27" s="24"/>
      <c r="K27" s="17">
        <f t="shared" si="1"/>
        <v>0</v>
      </c>
      <c r="L27" s="7">
        <f t="shared" si="2"/>
        <v>1</v>
      </c>
    </row>
    <row r="28" spans="1:12" ht="15.75" thickBot="1">
      <c r="A28" s="8">
        <v>20</v>
      </c>
      <c r="B28" s="23">
        <v>1</v>
      </c>
      <c r="C28" s="24"/>
      <c r="D28" s="24"/>
      <c r="E28" s="25"/>
      <c r="F28" s="19">
        <f t="shared" si="0"/>
        <v>1</v>
      </c>
      <c r="G28" s="32"/>
      <c r="H28" s="24"/>
      <c r="I28" s="24"/>
      <c r="J28" s="24"/>
      <c r="K28" s="17">
        <f t="shared" si="1"/>
        <v>0</v>
      </c>
      <c r="L28" s="7">
        <f t="shared" si="2"/>
        <v>1</v>
      </c>
    </row>
    <row r="29" spans="1:12" ht="15.75" thickBot="1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>
      <c r="A33" s="8">
        <v>25</v>
      </c>
      <c r="B33" s="23"/>
      <c r="C33" s="24"/>
      <c r="D33" s="24"/>
      <c r="E33" s="25"/>
      <c r="F33" s="19">
        <f t="shared" si="0"/>
        <v>0</v>
      </c>
      <c r="G33" s="32">
        <v>1</v>
      </c>
      <c r="H33" s="24"/>
      <c r="I33" s="24"/>
      <c r="J33" s="24"/>
      <c r="K33" s="17">
        <f t="shared" si="1"/>
        <v>1</v>
      </c>
      <c r="L33" s="7">
        <f t="shared" si="2"/>
        <v>1</v>
      </c>
    </row>
    <row r="34" spans="1:12" ht="15.75" thickBot="1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>
      <c r="A36" s="8">
        <v>28</v>
      </c>
      <c r="B36" s="23">
        <v>1</v>
      </c>
      <c r="C36" s="24"/>
      <c r="D36" s="24"/>
      <c r="E36" s="25"/>
      <c r="F36" s="19">
        <f t="shared" si="0"/>
        <v>1</v>
      </c>
      <c r="G36" s="32"/>
      <c r="H36" s="24"/>
      <c r="I36" s="24"/>
      <c r="J36" s="24"/>
      <c r="K36" s="17">
        <f t="shared" si="1"/>
        <v>0</v>
      </c>
      <c r="L36" s="7">
        <f t="shared" si="2"/>
        <v>1</v>
      </c>
    </row>
    <row r="37" spans="1:12" ht="15.75" thickBot="1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>
      <c r="A40" s="10"/>
      <c r="B40" s="11">
        <f>SUM(B9:B39)</f>
        <v>34</v>
      </c>
      <c r="C40" s="11">
        <f t="shared" ref="C40:E40" si="3">SUM(C9:C39)</f>
        <v>0</v>
      </c>
      <c r="D40" s="11">
        <f t="shared" si="3"/>
        <v>0</v>
      </c>
      <c r="E40" s="11">
        <f t="shared" si="3"/>
        <v>0</v>
      </c>
      <c r="F40" s="16">
        <f>SUM(F9:F39)</f>
        <v>34</v>
      </c>
      <c r="G40" s="18">
        <f>SUM(G9:G39)</f>
        <v>36</v>
      </c>
      <c r="H40" s="18">
        <f t="shared" ref="H40:L40" si="4">SUM(H9:H39)</f>
        <v>2</v>
      </c>
      <c r="I40" s="18">
        <f t="shared" si="4"/>
        <v>0</v>
      </c>
      <c r="J40" s="18">
        <f t="shared" si="4"/>
        <v>0</v>
      </c>
      <c r="K40" s="18">
        <f t="shared" si="4"/>
        <v>38</v>
      </c>
      <c r="L40" s="18">
        <f t="shared" si="4"/>
        <v>72</v>
      </c>
    </row>
    <row r="41" spans="1:12" ht="3" customHeight="1" thickBot="1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>
      <c r="A42" s="119"/>
      <c r="B42" s="119"/>
      <c r="C42" s="119"/>
      <c r="D42" s="119"/>
      <c r="E42" s="119"/>
      <c r="F42" s="119"/>
      <c r="G42" s="120" t="s">
        <v>17</v>
      </c>
      <c r="H42" s="121"/>
      <c r="I42" s="121" t="s">
        <v>18</v>
      </c>
      <c r="J42" s="122"/>
      <c r="K42" s="12"/>
      <c r="L42" s="14"/>
    </row>
    <row r="43" spans="1:12" ht="15.75" thickBot="1">
      <c r="A43" s="15"/>
      <c r="B43" s="106" t="s">
        <v>19</v>
      </c>
      <c r="C43" s="107"/>
      <c r="D43" s="107"/>
      <c r="E43" s="107"/>
      <c r="F43" s="107"/>
      <c r="G43" s="117">
        <v>129</v>
      </c>
      <c r="H43" s="123"/>
      <c r="I43" s="124"/>
      <c r="J43" s="125"/>
      <c r="K43" s="12"/>
      <c r="L43" s="14"/>
    </row>
    <row r="44" spans="1:12" ht="15.75" thickBot="1">
      <c r="A44" s="15"/>
      <c r="B44" s="106" t="s">
        <v>20</v>
      </c>
      <c r="C44" s="107"/>
      <c r="D44" s="107"/>
      <c r="E44" s="107"/>
      <c r="F44" s="107"/>
      <c r="G44" s="108">
        <v>50</v>
      </c>
      <c r="H44" s="109"/>
      <c r="I44" s="108"/>
      <c r="J44" s="109"/>
      <c r="K44" s="12"/>
      <c r="L44" s="14"/>
    </row>
    <row r="45" spans="1:12" ht="15.75" thickBot="1">
      <c r="A45" s="15"/>
      <c r="B45" s="114" t="s">
        <v>21</v>
      </c>
      <c r="C45" s="114"/>
      <c r="D45" s="114"/>
      <c r="E45" s="114"/>
      <c r="F45" s="106"/>
      <c r="G45" s="115">
        <v>2</v>
      </c>
      <c r="H45" s="116"/>
      <c r="I45" s="117"/>
      <c r="J45" s="118"/>
      <c r="K45" s="12"/>
      <c r="L45" s="14"/>
    </row>
    <row r="46" spans="1:12" ht="15.75" thickBot="1">
      <c r="A46" s="15"/>
      <c r="B46" s="106" t="s">
        <v>22</v>
      </c>
      <c r="C46" s="107"/>
      <c r="D46" s="107"/>
      <c r="E46" s="107"/>
      <c r="F46" s="107"/>
      <c r="G46" s="113">
        <f>L40+G45</f>
        <v>74</v>
      </c>
      <c r="H46" s="109"/>
      <c r="I46" s="108"/>
      <c r="J46" s="109"/>
      <c r="K46" s="12"/>
      <c r="L46" s="14"/>
    </row>
    <row r="47" spans="1:12" ht="15.75" thickBot="1">
      <c r="A47" s="4"/>
      <c r="B47" s="106" t="s">
        <v>23</v>
      </c>
      <c r="C47" s="107"/>
      <c r="D47" s="107"/>
      <c r="E47" s="107"/>
      <c r="F47" s="107"/>
      <c r="G47" s="113">
        <f>G43+G44-G46</f>
        <v>105</v>
      </c>
      <c r="H47" s="109"/>
      <c r="I47" s="108"/>
      <c r="J47" s="109"/>
      <c r="K47" s="12"/>
      <c r="L47" s="3"/>
    </row>
    <row r="48" spans="1:12" ht="15.75" thickBot="1">
      <c r="A48" s="4"/>
      <c r="B48" s="106" t="s">
        <v>24</v>
      </c>
      <c r="C48" s="107"/>
      <c r="D48" s="107"/>
      <c r="E48" s="107"/>
      <c r="F48" s="107"/>
      <c r="G48" s="108">
        <v>65</v>
      </c>
      <c r="H48" s="109"/>
      <c r="I48" s="108"/>
      <c r="J48" s="109"/>
      <c r="K48" s="12"/>
      <c r="L48" s="3"/>
    </row>
    <row r="49" spans="1:12" ht="15.75" thickBot="1">
      <c r="A49" s="4"/>
      <c r="B49" s="106" t="s">
        <v>25</v>
      </c>
      <c r="C49" s="107"/>
      <c r="D49" s="107"/>
      <c r="E49" s="107"/>
      <c r="F49" s="107"/>
      <c r="G49" s="110">
        <f>G47-G48</f>
        <v>40</v>
      </c>
      <c r="H49" s="111"/>
      <c r="I49" s="112"/>
      <c r="J49" s="111"/>
      <c r="K49" s="12"/>
      <c r="L49" s="3"/>
    </row>
    <row r="50" spans="1:12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1" spans="1:12" ht="1.5" customHeight="1"/>
    <row r="52" spans="1:12">
      <c r="B52" t="s">
        <v>28</v>
      </c>
    </row>
    <row r="53" spans="1:12">
      <c r="B53" t="s">
        <v>34</v>
      </c>
    </row>
  </sheetData>
  <mergeCells count="36">
    <mergeCell ref="A1:D1"/>
    <mergeCell ref="G1:L1"/>
    <mergeCell ref="A2:D2"/>
    <mergeCell ref="G2:L2"/>
    <mergeCell ref="A3:D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2"/>
  <sheetViews>
    <sheetView topLeftCell="A28" workbookViewId="0">
      <selection activeCell="L56" sqref="L56"/>
    </sheetView>
  </sheetViews>
  <sheetFormatPr defaultColWidth="11.42578125" defaultRowHeight="15"/>
  <cols>
    <col min="1" max="1" width="5.28515625" customWidth="1"/>
    <col min="2" max="12" width="7.7109375" customWidth="1"/>
  </cols>
  <sheetData>
    <row r="1" spans="1:12" ht="12.95" customHeight="1">
      <c r="A1" s="126" t="s">
        <v>0</v>
      </c>
      <c r="B1" s="126"/>
      <c r="C1" s="126"/>
      <c r="D1" s="126"/>
      <c r="E1" s="37"/>
      <c r="F1" s="38"/>
      <c r="G1" s="127" t="s">
        <v>1</v>
      </c>
      <c r="H1" s="127"/>
      <c r="I1" s="127"/>
      <c r="J1" s="127"/>
      <c r="K1" s="127"/>
      <c r="L1" s="127"/>
    </row>
    <row r="2" spans="1:12" ht="12.95" customHeight="1">
      <c r="A2" s="127" t="s">
        <v>2</v>
      </c>
      <c r="B2" s="127"/>
      <c r="C2" s="127"/>
      <c r="D2" s="127"/>
      <c r="E2" s="37"/>
      <c r="F2" s="38"/>
      <c r="G2" s="138" t="s">
        <v>3</v>
      </c>
      <c r="H2" s="138"/>
      <c r="I2" s="138"/>
      <c r="J2" s="138"/>
      <c r="K2" s="138"/>
      <c r="L2" s="138"/>
    </row>
    <row r="3" spans="1:12" ht="12.95" customHeight="1">
      <c r="A3" s="138" t="s">
        <v>4</v>
      </c>
      <c r="B3" s="138"/>
      <c r="C3" s="138"/>
      <c r="D3" s="138"/>
      <c r="E3" s="37"/>
      <c r="F3" s="38"/>
      <c r="G3" s="38"/>
      <c r="H3" s="37"/>
      <c r="I3" s="37"/>
      <c r="J3" s="37"/>
      <c r="K3" s="38"/>
      <c r="L3" s="1"/>
    </row>
    <row r="4" spans="1:12" ht="12.95" customHeight="1">
      <c r="A4" s="126" t="s">
        <v>5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</row>
    <row r="5" spans="1:12" ht="12.95" customHeight="1" thickBot="1">
      <c r="A5" s="139" t="s">
        <v>30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</row>
    <row r="6" spans="1:12" ht="12.95" customHeight="1">
      <c r="A6" s="140" t="s">
        <v>7</v>
      </c>
      <c r="B6" s="142" t="s">
        <v>8</v>
      </c>
      <c r="C6" s="143"/>
      <c r="D6" s="143"/>
      <c r="E6" s="143"/>
      <c r="F6" s="144"/>
      <c r="G6" s="142" t="s">
        <v>9</v>
      </c>
      <c r="H6" s="143"/>
      <c r="I6" s="143"/>
      <c r="J6" s="143"/>
      <c r="K6" s="144"/>
      <c r="L6" s="145" t="s">
        <v>10</v>
      </c>
    </row>
    <row r="7" spans="1:12" ht="12.95" customHeight="1" thickBot="1">
      <c r="A7" s="141"/>
      <c r="B7" s="40" t="s">
        <v>11</v>
      </c>
      <c r="C7" s="41" t="s">
        <v>12</v>
      </c>
      <c r="D7" s="41" t="s">
        <v>13</v>
      </c>
      <c r="E7" s="41" t="s">
        <v>14</v>
      </c>
      <c r="F7" s="42" t="s">
        <v>15</v>
      </c>
      <c r="G7" s="43" t="s">
        <v>11</v>
      </c>
      <c r="H7" s="41" t="s">
        <v>12</v>
      </c>
      <c r="I7" s="41" t="s">
        <v>13</v>
      </c>
      <c r="J7" s="41" t="s">
        <v>14</v>
      </c>
      <c r="K7" s="42" t="s">
        <v>16</v>
      </c>
      <c r="L7" s="146"/>
    </row>
    <row r="8" spans="1:12" ht="12.95" customHeight="1" thickBot="1">
      <c r="A8" s="6">
        <v>1</v>
      </c>
      <c r="B8" s="20"/>
      <c r="C8" s="21"/>
      <c r="D8" s="21"/>
      <c r="E8" s="22"/>
      <c r="F8" s="19">
        <f>SUM(B8:E8)</f>
        <v>0</v>
      </c>
      <c r="G8" s="48"/>
      <c r="H8" s="31"/>
      <c r="I8" s="31"/>
      <c r="J8" s="31"/>
      <c r="K8" s="17">
        <f>SUM(G8:J8)</f>
        <v>0</v>
      </c>
      <c r="L8" s="7">
        <f>SUM(F8+K8)</f>
        <v>0</v>
      </c>
    </row>
    <row r="9" spans="1:12" ht="12.95" customHeight="1" thickBot="1">
      <c r="A9" s="8">
        <v>2</v>
      </c>
      <c r="B9" s="23"/>
      <c r="C9" s="24"/>
      <c r="D9" s="24">
        <v>2</v>
      </c>
      <c r="E9" s="25"/>
      <c r="F9" s="19">
        <f t="shared" ref="F9:F38" si="0">SUM(B9:E9)</f>
        <v>2</v>
      </c>
      <c r="G9" s="32">
        <v>1</v>
      </c>
      <c r="H9" s="24"/>
      <c r="I9" s="24"/>
      <c r="J9" s="24"/>
      <c r="K9" s="17">
        <f t="shared" ref="K9:K38" si="1">SUM(G9:J9)</f>
        <v>1</v>
      </c>
      <c r="L9" s="7">
        <f t="shared" ref="L9:L38" si="2">SUM(F9+K9)</f>
        <v>3</v>
      </c>
    </row>
    <row r="10" spans="1:12" ht="12.95" customHeight="1" thickBot="1">
      <c r="A10" s="8">
        <v>3</v>
      </c>
      <c r="B10" s="23"/>
      <c r="C10" s="24"/>
      <c r="D10" s="24"/>
      <c r="E10" s="26"/>
      <c r="F10" s="19">
        <f t="shared" si="0"/>
        <v>0</v>
      </c>
      <c r="G10" s="32"/>
      <c r="H10" s="24"/>
      <c r="I10" s="24"/>
      <c r="J10" s="24"/>
      <c r="K10" s="17">
        <f t="shared" si="1"/>
        <v>0</v>
      </c>
      <c r="L10" s="7">
        <f t="shared" si="2"/>
        <v>0</v>
      </c>
    </row>
    <row r="11" spans="1:12" ht="12.95" customHeight="1" thickBot="1">
      <c r="A11" s="8">
        <v>4</v>
      </c>
      <c r="B11" s="23"/>
      <c r="C11" s="24"/>
      <c r="D11" s="24"/>
      <c r="E11" s="25"/>
      <c r="F11" s="19">
        <f t="shared" si="0"/>
        <v>0</v>
      </c>
      <c r="G11" s="33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2.95" customHeight="1" thickBot="1">
      <c r="A12" s="8">
        <v>5</v>
      </c>
      <c r="B12" s="23"/>
      <c r="C12" s="24"/>
      <c r="D12" s="24"/>
      <c r="E12" s="25"/>
      <c r="F12" s="19">
        <f t="shared" si="0"/>
        <v>0</v>
      </c>
      <c r="G12" s="32">
        <v>1</v>
      </c>
      <c r="H12" s="24"/>
      <c r="I12" s="24"/>
      <c r="J12" s="24"/>
      <c r="K12" s="17">
        <f t="shared" si="1"/>
        <v>1</v>
      </c>
      <c r="L12" s="7">
        <f t="shared" si="2"/>
        <v>1</v>
      </c>
    </row>
    <row r="13" spans="1:12" ht="12.95" customHeight="1" thickBot="1">
      <c r="A13" s="8">
        <v>6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2.95" customHeight="1" thickBot="1">
      <c r="A14" s="8">
        <v>7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2.95" customHeight="1" thickBot="1">
      <c r="A15" s="8">
        <v>8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2.95" customHeight="1" thickBot="1">
      <c r="A16" s="8">
        <v>9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2.95" customHeight="1" thickBot="1">
      <c r="A17" s="8">
        <v>10</v>
      </c>
      <c r="B17" s="23"/>
      <c r="C17" s="24"/>
      <c r="D17" s="24"/>
      <c r="E17" s="25"/>
      <c r="F17" s="19">
        <f t="shared" si="0"/>
        <v>0</v>
      </c>
      <c r="G17" s="34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2.95" customHeight="1" thickBot="1">
      <c r="A18" s="8">
        <v>11</v>
      </c>
      <c r="B18" s="23"/>
      <c r="C18" s="24"/>
      <c r="D18" s="24"/>
      <c r="E18" s="25"/>
      <c r="F18" s="19">
        <f t="shared" si="0"/>
        <v>0</v>
      </c>
      <c r="G18" s="32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2.95" customHeight="1" thickBot="1">
      <c r="A19" s="8">
        <v>12</v>
      </c>
      <c r="B19" s="23"/>
      <c r="C19" s="24"/>
      <c r="D19" s="24"/>
      <c r="E19" s="25"/>
      <c r="F19" s="19">
        <f t="shared" si="0"/>
        <v>0</v>
      </c>
      <c r="G19" s="32">
        <v>13</v>
      </c>
      <c r="H19" s="35"/>
      <c r="I19" s="35"/>
      <c r="J19" s="35"/>
      <c r="K19" s="17">
        <f t="shared" si="1"/>
        <v>13</v>
      </c>
      <c r="L19" s="7">
        <f t="shared" si="2"/>
        <v>13</v>
      </c>
    </row>
    <row r="20" spans="1:12" ht="12.95" customHeight="1" thickBot="1">
      <c r="A20" s="8">
        <v>13</v>
      </c>
      <c r="B20" s="23"/>
      <c r="C20" s="24"/>
      <c r="D20" s="24"/>
      <c r="E20" s="25"/>
      <c r="F20" s="19">
        <f t="shared" si="0"/>
        <v>0</v>
      </c>
      <c r="G20" s="36"/>
      <c r="H20" s="24"/>
      <c r="I20" s="24"/>
      <c r="J20" s="24"/>
      <c r="K20" s="17">
        <f t="shared" si="1"/>
        <v>0</v>
      </c>
      <c r="L20" s="7">
        <f t="shared" si="2"/>
        <v>0</v>
      </c>
    </row>
    <row r="21" spans="1:12" ht="12.95" customHeight="1" thickBot="1">
      <c r="A21" s="8">
        <v>14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2.95" customHeight="1" thickBot="1">
      <c r="A22" s="8">
        <v>15</v>
      </c>
      <c r="B22" s="23">
        <v>2</v>
      </c>
      <c r="C22" s="24"/>
      <c r="D22" s="24"/>
      <c r="E22" s="25"/>
      <c r="F22" s="19">
        <f t="shared" si="0"/>
        <v>2</v>
      </c>
      <c r="G22" s="32"/>
      <c r="H22" s="24"/>
      <c r="I22" s="24"/>
      <c r="J22" s="24"/>
      <c r="K22" s="17">
        <f t="shared" si="1"/>
        <v>0</v>
      </c>
      <c r="L22" s="7">
        <f t="shared" si="2"/>
        <v>2</v>
      </c>
    </row>
    <row r="23" spans="1:12" ht="12.95" customHeight="1" thickBot="1">
      <c r="A23" s="8">
        <v>16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2.95" customHeight="1" thickBot="1">
      <c r="A24" s="8">
        <v>17</v>
      </c>
      <c r="B24" s="23">
        <v>1</v>
      </c>
      <c r="C24" s="49"/>
      <c r="D24" s="27"/>
      <c r="E24" s="25"/>
      <c r="F24" s="19">
        <f t="shared" si="0"/>
        <v>1</v>
      </c>
      <c r="G24" s="32"/>
      <c r="H24" s="24"/>
      <c r="I24" s="24"/>
      <c r="J24" s="24"/>
      <c r="K24" s="17">
        <f t="shared" si="1"/>
        <v>0</v>
      </c>
      <c r="L24" s="7">
        <f t="shared" si="2"/>
        <v>1</v>
      </c>
    </row>
    <row r="25" spans="1:12" ht="12.95" customHeight="1" thickBot="1">
      <c r="A25" s="8">
        <v>18</v>
      </c>
      <c r="B25" s="23"/>
      <c r="C25" s="24"/>
      <c r="D25" s="24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2.95" customHeight="1" thickBot="1">
      <c r="A26" s="8">
        <v>19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2.95" customHeight="1" thickBot="1">
      <c r="A27" s="8">
        <v>20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2.95" customHeight="1" thickBot="1">
      <c r="A28" s="8">
        <v>21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2.95" customHeight="1" thickBot="1">
      <c r="A29" s="8">
        <v>22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2.95" customHeight="1" thickBot="1">
      <c r="A30" s="8">
        <v>23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2.95" customHeight="1" thickBot="1">
      <c r="A31" s="8">
        <v>24</v>
      </c>
      <c r="B31" s="23">
        <v>1</v>
      </c>
      <c r="C31" s="24"/>
      <c r="D31" s="24"/>
      <c r="E31" s="25"/>
      <c r="F31" s="19">
        <f t="shared" si="0"/>
        <v>1</v>
      </c>
      <c r="G31" s="32"/>
      <c r="H31" s="24"/>
      <c r="I31" s="24"/>
      <c r="J31" s="24"/>
      <c r="K31" s="17">
        <f t="shared" si="1"/>
        <v>0</v>
      </c>
      <c r="L31" s="7">
        <f t="shared" si="2"/>
        <v>1</v>
      </c>
    </row>
    <row r="32" spans="1:12" ht="12.95" customHeight="1" thickBot="1">
      <c r="A32" s="8">
        <v>25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2.95" customHeight="1" thickBot="1">
      <c r="A33" s="8">
        <v>26</v>
      </c>
      <c r="B33" s="23"/>
      <c r="C33" s="24"/>
      <c r="D33" s="24"/>
      <c r="E33" s="25"/>
      <c r="F33" s="19">
        <f t="shared" si="0"/>
        <v>0</v>
      </c>
      <c r="G33" s="32">
        <v>3</v>
      </c>
      <c r="H33" s="24"/>
      <c r="I33" s="24"/>
      <c r="J33" s="24"/>
      <c r="K33" s="17">
        <f t="shared" si="1"/>
        <v>3</v>
      </c>
      <c r="L33" s="7">
        <f t="shared" si="2"/>
        <v>3</v>
      </c>
    </row>
    <row r="34" spans="1:12" ht="12.95" customHeight="1" thickBot="1">
      <c r="A34" s="8">
        <v>27</v>
      </c>
      <c r="B34" s="46"/>
      <c r="C34" s="24"/>
      <c r="D34" s="24"/>
      <c r="E34" s="25"/>
      <c r="F34" s="19">
        <f t="shared" si="0"/>
        <v>0</v>
      </c>
      <c r="G34" s="47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2.95" customHeight="1" thickBot="1">
      <c r="A35" s="8">
        <v>28</v>
      </c>
      <c r="B35" s="23"/>
      <c r="C35" s="24"/>
      <c r="D35" s="24"/>
      <c r="E35" s="25"/>
      <c r="F35" s="19">
        <f t="shared" si="0"/>
        <v>0</v>
      </c>
      <c r="G35" s="32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2.95" customHeight="1" thickBot="1">
      <c r="A36" s="8">
        <v>29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2.95" customHeight="1" thickBot="1">
      <c r="A37" s="8">
        <v>30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2.95" customHeight="1" thickBot="1">
      <c r="A38" s="9">
        <v>31</v>
      </c>
      <c r="B38" s="28"/>
      <c r="C38" s="29"/>
      <c r="D38" s="29"/>
      <c r="E38" s="30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2.95" customHeight="1" thickBot="1">
      <c r="A39" s="10"/>
      <c r="B39" s="51">
        <f>SUM(B8:B38)</f>
        <v>4</v>
      </c>
      <c r="C39" s="51">
        <f t="shared" ref="C39:E39" si="3">SUM(C8:C38)</f>
        <v>0</v>
      </c>
      <c r="D39" s="51">
        <f t="shared" si="3"/>
        <v>2</v>
      </c>
      <c r="E39" s="51">
        <f t="shared" si="3"/>
        <v>0</v>
      </c>
      <c r="F39" s="50">
        <f>SUM(F8:F38)</f>
        <v>6</v>
      </c>
      <c r="G39" s="18">
        <f>SUM(G8:G38)</f>
        <v>18</v>
      </c>
      <c r="H39" s="18">
        <f t="shared" ref="H39:L39" si="4">SUM(H8:H38)</f>
        <v>0</v>
      </c>
      <c r="I39" s="18">
        <f t="shared" si="4"/>
        <v>0</v>
      </c>
      <c r="J39" s="18">
        <f t="shared" si="4"/>
        <v>0</v>
      </c>
      <c r="K39" s="18">
        <f t="shared" si="4"/>
        <v>18</v>
      </c>
      <c r="L39" s="18">
        <f t="shared" si="4"/>
        <v>24</v>
      </c>
    </row>
    <row r="40" spans="1:12" ht="12.95" customHeight="1" thickBot="1">
      <c r="A40" s="12"/>
      <c r="B40" s="12"/>
      <c r="C40" s="13"/>
      <c r="D40" s="13"/>
      <c r="E40" s="13"/>
      <c r="F40" s="12"/>
      <c r="G40" s="12"/>
      <c r="H40" s="13"/>
      <c r="I40" s="13"/>
      <c r="J40" s="13"/>
      <c r="K40" s="12"/>
      <c r="L40" s="14"/>
    </row>
    <row r="41" spans="1:12" ht="12.95" customHeight="1" thickBot="1">
      <c r="A41" s="147"/>
      <c r="B41" s="148"/>
      <c r="C41" s="148"/>
      <c r="D41" s="148"/>
      <c r="E41" s="148"/>
      <c r="F41" s="149"/>
      <c r="G41" s="147" t="s">
        <v>17</v>
      </c>
      <c r="H41" s="150"/>
      <c r="I41" s="151" t="s">
        <v>18</v>
      </c>
      <c r="J41" s="149"/>
      <c r="K41" s="12"/>
      <c r="L41" s="14"/>
    </row>
    <row r="42" spans="1:12" ht="12.95" customHeight="1" thickBot="1">
      <c r="A42" s="15"/>
      <c r="B42" s="114" t="s">
        <v>19</v>
      </c>
      <c r="C42" s="114"/>
      <c r="D42" s="114"/>
      <c r="E42" s="114"/>
      <c r="F42" s="106"/>
      <c r="G42" s="152">
        <v>65</v>
      </c>
      <c r="H42" s="153"/>
      <c r="I42" s="154"/>
      <c r="J42" s="155"/>
      <c r="K42" s="12"/>
      <c r="L42" s="14"/>
    </row>
    <row r="43" spans="1:12" ht="12.95" customHeight="1" thickBot="1">
      <c r="A43" s="15"/>
      <c r="B43" s="114" t="s">
        <v>20</v>
      </c>
      <c r="C43" s="114"/>
      <c r="D43" s="114"/>
      <c r="E43" s="114"/>
      <c r="F43" s="106"/>
      <c r="G43" s="117">
        <v>70</v>
      </c>
      <c r="H43" s="118"/>
      <c r="I43" s="117"/>
      <c r="J43" s="118"/>
      <c r="K43" s="12"/>
      <c r="L43" s="14"/>
    </row>
    <row r="44" spans="1:12" ht="12.95" customHeight="1" thickBot="1">
      <c r="A44" s="15"/>
      <c r="B44" s="114" t="s">
        <v>21</v>
      </c>
      <c r="C44" s="114"/>
      <c r="D44" s="114"/>
      <c r="E44" s="114"/>
      <c r="F44" s="106"/>
      <c r="G44" s="115">
        <v>2</v>
      </c>
      <c r="H44" s="116"/>
      <c r="I44" s="117"/>
      <c r="J44" s="118"/>
      <c r="K44" s="12"/>
      <c r="L44" s="14"/>
    </row>
    <row r="45" spans="1:12" ht="12.95" customHeight="1" thickBot="1">
      <c r="A45" s="15"/>
      <c r="B45" s="114" t="s">
        <v>22</v>
      </c>
      <c r="C45" s="114"/>
      <c r="D45" s="114"/>
      <c r="E45" s="114"/>
      <c r="F45" s="106"/>
      <c r="G45" s="156">
        <f>L39+G44</f>
        <v>26</v>
      </c>
      <c r="H45" s="157"/>
      <c r="I45" s="117"/>
      <c r="J45" s="118"/>
      <c r="K45" s="12"/>
      <c r="L45" s="14"/>
    </row>
    <row r="46" spans="1:12" ht="12.95" customHeight="1" thickBot="1">
      <c r="A46" s="4"/>
      <c r="B46" s="114" t="s">
        <v>23</v>
      </c>
      <c r="C46" s="114"/>
      <c r="D46" s="114"/>
      <c r="E46" s="114"/>
      <c r="F46" s="106"/>
      <c r="G46" s="156">
        <f>G42+G43-G45</f>
        <v>109</v>
      </c>
      <c r="H46" s="157"/>
      <c r="I46" s="117"/>
      <c r="J46" s="118"/>
      <c r="K46" s="12"/>
      <c r="L46" s="3"/>
    </row>
    <row r="47" spans="1:12" ht="12.95" customHeight="1" thickBot="1">
      <c r="A47" s="4"/>
      <c r="B47" s="114" t="s">
        <v>24</v>
      </c>
      <c r="C47" s="114"/>
      <c r="D47" s="114"/>
      <c r="E47" s="114"/>
      <c r="F47" s="106"/>
      <c r="G47" s="117">
        <v>64</v>
      </c>
      <c r="H47" s="118"/>
      <c r="I47" s="117"/>
      <c r="J47" s="118"/>
      <c r="K47" s="12"/>
      <c r="L47" s="3"/>
    </row>
    <row r="48" spans="1:12" ht="12.95" customHeight="1" thickBot="1">
      <c r="A48" s="4"/>
      <c r="B48" s="114" t="s">
        <v>25</v>
      </c>
      <c r="C48" s="114"/>
      <c r="D48" s="114"/>
      <c r="E48" s="114"/>
      <c r="F48" s="106"/>
      <c r="G48" s="158">
        <f>G46-G47</f>
        <v>45</v>
      </c>
      <c r="H48" s="159"/>
      <c r="I48" s="160"/>
      <c r="J48" s="161"/>
      <c r="K48" s="12"/>
      <c r="L48" s="3"/>
    </row>
    <row r="49" spans="1:12" ht="12.95" customHeight="1">
      <c r="A49" s="5" t="s">
        <v>26</v>
      </c>
      <c r="B49" s="38"/>
      <c r="C49" s="44"/>
      <c r="D49" s="44"/>
      <c r="E49" s="44"/>
      <c r="F49" s="38"/>
      <c r="G49" s="38"/>
      <c r="H49" s="44"/>
      <c r="I49" s="45" t="s">
        <v>27</v>
      </c>
      <c r="J49" s="44"/>
      <c r="K49" s="38"/>
      <c r="L49" s="1"/>
    </row>
    <row r="50" spans="1:12" ht="12.95" customHeight="1"/>
    <row r="51" spans="1:12" ht="12.95" customHeight="1">
      <c r="B51" t="s">
        <v>31</v>
      </c>
    </row>
    <row r="52" spans="1:12" ht="12.95" customHeight="1">
      <c r="B52" t="s">
        <v>32</v>
      </c>
    </row>
  </sheetData>
  <mergeCells count="35"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B43:F43"/>
    <mergeCell ref="G43:H43"/>
    <mergeCell ref="I43:J43"/>
    <mergeCell ref="B44:F44"/>
    <mergeCell ref="G44:H44"/>
    <mergeCell ref="I44:J44"/>
    <mergeCell ref="A41:F41"/>
    <mergeCell ref="G41:H41"/>
    <mergeCell ref="I41:J41"/>
    <mergeCell ref="B42:F42"/>
    <mergeCell ref="G42:H42"/>
    <mergeCell ref="I42:J42"/>
    <mergeCell ref="A5:L5"/>
    <mergeCell ref="A6:A7"/>
    <mergeCell ref="B6:F6"/>
    <mergeCell ref="G6:K6"/>
    <mergeCell ref="L6:L7"/>
    <mergeCell ref="A4:L4"/>
    <mergeCell ref="A1:D1"/>
    <mergeCell ref="G1:L1"/>
    <mergeCell ref="A2:D2"/>
    <mergeCell ref="G2:L2"/>
    <mergeCell ref="A3:D3"/>
  </mergeCells>
  <pageMargins left="0.7" right="0.7" top="0.75" bottom="0.75" header="0.3" footer="0.3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1"/>
  <sheetViews>
    <sheetView topLeftCell="A40" workbookViewId="0">
      <selection activeCell="G49" sqref="G49:H49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26" t="s">
        <v>0</v>
      </c>
      <c r="B1" s="126"/>
      <c r="C1" s="126"/>
      <c r="D1" s="126"/>
      <c r="E1" s="37"/>
      <c r="F1" s="38"/>
      <c r="G1" s="127" t="s">
        <v>1</v>
      </c>
      <c r="H1" s="127"/>
      <c r="I1" s="127"/>
      <c r="J1" s="127"/>
      <c r="K1" s="127"/>
      <c r="L1" s="127"/>
    </row>
    <row r="2" spans="1:12" ht="15.75">
      <c r="A2" s="127" t="s">
        <v>2</v>
      </c>
      <c r="B2" s="127"/>
      <c r="C2" s="127"/>
      <c r="D2" s="127"/>
      <c r="E2" s="37"/>
      <c r="F2" s="38"/>
      <c r="G2" s="138" t="s">
        <v>3</v>
      </c>
      <c r="H2" s="138"/>
      <c r="I2" s="138"/>
      <c r="J2" s="138"/>
      <c r="K2" s="138"/>
      <c r="L2" s="138"/>
    </row>
    <row r="3" spans="1:12">
      <c r="A3" s="138" t="s">
        <v>4</v>
      </c>
      <c r="B3" s="138"/>
      <c r="C3" s="138"/>
      <c r="D3" s="138"/>
      <c r="E3" s="37"/>
      <c r="F3" s="38"/>
      <c r="G3" s="38"/>
      <c r="H3" s="37"/>
      <c r="I3" s="37"/>
      <c r="J3" s="37"/>
      <c r="K3" s="38"/>
      <c r="L3" s="1"/>
    </row>
    <row r="4" spans="1:12">
      <c r="A4" s="52"/>
      <c r="B4" s="38"/>
      <c r="C4" s="37"/>
      <c r="D4" s="37"/>
      <c r="E4" s="37"/>
      <c r="F4" s="38"/>
      <c r="G4" s="38"/>
      <c r="H4" s="37"/>
      <c r="I4" s="37"/>
      <c r="J4" s="37"/>
      <c r="K4" s="38"/>
      <c r="L4" s="1"/>
    </row>
    <row r="5" spans="1:12" ht="18">
      <c r="A5" s="126" t="s">
        <v>5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15.75">
      <c r="A6" s="127" t="s">
        <v>33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</row>
    <row r="7" spans="1:12" ht="15.75" thickBot="1">
      <c r="A7" s="2" t="s">
        <v>6</v>
      </c>
      <c r="B7" s="12"/>
      <c r="C7" s="13"/>
      <c r="D7" s="13"/>
      <c r="E7" s="13"/>
      <c r="F7" s="12"/>
      <c r="G7" s="12"/>
      <c r="H7" s="129"/>
      <c r="I7" s="129"/>
      <c r="J7" s="13"/>
      <c r="K7" s="39"/>
      <c r="L7" s="3"/>
    </row>
    <row r="8" spans="1:12">
      <c r="A8" s="130" t="s">
        <v>7</v>
      </c>
      <c r="B8" s="132" t="s">
        <v>8</v>
      </c>
      <c r="C8" s="133"/>
      <c r="D8" s="133"/>
      <c r="E8" s="133"/>
      <c r="F8" s="134"/>
      <c r="G8" s="135" t="s">
        <v>9</v>
      </c>
      <c r="H8" s="133"/>
      <c r="I8" s="133"/>
      <c r="J8" s="133"/>
      <c r="K8" s="134"/>
      <c r="L8" s="136" t="s">
        <v>10</v>
      </c>
    </row>
    <row r="9" spans="1:12" ht="15.75" thickBot="1">
      <c r="A9" s="131"/>
      <c r="B9" s="40" t="s">
        <v>11</v>
      </c>
      <c r="C9" s="41" t="s">
        <v>12</v>
      </c>
      <c r="D9" s="41" t="s">
        <v>13</v>
      </c>
      <c r="E9" s="41" t="s">
        <v>14</v>
      </c>
      <c r="F9" s="42" t="s">
        <v>15</v>
      </c>
      <c r="G9" s="43" t="s">
        <v>11</v>
      </c>
      <c r="H9" s="41" t="s">
        <v>12</v>
      </c>
      <c r="I9" s="41" t="s">
        <v>13</v>
      </c>
      <c r="J9" s="41" t="s">
        <v>14</v>
      </c>
      <c r="K9" s="42" t="s">
        <v>16</v>
      </c>
      <c r="L9" s="137"/>
    </row>
    <row r="10" spans="1:12" ht="15.75" thickBot="1">
      <c r="A10" s="6">
        <v>1</v>
      </c>
      <c r="B10" s="20"/>
      <c r="C10" s="21"/>
      <c r="D10" s="21"/>
      <c r="E10" s="22"/>
      <c r="F10" s="19">
        <f>SUM(B10:E10)</f>
        <v>0</v>
      </c>
      <c r="G10" s="48">
        <v>1</v>
      </c>
      <c r="H10" s="31"/>
      <c r="I10" s="31"/>
      <c r="J10" s="31"/>
      <c r="K10" s="17">
        <f>SUM(G10:J10)</f>
        <v>1</v>
      </c>
      <c r="L10" s="7">
        <f>SUM(F10+K10)</f>
        <v>1</v>
      </c>
    </row>
    <row r="11" spans="1:12" ht="15.75" thickBot="1">
      <c r="A11" s="8">
        <v>2</v>
      </c>
      <c r="B11" s="23">
        <v>2</v>
      </c>
      <c r="C11" s="24"/>
      <c r="D11" s="24"/>
      <c r="E11" s="25"/>
      <c r="F11" s="19">
        <f t="shared" ref="F11:F40" si="0">SUM(B11:E11)</f>
        <v>2</v>
      </c>
      <c r="G11" s="32"/>
      <c r="H11" s="24"/>
      <c r="I11" s="24"/>
      <c r="J11" s="24"/>
      <c r="K11" s="17">
        <f t="shared" ref="K11:K40" si="1">SUM(G11:J11)</f>
        <v>0</v>
      </c>
      <c r="L11" s="7">
        <f t="shared" ref="L11:L40" si="2">SUM(F11+K11)</f>
        <v>2</v>
      </c>
    </row>
    <row r="12" spans="1:12" ht="15.75" thickBot="1">
      <c r="A12" s="8">
        <v>3</v>
      </c>
      <c r="B12" s="23"/>
      <c r="C12" s="24"/>
      <c r="D12" s="24"/>
      <c r="E12" s="26"/>
      <c r="F12" s="19">
        <f t="shared" si="0"/>
        <v>0</v>
      </c>
      <c r="G12" s="32">
        <v>1</v>
      </c>
      <c r="H12" s="24"/>
      <c r="I12" s="24">
        <v>1</v>
      </c>
      <c r="J12" s="24"/>
      <c r="K12" s="17">
        <f t="shared" si="1"/>
        <v>2</v>
      </c>
      <c r="L12" s="7">
        <f t="shared" si="2"/>
        <v>2</v>
      </c>
    </row>
    <row r="13" spans="1:12" ht="15.75" thickBot="1">
      <c r="A13" s="8">
        <v>4</v>
      </c>
      <c r="B13" s="23"/>
      <c r="C13" s="24"/>
      <c r="D13" s="24">
        <v>1</v>
      </c>
      <c r="E13" s="25"/>
      <c r="F13" s="19">
        <f t="shared" si="0"/>
        <v>1</v>
      </c>
      <c r="G13" s="33"/>
      <c r="H13" s="24"/>
      <c r="I13" s="24"/>
      <c r="J13" s="24"/>
      <c r="K13" s="17">
        <f t="shared" si="1"/>
        <v>0</v>
      </c>
      <c r="L13" s="7">
        <f t="shared" si="2"/>
        <v>1</v>
      </c>
    </row>
    <row r="14" spans="1:12" ht="15.75" thickBot="1">
      <c r="A14" s="8">
        <v>5</v>
      </c>
      <c r="B14" s="23"/>
      <c r="C14" s="24"/>
      <c r="D14" s="24"/>
      <c r="E14" s="25"/>
      <c r="F14" s="19">
        <f t="shared" si="0"/>
        <v>0</v>
      </c>
      <c r="G14" s="32">
        <v>1</v>
      </c>
      <c r="H14" s="24"/>
      <c r="I14" s="24"/>
      <c r="J14" s="24"/>
      <c r="K14" s="17">
        <f t="shared" si="1"/>
        <v>1</v>
      </c>
      <c r="L14" s="7">
        <f t="shared" si="2"/>
        <v>1</v>
      </c>
    </row>
    <row r="15" spans="1:12" ht="15.75" thickBot="1">
      <c r="A15" s="8">
        <v>6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>
      <c r="A16" s="8">
        <v>7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>
      <c r="A17" s="8">
        <v>8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>
      <c r="A18" s="8">
        <v>9</v>
      </c>
      <c r="B18" s="23"/>
      <c r="C18" s="24"/>
      <c r="D18" s="24"/>
      <c r="E18" s="25"/>
      <c r="F18" s="19">
        <f t="shared" si="0"/>
        <v>0</v>
      </c>
      <c r="G18" s="32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>
      <c r="A19" s="8">
        <v>10</v>
      </c>
      <c r="B19" s="23"/>
      <c r="C19" s="24"/>
      <c r="D19" s="24"/>
      <c r="E19" s="25"/>
      <c r="F19" s="19">
        <f t="shared" si="0"/>
        <v>0</v>
      </c>
      <c r="G19" s="34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>
      <c r="A20" s="8">
        <v>11</v>
      </c>
      <c r="B20" s="23"/>
      <c r="C20" s="24"/>
      <c r="D20" s="24"/>
      <c r="E20" s="25"/>
      <c r="F20" s="19">
        <f t="shared" si="0"/>
        <v>0</v>
      </c>
      <c r="G20" s="32">
        <v>1</v>
      </c>
      <c r="H20" s="24"/>
      <c r="I20" s="24"/>
      <c r="J20" s="24"/>
      <c r="K20" s="17">
        <f t="shared" si="1"/>
        <v>1</v>
      </c>
      <c r="L20" s="7">
        <f t="shared" si="2"/>
        <v>1</v>
      </c>
    </row>
    <row r="21" spans="1:12" ht="15.75" thickBot="1">
      <c r="A21" s="8">
        <v>12</v>
      </c>
      <c r="B21" s="23">
        <v>1</v>
      </c>
      <c r="C21" s="24"/>
      <c r="D21" s="24"/>
      <c r="E21" s="25"/>
      <c r="F21" s="19">
        <f t="shared" si="0"/>
        <v>1</v>
      </c>
      <c r="G21" s="32">
        <v>2</v>
      </c>
      <c r="H21" s="35"/>
      <c r="I21" s="35"/>
      <c r="J21" s="35"/>
      <c r="K21" s="17">
        <f t="shared" si="1"/>
        <v>2</v>
      </c>
      <c r="L21" s="7">
        <f t="shared" si="2"/>
        <v>3</v>
      </c>
    </row>
    <row r="22" spans="1:12" ht="15.75" thickBot="1">
      <c r="A22" s="8">
        <v>13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>
      <c r="A23" s="8">
        <v>14</v>
      </c>
      <c r="B23" s="23">
        <v>10</v>
      </c>
      <c r="C23" s="24"/>
      <c r="D23" s="24"/>
      <c r="E23" s="25"/>
      <c r="F23" s="19">
        <f t="shared" si="0"/>
        <v>10</v>
      </c>
      <c r="G23" s="36"/>
      <c r="H23" s="24"/>
      <c r="I23" s="24"/>
      <c r="J23" s="24"/>
      <c r="K23" s="17">
        <f t="shared" si="1"/>
        <v>0</v>
      </c>
      <c r="L23" s="7">
        <f t="shared" si="2"/>
        <v>10</v>
      </c>
    </row>
    <row r="24" spans="1:12" ht="15.75" thickBot="1">
      <c r="A24" s="8">
        <v>15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>
      <c r="A25" s="8">
        <v>16</v>
      </c>
      <c r="B25" s="23"/>
      <c r="C25" s="24"/>
      <c r="D25" s="24"/>
      <c r="E25" s="25"/>
      <c r="F25" s="19">
        <f t="shared" si="0"/>
        <v>0</v>
      </c>
      <c r="G25" s="32">
        <v>1</v>
      </c>
      <c r="H25" s="24"/>
      <c r="I25" s="24"/>
      <c r="J25" s="24"/>
      <c r="K25" s="17">
        <f t="shared" si="1"/>
        <v>1</v>
      </c>
      <c r="L25" s="7">
        <f t="shared" si="2"/>
        <v>1</v>
      </c>
    </row>
    <row r="26" spans="1:12" ht="15.75" thickBot="1">
      <c r="A26" s="8">
        <v>17</v>
      </c>
      <c r="B26" s="23"/>
      <c r="C26" s="49"/>
      <c r="D26" s="27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>
      <c r="A27" s="8">
        <v>18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>
      <c r="A28" s="8">
        <v>19</v>
      </c>
      <c r="B28" s="23"/>
      <c r="C28" s="24"/>
      <c r="D28" s="24">
        <v>1</v>
      </c>
      <c r="E28" s="25"/>
      <c r="F28" s="19">
        <f t="shared" si="0"/>
        <v>1</v>
      </c>
      <c r="G28" s="32"/>
      <c r="H28" s="24"/>
      <c r="I28" s="24"/>
      <c r="J28" s="24"/>
      <c r="K28" s="17">
        <f t="shared" si="1"/>
        <v>0</v>
      </c>
      <c r="L28" s="7">
        <f t="shared" si="2"/>
        <v>1</v>
      </c>
    </row>
    <row r="29" spans="1:12" ht="15.75" thickBot="1">
      <c r="A29" s="8">
        <v>20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>
      <c r="A30" s="8">
        <v>21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>
      <c r="A31" s="8">
        <v>22</v>
      </c>
      <c r="B31" s="23"/>
      <c r="C31" s="24"/>
      <c r="D31" s="24">
        <v>1</v>
      </c>
      <c r="E31" s="25"/>
      <c r="F31" s="19">
        <f t="shared" si="0"/>
        <v>1</v>
      </c>
      <c r="G31" s="32"/>
      <c r="H31" s="24"/>
      <c r="I31" s="24"/>
      <c r="J31" s="24"/>
      <c r="K31" s="17">
        <f t="shared" si="1"/>
        <v>0</v>
      </c>
      <c r="L31" s="7">
        <f t="shared" si="2"/>
        <v>1</v>
      </c>
    </row>
    <row r="32" spans="1:12" ht="15.75" thickBot="1">
      <c r="A32" s="8">
        <v>23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>
      <c r="A33" s="8">
        <v>24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>
      <c r="A34" s="8">
        <v>25</v>
      </c>
      <c r="B34" s="23">
        <v>3</v>
      </c>
      <c r="C34" s="24"/>
      <c r="D34" s="24"/>
      <c r="E34" s="25"/>
      <c r="F34" s="19">
        <f t="shared" si="0"/>
        <v>3</v>
      </c>
      <c r="G34" s="32"/>
      <c r="H34" s="24"/>
      <c r="I34" s="24"/>
      <c r="J34" s="24"/>
      <c r="K34" s="17">
        <f t="shared" si="1"/>
        <v>0</v>
      </c>
      <c r="L34" s="7">
        <f t="shared" si="2"/>
        <v>3</v>
      </c>
    </row>
    <row r="35" spans="1:12" ht="15.75" thickBot="1">
      <c r="A35" s="8">
        <v>26</v>
      </c>
      <c r="B35" s="23"/>
      <c r="C35" s="24"/>
      <c r="D35" s="24"/>
      <c r="E35" s="25"/>
      <c r="F35" s="19">
        <f t="shared" si="0"/>
        <v>0</v>
      </c>
      <c r="G35" s="32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>
      <c r="A36" s="8">
        <v>27</v>
      </c>
      <c r="B36" s="46"/>
      <c r="C36" s="24"/>
      <c r="D36" s="24"/>
      <c r="E36" s="25"/>
      <c r="F36" s="19">
        <f t="shared" si="0"/>
        <v>0</v>
      </c>
      <c r="G36" s="47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>
      <c r="A37" s="8">
        <v>28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>
      <c r="A38" s="8">
        <v>29</v>
      </c>
      <c r="B38" s="23">
        <v>11</v>
      </c>
      <c r="C38" s="24"/>
      <c r="D38" s="24"/>
      <c r="E38" s="25"/>
      <c r="F38" s="19">
        <f t="shared" si="0"/>
        <v>11</v>
      </c>
      <c r="G38" s="32">
        <v>2</v>
      </c>
      <c r="H38" s="24"/>
      <c r="I38" s="24"/>
      <c r="J38" s="24"/>
      <c r="K38" s="17">
        <f t="shared" si="1"/>
        <v>2</v>
      </c>
      <c r="L38" s="7">
        <f t="shared" si="2"/>
        <v>13</v>
      </c>
    </row>
    <row r="39" spans="1:12" ht="15.75" thickBot="1">
      <c r="A39" s="8">
        <v>30</v>
      </c>
      <c r="B39" s="23"/>
      <c r="C39" s="24"/>
      <c r="D39" s="24"/>
      <c r="E39" s="25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>
      <c r="A40" s="9">
        <v>31</v>
      </c>
      <c r="B40" s="28"/>
      <c r="C40" s="29"/>
      <c r="D40" s="29"/>
      <c r="E40" s="30"/>
      <c r="F40" s="19">
        <f t="shared" si="0"/>
        <v>0</v>
      </c>
      <c r="G40" s="32"/>
      <c r="H40" s="24"/>
      <c r="I40" s="24"/>
      <c r="J40" s="24"/>
      <c r="K40" s="17">
        <f t="shared" si="1"/>
        <v>0</v>
      </c>
      <c r="L40" s="7">
        <f t="shared" si="2"/>
        <v>0</v>
      </c>
    </row>
    <row r="41" spans="1:12" ht="15.75" thickBot="1">
      <c r="A41" s="10"/>
      <c r="B41" s="54">
        <f>SUM(B10:B40)</f>
        <v>27</v>
      </c>
      <c r="C41" s="54">
        <f t="shared" ref="C41:E41" si="3">SUM(C10:C40)</f>
        <v>0</v>
      </c>
      <c r="D41" s="54">
        <f t="shared" si="3"/>
        <v>3</v>
      </c>
      <c r="E41" s="54">
        <f t="shared" si="3"/>
        <v>0</v>
      </c>
      <c r="F41" s="53">
        <f>SUM(F10:F40)</f>
        <v>30</v>
      </c>
      <c r="G41" s="18">
        <f>SUM(G10:G40)</f>
        <v>9</v>
      </c>
      <c r="H41" s="18">
        <f t="shared" ref="H41:L41" si="4">SUM(H10:H40)</f>
        <v>0</v>
      </c>
      <c r="I41" s="18">
        <f t="shared" si="4"/>
        <v>1</v>
      </c>
      <c r="J41" s="18">
        <f t="shared" si="4"/>
        <v>0</v>
      </c>
      <c r="K41" s="18">
        <f t="shared" si="4"/>
        <v>10</v>
      </c>
      <c r="L41" s="18">
        <f t="shared" si="4"/>
        <v>40</v>
      </c>
    </row>
    <row r="42" spans="1:12" ht="15.75" thickBot="1">
      <c r="A42" s="12"/>
      <c r="B42" s="12"/>
      <c r="C42" s="13"/>
      <c r="D42" s="13"/>
      <c r="E42" s="13"/>
      <c r="F42" s="12"/>
      <c r="G42" s="12"/>
      <c r="H42" s="13"/>
      <c r="I42" s="13"/>
      <c r="J42" s="13"/>
      <c r="K42" s="12"/>
      <c r="L42" s="14"/>
    </row>
    <row r="43" spans="1:12" ht="15.75" thickBot="1">
      <c r="A43" s="119"/>
      <c r="B43" s="119"/>
      <c r="C43" s="119"/>
      <c r="D43" s="119"/>
      <c r="E43" s="119"/>
      <c r="F43" s="119"/>
      <c r="G43" s="120" t="s">
        <v>17</v>
      </c>
      <c r="H43" s="151"/>
      <c r="I43" s="120" t="s">
        <v>18</v>
      </c>
      <c r="J43" s="122"/>
      <c r="K43" s="55"/>
      <c r="L43" s="56"/>
    </row>
    <row r="44" spans="1:12" ht="15.75" thickBot="1">
      <c r="A44" s="15"/>
      <c r="B44" s="106" t="s">
        <v>19</v>
      </c>
      <c r="C44" s="107"/>
      <c r="D44" s="107"/>
      <c r="E44" s="107"/>
      <c r="F44" s="107"/>
      <c r="G44" s="117">
        <v>64</v>
      </c>
      <c r="H44" s="162"/>
      <c r="I44" s="163"/>
      <c r="J44" s="164"/>
      <c r="K44" s="55"/>
      <c r="L44" s="56"/>
    </row>
    <row r="45" spans="1:12" ht="15.75" thickBot="1">
      <c r="A45" s="15"/>
      <c r="B45" s="106" t="s">
        <v>20</v>
      </c>
      <c r="C45" s="107"/>
      <c r="D45" s="107"/>
      <c r="E45" s="107"/>
      <c r="F45" s="107"/>
      <c r="G45" s="108">
        <v>235</v>
      </c>
      <c r="H45" s="165"/>
      <c r="I45" s="108"/>
      <c r="J45" s="109"/>
      <c r="K45" s="55"/>
      <c r="L45" s="56"/>
    </row>
    <row r="46" spans="1:12" ht="15.75" thickBot="1">
      <c r="A46" s="15"/>
      <c r="B46" s="114" t="s">
        <v>21</v>
      </c>
      <c r="C46" s="114"/>
      <c r="D46" s="114"/>
      <c r="E46" s="114"/>
      <c r="F46" s="106"/>
      <c r="G46" s="115">
        <v>2</v>
      </c>
      <c r="H46" s="166"/>
      <c r="I46" s="108"/>
      <c r="J46" s="109"/>
      <c r="K46" s="55"/>
      <c r="L46" s="56"/>
    </row>
    <row r="47" spans="1:12" ht="15.75" thickBot="1">
      <c r="A47" s="15"/>
      <c r="B47" s="106" t="s">
        <v>22</v>
      </c>
      <c r="C47" s="107"/>
      <c r="D47" s="107"/>
      <c r="E47" s="107"/>
      <c r="F47" s="107"/>
      <c r="G47" s="113">
        <f>L41+G46</f>
        <v>42</v>
      </c>
      <c r="H47" s="165"/>
      <c r="I47" s="108"/>
      <c r="J47" s="109"/>
      <c r="K47" s="55"/>
      <c r="L47" s="56"/>
    </row>
    <row r="48" spans="1:12" ht="15.75" thickBot="1">
      <c r="A48" s="4"/>
      <c r="B48" s="106" t="s">
        <v>23</v>
      </c>
      <c r="C48" s="107"/>
      <c r="D48" s="107"/>
      <c r="E48" s="107"/>
      <c r="F48" s="107"/>
      <c r="G48" s="113">
        <f>G44+G45-G47</f>
        <v>257</v>
      </c>
      <c r="H48" s="165"/>
      <c r="I48" s="108"/>
      <c r="J48" s="109"/>
      <c r="K48" s="55"/>
      <c r="L48" s="57"/>
    </row>
    <row r="49" spans="1:12" ht="15.75" thickBot="1">
      <c r="A49" s="4"/>
      <c r="B49" s="106" t="s">
        <v>24</v>
      </c>
      <c r="C49" s="107"/>
      <c r="D49" s="107"/>
      <c r="E49" s="107"/>
      <c r="F49" s="107"/>
      <c r="G49" s="108">
        <v>257</v>
      </c>
      <c r="H49" s="165"/>
      <c r="I49" s="108"/>
      <c r="J49" s="109"/>
      <c r="K49" s="55"/>
      <c r="L49" s="57"/>
    </row>
    <row r="50" spans="1:12" ht="15.75" thickBot="1">
      <c r="A50" s="4"/>
      <c r="B50" s="106" t="s">
        <v>25</v>
      </c>
      <c r="C50" s="107"/>
      <c r="D50" s="107"/>
      <c r="E50" s="107"/>
      <c r="F50" s="107"/>
      <c r="G50" s="110">
        <f>G48-G49</f>
        <v>0</v>
      </c>
      <c r="H50" s="167"/>
      <c r="I50" s="112"/>
      <c r="J50" s="111"/>
      <c r="K50" s="55"/>
      <c r="L50" s="57"/>
    </row>
    <row r="51" spans="1:12">
      <c r="A51" s="5" t="s">
        <v>26</v>
      </c>
      <c r="B51" s="38"/>
      <c r="C51" s="44"/>
      <c r="D51" s="44"/>
      <c r="E51" s="44"/>
      <c r="F51" s="38"/>
      <c r="G51" s="38"/>
      <c r="H51" s="44"/>
      <c r="I51" s="45" t="s">
        <v>27</v>
      </c>
      <c r="J51" s="44"/>
      <c r="K51" s="38"/>
      <c r="L51" s="1"/>
    </row>
  </sheetData>
  <sheetProtection sheet="1" objects="1" scenarios="1"/>
  <mergeCells count="36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6:L6"/>
    <mergeCell ref="H7:I7"/>
    <mergeCell ref="A8:A9"/>
    <mergeCell ref="B8:F8"/>
    <mergeCell ref="G8:K8"/>
    <mergeCell ref="L8:L9"/>
    <mergeCell ref="A5:L5"/>
    <mergeCell ref="A1:D1"/>
    <mergeCell ref="G1:L1"/>
    <mergeCell ref="A2:D2"/>
    <mergeCell ref="G2:L2"/>
    <mergeCell ref="A3:D3"/>
  </mergeCells>
  <pageMargins left="0" right="0" top="0.35433070866141736" bottom="0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4"/>
  <sheetViews>
    <sheetView tabSelected="1" topLeftCell="A37" workbookViewId="0">
      <selection activeCell="G47" sqref="G47:H47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26" t="s">
        <v>0</v>
      </c>
      <c r="B1" s="126"/>
      <c r="C1" s="126"/>
      <c r="D1" s="126"/>
      <c r="E1" s="37"/>
      <c r="F1" s="38"/>
      <c r="G1" s="127" t="s">
        <v>1</v>
      </c>
      <c r="H1" s="127"/>
      <c r="I1" s="127"/>
      <c r="J1" s="127"/>
      <c r="K1" s="127"/>
      <c r="L1" s="127"/>
    </row>
    <row r="2" spans="1:12" ht="15.75">
      <c r="A2" s="127" t="s">
        <v>2</v>
      </c>
      <c r="B2" s="127"/>
      <c r="C2" s="127"/>
      <c r="D2" s="127"/>
      <c r="E2" s="37"/>
      <c r="F2" s="38"/>
      <c r="G2" s="138" t="s">
        <v>3</v>
      </c>
      <c r="H2" s="138"/>
      <c r="I2" s="138"/>
      <c r="J2" s="138"/>
      <c r="K2" s="138"/>
      <c r="L2" s="138"/>
    </row>
    <row r="3" spans="1:12">
      <c r="A3" s="138" t="s">
        <v>4</v>
      </c>
      <c r="B3" s="138"/>
      <c r="C3" s="138"/>
      <c r="D3" s="138"/>
      <c r="E3" s="37"/>
      <c r="F3" s="38"/>
      <c r="G3" s="38"/>
      <c r="H3" s="37"/>
      <c r="I3" s="37"/>
      <c r="J3" s="37"/>
      <c r="K3" s="38"/>
      <c r="L3" s="1"/>
    </row>
    <row r="4" spans="1:12">
      <c r="A4" s="58"/>
      <c r="B4" s="38"/>
      <c r="C4" s="37"/>
      <c r="D4" s="37"/>
      <c r="E4" s="37"/>
      <c r="F4" s="38"/>
      <c r="G4" s="38"/>
      <c r="H4" s="37"/>
      <c r="I4" s="37"/>
      <c r="J4" s="37"/>
      <c r="K4" s="38"/>
      <c r="L4" s="1"/>
    </row>
    <row r="5" spans="1:12" ht="18">
      <c r="A5" s="126" t="s">
        <v>5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15.75">
      <c r="A6" s="127" t="s">
        <v>35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</row>
    <row r="7" spans="1:12" ht="15.75" thickBot="1">
      <c r="A7" s="2" t="s">
        <v>6</v>
      </c>
      <c r="B7" s="12"/>
      <c r="C7" s="13"/>
      <c r="D7" s="13"/>
      <c r="E7" s="13"/>
      <c r="F7" s="12"/>
      <c r="G7" s="12"/>
      <c r="H7" s="129"/>
      <c r="I7" s="129"/>
      <c r="J7" s="13"/>
      <c r="K7" s="39"/>
      <c r="L7" s="3"/>
    </row>
    <row r="8" spans="1:12">
      <c r="A8" s="130" t="s">
        <v>7</v>
      </c>
      <c r="B8" s="132" t="s">
        <v>8</v>
      </c>
      <c r="C8" s="133"/>
      <c r="D8" s="133"/>
      <c r="E8" s="133"/>
      <c r="F8" s="134"/>
      <c r="G8" s="135" t="s">
        <v>9</v>
      </c>
      <c r="H8" s="133"/>
      <c r="I8" s="133"/>
      <c r="J8" s="133"/>
      <c r="K8" s="134"/>
      <c r="L8" s="136" t="s">
        <v>10</v>
      </c>
    </row>
    <row r="9" spans="1:12" ht="15.75" thickBot="1">
      <c r="A9" s="131"/>
      <c r="B9" s="40" t="s">
        <v>11</v>
      </c>
      <c r="C9" s="41" t="s">
        <v>12</v>
      </c>
      <c r="D9" s="41" t="s">
        <v>13</v>
      </c>
      <c r="E9" s="41" t="s">
        <v>14</v>
      </c>
      <c r="F9" s="42" t="s">
        <v>15</v>
      </c>
      <c r="G9" s="43" t="s">
        <v>11</v>
      </c>
      <c r="H9" s="41" t="s">
        <v>12</v>
      </c>
      <c r="I9" s="41" t="s">
        <v>13</v>
      </c>
      <c r="J9" s="41" t="s">
        <v>14</v>
      </c>
      <c r="K9" s="42" t="s">
        <v>16</v>
      </c>
      <c r="L9" s="137"/>
    </row>
    <row r="10" spans="1:12" ht="15.75" thickBot="1">
      <c r="A10" s="6">
        <v>1</v>
      </c>
      <c r="B10" s="20">
        <v>3</v>
      </c>
      <c r="C10" s="21"/>
      <c r="D10" s="21"/>
      <c r="E10" s="22"/>
      <c r="F10" s="19">
        <f>SUM(B10:E10)</f>
        <v>3</v>
      </c>
      <c r="G10" s="48">
        <v>2</v>
      </c>
      <c r="H10" s="31"/>
      <c r="I10" s="31"/>
      <c r="J10" s="31"/>
      <c r="K10" s="17">
        <f>SUM(G10:J10)</f>
        <v>2</v>
      </c>
      <c r="L10" s="7">
        <f>SUM(F10+K10)</f>
        <v>5</v>
      </c>
    </row>
    <row r="11" spans="1:12" ht="15.75" thickBot="1">
      <c r="A11" s="8">
        <v>2</v>
      </c>
      <c r="B11" s="23">
        <v>1</v>
      </c>
      <c r="C11" s="24"/>
      <c r="D11" s="24"/>
      <c r="E11" s="25"/>
      <c r="F11" s="19">
        <f t="shared" ref="F11:F40" si="0">SUM(B11:E11)</f>
        <v>1</v>
      </c>
      <c r="G11" s="32">
        <v>1</v>
      </c>
      <c r="H11" s="24"/>
      <c r="I11" s="24"/>
      <c r="J11" s="24"/>
      <c r="K11" s="17">
        <f t="shared" ref="K11:K40" si="1">SUM(G11:J11)</f>
        <v>1</v>
      </c>
      <c r="L11" s="7">
        <f t="shared" ref="L11:L40" si="2">SUM(F11+K11)</f>
        <v>2</v>
      </c>
    </row>
    <row r="12" spans="1:12" ht="15.75" thickBot="1">
      <c r="A12" s="8">
        <v>3</v>
      </c>
      <c r="B12" s="23"/>
      <c r="C12" s="24"/>
      <c r="D12" s="24"/>
      <c r="E12" s="26"/>
      <c r="F12" s="19">
        <f t="shared" si="0"/>
        <v>0</v>
      </c>
      <c r="G12" s="32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>
      <c r="A13" s="8">
        <v>4</v>
      </c>
      <c r="B13" s="23"/>
      <c r="C13" s="24"/>
      <c r="D13" s="24"/>
      <c r="E13" s="25"/>
      <c r="F13" s="19">
        <f t="shared" si="0"/>
        <v>0</v>
      </c>
      <c r="G13" s="33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>
      <c r="A14" s="8">
        <v>5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>
      <c r="A15" s="8">
        <v>6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>
      <c r="A16" s="8">
        <v>7</v>
      </c>
      <c r="B16" s="23"/>
      <c r="C16" s="24"/>
      <c r="D16" s="24"/>
      <c r="E16" s="25"/>
      <c r="F16" s="19">
        <f t="shared" si="0"/>
        <v>0</v>
      </c>
      <c r="G16" s="32">
        <v>2</v>
      </c>
      <c r="H16" s="24"/>
      <c r="I16" s="24"/>
      <c r="J16" s="24"/>
      <c r="K16" s="17">
        <f t="shared" si="1"/>
        <v>2</v>
      </c>
      <c r="L16" s="7">
        <f t="shared" si="2"/>
        <v>2</v>
      </c>
    </row>
    <row r="17" spans="1:12" ht="15.75" thickBot="1">
      <c r="A17" s="8">
        <v>8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>
      <c r="A18" s="8">
        <v>9</v>
      </c>
      <c r="B18" s="23"/>
      <c r="C18" s="24"/>
      <c r="D18" s="24">
        <v>1</v>
      </c>
      <c r="E18" s="25"/>
      <c r="F18" s="19">
        <f t="shared" si="0"/>
        <v>1</v>
      </c>
      <c r="G18" s="32">
        <v>3</v>
      </c>
      <c r="H18" s="24"/>
      <c r="I18" s="24"/>
      <c r="J18" s="24"/>
      <c r="K18" s="17">
        <f t="shared" si="1"/>
        <v>3</v>
      </c>
      <c r="L18" s="7">
        <f t="shared" si="2"/>
        <v>4</v>
      </c>
    </row>
    <row r="19" spans="1:12" ht="15.75" thickBot="1">
      <c r="A19" s="8">
        <v>10</v>
      </c>
      <c r="B19" s="23"/>
      <c r="C19" s="24"/>
      <c r="D19" s="24"/>
      <c r="E19" s="25"/>
      <c r="F19" s="19">
        <f t="shared" si="0"/>
        <v>0</v>
      </c>
      <c r="G19" s="34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>
      <c r="A20" s="8">
        <v>11</v>
      </c>
      <c r="B20" s="23">
        <v>2</v>
      </c>
      <c r="C20" s="24"/>
      <c r="D20" s="24"/>
      <c r="E20" s="25"/>
      <c r="F20" s="19">
        <f t="shared" si="0"/>
        <v>2</v>
      </c>
      <c r="G20" s="32"/>
      <c r="H20" s="24"/>
      <c r="I20" s="24"/>
      <c r="J20" s="24"/>
      <c r="K20" s="17">
        <f t="shared" si="1"/>
        <v>0</v>
      </c>
      <c r="L20" s="7">
        <f t="shared" si="2"/>
        <v>2</v>
      </c>
    </row>
    <row r="21" spans="1:12" ht="15.75" thickBot="1">
      <c r="A21" s="8">
        <v>12</v>
      </c>
      <c r="B21" s="23"/>
      <c r="C21" s="24"/>
      <c r="D21" s="24"/>
      <c r="E21" s="25"/>
      <c r="F21" s="19">
        <f t="shared" si="0"/>
        <v>0</v>
      </c>
      <c r="G21" s="32"/>
      <c r="H21" s="35"/>
      <c r="I21" s="35"/>
      <c r="J21" s="35"/>
      <c r="K21" s="17">
        <f t="shared" si="1"/>
        <v>0</v>
      </c>
      <c r="L21" s="7">
        <f t="shared" si="2"/>
        <v>0</v>
      </c>
    </row>
    <row r="22" spans="1:12" ht="15.75" thickBot="1">
      <c r="A22" s="8">
        <v>13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>
      <c r="A23" s="8">
        <v>14</v>
      </c>
      <c r="B23" s="23">
        <v>8</v>
      </c>
      <c r="C23" s="24"/>
      <c r="D23" s="24"/>
      <c r="E23" s="25"/>
      <c r="F23" s="19">
        <f t="shared" si="0"/>
        <v>8</v>
      </c>
      <c r="G23" s="36">
        <v>2</v>
      </c>
      <c r="H23" s="24"/>
      <c r="I23" s="24"/>
      <c r="J23" s="24"/>
      <c r="K23" s="17">
        <f t="shared" si="1"/>
        <v>2</v>
      </c>
      <c r="L23" s="7">
        <f t="shared" si="2"/>
        <v>10</v>
      </c>
    </row>
    <row r="24" spans="1:12" ht="15.75" thickBot="1">
      <c r="A24" s="8">
        <v>15</v>
      </c>
      <c r="B24" s="23">
        <v>1</v>
      </c>
      <c r="C24" s="24"/>
      <c r="D24" s="24">
        <v>1</v>
      </c>
      <c r="E24" s="25"/>
      <c r="F24" s="19">
        <f t="shared" si="0"/>
        <v>2</v>
      </c>
      <c r="G24" s="32"/>
      <c r="H24" s="24"/>
      <c r="I24" s="24"/>
      <c r="J24" s="24"/>
      <c r="K24" s="17">
        <f t="shared" si="1"/>
        <v>0</v>
      </c>
      <c r="L24" s="7">
        <f t="shared" si="2"/>
        <v>2</v>
      </c>
    </row>
    <row r="25" spans="1:12" ht="15.75" thickBot="1">
      <c r="A25" s="8">
        <v>16</v>
      </c>
      <c r="B25" s="23"/>
      <c r="C25" s="24">
        <v>1</v>
      </c>
      <c r="D25" s="24"/>
      <c r="E25" s="25"/>
      <c r="F25" s="19">
        <f t="shared" si="0"/>
        <v>1</v>
      </c>
      <c r="G25" s="32"/>
      <c r="H25" s="24"/>
      <c r="I25" s="24"/>
      <c r="J25" s="24"/>
      <c r="K25" s="17">
        <f t="shared" si="1"/>
        <v>0</v>
      </c>
      <c r="L25" s="7">
        <f t="shared" si="2"/>
        <v>1</v>
      </c>
    </row>
    <row r="26" spans="1:12" ht="15.75" thickBot="1">
      <c r="A26" s="8">
        <v>17</v>
      </c>
      <c r="B26" s="23"/>
      <c r="C26" s="49"/>
      <c r="D26" s="27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>
      <c r="A27" s="8">
        <v>18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>
      <c r="A28" s="8">
        <v>19</v>
      </c>
      <c r="B28" s="23">
        <v>1</v>
      </c>
      <c r="C28" s="24"/>
      <c r="D28" s="24"/>
      <c r="E28" s="25"/>
      <c r="F28" s="19">
        <f t="shared" si="0"/>
        <v>1</v>
      </c>
      <c r="G28" s="32"/>
      <c r="H28" s="24"/>
      <c r="I28" s="24"/>
      <c r="J28" s="24"/>
      <c r="K28" s="17">
        <f t="shared" si="1"/>
        <v>0</v>
      </c>
      <c r="L28" s="7">
        <f t="shared" si="2"/>
        <v>1</v>
      </c>
    </row>
    <row r="29" spans="1:12" ht="15.75" thickBot="1">
      <c r="A29" s="8">
        <v>20</v>
      </c>
      <c r="B29" s="23">
        <v>1</v>
      </c>
      <c r="C29" s="24"/>
      <c r="D29" s="24"/>
      <c r="E29" s="25"/>
      <c r="F29" s="19">
        <f t="shared" si="0"/>
        <v>1</v>
      </c>
      <c r="G29" s="32"/>
      <c r="H29" s="24"/>
      <c r="I29" s="24"/>
      <c r="J29" s="24"/>
      <c r="K29" s="17">
        <f t="shared" si="1"/>
        <v>0</v>
      </c>
      <c r="L29" s="7">
        <f t="shared" si="2"/>
        <v>1</v>
      </c>
    </row>
    <row r="30" spans="1:12" ht="15.75" thickBot="1">
      <c r="A30" s="8">
        <v>21</v>
      </c>
      <c r="B30" s="23">
        <v>1</v>
      </c>
      <c r="C30" s="24"/>
      <c r="D30" s="24"/>
      <c r="E30" s="25"/>
      <c r="F30" s="19">
        <f t="shared" si="0"/>
        <v>1</v>
      </c>
      <c r="G30" s="32">
        <v>1</v>
      </c>
      <c r="H30" s="24"/>
      <c r="I30" s="24"/>
      <c r="J30" s="24"/>
      <c r="K30" s="17">
        <f t="shared" si="1"/>
        <v>1</v>
      </c>
      <c r="L30" s="7">
        <f t="shared" si="2"/>
        <v>2</v>
      </c>
    </row>
    <row r="31" spans="1:12" ht="15.75" thickBot="1">
      <c r="A31" s="8">
        <v>22</v>
      </c>
      <c r="B31" s="23">
        <v>1</v>
      </c>
      <c r="C31" s="24"/>
      <c r="D31" s="24"/>
      <c r="E31" s="62">
        <v>1</v>
      </c>
      <c r="F31" s="19">
        <f t="shared" si="0"/>
        <v>2</v>
      </c>
      <c r="G31" s="32">
        <v>3</v>
      </c>
      <c r="H31" s="24"/>
      <c r="I31" s="24"/>
      <c r="J31" s="24"/>
      <c r="K31" s="17">
        <f t="shared" si="1"/>
        <v>3</v>
      </c>
      <c r="L31" s="7">
        <f t="shared" si="2"/>
        <v>5</v>
      </c>
    </row>
    <row r="32" spans="1:12" ht="15.75" thickBot="1">
      <c r="A32" s="8">
        <v>23</v>
      </c>
      <c r="B32" s="23"/>
      <c r="C32" s="24"/>
      <c r="D32" s="24"/>
      <c r="E32" s="25"/>
      <c r="F32" s="19">
        <f t="shared" si="0"/>
        <v>0</v>
      </c>
      <c r="G32" s="32">
        <v>15</v>
      </c>
      <c r="H32" s="24"/>
      <c r="I32" s="24">
        <v>1</v>
      </c>
      <c r="J32" s="24"/>
      <c r="K32" s="17">
        <f t="shared" si="1"/>
        <v>16</v>
      </c>
      <c r="L32" s="7">
        <f t="shared" si="2"/>
        <v>16</v>
      </c>
    </row>
    <row r="33" spans="1:12" ht="15.75" thickBot="1">
      <c r="A33" s="8">
        <v>24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>
      <c r="A34" s="8">
        <v>25</v>
      </c>
      <c r="B34" s="23"/>
      <c r="C34" s="24"/>
      <c r="D34" s="24"/>
      <c r="E34" s="25"/>
      <c r="F34" s="19">
        <f t="shared" si="0"/>
        <v>0</v>
      </c>
      <c r="G34" s="32">
        <v>9</v>
      </c>
      <c r="H34" s="24"/>
      <c r="I34" s="24"/>
      <c r="J34" s="24"/>
      <c r="K34" s="17">
        <f t="shared" si="1"/>
        <v>9</v>
      </c>
      <c r="L34" s="7">
        <f t="shared" si="2"/>
        <v>9</v>
      </c>
    </row>
    <row r="35" spans="1:12" ht="15.75" thickBot="1">
      <c r="A35" s="8">
        <v>26</v>
      </c>
      <c r="B35" s="23">
        <v>1</v>
      </c>
      <c r="C35" s="24"/>
      <c r="D35" s="24"/>
      <c r="E35" s="25"/>
      <c r="F35" s="19">
        <f t="shared" si="0"/>
        <v>1</v>
      </c>
      <c r="G35" s="32"/>
      <c r="H35" s="24"/>
      <c r="I35" s="24">
        <v>1</v>
      </c>
      <c r="J35" s="24"/>
      <c r="K35" s="17">
        <f t="shared" si="1"/>
        <v>1</v>
      </c>
      <c r="L35" s="7">
        <f t="shared" si="2"/>
        <v>2</v>
      </c>
    </row>
    <row r="36" spans="1:12" ht="15.75" thickBot="1">
      <c r="A36" s="8">
        <v>27</v>
      </c>
      <c r="B36" s="46"/>
      <c r="C36" s="24"/>
      <c r="D36" s="24"/>
      <c r="E36" s="25"/>
      <c r="F36" s="19">
        <f t="shared" si="0"/>
        <v>0</v>
      </c>
      <c r="G36" s="47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>
      <c r="A37" s="8">
        <v>28</v>
      </c>
      <c r="B37" s="23"/>
      <c r="C37" s="24">
        <v>2</v>
      </c>
      <c r="D37" s="24">
        <v>1</v>
      </c>
      <c r="E37" s="25"/>
      <c r="F37" s="19">
        <f t="shared" si="0"/>
        <v>3</v>
      </c>
      <c r="G37" s="32"/>
      <c r="H37" s="24"/>
      <c r="I37" s="24"/>
      <c r="J37" s="24"/>
      <c r="K37" s="17">
        <f t="shared" si="1"/>
        <v>0</v>
      </c>
      <c r="L37" s="7">
        <f t="shared" si="2"/>
        <v>3</v>
      </c>
    </row>
    <row r="38" spans="1:12" ht="15.75" thickBot="1">
      <c r="A38" s="8">
        <v>29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>
      <c r="A39" s="8">
        <v>30</v>
      </c>
      <c r="B39" s="23"/>
      <c r="C39" s="24"/>
      <c r="D39" s="24"/>
      <c r="E39" s="25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>
      <c r="A40" s="9">
        <v>31</v>
      </c>
      <c r="B40" s="28"/>
      <c r="C40" s="29"/>
      <c r="D40" s="29"/>
      <c r="E40" s="30"/>
      <c r="F40" s="19">
        <f t="shared" si="0"/>
        <v>0</v>
      </c>
      <c r="G40" s="32"/>
      <c r="H40" s="24"/>
      <c r="I40" s="24"/>
      <c r="J40" s="24"/>
      <c r="K40" s="17">
        <f t="shared" si="1"/>
        <v>0</v>
      </c>
      <c r="L40" s="7">
        <f t="shared" si="2"/>
        <v>0</v>
      </c>
    </row>
    <row r="41" spans="1:12" ht="15.75" thickBot="1">
      <c r="A41" s="61"/>
      <c r="B41" s="60">
        <f>SUM(B10:B40)</f>
        <v>20</v>
      </c>
      <c r="C41" s="60">
        <f t="shared" ref="C41:E41" si="3">SUM(C10:C40)</f>
        <v>3</v>
      </c>
      <c r="D41" s="60">
        <f t="shared" si="3"/>
        <v>3</v>
      </c>
      <c r="E41" s="60">
        <f t="shared" si="3"/>
        <v>1</v>
      </c>
      <c r="F41" s="59">
        <f>SUM(F10:F40)</f>
        <v>27</v>
      </c>
      <c r="G41" s="18">
        <f>SUM(G10:G40)</f>
        <v>38</v>
      </c>
      <c r="H41" s="18">
        <f t="shared" ref="H41:L41" si="4">SUM(H10:H40)</f>
        <v>0</v>
      </c>
      <c r="I41" s="18">
        <f t="shared" si="4"/>
        <v>2</v>
      </c>
      <c r="J41" s="18">
        <f t="shared" si="4"/>
        <v>0</v>
      </c>
      <c r="K41" s="18">
        <f t="shared" si="4"/>
        <v>40</v>
      </c>
      <c r="L41" s="18">
        <f t="shared" si="4"/>
        <v>67</v>
      </c>
    </row>
    <row r="42" spans="1:12" ht="15.75" thickBot="1">
      <c r="A42" s="12"/>
      <c r="B42" s="12"/>
      <c r="C42" s="13"/>
      <c r="D42" s="13"/>
      <c r="E42" s="13"/>
      <c r="F42" s="12"/>
      <c r="G42" s="12"/>
      <c r="H42" s="13"/>
      <c r="I42" s="13"/>
      <c r="J42" s="13"/>
      <c r="K42" s="12"/>
      <c r="L42" s="14"/>
    </row>
    <row r="43" spans="1:12" ht="15.75" thickBot="1">
      <c r="A43" s="119"/>
      <c r="B43" s="119"/>
      <c r="C43" s="119"/>
      <c r="D43" s="119"/>
      <c r="E43" s="119"/>
      <c r="F43" s="119"/>
      <c r="G43" s="120" t="s">
        <v>17</v>
      </c>
      <c r="H43" s="151"/>
      <c r="I43" s="120" t="s">
        <v>18</v>
      </c>
      <c r="J43" s="122"/>
      <c r="K43" s="55"/>
      <c r="L43" s="56"/>
    </row>
    <row r="44" spans="1:12" ht="15.75" thickBot="1">
      <c r="A44" s="15"/>
      <c r="B44" s="106" t="s">
        <v>19</v>
      </c>
      <c r="C44" s="107"/>
      <c r="D44" s="107"/>
      <c r="E44" s="107"/>
      <c r="F44" s="107"/>
      <c r="G44" s="117">
        <v>257</v>
      </c>
      <c r="H44" s="162"/>
      <c r="I44" s="163"/>
      <c r="J44" s="164"/>
      <c r="K44" s="55"/>
      <c r="L44" s="56"/>
    </row>
    <row r="45" spans="1:12" ht="15.75" thickBot="1">
      <c r="A45" s="15"/>
      <c r="B45" s="106" t="s">
        <v>20</v>
      </c>
      <c r="C45" s="107"/>
      <c r="D45" s="107"/>
      <c r="E45" s="107"/>
      <c r="F45" s="107"/>
      <c r="G45" s="108">
        <v>204</v>
      </c>
      <c r="H45" s="165"/>
      <c r="I45" s="108"/>
      <c r="J45" s="109"/>
      <c r="K45" s="55"/>
      <c r="L45" s="56"/>
    </row>
    <row r="46" spans="1:12" ht="15.75" thickBot="1">
      <c r="A46" s="15"/>
      <c r="B46" s="114" t="s">
        <v>21</v>
      </c>
      <c r="C46" s="114"/>
      <c r="D46" s="114"/>
      <c r="E46" s="114"/>
      <c r="F46" s="106"/>
      <c r="G46" s="115">
        <v>263</v>
      </c>
      <c r="H46" s="166"/>
      <c r="I46" s="108"/>
      <c r="J46" s="109"/>
      <c r="K46" s="55"/>
      <c r="L46" s="56"/>
    </row>
    <row r="47" spans="1:12" ht="15.75" thickBot="1">
      <c r="A47" s="15"/>
      <c r="B47" s="106" t="s">
        <v>22</v>
      </c>
      <c r="C47" s="107"/>
      <c r="D47" s="107"/>
      <c r="E47" s="107"/>
      <c r="F47" s="107"/>
      <c r="G47" s="113">
        <f>L41+G46</f>
        <v>330</v>
      </c>
      <c r="H47" s="165"/>
      <c r="I47" s="108"/>
      <c r="J47" s="109"/>
      <c r="K47" s="55"/>
      <c r="L47" s="56"/>
    </row>
    <row r="48" spans="1:12" ht="15.75" thickBot="1">
      <c r="A48" s="4"/>
      <c r="B48" s="106" t="s">
        <v>23</v>
      </c>
      <c r="C48" s="107"/>
      <c r="D48" s="107"/>
      <c r="E48" s="107"/>
      <c r="F48" s="107"/>
      <c r="G48" s="113">
        <f>G44+G45-G47</f>
        <v>131</v>
      </c>
      <c r="H48" s="165"/>
      <c r="I48" s="108"/>
      <c r="J48" s="109"/>
      <c r="K48" s="55"/>
      <c r="L48" s="57"/>
    </row>
    <row r="49" spans="1:12" ht="15.75" thickBot="1">
      <c r="A49" s="4"/>
      <c r="B49" s="106" t="s">
        <v>24</v>
      </c>
      <c r="C49" s="107"/>
      <c r="D49" s="107"/>
      <c r="E49" s="107"/>
      <c r="F49" s="107"/>
      <c r="G49" s="168">
        <v>101</v>
      </c>
      <c r="H49" s="165"/>
      <c r="I49" s="108"/>
      <c r="J49" s="109"/>
      <c r="K49" s="55"/>
      <c r="L49" s="57"/>
    </row>
    <row r="50" spans="1:12" ht="15.75" thickBot="1">
      <c r="A50" s="4"/>
      <c r="B50" s="106" t="s">
        <v>25</v>
      </c>
      <c r="C50" s="107"/>
      <c r="D50" s="107"/>
      <c r="E50" s="107"/>
      <c r="F50" s="107"/>
      <c r="G50" s="110">
        <f>G48-G49</f>
        <v>30</v>
      </c>
      <c r="H50" s="167"/>
      <c r="I50" s="112"/>
      <c r="J50" s="111"/>
      <c r="K50" s="55"/>
      <c r="L50" s="57"/>
    </row>
    <row r="51" spans="1:12">
      <c r="A51" s="5" t="s">
        <v>26</v>
      </c>
      <c r="B51" s="38"/>
      <c r="C51" s="44"/>
      <c r="D51" s="44"/>
      <c r="E51" s="44"/>
      <c r="F51" s="38"/>
      <c r="G51" s="38"/>
      <c r="H51" s="44"/>
      <c r="I51" s="45" t="s">
        <v>27</v>
      </c>
      <c r="J51" s="44"/>
      <c r="K51" s="38"/>
      <c r="L51" s="1"/>
    </row>
    <row r="53" spans="1:12">
      <c r="B53" t="s">
        <v>34</v>
      </c>
    </row>
    <row r="54" spans="1:12">
      <c r="B54" t="s">
        <v>36</v>
      </c>
    </row>
  </sheetData>
  <mergeCells count="36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6:L6"/>
    <mergeCell ref="H7:I7"/>
    <mergeCell ref="A8:A9"/>
    <mergeCell ref="B8:F8"/>
    <mergeCell ref="G8:K8"/>
    <mergeCell ref="L8:L9"/>
    <mergeCell ref="A5:L5"/>
    <mergeCell ref="A1:D1"/>
    <mergeCell ref="G1:L1"/>
    <mergeCell ref="A2:D2"/>
    <mergeCell ref="G2:L2"/>
    <mergeCell ref="A3:D3"/>
  </mergeCells>
  <pageMargins left="0.7" right="0.7" top="0.75" bottom="0.75" header="0.3" footer="0.3"/>
  <pageSetup orientation="portrait" horizontalDpi="120" verticalDpi="7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4"/>
  <sheetViews>
    <sheetView topLeftCell="A40" workbookViewId="0">
      <selection activeCell="D59" sqref="D59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26" t="s">
        <v>0</v>
      </c>
      <c r="B1" s="126"/>
      <c r="C1" s="126"/>
      <c r="D1" s="126"/>
      <c r="E1" s="37"/>
      <c r="F1" s="38"/>
      <c r="G1" s="127" t="s">
        <v>1</v>
      </c>
      <c r="H1" s="127"/>
      <c r="I1" s="127"/>
      <c r="J1" s="127"/>
      <c r="K1" s="127"/>
      <c r="L1" s="127"/>
    </row>
    <row r="2" spans="1:12" ht="15.75">
      <c r="A2" s="127" t="s">
        <v>2</v>
      </c>
      <c r="B2" s="127"/>
      <c r="C2" s="127"/>
      <c r="D2" s="127"/>
      <c r="E2" s="37"/>
      <c r="F2" s="38"/>
      <c r="G2" s="138" t="s">
        <v>3</v>
      </c>
      <c r="H2" s="138"/>
      <c r="I2" s="138"/>
      <c r="J2" s="138"/>
      <c r="K2" s="138"/>
      <c r="L2" s="138"/>
    </row>
    <row r="3" spans="1:12">
      <c r="A3" s="138" t="s">
        <v>4</v>
      </c>
      <c r="B3" s="138"/>
      <c r="C3" s="138"/>
      <c r="D3" s="138"/>
      <c r="E3" s="37"/>
      <c r="F3" s="38"/>
      <c r="G3" s="38"/>
      <c r="H3" s="37"/>
      <c r="I3" s="37"/>
      <c r="J3" s="37"/>
      <c r="K3" s="38"/>
      <c r="L3" s="1"/>
    </row>
    <row r="4" spans="1:12">
      <c r="A4" s="63"/>
      <c r="B4" s="38"/>
      <c r="C4" s="37"/>
      <c r="D4" s="37"/>
      <c r="E4" s="37"/>
      <c r="F4" s="38"/>
      <c r="G4" s="38"/>
      <c r="H4" s="37"/>
      <c r="I4" s="37"/>
      <c r="J4" s="37"/>
      <c r="K4" s="38"/>
      <c r="L4" s="1"/>
    </row>
    <row r="5" spans="1:12" ht="18">
      <c r="A5" s="126" t="s">
        <v>5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15.75">
      <c r="A6" s="127" t="s">
        <v>37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</row>
    <row r="7" spans="1:12" ht="15.75" thickBot="1">
      <c r="A7" s="2" t="s">
        <v>6</v>
      </c>
      <c r="B7" s="12"/>
      <c r="C7" s="13"/>
      <c r="D7" s="13"/>
      <c r="E7" s="13"/>
      <c r="F7" s="12"/>
      <c r="G7" s="12"/>
      <c r="H7" s="129"/>
      <c r="I7" s="129"/>
      <c r="J7" s="13"/>
      <c r="K7" s="39"/>
      <c r="L7" s="3"/>
    </row>
    <row r="8" spans="1:12">
      <c r="A8" s="130" t="s">
        <v>7</v>
      </c>
      <c r="B8" s="132" t="s">
        <v>8</v>
      </c>
      <c r="C8" s="133"/>
      <c r="D8" s="133"/>
      <c r="E8" s="133"/>
      <c r="F8" s="134"/>
      <c r="G8" s="135" t="s">
        <v>9</v>
      </c>
      <c r="H8" s="133"/>
      <c r="I8" s="133"/>
      <c r="J8" s="133"/>
      <c r="K8" s="134"/>
      <c r="L8" s="136" t="s">
        <v>10</v>
      </c>
    </row>
    <row r="9" spans="1:12" ht="15.75" thickBot="1">
      <c r="A9" s="131"/>
      <c r="B9" s="40" t="s">
        <v>11</v>
      </c>
      <c r="C9" s="41" t="s">
        <v>12</v>
      </c>
      <c r="D9" s="41" t="s">
        <v>13</v>
      </c>
      <c r="E9" s="41" t="s">
        <v>14</v>
      </c>
      <c r="F9" s="42" t="s">
        <v>15</v>
      </c>
      <c r="G9" s="43" t="s">
        <v>11</v>
      </c>
      <c r="H9" s="41" t="s">
        <v>12</v>
      </c>
      <c r="I9" s="41" t="s">
        <v>13</v>
      </c>
      <c r="J9" s="41" t="s">
        <v>14</v>
      </c>
      <c r="K9" s="42" t="s">
        <v>16</v>
      </c>
      <c r="L9" s="137"/>
    </row>
    <row r="10" spans="1:12" ht="15.75" thickBot="1">
      <c r="A10" s="6">
        <v>1</v>
      </c>
      <c r="B10" s="20"/>
      <c r="C10" s="21"/>
      <c r="D10" s="21"/>
      <c r="E10" s="22"/>
      <c r="F10" s="19">
        <f>SUM(B10:E10)</f>
        <v>0</v>
      </c>
      <c r="G10" s="48"/>
      <c r="H10" s="31"/>
      <c r="I10" s="31"/>
      <c r="J10" s="31"/>
      <c r="K10" s="17">
        <f>SUM(G10:J10)</f>
        <v>0</v>
      </c>
      <c r="L10" s="7">
        <f>SUM(F10+K10)</f>
        <v>0</v>
      </c>
    </row>
    <row r="11" spans="1:12" ht="15.75" thickBot="1">
      <c r="A11" s="8">
        <v>2</v>
      </c>
      <c r="B11" s="23"/>
      <c r="C11" s="24"/>
      <c r="D11" s="24"/>
      <c r="E11" s="25"/>
      <c r="F11" s="19">
        <f t="shared" ref="F11:F40" si="0">SUM(B11:E11)</f>
        <v>0</v>
      </c>
      <c r="G11" s="32"/>
      <c r="H11" s="24"/>
      <c r="I11" s="24"/>
      <c r="J11" s="24"/>
      <c r="K11" s="17">
        <f t="shared" ref="K11:K40" si="1">SUM(G11:J11)</f>
        <v>0</v>
      </c>
      <c r="L11" s="7">
        <f t="shared" ref="L11:L40" si="2">SUM(F11+K11)</f>
        <v>0</v>
      </c>
    </row>
    <row r="12" spans="1:12" ht="15.75" thickBot="1">
      <c r="A12" s="8">
        <v>3</v>
      </c>
      <c r="B12" s="23">
        <v>4</v>
      </c>
      <c r="C12" s="24"/>
      <c r="D12" s="27">
        <v>1</v>
      </c>
      <c r="E12" s="62"/>
      <c r="F12" s="19">
        <f t="shared" si="0"/>
        <v>5</v>
      </c>
      <c r="G12" s="32"/>
      <c r="H12" s="24"/>
      <c r="I12" s="24"/>
      <c r="J12" s="24"/>
      <c r="K12" s="17">
        <f t="shared" si="1"/>
        <v>0</v>
      </c>
      <c r="L12" s="7">
        <f t="shared" si="2"/>
        <v>5</v>
      </c>
    </row>
    <row r="13" spans="1:12" ht="15.75" thickBot="1">
      <c r="A13" s="8">
        <v>4</v>
      </c>
      <c r="B13" s="23"/>
      <c r="C13" s="24"/>
      <c r="D13" s="27">
        <v>1</v>
      </c>
      <c r="E13" s="62">
        <v>1</v>
      </c>
      <c r="F13" s="19">
        <f t="shared" si="0"/>
        <v>2</v>
      </c>
      <c r="G13" s="33"/>
      <c r="H13" s="24"/>
      <c r="I13" s="24"/>
      <c r="J13" s="24"/>
      <c r="K13" s="17">
        <f t="shared" si="1"/>
        <v>0</v>
      </c>
      <c r="L13" s="7">
        <f t="shared" si="2"/>
        <v>2</v>
      </c>
    </row>
    <row r="14" spans="1:12" ht="15.75" thickBot="1">
      <c r="A14" s="8">
        <v>5</v>
      </c>
      <c r="B14" s="23">
        <v>1</v>
      </c>
      <c r="C14" s="24"/>
      <c r="D14" s="24"/>
      <c r="E14" s="25"/>
      <c r="F14" s="19">
        <f t="shared" si="0"/>
        <v>1</v>
      </c>
      <c r="G14" s="32"/>
      <c r="H14" s="24"/>
      <c r="I14" s="24"/>
      <c r="J14" s="24"/>
      <c r="K14" s="17">
        <f t="shared" si="1"/>
        <v>0</v>
      </c>
      <c r="L14" s="7">
        <f t="shared" si="2"/>
        <v>1</v>
      </c>
    </row>
    <row r="15" spans="1:12" ht="15.75" thickBot="1">
      <c r="A15" s="8">
        <v>6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>
      <c r="A16" s="8">
        <v>7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>
      <c r="A17" s="8">
        <v>8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>
      <c r="A18" s="8">
        <v>9</v>
      </c>
      <c r="B18" s="23"/>
      <c r="C18" s="24"/>
      <c r="D18" s="24"/>
      <c r="E18" s="25"/>
      <c r="F18" s="19">
        <f t="shared" si="0"/>
        <v>0</v>
      </c>
      <c r="G18" s="32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>
      <c r="A19" s="8">
        <v>10</v>
      </c>
      <c r="B19" s="23"/>
      <c r="C19" s="24"/>
      <c r="D19" s="24"/>
      <c r="E19" s="25"/>
      <c r="F19" s="19">
        <f t="shared" si="0"/>
        <v>0</v>
      </c>
      <c r="G19" s="34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>
      <c r="A20" s="8">
        <v>11</v>
      </c>
      <c r="B20" s="23"/>
      <c r="C20" s="24"/>
      <c r="D20" s="24"/>
      <c r="E20" s="25"/>
      <c r="F20" s="19">
        <f t="shared" si="0"/>
        <v>0</v>
      </c>
      <c r="G20" s="32"/>
      <c r="H20" s="24"/>
      <c r="I20" s="24"/>
      <c r="J20" s="24"/>
      <c r="K20" s="17">
        <f t="shared" si="1"/>
        <v>0</v>
      </c>
      <c r="L20" s="7">
        <f t="shared" si="2"/>
        <v>0</v>
      </c>
    </row>
    <row r="21" spans="1:12" ht="15.75" thickBot="1">
      <c r="A21" s="8">
        <v>12</v>
      </c>
      <c r="B21" s="23"/>
      <c r="C21" s="24"/>
      <c r="D21" s="24"/>
      <c r="E21" s="25"/>
      <c r="F21" s="19">
        <f t="shared" si="0"/>
        <v>0</v>
      </c>
      <c r="G21" s="32"/>
      <c r="H21" s="35"/>
      <c r="I21" s="35"/>
      <c r="J21" s="35"/>
      <c r="K21" s="17">
        <f t="shared" si="1"/>
        <v>0</v>
      </c>
      <c r="L21" s="7">
        <f t="shared" si="2"/>
        <v>0</v>
      </c>
    </row>
    <row r="22" spans="1:12" ht="15.75" thickBot="1">
      <c r="A22" s="8">
        <v>13</v>
      </c>
      <c r="B22" s="23"/>
      <c r="C22" s="24"/>
      <c r="D22" s="24"/>
      <c r="E22" s="25"/>
      <c r="F22" s="19">
        <f t="shared" si="0"/>
        <v>0</v>
      </c>
      <c r="G22" s="36">
        <v>2</v>
      </c>
      <c r="H22" s="24"/>
      <c r="I22" s="24"/>
      <c r="J22" s="24"/>
      <c r="K22" s="17">
        <f t="shared" si="1"/>
        <v>2</v>
      </c>
      <c r="L22" s="7">
        <f t="shared" si="2"/>
        <v>2</v>
      </c>
    </row>
    <row r="23" spans="1:12" ht="15.75" thickBot="1">
      <c r="A23" s="8">
        <v>14</v>
      </c>
      <c r="B23" s="23"/>
      <c r="C23" s="24"/>
      <c r="D23" s="24"/>
      <c r="E23" s="25"/>
      <c r="F23" s="19">
        <f t="shared" si="0"/>
        <v>0</v>
      </c>
      <c r="G23" s="36">
        <v>1</v>
      </c>
      <c r="H23" s="24"/>
      <c r="I23" s="24"/>
      <c r="J23" s="24"/>
      <c r="K23" s="17">
        <f t="shared" si="1"/>
        <v>1</v>
      </c>
      <c r="L23" s="7">
        <f t="shared" si="2"/>
        <v>1</v>
      </c>
    </row>
    <row r="24" spans="1:12" ht="15.75" thickBot="1">
      <c r="A24" s="8">
        <v>15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>
      <c r="A25" s="8">
        <v>16</v>
      </c>
      <c r="B25" s="23"/>
      <c r="C25" s="24"/>
      <c r="D25" s="24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>
      <c r="A26" s="8">
        <v>17</v>
      </c>
      <c r="B26" s="23">
        <v>2</v>
      </c>
      <c r="C26" s="49"/>
      <c r="D26" s="27"/>
      <c r="E26" s="62">
        <v>1</v>
      </c>
      <c r="F26" s="19">
        <f t="shared" si="0"/>
        <v>3</v>
      </c>
      <c r="G26" s="32"/>
      <c r="H26" s="24"/>
      <c r="I26" s="24"/>
      <c r="J26" s="24"/>
      <c r="K26" s="17">
        <f t="shared" si="1"/>
        <v>0</v>
      </c>
      <c r="L26" s="7">
        <f t="shared" si="2"/>
        <v>3</v>
      </c>
    </row>
    <row r="27" spans="1:12" ht="15.75" thickBot="1">
      <c r="A27" s="8">
        <v>18</v>
      </c>
      <c r="B27" s="23"/>
      <c r="C27" s="24">
        <v>1</v>
      </c>
      <c r="D27" s="24"/>
      <c r="E27" s="25"/>
      <c r="F27" s="19">
        <f t="shared" si="0"/>
        <v>1</v>
      </c>
      <c r="G27" s="32"/>
      <c r="H27" s="24"/>
      <c r="I27" s="24"/>
      <c r="J27" s="24"/>
      <c r="K27" s="17">
        <f t="shared" si="1"/>
        <v>0</v>
      </c>
      <c r="L27" s="7">
        <f t="shared" si="2"/>
        <v>1</v>
      </c>
    </row>
    <row r="28" spans="1:12" ht="15.75" thickBot="1">
      <c r="A28" s="8">
        <v>19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>
      <c r="A29" s="8">
        <v>20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>
      <c r="A30" s="8">
        <v>21</v>
      </c>
      <c r="B30" s="23">
        <v>1</v>
      </c>
      <c r="C30" s="24"/>
      <c r="D30" s="24"/>
      <c r="E30" s="25"/>
      <c r="F30" s="19">
        <f t="shared" si="0"/>
        <v>1</v>
      </c>
      <c r="G30" s="32"/>
      <c r="H30" s="24"/>
      <c r="I30" s="24"/>
      <c r="J30" s="24"/>
      <c r="K30" s="17">
        <f t="shared" si="1"/>
        <v>0</v>
      </c>
      <c r="L30" s="7">
        <f t="shared" si="2"/>
        <v>1</v>
      </c>
    </row>
    <row r="31" spans="1:12" ht="15.75" thickBot="1">
      <c r="A31" s="8">
        <v>22</v>
      </c>
      <c r="B31" s="23"/>
      <c r="C31" s="24"/>
      <c r="D31" s="24"/>
      <c r="E31" s="62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>
      <c r="A32" s="8">
        <v>23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>
      <c r="A33" s="8">
        <v>24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>
      <c r="A34" s="8">
        <v>25</v>
      </c>
      <c r="B34" s="23"/>
      <c r="C34" s="24"/>
      <c r="D34" s="27">
        <v>3</v>
      </c>
      <c r="E34" s="25"/>
      <c r="F34" s="19">
        <f t="shared" si="0"/>
        <v>3</v>
      </c>
      <c r="G34" s="32">
        <v>2</v>
      </c>
      <c r="H34" s="24"/>
      <c r="I34" s="24"/>
      <c r="J34" s="24"/>
      <c r="K34" s="17">
        <f t="shared" si="1"/>
        <v>2</v>
      </c>
      <c r="L34" s="7">
        <f t="shared" si="2"/>
        <v>5</v>
      </c>
    </row>
    <row r="35" spans="1:12" ht="15.75" thickBot="1">
      <c r="A35" s="8">
        <v>26</v>
      </c>
      <c r="B35" s="23"/>
      <c r="C35" s="24"/>
      <c r="D35" s="24"/>
      <c r="E35" s="25"/>
      <c r="F35" s="19">
        <f t="shared" si="0"/>
        <v>0</v>
      </c>
      <c r="G35" s="32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>
      <c r="A36" s="8">
        <v>27</v>
      </c>
      <c r="B36" s="71">
        <v>3</v>
      </c>
      <c r="C36" s="24"/>
      <c r="D36" s="24"/>
      <c r="E36" s="25"/>
      <c r="F36" s="19">
        <f t="shared" si="0"/>
        <v>3</v>
      </c>
      <c r="G36" s="47"/>
      <c r="H36" s="24"/>
      <c r="I36" s="24"/>
      <c r="J36" s="24"/>
      <c r="K36" s="17">
        <f t="shared" si="1"/>
        <v>0</v>
      </c>
      <c r="L36" s="7">
        <f t="shared" si="2"/>
        <v>3</v>
      </c>
    </row>
    <row r="37" spans="1:12" ht="15.75" thickBot="1">
      <c r="A37" s="8">
        <v>28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>
      <c r="A38" s="8">
        <v>29</v>
      </c>
      <c r="B38" s="23"/>
      <c r="C38" s="24"/>
      <c r="D38" s="24"/>
      <c r="E38" s="25"/>
      <c r="F38" s="19">
        <f t="shared" si="0"/>
        <v>0</v>
      </c>
      <c r="G38" s="32">
        <v>1</v>
      </c>
      <c r="H38" s="24"/>
      <c r="I38" s="24"/>
      <c r="J38" s="24"/>
      <c r="K38" s="17">
        <f t="shared" si="1"/>
        <v>1</v>
      </c>
      <c r="L38" s="7">
        <f t="shared" si="2"/>
        <v>1</v>
      </c>
    </row>
    <row r="39" spans="1:12" ht="15.75" thickBot="1">
      <c r="A39" s="8">
        <v>30</v>
      </c>
      <c r="B39" s="23"/>
      <c r="C39" s="24"/>
      <c r="D39" s="24"/>
      <c r="E39" s="25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>
      <c r="A40" s="9">
        <v>31</v>
      </c>
      <c r="B40" s="28">
        <v>2</v>
      </c>
      <c r="C40" s="29"/>
      <c r="D40" s="29"/>
      <c r="E40" s="30"/>
      <c r="F40" s="19">
        <f t="shared" si="0"/>
        <v>2</v>
      </c>
      <c r="G40" s="32"/>
      <c r="H40" s="24"/>
      <c r="I40" s="24"/>
      <c r="J40" s="24"/>
      <c r="K40" s="17">
        <f t="shared" si="1"/>
        <v>0</v>
      </c>
      <c r="L40" s="7">
        <f t="shared" si="2"/>
        <v>2</v>
      </c>
    </row>
    <row r="41" spans="1:12" ht="15.75" thickBot="1">
      <c r="A41" s="66"/>
      <c r="B41" s="65">
        <f>SUM(B10:B40)</f>
        <v>13</v>
      </c>
      <c r="C41" s="65">
        <f t="shared" ref="C41:E41" si="3">SUM(C10:C40)</f>
        <v>1</v>
      </c>
      <c r="D41" s="65">
        <f t="shared" si="3"/>
        <v>5</v>
      </c>
      <c r="E41" s="65">
        <f t="shared" si="3"/>
        <v>2</v>
      </c>
      <c r="F41" s="64">
        <f>SUM(F10:F40)</f>
        <v>21</v>
      </c>
      <c r="G41" s="18">
        <f>SUM(G10:G40)</f>
        <v>6</v>
      </c>
      <c r="H41" s="18">
        <f t="shared" ref="H41:L41" si="4">SUM(H10:H40)</f>
        <v>0</v>
      </c>
      <c r="I41" s="18">
        <f t="shared" si="4"/>
        <v>0</v>
      </c>
      <c r="J41" s="18">
        <f t="shared" si="4"/>
        <v>0</v>
      </c>
      <c r="K41" s="18">
        <f t="shared" si="4"/>
        <v>6</v>
      </c>
      <c r="L41" s="18">
        <f t="shared" si="4"/>
        <v>27</v>
      </c>
    </row>
    <row r="42" spans="1:12" ht="15.75" thickBot="1">
      <c r="A42" s="12"/>
      <c r="B42" s="12"/>
      <c r="C42" s="13"/>
      <c r="D42" s="13"/>
      <c r="E42" s="13"/>
      <c r="F42" s="12"/>
      <c r="G42" s="12"/>
      <c r="H42" s="13"/>
      <c r="I42" s="13"/>
      <c r="J42" s="13"/>
      <c r="K42" s="12"/>
      <c r="L42" s="14"/>
    </row>
    <row r="43" spans="1:12" ht="15.75" thickBot="1">
      <c r="A43" s="119"/>
      <c r="B43" s="119"/>
      <c r="C43" s="119"/>
      <c r="D43" s="119"/>
      <c r="E43" s="119"/>
      <c r="F43" s="119"/>
      <c r="G43" s="120" t="s">
        <v>17</v>
      </c>
      <c r="H43" s="151"/>
      <c r="I43" s="120" t="s">
        <v>18</v>
      </c>
      <c r="J43" s="122"/>
      <c r="K43" s="55"/>
      <c r="L43" s="56"/>
    </row>
    <row r="44" spans="1:12" ht="15.75" thickBot="1">
      <c r="A44" s="15"/>
      <c r="B44" s="106" t="s">
        <v>19</v>
      </c>
      <c r="C44" s="107"/>
      <c r="D44" s="107"/>
      <c r="E44" s="107"/>
      <c r="F44" s="107"/>
      <c r="G44" s="117">
        <v>101</v>
      </c>
      <c r="H44" s="162"/>
      <c r="I44" s="163"/>
      <c r="J44" s="164"/>
      <c r="K44" s="55"/>
      <c r="L44" s="56"/>
    </row>
    <row r="45" spans="1:12" ht="15.75" thickBot="1">
      <c r="A45" s="15"/>
      <c r="B45" s="106" t="s">
        <v>20</v>
      </c>
      <c r="C45" s="107"/>
      <c r="D45" s="107"/>
      <c r="E45" s="107"/>
      <c r="F45" s="107"/>
      <c r="G45" s="108">
        <v>201</v>
      </c>
      <c r="H45" s="165"/>
      <c r="I45" s="108"/>
      <c r="J45" s="109"/>
      <c r="K45" s="55"/>
      <c r="L45" s="56"/>
    </row>
    <row r="46" spans="1:12" ht="15.75" thickBot="1">
      <c r="A46" s="15"/>
      <c r="B46" s="114" t="s">
        <v>21</v>
      </c>
      <c r="C46" s="114"/>
      <c r="D46" s="114"/>
      <c r="E46" s="114"/>
      <c r="F46" s="106"/>
      <c r="G46" s="115">
        <v>32</v>
      </c>
      <c r="H46" s="166"/>
      <c r="I46" s="108"/>
      <c r="J46" s="109"/>
      <c r="K46" s="55"/>
      <c r="L46" s="56"/>
    </row>
    <row r="47" spans="1:12" ht="15.75" thickBot="1">
      <c r="A47" s="15"/>
      <c r="B47" s="106" t="s">
        <v>22</v>
      </c>
      <c r="C47" s="107"/>
      <c r="D47" s="107"/>
      <c r="E47" s="107"/>
      <c r="F47" s="107"/>
      <c r="G47" s="113">
        <f>L41+G46</f>
        <v>59</v>
      </c>
      <c r="H47" s="165"/>
      <c r="I47" s="108"/>
      <c r="J47" s="109"/>
      <c r="K47" s="55"/>
      <c r="L47" s="56"/>
    </row>
    <row r="48" spans="1:12" ht="15.75" thickBot="1">
      <c r="A48" s="4"/>
      <c r="B48" s="106" t="s">
        <v>23</v>
      </c>
      <c r="C48" s="107"/>
      <c r="D48" s="107"/>
      <c r="E48" s="107"/>
      <c r="F48" s="107"/>
      <c r="G48" s="113">
        <f>G44+G45-G47</f>
        <v>243</v>
      </c>
      <c r="H48" s="165"/>
      <c r="I48" s="108"/>
      <c r="J48" s="109"/>
      <c r="K48" s="55"/>
      <c r="L48" s="57"/>
    </row>
    <row r="49" spans="1:12" ht="15.75" thickBot="1">
      <c r="A49" s="4"/>
      <c r="B49" s="106" t="s">
        <v>24</v>
      </c>
      <c r="C49" s="107"/>
      <c r="D49" s="107"/>
      <c r="E49" s="107"/>
      <c r="F49" s="107"/>
      <c r="G49" s="168">
        <v>223</v>
      </c>
      <c r="H49" s="165"/>
      <c r="I49" s="108"/>
      <c r="J49" s="109"/>
      <c r="K49" s="55"/>
      <c r="L49" s="57"/>
    </row>
    <row r="50" spans="1:12" ht="15.75" thickBot="1">
      <c r="A50" s="4"/>
      <c r="B50" s="106" t="s">
        <v>25</v>
      </c>
      <c r="C50" s="107"/>
      <c r="D50" s="107"/>
      <c r="E50" s="107"/>
      <c r="F50" s="107"/>
      <c r="G50" s="110">
        <f>G48-G49</f>
        <v>20</v>
      </c>
      <c r="H50" s="167"/>
      <c r="I50" s="112"/>
      <c r="J50" s="111"/>
      <c r="K50" s="55"/>
      <c r="L50" s="57"/>
    </row>
    <row r="51" spans="1:12">
      <c r="A51" s="5" t="s">
        <v>26</v>
      </c>
      <c r="B51" s="38"/>
      <c r="C51" s="44"/>
      <c r="D51" s="44"/>
      <c r="E51" s="44"/>
      <c r="F51" s="38"/>
      <c r="G51" s="38"/>
      <c r="H51" s="44"/>
      <c r="I51" s="45" t="s">
        <v>27</v>
      </c>
      <c r="J51" s="44"/>
      <c r="K51" s="38"/>
      <c r="L51" s="1"/>
    </row>
    <row r="53" spans="1:12">
      <c r="B53" t="s">
        <v>38</v>
      </c>
    </row>
    <row r="54" spans="1:12">
      <c r="B54" t="s">
        <v>32</v>
      </c>
    </row>
  </sheetData>
  <mergeCells count="36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6:L6"/>
    <mergeCell ref="H7:I7"/>
    <mergeCell ref="A8:A9"/>
    <mergeCell ref="B8:F8"/>
    <mergeCell ref="G8:K8"/>
    <mergeCell ref="L8:L9"/>
    <mergeCell ref="A5:L5"/>
    <mergeCell ref="A1:D1"/>
    <mergeCell ref="G1:L1"/>
    <mergeCell ref="A2:D2"/>
    <mergeCell ref="G2:L2"/>
    <mergeCell ref="A3:D3"/>
  </mergeCells>
  <pageMargins left="0.7" right="0.7" top="0.75" bottom="0.75" header="0.3" footer="0.3"/>
  <pageSetup orientation="portrait" horizontalDpi="120" verticalDpi="7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6"/>
  <sheetViews>
    <sheetView topLeftCell="A46" workbookViewId="0">
      <selection activeCell="B55" sqref="B55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26" t="s">
        <v>0</v>
      </c>
      <c r="B1" s="126"/>
      <c r="C1" s="126"/>
      <c r="D1" s="126"/>
      <c r="E1" s="37"/>
      <c r="F1" s="38"/>
      <c r="G1" s="127" t="s">
        <v>1</v>
      </c>
      <c r="H1" s="127"/>
      <c r="I1" s="127"/>
      <c r="J1" s="127"/>
      <c r="K1" s="127"/>
      <c r="L1" s="127"/>
    </row>
    <row r="2" spans="1:12" ht="15.75">
      <c r="A2" s="127" t="s">
        <v>2</v>
      </c>
      <c r="B2" s="127"/>
      <c r="C2" s="127"/>
      <c r="D2" s="127"/>
      <c r="E2" s="37"/>
      <c r="F2" s="38"/>
      <c r="G2" s="138" t="s">
        <v>3</v>
      </c>
      <c r="H2" s="138"/>
      <c r="I2" s="138"/>
      <c r="J2" s="138"/>
      <c r="K2" s="138"/>
      <c r="L2" s="138"/>
    </row>
    <row r="3" spans="1:12">
      <c r="A3" s="138" t="s">
        <v>4</v>
      </c>
      <c r="B3" s="138"/>
      <c r="C3" s="138"/>
      <c r="D3" s="138"/>
      <c r="E3" s="37"/>
      <c r="F3" s="38"/>
      <c r="G3" s="38"/>
      <c r="H3" s="37"/>
      <c r="I3" s="37"/>
      <c r="J3" s="37"/>
      <c r="K3" s="38"/>
      <c r="L3" s="1"/>
    </row>
    <row r="4" spans="1:12">
      <c r="A4" s="67"/>
      <c r="B4" s="38"/>
      <c r="C4" s="37"/>
      <c r="D4" s="37"/>
      <c r="E4" s="37"/>
      <c r="F4" s="38"/>
      <c r="G4" s="38"/>
      <c r="H4" s="37"/>
      <c r="I4" s="37"/>
      <c r="J4" s="37"/>
      <c r="K4" s="38"/>
      <c r="L4" s="1"/>
    </row>
    <row r="5" spans="1:12" ht="18">
      <c r="A5" s="126" t="s">
        <v>5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15.75">
      <c r="A6" s="127" t="s">
        <v>40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</row>
    <row r="7" spans="1:12" ht="15.75" thickBot="1">
      <c r="A7" s="2" t="s">
        <v>6</v>
      </c>
      <c r="B7" s="12"/>
      <c r="C7" s="13"/>
      <c r="D7" s="13"/>
      <c r="E7" s="13"/>
      <c r="F7" s="12"/>
      <c r="G7" s="12"/>
      <c r="H7" s="129"/>
      <c r="I7" s="129"/>
      <c r="J7" s="13"/>
      <c r="K7" s="39"/>
      <c r="L7" s="3"/>
    </row>
    <row r="8" spans="1:12">
      <c r="A8" s="130" t="s">
        <v>7</v>
      </c>
      <c r="B8" s="132" t="s">
        <v>8</v>
      </c>
      <c r="C8" s="133"/>
      <c r="D8" s="133"/>
      <c r="E8" s="133"/>
      <c r="F8" s="134"/>
      <c r="G8" s="135" t="s">
        <v>9</v>
      </c>
      <c r="H8" s="133"/>
      <c r="I8" s="133"/>
      <c r="J8" s="133"/>
      <c r="K8" s="134"/>
      <c r="L8" s="136" t="s">
        <v>10</v>
      </c>
    </row>
    <row r="9" spans="1:12" ht="15.75" thickBot="1">
      <c r="A9" s="131"/>
      <c r="B9" s="40" t="s">
        <v>11</v>
      </c>
      <c r="C9" s="41" t="s">
        <v>12</v>
      </c>
      <c r="D9" s="41" t="s">
        <v>13</v>
      </c>
      <c r="E9" s="41" t="s">
        <v>14</v>
      </c>
      <c r="F9" s="42" t="s">
        <v>15</v>
      </c>
      <c r="G9" s="43" t="s">
        <v>11</v>
      </c>
      <c r="H9" s="41" t="s">
        <v>12</v>
      </c>
      <c r="I9" s="41" t="s">
        <v>13</v>
      </c>
      <c r="J9" s="41" t="s">
        <v>14</v>
      </c>
      <c r="K9" s="42" t="s">
        <v>16</v>
      </c>
      <c r="L9" s="137"/>
    </row>
    <row r="10" spans="1:12" ht="15.75" thickBot="1">
      <c r="A10" s="6">
        <v>1</v>
      </c>
      <c r="B10" s="20"/>
      <c r="C10" s="21"/>
      <c r="D10" s="21"/>
      <c r="E10" s="22"/>
      <c r="F10" s="19">
        <f>SUM(B10:E10)</f>
        <v>0</v>
      </c>
      <c r="G10" s="48"/>
      <c r="H10" s="31"/>
      <c r="I10" s="31"/>
      <c r="J10" s="31"/>
      <c r="K10" s="17">
        <f>SUM(G10:J10)</f>
        <v>0</v>
      </c>
      <c r="L10" s="7">
        <f>SUM(F10+K10)</f>
        <v>0</v>
      </c>
    </row>
    <row r="11" spans="1:12" ht="15.75" thickBot="1">
      <c r="A11" s="8">
        <v>2</v>
      </c>
      <c r="B11" s="23">
        <v>18</v>
      </c>
      <c r="C11" s="24"/>
      <c r="D11" s="24"/>
      <c r="E11" s="25"/>
      <c r="F11" s="19">
        <f t="shared" ref="F11:F40" si="0">SUM(B11:E11)</f>
        <v>18</v>
      </c>
      <c r="G11" s="32">
        <v>1</v>
      </c>
      <c r="H11" s="24"/>
      <c r="I11" s="24"/>
      <c r="J11" s="24"/>
      <c r="K11" s="17">
        <f t="shared" ref="K11:K40" si="1">SUM(G11:J11)</f>
        <v>1</v>
      </c>
      <c r="L11" s="7">
        <f t="shared" ref="L11:L40" si="2">SUM(F11+K11)</f>
        <v>19</v>
      </c>
    </row>
    <row r="12" spans="1:12" ht="15.75" thickBot="1">
      <c r="A12" s="8">
        <v>3</v>
      </c>
      <c r="B12" s="23">
        <v>5</v>
      </c>
      <c r="C12" s="24"/>
      <c r="D12" s="24"/>
      <c r="E12" s="26"/>
      <c r="F12" s="19">
        <f t="shared" si="0"/>
        <v>5</v>
      </c>
      <c r="G12" s="32"/>
      <c r="H12" s="24"/>
      <c r="I12" s="24"/>
      <c r="J12" s="24"/>
      <c r="K12" s="17">
        <f t="shared" si="1"/>
        <v>0</v>
      </c>
      <c r="L12" s="7">
        <f t="shared" si="2"/>
        <v>5</v>
      </c>
    </row>
    <row r="13" spans="1:12" ht="15.75" thickBot="1">
      <c r="A13" s="8">
        <v>4</v>
      </c>
      <c r="B13" s="23"/>
      <c r="C13" s="24"/>
      <c r="D13" s="24"/>
      <c r="E13" s="25"/>
      <c r="F13" s="19">
        <f t="shared" si="0"/>
        <v>0</v>
      </c>
      <c r="G13" s="33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>
      <c r="A14" s="8">
        <v>5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>
      <c r="A15" s="8">
        <v>6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>
      <c r="A16" s="8">
        <v>7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>
      <c r="A17" s="8">
        <v>8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>
      <c r="A18" s="8">
        <v>9</v>
      </c>
      <c r="B18" s="23">
        <v>3</v>
      </c>
      <c r="C18" s="24"/>
      <c r="D18" s="24"/>
      <c r="E18" s="25"/>
      <c r="F18" s="19">
        <f t="shared" si="0"/>
        <v>3</v>
      </c>
      <c r="G18" s="32"/>
      <c r="H18" s="24"/>
      <c r="I18" s="24"/>
      <c r="J18" s="24"/>
      <c r="K18" s="17">
        <f t="shared" si="1"/>
        <v>0</v>
      </c>
      <c r="L18" s="7">
        <f t="shared" si="2"/>
        <v>3</v>
      </c>
    </row>
    <row r="19" spans="1:12" ht="15.75" thickBot="1">
      <c r="A19" s="8">
        <v>10</v>
      </c>
      <c r="B19" s="23"/>
      <c r="C19" s="24"/>
      <c r="D19" s="24"/>
      <c r="E19" s="25"/>
      <c r="F19" s="19">
        <f t="shared" si="0"/>
        <v>0</v>
      </c>
      <c r="G19" s="34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>
      <c r="A20" s="8">
        <v>11</v>
      </c>
      <c r="B20" s="23"/>
      <c r="C20" s="24"/>
      <c r="D20" s="24"/>
      <c r="E20" s="25"/>
      <c r="F20" s="19">
        <f t="shared" si="0"/>
        <v>0</v>
      </c>
      <c r="G20" s="32">
        <v>2</v>
      </c>
      <c r="H20" s="24">
        <v>1</v>
      </c>
      <c r="I20" s="24"/>
      <c r="J20" s="24"/>
      <c r="K20" s="17">
        <f t="shared" si="1"/>
        <v>3</v>
      </c>
      <c r="L20" s="7">
        <f t="shared" si="2"/>
        <v>3</v>
      </c>
    </row>
    <row r="21" spans="1:12" ht="15.75" thickBot="1">
      <c r="A21" s="8">
        <v>12</v>
      </c>
      <c r="B21" s="23"/>
      <c r="C21" s="24"/>
      <c r="D21" s="24"/>
      <c r="E21" s="25"/>
      <c r="F21" s="19">
        <f t="shared" si="0"/>
        <v>0</v>
      </c>
      <c r="G21" s="32"/>
      <c r="H21" s="35"/>
      <c r="I21" s="35"/>
      <c r="J21" s="35"/>
      <c r="K21" s="17">
        <f t="shared" si="1"/>
        <v>0</v>
      </c>
      <c r="L21" s="7">
        <f t="shared" si="2"/>
        <v>0</v>
      </c>
    </row>
    <row r="22" spans="1:12" ht="15.75" thickBot="1">
      <c r="A22" s="8">
        <v>13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>
      <c r="A23" s="8">
        <v>14</v>
      </c>
      <c r="B23" s="23"/>
      <c r="C23" s="24"/>
      <c r="D23" s="24"/>
      <c r="E23" s="25"/>
      <c r="F23" s="19">
        <f t="shared" si="0"/>
        <v>0</v>
      </c>
      <c r="G23" s="36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>
      <c r="A24" s="8">
        <v>15</v>
      </c>
      <c r="B24" s="23"/>
      <c r="C24" s="24"/>
      <c r="D24" s="24"/>
      <c r="E24" s="25"/>
      <c r="F24" s="19">
        <f t="shared" si="0"/>
        <v>0</v>
      </c>
      <c r="G24" s="32">
        <v>1</v>
      </c>
      <c r="H24" s="24"/>
      <c r="I24" s="24"/>
      <c r="J24" s="24"/>
      <c r="K24" s="17">
        <f t="shared" si="1"/>
        <v>1</v>
      </c>
      <c r="L24" s="7">
        <f t="shared" si="2"/>
        <v>1</v>
      </c>
    </row>
    <row r="25" spans="1:12" ht="15.75" thickBot="1">
      <c r="A25" s="8">
        <v>16</v>
      </c>
      <c r="B25" s="23"/>
      <c r="C25" s="24"/>
      <c r="D25" s="24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>
      <c r="A26" s="8">
        <v>17</v>
      </c>
      <c r="B26" s="23"/>
      <c r="C26" s="49"/>
      <c r="D26" s="27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>
      <c r="A27" s="8">
        <v>18</v>
      </c>
      <c r="B27" s="23">
        <v>1</v>
      </c>
      <c r="C27" s="24"/>
      <c r="D27" s="24"/>
      <c r="E27" s="25"/>
      <c r="F27" s="19">
        <f t="shared" si="0"/>
        <v>1</v>
      </c>
      <c r="G27" s="32">
        <v>9</v>
      </c>
      <c r="H27" s="24"/>
      <c r="I27" s="24"/>
      <c r="J27" s="24"/>
      <c r="K27" s="17">
        <f t="shared" si="1"/>
        <v>9</v>
      </c>
      <c r="L27" s="7">
        <f t="shared" si="2"/>
        <v>10</v>
      </c>
    </row>
    <row r="28" spans="1:12" ht="15.75" thickBot="1">
      <c r="A28" s="8">
        <v>19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>
      <c r="A29" s="8">
        <v>20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>
      <c r="A30" s="8">
        <v>21</v>
      </c>
      <c r="B30" s="23"/>
      <c r="C30" s="24"/>
      <c r="D30" s="24"/>
      <c r="E30" s="25"/>
      <c r="F30" s="19">
        <f t="shared" si="0"/>
        <v>0</v>
      </c>
      <c r="G30" s="32">
        <v>5</v>
      </c>
      <c r="H30" s="24"/>
      <c r="I30" s="24"/>
      <c r="J30" s="24"/>
      <c r="K30" s="17">
        <f t="shared" si="1"/>
        <v>5</v>
      </c>
      <c r="L30" s="7">
        <f t="shared" si="2"/>
        <v>5</v>
      </c>
    </row>
    <row r="31" spans="1:12" ht="15.75" thickBot="1">
      <c r="A31" s="8">
        <v>22</v>
      </c>
      <c r="B31" s="23">
        <v>2</v>
      </c>
      <c r="C31" s="24"/>
      <c r="D31" s="24"/>
      <c r="E31" s="62"/>
      <c r="F31" s="19">
        <f t="shared" si="0"/>
        <v>2</v>
      </c>
      <c r="G31" s="32">
        <v>2</v>
      </c>
      <c r="H31" s="24"/>
      <c r="I31" s="24"/>
      <c r="J31" s="24"/>
      <c r="K31" s="17">
        <f t="shared" si="1"/>
        <v>2</v>
      </c>
      <c r="L31" s="7">
        <f t="shared" si="2"/>
        <v>4</v>
      </c>
    </row>
    <row r="32" spans="1:12" ht="15.75" thickBot="1">
      <c r="A32" s="8">
        <v>23</v>
      </c>
      <c r="B32" s="23">
        <v>1</v>
      </c>
      <c r="C32" s="24"/>
      <c r="D32" s="24"/>
      <c r="E32" s="25"/>
      <c r="F32" s="19">
        <f t="shared" si="0"/>
        <v>1</v>
      </c>
      <c r="G32" s="32">
        <v>2</v>
      </c>
      <c r="H32" s="24"/>
      <c r="I32" s="24"/>
      <c r="J32" s="24"/>
      <c r="K32" s="17">
        <f t="shared" si="1"/>
        <v>2</v>
      </c>
      <c r="L32" s="7">
        <f t="shared" si="2"/>
        <v>3</v>
      </c>
    </row>
    <row r="33" spans="1:12" ht="15.75" thickBot="1">
      <c r="A33" s="8">
        <v>24</v>
      </c>
      <c r="B33" s="23">
        <v>2</v>
      </c>
      <c r="C33" s="24"/>
      <c r="D33" s="24"/>
      <c r="E33" s="25"/>
      <c r="F33" s="19">
        <f t="shared" si="0"/>
        <v>2</v>
      </c>
      <c r="G33" s="32">
        <v>2</v>
      </c>
      <c r="H33" s="24"/>
      <c r="I33" s="24"/>
      <c r="J33" s="24"/>
      <c r="K33" s="17">
        <f t="shared" si="1"/>
        <v>2</v>
      </c>
      <c r="L33" s="7">
        <f t="shared" si="2"/>
        <v>4</v>
      </c>
    </row>
    <row r="34" spans="1:12" ht="15.75" thickBot="1">
      <c r="A34" s="8">
        <v>25</v>
      </c>
      <c r="B34" s="23">
        <v>2</v>
      </c>
      <c r="C34" s="24"/>
      <c r="D34" s="24"/>
      <c r="E34" s="25"/>
      <c r="F34" s="19">
        <f t="shared" si="0"/>
        <v>2</v>
      </c>
      <c r="G34" s="32">
        <v>7</v>
      </c>
      <c r="H34" s="24"/>
      <c r="I34" s="24"/>
      <c r="J34" s="24"/>
      <c r="K34" s="17">
        <f t="shared" si="1"/>
        <v>7</v>
      </c>
      <c r="L34" s="7">
        <f t="shared" si="2"/>
        <v>9</v>
      </c>
    </row>
    <row r="35" spans="1:12" ht="15.75" thickBot="1">
      <c r="A35" s="8">
        <v>26</v>
      </c>
      <c r="B35" s="23"/>
      <c r="C35" s="24"/>
      <c r="D35" s="24"/>
      <c r="E35" s="25"/>
      <c r="F35" s="19">
        <f t="shared" si="0"/>
        <v>0</v>
      </c>
      <c r="G35" s="32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>
      <c r="A36" s="8">
        <v>27</v>
      </c>
      <c r="B36" s="71"/>
      <c r="C36" s="24"/>
      <c r="D36" s="24"/>
      <c r="E36" s="25"/>
      <c r="F36" s="19">
        <f t="shared" si="0"/>
        <v>0</v>
      </c>
      <c r="G36" s="47">
        <v>10</v>
      </c>
      <c r="H36" s="24"/>
      <c r="I36" s="24"/>
      <c r="J36" s="24"/>
      <c r="K36" s="17">
        <f t="shared" si="1"/>
        <v>10</v>
      </c>
      <c r="L36" s="7">
        <f t="shared" si="2"/>
        <v>10</v>
      </c>
    </row>
    <row r="37" spans="1:12" ht="15.75" thickBot="1">
      <c r="A37" s="8">
        <v>28</v>
      </c>
      <c r="B37" s="23">
        <v>2</v>
      </c>
      <c r="C37" s="24"/>
      <c r="D37" s="24"/>
      <c r="E37" s="25"/>
      <c r="F37" s="19">
        <f t="shared" si="0"/>
        <v>2</v>
      </c>
      <c r="G37" s="32">
        <v>10</v>
      </c>
      <c r="H37" s="24"/>
      <c r="I37" s="24"/>
      <c r="J37" s="24"/>
      <c r="K37" s="17">
        <f t="shared" si="1"/>
        <v>10</v>
      </c>
      <c r="L37" s="7">
        <f t="shared" si="2"/>
        <v>12</v>
      </c>
    </row>
    <row r="38" spans="1:12" ht="15.75" thickBot="1">
      <c r="A38" s="8">
        <v>29</v>
      </c>
      <c r="B38" s="23">
        <v>1</v>
      </c>
      <c r="C38" s="24"/>
      <c r="D38" s="24"/>
      <c r="E38" s="25"/>
      <c r="F38" s="19">
        <f t="shared" si="0"/>
        <v>1</v>
      </c>
      <c r="G38" s="32">
        <v>9</v>
      </c>
      <c r="H38" s="24">
        <v>1</v>
      </c>
      <c r="I38" s="24"/>
      <c r="J38" s="24"/>
      <c r="K38" s="17">
        <f t="shared" si="1"/>
        <v>10</v>
      </c>
      <c r="L38" s="7">
        <f t="shared" si="2"/>
        <v>11</v>
      </c>
    </row>
    <row r="39" spans="1:12" ht="15.75" thickBot="1">
      <c r="A39" s="8">
        <v>30</v>
      </c>
      <c r="B39" s="23"/>
      <c r="C39" s="24"/>
      <c r="D39" s="24">
        <v>1</v>
      </c>
      <c r="E39" s="25"/>
      <c r="F39" s="19">
        <f t="shared" si="0"/>
        <v>1</v>
      </c>
      <c r="G39" s="32"/>
      <c r="H39" s="24"/>
      <c r="I39" s="24"/>
      <c r="J39" s="24"/>
      <c r="K39" s="17">
        <f t="shared" si="1"/>
        <v>0</v>
      </c>
      <c r="L39" s="7">
        <f t="shared" si="2"/>
        <v>1</v>
      </c>
    </row>
    <row r="40" spans="1:12" ht="15.75" thickBot="1">
      <c r="A40" s="9">
        <v>31</v>
      </c>
      <c r="B40" s="28"/>
      <c r="C40" s="29"/>
      <c r="D40" s="29"/>
      <c r="E40" s="30"/>
      <c r="F40" s="19">
        <f t="shared" si="0"/>
        <v>0</v>
      </c>
      <c r="G40" s="32"/>
      <c r="H40" s="24"/>
      <c r="I40" s="24"/>
      <c r="J40" s="24"/>
      <c r="K40" s="17">
        <f t="shared" si="1"/>
        <v>0</v>
      </c>
      <c r="L40" s="7">
        <f t="shared" si="2"/>
        <v>0</v>
      </c>
    </row>
    <row r="41" spans="1:12" ht="15.75" thickBot="1">
      <c r="A41" s="70"/>
      <c r="B41" s="69">
        <f>SUM(B10:B40)</f>
        <v>37</v>
      </c>
      <c r="C41" s="69">
        <f t="shared" ref="C41:E41" si="3">SUM(C10:C40)</f>
        <v>0</v>
      </c>
      <c r="D41" s="69">
        <f t="shared" si="3"/>
        <v>1</v>
      </c>
      <c r="E41" s="69">
        <f t="shared" si="3"/>
        <v>0</v>
      </c>
      <c r="F41" s="68">
        <f>SUM(F10:F40)</f>
        <v>38</v>
      </c>
      <c r="G41" s="18">
        <f>SUM(G10:G40)</f>
        <v>60</v>
      </c>
      <c r="H41" s="18">
        <f t="shared" ref="H41:L41" si="4">SUM(H10:H40)</f>
        <v>2</v>
      </c>
      <c r="I41" s="18">
        <f t="shared" si="4"/>
        <v>0</v>
      </c>
      <c r="J41" s="18">
        <f t="shared" si="4"/>
        <v>0</v>
      </c>
      <c r="K41" s="18">
        <f t="shared" si="4"/>
        <v>62</v>
      </c>
      <c r="L41" s="18">
        <f t="shared" si="4"/>
        <v>100</v>
      </c>
    </row>
    <row r="42" spans="1:12" ht="15.75" thickBot="1">
      <c r="A42" s="12"/>
      <c r="B42" s="12"/>
      <c r="C42" s="13"/>
      <c r="D42" s="13"/>
      <c r="E42" s="13"/>
      <c r="F42" s="12"/>
      <c r="G42" s="12"/>
      <c r="H42" s="13"/>
      <c r="I42" s="13"/>
      <c r="J42" s="13"/>
      <c r="K42" s="12"/>
      <c r="L42" s="14"/>
    </row>
    <row r="43" spans="1:12" ht="15.75" thickBot="1">
      <c r="A43" s="119"/>
      <c r="B43" s="119"/>
      <c r="C43" s="119"/>
      <c r="D43" s="119"/>
      <c r="E43" s="119"/>
      <c r="F43" s="119"/>
      <c r="G43" s="120" t="s">
        <v>17</v>
      </c>
      <c r="H43" s="151"/>
      <c r="I43" s="120" t="s">
        <v>18</v>
      </c>
      <c r="J43" s="122"/>
      <c r="K43" s="55"/>
      <c r="L43" s="56"/>
    </row>
    <row r="44" spans="1:12" ht="15.75" thickBot="1">
      <c r="A44" s="15"/>
      <c r="B44" s="106" t="s">
        <v>19</v>
      </c>
      <c r="C44" s="107"/>
      <c r="D44" s="107"/>
      <c r="E44" s="107"/>
      <c r="F44" s="107"/>
      <c r="G44" s="117">
        <v>223</v>
      </c>
      <c r="H44" s="162"/>
      <c r="I44" s="163"/>
      <c r="J44" s="164"/>
      <c r="K44" s="55"/>
      <c r="L44" s="56"/>
    </row>
    <row r="45" spans="1:12" ht="15.75" thickBot="1">
      <c r="A45" s="15"/>
      <c r="B45" s="106" t="s">
        <v>20</v>
      </c>
      <c r="C45" s="107"/>
      <c r="D45" s="107"/>
      <c r="E45" s="107"/>
      <c r="F45" s="107"/>
      <c r="G45" s="108">
        <v>0</v>
      </c>
      <c r="H45" s="165"/>
      <c r="I45" s="108"/>
      <c r="J45" s="109"/>
      <c r="K45" s="55"/>
      <c r="L45" s="56"/>
    </row>
    <row r="46" spans="1:12" ht="15.75" thickBot="1">
      <c r="A46" s="15"/>
      <c r="B46" s="114" t="s">
        <v>21</v>
      </c>
      <c r="C46" s="114"/>
      <c r="D46" s="114"/>
      <c r="E46" s="114"/>
      <c r="F46" s="106"/>
      <c r="G46" s="115">
        <v>21</v>
      </c>
      <c r="H46" s="166"/>
      <c r="I46" s="108"/>
      <c r="J46" s="109"/>
      <c r="K46" s="55"/>
      <c r="L46" s="56"/>
    </row>
    <row r="47" spans="1:12" ht="15.75" thickBot="1">
      <c r="A47" s="15"/>
      <c r="B47" s="106" t="s">
        <v>22</v>
      </c>
      <c r="C47" s="107"/>
      <c r="D47" s="107"/>
      <c r="E47" s="107"/>
      <c r="F47" s="107"/>
      <c r="G47" s="113">
        <f>L41+G46</f>
        <v>121</v>
      </c>
      <c r="H47" s="165"/>
      <c r="I47" s="108"/>
      <c r="J47" s="109"/>
      <c r="K47" s="55"/>
      <c r="L47" s="56"/>
    </row>
    <row r="48" spans="1:12" ht="15.75" thickBot="1">
      <c r="A48" s="4"/>
      <c r="B48" s="106" t="s">
        <v>23</v>
      </c>
      <c r="C48" s="107"/>
      <c r="D48" s="107"/>
      <c r="E48" s="107"/>
      <c r="F48" s="107"/>
      <c r="G48" s="113">
        <f>G44+G45-G47</f>
        <v>102</v>
      </c>
      <c r="H48" s="165"/>
      <c r="I48" s="108"/>
      <c r="J48" s="109"/>
      <c r="K48" s="55"/>
      <c r="L48" s="57"/>
    </row>
    <row r="49" spans="1:12" ht="15.75" thickBot="1">
      <c r="A49" s="4"/>
      <c r="B49" s="106" t="s">
        <v>24</v>
      </c>
      <c r="C49" s="107"/>
      <c r="D49" s="107"/>
      <c r="E49" s="107"/>
      <c r="F49" s="107"/>
      <c r="G49" s="168">
        <v>52</v>
      </c>
      <c r="H49" s="165"/>
      <c r="I49" s="108"/>
      <c r="J49" s="109"/>
      <c r="K49" s="55"/>
      <c r="L49" s="57"/>
    </row>
    <row r="50" spans="1:12" ht="15.75" thickBot="1">
      <c r="A50" s="4"/>
      <c r="B50" s="106" t="s">
        <v>25</v>
      </c>
      <c r="C50" s="107"/>
      <c r="D50" s="107"/>
      <c r="E50" s="107"/>
      <c r="F50" s="107"/>
      <c r="G50" s="110">
        <f>G48-G49</f>
        <v>50</v>
      </c>
      <c r="H50" s="167"/>
      <c r="I50" s="112"/>
      <c r="J50" s="111"/>
      <c r="K50" s="55"/>
      <c r="L50" s="57"/>
    </row>
    <row r="51" spans="1:12">
      <c r="A51" s="5" t="s">
        <v>26</v>
      </c>
      <c r="B51" s="38"/>
      <c r="C51" s="44"/>
      <c r="D51" s="44"/>
      <c r="E51" s="44"/>
      <c r="F51" s="38"/>
      <c r="G51" s="38"/>
      <c r="H51" s="44"/>
      <c r="I51" s="45" t="s">
        <v>27</v>
      </c>
      <c r="J51" s="44"/>
      <c r="K51" s="38"/>
      <c r="L51" s="1"/>
    </row>
    <row r="54" spans="1:12">
      <c r="B54" t="s">
        <v>39</v>
      </c>
    </row>
    <row r="55" spans="1:12">
      <c r="B55" t="s">
        <v>28</v>
      </c>
    </row>
    <row r="56" spans="1:12">
      <c r="B56" t="s">
        <v>34</v>
      </c>
    </row>
  </sheetData>
  <mergeCells count="36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6:L6"/>
    <mergeCell ref="H7:I7"/>
    <mergeCell ref="A8:A9"/>
    <mergeCell ref="B8:F8"/>
    <mergeCell ref="G8:K8"/>
    <mergeCell ref="L8:L9"/>
    <mergeCell ref="A5:L5"/>
    <mergeCell ref="A1:D1"/>
    <mergeCell ref="G1:L1"/>
    <mergeCell ref="A2:D2"/>
    <mergeCell ref="G2:L2"/>
    <mergeCell ref="A3:D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5"/>
  <sheetViews>
    <sheetView topLeftCell="A40" workbookViewId="0">
      <selection activeCell="B54" sqref="B54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26" t="s">
        <v>0</v>
      </c>
      <c r="B1" s="126"/>
      <c r="C1" s="126"/>
      <c r="D1" s="126"/>
      <c r="E1" s="37"/>
      <c r="F1" s="38"/>
      <c r="G1" s="127" t="s">
        <v>1</v>
      </c>
      <c r="H1" s="127"/>
      <c r="I1" s="127"/>
      <c r="J1" s="127"/>
      <c r="K1" s="127"/>
      <c r="L1" s="127"/>
    </row>
    <row r="2" spans="1:12" ht="15.75">
      <c r="A2" s="127" t="s">
        <v>2</v>
      </c>
      <c r="B2" s="127"/>
      <c r="C2" s="127"/>
      <c r="D2" s="127"/>
      <c r="E2" s="37"/>
      <c r="F2" s="38"/>
      <c r="G2" s="138" t="s">
        <v>3</v>
      </c>
      <c r="H2" s="138"/>
      <c r="I2" s="138"/>
      <c r="J2" s="138"/>
      <c r="K2" s="138"/>
      <c r="L2" s="138"/>
    </row>
    <row r="3" spans="1:12">
      <c r="A3" s="138" t="s">
        <v>4</v>
      </c>
      <c r="B3" s="138"/>
      <c r="C3" s="138"/>
      <c r="D3" s="138"/>
      <c r="E3" s="37"/>
      <c r="F3" s="38"/>
      <c r="G3" s="38"/>
      <c r="H3" s="37"/>
      <c r="I3" s="37"/>
      <c r="J3" s="37"/>
      <c r="K3" s="38"/>
      <c r="L3" s="1"/>
    </row>
    <row r="4" spans="1:12">
      <c r="A4" s="74"/>
      <c r="B4" s="38"/>
      <c r="C4" s="37"/>
      <c r="D4" s="37"/>
      <c r="E4" s="37"/>
      <c r="F4" s="38"/>
      <c r="G4" s="38"/>
      <c r="H4" s="37"/>
      <c r="I4" s="37"/>
      <c r="J4" s="37"/>
      <c r="K4" s="38"/>
      <c r="L4" s="1"/>
    </row>
    <row r="5" spans="1:12" ht="18">
      <c r="A5" s="126" t="s">
        <v>5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15.75">
      <c r="A6" s="127" t="s">
        <v>41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</row>
    <row r="7" spans="1:12" ht="15.75" thickBot="1">
      <c r="A7" s="2" t="s">
        <v>6</v>
      </c>
      <c r="B7" s="12"/>
      <c r="C7" s="13"/>
      <c r="D7" s="13"/>
      <c r="E7" s="13"/>
      <c r="F7" s="12"/>
      <c r="G7" s="12"/>
      <c r="H7" s="129"/>
      <c r="I7" s="129"/>
      <c r="J7" s="13"/>
      <c r="K7" s="39"/>
      <c r="L7" s="3"/>
    </row>
    <row r="8" spans="1:12">
      <c r="A8" s="130" t="s">
        <v>7</v>
      </c>
      <c r="B8" s="132" t="s">
        <v>8</v>
      </c>
      <c r="C8" s="133"/>
      <c r="D8" s="133"/>
      <c r="E8" s="133"/>
      <c r="F8" s="134"/>
      <c r="G8" s="135" t="s">
        <v>9</v>
      </c>
      <c r="H8" s="133"/>
      <c r="I8" s="133"/>
      <c r="J8" s="133"/>
      <c r="K8" s="134"/>
      <c r="L8" s="136" t="s">
        <v>10</v>
      </c>
    </row>
    <row r="9" spans="1:12" ht="15.75" thickBot="1">
      <c r="A9" s="131"/>
      <c r="B9" s="40" t="s">
        <v>11</v>
      </c>
      <c r="C9" s="41" t="s">
        <v>12</v>
      </c>
      <c r="D9" s="41" t="s">
        <v>13</v>
      </c>
      <c r="E9" s="41" t="s">
        <v>14</v>
      </c>
      <c r="F9" s="42" t="s">
        <v>15</v>
      </c>
      <c r="G9" s="43" t="s">
        <v>11</v>
      </c>
      <c r="H9" s="41" t="s">
        <v>12</v>
      </c>
      <c r="I9" s="41" t="s">
        <v>13</v>
      </c>
      <c r="J9" s="41" t="s">
        <v>14</v>
      </c>
      <c r="K9" s="42" t="s">
        <v>16</v>
      </c>
      <c r="L9" s="137"/>
    </row>
    <row r="10" spans="1:12" ht="15.75" thickBot="1">
      <c r="A10" s="6">
        <v>1</v>
      </c>
      <c r="B10" s="20">
        <v>1</v>
      </c>
      <c r="C10" s="21"/>
      <c r="D10" s="21"/>
      <c r="E10" s="22"/>
      <c r="F10" s="19">
        <f>SUM(B10:E10)</f>
        <v>1</v>
      </c>
      <c r="G10" s="48"/>
      <c r="H10" s="31">
        <v>1</v>
      </c>
      <c r="I10" s="31"/>
      <c r="J10" s="31"/>
      <c r="K10" s="17">
        <f>SUM(G10:J10)</f>
        <v>1</v>
      </c>
      <c r="L10" s="7">
        <f>SUM(F10+K10)</f>
        <v>2</v>
      </c>
    </row>
    <row r="11" spans="1:12" ht="15.75" thickBot="1">
      <c r="A11" s="8">
        <v>2</v>
      </c>
      <c r="B11" s="23"/>
      <c r="C11" s="24"/>
      <c r="D11" s="24"/>
      <c r="E11" s="25"/>
      <c r="F11" s="19">
        <f t="shared" ref="F11:F40" si="0">SUM(B11:E11)</f>
        <v>0</v>
      </c>
      <c r="G11" s="32"/>
      <c r="H11" s="24"/>
      <c r="I11" s="24"/>
      <c r="J11" s="24"/>
      <c r="K11" s="17">
        <f t="shared" ref="K11:K40" si="1">SUM(G11:J11)</f>
        <v>0</v>
      </c>
      <c r="L11" s="7">
        <f t="shared" ref="L11:L40" si="2">SUM(F11+K11)</f>
        <v>0</v>
      </c>
    </row>
    <row r="12" spans="1:12" ht="15.75" thickBot="1">
      <c r="A12" s="8">
        <v>3</v>
      </c>
      <c r="B12" s="23"/>
      <c r="C12" s="24"/>
      <c r="D12" s="24"/>
      <c r="E12" s="26"/>
      <c r="F12" s="19">
        <f t="shared" si="0"/>
        <v>0</v>
      </c>
      <c r="G12" s="32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>
      <c r="A13" s="8">
        <v>4</v>
      </c>
      <c r="B13" s="23"/>
      <c r="C13" s="24"/>
      <c r="D13" s="24"/>
      <c r="E13" s="25"/>
      <c r="F13" s="19">
        <f t="shared" si="0"/>
        <v>0</v>
      </c>
      <c r="G13" s="33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>
      <c r="A14" s="8">
        <v>5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>
      <c r="A15" s="8">
        <v>6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>
      <c r="A16" s="8">
        <v>7</v>
      </c>
      <c r="B16" s="23"/>
      <c r="C16" s="24"/>
      <c r="D16" s="24"/>
      <c r="E16" s="25"/>
      <c r="F16" s="19">
        <f t="shared" si="0"/>
        <v>0</v>
      </c>
      <c r="G16" s="32">
        <v>5</v>
      </c>
      <c r="H16" s="24"/>
      <c r="I16" s="24"/>
      <c r="J16" s="24"/>
      <c r="K16" s="17">
        <f t="shared" si="1"/>
        <v>5</v>
      </c>
      <c r="L16" s="7">
        <f t="shared" si="2"/>
        <v>5</v>
      </c>
    </row>
    <row r="17" spans="1:12" ht="15.75" thickBot="1">
      <c r="A17" s="8">
        <v>8</v>
      </c>
      <c r="B17" s="23"/>
      <c r="C17" s="24"/>
      <c r="D17" s="24"/>
      <c r="E17" s="25"/>
      <c r="F17" s="19">
        <f t="shared" si="0"/>
        <v>0</v>
      </c>
      <c r="G17" s="32">
        <v>8</v>
      </c>
      <c r="H17" s="24"/>
      <c r="I17" s="24"/>
      <c r="J17" s="24"/>
      <c r="K17" s="17">
        <f t="shared" si="1"/>
        <v>8</v>
      </c>
      <c r="L17" s="7">
        <f t="shared" si="2"/>
        <v>8</v>
      </c>
    </row>
    <row r="18" spans="1:12" ht="15.75" thickBot="1">
      <c r="A18" s="8">
        <v>9</v>
      </c>
      <c r="B18" s="23"/>
      <c r="C18" s="24"/>
      <c r="D18" s="24"/>
      <c r="E18" s="25"/>
      <c r="F18" s="19">
        <f t="shared" si="0"/>
        <v>0</v>
      </c>
      <c r="G18" s="32">
        <v>3</v>
      </c>
      <c r="H18" s="24"/>
      <c r="I18" s="24"/>
      <c r="J18" s="24"/>
      <c r="K18" s="17">
        <f t="shared" si="1"/>
        <v>3</v>
      </c>
      <c r="L18" s="7">
        <f t="shared" si="2"/>
        <v>3</v>
      </c>
    </row>
    <row r="19" spans="1:12" ht="15.75" thickBot="1">
      <c r="A19" s="8">
        <v>10</v>
      </c>
      <c r="B19" s="23"/>
      <c r="C19" s="24"/>
      <c r="D19" s="24"/>
      <c r="E19" s="25"/>
      <c r="F19" s="19">
        <f t="shared" si="0"/>
        <v>0</v>
      </c>
      <c r="G19" s="34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>
      <c r="A20" s="8">
        <v>11</v>
      </c>
      <c r="B20" s="23"/>
      <c r="C20" s="24"/>
      <c r="D20" s="24"/>
      <c r="E20" s="25"/>
      <c r="F20" s="19">
        <f t="shared" si="0"/>
        <v>0</v>
      </c>
      <c r="G20" s="32"/>
      <c r="H20" s="24"/>
      <c r="I20" s="24"/>
      <c r="J20" s="24"/>
      <c r="K20" s="17">
        <f t="shared" si="1"/>
        <v>0</v>
      </c>
      <c r="L20" s="7">
        <f t="shared" si="2"/>
        <v>0</v>
      </c>
    </row>
    <row r="21" spans="1:12" ht="15.75" thickBot="1">
      <c r="A21" s="8">
        <v>12</v>
      </c>
      <c r="B21" s="23">
        <v>2</v>
      </c>
      <c r="C21" s="24"/>
      <c r="D21" s="24"/>
      <c r="E21" s="25"/>
      <c r="F21" s="19">
        <f t="shared" si="0"/>
        <v>2</v>
      </c>
      <c r="G21" s="32"/>
      <c r="H21" s="35"/>
      <c r="I21" s="35"/>
      <c r="J21" s="35"/>
      <c r="K21" s="17">
        <f t="shared" si="1"/>
        <v>0</v>
      </c>
      <c r="L21" s="7">
        <f t="shared" si="2"/>
        <v>2</v>
      </c>
    </row>
    <row r="22" spans="1:12" ht="15.75" thickBot="1">
      <c r="A22" s="8">
        <v>13</v>
      </c>
      <c r="B22" s="23">
        <v>3</v>
      </c>
      <c r="C22" s="24"/>
      <c r="D22" s="24"/>
      <c r="E22" s="25"/>
      <c r="F22" s="19">
        <f t="shared" si="0"/>
        <v>3</v>
      </c>
      <c r="G22" s="36">
        <v>1</v>
      </c>
      <c r="H22" s="24"/>
      <c r="I22" s="24"/>
      <c r="J22" s="24"/>
      <c r="K22" s="17">
        <f t="shared" si="1"/>
        <v>1</v>
      </c>
      <c r="L22" s="7">
        <f t="shared" si="2"/>
        <v>4</v>
      </c>
    </row>
    <row r="23" spans="1:12" ht="15.75" thickBot="1">
      <c r="A23" s="8">
        <v>14</v>
      </c>
      <c r="B23" s="23">
        <v>1</v>
      </c>
      <c r="C23" s="24"/>
      <c r="D23" s="24"/>
      <c r="E23" s="25"/>
      <c r="F23" s="19">
        <f t="shared" si="0"/>
        <v>1</v>
      </c>
      <c r="G23" s="36"/>
      <c r="H23" s="24"/>
      <c r="I23" s="24"/>
      <c r="J23" s="24"/>
      <c r="K23" s="17">
        <f t="shared" si="1"/>
        <v>0</v>
      </c>
      <c r="L23" s="7">
        <f t="shared" si="2"/>
        <v>1</v>
      </c>
    </row>
    <row r="24" spans="1:12" ht="15.75" thickBot="1">
      <c r="A24" s="8">
        <v>15</v>
      </c>
      <c r="B24" s="23">
        <v>1</v>
      </c>
      <c r="C24" s="24"/>
      <c r="D24" s="24"/>
      <c r="E24" s="25"/>
      <c r="F24" s="19">
        <f t="shared" si="0"/>
        <v>1</v>
      </c>
      <c r="G24" s="32">
        <v>3</v>
      </c>
      <c r="H24" s="24"/>
      <c r="I24" s="24"/>
      <c r="J24" s="24"/>
      <c r="K24" s="17">
        <f t="shared" si="1"/>
        <v>3</v>
      </c>
      <c r="L24" s="7">
        <f t="shared" si="2"/>
        <v>4</v>
      </c>
    </row>
    <row r="25" spans="1:12" ht="15.75" thickBot="1">
      <c r="A25" s="8">
        <v>16</v>
      </c>
      <c r="B25" s="23"/>
      <c r="C25" s="24"/>
      <c r="D25" s="24"/>
      <c r="E25" s="25"/>
      <c r="F25" s="19">
        <f t="shared" si="0"/>
        <v>0</v>
      </c>
      <c r="G25" s="32">
        <v>4</v>
      </c>
      <c r="H25" s="24"/>
      <c r="I25" s="24"/>
      <c r="J25" s="24"/>
      <c r="K25" s="17">
        <f t="shared" si="1"/>
        <v>4</v>
      </c>
      <c r="L25" s="7">
        <f t="shared" si="2"/>
        <v>4</v>
      </c>
    </row>
    <row r="26" spans="1:12" ht="15.75" thickBot="1">
      <c r="A26" s="8">
        <v>17</v>
      </c>
      <c r="B26" s="23"/>
      <c r="C26" s="49"/>
      <c r="D26" s="27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>
      <c r="A27" s="8">
        <v>18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>
      <c r="A28" s="8">
        <v>19</v>
      </c>
      <c r="B28" s="23"/>
      <c r="C28" s="24"/>
      <c r="D28" s="24"/>
      <c r="E28" s="25"/>
      <c r="F28" s="19">
        <f t="shared" si="0"/>
        <v>0</v>
      </c>
      <c r="G28" s="32">
        <v>4</v>
      </c>
      <c r="H28" s="24"/>
      <c r="I28" s="24"/>
      <c r="J28" s="24"/>
      <c r="K28" s="17">
        <f t="shared" si="1"/>
        <v>4</v>
      </c>
      <c r="L28" s="7">
        <f t="shared" si="2"/>
        <v>4</v>
      </c>
    </row>
    <row r="29" spans="1:12" ht="15.75" thickBot="1">
      <c r="A29" s="8">
        <v>20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>
      <c r="A30" s="8">
        <v>21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>
      <c r="A31" s="8">
        <v>22</v>
      </c>
      <c r="B31" s="23"/>
      <c r="C31" s="24"/>
      <c r="D31" s="24"/>
      <c r="E31" s="62"/>
      <c r="F31" s="19">
        <f t="shared" si="0"/>
        <v>0</v>
      </c>
      <c r="G31" s="32">
        <v>3</v>
      </c>
      <c r="H31" s="24"/>
      <c r="I31" s="24"/>
      <c r="J31" s="24"/>
      <c r="K31" s="17">
        <f t="shared" si="1"/>
        <v>3</v>
      </c>
      <c r="L31" s="7">
        <f t="shared" si="2"/>
        <v>3</v>
      </c>
    </row>
    <row r="32" spans="1:12" ht="15.75" thickBot="1">
      <c r="A32" s="8">
        <v>23</v>
      </c>
      <c r="B32" s="23"/>
      <c r="C32" s="24"/>
      <c r="D32" s="24"/>
      <c r="E32" s="25"/>
      <c r="F32" s="19">
        <f t="shared" si="0"/>
        <v>0</v>
      </c>
      <c r="G32" s="32">
        <v>2</v>
      </c>
      <c r="H32" s="24"/>
      <c r="I32" s="24"/>
      <c r="J32" s="24"/>
      <c r="K32" s="17">
        <f t="shared" si="1"/>
        <v>2</v>
      </c>
      <c r="L32" s="7">
        <f t="shared" si="2"/>
        <v>2</v>
      </c>
    </row>
    <row r="33" spans="1:12" ht="15.75" thickBot="1">
      <c r="A33" s="8">
        <v>24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>
      <c r="A34" s="8">
        <v>25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>
      <c r="A35" s="8">
        <v>26</v>
      </c>
      <c r="B35" s="23">
        <v>1</v>
      </c>
      <c r="C35" s="24"/>
      <c r="D35" s="24"/>
      <c r="E35" s="25"/>
      <c r="F35" s="19">
        <f t="shared" si="0"/>
        <v>1</v>
      </c>
      <c r="G35" s="32"/>
      <c r="H35" s="24"/>
      <c r="I35" s="24"/>
      <c r="J35" s="24"/>
      <c r="K35" s="17">
        <f t="shared" si="1"/>
        <v>0</v>
      </c>
      <c r="L35" s="7">
        <f t="shared" si="2"/>
        <v>1</v>
      </c>
    </row>
    <row r="36" spans="1:12" ht="15.75" thickBot="1">
      <c r="A36" s="8">
        <v>27</v>
      </c>
      <c r="B36" s="71"/>
      <c r="C36" s="24"/>
      <c r="D36" s="24"/>
      <c r="E36" s="25"/>
      <c r="F36" s="19">
        <f t="shared" si="0"/>
        <v>0</v>
      </c>
      <c r="G36" s="47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>
      <c r="A37" s="8">
        <v>28</v>
      </c>
      <c r="B37" s="23">
        <v>1</v>
      </c>
      <c r="C37" s="24"/>
      <c r="D37" s="24"/>
      <c r="E37" s="25"/>
      <c r="F37" s="19">
        <f t="shared" si="0"/>
        <v>1</v>
      </c>
      <c r="G37" s="32"/>
      <c r="H37" s="24"/>
      <c r="I37" s="24"/>
      <c r="J37" s="24"/>
      <c r="K37" s="17">
        <f t="shared" si="1"/>
        <v>0</v>
      </c>
      <c r="L37" s="7">
        <f t="shared" si="2"/>
        <v>1</v>
      </c>
    </row>
    <row r="38" spans="1:12" ht="15.75" thickBot="1">
      <c r="A38" s="8">
        <v>29</v>
      </c>
      <c r="B38" s="23">
        <v>1</v>
      </c>
      <c r="C38" s="24"/>
      <c r="D38" s="24">
        <v>1</v>
      </c>
      <c r="E38" s="25"/>
      <c r="F38" s="19">
        <f t="shared" si="0"/>
        <v>2</v>
      </c>
      <c r="G38" s="32"/>
      <c r="H38" s="24"/>
      <c r="I38" s="24"/>
      <c r="J38" s="24"/>
      <c r="K38" s="17">
        <f t="shared" si="1"/>
        <v>0</v>
      </c>
      <c r="L38" s="7">
        <f t="shared" si="2"/>
        <v>2</v>
      </c>
    </row>
    <row r="39" spans="1:12" ht="15.75" thickBot="1">
      <c r="A39" s="8">
        <v>30</v>
      </c>
      <c r="B39" s="23">
        <v>2</v>
      </c>
      <c r="C39" s="24"/>
      <c r="D39" s="24"/>
      <c r="E39" s="25"/>
      <c r="F39" s="19">
        <f t="shared" si="0"/>
        <v>2</v>
      </c>
      <c r="G39" s="32"/>
      <c r="H39" s="24"/>
      <c r="I39" s="24"/>
      <c r="J39" s="24"/>
      <c r="K39" s="17">
        <f t="shared" si="1"/>
        <v>0</v>
      </c>
      <c r="L39" s="7">
        <f t="shared" si="2"/>
        <v>2</v>
      </c>
    </row>
    <row r="40" spans="1:12" ht="15.75" thickBot="1">
      <c r="A40" s="9">
        <v>31</v>
      </c>
      <c r="B40" s="28"/>
      <c r="C40" s="29"/>
      <c r="D40" s="29"/>
      <c r="E40" s="30"/>
      <c r="F40" s="19">
        <f t="shared" si="0"/>
        <v>0</v>
      </c>
      <c r="G40" s="32"/>
      <c r="H40" s="24"/>
      <c r="I40" s="24"/>
      <c r="J40" s="24"/>
      <c r="K40" s="17">
        <f t="shared" si="1"/>
        <v>0</v>
      </c>
      <c r="L40" s="7">
        <f t="shared" si="2"/>
        <v>0</v>
      </c>
    </row>
    <row r="41" spans="1:12" ht="15.75" thickBot="1">
      <c r="A41" s="75"/>
      <c r="B41" s="73">
        <f>SUM(B10:B40)</f>
        <v>13</v>
      </c>
      <c r="C41" s="73">
        <f t="shared" ref="C41:E41" si="3">SUM(C10:C40)</f>
        <v>0</v>
      </c>
      <c r="D41" s="73">
        <f t="shared" si="3"/>
        <v>1</v>
      </c>
      <c r="E41" s="73">
        <f t="shared" si="3"/>
        <v>0</v>
      </c>
      <c r="F41" s="72">
        <f>SUM(F10:F40)</f>
        <v>14</v>
      </c>
      <c r="G41" s="18">
        <f>SUM(G10:G40)</f>
        <v>33</v>
      </c>
      <c r="H41" s="18">
        <f t="shared" ref="H41:L41" si="4">SUM(H10:H40)</f>
        <v>1</v>
      </c>
      <c r="I41" s="18">
        <f t="shared" si="4"/>
        <v>0</v>
      </c>
      <c r="J41" s="18">
        <f t="shared" si="4"/>
        <v>0</v>
      </c>
      <c r="K41" s="18">
        <f t="shared" si="4"/>
        <v>34</v>
      </c>
      <c r="L41" s="18">
        <f t="shared" si="4"/>
        <v>48</v>
      </c>
    </row>
    <row r="42" spans="1:12" ht="15.75" thickBot="1">
      <c r="A42" s="12"/>
      <c r="B42" s="12"/>
      <c r="C42" s="13"/>
      <c r="D42" s="13"/>
      <c r="E42" s="13"/>
      <c r="F42" s="12"/>
      <c r="G42" s="12"/>
      <c r="H42" s="13"/>
      <c r="I42" s="13"/>
      <c r="J42" s="13"/>
      <c r="K42" s="12"/>
      <c r="L42" s="14"/>
    </row>
    <row r="43" spans="1:12" ht="15.75" thickBot="1">
      <c r="A43" s="119"/>
      <c r="B43" s="119"/>
      <c r="C43" s="119"/>
      <c r="D43" s="119"/>
      <c r="E43" s="119"/>
      <c r="F43" s="119"/>
      <c r="G43" s="120" t="s">
        <v>17</v>
      </c>
      <c r="H43" s="151"/>
      <c r="I43" s="120" t="s">
        <v>18</v>
      </c>
      <c r="J43" s="122"/>
      <c r="K43" s="55"/>
      <c r="L43" s="56"/>
    </row>
    <row r="44" spans="1:12" ht="15.75" thickBot="1">
      <c r="A44" s="15"/>
      <c r="B44" s="106" t="s">
        <v>19</v>
      </c>
      <c r="C44" s="107"/>
      <c r="D44" s="107"/>
      <c r="E44" s="107"/>
      <c r="F44" s="107"/>
      <c r="G44" s="117">
        <v>52</v>
      </c>
      <c r="H44" s="162"/>
      <c r="I44" s="163"/>
      <c r="J44" s="164"/>
      <c r="K44" s="55"/>
      <c r="L44" s="56"/>
    </row>
    <row r="45" spans="1:12" ht="15.75" thickBot="1">
      <c r="A45" s="15"/>
      <c r="B45" s="106" t="s">
        <v>20</v>
      </c>
      <c r="C45" s="107"/>
      <c r="D45" s="107"/>
      <c r="E45" s="107"/>
      <c r="F45" s="107"/>
      <c r="G45" s="108">
        <v>208</v>
      </c>
      <c r="H45" s="165"/>
      <c r="I45" s="108"/>
      <c r="J45" s="109"/>
      <c r="K45" s="55"/>
      <c r="L45" s="56"/>
    </row>
    <row r="46" spans="1:12" ht="15.75" thickBot="1">
      <c r="A46" s="15"/>
      <c r="B46" s="114" t="s">
        <v>21</v>
      </c>
      <c r="C46" s="114"/>
      <c r="D46" s="114"/>
      <c r="E46" s="114"/>
      <c r="F46" s="106"/>
      <c r="G46" s="115">
        <v>0</v>
      </c>
      <c r="H46" s="166"/>
      <c r="I46" s="108"/>
      <c r="J46" s="109"/>
      <c r="K46" s="55"/>
      <c r="L46" s="56"/>
    </row>
    <row r="47" spans="1:12" ht="15.75" thickBot="1">
      <c r="A47" s="15"/>
      <c r="B47" s="106" t="s">
        <v>22</v>
      </c>
      <c r="C47" s="107"/>
      <c r="D47" s="107"/>
      <c r="E47" s="107"/>
      <c r="F47" s="107"/>
      <c r="G47" s="113">
        <f>L41+G46</f>
        <v>48</v>
      </c>
      <c r="H47" s="165"/>
      <c r="I47" s="108"/>
      <c r="J47" s="109"/>
      <c r="K47" s="55"/>
      <c r="L47" s="56"/>
    </row>
    <row r="48" spans="1:12" ht="15.75" thickBot="1">
      <c r="A48" s="4"/>
      <c r="B48" s="106" t="s">
        <v>23</v>
      </c>
      <c r="C48" s="107"/>
      <c r="D48" s="107"/>
      <c r="E48" s="107"/>
      <c r="F48" s="107"/>
      <c r="G48" s="113">
        <f>G44+G45-G47</f>
        <v>212</v>
      </c>
      <c r="H48" s="165"/>
      <c r="I48" s="108"/>
      <c r="J48" s="109"/>
      <c r="K48" s="55"/>
      <c r="L48" s="57"/>
    </row>
    <row r="49" spans="1:12" ht="15.75" thickBot="1">
      <c r="A49" s="4"/>
      <c r="B49" s="106" t="s">
        <v>24</v>
      </c>
      <c r="C49" s="107"/>
      <c r="D49" s="107"/>
      <c r="E49" s="107"/>
      <c r="F49" s="107"/>
      <c r="G49" s="168">
        <v>194</v>
      </c>
      <c r="H49" s="165"/>
      <c r="I49" s="108"/>
      <c r="J49" s="109"/>
      <c r="K49" s="55"/>
      <c r="L49" s="57"/>
    </row>
    <row r="50" spans="1:12" ht="15.75" thickBot="1">
      <c r="A50" s="4"/>
      <c r="B50" s="106" t="s">
        <v>25</v>
      </c>
      <c r="C50" s="107"/>
      <c r="D50" s="107"/>
      <c r="E50" s="107"/>
      <c r="F50" s="107"/>
      <c r="G50" s="110">
        <f>G48-G49</f>
        <v>18</v>
      </c>
      <c r="H50" s="167"/>
      <c r="I50" s="112"/>
      <c r="J50" s="111"/>
      <c r="K50" s="55"/>
      <c r="L50" s="57"/>
    </row>
    <row r="51" spans="1:12">
      <c r="A51" s="5" t="s">
        <v>26</v>
      </c>
      <c r="B51" s="38"/>
      <c r="C51" s="44"/>
      <c r="D51" s="44"/>
      <c r="E51" s="44"/>
      <c r="F51" s="38"/>
      <c r="G51" s="38"/>
      <c r="H51" s="44"/>
      <c r="I51" s="45" t="s">
        <v>27</v>
      </c>
      <c r="J51" s="44"/>
      <c r="K51" s="38"/>
      <c r="L51" s="1"/>
    </row>
    <row r="53" spans="1:12">
      <c r="B53" t="s">
        <v>32</v>
      </c>
    </row>
    <row r="54" spans="1:12">
      <c r="B54" t="s">
        <v>42</v>
      </c>
    </row>
    <row r="55" spans="1:12">
      <c r="A55" t="s">
        <v>44</v>
      </c>
    </row>
  </sheetData>
  <mergeCells count="36">
    <mergeCell ref="A5:L5"/>
    <mergeCell ref="A1:D1"/>
    <mergeCell ref="G1:L1"/>
    <mergeCell ref="A2:D2"/>
    <mergeCell ref="G2:L2"/>
    <mergeCell ref="A3:D3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L51"/>
  <sheetViews>
    <sheetView topLeftCell="A31" workbookViewId="0">
      <selection activeCell="B51" sqref="B51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26" t="s">
        <v>0</v>
      </c>
      <c r="B1" s="126"/>
      <c r="C1" s="126"/>
      <c r="D1" s="126"/>
      <c r="E1" s="37"/>
      <c r="F1" s="38"/>
      <c r="G1" s="127" t="s">
        <v>1</v>
      </c>
      <c r="H1" s="127"/>
      <c r="I1" s="127"/>
      <c r="J1" s="127"/>
      <c r="K1" s="127"/>
      <c r="L1" s="127"/>
    </row>
    <row r="2" spans="1:12" ht="15.75">
      <c r="A2" s="127" t="s">
        <v>2</v>
      </c>
      <c r="B2" s="127"/>
      <c r="C2" s="127"/>
      <c r="D2" s="127"/>
      <c r="E2" s="37"/>
      <c r="F2" s="38"/>
      <c r="G2" s="138" t="s">
        <v>3</v>
      </c>
      <c r="H2" s="138"/>
      <c r="I2" s="138"/>
      <c r="J2" s="138"/>
      <c r="K2" s="138"/>
      <c r="L2" s="138"/>
    </row>
    <row r="3" spans="1:12">
      <c r="A3" s="138" t="s">
        <v>4</v>
      </c>
      <c r="B3" s="138"/>
      <c r="C3" s="138"/>
      <c r="D3" s="138"/>
      <c r="E3" s="37"/>
      <c r="F3" s="38"/>
      <c r="G3" s="38"/>
      <c r="H3" s="37"/>
      <c r="I3" s="37"/>
      <c r="J3" s="37"/>
      <c r="K3" s="38"/>
      <c r="L3" s="1"/>
    </row>
    <row r="4" spans="1:12" ht="18">
      <c r="A4" s="126" t="s">
        <v>5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</row>
    <row r="5" spans="1:12" ht="16.5" thickBot="1">
      <c r="A5" s="127" t="s">
        <v>43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</row>
    <row r="6" spans="1:12" ht="15.75" thickBot="1">
      <c r="A6" s="169" t="s">
        <v>7</v>
      </c>
      <c r="B6" s="170" t="s">
        <v>8</v>
      </c>
      <c r="C6" s="171"/>
      <c r="D6" s="171"/>
      <c r="E6" s="171"/>
      <c r="F6" s="172"/>
      <c r="G6" s="170" t="s">
        <v>9</v>
      </c>
      <c r="H6" s="171"/>
      <c r="I6" s="171"/>
      <c r="J6" s="171"/>
      <c r="K6" s="173"/>
      <c r="L6" s="174" t="s">
        <v>10</v>
      </c>
    </row>
    <row r="7" spans="1:12" ht="15.75" thickBot="1">
      <c r="A7" s="131"/>
      <c r="B7" s="83" t="s">
        <v>11</v>
      </c>
      <c r="C7" s="84" t="s">
        <v>12</v>
      </c>
      <c r="D7" s="84" t="s">
        <v>13</v>
      </c>
      <c r="E7" s="84" t="s">
        <v>14</v>
      </c>
      <c r="F7" s="85" t="s">
        <v>15</v>
      </c>
      <c r="G7" s="86" t="s">
        <v>11</v>
      </c>
      <c r="H7" s="84" t="s">
        <v>12</v>
      </c>
      <c r="I7" s="84" t="s">
        <v>13</v>
      </c>
      <c r="J7" s="84" t="s">
        <v>14</v>
      </c>
      <c r="K7" s="85" t="s">
        <v>16</v>
      </c>
      <c r="L7" s="137"/>
    </row>
    <row r="8" spans="1:12" ht="15.75" thickBot="1">
      <c r="A8" s="6">
        <v>1</v>
      </c>
      <c r="B8" s="20"/>
      <c r="C8" s="21"/>
      <c r="D8" s="21"/>
      <c r="E8" s="22"/>
      <c r="F8" s="19">
        <f>SUM(B8:E8)</f>
        <v>0</v>
      </c>
      <c r="G8" s="48"/>
      <c r="H8" s="31"/>
      <c r="I8" s="31"/>
      <c r="J8" s="31"/>
      <c r="K8" s="17">
        <f>SUM(G8:J8)</f>
        <v>0</v>
      </c>
      <c r="L8" s="7">
        <f>SUM(F8+K8)</f>
        <v>0</v>
      </c>
    </row>
    <row r="9" spans="1:12" ht="15.75" thickBot="1">
      <c r="A9" s="8">
        <v>2</v>
      </c>
      <c r="B9" s="23"/>
      <c r="C9" s="24"/>
      <c r="D9" s="24"/>
      <c r="E9" s="25"/>
      <c r="F9" s="19">
        <f t="shared" ref="F9:F38" si="0">SUM(B9:E9)</f>
        <v>0</v>
      </c>
      <c r="G9" s="32"/>
      <c r="H9" s="24"/>
      <c r="I9" s="24"/>
      <c r="J9" s="24"/>
      <c r="K9" s="17">
        <f t="shared" ref="K9:K38" si="1">SUM(G9:J9)</f>
        <v>0</v>
      </c>
      <c r="L9" s="7">
        <f t="shared" ref="L9:L38" si="2">SUM(F9+K9)</f>
        <v>0</v>
      </c>
    </row>
    <row r="10" spans="1:12" ht="15.75" thickBot="1">
      <c r="A10" s="8">
        <v>3</v>
      </c>
      <c r="B10" s="23">
        <v>4</v>
      </c>
      <c r="C10" s="24"/>
      <c r="D10" s="24"/>
      <c r="E10" s="26"/>
      <c r="F10" s="19">
        <f t="shared" si="0"/>
        <v>4</v>
      </c>
      <c r="G10" s="32"/>
      <c r="H10" s="24">
        <v>1</v>
      </c>
      <c r="I10" s="24"/>
      <c r="J10" s="24"/>
      <c r="K10" s="17">
        <f t="shared" si="1"/>
        <v>1</v>
      </c>
      <c r="L10" s="7">
        <f t="shared" si="2"/>
        <v>5</v>
      </c>
    </row>
    <row r="11" spans="1:12" ht="15.75" thickBot="1">
      <c r="A11" s="8">
        <v>4</v>
      </c>
      <c r="B11" s="23"/>
      <c r="C11" s="24"/>
      <c r="D11" s="24"/>
      <c r="E11" s="25"/>
      <c r="F11" s="19">
        <f t="shared" si="0"/>
        <v>0</v>
      </c>
      <c r="G11" s="33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>
      <c r="A12" s="8">
        <v>5</v>
      </c>
      <c r="B12" s="23"/>
      <c r="C12" s="24"/>
      <c r="D12" s="24"/>
      <c r="E12" s="25"/>
      <c r="F12" s="19">
        <f t="shared" si="0"/>
        <v>0</v>
      </c>
      <c r="G12" s="32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>
      <c r="A13" s="8">
        <v>6</v>
      </c>
      <c r="B13" s="23"/>
      <c r="C13" s="24"/>
      <c r="D13" s="24">
        <v>1</v>
      </c>
      <c r="E13" s="25"/>
      <c r="F13" s="19">
        <f t="shared" si="0"/>
        <v>1</v>
      </c>
      <c r="G13" s="32">
        <v>3</v>
      </c>
      <c r="H13" s="24"/>
      <c r="I13" s="24"/>
      <c r="J13" s="24"/>
      <c r="K13" s="17">
        <f t="shared" si="1"/>
        <v>3</v>
      </c>
      <c r="L13" s="7">
        <f t="shared" si="2"/>
        <v>4</v>
      </c>
    </row>
    <row r="14" spans="1:12" ht="15.75" thickBot="1">
      <c r="A14" s="8">
        <v>7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>
      <c r="A15" s="8">
        <v>8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>
      <c r="A16" s="8">
        <v>9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>
      <c r="A17" s="8">
        <v>10</v>
      </c>
      <c r="B17" s="23">
        <v>4</v>
      </c>
      <c r="C17" s="24"/>
      <c r="D17" s="24"/>
      <c r="E17" s="25"/>
      <c r="F17" s="19">
        <f t="shared" si="0"/>
        <v>4</v>
      </c>
      <c r="G17" s="34"/>
      <c r="H17" s="24"/>
      <c r="I17" s="24"/>
      <c r="J17" s="24"/>
      <c r="K17" s="17">
        <f t="shared" si="1"/>
        <v>0</v>
      </c>
      <c r="L17" s="7">
        <f t="shared" si="2"/>
        <v>4</v>
      </c>
    </row>
    <row r="18" spans="1:12" ht="15.75" thickBot="1">
      <c r="A18" s="8">
        <v>11</v>
      </c>
      <c r="B18" s="23"/>
      <c r="C18" s="24"/>
      <c r="D18" s="24"/>
      <c r="E18" s="25"/>
      <c r="F18" s="19">
        <f t="shared" si="0"/>
        <v>0</v>
      </c>
      <c r="G18" s="32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>
      <c r="A19" s="8">
        <v>12</v>
      </c>
      <c r="B19" s="23">
        <v>2</v>
      </c>
      <c r="C19" s="24"/>
      <c r="D19" s="24"/>
      <c r="E19" s="25"/>
      <c r="F19" s="19">
        <f t="shared" si="0"/>
        <v>2</v>
      </c>
      <c r="G19" s="32"/>
      <c r="H19" s="35"/>
      <c r="I19" s="35"/>
      <c r="J19" s="35"/>
      <c r="K19" s="17">
        <f t="shared" si="1"/>
        <v>0</v>
      </c>
      <c r="L19" s="7">
        <f t="shared" si="2"/>
        <v>2</v>
      </c>
    </row>
    <row r="20" spans="1:12" ht="15.75" thickBot="1">
      <c r="A20" s="8">
        <v>13</v>
      </c>
      <c r="B20" s="23">
        <v>1</v>
      </c>
      <c r="C20" s="24"/>
      <c r="D20" s="24"/>
      <c r="E20" s="25"/>
      <c r="F20" s="19">
        <f t="shared" si="0"/>
        <v>1</v>
      </c>
      <c r="G20" s="36">
        <v>2</v>
      </c>
      <c r="H20" s="24"/>
      <c r="I20" s="24"/>
      <c r="J20" s="24"/>
      <c r="K20" s="17">
        <f t="shared" si="1"/>
        <v>2</v>
      </c>
      <c r="L20" s="7">
        <f t="shared" si="2"/>
        <v>3</v>
      </c>
    </row>
    <row r="21" spans="1:12" ht="15.75" thickBot="1">
      <c r="A21" s="8">
        <v>14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>
      <c r="A22" s="8">
        <v>15</v>
      </c>
      <c r="B22" s="23"/>
      <c r="C22" s="24"/>
      <c r="D22" s="24"/>
      <c r="E22" s="25"/>
      <c r="F22" s="19">
        <f t="shared" si="0"/>
        <v>0</v>
      </c>
      <c r="G22" s="32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>
      <c r="A23" s="8">
        <v>16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>
      <c r="A24" s="8">
        <v>17</v>
      </c>
      <c r="B24" s="23"/>
      <c r="C24" s="49"/>
      <c r="D24" s="27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>
      <c r="A25" s="8">
        <v>18</v>
      </c>
      <c r="B25" s="23">
        <v>4</v>
      </c>
      <c r="C25" s="24"/>
      <c r="D25" s="24"/>
      <c r="E25" s="25"/>
      <c r="F25" s="19">
        <f t="shared" si="0"/>
        <v>4</v>
      </c>
      <c r="G25" s="32"/>
      <c r="H25" s="24"/>
      <c r="I25" s="24"/>
      <c r="J25" s="24"/>
      <c r="K25" s="17">
        <f t="shared" si="1"/>
        <v>0</v>
      </c>
      <c r="L25" s="7">
        <f t="shared" si="2"/>
        <v>4</v>
      </c>
    </row>
    <row r="26" spans="1:12" ht="15.75" thickBot="1">
      <c r="A26" s="8">
        <v>19</v>
      </c>
      <c r="B26" s="23">
        <v>3</v>
      </c>
      <c r="C26" s="24"/>
      <c r="D26" s="24"/>
      <c r="E26" s="25"/>
      <c r="F26" s="19">
        <f t="shared" si="0"/>
        <v>3</v>
      </c>
      <c r="G26" s="32"/>
      <c r="H26" s="24"/>
      <c r="I26" s="24"/>
      <c r="J26" s="24"/>
      <c r="K26" s="17">
        <f t="shared" si="1"/>
        <v>0</v>
      </c>
      <c r="L26" s="7">
        <f t="shared" si="2"/>
        <v>3</v>
      </c>
    </row>
    <row r="27" spans="1:12" ht="15.75" thickBot="1">
      <c r="A27" s="8">
        <v>20</v>
      </c>
      <c r="B27" s="23"/>
      <c r="C27" s="24"/>
      <c r="D27" s="24"/>
      <c r="E27" s="25">
        <v>1</v>
      </c>
      <c r="F27" s="19">
        <f t="shared" si="0"/>
        <v>1</v>
      </c>
      <c r="G27" s="32">
        <v>2</v>
      </c>
      <c r="H27" s="24"/>
      <c r="I27" s="24"/>
      <c r="J27" s="24"/>
      <c r="K27" s="17">
        <f t="shared" si="1"/>
        <v>2</v>
      </c>
      <c r="L27" s="7">
        <f t="shared" si="2"/>
        <v>3</v>
      </c>
    </row>
    <row r="28" spans="1:12" ht="15.75" thickBot="1">
      <c r="A28" s="8">
        <v>21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>
      <c r="A29" s="8">
        <v>22</v>
      </c>
      <c r="B29" s="23"/>
      <c r="C29" s="24"/>
      <c r="D29" s="24"/>
      <c r="E29" s="62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>
      <c r="A30" s="8">
        <v>23</v>
      </c>
      <c r="B30" s="23">
        <v>4</v>
      </c>
      <c r="C30" s="24"/>
      <c r="D30" s="24">
        <v>1</v>
      </c>
      <c r="E30" s="25"/>
      <c r="F30" s="19">
        <f t="shared" si="0"/>
        <v>5</v>
      </c>
      <c r="G30" s="32">
        <v>1</v>
      </c>
      <c r="H30" s="24"/>
      <c r="I30" s="24"/>
      <c r="J30" s="24"/>
      <c r="K30" s="17">
        <f t="shared" si="1"/>
        <v>1</v>
      </c>
      <c r="L30" s="7">
        <f t="shared" si="2"/>
        <v>6</v>
      </c>
    </row>
    <row r="31" spans="1:12" ht="15.75" thickBot="1">
      <c r="A31" s="8">
        <v>24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>
      <c r="A32" s="8">
        <v>25</v>
      </c>
      <c r="B32" s="23">
        <v>2</v>
      </c>
      <c r="C32" s="24"/>
      <c r="D32" s="24"/>
      <c r="E32" s="25"/>
      <c r="F32" s="19">
        <f t="shared" si="0"/>
        <v>2</v>
      </c>
      <c r="G32" s="32">
        <v>4</v>
      </c>
      <c r="H32" s="24"/>
      <c r="I32" s="24"/>
      <c r="J32" s="24"/>
      <c r="K32" s="17">
        <f t="shared" si="1"/>
        <v>4</v>
      </c>
      <c r="L32" s="7">
        <f t="shared" si="2"/>
        <v>6</v>
      </c>
    </row>
    <row r="33" spans="1:12" ht="15.75" thickBot="1">
      <c r="A33" s="8">
        <v>26</v>
      </c>
      <c r="B33" s="23"/>
      <c r="C33" s="24">
        <v>1</v>
      </c>
      <c r="D33" s="24"/>
      <c r="E33" s="25"/>
      <c r="F33" s="19">
        <f t="shared" si="0"/>
        <v>1</v>
      </c>
      <c r="G33" s="32">
        <v>1</v>
      </c>
      <c r="H33" s="24">
        <v>2</v>
      </c>
      <c r="I33" s="24"/>
      <c r="J33" s="24"/>
      <c r="K33" s="17">
        <f t="shared" si="1"/>
        <v>3</v>
      </c>
      <c r="L33" s="7">
        <f t="shared" si="2"/>
        <v>4</v>
      </c>
    </row>
    <row r="34" spans="1:12" ht="15.75" thickBot="1">
      <c r="A34" s="8">
        <v>27</v>
      </c>
      <c r="B34" s="71">
        <v>1</v>
      </c>
      <c r="C34" s="24"/>
      <c r="D34" s="24"/>
      <c r="E34" s="25"/>
      <c r="F34" s="19">
        <f t="shared" si="0"/>
        <v>1</v>
      </c>
      <c r="G34" s="47">
        <v>1</v>
      </c>
      <c r="H34" s="24">
        <v>1</v>
      </c>
      <c r="I34" s="24"/>
      <c r="J34" s="24"/>
      <c r="K34" s="17">
        <f t="shared" si="1"/>
        <v>2</v>
      </c>
      <c r="L34" s="7">
        <f t="shared" si="2"/>
        <v>3</v>
      </c>
    </row>
    <row r="35" spans="1:12" ht="15.75" thickBot="1">
      <c r="A35" s="8">
        <v>28</v>
      </c>
      <c r="B35" s="23"/>
      <c r="C35" s="24"/>
      <c r="D35" s="24"/>
      <c r="E35" s="25"/>
      <c r="F35" s="19">
        <f t="shared" si="0"/>
        <v>0</v>
      </c>
      <c r="G35" s="32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>
      <c r="A36" s="8">
        <v>29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>
      <c r="A37" s="8">
        <v>30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>
      <c r="A38" s="9">
        <v>31</v>
      </c>
      <c r="B38" s="28">
        <v>3</v>
      </c>
      <c r="C38" s="29"/>
      <c r="D38" s="29"/>
      <c r="E38" s="30"/>
      <c r="F38" s="19">
        <f t="shared" si="0"/>
        <v>3</v>
      </c>
      <c r="G38" s="32">
        <v>2</v>
      </c>
      <c r="H38" s="24"/>
      <c r="I38" s="24"/>
      <c r="J38" s="24"/>
      <c r="K38" s="17">
        <f t="shared" si="1"/>
        <v>2</v>
      </c>
      <c r="L38" s="7">
        <f t="shared" si="2"/>
        <v>5</v>
      </c>
    </row>
    <row r="39" spans="1:12" ht="15.75" thickBot="1">
      <c r="A39" s="78"/>
      <c r="B39" s="77">
        <f>SUM(B8:B38)</f>
        <v>28</v>
      </c>
      <c r="C39" s="77">
        <f t="shared" ref="C39:E39" si="3">SUM(C8:C38)</f>
        <v>1</v>
      </c>
      <c r="D39" s="77">
        <f t="shared" si="3"/>
        <v>2</v>
      </c>
      <c r="E39" s="77">
        <f t="shared" si="3"/>
        <v>1</v>
      </c>
      <c r="F39" s="76">
        <f>SUM(F8:F38)</f>
        <v>32</v>
      </c>
      <c r="G39" s="18">
        <f>SUM(G8:G38)</f>
        <v>16</v>
      </c>
      <c r="H39" s="18">
        <f t="shared" ref="H39:L39" si="4">SUM(H8:H38)</f>
        <v>4</v>
      </c>
      <c r="I39" s="18">
        <f t="shared" si="4"/>
        <v>0</v>
      </c>
      <c r="J39" s="18">
        <f t="shared" si="4"/>
        <v>0</v>
      </c>
      <c r="K39" s="18">
        <f t="shared" si="4"/>
        <v>20</v>
      </c>
      <c r="L39" s="18">
        <f t="shared" si="4"/>
        <v>52</v>
      </c>
    </row>
    <row r="40" spans="1:12" ht="9" customHeight="1" thickBot="1">
      <c r="A40" s="12"/>
      <c r="B40" s="12"/>
      <c r="C40" s="13"/>
      <c r="D40" s="13"/>
      <c r="E40" s="13"/>
      <c r="F40" s="12"/>
      <c r="G40" s="12"/>
      <c r="H40" s="13"/>
      <c r="I40" s="13"/>
      <c r="J40" s="13"/>
      <c r="K40" s="12"/>
      <c r="L40" s="14"/>
    </row>
    <row r="41" spans="1:12" ht="15.75" thickBot="1">
      <c r="A41" s="119"/>
      <c r="B41" s="119"/>
      <c r="C41" s="119"/>
      <c r="D41" s="119"/>
      <c r="E41" s="119"/>
      <c r="F41" s="119"/>
      <c r="G41" s="120" t="s">
        <v>17</v>
      </c>
      <c r="H41" s="151"/>
      <c r="I41" s="120" t="s">
        <v>18</v>
      </c>
      <c r="J41" s="122"/>
      <c r="K41" s="55"/>
      <c r="L41" s="56"/>
    </row>
    <row r="42" spans="1:12" ht="15.75" thickBot="1">
      <c r="A42" s="15"/>
      <c r="B42" s="106" t="s">
        <v>19</v>
      </c>
      <c r="C42" s="107"/>
      <c r="D42" s="107"/>
      <c r="E42" s="107"/>
      <c r="F42" s="107"/>
      <c r="G42" s="117">
        <v>194</v>
      </c>
      <c r="H42" s="162"/>
      <c r="I42" s="163"/>
      <c r="J42" s="164"/>
      <c r="K42" s="55"/>
      <c r="L42" s="56"/>
    </row>
    <row r="43" spans="1:12" ht="15.75" thickBot="1">
      <c r="A43" s="15"/>
      <c r="B43" s="106" t="s">
        <v>20</v>
      </c>
      <c r="C43" s="107"/>
      <c r="D43" s="107"/>
      <c r="E43" s="107"/>
      <c r="F43" s="107"/>
      <c r="G43" s="108">
        <v>8</v>
      </c>
      <c r="H43" s="165"/>
      <c r="I43" s="108"/>
      <c r="J43" s="109"/>
      <c r="K43" s="55"/>
      <c r="L43" s="56"/>
    </row>
    <row r="44" spans="1:12" ht="15.75" thickBot="1">
      <c r="A44" s="15"/>
      <c r="B44" s="114" t="s">
        <v>21</v>
      </c>
      <c r="C44" s="114"/>
      <c r="D44" s="114"/>
      <c r="E44" s="114"/>
      <c r="F44" s="106"/>
      <c r="G44" s="115">
        <v>34</v>
      </c>
      <c r="H44" s="166"/>
      <c r="I44" s="108"/>
      <c r="J44" s="109"/>
      <c r="K44" s="55"/>
      <c r="L44" s="56"/>
    </row>
    <row r="45" spans="1:12" ht="15.75" thickBot="1">
      <c r="A45" s="15"/>
      <c r="B45" s="106" t="s">
        <v>22</v>
      </c>
      <c r="C45" s="107"/>
      <c r="D45" s="107"/>
      <c r="E45" s="107"/>
      <c r="F45" s="107"/>
      <c r="G45" s="113">
        <f>L39+G44</f>
        <v>86</v>
      </c>
      <c r="H45" s="165"/>
      <c r="I45" s="108"/>
      <c r="J45" s="109"/>
      <c r="K45" s="55"/>
      <c r="L45" s="56"/>
    </row>
    <row r="46" spans="1:12" ht="15.75" thickBot="1">
      <c r="A46" s="4"/>
      <c r="B46" s="106" t="s">
        <v>23</v>
      </c>
      <c r="C46" s="107"/>
      <c r="D46" s="107"/>
      <c r="E46" s="107"/>
      <c r="F46" s="107"/>
      <c r="G46" s="113">
        <f>G42+G43-G45</f>
        <v>116</v>
      </c>
      <c r="H46" s="165"/>
      <c r="I46" s="108"/>
      <c r="J46" s="109"/>
      <c r="K46" s="55"/>
      <c r="L46" s="57"/>
    </row>
    <row r="47" spans="1:12" ht="15.75" thickBot="1">
      <c r="A47" s="4"/>
      <c r="B47" s="106" t="s">
        <v>24</v>
      </c>
      <c r="C47" s="107"/>
      <c r="D47" s="107"/>
      <c r="E47" s="107"/>
      <c r="F47" s="107"/>
      <c r="G47" s="168">
        <v>106</v>
      </c>
      <c r="H47" s="165"/>
      <c r="I47" s="108"/>
      <c r="J47" s="109"/>
      <c r="K47" s="55"/>
      <c r="L47" s="57"/>
    </row>
    <row r="48" spans="1:12" ht="15.75" thickBot="1">
      <c r="A48" s="4"/>
      <c r="B48" s="106" t="s">
        <v>25</v>
      </c>
      <c r="C48" s="107"/>
      <c r="D48" s="107"/>
      <c r="E48" s="107"/>
      <c r="F48" s="107"/>
      <c r="G48" s="110">
        <f>G46-G47</f>
        <v>10</v>
      </c>
      <c r="H48" s="167"/>
      <c r="I48" s="112"/>
      <c r="J48" s="111"/>
      <c r="K48" s="55"/>
      <c r="L48" s="57"/>
    </row>
    <row r="49" spans="1:12">
      <c r="A49" s="5" t="s">
        <v>26</v>
      </c>
      <c r="B49" s="38"/>
      <c r="C49" s="44"/>
      <c r="D49" s="44"/>
      <c r="E49" s="44"/>
      <c r="F49" s="38"/>
      <c r="G49" s="38"/>
      <c r="H49" s="44"/>
      <c r="I49" s="45" t="s">
        <v>27</v>
      </c>
      <c r="J49" s="44"/>
      <c r="K49" s="38"/>
      <c r="L49" s="1"/>
    </row>
    <row r="50" spans="1:12" ht="5.25" customHeight="1"/>
    <row r="51" spans="1:12" ht="17.25" customHeight="1">
      <c r="B51" t="s">
        <v>32</v>
      </c>
    </row>
  </sheetData>
  <mergeCells count="35">
    <mergeCell ref="A4:L4"/>
    <mergeCell ref="A1:D1"/>
    <mergeCell ref="G1:L1"/>
    <mergeCell ref="A2:D2"/>
    <mergeCell ref="G2:L2"/>
    <mergeCell ref="A3:D3"/>
    <mergeCell ref="A5:L5"/>
    <mergeCell ref="A6:A7"/>
    <mergeCell ref="B6:F6"/>
    <mergeCell ref="G6:K6"/>
    <mergeCell ref="L6:L7"/>
    <mergeCell ref="A41:F41"/>
    <mergeCell ref="G41:H41"/>
    <mergeCell ref="I41:J41"/>
    <mergeCell ref="B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</mergeCells>
  <pageMargins left="0.23622047244094491" right="0.23622047244094491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L53"/>
  <sheetViews>
    <sheetView topLeftCell="A37" workbookViewId="0">
      <selection activeCell="G56" sqref="G56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26" t="s">
        <v>0</v>
      </c>
      <c r="B1" s="126"/>
      <c r="C1" s="126"/>
      <c r="D1" s="126"/>
      <c r="E1" s="37"/>
      <c r="F1" s="38"/>
      <c r="G1" s="127" t="s">
        <v>1</v>
      </c>
      <c r="H1" s="127"/>
      <c r="I1" s="127"/>
      <c r="J1" s="127"/>
      <c r="K1" s="127"/>
      <c r="L1" s="127"/>
    </row>
    <row r="2" spans="1:12" ht="15.75">
      <c r="A2" s="127" t="s">
        <v>2</v>
      </c>
      <c r="B2" s="127"/>
      <c r="C2" s="127"/>
      <c r="D2" s="127"/>
      <c r="E2" s="37"/>
      <c r="F2" s="38"/>
      <c r="G2" s="138" t="s">
        <v>3</v>
      </c>
      <c r="H2" s="138"/>
      <c r="I2" s="138"/>
      <c r="J2" s="138"/>
      <c r="K2" s="138"/>
      <c r="L2" s="138"/>
    </row>
    <row r="3" spans="1:12">
      <c r="A3" s="138" t="s">
        <v>4</v>
      </c>
      <c r="B3" s="138"/>
      <c r="C3" s="138"/>
      <c r="D3" s="138"/>
      <c r="E3" s="37"/>
      <c r="F3" s="38"/>
      <c r="G3" s="38"/>
      <c r="H3" s="37"/>
      <c r="I3" s="37"/>
      <c r="J3" s="37"/>
      <c r="K3" s="38"/>
      <c r="L3" s="1"/>
    </row>
    <row r="4" spans="1:12" ht="5.25" customHeight="1">
      <c r="A4" s="81"/>
      <c r="B4" s="38"/>
      <c r="C4" s="37"/>
      <c r="D4" s="37"/>
      <c r="E4" s="37"/>
      <c r="F4" s="38"/>
      <c r="G4" s="38"/>
      <c r="H4" s="37"/>
      <c r="I4" s="37"/>
      <c r="J4" s="37"/>
      <c r="K4" s="38"/>
      <c r="L4" s="1"/>
    </row>
    <row r="5" spans="1:12" ht="18">
      <c r="A5" s="126" t="s">
        <v>5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15.75">
      <c r="A6" s="127" t="s">
        <v>45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</row>
    <row r="7" spans="1:12" ht="2.25" customHeight="1" thickBot="1">
      <c r="A7" s="2" t="s">
        <v>6</v>
      </c>
      <c r="B7" s="12"/>
      <c r="C7" s="13"/>
      <c r="D7" s="13"/>
      <c r="E7" s="13"/>
      <c r="F7" s="12"/>
      <c r="G7" s="12"/>
      <c r="H7" s="129"/>
      <c r="I7" s="129"/>
      <c r="J7" s="13"/>
      <c r="K7" s="39"/>
      <c r="L7" s="3"/>
    </row>
    <row r="8" spans="1:12">
      <c r="A8" s="130" t="s">
        <v>7</v>
      </c>
      <c r="B8" s="132" t="s">
        <v>8</v>
      </c>
      <c r="C8" s="133"/>
      <c r="D8" s="133"/>
      <c r="E8" s="133"/>
      <c r="F8" s="134"/>
      <c r="G8" s="135" t="s">
        <v>9</v>
      </c>
      <c r="H8" s="133"/>
      <c r="I8" s="133"/>
      <c r="J8" s="133"/>
      <c r="K8" s="134"/>
      <c r="L8" s="136" t="s">
        <v>10</v>
      </c>
    </row>
    <row r="9" spans="1:12" ht="15.75" thickBot="1">
      <c r="A9" s="131"/>
      <c r="B9" s="40" t="s">
        <v>11</v>
      </c>
      <c r="C9" s="41" t="s">
        <v>12</v>
      </c>
      <c r="D9" s="41" t="s">
        <v>13</v>
      </c>
      <c r="E9" s="41" t="s">
        <v>14</v>
      </c>
      <c r="F9" s="42" t="s">
        <v>15</v>
      </c>
      <c r="G9" s="43" t="s">
        <v>11</v>
      </c>
      <c r="H9" s="41" t="s">
        <v>12</v>
      </c>
      <c r="I9" s="41" t="s">
        <v>13</v>
      </c>
      <c r="J9" s="41" t="s">
        <v>14</v>
      </c>
      <c r="K9" s="42" t="s">
        <v>16</v>
      </c>
      <c r="L9" s="137"/>
    </row>
    <row r="10" spans="1:12" ht="15.75" thickBot="1">
      <c r="A10" s="6">
        <v>1</v>
      </c>
      <c r="B10" s="20">
        <v>1</v>
      </c>
      <c r="C10" s="21"/>
      <c r="D10" s="21"/>
      <c r="E10" s="22"/>
      <c r="F10" s="19">
        <f>SUM(B10:E10)</f>
        <v>1</v>
      </c>
      <c r="G10" s="48"/>
      <c r="H10" s="31"/>
      <c r="I10" s="31"/>
      <c r="J10" s="31"/>
      <c r="K10" s="17">
        <f>SUM(G10:J10)</f>
        <v>0</v>
      </c>
      <c r="L10" s="7">
        <f>SUM(F10+K10)</f>
        <v>1</v>
      </c>
    </row>
    <row r="11" spans="1:12" ht="15.75" thickBot="1">
      <c r="A11" s="8">
        <v>2</v>
      </c>
      <c r="B11" s="23">
        <v>2</v>
      </c>
      <c r="C11" s="24"/>
      <c r="D11" s="24"/>
      <c r="E11" s="25"/>
      <c r="F11" s="19">
        <f t="shared" ref="F11:F40" si="0">SUM(B11:E11)</f>
        <v>2</v>
      </c>
      <c r="G11" s="32"/>
      <c r="H11" s="24"/>
      <c r="I11" s="24"/>
      <c r="J11" s="24"/>
      <c r="K11" s="17">
        <f t="shared" ref="K11:K40" si="1">SUM(G11:J11)</f>
        <v>0</v>
      </c>
      <c r="L11" s="7">
        <f t="shared" ref="L11:L40" si="2">SUM(F11+K11)</f>
        <v>2</v>
      </c>
    </row>
    <row r="12" spans="1:12" ht="15.75" thickBot="1">
      <c r="A12" s="8">
        <v>3</v>
      </c>
      <c r="B12" s="23"/>
      <c r="C12" s="24"/>
      <c r="D12" s="24"/>
      <c r="E12" s="26"/>
      <c r="F12" s="19">
        <f t="shared" si="0"/>
        <v>0</v>
      </c>
      <c r="G12" s="32">
        <v>2</v>
      </c>
      <c r="H12" s="24"/>
      <c r="I12" s="24"/>
      <c r="J12" s="24"/>
      <c r="K12" s="17">
        <f t="shared" si="1"/>
        <v>2</v>
      </c>
      <c r="L12" s="7">
        <f t="shared" si="2"/>
        <v>2</v>
      </c>
    </row>
    <row r="13" spans="1:12" ht="15.75" thickBot="1">
      <c r="A13" s="8">
        <v>4</v>
      </c>
      <c r="B13" s="23"/>
      <c r="C13" s="24"/>
      <c r="D13" s="24"/>
      <c r="E13" s="25"/>
      <c r="F13" s="19">
        <f t="shared" si="0"/>
        <v>0</v>
      </c>
      <c r="G13" s="33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>
      <c r="A14" s="8">
        <v>5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>
      <c r="A15" s="8">
        <v>6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>
      <c r="A16" s="8">
        <v>7</v>
      </c>
      <c r="B16" s="23"/>
      <c r="C16" s="24"/>
      <c r="D16" s="24"/>
      <c r="E16" s="25"/>
      <c r="F16" s="19">
        <f t="shared" si="0"/>
        <v>0</v>
      </c>
      <c r="G16" s="32">
        <v>1</v>
      </c>
      <c r="H16" s="24"/>
      <c r="I16" s="24"/>
      <c r="J16" s="24"/>
      <c r="K16" s="17">
        <f t="shared" si="1"/>
        <v>1</v>
      </c>
      <c r="L16" s="7">
        <f t="shared" si="2"/>
        <v>1</v>
      </c>
    </row>
    <row r="17" spans="1:12" ht="15.75" thickBot="1">
      <c r="A17" s="8">
        <v>8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>
      <c r="A18" s="8">
        <v>9</v>
      </c>
      <c r="B18" s="23">
        <v>1</v>
      </c>
      <c r="C18" s="24"/>
      <c r="D18" s="24">
        <v>1</v>
      </c>
      <c r="E18" s="25"/>
      <c r="F18" s="19">
        <f t="shared" si="0"/>
        <v>2</v>
      </c>
      <c r="G18" s="32"/>
      <c r="H18" s="24"/>
      <c r="I18" s="24"/>
      <c r="J18" s="24"/>
      <c r="K18" s="17">
        <f t="shared" si="1"/>
        <v>0</v>
      </c>
      <c r="L18" s="7">
        <f t="shared" si="2"/>
        <v>2</v>
      </c>
    </row>
    <row r="19" spans="1:12" ht="15.75" thickBot="1">
      <c r="A19" s="8">
        <v>10</v>
      </c>
      <c r="B19" s="23">
        <v>1</v>
      </c>
      <c r="C19" s="24"/>
      <c r="D19" s="24"/>
      <c r="E19" s="25"/>
      <c r="F19" s="19">
        <f t="shared" si="0"/>
        <v>1</v>
      </c>
      <c r="G19" s="34"/>
      <c r="H19" s="24"/>
      <c r="I19" s="24"/>
      <c r="J19" s="24"/>
      <c r="K19" s="17">
        <f t="shared" si="1"/>
        <v>0</v>
      </c>
      <c r="L19" s="7">
        <f t="shared" si="2"/>
        <v>1</v>
      </c>
    </row>
    <row r="20" spans="1:12" ht="15.75" thickBot="1">
      <c r="A20" s="8">
        <v>11</v>
      </c>
      <c r="B20" s="23"/>
      <c r="C20" s="24"/>
      <c r="D20" s="24"/>
      <c r="E20" s="25"/>
      <c r="F20" s="19">
        <f t="shared" si="0"/>
        <v>0</v>
      </c>
      <c r="G20" s="32"/>
      <c r="H20" s="24"/>
      <c r="I20" s="24"/>
      <c r="J20" s="24"/>
      <c r="K20" s="17">
        <f t="shared" si="1"/>
        <v>0</v>
      </c>
      <c r="L20" s="7">
        <f t="shared" si="2"/>
        <v>0</v>
      </c>
    </row>
    <row r="21" spans="1:12" ht="15.75" thickBot="1">
      <c r="A21" s="8">
        <v>12</v>
      </c>
      <c r="B21" s="23"/>
      <c r="C21" s="24"/>
      <c r="D21" s="24"/>
      <c r="E21" s="25"/>
      <c r="F21" s="19">
        <f t="shared" si="0"/>
        <v>0</v>
      </c>
      <c r="G21" s="32">
        <v>6</v>
      </c>
      <c r="H21" s="35"/>
      <c r="I21" s="35"/>
      <c r="J21" s="35"/>
      <c r="K21" s="17">
        <f t="shared" si="1"/>
        <v>6</v>
      </c>
      <c r="L21" s="7">
        <f t="shared" si="2"/>
        <v>6</v>
      </c>
    </row>
    <row r="22" spans="1:12" ht="15.75" thickBot="1">
      <c r="A22" s="8">
        <v>13</v>
      </c>
      <c r="B22" s="23">
        <v>1</v>
      </c>
      <c r="C22" s="24"/>
      <c r="D22" s="24"/>
      <c r="E22" s="25"/>
      <c r="F22" s="19">
        <f t="shared" si="0"/>
        <v>1</v>
      </c>
      <c r="G22" s="36">
        <v>3</v>
      </c>
      <c r="H22" s="24"/>
      <c r="I22" s="24"/>
      <c r="J22" s="24"/>
      <c r="K22" s="17">
        <f t="shared" si="1"/>
        <v>3</v>
      </c>
      <c r="L22" s="7">
        <f t="shared" si="2"/>
        <v>4</v>
      </c>
    </row>
    <row r="23" spans="1:12" ht="15.75" thickBot="1">
      <c r="A23" s="8">
        <v>14</v>
      </c>
      <c r="B23" s="23"/>
      <c r="C23" s="24"/>
      <c r="D23" s="24"/>
      <c r="E23" s="25"/>
      <c r="F23" s="19">
        <f t="shared" si="0"/>
        <v>0</v>
      </c>
      <c r="G23" s="36">
        <v>4</v>
      </c>
      <c r="H23" s="24"/>
      <c r="I23" s="24"/>
      <c r="J23" s="24"/>
      <c r="K23" s="17">
        <f t="shared" si="1"/>
        <v>4</v>
      </c>
      <c r="L23" s="7">
        <f t="shared" si="2"/>
        <v>4</v>
      </c>
    </row>
    <row r="24" spans="1:12" ht="15.75" thickBot="1">
      <c r="A24" s="8">
        <v>15</v>
      </c>
      <c r="B24" s="23">
        <v>2</v>
      </c>
      <c r="C24" s="24"/>
      <c r="D24" s="24"/>
      <c r="E24" s="25"/>
      <c r="F24" s="19">
        <f t="shared" si="0"/>
        <v>2</v>
      </c>
      <c r="G24" s="32"/>
      <c r="H24" s="24"/>
      <c r="I24" s="24"/>
      <c r="J24" s="24"/>
      <c r="K24" s="17">
        <f t="shared" si="1"/>
        <v>0</v>
      </c>
      <c r="L24" s="7">
        <f t="shared" si="2"/>
        <v>2</v>
      </c>
    </row>
    <row r="25" spans="1:12" ht="15.75" thickBot="1">
      <c r="A25" s="8">
        <v>16</v>
      </c>
      <c r="B25" s="23"/>
      <c r="C25" s="24"/>
      <c r="D25" s="24"/>
      <c r="E25" s="25"/>
      <c r="F25" s="19">
        <f t="shared" si="0"/>
        <v>0</v>
      </c>
      <c r="G25" s="32"/>
      <c r="H25" s="24">
        <v>1</v>
      </c>
      <c r="I25" s="24">
        <v>1</v>
      </c>
      <c r="J25" s="24"/>
      <c r="K25" s="17">
        <f t="shared" si="1"/>
        <v>2</v>
      </c>
      <c r="L25" s="7">
        <f t="shared" si="2"/>
        <v>2</v>
      </c>
    </row>
    <row r="26" spans="1:12" ht="15.75" thickBot="1">
      <c r="A26" s="8">
        <v>17</v>
      </c>
      <c r="B26" s="23"/>
      <c r="C26" s="87">
        <v>1</v>
      </c>
      <c r="D26" s="27"/>
      <c r="E26" s="25"/>
      <c r="F26" s="19">
        <f t="shared" si="0"/>
        <v>1</v>
      </c>
      <c r="G26" s="32">
        <v>4</v>
      </c>
      <c r="H26" s="24">
        <v>1</v>
      </c>
      <c r="I26" s="24"/>
      <c r="J26" s="24"/>
      <c r="K26" s="17">
        <f t="shared" si="1"/>
        <v>5</v>
      </c>
      <c r="L26" s="7">
        <f t="shared" si="2"/>
        <v>6</v>
      </c>
    </row>
    <row r="27" spans="1:12" ht="15.75" thickBot="1">
      <c r="A27" s="8">
        <v>18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>
      <c r="A28" s="8">
        <v>19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>
      <c r="A29" s="8">
        <v>20</v>
      </c>
      <c r="B29" s="23">
        <v>3</v>
      </c>
      <c r="C29" s="24"/>
      <c r="D29" s="24"/>
      <c r="E29" s="25"/>
      <c r="F29" s="19">
        <f t="shared" si="0"/>
        <v>3</v>
      </c>
      <c r="G29" s="32"/>
      <c r="H29" s="24">
        <v>1</v>
      </c>
      <c r="I29" s="24"/>
      <c r="J29" s="24"/>
      <c r="K29" s="17">
        <f t="shared" si="1"/>
        <v>1</v>
      </c>
      <c r="L29" s="7">
        <f t="shared" si="2"/>
        <v>4</v>
      </c>
    </row>
    <row r="30" spans="1:12" ht="15.75" thickBot="1">
      <c r="A30" s="8">
        <v>21</v>
      </c>
      <c r="B30" s="23"/>
      <c r="C30" s="24"/>
      <c r="D30" s="24"/>
      <c r="E30" s="25"/>
      <c r="F30" s="19">
        <f t="shared" si="0"/>
        <v>0</v>
      </c>
      <c r="G30" s="32">
        <v>2</v>
      </c>
      <c r="H30" s="24">
        <v>1</v>
      </c>
      <c r="I30" s="24"/>
      <c r="J30" s="24"/>
      <c r="K30" s="17">
        <f t="shared" si="1"/>
        <v>3</v>
      </c>
      <c r="L30" s="7">
        <f t="shared" si="2"/>
        <v>3</v>
      </c>
    </row>
    <row r="31" spans="1:12" ht="15.75" thickBot="1">
      <c r="A31" s="8">
        <v>22</v>
      </c>
      <c r="B31" s="23"/>
      <c r="C31" s="24"/>
      <c r="D31" s="24"/>
      <c r="E31" s="62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>
      <c r="A32" s="8">
        <v>23</v>
      </c>
      <c r="B32" s="23">
        <v>1</v>
      </c>
      <c r="C32" s="24"/>
      <c r="D32" s="24"/>
      <c r="E32" s="25"/>
      <c r="F32" s="19">
        <f t="shared" si="0"/>
        <v>1</v>
      </c>
      <c r="G32" s="32">
        <v>1</v>
      </c>
      <c r="H32" s="24"/>
      <c r="I32" s="24"/>
      <c r="J32" s="24"/>
      <c r="K32" s="17">
        <f t="shared" si="1"/>
        <v>1</v>
      </c>
      <c r="L32" s="7">
        <f t="shared" si="2"/>
        <v>2</v>
      </c>
    </row>
    <row r="33" spans="1:12" ht="15.75" thickBot="1">
      <c r="A33" s="8">
        <v>24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>
      <c r="A34" s="8">
        <v>25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>
      <c r="A35" s="8">
        <v>26</v>
      </c>
      <c r="B35" s="23"/>
      <c r="C35" s="24"/>
      <c r="D35" s="24"/>
      <c r="E35" s="25"/>
      <c r="F35" s="19">
        <f t="shared" si="0"/>
        <v>0</v>
      </c>
      <c r="G35" s="32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>
      <c r="A36" s="8">
        <v>27</v>
      </c>
      <c r="B36" s="71"/>
      <c r="C36" s="24"/>
      <c r="D36" s="24"/>
      <c r="E36" s="25"/>
      <c r="F36" s="19">
        <f t="shared" si="0"/>
        <v>0</v>
      </c>
      <c r="G36" s="47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>
      <c r="A37" s="8">
        <v>28</v>
      </c>
      <c r="B37" s="23">
        <v>7</v>
      </c>
      <c r="C37" s="24"/>
      <c r="D37" s="24">
        <v>2</v>
      </c>
      <c r="E37" s="25"/>
      <c r="F37" s="19">
        <f t="shared" si="0"/>
        <v>9</v>
      </c>
      <c r="G37" s="32"/>
      <c r="H37" s="24"/>
      <c r="I37" s="24"/>
      <c r="J37" s="24"/>
      <c r="K37" s="17">
        <f t="shared" si="1"/>
        <v>0</v>
      </c>
      <c r="L37" s="7">
        <f t="shared" si="2"/>
        <v>9</v>
      </c>
    </row>
    <row r="38" spans="1:12" ht="15.75" thickBot="1">
      <c r="A38" s="8">
        <v>29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>
      <c r="A39" s="8">
        <v>30</v>
      </c>
      <c r="B39" s="23"/>
      <c r="C39" s="24"/>
      <c r="D39" s="24"/>
      <c r="E39" s="25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>
      <c r="A40" s="9">
        <v>31</v>
      </c>
      <c r="B40" s="28"/>
      <c r="C40" s="29"/>
      <c r="D40" s="29"/>
      <c r="E40" s="30"/>
      <c r="F40" s="19">
        <f t="shared" si="0"/>
        <v>0</v>
      </c>
      <c r="G40" s="32"/>
      <c r="H40" s="24"/>
      <c r="I40" s="24"/>
      <c r="J40" s="24"/>
      <c r="K40" s="17">
        <f t="shared" si="1"/>
        <v>0</v>
      </c>
      <c r="L40" s="7">
        <f t="shared" si="2"/>
        <v>0</v>
      </c>
    </row>
    <row r="41" spans="1:12" ht="15.75" thickBot="1">
      <c r="A41" s="82"/>
      <c r="B41" s="80">
        <f>SUM(B10:B40)</f>
        <v>19</v>
      </c>
      <c r="C41" s="80">
        <f t="shared" ref="C41:E41" si="3">SUM(C10:C40)</f>
        <v>1</v>
      </c>
      <c r="D41" s="80">
        <f t="shared" si="3"/>
        <v>3</v>
      </c>
      <c r="E41" s="80">
        <f t="shared" si="3"/>
        <v>0</v>
      </c>
      <c r="F41" s="79">
        <f>SUM(F10:F40)</f>
        <v>23</v>
      </c>
      <c r="G41" s="18">
        <f>SUM(G10:G40)</f>
        <v>23</v>
      </c>
      <c r="H41" s="18">
        <f t="shared" ref="H41:L41" si="4">SUM(H10:H40)</f>
        <v>4</v>
      </c>
      <c r="I41" s="18">
        <f t="shared" si="4"/>
        <v>1</v>
      </c>
      <c r="J41" s="18">
        <f t="shared" si="4"/>
        <v>0</v>
      </c>
      <c r="K41" s="18">
        <f t="shared" si="4"/>
        <v>28</v>
      </c>
      <c r="L41" s="18">
        <f t="shared" si="4"/>
        <v>51</v>
      </c>
    </row>
    <row r="42" spans="1:12" ht="3" customHeight="1" thickBot="1">
      <c r="A42" s="12"/>
      <c r="B42" s="12"/>
      <c r="C42" s="13"/>
      <c r="D42" s="13"/>
      <c r="E42" s="13"/>
      <c r="F42" s="12"/>
      <c r="G42" s="12"/>
      <c r="H42" s="13"/>
      <c r="I42" s="13"/>
      <c r="J42" s="13"/>
      <c r="K42" s="12"/>
      <c r="L42" s="14"/>
    </row>
    <row r="43" spans="1:12" ht="15.75" thickBot="1">
      <c r="A43" s="119"/>
      <c r="B43" s="119"/>
      <c r="C43" s="119"/>
      <c r="D43" s="119"/>
      <c r="E43" s="119"/>
      <c r="F43" s="119"/>
      <c r="G43" s="120" t="s">
        <v>17</v>
      </c>
      <c r="H43" s="151"/>
      <c r="I43" s="120" t="s">
        <v>18</v>
      </c>
      <c r="J43" s="122"/>
      <c r="K43" s="55"/>
      <c r="L43" s="56"/>
    </row>
    <row r="44" spans="1:12" ht="15.75" thickBot="1">
      <c r="A44" s="15"/>
      <c r="B44" s="106" t="s">
        <v>19</v>
      </c>
      <c r="C44" s="107"/>
      <c r="D44" s="107"/>
      <c r="E44" s="107"/>
      <c r="F44" s="107"/>
      <c r="G44" s="117">
        <v>106</v>
      </c>
      <c r="H44" s="162"/>
      <c r="I44" s="163"/>
      <c r="J44" s="164"/>
      <c r="K44" s="55"/>
      <c r="L44" s="56"/>
    </row>
    <row r="45" spans="1:12" ht="15.75" thickBot="1">
      <c r="A45" s="15"/>
      <c r="B45" s="106" t="s">
        <v>20</v>
      </c>
      <c r="C45" s="107"/>
      <c r="D45" s="107"/>
      <c r="E45" s="107"/>
      <c r="F45" s="107"/>
      <c r="G45" s="108">
        <v>0</v>
      </c>
      <c r="H45" s="165"/>
      <c r="I45" s="108"/>
      <c r="J45" s="109"/>
      <c r="K45" s="55"/>
      <c r="L45" s="56"/>
    </row>
    <row r="46" spans="1:12" ht="15.75" thickBot="1">
      <c r="A46" s="15"/>
      <c r="B46" s="114" t="s">
        <v>21</v>
      </c>
      <c r="C46" s="114"/>
      <c r="D46" s="114"/>
      <c r="E46" s="114"/>
      <c r="F46" s="106"/>
      <c r="G46" s="115">
        <v>2</v>
      </c>
      <c r="H46" s="166"/>
      <c r="I46" s="108"/>
      <c r="J46" s="109"/>
      <c r="K46" s="55"/>
      <c r="L46" s="56"/>
    </row>
    <row r="47" spans="1:12" ht="15.75" thickBot="1">
      <c r="A47" s="15"/>
      <c r="B47" s="106" t="s">
        <v>22</v>
      </c>
      <c r="C47" s="107"/>
      <c r="D47" s="107"/>
      <c r="E47" s="107"/>
      <c r="F47" s="107"/>
      <c r="G47" s="113">
        <f>L41+G46</f>
        <v>53</v>
      </c>
      <c r="H47" s="165"/>
      <c r="I47" s="108"/>
      <c r="J47" s="109"/>
      <c r="K47" s="55"/>
      <c r="L47" s="56"/>
    </row>
    <row r="48" spans="1:12" ht="15.75" thickBot="1">
      <c r="A48" s="4"/>
      <c r="B48" s="106" t="s">
        <v>23</v>
      </c>
      <c r="C48" s="107"/>
      <c r="D48" s="107"/>
      <c r="E48" s="107"/>
      <c r="F48" s="107"/>
      <c r="G48" s="113">
        <f>G44+G45-G47</f>
        <v>53</v>
      </c>
      <c r="H48" s="165"/>
      <c r="I48" s="108"/>
      <c r="J48" s="109"/>
      <c r="K48" s="55"/>
      <c r="L48" s="57"/>
    </row>
    <row r="49" spans="1:12" ht="15.75" thickBot="1">
      <c r="A49" s="4"/>
      <c r="B49" s="106" t="s">
        <v>24</v>
      </c>
      <c r="C49" s="107"/>
      <c r="D49" s="107"/>
      <c r="E49" s="107"/>
      <c r="F49" s="107"/>
      <c r="G49" s="168">
        <v>33</v>
      </c>
      <c r="H49" s="165"/>
      <c r="I49" s="108"/>
      <c r="J49" s="109"/>
      <c r="K49" s="55"/>
      <c r="L49" s="57"/>
    </row>
    <row r="50" spans="1:12" ht="15.75" thickBot="1">
      <c r="A50" s="4"/>
      <c r="B50" s="106" t="s">
        <v>25</v>
      </c>
      <c r="C50" s="107"/>
      <c r="D50" s="107"/>
      <c r="E50" s="107"/>
      <c r="F50" s="107"/>
      <c r="G50" s="110">
        <f>G48-G49</f>
        <v>20</v>
      </c>
      <c r="H50" s="167"/>
      <c r="I50" s="112"/>
      <c r="J50" s="111"/>
      <c r="K50" s="55"/>
      <c r="L50" s="57"/>
    </row>
    <row r="51" spans="1:12">
      <c r="A51" s="5" t="s">
        <v>26</v>
      </c>
      <c r="B51" s="38"/>
      <c r="C51" s="44"/>
      <c r="D51" s="44"/>
      <c r="E51" s="44"/>
      <c r="F51" s="38"/>
      <c r="G51" s="38"/>
      <c r="H51" s="44"/>
      <c r="I51" s="45" t="s">
        <v>27</v>
      </c>
      <c r="J51" s="44"/>
      <c r="K51" s="38"/>
      <c r="L51" s="1"/>
    </row>
    <row r="52" spans="1:12" ht="3.75" customHeight="1"/>
    <row r="53" spans="1:12">
      <c r="B53" t="s">
        <v>34</v>
      </c>
    </row>
  </sheetData>
  <mergeCells count="36">
    <mergeCell ref="A5:L5"/>
    <mergeCell ref="A1:D1"/>
    <mergeCell ref="G1:L1"/>
    <mergeCell ref="A2:D2"/>
    <mergeCell ref="G2:L2"/>
    <mergeCell ref="A3:D3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4"/>
  <sheetViews>
    <sheetView topLeftCell="A34" workbookViewId="0">
      <selection activeCell="B54" sqref="B54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26" t="s">
        <v>0</v>
      </c>
      <c r="B1" s="126"/>
      <c r="C1" s="126"/>
      <c r="D1" s="126"/>
      <c r="E1" s="37"/>
      <c r="F1" s="38"/>
      <c r="G1" s="127" t="s">
        <v>1</v>
      </c>
      <c r="H1" s="127"/>
      <c r="I1" s="127"/>
      <c r="J1" s="127"/>
      <c r="K1" s="127"/>
      <c r="L1" s="127"/>
    </row>
    <row r="2" spans="1:12" ht="15.75">
      <c r="A2" s="127" t="s">
        <v>2</v>
      </c>
      <c r="B2" s="127"/>
      <c r="C2" s="127"/>
      <c r="D2" s="127"/>
      <c r="E2" s="37"/>
      <c r="F2" s="38"/>
      <c r="G2" s="138" t="s">
        <v>3</v>
      </c>
      <c r="H2" s="138"/>
      <c r="I2" s="138"/>
      <c r="J2" s="138"/>
      <c r="K2" s="138"/>
      <c r="L2" s="138"/>
    </row>
    <row r="3" spans="1:12">
      <c r="A3" s="138" t="s">
        <v>4</v>
      </c>
      <c r="B3" s="138"/>
      <c r="C3" s="138"/>
      <c r="D3" s="138"/>
      <c r="E3" s="37"/>
      <c r="F3" s="38"/>
      <c r="G3" s="38"/>
      <c r="H3" s="37"/>
      <c r="I3" s="37"/>
      <c r="J3" s="37"/>
      <c r="K3" s="38"/>
      <c r="L3" s="1"/>
    </row>
    <row r="4" spans="1:12" ht="3" customHeight="1">
      <c r="A4" s="88"/>
      <c r="B4" s="38"/>
      <c r="C4" s="37"/>
      <c r="D4" s="37"/>
      <c r="E4" s="37"/>
      <c r="F4" s="38"/>
      <c r="G4" s="38"/>
      <c r="H4" s="37"/>
      <c r="I4" s="37"/>
      <c r="J4" s="37"/>
      <c r="K4" s="38"/>
      <c r="L4" s="1"/>
    </row>
    <row r="5" spans="1:12" ht="18">
      <c r="A5" s="126" t="s">
        <v>5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15.75">
      <c r="A6" s="127" t="s">
        <v>46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</row>
    <row r="7" spans="1:12" ht="15.75" thickBot="1">
      <c r="A7" s="2" t="s">
        <v>6</v>
      </c>
      <c r="B7" s="12"/>
      <c r="C7" s="13"/>
      <c r="D7" s="13"/>
      <c r="E7" s="13"/>
      <c r="F7" s="12"/>
      <c r="G7" s="12"/>
      <c r="H7" s="129"/>
      <c r="I7" s="129"/>
      <c r="J7" s="13"/>
      <c r="K7" s="39"/>
      <c r="L7" s="3"/>
    </row>
    <row r="8" spans="1:12">
      <c r="A8" s="130" t="s">
        <v>7</v>
      </c>
      <c r="B8" s="132" t="s">
        <v>8</v>
      </c>
      <c r="C8" s="133"/>
      <c r="D8" s="133"/>
      <c r="E8" s="133"/>
      <c r="F8" s="134"/>
      <c r="G8" s="135" t="s">
        <v>9</v>
      </c>
      <c r="H8" s="133"/>
      <c r="I8" s="133"/>
      <c r="J8" s="133"/>
      <c r="K8" s="134"/>
      <c r="L8" s="136" t="s">
        <v>10</v>
      </c>
    </row>
    <row r="9" spans="1:12" ht="15.75" thickBot="1">
      <c r="A9" s="131"/>
      <c r="B9" s="40" t="s">
        <v>11</v>
      </c>
      <c r="C9" s="41" t="s">
        <v>12</v>
      </c>
      <c r="D9" s="41" t="s">
        <v>13</v>
      </c>
      <c r="E9" s="41" t="s">
        <v>14</v>
      </c>
      <c r="F9" s="42" t="s">
        <v>15</v>
      </c>
      <c r="G9" s="43" t="s">
        <v>11</v>
      </c>
      <c r="H9" s="41" t="s">
        <v>12</v>
      </c>
      <c r="I9" s="41" t="s">
        <v>13</v>
      </c>
      <c r="J9" s="41" t="s">
        <v>14</v>
      </c>
      <c r="K9" s="42" t="s">
        <v>16</v>
      </c>
      <c r="L9" s="137"/>
    </row>
    <row r="10" spans="1:12" ht="15.75" thickBot="1">
      <c r="A10" s="6">
        <v>1</v>
      </c>
      <c r="B10" s="20"/>
      <c r="C10" s="21"/>
      <c r="D10" s="21"/>
      <c r="E10" s="22"/>
      <c r="F10" s="19">
        <f>SUM(B10:E10)</f>
        <v>0</v>
      </c>
      <c r="G10" s="48"/>
      <c r="H10" s="31"/>
      <c r="I10" s="31"/>
      <c r="J10" s="31"/>
      <c r="K10" s="17">
        <f>SUM(G10:J10)</f>
        <v>0</v>
      </c>
      <c r="L10" s="7">
        <f>SUM(F10+K10)</f>
        <v>0</v>
      </c>
    </row>
    <row r="11" spans="1:12" ht="15.75" thickBot="1">
      <c r="A11" s="8">
        <v>2</v>
      </c>
      <c r="B11" s="23"/>
      <c r="C11" s="24"/>
      <c r="D11" s="24"/>
      <c r="E11" s="25"/>
      <c r="F11" s="19">
        <f t="shared" ref="F11:F40" si="0">SUM(B11:E11)</f>
        <v>0</v>
      </c>
      <c r="G11" s="32"/>
      <c r="H11" s="24"/>
      <c r="I11" s="24"/>
      <c r="J11" s="24"/>
      <c r="K11" s="17">
        <f t="shared" ref="K11:K40" si="1">SUM(G11:J11)</f>
        <v>0</v>
      </c>
      <c r="L11" s="7">
        <f t="shared" ref="L11:L40" si="2">SUM(F11+K11)</f>
        <v>0</v>
      </c>
    </row>
    <row r="12" spans="1:12" ht="15.75" thickBot="1">
      <c r="A12" s="8">
        <v>3</v>
      </c>
      <c r="B12" s="23"/>
      <c r="C12" s="24"/>
      <c r="D12" s="24"/>
      <c r="E12" s="26"/>
      <c r="F12" s="19">
        <f t="shared" si="0"/>
        <v>0</v>
      </c>
      <c r="G12" s="32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>
      <c r="A13" s="8">
        <v>4</v>
      </c>
      <c r="B13" s="23">
        <v>2</v>
      </c>
      <c r="C13" s="24"/>
      <c r="D13" s="24"/>
      <c r="E13" s="25"/>
      <c r="F13" s="19">
        <f t="shared" si="0"/>
        <v>2</v>
      </c>
      <c r="G13" s="33">
        <v>1</v>
      </c>
      <c r="H13" s="24"/>
      <c r="I13" s="24"/>
      <c r="J13" s="24"/>
      <c r="K13" s="17">
        <f t="shared" si="1"/>
        <v>1</v>
      </c>
      <c r="L13" s="7">
        <f t="shared" si="2"/>
        <v>3</v>
      </c>
    </row>
    <row r="14" spans="1:12" ht="15.75" thickBot="1">
      <c r="A14" s="8">
        <v>5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>
      <c r="A15" s="8">
        <v>6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>
      <c r="A16" s="8">
        <v>7</v>
      </c>
      <c r="B16" s="23">
        <v>1</v>
      </c>
      <c r="C16" s="24"/>
      <c r="D16" s="24"/>
      <c r="E16" s="25"/>
      <c r="F16" s="19">
        <f t="shared" si="0"/>
        <v>1</v>
      </c>
      <c r="G16" s="32"/>
      <c r="H16" s="24"/>
      <c r="I16" s="24"/>
      <c r="J16" s="24"/>
      <c r="K16" s="17">
        <f t="shared" si="1"/>
        <v>0</v>
      </c>
      <c r="L16" s="7">
        <f t="shared" si="2"/>
        <v>1</v>
      </c>
    </row>
    <row r="17" spans="1:12" ht="15.75" thickBot="1">
      <c r="A17" s="8">
        <v>8</v>
      </c>
      <c r="B17" s="23"/>
      <c r="C17" s="24"/>
      <c r="D17" s="24"/>
      <c r="E17" s="25"/>
      <c r="F17" s="19">
        <f t="shared" si="0"/>
        <v>0</v>
      </c>
      <c r="G17" s="32">
        <v>7</v>
      </c>
      <c r="H17" s="24"/>
      <c r="I17" s="24"/>
      <c r="J17" s="24">
        <v>1</v>
      </c>
      <c r="K17" s="17">
        <f t="shared" si="1"/>
        <v>8</v>
      </c>
      <c r="L17" s="7">
        <f t="shared" si="2"/>
        <v>8</v>
      </c>
    </row>
    <row r="18" spans="1:12" ht="15.75" thickBot="1">
      <c r="A18" s="8">
        <v>9</v>
      </c>
      <c r="B18" s="23"/>
      <c r="C18" s="24"/>
      <c r="D18" s="24"/>
      <c r="E18" s="25"/>
      <c r="F18" s="19">
        <f t="shared" si="0"/>
        <v>0</v>
      </c>
      <c r="G18" s="32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>
      <c r="A19" s="8">
        <v>10</v>
      </c>
      <c r="B19" s="23"/>
      <c r="C19" s="24"/>
      <c r="D19" s="24"/>
      <c r="E19" s="25"/>
      <c r="F19" s="19">
        <f t="shared" si="0"/>
        <v>0</v>
      </c>
      <c r="G19" s="34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>
      <c r="A20" s="8">
        <v>11</v>
      </c>
      <c r="B20" s="23"/>
      <c r="C20" s="24"/>
      <c r="D20" s="24"/>
      <c r="E20" s="25"/>
      <c r="F20" s="19">
        <f t="shared" si="0"/>
        <v>0</v>
      </c>
      <c r="G20" s="32">
        <v>1</v>
      </c>
      <c r="H20" s="24"/>
      <c r="I20" s="24"/>
      <c r="J20" s="24"/>
      <c r="K20" s="17">
        <f t="shared" si="1"/>
        <v>1</v>
      </c>
      <c r="L20" s="7">
        <f t="shared" si="2"/>
        <v>1</v>
      </c>
    </row>
    <row r="21" spans="1:12" ht="15.75" thickBot="1">
      <c r="A21" s="8">
        <v>12</v>
      </c>
      <c r="B21" s="23"/>
      <c r="C21" s="24"/>
      <c r="D21" s="24"/>
      <c r="E21" s="25"/>
      <c r="F21" s="19">
        <f t="shared" si="0"/>
        <v>0</v>
      </c>
      <c r="G21" s="32"/>
      <c r="H21" s="35"/>
      <c r="I21" s="35"/>
      <c r="J21" s="35"/>
      <c r="K21" s="17">
        <f t="shared" si="1"/>
        <v>0</v>
      </c>
      <c r="L21" s="7">
        <f t="shared" si="2"/>
        <v>0</v>
      </c>
    </row>
    <row r="22" spans="1:12" ht="15.75" thickBot="1">
      <c r="A22" s="8">
        <v>13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>
      <c r="A23" s="8">
        <v>14</v>
      </c>
      <c r="B23" s="23"/>
      <c r="C23" s="24"/>
      <c r="D23" s="24"/>
      <c r="E23" s="25"/>
      <c r="F23" s="19">
        <f t="shared" si="0"/>
        <v>0</v>
      </c>
      <c r="G23" s="36">
        <v>4</v>
      </c>
      <c r="H23" s="24"/>
      <c r="I23" s="24"/>
      <c r="J23" s="24"/>
      <c r="K23" s="17">
        <f t="shared" si="1"/>
        <v>4</v>
      </c>
      <c r="L23" s="7">
        <f t="shared" si="2"/>
        <v>4</v>
      </c>
    </row>
    <row r="24" spans="1:12" ht="15.75" thickBot="1">
      <c r="A24" s="8">
        <v>15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>
      <c r="A25" s="8">
        <v>16</v>
      </c>
      <c r="B25" s="23"/>
      <c r="C25" s="24"/>
      <c r="D25" s="24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>
      <c r="A26" s="8">
        <v>17</v>
      </c>
      <c r="B26" s="23"/>
      <c r="C26" s="87"/>
      <c r="D26" s="27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>
      <c r="A27" s="8">
        <v>18</v>
      </c>
      <c r="B27" s="23">
        <v>2</v>
      </c>
      <c r="C27" s="24"/>
      <c r="D27" s="24"/>
      <c r="E27" s="25"/>
      <c r="F27" s="19">
        <f t="shared" si="0"/>
        <v>2</v>
      </c>
      <c r="G27" s="32"/>
      <c r="H27" s="24"/>
      <c r="I27" s="24"/>
      <c r="J27" s="24"/>
      <c r="K27" s="17">
        <f t="shared" si="1"/>
        <v>0</v>
      </c>
      <c r="L27" s="7">
        <f t="shared" si="2"/>
        <v>2</v>
      </c>
    </row>
    <row r="28" spans="1:12" ht="15.75" thickBot="1">
      <c r="A28" s="8">
        <v>19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>
      <c r="A29" s="8">
        <v>20</v>
      </c>
      <c r="B29" s="23">
        <v>2</v>
      </c>
      <c r="C29" s="24"/>
      <c r="D29" s="24"/>
      <c r="E29" s="25"/>
      <c r="F29" s="19">
        <f t="shared" si="0"/>
        <v>2</v>
      </c>
      <c r="G29" s="32"/>
      <c r="H29" s="24"/>
      <c r="I29" s="24"/>
      <c r="J29" s="24"/>
      <c r="K29" s="17">
        <f t="shared" si="1"/>
        <v>0</v>
      </c>
      <c r="L29" s="7">
        <f t="shared" si="2"/>
        <v>2</v>
      </c>
    </row>
    <row r="30" spans="1:12" ht="15.75" thickBot="1">
      <c r="A30" s="8">
        <v>21</v>
      </c>
      <c r="B30" s="23"/>
      <c r="C30" s="24"/>
      <c r="D30" s="24"/>
      <c r="E30" s="25"/>
      <c r="F30" s="19">
        <f t="shared" si="0"/>
        <v>0</v>
      </c>
      <c r="G30" s="32">
        <v>4</v>
      </c>
      <c r="H30" s="24"/>
      <c r="I30" s="24"/>
      <c r="J30" s="24"/>
      <c r="K30" s="17">
        <f t="shared" si="1"/>
        <v>4</v>
      </c>
      <c r="L30" s="7">
        <f t="shared" si="2"/>
        <v>4</v>
      </c>
    </row>
    <row r="31" spans="1:12" ht="15.75" thickBot="1">
      <c r="A31" s="8">
        <v>22</v>
      </c>
      <c r="B31" s="23"/>
      <c r="C31" s="24"/>
      <c r="D31" s="24"/>
      <c r="E31" s="62"/>
      <c r="F31" s="19">
        <f t="shared" si="0"/>
        <v>0</v>
      </c>
      <c r="G31" s="32">
        <v>5</v>
      </c>
      <c r="H31" s="24"/>
      <c r="I31" s="24"/>
      <c r="J31" s="24"/>
      <c r="K31" s="17">
        <f t="shared" si="1"/>
        <v>5</v>
      </c>
      <c r="L31" s="7">
        <f t="shared" si="2"/>
        <v>5</v>
      </c>
    </row>
    <row r="32" spans="1:12" ht="15.75" thickBot="1">
      <c r="A32" s="8">
        <v>23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>
      <c r="A33" s="8">
        <v>24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>
      <c r="A34" s="8">
        <v>25</v>
      </c>
      <c r="B34" s="23">
        <v>3</v>
      </c>
      <c r="C34" s="24"/>
      <c r="D34" s="24"/>
      <c r="E34" s="25"/>
      <c r="F34" s="19">
        <f t="shared" si="0"/>
        <v>3</v>
      </c>
      <c r="G34" s="32">
        <v>5</v>
      </c>
      <c r="H34" s="24"/>
      <c r="I34" s="24"/>
      <c r="J34" s="24"/>
      <c r="K34" s="17">
        <f t="shared" si="1"/>
        <v>5</v>
      </c>
      <c r="L34" s="7">
        <f t="shared" si="2"/>
        <v>8</v>
      </c>
    </row>
    <row r="35" spans="1:12" ht="15.75" thickBot="1">
      <c r="A35" s="8">
        <v>26</v>
      </c>
      <c r="B35" s="23"/>
      <c r="C35" s="24"/>
      <c r="D35" s="24"/>
      <c r="E35" s="25"/>
      <c r="F35" s="19">
        <f t="shared" si="0"/>
        <v>0</v>
      </c>
      <c r="G35" s="32">
        <v>3</v>
      </c>
      <c r="H35" s="24"/>
      <c r="I35" s="24"/>
      <c r="J35" s="24"/>
      <c r="K35" s="17">
        <f t="shared" si="1"/>
        <v>3</v>
      </c>
      <c r="L35" s="7">
        <f t="shared" si="2"/>
        <v>3</v>
      </c>
    </row>
    <row r="36" spans="1:12" ht="15.75" thickBot="1">
      <c r="A36" s="8">
        <v>27</v>
      </c>
      <c r="B36" s="71">
        <v>5</v>
      </c>
      <c r="C36" s="24"/>
      <c r="D36" s="24"/>
      <c r="E36" s="25"/>
      <c r="F36" s="19">
        <f t="shared" si="0"/>
        <v>5</v>
      </c>
      <c r="G36" s="47">
        <v>2</v>
      </c>
      <c r="H36" s="24"/>
      <c r="I36" s="24"/>
      <c r="J36" s="24"/>
      <c r="K36" s="17">
        <f t="shared" si="1"/>
        <v>2</v>
      </c>
      <c r="L36" s="7">
        <f t="shared" si="2"/>
        <v>7</v>
      </c>
    </row>
    <row r="37" spans="1:12" ht="15.75" thickBot="1">
      <c r="A37" s="8">
        <v>28</v>
      </c>
      <c r="B37" s="23"/>
      <c r="C37" s="24"/>
      <c r="D37" s="24"/>
      <c r="E37" s="25"/>
      <c r="F37" s="19">
        <f t="shared" si="0"/>
        <v>0</v>
      </c>
      <c r="G37" s="32">
        <v>3</v>
      </c>
      <c r="H37" s="24"/>
      <c r="I37" s="24"/>
      <c r="J37" s="24"/>
      <c r="K37" s="17">
        <f t="shared" si="1"/>
        <v>3</v>
      </c>
      <c r="L37" s="7">
        <f t="shared" si="2"/>
        <v>3</v>
      </c>
    </row>
    <row r="38" spans="1:12" ht="15.75" thickBot="1">
      <c r="A38" s="8">
        <v>29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>
      <c r="A39" s="8">
        <v>30</v>
      </c>
      <c r="B39" s="23"/>
      <c r="C39" s="24"/>
      <c r="D39" s="24"/>
      <c r="E39" s="25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>
      <c r="A40" s="9">
        <v>31</v>
      </c>
      <c r="B40" s="28"/>
      <c r="C40" s="29"/>
      <c r="D40" s="29"/>
      <c r="E40" s="30"/>
      <c r="F40" s="19">
        <f t="shared" si="0"/>
        <v>0</v>
      </c>
      <c r="G40" s="32"/>
      <c r="H40" s="24"/>
      <c r="I40" s="24"/>
      <c r="J40" s="24"/>
      <c r="K40" s="17">
        <f t="shared" si="1"/>
        <v>0</v>
      </c>
      <c r="L40" s="7">
        <f t="shared" si="2"/>
        <v>0</v>
      </c>
    </row>
    <row r="41" spans="1:12" ht="15.75" thickBot="1">
      <c r="A41" s="91"/>
      <c r="B41" s="90">
        <f>SUM(B10:B40)</f>
        <v>15</v>
      </c>
      <c r="C41" s="90">
        <f t="shared" ref="C41:E41" si="3">SUM(C10:C40)</f>
        <v>0</v>
      </c>
      <c r="D41" s="90">
        <f t="shared" si="3"/>
        <v>0</v>
      </c>
      <c r="E41" s="90">
        <f t="shared" si="3"/>
        <v>0</v>
      </c>
      <c r="F41" s="89">
        <f>SUM(F10:F40)</f>
        <v>15</v>
      </c>
      <c r="G41" s="18">
        <f>SUM(G10:G40)</f>
        <v>35</v>
      </c>
      <c r="H41" s="18">
        <f t="shared" ref="H41:L41" si="4">SUM(H10:H40)</f>
        <v>0</v>
      </c>
      <c r="I41" s="18">
        <f t="shared" si="4"/>
        <v>0</v>
      </c>
      <c r="J41" s="18">
        <f t="shared" si="4"/>
        <v>1</v>
      </c>
      <c r="K41" s="18">
        <f t="shared" si="4"/>
        <v>36</v>
      </c>
      <c r="L41" s="18">
        <f t="shared" si="4"/>
        <v>51</v>
      </c>
    </row>
    <row r="42" spans="1:12" ht="15.75" thickBot="1">
      <c r="A42" s="12"/>
      <c r="B42" s="12"/>
      <c r="C42" s="13"/>
      <c r="D42" s="13"/>
      <c r="E42" s="13"/>
      <c r="F42" s="12"/>
      <c r="G42" s="12"/>
      <c r="H42" s="13"/>
      <c r="I42" s="13"/>
      <c r="J42" s="13"/>
      <c r="K42" s="12"/>
      <c r="L42" s="14"/>
    </row>
    <row r="43" spans="1:12" ht="15.75" thickBot="1">
      <c r="A43" s="119"/>
      <c r="B43" s="119"/>
      <c r="C43" s="119"/>
      <c r="D43" s="119"/>
      <c r="E43" s="119"/>
      <c r="F43" s="119"/>
      <c r="G43" s="120" t="s">
        <v>17</v>
      </c>
      <c r="H43" s="151"/>
      <c r="I43" s="120" t="s">
        <v>18</v>
      </c>
      <c r="J43" s="122"/>
      <c r="K43" s="55"/>
      <c r="L43" s="56"/>
    </row>
    <row r="44" spans="1:12" ht="15.75" thickBot="1">
      <c r="A44" s="15"/>
      <c r="B44" s="106" t="s">
        <v>19</v>
      </c>
      <c r="C44" s="107"/>
      <c r="D44" s="107"/>
      <c r="E44" s="107"/>
      <c r="F44" s="107"/>
      <c r="G44" s="117">
        <v>33</v>
      </c>
      <c r="H44" s="162"/>
      <c r="I44" s="163"/>
      <c r="J44" s="164"/>
      <c r="K44" s="55"/>
      <c r="L44" s="56"/>
    </row>
    <row r="45" spans="1:12" ht="15.75" thickBot="1">
      <c r="A45" s="15"/>
      <c r="B45" s="106" t="s">
        <v>20</v>
      </c>
      <c r="C45" s="107"/>
      <c r="D45" s="107"/>
      <c r="E45" s="107"/>
      <c r="F45" s="107"/>
      <c r="G45" s="108">
        <v>203</v>
      </c>
      <c r="H45" s="165"/>
      <c r="I45" s="108"/>
      <c r="J45" s="109"/>
      <c r="K45" s="55"/>
      <c r="L45" s="56"/>
    </row>
    <row r="46" spans="1:12" ht="15.75" thickBot="1">
      <c r="A46" s="15"/>
      <c r="B46" s="114" t="s">
        <v>21</v>
      </c>
      <c r="C46" s="114"/>
      <c r="D46" s="114"/>
      <c r="E46" s="114"/>
      <c r="F46" s="106"/>
      <c r="G46" s="115">
        <v>26</v>
      </c>
      <c r="H46" s="166"/>
      <c r="I46" s="108"/>
      <c r="J46" s="109"/>
      <c r="K46" s="55"/>
      <c r="L46" s="56"/>
    </row>
    <row r="47" spans="1:12" ht="15.75" thickBot="1">
      <c r="A47" s="15"/>
      <c r="B47" s="106" t="s">
        <v>22</v>
      </c>
      <c r="C47" s="107"/>
      <c r="D47" s="107"/>
      <c r="E47" s="107"/>
      <c r="F47" s="107"/>
      <c r="G47" s="113">
        <f>L41+G46</f>
        <v>77</v>
      </c>
      <c r="H47" s="165"/>
      <c r="I47" s="108"/>
      <c r="J47" s="109"/>
      <c r="K47" s="55"/>
      <c r="L47" s="56"/>
    </row>
    <row r="48" spans="1:12" ht="15.75" thickBot="1">
      <c r="A48" s="4"/>
      <c r="B48" s="106" t="s">
        <v>23</v>
      </c>
      <c r="C48" s="107"/>
      <c r="D48" s="107"/>
      <c r="E48" s="107"/>
      <c r="F48" s="107"/>
      <c r="G48" s="113">
        <f>G44+G45-G47</f>
        <v>159</v>
      </c>
      <c r="H48" s="165"/>
      <c r="I48" s="108"/>
      <c r="J48" s="109"/>
      <c r="K48" s="55"/>
      <c r="L48" s="57"/>
    </row>
    <row r="49" spans="1:12" ht="15.75" thickBot="1">
      <c r="A49" s="4"/>
      <c r="B49" s="106" t="s">
        <v>24</v>
      </c>
      <c r="C49" s="107"/>
      <c r="D49" s="107"/>
      <c r="E49" s="107"/>
      <c r="F49" s="107"/>
      <c r="G49" s="168">
        <v>138</v>
      </c>
      <c r="H49" s="165"/>
      <c r="I49" s="108"/>
      <c r="J49" s="109"/>
      <c r="K49" s="55"/>
      <c r="L49" s="57"/>
    </row>
    <row r="50" spans="1:12" ht="15.75" thickBot="1">
      <c r="A50" s="4"/>
      <c r="B50" s="106" t="s">
        <v>25</v>
      </c>
      <c r="C50" s="107"/>
      <c r="D50" s="107"/>
      <c r="E50" s="107"/>
      <c r="F50" s="107"/>
      <c r="G50" s="110">
        <f>G48-G49</f>
        <v>21</v>
      </c>
      <c r="H50" s="167"/>
      <c r="I50" s="112"/>
      <c r="J50" s="111"/>
      <c r="K50" s="55"/>
      <c r="L50" s="57"/>
    </row>
    <row r="51" spans="1:12">
      <c r="A51" s="5" t="s">
        <v>26</v>
      </c>
      <c r="B51" s="38"/>
      <c r="C51" s="44"/>
      <c r="D51" s="44"/>
      <c r="E51" s="44"/>
      <c r="F51" s="38"/>
      <c r="G51" s="38"/>
      <c r="H51" s="44"/>
      <c r="I51" s="45" t="s">
        <v>27</v>
      </c>
      <c r="J51" s="44"/>
      <c r="K51" s="38"/>
      <c r="L51" s="1"/>
    </row>
    <row r="53" spans="1:12">
      <c r="B53" t="s">
        <v>49</v>
      </c>
    </row>
    <row r="54" spans="1:12">
      <c r="B54" t="s">
        <v>47</v>
      </c>
    </row>
  </sheetData>
  <mergeCells count="36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6:L6"/>
    <mergeCell ref="H7:I7"/>
    <mergeCell ref="A8:A9"/>
    <mergeCell ref="B8:F8"/>
    <mergeCell ref="G8:K8"/>
    <mergeCell ref="L8:L9"/>
    <mergeCell ref="A5:L5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1"/>
  <sheetViews>
    <sheetView topLeftCell="A40" workbookViewId="0">
      <selection activeCell="L51" sqref="A1:L51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26" t="s">
        <v>0</v>
      </c>
      <c r="B1" s="126"/>
      <c r="C1" s="126"/>
      <c r="D1" s="126"/>
      <c r="E1" s="37"/>
      <c r="F1" s="38"/>
      <c r="G1" s="127" t="s">
        <v>1</v>
      </c>
      <c r="H1" s="127"/>
      <c r="I1" s="127"/>
      <c r="J1" s="127"/>
      <c r="K1" s="127"/>
      <c r="L1" s="127"/>
    </row>
    <row r="2" spans="1:12" ht="15.75">
      <c r="A2" s="127" t="s">
        <v>2</v>
      </c>
      <c r="B2" s="127"/>
      <c r="C2" s="127"/>
      <c r="D2" s="127"/>
      <c r="E2" s="37"/>
      <c r="F2" s="38"/>
      <c r="G2" s="138" t="s">
        <v>3</v>
      </c>
      <c r="H2" s="138"/>
      <c r="I2" s="138"/>
      <c r="J2" s="138"/>
      <c r="K2" s="138"/>
      <c r="L2" s="138"/>
    </row>
    <row r="3" spans="1:12">
      <c r="A3" s="138" t="s">
        <v>4</v>
      </c>
      <c r="B3" s="138"/>
      <c r="C3" s="138"/>
      <c r="D3" s="138"/>
      <c r="E3" s="37"/>
      <c r="F3" s="38"/>
      <c r="G3" s="38"/>
      <c r="H3" s="37"/>
      <c r="I3" s="37"/>
      <c r="J3" s="37"/>
      <c r="K3" s="38"/>
      <c r="L3" s="1"/>
    </row>
    <row r="4" spans="1:12" ht="5.25" customHeight="1">
      <c r="A4" s="92"/>
      <c r="B4" s="38"/>
      <c r="C4" s="37"/>
      <c r="D4" s="37"/>
      <c r="E4" s="37"/>
      <c r="F4" s="38"/>
      <c r="G4" s="38"/>
      <c r="H4" s="37"/>
      <c r="I4" s="37"/>
      <c r="J4" s="37"/>
      <c r="K4" s="38"/>
      <c r="L4" s="1"/>
    </row>
    <row r="5" spans="1:12" ht="18">
      <c r="A5" s="126" t="s">
        <v>5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15.75">
      <c r="A6" s="127" t="s">
        <v>48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</row>
    <row r="7" spans="1:12" ht="3.75" customHeight="1" thickBot="1">
      <c r="A7" s="2" t="s">
        <v>6</v>
      </c>
      <c r="B7" s="12"/>
      <c r="C7" s="13"/>
      <c r="D7" s="13"/>
      <c r="E7" s="13"/>
      <c r="F7" s="12"/>
      <c r="G7" s="12"/>
      <c r="H7" s="129"/>
      <c r="I7" s="129"/>
      <c r="J7" s="13"/>
      <c r="K7" s="39"/>
      <c r="L7" s="3"/>
    </row>
    <row r="8" spans="1:12">
      <c r="A8" s="130" t="s">
        <v>7</v>
      </c>
      <c r="B8" s="132" t="s">
        <v>8</v>
      </c>
      <c r="C8" s="133"/>
      <c r="D8" s="133"/>
      <c r="E8" s="133"/>
      <c r="F8" s="134"/>
      <c r="G8" s="135" t="s">
        <v>9</v>
      </c>
      <c r="H8" s="133"/>
      <c r="I8" s="133"/>
      <c r="J8" s="133"/>
      <c r="K8" s="134"/>
      <c r="L8" s="136" t="s">
        <v>10</v>
      </c>
    </row>
    <row r="9" spans="1:12" ht="15.75" thickBot="1">
      <c r="A9" s="131"/>
      <c r="B9" s="40" t="s">
        <v>11</v>
      </c>
      <c r="C9" s="41" t="s">
        <v>12</v>
      </c>
      <c r="D9" s="41" t="s">
        <v>13</v>
      </c>
      <c r="E9" s="41" t="s">
        <v>14</v>
      </c>
      <c r="F9" s="42" t="s">
        <v>15</v>
      </c>
      <c r="G9" s="43" t="s">
        <v>11</v>
      </c>
      <c r="H9" s="41" t="s">
        <v>12</v>
      </c>
      <c r="I9" s="41" t="s">
        <v>13</v>
      </c>
      <c r="J9" s="41" t="s">
        <v>14</v>
      </c>
      <c r="K9" s="42" t="s">
        <v>16</v>
      </c>
      <c r="L9" s="137"/>
    </row>
    <row r="10" spans="1:12" ht="15.75" thickBot="1">
      <c r="A10" s="6">
        <v>1</v>
      </c>
      <c r="B10" s="20"/>
      <c r="C10" s="21"/>
      <c r="D10" s="21"/>
      <c r="E10" s="22"/>
      <c r="F10" s="19">
        <f>SUM(B10:E10)</f>
        <v>0</v>
      </c>
      <c r="G10" s="48"/>
      <c r="H10" s="31"/>
      <c r="I10" s="31"/>
      <c r="J10" s="31"/>
      <c r="K10" s="17">
        <f>SUM(G10:J10)</f>
        <v>0</v>
      </c>
      <c r="L10" s="7">
        <f>SUM(F10+K10)</f>
        <v>0</v>
      </c>
    </row>
    <row r="11" spans="1:12" ht="15.75" thickBot="1">
      <c r="A11" s="8">
        <v>2</v>
      </c>
      <c r="B11" s="23"/>
      <c r="C11" s="24"/>
      <c r="D11" s="24"/>
      <c r="E11" s="25"/>
      <c r="F11" s="19">
        <f t="shared" ref="F11:F40" si="0">SUM(B11:E11)</f>
        <v>0</v>
      </c>
      <c r="G11" s="32"/>
      <c r="H11" s="24"/>
      <c r="I11" s="24"/>
      <c r="J11" s="24"/>
      <c r="K11" s="17">
        <f t="shared" ref="K11:K40" si="1">SUM(G11:J11)</f>
        <v>0</v>
      </c>
      <c r="L11" s="7">
        <f t="shared" ref="L11:L40" si="2">SUM(F11+K11)</f>
        <v>0</v>
      </c>
    </row>
    <row r="12" spans="1:12" ht="15.75" thickBot="1">
      <c r="A12" s="8">
        <v>3</v>
      </c>
      <c r="B12" s="23"/>
      <c r="C12" s="24"/>
      <c r="D12" s="24"/>
      <c r="E12" s="26"/>
      <c r="F12" s="19">
        <f t="shared" si="0"/>
        <v>0</v>
      </c>
      <c r="G12" s="32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>
      <c r="A13" s="8">
        <v>4</v>
      </c>
      <c r="B13" s="23">
        <v>1</v>
      </c>
      <c r="C13" s="24"/>
      <c r="D13" s="24"/>
      <c r="E13" s="25"/>
      <c r="F13" s="19">
        <f t="shared" si="0"/>
        <v>1</v>
      </c>
      <c r="G13" s="33"/>
      <c r="H13" s="24"/>
      <c r="I13" s="24"/>
      <c r="J13" s="24"/>
      <c r="K13" s="17">
        <f t="shared" si="1"/>
        <v>0</v>
      </c>
      <c r="L13" s="7">
        <f t="shared" si="2"/>
        <v>1</v>
      </c>
    </row>
    <row r="14" spans="1:12" ht="15.75" thickBot="1">
      <c r="A14" s="8">
        <v>5</v>
      </c>
      <c r="B14" s="23"/>
      <c r="C14" s="24"/>
      <c r="D14" s="24"/>
      <c r="E14" s="25"/>
      <c r="F14" s="19">
        <f t="shared" si="0"/>
        <v>0</v>
      </c>
      <c r="G14" s="32">
        <v>2</v>
      </c>
      <c r="H14" s="24"/>
      <c r="I14" s="24">
        <v>1</v>
      </c>
      <c r="J14" s="24"/>
      <c r="K14" s="17">
        <f t="shared" si="1"/>
        <v>3</v>
      </c>
      <c r="L14" s="7">
        <f t="shared" si="2"/>
        <v>3</v>
      </c>
    </row>
    <row r="15" spans="1:12" ht="15.75" thickBot="1">
      <c r="A15" s="8">
        <v>6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>
      <c r="A16" s="8">
        <v>7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>
      <c r="A17" s="8">
        <v>8</v>
      </c>
      <c r="B17" s="23">
        <v>2</v>
      </c>
      <c r="C17" s="24"/>
      <c r="D17" s="24"/>
      <c r="E17" s="25"/>
      <c r="F17" s="19">
        <f t="shared" si="0"/>
        <v>2</v>
      </c>
      <c r="G17" s="32"/>
      <c r="H17" s="24"/>
      <c r="I17" s="24"/>
      <c r="J17" s="24"/>
      <c r="K17" s="17">
        <f t="shared" si="1"/>
        <v>0</v>
      </c>
      <c r="L17" s="7">
        <f t="shared" si="2"/>
        <v>2</v>
      </c>
    </row>
    <row r="18" spans="1:12" ht="15.75" thickBot="1">
      <c r="A18" s="8">
        <v>9</v>
      </c>
      <c r="B18" s="23"/>
      <c r="C18" s="24"/>
      <c r="D18" s="24"/>
      <c r="E18" s="25"/>
      <c r="F18" s="19">
        <f t="shared" si="0"/>
        <v>0</v>
      </c>
      <c r="G18" s="32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>
      <c r="A19" s="8">
        <v>10</v>
      </c>
      <c r="B19" s="23"/>
      <c r="C19" s="24"/>
      <c r="D19" s="24"/>
      <c r="E19" s="25"/>
      <c r="F19" s="19">
        <f t="shared" si="0"/>
        <v>0</v>
      </c>
      <c r="G19" s="34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>
      <c r="A20" s="8">
        <v>11</v>
      </c>
      <c r="B20" s="23"/>
      <c r="C20" s="24"/>
      <c r="D20" s="24"/>
      <c r="E20" s="25"/>
      <c r="F20" s="19">
        <f t="shared" si="0"/>
        <v>0</v>
      </c>
      <c r="G20" s="32"/>
      <c r="H20" s="24"/>
      <c r="I20" s="24"/>
      <c r="J20" s="24"/>
      <c r="K20" s="17">
        <f t="shared" si="1"/>
        <v>0</v>
      </c>
      <c r="L20" s="7">
        <f t="shared" si="2"/>
        <v>0</v>
      </c>
    </row>
    <row r="21" spans="1:12" ht="15.75" thickBot="1">
      <c r="A21" s="8">
        <v>12</v>
      </c>
      <c r="B21" s="23"/>
      <c r="C21" s="24"/>
      <c r="D21" s="24"/>
      <c r="E21" s="25"/>
      <c r="F21" s="19">
        <f t="shared" si="0"/>
        <v>0</v>
      </c>
      <c r="G21" s="32">
        <v>9</v>
      </c>
      <c r="H21" s="35">
        <v>1</v>
      </c>
      <c r="I21" s="35"/>
      <c r="J21" s="35"/>
      <c r="K21" s="17">
        <f t="shared" si="1"/>
        <v>10</v>
      </c>
      <c r="L21" s="7">
        <f t="shared" si="2"/>
        <v>10</v>
      </c>
    </row>
    <row r="22" spans="1:12" ht="15.75" thickBot="1">
      <c r="A22" s="8">
        <v>13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>
      <c r="A23" s="8">
        <v>14</v>
      </c>
      <c r="B23" s="23"/>
      <c r="C23" s="24"/>
      <c r="D23" s="24"/>
      <c r="E23" s="25"/>
      <c r="F23" s="19">
        <f t="shared" si="0"/>
        <v>0</v>
      </c>
      <c r="G23" s="36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>
      <c r="A24" s="8">
        <v>15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>
      <c r="A25" s="8">
        <v>16</v>
      </c>
      <c r="B25" s="23"/>
      <c r="C25" s="24"/>
      <c r="D25" s="24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>
      <c r="A26" s="8">
        <v>17</v>
      </c>
      <c r="B26" s="23"/>
      <c r="C26" s="87"/>
      <c r="D26" s="27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>
      <c r="A27" s="8">
        <v>18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>
      <c r="A28" s="8">
        <v>19</v>
      </c>
      <c r="B28" s="23"/>
      <c r="C28" s="24"/>
      <c r="D28" s="24"/>
      <c r="E28" s="25"/>
      <c r="F28" s="19">
        <f t="shared" si="0"/>
        <v>0</v>
      </c>
      <c r="G28" s="32"/>
      <c r="H28" s="24"/>
      <c r="I28" s="24">
        <v>1</v>
      </c>
      <c r="J28" s="24"/>
      <c r="K28" s="17">
        <f t="shared" si="1"/>
        <v>1</v>
      </c>
      <c r="L28" s="7">
        <f t="shared" si="2"/>
        <v>1</v>
      </c>
    </row>
    <row r="29" spans="1:12" ht="15.75" thickBot="1">
      <c r="A29" s="8">
        <v>20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>
      <c r="A30" s="8">
        <v>21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>
      <c r="A31" s="8">
        <v>22</v>
      </c>
      <c r="B31" s="23"/>
      <c r="C31" s="24"/>
      <c r="D31" s="24">
        <v>1</v>
      </c>
      <c r="E31" s="62"/>
      <c r="F31" s="19">
        <f t="shared" si="0"/>
        <v>1</v>
      </c>
      <c r="G31" s="32">
        <v>1</v>
      </c>
      <c r="H31" s="24"/>
      <c r="I31" s="24">
        <v>1</v>
      </c>
      <c r="J31" s="24"/>
      <c r="K31" s="17">
        <f t="shared" si="1"/>
        <v>2</v>
      </c>
      <c r="L31" s="7">
        <f t="shared" si="2"/>
        <v>3</v>
      </c>
    </row>
    <row r="32" spans="1:12" ht="15.75" thickBot="1">
      <c r="A32" s="8">
        <v>23</v>
      </c>
      <c r="B32" s="23">
        <v>1</v>
      </c>
      <c r="C32" s="24"/>
      <c r="D32" s="24"/>
      <c r="E32" s="25"/>
      <c r="F32" s="19">
        <f t="shared" si="0"/>
        <v>1</v>
      </c>
      <c r="G32" s="32"/>
      <c r="H32" s="24"/>
      <c r="I32" s="24"/>
      <c r="J32" s="24"/>
      <c r="K32" s="17">
        <f t="shared" si="1"/>
        <v>0</v>
      </c>
      <c r="L32" s="7">
        <f t="shared" si="2"/>
        <v>1</v>
      </c>
    </row>
    <row r="33" spans="1:12" ht="15.75" thickBot="1">
      <c r="A33" s="8">
        <v>24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>
      <c r="A34" s="8">
        <v>25</v>
      </c>
      <c r="B34" s="23"/>
      <c r="C34" s="24"/>
      <c r="D34" s="24"/>
      <c r="E34" s="25"/>
      <c r="F34" s="19">
        <f t="shared" si="0"/>
        <v>0</v>
      </c>
      <c r="G34" s="32"/>
      <c r="H34" s="24"/>
      <c r="I34" s="24">
        <v>1</v>
      </c>
      <c r="J34" s="24"/>
      <c r="K34" s="17">
        <f t="shared" si="1"/>
        <v>1</v>
      </c>
      <c r="L34" s="7">
        <f t="shared" si="2"/>
        <v>1</v>
      </c>
    </row>
    <row r="35" spans="1:12" ht="15.75" thickBot="1">
      <c r="A35" s="8">
        <v>26</v>
      </c>
      <c r="B35" s="23"/>
      <c r="C35" s="24"/>
      <c r="D35" s="24"/>
      <c r="E35" s="25"/>
      <c r="F35" s="19">
        <f t="shared" si="0"/>
        <v>0</v>
      </c>
      <c r="G35" s="32">
        <v>2</v>
      </c>
      <c r="H35" s="24"/>
      <c r="I35" s="24"/>
      <c r="J35" s="24"/>
      <c r="K35" s="17">
        <f t="shared" si="1"/>
        <v>2</v>
      </c>
      <c r="L35" s="7">
        <f t="shared" si="2"/>
        <v>2</v>
      </c>
    </row>
    <row r="36" spans="1:12" ht="15.75" thickBot="1">
      <c r="A36" s="8">
        <v>27</v>
      </c>
      <c r="B36" s="71"/>
      <c r="C36" s="24"/>
      <c r="D36" s="24"/>
      <c r="E36" s="25"/>
      <c r="F36" s="19">
        <f t="shared" si="0"/>
        <v>0</v>
      </c>
      <c r="G36" s="47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>
      <c r="A37" s="8">
        <v>28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>
      <c r="A38" s="8">
        <v>29</v>
      </c>
      <c r="B38" s="23"/>
      <c r="C38" s="24"/>
      <c r="D38" s="24"/>
      <c r="E38" s="25"/>
      <c r="F38" s="19">
        <f t="shared" si="0"/>
        <v>0</v>
      </c>
      <c r="G38" s="32">
        <v>6</v>
      </c>
      <c r="H38" s="24"/>
      <c r="I38" s="24"/>
      <c r="J38" s="24"/>
      <c r="K38" s="17">
        <f t="shared" si="1"/>
        <v>6</v>
      </c>
      <c r="L38" s="7">
        <f t="shared" si="2"/>
        <v>6</v>
      </c>
    </row>
    <row r="39" spans="1:12" ht="15.75" thickBot="1">
      <c r="A39" s="8">
        <v>30</v>
      </c>
      <c r="B39" s="23"/>
      <c r="C39" s="24"/>
      <c r="D39" s="24"/>
      <c r="E39" s="25"/>
      <c r="F39" s="19">
        <f t="shared" si="0"/>
        <v>0</v>
      </c>
      <c r="G39" s="32">
        <v>2</v>
      </c>
      <c r="H39" s="24"/>
      <c r="I39" s="24"/>
      <c r="J39" s="24"/>
      <c r="K39" s="17">
        <f t="shared" si="1"/>
        <v>2</v>
      </c>
      <c r="L39" s="7">
        <f t="shared" si="2"/>
        <v>2</v>
      </c>
    </row>
    <row r="40" spans="1:12" ht="15.75" thickBot="1">
      <c r="A40" s="9">
        <v>31</v>
      </c>
      <c r="B40" s="28"/>
      <c r="C40" s="29"/>
      <c r="D40" s="29"/>
      <c r="E40" s="30"/>
      <c r="F40" s="19">
        <f t="shared" si="0"/>
        <v>0</v>
      </c>
      <c r="G40" s="32"/>
      <c r="H40" s="24"/>
      <c r="I40" s="24"/>
      <c r="J40" s="24"/>
      <c r="K40" s="17">
        <f t="shared" si="1"/>
        <v>0</v>
      </c>
      <c r="L40" s="7">
        <f t="shared" si="2"/>
        <v>0</v>
      </c>
    </row>
    <row r="41" spans="1:12" ht="15.75" thickBot="1">
      <c r="A41" s="95"/>
      <c r="B41" s="94">
        <f>SUM(B10:B40)</f>
        <v>4</v>
      </c>
      <c r="C41" s="94">
        <f t="shared" ref="C41:E41" si="3">SUM(C10:C40)</f>
        <v>0</v>
      </c>
      <c r="D41" s="94">
        <f t="shared" si="3"/>
        <v>1</v>
      </c>
      <c r="E41" s="94">
        <f t="shared" si="3"/>
        <v>0</v>
      </c>
      <c r="F41" s="93">
        <f>SUM(F10:F40)</f>
        <v>5</v>
      </c>
      <c r="G41" s="18">
        <f>SUM(G10:G40)</f>
        <v>22</v>
      </c>
      <c r="H41" s="18">
        <f t="shared" ref="H41:L41" si="4">SUM(H10:H40)</f>
        <v>1</v>
      </c>
      <c r="I41" s="18">
        <f t="shared" si="4"/>
        <v>4</v>
      </c>
      <c r="J41" s="18">
        <f t="shared" si="4"/>
        <v>0</v>
      </c>
      <c r="K41" s="18">
        <f t="shared" si="4"/>
        <v>27</v>
      </c>
      <c r="L41" s="18">
        <f t="shared" si="4"/>
        <v>32</v>
      </c>
    </row>
    <row r="42" spans="1:12" ht="15.75" thickBot="1">
      <c r="A42" s="12"/>
      <c r="B42" s="12"/>
      <c r="C42" s="13"/>
      <c r="D42" s="13"/>
      <c r="E42" s="13"/>
      <c r="F42" s="12"/>
      <c r="G42" s="12"/>
      <c r="H42" s="13"/>
      <c r="I42" s="13"/>
      <c r="J42" s="13"/>
      <c r="K42" s="12"/>
      <c r="L42" s="14"/>
    </row>
    <row r="43" spans="1:12" ht="15.75" thickBot="1">
      <c r="A43" s="119"/>
      <c r="B43" s="119"/>
      <c r="C43" s="119"/>
      <c r="D43" s="119"/>
      <c r="E43" s="119"/>
      <c r="F43" s="119"/>
      <c r="G43" s="120" t="s">
        <v>17</v>
      </c>
      <c r="H43" s="151"/>
      <c r="I43" s="120" t="s">
        <v>18</v>
      </c>
      <c r="J43" s="122"/>
      <c r="K43" s="55"/>
      <c r="L43" s="56"/>
    </row>
    <row r="44" spans="1:12" ht="15.75" thickBot="1">
      <c r="A44" s="15"/>
      <c r="B44" s="106" t="s">
        <v>19</v>
      </c>
      <c r="C44" s="107"/>
      <c r="D44" s="107"/>
      <c r="E44" s="107"/>
      <c r="F44" s="107"/>
      <c r="G44" s="117">
        <v>138</v>
      </c>
      <c r="H44" s="162"/>
      <c r="I44" s="163"/>
      <c r="J44" s="164"/>
      <c r="K44" s="55"/>
      <c r="L44" s="56"/>
    </row>
    <row r="45" spans="1:12" ht="15.75" thickBot="1">
      <c r="A45" s="15"/>
      <c r="B45" s="106" t="s">
        <v>20</v>
      </c>
      <c r="C45" s="107"/>
      <c r="D45" s="107"/>
      <c r="E45" s="107"/>
      <c r="F45" s="107"/>
      <c r="G45" s="108">
        <v>0</v>
      </c>
      <c r="H45" s="165"/>
      <c r="I45" s="108"/>
      <c r="J45" s="109"/>
      <c r="K45" s="55"/>
      <c r="L45" s="56"/>
    </row>
    <row r="46" spans="1:12" ht="15.75" thickBot="1">
      <c r="A46" s="15"/>
      <c r="B46" s="114" t="s">
        <v>21</v>
      </c>
      <c r="C46" s="114"/>
      <c r="D46" s="114"/>
      <c r="E46" s="114"/>
      <c r="F46" s="106"/>
      <c r="G46" s="115">
        <v>2</v>
      </c>
      <c r="H46" s="166"/>
      <c r="I46" s="108"/>
      <c r="J46" s="109"/>
      <c r="K46" s="55"/>
      <c r="L46" s="56"/>
    </row>
    <row r="47" spans="1:12" ht="15.75" thickBot="1">
      <c r="A47" s="15"/>
      <c r="B47" s="106" t="s">
        <v>22</v>
      </c>
      <c r="C47" s="107"/>
      <c r="D47" s="107"/>
      <c r="E47" s="107"/>
      <c r="F47" s="107"/>
      <c r="G47" s="113">
        <f>L41+G46</f>
        <v>34</v>
      </c>
      <c r="H47" s="165"/>
      <c r="I47" s="108"/>
      <c r="J47" s="109"/>
      <c r="K47" s="55"/>
      <c r="L47" s="56"/>
    </row>
    <row r="48" spans="1:12" ht="15.75" thickBot="1">
      <c r="A48" s="4"/>
      <c r="B48" s="106" t="s">
        <v>23</v>
      </c>
      <c r="C48" s="107"/>
      <c r="D48" s="107"/>
      <c r="E48" s="107"/>
      <c r="F48" s="107"/>
      <c r="G48" s="113">
        <f>G44+G45-G47</f>
        <v>104</v>
      </c>
      <c r="H48" s="165"/>
      <c r="I48" s="108"/>
      <c r="J48" s="109"/>
      <c r="K48" s="55"/>
      <c r="L48" s="57"/>
    </row>
    <row r="49" spans="1:12" ht="15.75" thickBot="1">
      <c r="A49" s="4"/>
      <c r="B49" s="106" t="s">
        <v>24</v>
      </c>
      <c r="C49" s="107"/>
      <c r="D49" s="107"/>
      <c r="E49" s="107"/>
      <c r="F49" s="107"/>
      <c r="G49" s="168">
        <v>104</v>
      </c>
      <c r="H49" s="165"/>
      <c r="I49" s="108"/>
      <c r="J49" s="109"/>
      <c r="K49" s="55"/>
      <c r="L49" s="57"/>
    </row>
    <row r="50" spans="1:12" ht="15.75" thickBot="1">
      <c r="A50" s="4"/>
      <c r="B50" s="106" t="s">
        <v>25</v>
      </c>
      <c r="C50" s="107"/>
      <c r="D50" s="107"/>
      <c r="E50" s="107"/>
      <c r="F50" s="107"/>
      <c r="G50" s="110">
        <f>G48-G49</f>
        <v>0</v>
      </c>
      <c r="H50" s="167"/>
      <c r="I50" s="112"/>
      <c r="J50" s="111"/>
      <c r="K50" s="55"/>
      <c r="L50" s="57"/>
    </row>
    <row r="51" spans="1:12">
      <c r="A51" s="5" t="s">
        <v>26</v>
      </c>
      <c r="B51" s="38"/>
      <c r="C51" s="44"/>
      <c r="D51" s="44"/>
      <c r="E51" s="44"/>
      <c r="F51" s="38"/>
      <c r="G51" s="38"/>
      <c r="H51" s="44"/>
      <c r="I51" s="45" t="s">
        <v>27</v>
      </c>
      <c r="J51" s="44"/>
      <c r="K51" s="38"/>
      <c r="L51" s="1"/>
    </row>
  </sheetData>
  <mergeCells count="36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6:L6"/>
    <mergeCell ref="H7:I7"/>
    <mergeCell ref="A8:A9"/>
    <mergeCell ref="B8:F8"/>
    <mergeCell ref="G8:K8"/>
    <mergeCell ref="L8:L9"/>
    <mergeCell ref="A5:L5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51"/>
  <sheetViews>
    <sheetView topLeftCell="A37" workbookViewId="0">
      <selection activeCell="L51" sqref="A1:L51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26" t="s">
        <v>0</v>
      </c>
      <c r="B1" s="126"/>
      <c r="C1" s="126"/>
      <c r="D1" s="126"/>
      <c r="E1" s="37"/>
      <c r="F1" s="38"/>
      <c r="G1" s="127" t="s">
        <v>1</v>
      </c>
      <c r="H1" s="127"/>
      <c r="I1" s="127"/>
      <c r="J1" s="127"/>
      <c r="K1" s="127"/>
      <c r="L1" s="127"/>
    </row>
    <row r="2" spans="1:12" ht="15.75">
      <c r="A2" s="127" t="s">
        <v>2</v>
      </c>
      <c r="B2" s="127"/>
      <c r="C2" s="127"/>
      <c r="D2" s="127"/>
      <c r="E2" s="37"/>
      <c r="F2" s="38"/>
      <c r="G2" s="138" t="s">
        <v>3</v>
      </c>
      <c r="H2" s="138"/>
      <c r="I2" s="138"/>
      <c r="J2" s="138"/>
      <c r="K2" s="138"/>
      <c r="L2" s="138"/>
    </row>
    <row r="3" spans="1:12">
      <c r="A3" s="138" t="s">
        <v>4</v>
      </c>
      <c r="B3" s="138"/>
      <c r="C3" s="138"/>
      <c r="D3" s="138"/>
      <c r="E3" s="37"/>
      <c r="F3" s="38"/>
      <c r="G3" s="38"/>
      <c r="H3" s="37"/>
      <c r="I3" s="37"/>
      <c r="J3" s="37"/>
      <c r="K3" s="38"/>
      <c r="L3" s="1"/>
    </row>
    <row r="4" spans="1:12" ht="7.5" customHeight="1">
      <c r="A4" s="98"/>
      <c r="B4" s="38"/>
      <c r="C4" s="37"/>
      <c r="D4" s="37"/>
      <c r="E4" s="37"/>
      <c r="F4" s="38"/>
      <c r="G4" s="38"/>
      <c r="H4" s="37"/>
      <c r="I4" s="37"/>
      <c r="J4" s="37"/>
      <c r="K4" s="38"/>
      <c r="L4" s="1"/>
    </row>
    <row r="5" spans="1:12" ht="18">
      <c r="A5" s="126" t="s">
        <v>5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15.75">
      <c r="A6" s="127" t="s">
        <v>50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</row>
    <row r="7" spans="1:12" ht="3.75" customHeight="1" thickBot="1">
      <c r="A7" s="2" t="s">
        <v>6</v>
      </c>
      <c r="B7" s="12"/>
      <c r="C7" s="13"/>
      <c r="D7" s="13"/>
      <c r="E7" s="13"/>
      <c r="F7" s="12"/>
      <c r="G7" s="12"/>
      <c r="H7" s="129"/>
      <c r="I7" s="129"/>
      <c r="J7" s="13"/>
      <c r="K7" s="39"/>
      <c r="L7" s="3"/>
    </row>
    <row r="8" spans="1:12">
      <c r="A8" s="130" t="s">
        <v>7</v>
      </c>
      <c r="B8" s="132" t="s">
        <v>8</v>
      </c>
      <c r="C8" s="133"/>
      <c r="D8" s="133"/>
      <c r="E8" s="133"/>
      <c r="F8" s="134"/>
      <c r="G8" s="135" t="s">
        <v>9</v>
      </c>
      <c r="H8" s="133"/>
      <c r="I8" s="133"/>
      <c r="J8" s="133"/>
      <c r="K8" s="134"/>
      <c r="L8" s="136" t="s">
        <v>10</v>
      </c>
    </row>
    <row r="9" spans="1:12" ht="15.75" thickBot="1">
      <c r="A9" s="131"/>
      <c r="B9" s="40" t="s">
        <v>11</v>
      </c>
      <c r="C9" s="41" t="s">
        <v>12</v>
      </c>
      <c r="D9" s="41" t="s">
        <v>13</v>
      </c>
      <c r="E9" s="41" t="s">
        <v>14</v>
      </c>
      <c r="F9" s="42" t="s">
        <v>15</v>
      </c>
      <c r="G9" s="43" t="s">
        <v>11</v>
      </c>
      <c r="H9" s="41" t="s">
        <v>12</v>
      </c>
      <c r="I9" s="41" t="s">
        <v>13</v>
      </c>
      <c r="J9" s="41" t="s">
        <v>14</v>
      </c>
      <c r="K9" s="42" t="s">
        <v>16</v>
      </c>
      <c r="L9" s="137"/>
    </row>
    <row r="10" spans="1:12" ht="15.75" thickBot="1">
      <c r="A10" s="6">
        <v>1</v>
      </c>
      <c r="B10" s="20"/>
      <c r="C10" s="21"/>
      <c r="D10" s="21"/>
      <c r="E10" s="22"/>
      <c r="F10" s="19">
        <f>SUM(B10:E10)</f>
        <v>0</v>
      </c>
      <c r="G10" s="48"/>
      <c r="H10" s="31"/>
      <c r="I10" s="31"/>
      <c r="J10" s="31"/>
      <c r="K10" s="17">
        <f>SUM(G10:J10)</f>
        <v>0</v>
      </c>
      <c r="L10" s="7">
        <f>SUM(F10+K10)</f>
        <v>0</v>
      </c>
    </row>
    <row r="11" spans="1:12" ht="15.75" thickBot="1">
      <c r="A11" s="8">
        <v>2</v>
      </c>
      <c r="B11" s="23"/>
      <c r="C11" s="24"/>
      <c r="D11" s="24"/>
      <c r="E11" s="25"/>
      <c r="F11" s="19">
        <f t="shared" ref="F11:F40" si="0">SUM(B11:E11)</f>
        <v>0</v>
      </c>
      <c r="G11" s="32"/>
      <c r="H11" s="24"/>
      <c r="I11" s="24"/>
      <c r="J11" s="24"/>
      <c r="K11" s="17">
        <f t="shared" ref="K11:K40" si="1">SUM(G11:J11)</f>
        <v>0</v>
      </c>
      <c r="L11" s="7">
        <f t="shared" ref="L11:L40" si="2">SUM(F11+K11)</f>
        <v>0</v>
      </c>
    </row>
    <row r="12" spans="1:12" ht="15.75" thickBot="1">
      <c r="A12" s="8">
        <v>3</v>
      </c>
      <c r="B12" s="23">
        <v>2</v>
      </c>
      <c r="C12" s="24"/>
      <c r="D12" s="24"/>
      <c r="E12" s="26"/>
      <c r="F12" s="19">
        <f t="shared" si="0"/>
        <v>2</v>
      </c>
      <c r="G12" s="32"/>
      <c r="H12" s="24"/>
      <c r="I12" s="24"/>
      <c r="J12" s="24"/>
      <c r="K12" s="17">
        <f t="shared" si="1"/>
        <v>0</v>
      </c>
      <c r="L12" s="7">
        <f t="shared" si="2"/>
        <v>2</v>
      </c>
    </row>
    <row r="13" spans="1:12" ht="15.75" thickBot="1">
      <c r="A13" s="8">
        <v>4</v>
      </c>
      <c r="B13" s="23"/>
      <c r="C13" s="24"/>
      <c r="D13" s="24"/>
      <c r="E13" s="25"/>
      <c r="F13" s="19">
        <f t="shared" si="0"/>
        <v>0</v>
      </c>
      <c r="G13" s="33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>
      <c r="A14" s="8">
        <v>5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>
      <c r="A15" s="8">
        <v>6</v>
      </c>
      <c r="B15" s="23">
        <v>5</v>
      </c>
      <c r="C15" s="24"/>
      <c r="D15" s="24"/>
      <c r="E15" s="25">
        <v>1</v>
      </c>
      <c r="F15" s="19">
        <f t="shared" si="0"/>
        <v>6</v>
      </c>
      <c r="G15" s="32"/>
      <c r="H15" s="24"/>
      <c r="I15" s="24"/>
      <c r="J15" s="24"/>
      <c r="K15" s="17">
        <f t="shared" si="1"/>
        <v>0</v>
      </c>
      <c r="L15" s="7">
        <f t="shared" si="2"/>
        <v>6</v>
      </c>
    </row>
    <row r="16" spans="1:12" ht="15.75" thickBot="1">
      <c r="A16" s="8">
        <v>7</v>
      </c>
      <c r="B16" s="23">
        <v>5</v>
      </c>
      <c r="C16" s="24"/>
      <c r="D16" s="24"/>
      <c r="E16" s="25"/>
      <c r="F16" s="19">
        <f t="shared" si="0"/>
        <v>5</v>
      </c>
      <c r="G16" s="32"/>
      <c r="H16" s="24">
        <v>1</v>
      </c>
      <c r="I16" s="24"/>
      <c r="J16" s="24">
        <v>1</v>
      </c>
      <c r="K16" s="17">
        <f t="shared" si="1"/>
        <v>2</v>
      </c>
      <c r="L16" s="7">
        <f t="shared" si="2"/>
        <v>7</v>
      </c>
    </row>
    <row r="17" spans="1:12" ht="15.75" thickBot="1">
      <c r="A17" s="8">
        <v>8</v>
      </c>
      <c r="B17" s="23">
        <v>4</v>
      </c>
      <c r="C17" s="24"/>
      <c r="D17" s="24"/>
      <c r="E17" s="25"/>
      <c r="F17" s="19">
        <f t="shared" si="0"/>
        <v>4</v>
      </c>
      <c r="G17" s="32"/>
      <c r="H17" s="24"/>
      <c r="I17" s="24"/>
      <c r="J17" s="24"/>
      <c r="K17" s="17">
        <f t="shared" si="1"/>
        <v>0</v>
      </c>
      <c r="L17" s="7">
        <f t="shared" si="2"/>
        <v>4</v>
      </c>
    </row>
    <row r="18" spans="1:12" ht="15.75" thickBot="1">
      <c r="A18" s="8">
        <v>9</v>
      </c>
      <c r="B18" s="23"/>
      <c r="C18" s="24"/>
      <c r="D18" s="24"/>
      <c r="E18" s="25"/>
      <c r="F18" s="19">
        <f t="shared" si="0"/>
        <v>0</v>
      </c>
      <c r="G18" s="32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>
      <c r="A19" s="8">
        <v>10</v>
      </c>
      <c r="B19" s="23"/>
      <c r="C19" s="24"/>
      <c r="D19" s="24"/>
      <c r="E19" s="25"/>
      <c r="F19" s="19">
        <f t="shared" si="0"/>
        <v>0</v>
      </c>
      <c r="G19" s="34">
        <v>10</v>
      </c>
      <c r="H19" s="24"/>
      <c r="I19" s="24"/>
      <c r="J19" s="24"/>
      <c r="K19" s="17">
        <f t="shared" si="1"/>
        <v>10</v>
      </c>
      <c r="L19" s="7">
        <f t="shared" si="2"/>
        <v>10</v>
      </c>
    </row>
    <row r="20" spans="1:12" ht="15.75" thickBot="1">
      <c r="A20" s="8">
        <v>11</v>
      </c>
      <c r="B20" s="23"/>
      <c r="C20" s="24"/>
      <c r="D20" s="24"/>
      <c r="E20" s="25"/>
      <c r="F20" s="19">
        <f t="shared" si="0"/>
        <v>0</v>
      </c>
      <c r="G20" s="32"/>
      <c r="H20" s="24"/>
      <c r="I20" s="24"/>
      <c r="J20" s="24"/>
      <c r="K20" s="17">
        <f t="shared" si="1"/>
        <v>0</v>
      </c>
      <c r="L20" s="7">
        <f t="shared" si="2"/>
        <v>0</v>
      </c>
    </row>
    <row r="21" spans="1:12" ht="15.75" thickBot="1">
      <c r="A21" s="8">
        <v>12</v>
      </c>
      <c r="B21" s="23"/>
      <c r="C21" s="24"/>
      <c r="D21" s="24"/>
      <c r="E21" s="25"/>
      <c r="F21" s="19">
        <f t="shared" si="0"/>
        <v>0</v>
      </c>
      <c r="G21" s="32"/>
      <c r="H21" s="35"/>
      <c r="I21" s="35"/>
      <c r="J21" s="35"/>
      <c r="K21" s="17">
        <f t="shared" si="1"/>
        <v>0</v>
      </c>
      <c r="L21" s="7">
        <f t="shared" si="2"/>
        <v>0</v>
      </c>
    </row>
    <row r="22" spans="1:12" ht="15.75" thickBot="1">
      <c r="A22" s="8">
        <v>13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>
      <c r="A23" s="8">
        <v>14</v>
      </c>
      <c r="B23" s="23">
        <v>1</v>
      </c>
      <c r="C23" s="24"/>
      <c r="D23" s="24"/>
      <c r="E23" s="25"/>
      <c r="F23" s="19">
        <f t="shared" si="0"/>
        <v>1</v>
      </c>
      <c r="G23" s="36">
        <v>2</v>
      </c>
      <c r="H23" s="24"/>
      <c r="I23" s="24"/>
      <c r="J23" s="24"/>
      <c r="K23" s="17">
        <f t="shared" si="1"/>
        <v>2</v>
      </c>
      <c r="L23" s="7">
        <f t="shared" si="2"/>
        <v>3</v>
      </c>
    </row>
    <row r="24" spans="1:12" ht="15.75" thickBot="1">
      <c r="A24" s="8">
        <v>15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>
      <c r="A25" s="8">
        <v>16</v>
      </c>
      <c r="B25" s="23">
        <v>1</v>
      </c>
      <c r="C25" s="24">
        <v>1</v>
      </c>
      <c r="D25" s="24"/>
      <c r="E25" s="25"/>
      <c r="F25" s="19">
        <f t="shared" si="0"/>
        <v>2</v>
      </c>
      <c r="G25" s="32">
        <v>2</v>
      </c>
      <c r="H25" s="24"/>
      <c r="I25" s="24"/>
      <c r="J25" s="24"/>
      <c r="K25" s="17">
        <f t="shared" si="1"/>
        <v>2</v>
      </c>
      <c r="L25" s="7">
        <f t="shared" si="2"/>
        <v>4</v>
      </c>
    </row>
    <row r="26" spans="1:12" ht="15.75" thickBot="1">
      <c r="A26" s="8">
        <v>17</v>
      </c>
      <c r="B26" s="23"/>
      <c r="C26" s="87">
        <v>1</v>
      </c>
      <c r="D26" s="27"/>
      <c r="E26" s="25"/>
      <c r="F26" s="19">
        <f t="shared" si="0"/>
        <v>1</v>
      </c>
      <c r="G26" s="32">
        <v>3</v>
      </c>
      <c r="H26" s="24"/>
      <c r="I26" s="24"/>
      <c r="J26" s="24"/>
      <c r="K26" s="17">
        <f t="shared" si="1"/>
        <v>3</v>
      </c>
      <c r="L26" s="7">
        <f t="shared" si="2"/>
        <v>4</v>
      </c>
    </row>
    <row r="27" spans="1:12" ht="15.75" thickBot="1">
      <c r="A27" s="8">
        <v>18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>
      <c r="A28" s="8">
        <v>19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>
      <c r="A29" s="8">
        <v>20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>
      <c r="A30" s="8">
        <v>21</v>
      </c>
      <c r="B30" s="23"/>
      <c r="C30" s="24"/>
      <c r="D30" s="24"/>
      <c r="E30" s="25"/>
      <c r="F30" s="19">
        <f t="shared" si="0"/>
        <v>0</v>
      </c>
      <c r="G30" s="32">
        <v>4</v>
      </c>
      <c r="H30" s="24"/>
      <c r="I30" s="24"/>
      <c r="J30" s="24"/>
      <c r="K30" s="17">
        <f t="shared" si="1"/>
        <v>4</v>
      </c>
      <c r="L30" s="7">
        <f t="shared" si="2"/>
        <v>4</v>
      </c>
    </row>
    <row r="31" spans="1:12" ht="15.75" thickBot="1">
      <c r="A31" s="8">
        <v>22</v>
      </c>
      <c r="B31" s="23">
        <v>4</v>
      </c>
      <c r="C31" s="24"/>
      <c r="D31" s="24"/>
      <c r="E31" s="62"/>
      <c r="F31" s="19">
        <f t="shared" si="0"/>
        <v>4</v>
      </c>
      <c r="G31" s="32"/>
      <c r="H31" s="24"/>
      <c r="I31" s="24"/>
      <c r="J31" s="24"/>
      <c r="K31" s="17">
        <f t="shared" si="1"/>
        <v>0</v>
      </c>
      <c r="L31" s="7">
        <f t="shared" si="2"/>
        <v>4</v>
      </c>
    </row>
    <row r="32" spans="1:12" ht="15.75" thickBot="1">
      <c r="A32" s="8">
        <v>23</v>
      </c>
      <c r="B32" s="23"/>
      <c r="C32" s="24"/>
      <c r="D32" s="24"/>
      <c r="E32" s="25"/>
      <c r="F32" s="19">
        <f t="shared" si="0"/>
        <v>0</v>
      </c>
      <c r="G32" s="32">
        <v>10</v>
      </c>
      <c r="H32" s="24">
        <v>1</v>
      </c>
      <c r="I32" s="24"/>
      <c r="J32" s="24"/>
      <c r="K32" s="17">
        <f t="shared" si="1"/>
        <v>11</v>
      </c>
      <c r="L32" s="7">
        <f t="shared" si="2"/>
        <v>11</v>
      </c>
    </row>
    <row r="33" spans="1:14" ht="15.75" thickBot="1">
      <c r="A33" s="8">
        <v>24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4" ht="15.75" thickBot="1">
      <c r="A34" s="8">
        <v>25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4" ht="15.75" thickBot="1">
      <c r="A35" s="8">
        <v>26</v>
      </c>
      <c r="B35" s="23"/>
      <c r="C35" s="24"/>
      <c r="D35" s="24"/>
      <c r="E35" s="25"/>
      <c r="F35" s="19">
        <f t="shared" si="0"/>
        <v>0</v>
      </c>
      <c r="G35" s="32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4" ht="15.75" thickBot="1">
      <c r="A36" s="8">
        <v>27</v>
      </c>
      <c r="B36" s="71"/>
      <c r="C36" s="24"/>
      <c r="D36" s="24"/>
      <c r="E36" s="25"/>
      <c r="F36" s="19">
        <f t="shared" si="0"/>
        <v>0</v>
      </c>
      <c r="G36" s="47">
        <v>7</v>
      </c>
      <c r="H36" s="24">
        <v>1</v>
      </c>
      <c r="I36" s="24"/>
      <c r="J36" s="24"/>
      <c r="K36" s="17">
        <f t="shared" si="1"/>
        <v>8</v>
      </c>
      <c r="L36" s="7">
        <f t="shared" si="2"/>
        <v>8</v>
      </c>
    </row>
    <row r="37" spans="1:14" ht="15.75" thickBot="1">
      <c r="A37" s="8">
        <v>28</v>
      </c>
      <c r="B37" s="23"/>
      <c r="C37" s="24"/>
      <c r="D37" s="24"/>
      <c r="E37" s="25"/>
      <c r="F37" s="19">
        <f t="shared" si="0"/>
        <v>0</v>
      </c>
      <c r="G37" s="32">
        <v>3</v>
      </c>
      <c r="H37" s="24"/>
      <c r="I37" s="24"/>
      <c r="J37" s="24"/>
      <c r="K37" s="17">
        <f t="shared" si="1"/>
        <v>3</v>
      </c>
      <c r="L37" s="7">
        <f t="shared" si="2"/>
        <v>3</v>
      </c>
    </row>
    <row r="38" spans="1:14" ht="15.75" thickBot="1">
      <c r="A38" s="8">
        <v>29</v>
      </c>
      <c r="B38" s="23"/>
      <c r="C38" s="24"/>
      <c r="D38" s="24"/>
      <c r="E38" s="25"/>
      <c r="F38" s="19">
        <f t="shared" si="0"/>
        <v>0</v>
      </c>
      <c r="G38" s="32">
        <v>2</v>
      </c>
      <c r="H38" s="24">
        <v>1</v>
      </c>
      <c r="I38" s="24">
        <v>1</v>
      </c>
      <c r="J38" s="24"/>
      <c r="K38" s="17">
        <f t="shared" si="1"/>
        <v>4</v>
      </c>
      <c r="L38" s="7">
        <f t="shared" si="2"/>
        <v>4</v>
      </c>
    </row>
    <row r="39" spans="1:14" ht="15.75" thickBot="1">
      <c r="A39" s="8">
        <v>30</v>
      </c>
      <c r="B39" s="23"/>
      <c r="C39" s="24"/>
      <c r="D39" s="24"/>
      <c r="E39" s="25"/>
      <c r="F39" s="19">
        <f t="shared" si="0"/>
        <v>0</v>
      </c>
      <c r="G39" s="32">
        <v>6</v>
      </c>
      <c r="H39" s="24">
        <v>1</v>
      </c>
      <c r="I39" s="24"/>
      <c r="J39" s="24"/>
      <c r="K39" s="17">
        <f t="shared" si="1"/>
        <v>7</v>
      </c>
      <c r="L39" s="7">
        <f t="shared" si="2"/>
        <v>7</v>
      </c>
    </row>
    <row r="40" spans="1:14" ht="15.75" thickBot="1">
      <c r="A40" s="9">
        <v>31</v>
      </c>
      <c r="B40" s="28">
        <v>5</v>
      </c>
      <c r="C40" s="29"/>
      <c r="D40" s="29"/>
      <c r="E40" s="30"/>
      <c r="F40" s="19">
        <f t="shared" si="0"/>
        <v>5</v>
      </c>
      <c r="G40" s="32">
        <v>4</v>
      </c>
      <c r="H40" s="24"/>
      <c r="I40" s="24"/>
      <c r="J40" s="24"/>
      <c r="K40" s="17">
        <f t="shared" si="1"/>
        <v>4</v>
      </c>
      <c r="L40" s="7">
        <f t="shared" si="2"/>
        <v>9</v>
      </c>
    </row>
    <row r="41" spans="1:14" ht="15.75" thickBot="1">
      <c r="A41" s="99"/>
      <c r="B41" s="97">
        <f>SUM(B10:B40)</f>
        <v>27</v>
      </c>
      <c r="C41" s="97">
        <f t="shared" ref="C41:E41" si="3">SUM(C10:C40)</f>
        <v>2</v>
      </c>
      <c r="D41" s="97">
        <f t="shared" si="3"/>
        <v>0</v>
      </c>
      <c r="E41" s="97">
        <f t="shared" si="3"/>
        <v>1</v>
      </c>
      <c r="F41" s="96">
        <f>SUM(F10:F40)</f>
        <v>30</v>
      </c>
      <c r="G41" s="18">
        <f>SUM(G10:G40)</f>
        <v>53</v>
      </c>
      <c r="H41" s="18">
        <f t="shared" ref="H41:L41" si="4">SUM(H10:H40)</f>
        <v>5</v>
      </c>
      <c r="I41" s="18">
        <f t="shared" si="4"/>
        <v>1</v>
      </c>
      <c r="J41" s="18">
        <f t="shared" si="4"/>
        <v>1</v>
      </c>
      <c r="K41" s="18">
        <f t="shared" si="4"/>
        <v>60</v>
      </c>
      <c r="L41" s="18">
        <f t="shared" si="4"/>
        <v>90</v>
      </c>
      <c r="N41" s="100"/>
    </row>
    <row r="42" spans="1:14" ht="15.75" thickBot="1">
      <c r="A42" s="12"/>
      <c r="B42" s="12"/>
      <c r="C42" s="13"/>
      <c r="D42" s="13"/>
      <c r="E42" s="13"/>
      <c r="F42" s="12"/>
      <c r="G42" s="12"/>
      <c r="H42" s="13"/>
      <c r="I42" s="13"/>
      <c r="J42" s="13"/>
      <c r="K42" s="12"/>
      <c r="L42" s="14"/>
    </row>
    <row r="43" spans="1:14" ht="15.75" thickBot="1">
      <c r="A43" s="119"/>
      <c r="B43" s="119"/>
      <c r="C43" s="119"/>
      <c r="D43" s="119"/>
      <c r="E43" s="119"/>
      <c r="F43" s="119"/>
      <c r="G43" s="120" t="s">
        <v>17</v>
      </c>
      <c r="H43" s="151"/>
      <c r="I43" s="120" t="s">
        <v>18</v>
      </c>
      <c r="J43" s="122"/>
      <c r="K43" s="55"/>
      <c r="L43" s="56"/>
    </row>
    <row r="44" spans="1:14" ht="15.75" thickBot="1">
      <c r="A44" s="15"/>
      <c r="B44" s="106" t="s">
        <v>19</v>
      </c>
      <c r="C44" s="107"/>
      <c r="D44" s="107"/>
      <c r="E44" s="107"/>
      <c r="F44" s="107"/>
      <c r="G44" s="117">
        <v>104</v>
      </c>
      <c r="H44" s="162"/>
      <c r="I44" s="163"/>
      <c r="J44" s="164"/>
      <c r="K44" s="55"/>
      <c r="L44" s="56"/>
    </row>
    <row r="45" spans="1:14" ht="15.75" thickBot="1">
      <c r="A45" s="15"/>
      <c r="B45" s="106" t="s">
        <v>20</v>
      </c>
      <c r="C45" s="107"/>
      <c r="D45" s="107"/>
      <c r="E45" s="107"/>
      <c r="F45" s="107"/>
      <c r="G45" s="108">
        <v>120</v>
      </c>
      <c r="H45" s="165"/>
      <c r="I45" s="108"/>
      <c r="J45" s="109"/>
      <c r="K45" s="55"/>
      <c r="L45" s="56"/>
    </row>
    <row r="46" spans="1:14" ht="15.75" thickBot="1">
      <c r="A46" s="15"/>
      <c r="B46" s="114" t="s">
        <v>21</v>
      </c>
      <c r="C46" s="114"/>
      <c r="D46" s="114"/>
      <c r="E46" s="114"/>
      <c r="F46" s="106"/>
      <c r="G46" s="115">
        <v>97</v>
      </c>
      <c r="H46" s="166"/>
      <c r="I46" s="108"/>
      <c r="J46" s="109"/>
      <c r="K46" s="55"/>
      <c r="L46" s="56"/>
    </row>
    <row r="47" spans="1:14" ht="15.75" thickBot="1">
      <c r="A47" s="15"/>
      <c r="B47" s="106" t="s">
        <v>22</v>
      </c>
      <c r="C47" s="107"/>
      <c r="D47" s="107"/>
      <c r="E47" s="107"/>
      <c r="F47" s="107"/>
      <c r="G47" s="113">
        <f>L41+G46</f>
        <v>187</v>
      </c>
      <c r="H47" s="165"/>
      <c r="I47" s="108"/>
      <c r="J47" s="109"/>
      <c r="K47" s="55"/>
      <c r="L47" s="56"/>
    </row>
    <row r="48" spans="1:14" ht="15.75" thickBot="1">
      <c r="A48" s="4"/>
      <c r="B48" s="106" t="s">
        <v>23</v>
      </c>
      <c r="C48" s="107"/>
      <c r="D48" s="107"/>
      <c r="E48" s="107"/>
      <c r="F48" s="107"/>
      <c r="G48" s="113">
        <f>G44+G45-G47</f>
        <v>37</v>
      </c>
      <c r="H48" s="165"/>
      <c r="I48" s="108"/>
      <c r="J48" s="109"/>
      <c r="K48" s="55"/>
      <c r="L48" s="57"/>
    </row>
    <row r="49" spans="1:12" ht="15.75" thickBot="1">
      <c r="A49" s="4"/>
      <c r="B49" s="106" t="s">
        <v>24</v>
      </c>
      <c r="C49" s="107"/>
      <c r="D49" s="107"/>
      <c r="E49" s="107"/>
      <c r="F49" s="107"/>
      <c r="G49" s="168">
        <v>37</v>
      </c>
      <c r="H49" s="165"/>
      <c r="I49" s="108"/>
      <c r="J49" s="109"/>
      <c r="K49" s="55"/>
      <c r="L49" s="57"/>
    </row>
    <row r="50" spans="1:12" ht="15.75" thickBot="1">
      <c r="A50" s="4"/>
      <c r="B50" s="106" t="s">
        <v>25</v>
      </c>
      <c r="C50" s="107"/>
      <c r="D50" s="107"/>
      <c r="E50" s="107"/>
      <c r="F50" s="107"/>
      <c r="G50" s="110">
        <f>G48-G49</f>
        <v>0</v>
      </c>
      <c r="H50" s="167"/>
      <c r="I50" s="112"/>
      <c r="J50" s="111"/>
      <c r="K50" s="55"/>
      <c r="L50" s="57"/>
    </row>
    <row r="51" spans="1:12">
      <c r="A51" s="5" t="s">
        <v>26</v>
      </c>
      <c r="B51" s="38"/>
      <c r="C51" s="44"/>
      <c r="D51" s="44"/>
      <c r="E51" s="44"/>
      <c r="F51" s="38"/>
      <c r="G51" s="38"/>
      <c r="H51" s="44"/>
      <c r="I51" s="45" t="s">
        <v>27</v>
      </c>
      <c r="J51" s="44"/>
      <c r="K51" s="38"/>
      <c r="L51" s="1"/>
    </row>
  </sheetData>
  <mergeCells count="36">
    <mergeCell ref="A5:L5"/>
    <mergeCell ref="A1:D1"/>
    <mergeCell ref="G1:L1"/>
    <mergeCell ref="A2:D2"/>
    <mergeCell ref="G2:L2"/>
    <mergeCell ref="A3:D3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69"/>
  <sheetViews>
    <sheetView workbookViewId="0">
      <selection activeCell="G46" sqref="G46:H46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26" t="s">
        <v>0</v>
      </c>
      <c r="B1" s="126"/>
      <c r="C1" s="126"/>
      <c r="D1" s="126"/>
      <c r="E1" s="37"/>
      <c r="F1" s="38"/>
      <c r="G1" s="127" t="s">
        <v>1</v>
      </c>
      <c r="H1" s="127"/>
      <c r="I1" s="127"/>
      <c r="J1" s="127"/>
      <c r="K1" s="127"/>
      <c r="L1" s="127"/>
    </row>
    <row r="2" spans="1:12" ht="15.75">
      <c r="A2" s="127" t="s">
        <v>2</v>
      </c>
      <c r="B2" s="127"/>
      <c r="C2" s="127"/>
      <c r="D2" s="127"/>
      <c r="E2" s="37"/>
      <c r="F2" s="38"/>
      <c r="G2" s="138" t="s">
        <v>3</v>
      </c>
      <c r="H2" s="138"/>
      <c r="I2" s="138"/>
      <c r="J2" s="138"/>
      <c r="K2" s="138"/>
      <c r="L2" s="138"/>
    </row>
    <row r="3" spans="1:12">
      <c r="A3" s="138" t="s">
        <v>4</v>
      </c>
      <c r="B3" s="138"/>
      <c r="C3" s="138"/>
      <c r="D3" s="138"/>
      <c r="E3" s="37"/>
      <c r="F3" s="38"/>
      <c r="G3" s="38"/>
      <c r="H3" s="37"/>
      <c r="I3" s="37"/>
      <c r="J3" s="37"/>
      <c r="K3" s="38"/>
      <c r="L3" s="1"/>
    </row>
    <row r="4" spans="1:12">
      <c r="A4" s="103"/>
      <c r="B4" s="38"/>
      <c r="C4" s="37"/>
      <c r="D4" s="37"/>
      <c r="E4" s="37"/>
      <c r="F4" s="38"/>
      <c r="G4" s="38"/>
      <c r="H4" s="37"/>
      <c r="I4" s="37"/>
      <c r="J4" s="37"/>
      <c r="K4" s="38"/>
      <c r="L4" s="1"/>
    </row>
    <row r="5" spans="1:12" ht="18">
      <c r="A5" s="126" t="s">
        <v>5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15.75">
      <c r="A6" s="127" t="s">
        <v>51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</row>
    <row r="7" spans="1:12" ht="15.75" thickBot="1">
      <c r="A7" s="2" t="s">
        <v>6</v>
      </c>
      <c r="B7" s="12"/>
      <c r="C7" s="13"/>
      <c r="D7" s="13"/>
      <c r="E7" s="13"/>
      <c r="F7" s="12"/>
      <c r="G7" s="12"/>
      <c r="H7" s="129"/>
      <c r="I7" s="129"/>
      <c r="J7" s="13"/>
      <c r="K7" s="39"/>
      <c r="L7" s="3"/>
    </row>
    <row r="8" spans="1:12">
      <c r="A8" s="130" t="s">
        <v>7</v>
      </c>
      <c r="B8" s="132" t="s">
        <v>8</v>
      </c>
      <c r="C8" s="133"/>
      <c r="D8" s="133"/>
      <c r="E8" s="133"/>
      <c r="F8" s="134"/>
      <c r="G8" s="135" t="s">
        <v>9</v>
      </c>
      <c r="H8" s="133"/>
      <c r="I8" s="133"/>
      <c r="J8" s="133"/>
      <c r="K8" s="134"/>
      <c r="L8" s="136" t="s">
        <v>10</v>
      </c>
    </row>
    <row r="9" spans="1:12" ht="15.75" thickBot="1">
      <c r="A9" s="131"/>
      <c r="B9" s="40" t="s">
        <v>11</v>
      </c>
      <c r="C9" s="41" t="s">
        <v>12</v>
      </c>
      <c r="D9" s="41" t="s">
        <v>13</v>
      </c>
      <c r="E9" s="41" t="s">
        <v>14</v>
      </c>
      <c r="F9" s="42" t="s">
        <v>15</v>
      </c>
      <c r="G9" s="43" t="s">
        <v>11</v>
      </c>
      <c r="H9" s="41" t="s">
        <v>12</v>
      </c>
      <c r="I9" s="41" t="s">
        <v>13</v>
      </c>
      <c r="J9" s="41" t="s">
        <v>14</v>
      </c>
      <c r="K9" s="42" t="s">
        <v>16</v>
      </c>
      <c r="L9" s="137"/>
    </row>
    <row r="10" spans="1:12" ht="15.75" thickBot="1">
      <c r="A10" s="6">
        <v>1</v>
      </c>
      <c r="B10" s="20">
        <f>'JANVIER 2015'!B9+'FEVRIER 2015'!B8+'Mars 2015'!B10+'Avril 2015'!B10+'Mai 2015'!B10+'Juin 2015'!B10+'Juillet 2015'!B10+'Aout 2015'!B8+'Septembre 2015'!B10+'Octobre 2015'!B10+'Novembre 2015'!B10+'Decembre 2015'!B10</f>
        <v>5</v>
      </c>
      <c r="C10" s="21">
        <f>'JANVIER 2015'!C9+'FEVRIER 2015'!C8+'Mars 2015'!C10+'Avril 2015'!C10+'Mai 2015'!C10+'Juin 2015'!C10+'Juillet 2015'!C10+'Aout 2015'!C8+'Septembre 2015'!C10+'Octobre 2015'!C10+'Novembre 2015'!C10+'Decembre 2015'!C10</f>
        <v>0</v>
      </c>
      <c r="D10" s="21">
        <f>'JANVIER 2015'!D9+'FEVRIER 2015'!D8+'Mars 2015'!D10+'Avril 2015'!D10+'Mai 2015'!D10+'Juin 2015'!D10+'Juillet 2015'!D10+'Aout 2015'!D8+'Septembre 2015'!D10+'Octobre 2015'!D10+'Novembre 2015'!D10+'Decembre 2015'!D10</f>
        <v>0</v>
      </c>
      <c r="E10" s="22">
        <f>'JANVIER 2015'!E9+'FEVRIER 2015'!E8+'Mars 2015'!E10+'Avril 2015'!E10+'Mai 2015'!E10+'Juin 2015'!E10+'Juillet 2015'!E10+'Aout 2015'!E8+'Septembre 2015'!E10+'Octobre 2015'!E10+'Novembre 2015'!E10+'Decembre 2015'!E10</f>
        <v>0</v>
      </c>
      <c r="F10" s="19">
        <f>SUM(B10:E10)</f>
        <v>5</v>
      </c>
      <c r="G10" s="48">
        <f>'JANVIER 2015'!G9+'FEVRIER 2015'!G8+'Mars 2015'!G10+'Avril 2015'!G10+'Mai 2015'!G10+'Juin 2015'!G10+'Juillet 2015'!G10+'Aout 2015'!G8+'Septembre 2015'!G10+'Octobre 2015'!G10+'Novembre 2015'!G10+'Decembre 2015'!G10</f>
        <v>3</v>
      </c>
      <c r="H10" s="31">
        <f>'JANVIER 2015'!H9+'FEVRIER 2015'!H8+'Mars 2015'!H10+'Avril 2015'!H10+'Mai 2015'!H10+'Juin 2015'!H10+'Juillet 2015'!H10+'Aout 2015'!H8+'Septembre 2015'!H10+'Octobre 2015'!H10+'Novembre 2015'!H10+'Decembre 2015'!H10</f>
        <v>1</v>
      </c>
      <c r="I10" s="31">
        <f>'JANVIER 2015'!I9+'FEVRIER 2015'!I8+'Mars 2015'!I10+'Avril 2015'!I10+'Mai 2015'!I10+'Juin 2015'!I10+'Juillet 2015'!I10+'Aout 2015'!I8+'Septembre 2015'!I10+'Octobre 2015'!I10+'Novembre 2015'!I10+'Decembre 2015'!I10</f>
        <v>0</v>
      </c>
      <c r="J10" s="31">
        <f>'JANVIER 2015'!J9+'FEVRIER 2015'!J8+'Mars 2015'!J10+'Avril 2015'!J10+'Mai 2015'!J10+'Juin 2015'!J10+'Juillet 2015'!J10+'Aout 2015'!J8+'Septembre 2015'!J10+'Octobre 2015'!J10+'Novembre 2015'!J10+'Decembre 2015'!J10</f>
        <v>0</v>
      </c>
      <c r="K10" s="17">
        <f>SUM(G10:J10)</f>
        <v>4</v>
      </c>
      <c r="L10" s="7">
        <f>SUM(F10+K10)</f>
        <v>9</v>
      </c>
    </row>
    <row r="11" spans="1:12" ht="15.75" thickBot="1">
      <c r="A11" s="8">
        <v>2</v>
      </c>
      <c r="B11" s="23">
        <f>'JANVIER 2015'!B10+'FEVRIER 2015'!B9+'Mars 2015'!B11+'Avril 2015'!B11+'Mai 2015'!B11+'Juin 2015'!B11+'Juillet 2015'!B11+'Aout 2015'!B9+'Septembre 2015'!B11+'Octobre 2015'!B11+'Novembre 2015'!B11+'Decembre 2015'!B11</f>
        <v>23</v>
      </c>
      <c r="C11" s="24">
        <f>'JANVIER 2015'!C10+'FEVRIER 2015'!C9+'Mars 2015'!C11+'Avril 2015'!C11+'Mai 2015'!C11+'Juin 2015'!C11+'Juillet 2015'!C11+'Aout 2015'!C9+'Septembre 2015'!C11+'Octobre 2015'!C11+'Novembre 2015'!C11+'Decembre 2015'!C11</f>
        <v>0</v>
      </c>
      <c r="D11" s="24">
        <f>'JANVIER 2015'!D10+'FEVRIER 2015'!D9+'Mars 2015'!D11+'Avril 2015'!D11+'Mai 2015'!D11+'Juin 2015'!D11+'Juillet 2015'!D11+'Aout 2015'!D9+'Septembre 2015'!D11+'Octobre 2015'!D11+'Novembre 2015'!D11+'Decembre 2015'!D11</f>
        <v>2</v>
      </c>
      <c r="E11" s="25">
        <f>'JANVIER 2015'!E10+'FEVRIER 2015'!E9+'Mars 2015'!E11+'Avril 2015'!E11+'Mai 2015'!E11+'Juin 2015'!E11+'Juillet 2015'!E11+'Aout 2015'!E9+'Septembre 2015'!E11+'Octobre 2015'!E11+'Novembre 2015'!E11+'Decembre 2015'!E11</f>
        <v>0</v>
      </c>
      <c r="F11" s="19">
        <f t="shared" ref="F11:F40" si="0">SUM(B11:E11)</f>
        <v>25</v>
      </c>
      <c r="G11" s="32">
        <f>'JANVIER 2015'!G10+'FEVRIER 2015'!G9+'Mars 2015'!G11+'Avril 2015'!G11+'Mai 2015'!G11+'Juin 2015'!G11+'Juillet 2015'!G11+'Aout 2015'!G9+'Septembre 2015'!G11+'Octobre 2015'!G11+'Novembre 2015'!G11+'Decembre 2015'!G11</f>
        <v>3</v>
      </c>
      <c r="H11" s="24">
        <f>'JANVIER 2015'!H10+'FEVRIER 2015'!H9+'Mars 2015'!H11+'Avril 2015'!H11+'Mai 2015'!H11+'Juin 2015'!H11+'Juillet 2015'!H11+'Aout 2015'!H9+'Septembre 2015'!H11+'Octobre 2015'!H11+'Novembre 2015'!H11+'Decembre 2015'!H11</f>
        <v>0</v>
      </c>
      <c r="I11" s="24">
        <f>'JANVIER 2015'!I10+'FEVRIER 2015'!I9+'Mars 2015'!I11+'Avril 2015'!I11+'Mai 2015'!I11+'Juin 2015'!I11+'Juillet 2015'!I11+'Aout 2015'!I9+'Septembre 2015'!I11+'Octobre 2015'!I11+'Novembre 2015'!I11+'Decembre 2015'!I11</f>
        <v>0</v>
      </c>
      <c r="J11" s="24">
        <f>'JANVIER 2015'!J10+'FEVRIER 2015'!J9+'Mars 2015'!J11+'Avril 2015'!J11+'Mai 2015'!J11+'Juin 2015'!J11+'Juillet 2015'!J11+'Aout 2015'!J9+'Septembre 2015'!J11+'Octobre 2015'!J11+'Novembre 2015'!J11+'Decembre 2015'!J11</f>
        <v>0</v>
      </c>
      <c r="K11" s="17">
        <f t="shared" ref="K11:K40" si="1">SUM(G11:J11)</f>
        <v>3</v>
      </c>
      <c r="L11" s="7">
        <f t="shared" ref="L11:L40" si="2">SUM(F11+K11)</f>
        <v>28</v>
      </c>
    </row>
    <row r="12" spans="1:12" ht="15.75" thickBot="1">
      <c r="A12" s="8">
        <v>3</v>
      </c>
      <c r="B12" s="23">
        <f>'JANVIER 2015'!B11+'FEVRIER 2015'!B10+'Mars 2015'!B12+'Avril 2015'!B12+'Mai 2015'!B12+'Juin 2015'!B12+'Juillet 2015'!B12+'Aout 2015'!B10+'Septembre 2015'!B12+'Octobre 2015'!B12+'Novembre 2015'!B12+'Decembre 2015'!B12</f>
        <v>15</v>
      </c>
      <c r="C12" s="24">
        <f>'JANVIER 2015'!C11+'FEVRIER 2015'!C10+'Mars 2015'!C12+'Avril 2015'!C12+'Mai 2015'!C12+'Juin 2015'!C12+'Juillet 2015'!C12+'Aout 2015'!C10+'Septembre 2015'!C12+'Octobre 2015'!C12+'Novembre 2015'!C12+'Decembre 2015'!C12</f>
        <v>0</v>
      </c>
      <c r="D12" s="24">
        <f>'JANVIER 2015'!D11+'FEVRIER 2015'!D10+'Mars 2015'!D12+'Avril 2015'!D12+'Mai 2015'!D12+'Juin 2015'!D12+'Juillet 2015'!D12+'Aout 2015'!D10+'Septembre 2015'!D12+'Octobre 2015'!D12+'Novembre 2015'!D12+'Decembre 2015'!D12</f>
        <v>1</v>
      </c>
      <c r="E12" s="26">
        <f>'JANVIER 2015'!E11+'FEVRIER 2015'!E10+'Mars 2015'!E12+'Avril 2015'!E12+'Mai 2015'!E12+'Juin 2015'!E12+'Juillet 2015'!E12+'Aout 2015'!E10+'Septembre 2015'!E12+'Octobre 2015'!E12+'Novembre 2015'!E12+'Decembre 2015'!E12</f>
        <v>0</v>
      </c>
      <c r="F12" s="19">
        <f t="shared" si="0"/>
        <v>16</v>
      </c>
      <c r="G12" s="32">
        <f>'JANVIER 2015'!G11+'FEVRIER 2015'!G10+'Mars 2015'!G12+'Avril 2015'!G12+'Mai 2015'!G12+'Juin 2015'!G12+'Juillet 2015'!G12+'Aout 2015'!G10+'Septembre 2015'!G12+'Octobre 2015'!G12+'Novembre 2015'!G12+'Decembre 2015'!G12</f>
        <v>3</v>
      </c>
      <c r="H12" s="24">
        <f>'JANVIER 2015'!H11+'FEVRIER 2015'!H10+'Mars 2015'!H12+'Avril 2015'!H12+'Mai 2015'!H12+'Juin 2015'!H12+'Juillet 2015'!H12+'Aout 2015'!H10+'Septembre 2015'!H12+'Octobre 2015'!H12+'Novembre 2015'!H12+'Decembre 2015'!H12</f>
        <v>1</v>
      </c>
      <c r="I12" s="24">
        <f>'JANVIER 2015'!I11+'FEVRIER 2015'!I10+'Mars 2015'!I12+'Avril 2015'!I12+'Mai 2015'!I12+'Juin 2015'!I12+'Juillet 2015'!I12+'Aout 2015'!I10+'Septembre 2015'!I12+'Octobre 2015'!I12+'Novembre 2015'!I12+'Decembre 2015'!I12</f>
        <v>1</v>
      </c>
      <c r="J12" s="24">
        <f>'JANVIER 2015'!J11+'FEVRIER 2015'!J10+'Mars 2015'!J12+'Avril 2015'!J12+'Mai 2015'!J12+'Juin 2015'!J12+'Juillet 2015'!J12+'Aout 2015'!J10+'Septembre 2015'!J12+'Octobre 2015'!J12+'Novembre 2015'!J12+'Decembre 2015'!J12</f>
        <v>0</v>
      </c>
      <c r="K12" s="17">
        <f t="shared" si="1"/>
        <v>5</v>
      </c>
      <c r="L12" s="7">
        <f t="shared" si="2"/>
        <v>21</v>
      </c>
    </row>
    <row r="13" spans="1:12" ht="15.75" thickBot="1">
      <c r="A13" s="8">
        <v>4</v>
      </c>
      <c r="B13" s="23">
        <f>'JANVIER 2015'!B12+'FEVRIER 2015'!B11+'Mars 2015'!B13+'Avril 2015'!B13+'Mai 2015'!B13+'Juin 2015'!B13+'Juillet 2015'!B13+'Aout 2015'!B11+'Septembre 2015'!B13+'Octobre 2015'!B13+'Novembre 2015'!B13+'Decembre 2015'!B13</f>
        <v>4</v>
      </c>
      <c r="C13" s="24">
        <f>'JANVIER 2015'!C12+'FEVRIER 2015'!C11+'Mars 2015'!C13+'Avril 2015'!C13+'Mai 2015'!C13+'Juin 2015'!C13+'Juillet 2015'!C13+'Aout 2015'!C11+'Septembre 2015'!C13+'Octobre 2015'!C13+'Novembre 2015'!C13+'Decembre 2015'!C13</f>
        <v>0</v>
      </c>
      <c r="D13" s="24">
        <f>'JANVIER 2015'!D12+'FEVRIER 2015'!D11+'Mars 2015'!D13+'Avril 2015'!D13+'Mai 2015'!D13+'Juin 2015'!D13+'Juillet 2015'!D13+'Aout 2015'!D11+'Septembre 2015'!D13+'Octobre 2015'!D13+'Novembre 2015'!D13+'Decembre 2015'!D13</f>
        <v>2</v>
      </c>
      <c r="E13" s="25">
        <f>'JANVIER 2015'!E12+'FEVRIER 2015'!E11+'Mars 2015'!E13+'Avril 2015'!E13+'Mai 2015'!E13+'Juin 2015'!E13+'Juillet 2015'!E13+'Aout 2015'!E11+'Septembre 2015'!E13+'Octobre 2015'!E13+'Novembre 2015'!E13+'Decembre 2015'!E13</f>
        <v>1</v>
      </c>
      <c r="F13" s="19">
        <f t="shared" si="0"/>
        <v>7</v>
      </c>
      <c r="G13" s="33">
        <f>'JANVIER 2015'!G12+'FEVRIER 2015'!G11+'Mars 2015'!G13+'Avril 2015'!G13+'Mai 2015'!G13+'Juin 2015'!G13+'Juillet 2015'!G13+'Aout 2015'!G11+'Septembre 2015'!G13+'Octobre 2015'!G13+'Novembre 2015'!G13+'Decembre 2015'!G13</f>
        <v>12</v>
      </c>
      <c r="H13" s="24">
        <f>'JANVIER 2015'!H12+'FEVRIER 2015'!H11+'Mars 2015'!H13+'Avril 2015'!H13+'Mai 2015'!H13+'Juin 2015'!H13+'Juillet 2015'!H13+'Aout 2015'!H11+'Septembre 2015'!H13+'Octobre 2015'!H13+'Novembre 2015'!H13+'Decembre 2015'!H13</f>
        <v>0</v>
      </c>
      <c r="I13" s="24">
        <f>'JANVIER 2015'!I12+'FEVRIER 2015'!I11+'Mars 2015'!I13+'Avril 2015'!I13+'Mai 2015'!I13+'Juin 2015'!I13+'Juillet 2015'!I13+'Aout 2015'!I11+'Septembre 2015'!I13+'Octobre 2015'!I13+'Novembre 2015'!I13+'Decembre 2015'!I13</f>
        <v>0</v>
      </c>
      <c r="J13" s="24">
        <f>'JANVIER 2015'!J12+'FEVRIER 2015'!J11+'Mars 2015'!J13+'Avril 2015'!J13+'Mai 2015'!J13+'Juin 2015'!J13+'Juillet 2015'!J13+'Aout 2015'!J11+'Septembre 2015'!J13+'Octobre 2015'!J13+'Novembre 2015'!J13+'Decembre 2015'!J13</f>
        <v>0</v>
      </c>
      <c r="K13" s="17">
        <f t="shared" si="1"/>
        <v>12</v>
      </c>
      <c r="L13" s="7">
        <f t="shared" si="2"/>
        <v>19</v>
      </c>
    </row>
    <row r="14" spans="1:12" ht="15.75" thickBot="1">
      <c r="A14" s="8">
        <v>5</v>
      </c>
      <c r="B14" s="23">
        <f>'JANVIER 2015'!B13+'FEVRIER 2015'!B12+'Mars 2015'!B14+'Avril 2015'!B14+'Mai 2015'!B14+'Juin 2015'!B14+'Juillet 2015'!B14+'Aout 2015'!B12+'Septembre 2015'!B14+'Octobre 2015'!B14+'Novembre 2015'!B14+'Decembre 2015'!B14</f>
        <v>1</v>
      </c>
      <c r="C14" s="24">
        <f>'JANVIER 2015'!C13+'FEVRIER 2015'!C12+'Mars 2015'!C14+'Avril 2015'!C14+'Mai 2015'!C14+'Juin 2015'!C14+'Juillet 2015'!C14+'Aout 2015'!C12+'Septembre 2015'!C14+'Octobre 2015'!C14+'Novembre 2015'!C14+'Decembre 2015'!C14</f>
        <v>0</v>
      </c>
      <c r="D14" s="24">
        <f>'JANVIER 2015'!D13+'FEVRIER 2015'!D12+'Mars 2015'!D14+'Avril 2015'!D14+'Mai 2015'!D14+'Juin 2015'!D14+'Juillet 2015'!D14+'Aout 2015'!D12+'Septembre 2015'!D14+'Octobre 2015'!D14+'Novembre 2015'!D14+'Decembre 2015'!D14</f>
        <v>0</v>
      </c>
      <c r="E14" s="25">
        <f>'JANVIER 2015'!E13+'FEVRIER 2015'!E12+'Mars 2015'!E14+'Avril 2015'!E14+'Mai 2015'!E14+'Juin 2015'!E14+'Juillet 2015'!E14+'Aout 2015'!E12+'Septembre 2015'!E14+'Octobre 2015'!E14+'Novembre 2015'!E14+'Decembre 2015'!E14</f>
        <v>0</v>
      </c>
      <c r="F14" s="19">
        <f t="shared" si="0"/>
        <v>1</v>
      </c>
      <c r="G14" s="32">
        <f>'JANVIER 2015'!G13+'FEVRIER 2015'!G12+'Mars 2015'!G14+'Avril 2015'!G14+'Mai 2015'!G14+'Juin 2015'!G14+'Juillet 2015'!G14+'Aout 2015'!G12+'Septembre 2015'!G14+'Octobre 2015'!G14+'Novembre 2015'!G14+'Decembre 2015'!G14</f>
        <v>10</v>
      </c>
      <c r="H14" s="24">
        <f>'JANVIER 2015'!H13+'FEVRIER 2015'!H12+'Mars 2015'!H14+'Avril 2015'!H14+'Mai 2015'!H14+'Juin 2015'!H14+'Juillet 2015'!H14+'Aout 2015'!H12+'Septembre 2015'!H14+'Octobre 2015'!H14+'Novembre 2015'!H14+'Decembre 2015'!H14</f>
        <v>0</v>
      </c>
      <c r="I14" s="24">
        <f>'JANVIER 2015'!I13+'FEVRIER 2015'!I12+'Mars 2015'!I14+'Avril 2015'!I14+'Mai 2015'!I14+'Juin 2015'!I14+'Juillet 2015'!I14+'Aout 2015'!I12+'Septembre 2015'!I14+'Octobre 2015'!I14+'Novembre 2015'!I14+'Decembre 2015'!I14</f>
        <v>1</v>
      </c>
      <c r="J14" s="24">
        <f>'JANVIER 2015'!J13+'FEVRIER 2015'!J12+'Mars 2015'!J14+'Avril 2015'!J14+'Mai 2015'!J14+'Juin 2015'!J14+'Juillet 2015'!J14+'Aout 2015'!J12+'Septembre 2015'!J14+'Octobre 2015'!J14+'Novembre 2015'!J14+'Decembre 2015'!J14</f>
        <v>0</v>
      </c>
      <c r="K14" s="17">
        <f t="shared" si="1"/>
        <v>11</v>
      </c>
      <c r="L14" s="7">
        <f t="shared" si="2"/>
        <v>12</v>
      </c>
    </row>
    <row r="15" spans="1:12" ht="15.75" thickBot="1">
      <c r="A15" s="8">
        <v>6</v>
      </c>
      <c r="B15" s="23">
        <f>'JANVIER 2015'!B14+'FEVRIER 2015'!B13+'Mars 2015'!B15+'Avril 2015'!B15+'Mai 2015'!B15+'Juin 2015'!B15+'Juillet 2015'!B15+'Aout 2015'!B13+'Septembre 2015'!B15+'Octobre 2015'!B15+'Novembre 2015'!B15+'Decembre 2015'!B15</f>
        <v>5</v>
      </c>
      <c r="C15" s="24">
        <f>'JANVIER 2015'!C14+'FEVRIER 2015'!C13+'Mars 2015'!C15+'Avril 2015'!C15+'Mai 2015'!C15+'Juin 2015'!C15+'Juillet 2015'!C15+'Aout 2015'!C13+'Septembre 2015'!C15+'Octobre 2015'!C15+'Novembre 2015'!C15+'Decembre 2015'!C15</f>
        <v>0</v>
      </c>
      <c r="D15" s="24">
        <f>'JANVIER 2015'!D14+'FEVRIER 2015'!D13+'Mars 2015'!D15+'Avril 2015'!D15+'Mai 2015'!D15+'Juin 2015'!D15+'Juillet 2015'!D15+'Aout 2015'!D13+'Septembre 2015'!D15+'Octobre 2015'!D15+'Novembre 2015'!D15+'Decembre 2015'!D15</f>
        <v>1</v>
      </c>
      <c r="E15" s="25">
        <f>'JANVIER 2015'!E14+'FEVRIER 2015'!E13+'Mars 2015'!E15+'Avril 2015'!E15+'Mai 2015'!E15+'Juin 2015'!E15+'Juillet 2015'!E15+'Aout 2015'!E13+'Septembre 2015'!E15+'Octobre 2015'!E15+'Novembre 2015'!E15+'Decembre 2015'!E15</f>
        <v>1</v>
      </c>
      <c r="F15" s="19">
        <f t="shared" si="0"/>
        <v>7</v>
      </c>
      <c r="G15" s="32">
        <f>'JANVIER 2015'!G14+'FEVRIER 2015'!G13+'Mars 2015'!G15+'Avril 2015'!G15+'Mai 2015'!G15+'Juin 2015'!G15+'Juillet 2015'!G15+'Aout 2015'!G13+'Septembre 2015'!G15+'Octobre 2015'!G15+'Novembre 2015'!G15+'Decembre 2015'!G15</f>
        <v>12</v>
      </c>
      <c r="H15" s="24">
        <f>'JANVIER 2015'!H14+'FEVRIER 2015'!H13+'Mars 2015'!H15+'Avril 2015'!H15+'Mai 2015'!H15+'Juin 2015'!H15+'Juillet 2015'!H15+'Aout 2015'!H13+'Septembre 2015'!H15+'Octobre 2015'!H15+'Novembre 2015'!H15+'Decembre 2015'!H15</f>
        <v>0</v>
      </c>
      <c r="I15" s="24">
        <f>'JANVIER 2015'!I14+'FEVRIER 2015'!I13+'Mars 2015'!I15+'Avril 2015'!I15+'Mai 2015'!I15+'Juin 2015'!I15+'Juillet 2015'!I15+'Aout 2015'!I13+'Septembre 2015'!I15+'Octobre 2015'!I15+'Novembre 2015'!I15+'Decembre 2015'!I15</f>
        <v>0</v>
      </c>
      <c r="J15" s="24">
        <f>'JANVIER 2015'!J14+'FEVRIER 2015'!J13+'Mars 2015'!J15+'Avril 2015'!J15+'Mai 2015'!J15+'Juin 2015'!J15+'Juillet 2015'!J15+'Aout 2015'!J13+'Septembre 2015'!J15+'Octobre 2015'!J15+'Novembre 2015'!J15+'Decembre 2015'!J15</f>
        <v>0</v>
      </c>
      <c r="K15" s="17">
        <f t="shared" si="1"/>
        <v>12</v>
      </c>
      <c r="L15" s="7">
        <f t="shared" si="2"/>
        <v>19</v>
      </c>
    </row>
    <row r="16" spans="1:12" ht="15.75" thickBot="1">
      <c r="A16" s="8">
        <v>7</v>
      </c>
      <c r="B16" s="23">
        <f>'JANVIER 2015'!B15+'FEVRIER 2015'!B14+'Mars 2015'!B16+'Avril 2015'!B16+'Mai 2015'!B16+'Juin 2015'!B16+'Juillet 2015'!B16+'Aout 2015'!B14+'Septembre 2015'!B16+'Octobre 2015'!B16+'Novembre 2015'!B16+'Decembre 2015'!B16</f>
        <v>6</v>
      </c>
      <c r="C16" s="24">
        <f>'JANVIER 2015'!C15+'FEVRIER 2015'!C14+'Mars 2015'!C16+'Avril 2015'!C16+'Mai 2015'!C16+'Juin 2015'!C16+'Juillet 2015'!C16+'Aout 2015'!C14+'Septembre 2015'!C16+'Octobre 2015'!C16+'Novembre 2015'!C16+'Decembre 2015'!C16</f>
        <v>0</v>
      </c>
      <c r="D16" s="24">
        <f>'JANVIER 2015'!D15+'FEVRIER 2015'!D14+'Mars 2015'!D16+'Avril 2015'!D16+'Mai 2015'!D16+'Juin 2015'!D16+'Juillet 2015'!D16+'Aout 2015'!D14+'Septembre 2015'!D16+'Octobre 2015'!D16+'Novembre 2015'!D16+'Decembre 2015'!D16</f>
        <v>0</v>
      </c>
      <c r="E16" s="25">
        <f>'JANVIER 2015'!E15+'FEVRIER 2015'!E14+'Mars 2015'!E16+'Avril 2015'!E16+'Mai 2015'!E16+'Juin 2015'!E16+'Juillet 2015'!E16+'Aout 2015'!E14+'Septembre 2015'!E16+'Octobre 2015'!E16+'Novembre 2015'!E16+'Decembre 2015'!E16</f>
        <v>0</v>
      </c>
      <c r="F16" s="19">
        <f t="shared" si="0"/>
        <v>6</v>
      </c>
      <c r="G16" s="32">
        <f>'JANVIER 2015'!G15+'FEVRIER 2015'!G14+'Mars 2015'!G16+'Avril 2015'!G16+'Mai 2015'!G16+'Juin 2015'!G16+'Juillet 2015'!G16+'Aout 2015'!G14+'Septembre 2015'!G16+'Octobre 2015'!G16+'Novembre 2015'!G16+'Decembre 2015'!G16</f>
        <v>13</v>
      </c>
      <c r="H16" s="24">
        <f>'JANVIER 2015'!H15+'FEVRIER 2015'!H14+'Mars 2015'!H16+'Avril 2015'!H16+'Mai 2015'!H16+'Juin 2015'!H16+'Juillet 2015'!H16+'Aout 2015'!H14+'Septembre 2015'!H16+'Octobre 2015'!H16+'Novembre 2015'!H16+'Decembre 2015'!H16</f>
        <v>1</v>
      </c>
      <c r="I16" s="24">
        <f>'JANVIER 2015'!I15+'FEVRIER 2015'!I14+'Mars 2015'!I16+'Avril 2015'!I16+'Mai 2015'!I16+'Juin 2015'!I16+'Juillet 2015'!I16+'Aout 2015'!I14+'Septembre 2015'!I16+'Octobre 2015'!I16+'Novembre 2015'!I16+'Decembre 2015'!I16</f>
        <v>0</v>
      </c>
      <c r="J16" s="24">
        <f>'JANVIER 2015'!J15+'FEVRIER 2015'!J14+'Mars 2015'!J16+'Avril 2015'!J16+'Mai 2015'!J16+'Juin 2015'!J16+'Juillet 2015'!J16+'Aout 2015'!J14+'Septembre 2015'!J16+'Octobre 2015'!J16+'Novembre 2015'!J16+'Decembre 2015'!J16</f>
        <v>1</v>
      </c>
      <c r="K16" s="17">
        <f t="shared" si="1"/>
        <v>15</v>
      </c>
      <c r="L16" s="7">
        <f t="shared" si="2"/>
        <v>21</v>
      </c>
    </row>
    <row r="17" spans="1:12" ht="15.75" thickBot="1">
      <c r="A17" s="8">
        <v>8</v>
      </c>
      <c r="B17" s="23">
        <f>'JANVIER 2015'!B16+'FEVRIER 2015'!B15+'Mars 2015'!B17+'Avril 2015'!B17+'Mai 2015'!B17+'Juin 2015'!B17+'Juillet 2015'!B17+'Aout 2015'!B15+'Septembre 2015'!B17+'Octobre 2015'!B17+'Novembre 2015'!B17+'Decembre 2015'!B17</f>
        <v>7</v>
      </c>
      <c r="C17" s="24">
        <f>'JANVIER 2015'!C16+'FEVRIER 2015'!C15+'Mars 2015'!C17+'Avril 2015'!C17+'Mai 2015'!C17+'Juin 2015'!C17+'Juillet 2015'!C17+'Aout 2015'!C15+'Septembre 2015'!C17+'Octobre 2015'!C17+'Novembre 2015'!C17+'Decembre 2015'!C17</f>
        <v>0</v>
      </c>
      <c r="D17" s="24">
        <f>'JANVIER 2015'!D16+'FEVRIER 2015'!D15+'Mars 2015'!D17+'Avril 2015'!D17+'Mai 2015'!D17+'Juin 2015'!D17+'Juillet 2015'!D17+'Aout 2015'!D15+'Septembre 2015'!D17+'Octobre 2015'!D17+'Novembre 2015'!D17+'Decembre 2015'!D17</f>
        <v>0</v>
      </c>
      <c r="E17" s="25">
        <f>'JANVIER 2015'!E16+'FEVRIER 2015'!E15+'Mars 2015'!E17+'Avril 2015'!E17+'Mai 2015'!E17+'Juin 2015'!E17+'Juillet 2015'!E17+'Aout 2015'!E15+'Septembre 2015'!E17+'Octobre 2015'!E17+'Novembre 2015'!E17+'Decembre 2015'!E17</f>
        <v>0</v>
      </c>
      <c r="F17" s="19">
        <f t="shared" si="0"/>
        <v>7</v>
      </c>
      <c r="G17" s="32">
        <f>'JANVIER 2015'!G16+'FEVRIER 2015'!G15+'Mars 2015'!G17+'Avril 2015'!G17+'Mai 2015'!G17+'Juin 2015'!G17+'Juillet 2015'!G17+'Aout 2015'!G15+'Septembre 2015'!G17+'Octobre 2015'!G17+'Novembre 2015'!G17+'Decembre 2015'!G17</f>
        <v>18</v>
      </c>
      <c r="H17" s="24">
        <f>'JANVIER 2015'!H16+'FEVRIER 2015'!H15+'Mars 2015'!H17+'Avril 2015'!H17+'Mai 2015'!H17+'Juin 2015'!H17+'Juillet 2015'!H17+'Aout 2015'!H15+'Septembre 2015'!H17+'Octobre 2015'!H17+'Novembre 2015'!H17+'Decembre 2015'!H17</f>
        <v>1</v>
      </c>
      <c r="I17" s="24">
        <f>'JANVIER 2015'!I16+'FEVRIER 2015'!I15+'Mars 2015'!I17+'Avril 2015'!I17+'Mai 2015'!I17+'Juin 2015'!I17+'Juillet 2015'!I17+'Aout 2015'!I15+'Septembre 2015'!I17+'Octobre 2015'!I17+'Novembre 2015'!I17+'Decembre 2015'!I17</f>
        <v>0</v>
      </c>
      <c r="J17" s="24">
        <f>'JANVIER 2015'!J16+'FEVRIER 2015'!J15+'Mars 2015'!J17+'Avril 2015'!J17+'Mai 2015'!J17+'Juin 2015'!J17+'Juillet 2015'!J17+'Aout 2015'!J15+'Septembre 2015'!J17+'Octobre 2015'!J17+'Novembre 2015'!J17+'Decembre 2015'!J17</f>
        <v>1</v>
      </c>
      <c r="K17" s="17">
        <f t="shared" si="1"/>
        <v>20</v>
      </c>
      <c r="L17" s="7">
        <f t="shared" si="2"/>
        <v>27</v>
      </c>
    </row>
    <row r="18" spans="1:12" ht="15.75" thickBot="1">
      <c r="A18" s="8">
        <v>9</v>
      </c>
      <c r="B18" s="23">
        <f>'JANVIER 2015'!B17+'FEVRIER 2015'!B16+'Mars 2015'!B18+'Avril 2015'!B18+'Mai 2015'!B18+'Juin 2015'!B18+'Juillet 2015'!B18+'Aout 2015'!B16+'Septembre 2015'!B18+'Octobre 2015'!B18+'Novembre 2015'!B18+'Decembre 2015'!B18</f>
        <v>4</v>
      </c>
      <c r="C18" s="24">
        <f>'JANVIER 2015'!C17+'FEVRIER 2015'!C16+'Mars 2015'!C18+'Avril 2015'!C18+'Mai 2015'!C18+'Juin 2015'!C18+'Juillet 2015'!C18+'Aout 2015'!C16+'Septembre 2015'!C18+'Octobre 2015'!C18+'Novembre 2015'!C18+'Decembre 2015'!C18</f>
        <v>0</v>
      </c>
      <c r="D18" s="24">
        <f>'JANVIER 2015'!D17+'FEVRIER 2015'!D16+'Mars 2015'!D18+'Avril 2015'!D18+'Mai 2015'!D18+'Juin 2015'!D18+'Juillet 2015'!D18+'Aout 2015'!D16+'Septembre 2015'!D18+'Octobre 2015'!D18+'Novembre 2015'!D18+'Decembre 2015'!D18</f>
        <v>2</v>
      </c>
      <c r="E18" s="25">
        <f>'JANVIER 2015'!E17+'FEVRIER 2015'!E16+'Mars 2015'!E18+'Avril 2015'!E18+'Mai 2015'!E18+'Juin 2015'!E18+'Juillet 2015'!E18+'Aout 2015'!E16+'Septembre 2015'!E18+'Octobre 2015'!E18+'Novembre 2015'!E18+'Decembre 2015'!E18</f>
        <v>0</v>
      </c>
      <c r="F18" s="19">
        <f t="shared" si="0"/>
        <v>6</v>
      </c>
      <c r="G18" s="32">
        <f>'JANVIER 2015'!G17+'FEVRIER 2015'!G16+'Mars 2015'!G18+'Avril 2015'!G18+'Mai 2015'!G18+'Juin 2015'!G18+'Juillet 2015'!G18+'Aout 2015'!G16+'Septembre 2015'!G18+'Octobre 2015'!G18+'Novembre 2015'!G18+'Decembre 2015'!G18</f>
        <v>6</v>
      </c>
      <c r="H18" s="24">
        <f>'JANVIER 2015'!H17+'FEVRIER 2015'!H16+'Mars 2015'!H18+'Avril 2015'!H18+'Mai 2015'!H18+'Juin 2015'!H18+'Juillet 2015'!H18+'Aout 2015'!H16+'Septembre 2015'!H18+'Octobre 2015'!H18+'Novembre 2015'!H18+'Decembre 2015'!H18</f>
        <v>0</v>
      </c>
      <c r="I18" s="24">
        <f>'JANVIER 2015'!I17+'FEVRIER 2015'!I16+'Mars 2015'!I18+'Avril 2015'!I18+'Mai 2015'!I18+'Juin 2015'!I18+'Juillet 2015'!I18+'Aout 2015'!I16+'Septembre 2015'!I18+'Octobre 2015'!I18+'Novembre 2015'!I18+'Decembre 2015'!I18</f>
        <v>0</v>
      </c>
      <c r="J18" s="24">
        <f>'JANVIER 2015'!J17+'FEVRIER 2015'!J16+'Mars 2015'!J18+'Avril 2015'!J18+'Mai 2015'!J18+'Juin 2015'!J18+'Juillet 2015'!J18+'Aout 2015'!J16+'Septembre 2015'!J18+'Octobre 2015'!J18+'Novembre 2015'!J18+'Decembre 2015'!J18</f>
        <v>0</v>
      </c>
      <c r="K18" s="17">
        <f t="shared" si="1"/>
        <v>6</v>
      </c>
      <c r="L18" s="7">
        <f t="shared" si="2"/>
        <v>12</v>
      </c>
    </row>
    <row r="19" spans="1:12" ht="15.75" thickBot="1">
      <c r="A19" s="8">
        <v>10</v>
      </c>
      <c r="B19" s="23">
        <f>'JANVIER 2015'!B18+'FEVRIER 2015'!B17+'Mars 2015'!B19+'Avril 2015'!B19+'Mai 2015'!B19+'Juin 2015'!B19+'Juillet 2015'!B19+'Aout 2015'!B17+'Septembre 2015'!B19+'Octobre 2015'!B19+'Novembre 2015'!B19+'Decembre 2015'!B19</f>
        <v>5</v>
      </c>
      <c r="C19" s="24">
        <f>'JANVIER 2015'!C18+'FEVRIER 2015'!C17+'Mars 2015'!C19+'Avril 2015'!C19+'Mai 2015'!C19+'Juin 2015'!C19+'Juillet 2015'!C19+'Aout 2015'!C17+'Septembre 2015'!C19+'Octobre 2015'!C19+'Novembre 2015'!C19+'Decembre 2015'!C19</f>
        <v>0</v>
      </c>
      <c r="D19" s="24">
        <f>'JANVIER 2015'!D18+'FEVRIER 2015'!D17+'Mars 2015'!D19+'Avril 2015'!D19+'Mai 2015'!D19+'Juin 2015'!D19+'Juillet 2015'!D19+'Aout 2015'!D17+'Septembre 2015'!D19+'Octobre 2015'!D19+'Novembre 2015'!D19+'Decembre 2015'!D19</f>
        <v>0</v>
      </c>
      <c r="E19" s="25">
        <f>'JANVIER 2015'!E18+'FEVRIER 2015'!E17+'Mars 2015'!E19+'Avril 2015'!E19+'Mai 2015'!E19+'Juin 2015'!E19+'Juillet 2015'!E19+'Aout 2015'!E17+'Septembre 2015'!E19+'Octobre 2015'!E19+'Novembre 2015'!E19+'Decembre 2015'!E19</f>
        <v>0</v>
      </c>
      <c r="F19" s="19">
        <f t="shared" si="0"/>
        <v>5</v>
      </c>
      <c r="G19" s="34">
        <f>'JANVIER 2015'!G18+'FEVRIER 2015'!G17+'Mars 2015'!G19+'Avril 2015'!G19+'Mai 2015'!G19+'Juin 2015'!G19+'Juillet 2015'!G19+'Aout 2015'!G17+'Septembre 2015'!G19+'Octobre 2015'!G19+'Novembre 2015'!G19+'Decembre 2015'!G19</f>
        <v>10</v>
      </c>
      <c r="H19" s="24">
        <f>'JANVIER 2015'!H18+'FEVRIER 2015'!H17+'Mars 2015'!H19+'Avril 2015'!H19+'Mai 2015'!H19+'Juin 2015'!H19+'Juillet 2015'!H19+'Aout 2015'!H17+'Septembre 2015'!H19+'Octobre 2015'!H19+'Novembre 2015'!H19+'Decembre 2015'!H19</f>
        <v>0</v>
      </c>
      <c r="I19" s="24">
        <f>'JANVIER 2015'!I18+'FEVRIER 2015'!I17+'Mars 2015'!I19+'Avril 2015'!I19+'Mai 2015'!I19+'Juin 2015'!I19+'Juillet 2015'!I19+'Aout 2015'!I17+'Septembre 2015'!I19+'Octobre 2015'!I19+'Novembre 2015'!I19+'Decembre 2015'!I19</f>
        <v>0</v>
      </c>
      <c r="J19" s="24">
        <f>'JANVIER 2015'!J18+'FEVRIER 2015'!J17+'Mars 2015'!J19+'Avril 2015'!J19+'Mai 2015'!J19+'Juin 2015'!J19+'Juillet 2015'!J19+'Aout 2015'!J17+'Septembre 2015'!J19+'Octobre 2015'!J19+'Novembre 2015'!J19+'Decembre 2015'!J19</f>
        <v>0</v>
      </c>
      <c r="K19" s="17">
        <f t="shared" si="1"/>
        <v>10</v>
      </c>
      <c r="L19" s="7">
        <f t="shared" si="2"/>
        <v>15</v>
      </c>
    </row>
    <row r="20" spans="1:12" ht="15.75" thickBot="1">
      <c r="A20" s="8">
        <v>11</v>
      </c>
      <c r="B20" s="23">
        <f>'JANVIER 2015'!B19+'FEVRIER 2015'!B18+'Mars 2015'!B20+'Avril 2015'!B20+'Mai 2015'!B20+'Juin 2015'!B20+'Juillet 2015'!B20+'Aout 2015'!B18+'Septembre 2015'!B20+'Octobre 2015'!B20+'Novembre 2015'!B20+'Decembre 2015'!B20</f>
        <v>3</v>
      </c>
      <c r="C20" s="24">
        <f>'JANVIER 2015'!C19+'FEVRIER 2015'!C18+'Mars 2015'!C20+'Avril 2015'!C20+'Mai 2015'!C20+'Juin 2015'!C20+'Juillet 2015'!C20+'Aout 2015'!C18+'Septembre 2015'!C20+'Octobre 2015'!C20+'Novembre 2015'!C20+'Decembre 2015'!C20</f>
        <v>0</v>
      </c>
      <c r="D20" s="24">
        <f>'JANVIER 2015'!D19+'FEVRIER 2015'!D18+'Mars 2015'!D20+'Avril 2015'!D20+'Mai 2015'!D20+'Juin 2015'!D20+'Juillet 2015'!D20+'Aout 2015'!D18+'Septembre 2015'!D20+'Octobre 2015'!D20+'Novembre 2015'!D20+'Decembre 2015'!D20</f>
        <v>0</v>
      </c>
      <c r="E20" s="25">
        <f>'JANVIER 2015'!E19+'FEVRIER 2015'!E18+'Mars 2015'!E20+'Avril 2015'!E20+'Mai 2015'!E20+'Juin 2015'!E20+'Juillet 2015'!E20+'Aout 2015'!E18+'Septembre 2015'!E20+'Octobre 2015'!E20+'Novembre 2015'!E20+'Decembre 2015'!E20</f>
        <v>0</v>
      </c>
      <c r="F20" s="19">
        <f t="shared" si="0"/>
        <v>3</v>
      </c>
      <c r="G20" s="32">
        <f>'JANVIER 2015'!G19+'FEVRIER 2015'!G18+'Mars 2015'!G20+'Avril 2015'!G20+'Mai 2015'!G20+'Juin 2015'!G20+'Juillet 2015'!G20+'Aout 2015'!G18+'Septembre 2015'!G20+'Octobre 2015'!G20+'Novembre 2015'!G20+'Decembre 2015'!G20</f>
        <v>4</v>
      </c>
      <c r="H20" s="24">
        <f>'JANVIER 2015'!H19+'FEVRIER 2015'!H18+'Mars 2015'!H20+'Avril 2015'!H20+'Mai 2015'!H20+'Juin 2015'!H20+'Juillet 2015'!H20+'Aout 2015'!H18+'Septembre 2015'!H20+'Octobre 2015'!H20+'Novembre 2015'!H20+'Decembre 2015'!H20</f>
        <v>1</v>
      </c>
      <c r="I20" s="24">
        <f>'JANVIER 2015'!I19+'FEVRIER 2015'!I18+'Mars 2015'!I20+'Avril 2015'!I20+'Mai 2015'!I20+'Juin 2015'!I20+'Juillet 2015'!I20+'Aout 2015'!I18+'Septembre 2015'!I20+'Octobre 2015'!I20+'Novembre 2015'!I20+'Decembre 2015'!I20</f>
        <v>0</v>
      </c>
      <c r="J20" s="24">
        <f>'JANVIER 2015'!J19+'FEVRIER 2015'!J18+'Mars 2015'!J20+'Avril 2015'!J20+'Mai 2015'!J20+'Juin 2015'!J20+'Juillet 2015'!J20+'Aout 2015'!J18+'Septembre 2015'!J20+'Octobre 2015'!J20+'Novembre 2015'!J20+'Decembre 2015'!J20</f>
        <v>0</v>
      </c>
      <c r="K20" s="17">
        <f t="shared" si="1"/>
        <v>5</v>
      </c>
      <c r="L20" s="7">
        <f t="shared" si="2"/>
        <v>8</v>
      </c>
    </row>
    <row r="21" spans="1:12" ht="15.75" thickBot="1">
      <c r="A21" s="8">
        <v>12</v>
      </c>
      <c r="B21" s="23">
        <f>'JANVIER 2015'!B20+'FEVRIER 2015'!B19+'Mars 2015'!B21+'Avril 2015'!B21+'Mai 2015'!B21+'Juin 2015'!B21+'Juillet 2015'!B21+'Aout 2015'!B19+'Septembre 2015'!B21+'Octobre 2015'!B21+'Novembre 2015'!B21+'Decembre 2015'!B21</f>
        <v>5</v>
      </c>
      <c r="C21" s="24">
        <f>'JANVIER 2015'!C20+'FEVRIER 2015'!C19+'Mars 2015'!C21+'Avril 2015'!C21+'Mai 2015'!C21+'Juin 2015'!C21+'Juillet 2015'!C21+'Aout 2015'!C19+'Septembre 2015'!C21+'Octobre 2015'!C21+'Novembre 2015'!C21+'Decembre 2015'!C21</f>
        <v>0</v>
      </c>
      <c r="D21" s="24">
        <f>'JANVIER 2015'!D20+'FEVRIER 2015'!D19+'Mars 2015'!D21+'Avril 2015'!D21+'Mai 2015'!D21+'Juin 2015'!D21+'Juillet 2015'!D21+'Aout 2015'!D19+'Septembre 2015'!D21+'Octobre 2015'!D21+'Novembre 2015'!D21+'Decembre 2015'!D21</f>
        <v>0</v>
      </c>
      <c r="E21" s="25">
        <f>'JANVIER 2015'!E20+'FEVRIER 2015'!E19+'Mars 2015'!E21+'Avril 2015'!E21+'Mai 2015'!E21+'Juin 2015'!E21+'Juillet 2015'!E21+'Aout 2015'!E19+'Septembre 2015'!E21+'Octobre 2015'!E21+'Novembre 2015'!E21+'Decembre 2015'!E21</f>
        <v>0</v>
      </c>
      <c r="F21" s="19">
        <f t="shared" si="0"/>
        <v>5</v>
      </c>
      <c r="G21" s="32">
        <f>'JANVIER 2015'!G20+'FEVRIER 2015'!G19+'Mars 2015'!G21+'Avril 2015'!G21+'Mai 2015'!G21+'Juin 2015'!G21+'Juillet 2015'!G21+'Aout 2015'!G19+'Septembre 2015'!G21+'Octobre 2015'!G21+'Novembre 2015'!G21+'Decembre 2015'!G21</f>
        <v>30</v>
      </c>
      <c r="H21" s="35">
        <f>'JANVIER 2015'!H20+'FEVRIER 2015'!H19+'Mars 2015'!H21+'Avril 2015'!H21+'Mai 2015'!H21+'Juin 2015'!H21+'Juillet 2015'!H21+'Aout 2015'!H19+'Septembre 2015'!H21+'Octobre 2015'!H21+'Novembre 2015'!H21+'Decembre 2015'!H21</f>
        <v>2</v>
      </c>
      <c r="I21" s="35">
        <f>'JANVIER 2015'!I20+'FEVRIER 2015'!I19+'Mars 2015'!I21+'Avril 2015'!I21+'Mai 2015'!I21+'Juin 2015'!I21+'Juillet 2015'!I21+'Aout 2015'!I19+'Septembre 2015'!I21+'Octobre 2015'!I21+'Novembre 2015'!I21+'Decembre 2015'!I21</f>
        <v>0</v>
      </c>
      <c r="J21" s="35">
        <f>'JANVIER 2015'!J20+'FEVRIER 2015'!J19+'Mars 2015'!J21+'Avril 2015'!J21+'Mai 2015'!J21+'Juin 2015'!J21+'Juillet 2015'!J21+'Aout 2015'!J19+'Septembre 2015'!J21+'Octobre 2015'!J21+'Novembre 2015'!J21+'Decembre 2015'!J21</f>
        <v>0</v>
      </c>
      <c r="K21" s="17">
        <f t="shared" si="1"/>
        <v>32</v>
      </c>
      <c r="L21" s="7">
        <f t="shared" si="2"/>
        <v>37</v>
      </c>
    </row>
    <row r="22" spans="1:12" ht="15.75" thickBot="1">
      <c r="A22" s="8">
        <v>13</v>
      </c>
      <c r="B22" s="23">
        <f>'JANVIER 2015'!B21+'FEVRIER 2015'!B20+'Mars 2015'!B22+'Avril 2015'!B22+'Mai 2015'!B22+'Juin 2015'!B22+'Juillet 2015'!B22+'Aout 2015'!B20+'Septembre 2015'!B22+'Octobre 2015'!B22+'Novembre 2015'!B22+'Decembre 2015'!B22</f>
        <v>5</v>
      </c>
      <c r="C22" s="24">
        <f>'JANVIER 2015'!C21+'FEVRIER 2015'!C20+'Mars 2015'!C22+'Avril 2015'!C22+'Mai 2015'!C22+'Juin 2015'!C22+'Juillet 2015'!C22+'Aout 2015'!C20+'Septembre 2015'!C22+'Octobre 2015'!C22+'Novembre 2015'!C22+'Decembre 2015'!C22</f>
        <v>0</v>
      </c>
      <c r="D22" s="24">
        <f>'JANVIER 2015'!D21+'FEVRIER 2015'!D20+'Mars 2015'!D22+'Avril 2015'!D22+'Mai 2015'!D22+'Juin 2015'!D22+'Juillet 2015'!D22+'Aout 2015'!D20+'Septembre 2015'!D22+'Octobre 2015'!D22+'Novembre 2015'!D22+'Decembre 2015'!D22</f>
        <v>0</v>
      </c>
      <c r="E22" s="25">
        <f>'JANVIER 2015'!E21+'FEVRIER 2015'!E20+'Mars 2015'!E22+'Avril 2015'!E22+'Mai 2015'!E22+'Juin 2015'!E22+'Juillet 2015'!E22+'Aout 2015'!E20+'Septembre 2015'!E22+'Octobre 2015'!E22+'Novembre 2015'!E22+'Decembre 2015'!E22</f>
        <v>0</v>
      </c>
      <c r="F22" s="19">
        <f t="shared" si="0"/>
        <v>5</v>
      </c>
      <c r="G22" s="36">
        <f>'JANVIER 2015'!G21+'FEVRIER 2015'!G20+'Mars 2015'!G22+'Avril 2015'!G22+'Mai 2015'!G22+'Juin 2015'!G22+'Juillet 2015'!G22+'Aout 2015'!G20+'Septembre 2015'!G22+'Octobre 2015'!G22+'Novembre 2015'!G22+'Decembre 2015'!G22</f>
        <v>8</v>
      </c>
      <c r="H22" s="24">
        <f>'JANVIER 2015'!H21+'FEVRIER 2015'!H20+'Mars 2015'!H22+'Avril 2015'!H22+'Mai 2015'!H22+'Juin 2015'!H22+'Juillet 2015'!H22+'Aout 2015'!H20+'Septembre 2015'!H22+'Octobre 2015'!H22+'Novembre 2015'!H22+'Decembre 2015'!H22</f>
        <v>0</v>
      </c>
      <c r="I22" s="24">
        <f>'JANVIER 2015'!I21+'FEVRIER 2015'!I20+'Mars 2015'!I22+'Avril 2015'!I22+'Mai 2015'!I22+'Juin 2015'!I22+'Juillet 2015'!I22+'Aout 2015'!I20+'Septembre 2015'!I22+'Octobre 2015'!I22+'Novembre 2015'!I22+'Decembre 2015'!I22</f>
        <v>0</v>
      </c>
      <c r="J22" s="24">
        <f>'JANVIER 2015'!J21+'FEVRIER 2015'!J20+'Mars 2015'!J22+'Avril 2015'!J22+'Mai 2015'!J22+'Juin 2015'!J22+'Juillet 2015'!J22+'Aout 2015'!J20+'Septembre 2015'!J22+'Octobre 2015'!J22+'Novembre 2015'!J22+'Decembre 2015'!J22</f>
        <v>0</v>
      </c>
      <c r="K22" s="17">
        <f t="shared" si="1"/>
        <v>8</v>
      </c>
      <c r="L22" s="7">
        <f t="shared" si="2"/>
        <v>13</v>
      </c>
    </row>
    <row r="23" spans="1:12" ht="15.75" thickBot="1">
      <c r="A23" s="8">
        <v>14</v>
      </c>
      <c r="B23" s="23">
        <f>'JANVIER 2015'!B22+'FEVRIER 2015'!B21+'Mars 2015'!B23+'Avril 2015'!B23+'Mai 2015'!B23+'Juin 2015'!B23+'Juillet 2015'!B23+'Aout 2015'!B21+'Septembre 2015'!B23+'Octobre 2015'!B23+'Novembre 2015'!B23+'Decembre 2015'!B23</f>
        <v>20</v>
      </c>
      <c r="C23" s="24">
        <f>'JANVIER 2015'!C22+'FEVRIER 2015'!C21+'Mars 2015'!C23+'Avril 2015'!C23+'Mai 2015'!C23+'Juin 2015'!C23+'Juillet 2015'!C23+'Aout 2015'!C21+'Septembre 2015'!C23+'Octobre 2015'!C23+'Novembre 2015'!C23+'Decembre 2015'!C23</f>
        <v>0</v>
      </c>
      <c r="D23" s="24">
        <f>'JANVIER 2015'!D22+'FEVRIER 2015'!D21+'Mars 2015'!D23+'Avril 2015'!D23+'Mai 2015'!D23+'Juin 2015'!D23+'Juillet 2015'!D23+'Aout 2015'!D21+'Septembre 2015'!D23+'Octobre 2015'!D23+'Novembre 2015'!D23+'Decembre 2015'!D23</f>
        <v>0</v>
      </c>
      <c r="E23" s="25">
        <f>'JANVIER 2015'!E22+'FEVRIER 2015'!E21+'Mars 2015'!E23+'Avril 2015'!E23+'Mai 2015'!E23+'Juin 2015'!E23+'Juillet 2015'!E23+'Aout 2015'!E21+'Septembre 2015'!E23+'Octobre 2015'!E23+'Novembre 2015'!E23+'Decembre 2015'!E23</f>
        <v>0</v>
      </c>
      <c r="F23" s="19">
        <f t="shared" si="0"/>
        <v>20</v>
      </c>
      <c r="G23" s="36">
        <f>'JANVIER 2015'!G22+'FEVRIER 2015'!G21+'Mars 2015'!G23+'Avril 2015'!G23+'Mai 2015'!G23+'Juin 2015'!G23+'Juillet 2015'!G23+'Aout 2015'!G21+'Septembre 2015'!G23+'Octobre 2015'!G23+'Novembre 2015'!G23+'Decembre 2015'!G23</f>
        <v>13</v>
      </c>
      <c r="H23" s="24">
        <f>'JANVIER 2015'!H22+'FEVRIER 2015'!H21+'Mars 2015'!H23+'Avril 2015'!H23+'Mai 2015'!H23+'Juin 2015'!H23+'Juillet 2015'!H23+'Aout 2015'!H21+'Septembre 2015'!H23+'Octobre 2015'!H23+'Novembre 2015'!H23+'Decembre 2015'!H23</f>
        <v>0</v>
      </c>
      <c r="I23" s="24">
        <f>'JANVIER 2015'!I22+'FEVRIER 2015'!I21+'Mars 2015'!I23+'Avril 2015'!I23+'Mai 2015'!I23+'Juin 2015'!I23+'Juillet 2015'!I23+'Aout 2015'!I21+'Septembre 2015'!I23+'Octobre 2015'!I23+'Novembre 2015'!I23+'Decembre 2015'!I23</f>
        <v>0</v>
      </c>
      <c r="J23" s="24">
        <f>'JANVIER 2015'!J22+'FEVRIER 2015'!J21+'Mars 2015'!J23+'Avril 2015'!J23+'Mai 2015'!J23+'Juin 2015'!J23+'Juillet 2015'!J23+'Aout 2015'!J21+'Septembre 2015'!J23+'Octobre 2015'!J23+'Novembre 2015'!J23+'Decembre 2015'!J23</f>
        <v>0</v>
      </c>
      <c r="K23" s="17">
        <f t="shared" si="1"/>
        <v>13</v>
      </c>
      <c r="L23" s="7">
        <f t="shared" si="2"/>
        <v>33</v>
      </c>
    </row>
    <row r="24" spans="1:12" ht="15.75" thickBot="1">
      <c r="A24" s="8">
        <v>15</v>
      </c>
      <c r="B24" s="23">
        <f>'JANVIER 2015'!B23+'FEVRIER 2015'!B22+'Mars 2015'!B24+'Avril 2015'!B24+'Mai 2015'!B24+'Juin 2015'!B24+'Juillet 2015'!B24+'Aout 2015'!B22+'Septembre 2015'!B24+'Octobre 2015'!B24+'Novembre 2015'!B24+'Decembre 2015'!B24</f>
        <v>6</v>
      </c>
      <c r="C24" s="24">
        <f>'JANVIER 2015'!C23+'FEVRIER 2015'!C22+'Mars 2015'!C24+'Avril 2015'!C24+'Mai 2015'!C24+'Juin 2015'!C24+'Juillet 2015'!C24+'Aout 2015'!C22+'Septembre 2015'!C24+'Octobre 2015'!C24+'Novembre 2015'!C24+'Decembre 2015'!C24</f>
        <v>0</v>
      </c>
      <c r="D24" s="24">
        <f>'JANVIER 2015'!D23+'FEVRIER 2015'!D22+'Mars 2015'!D24+'Avril 2015'!D24+'Mai 2015'!D24+'Juin 2015'!D24+'Juillet 2015'!D24+'Aout 2015'!D22+'Septembre 2015'!D24+'Octobre 2015'!D24+'Novembre 2015'!D24+'Decembre 2015'!D24</f>
        <v>1</v>
      </c>
      <c r="E24" s="25">
        <f>'JANVIER 2015'!E23+'FEVRIER 2015'!E22+'Mars 2015'!E24+'Avril 2015'!E24+'Mai 2015'!E24+'Juin 2015'!E24+'Juillet 2015'!E24+'Aout 2015'!E22+'Septembre 2015'!E24+'Octobre 2015'!E24+'Novembre 2015'!E24+'Decembre 2015'!E24</f>
        <v>0</v>
      </c>
      <c r="F24" s="19">
        <f t="shared" si="0"/>
        <v>7</v>
      </c>
      <c r="G24" s="32">
        <f>'JANVIER 2015'!G23+'FEVRIER 2015'!G22+'Mars 2015'!G24+'Avril 2015'!G24+'Mai 2015'!G24+'Juin 2015'!G24+'Juillet 2015'!G24+'Aout 2015'!G22+'Septembre 2015'!G24+'Octobre 2015'!G24+'Novembre 2015'!G24+'Decembre 2015'!G24</f>
        <v>4</v>
      </c>
      <c r="H24" s="24">
        <f>'JANVIER 2015'!H23+'FEVRIER 2015'!H22+'Mars 2015'!H24+'Avril 2015'!H24+'Mai 2015'!H24+'Juin 2015'!H24+'Juillet 2015'!H24+'Aout 2015'!H22+'Septembre 2015'!H24+'Octobre 2015'!H24+'Novembre 2015'!H24+'Decembre 2015'!H24</f>
        <v>0</v>
      </c>
      <c r="I24" s="24">
        <f>'JANVIER 2015'!I23+'FEVRIER 2015'!I22+'Mars 2015'!I24+'Avril 2015'!I24+'Mai 2015'!I24+'Juin 2015'!I24+'Juillet 2015'!I24+'Aout 2015'!I22+'Septembre 2015'!I24+'Octobre 2015'!I24+'Novembre 2015'!I24+'Decembre 2015'!I24</f>
        <v>0</v>
      </c>
      <c r="J24" s="24">
        <f>'JANVIER 2015'!J23+'FEVRIER 2015'!J22+'Mars 2015'!J24+'Avril 2015'!J24+'Mai 2015'!J24+'Juin 2015'!J24+'Juillet 2015'!J24+'Aout 2015'!J22+'Septembre 2015'!J24+'Octobre 2015'!J24+'Novembre 2015'!J24+'Decembre 2015'!J24</f>
        <v>0</v>
      </c>
      <c r="K24" s="17">
        <f t="shared" si="1"/>
        <v>4</v>
      </c>
      <c r="L24" s="7">
        <f t="shared" si="2"/>
        <v>11</v>
      </c>
    </row>
    <row r="25" spans="1:12" ht="15.75" thickBot="1">
      <c r="A25" s="8">
        <v>16</v>
      </c>
      <c r="B25" s="23">
        <f>'JANVIER 2015'!B24+'FEVRIER 2015'!B23+'Mars 2015'!B25+'Avril 2015'!B25+'Mai 2015'!B25+'Juin 2015'!B25+'Juillet 2015'!B25+'Aout 2015'!B23+'Septembre 2015'!B25+'Octobre 2015'!B25+'Novembre 2015'!B25+'Decembre 2015'!B25</f>
        <v>11</v>
      </c>
      <c r="C25" s="24">
        <f>'JANVIER 2015'!C24+'FEVRIER 2015'!C23+'Mars 2015'!C25+'Avril 2015'!C25+'Mai 2015'!C25+'Juin 2015'!C25+'Juillet 2015'!C25+'Aout 2015'!C23+'Septembre 2015'!C25+'Octobre 2015'!C25+'Novembre 2015'!C25+'Decembre 2015'!C25</f>
        <v>2</v>
      </c>
      <c r="D25" s="24">
        <f>'JANVIER 2015'!D24+'FEVRIER 2015'!D23+'Mars 2015'!D25+'Avril 2015'!D25+'Mai 2015'!D25+'Juin 2015'!D25+'Juillet 2015'!D25+'Aout 2015'!D23+'Septembre 2015'!D25+'Octobre 2015'!D25+'Novembre 2015'!D25+'Decembre 2015'!D25</f>
        <v>0</v>
      </c>
      <c r="E25" s="25">
        <f>'JANVIER 2015'!E24+'FEVRIER 2015'!E23+'Mars 2015'!E25+'Avril 2015'!E25+'Mai 2015'!E25+'Juin 2015'!E25+'Juillet 2015'!E25+'Aout 2015'!E23+'Septembre 2015'!E25+'Octobre 2015'!E25+'Novembre 2015'!E25+'Decembre 2015'!E25</f>
        <v>0</v>
      </c>
      <c r="F25" s="19">
        <f t="shared" si="0"/>
        <v>13</v>
      </c>
      <c r="G25" s="32">
        <f>'JANVIER 2015'!G24+'FEVRIER 2015'!G23+'Mars 2015'!G25+'Avril 2015'!G25+'Mai 2015'!G25+'Juin 2015'!G25+'Juillet 2015'!G25+'Aout 2015'!G23+'Septembre 2015'!G25+'Octobre 2015'!G25+'Novembre 2015'!G25+'Decembre 2015'!G25</f>
        <v>7</v>
      </c>
      <c r="H25" s="24">
        <f>'JANVIER 2015'!H24+'FEVRIER 2015'!H23+'Mars 2015'!H25+'Avril 2015'!H25+'Mai 2015'!H25+'Juin 2015'!H25+'Juillet 2015'!H25+'Aout 2015'!H23+'Septembre 2015'!H25+'Octobre 2015'!H25+'Novembre 2015'!H25+'Decembre 2015'!H25</f>
        <v>1</v>
      </c>
      <c r="I25" s="24">
        <f>'JANVIER 2015'!I24+'FEVRIER 2015'!I23+'Mars 2015'!I25+'Avril 2015'!I25+'Mai 2015'!I25+'Juin 2015'!I25+'Juillet 2015'!I25+'Aout 2015'!I23+'Septembre 2015'!I25+'Octobre 2015'!I25+'Novembre 2015'!I25+'Decembre 2015'!I25</f>
        <v>1</v>
      </c>
      <c r="J25" s="24">
        <f>'JANVIER 2015'!J24+'FEVRIER 2015'!J23+'Mars 2015'!J25+'Avril 2015'!J25+'Mai 2015'!J25+'Juin 2015'!J25+'Juillet 2015'!J25+'Aout 2015'!J23+'Septembre 2015'!J25+'Octobre 2015'!J25+'Novembre 2015'!J25+'Decembre 2015'!J25</f>
        <v>0</v>
      </c>
      <c r="K25" s="17">
        <f t="shared" si="1"/>
        <v>9</v>
      </c>
      <c r="L25" s="7">
        <f t="shared" si="2"/>
        <v>22</v>
      </c>
    </row>
    <row r="26" spans="1:12" ht="15.75" thickBot="1">
      <c r="A26" s="8">
        <v>17</v>
      </c>
      <c r="B26" s="23">
        <f>'JANVIER 2015'!B25+'FEVRIER 2015'!B24+'Mars 2015'!B26+'Avril 2015'!B26+'Mai 2015'!B26+'Juin 2015'!B26+'Juillet 2015'!B26+'Aout 2015'!B24+'Septembre 2015'!B26+'Octobre 2015'!B26+'Novembre 2015'!B26+'Decembre 2015'!B26</f>
        <v>20</v>
      </c>
      <c r="C26" s="87">
        <f>'JANVIER 2015'!C25+'FEVRIER 2015'!C24+'Mars 2015'!C26+'Avril 2015'!C26+'Mai 2015'!C26+'Juin 2015'!C26+'Juillet 2015'!C26+'Aout 2015'!C24+'Septembre 2015'!C26+'Octobre 2015'!C26+'Novembre 2015'!C26+'Decembre 2015'!C26</f>
        <v>2</v>
      </c>
      <c r="D26" s="27">
        <f>'JANVIER 2015'!D25+'FEVRIER 2015'!D24+'Mars 2015'!D26+'Avril 2015'!D26+'Mai 2015'!D26+'Juin 2015'!D26+'Juillet 2015'!D26+'Aout 2015'!D24+'Septembre 2015'!D26+'Octobre 2015'!D26+'Novembre 2015'!D26+'Decembre 2015'!D26</f>
        <v>0</v>
      </c>
      <c r="E26" s="25">
        <f>'JANVIER 2015'!E25+'FEVRIER 2015'!E24+'Mars 2015'!E26+'Avril 2015'!E26+'Mai 2015'!E26+'Juin 2015'!E26+'Juillet 2015'!E26+'Aout 2015'!E24+'Septembre 2015'!E26+'Octobre 2015'!E26+'Novembre 2015'!E26+'Decembre 2015'!E26</f>
        <v>1</v>
      </c>
      <c r="F26" s="19">
        <f t="shared" si="0"/>
        <v>23</v>
      </c>
      <c r="G26" s="32">
        <f>'JANVIER 2015'!G25+'FEVRIER 2015'!G24+'Mars 2015'!G26+'Avril 2015'!G26+'Mai 2015'!G26+'Juin 2015'!G26+'Juillet 2015'!G26+'Aout 2015'!G24+'Septembre 2015'!G26+'Octobre 2015'!G26+'Novembre 2015'!G26+'Decembre 2015'!G26</f>
        <v>7</v>
      </c>
      <c r="H26" s="24">
        <f>'JANVIER 2015'!H25+'FEVRIER 2015'!H24+'Mars 2015'!H26+'Avril 2015'!H26+'Mai 2015'!H26+'Juin 2015'!H26+'Juillet 2015'!H26+'Aout 2015'!H24+'Septembre 2015'!H26+'Octobre 2015'!H26+'Novembre 2015'!H26+'Decembre 2015'!H26</f>
        <v>1</v>
      </c>
      <c r="I26" s="24">
        <f>'JANVIER 2015'!I25+'FEVRIER 2015'!I24+'Mars 2015'!I26+'Avril 2015'!I26+'Mai 2015'!I26+'Juin 2015'!I26+'Juillet 2015'!I26+'Aout 2015'!I24+'Septembre 2015'!I26+'Octobre 2015'!I26+'Novembre 2015'!I26+'Decembre 2015'!I26</f>
        <v>0</v>
      </c>
      <c r="J26" s="24">
        <f>'JANVIER 2015'!J25+'FEVRIER 2015'!J24+'Mars 2015'!J26+'Avril 2015'!J26+'Mai 2015'!J26+'Juin 2015'!J26+'Juillet 2015'!J26+'Aout 2015'!J24+'Septembre 2015'!J26+'Octobre 2015'!J26+'Novembre 2015'!J26+'Decembre 2015'!J26</f>
        <v>0</v>
      </c>
      <c r="K26" s="17">
        <f t="shared" si="1"/>
        <v>8</v>
      </c>
      <c r="L26" s="7">
        <f t="shared" si="2"/>
        <v>31</v>
      </c>
    </row>
    <row r="27" spans="1:12" ht="15.75" thickBot="1">
      <c r="A27" s="8">
        <v>18</v>
      </c>
      <c r="B27" s="23">
        <f>'JANVIER 2015'!B26+'FEVRIER 2015'!B25+'Mars 2015'!B27+'Avril 2015'!B27+'Mai 2015'!B27+'Juin 2015'!B27+'Juillet 2015'!B27+'Aout 2015'!B25+'Septembre 2015'!B27+'Octobre 2015'!B27+'Novembre 2015'!B27+'Decembre 2015'!B27</f>
        <v>8</v>
      </c>
      <c r="C27" s="24">
        <f>'JANVIER 2015'!C26+'FEVRIER 2015'!C25+'Mars 2015'!C27+'Avril 2015'!C27+'Mai 2015'!C27+'Juin 2015'!C27+'Juillet 2015'!C27+'Aout 2015'!C25+'Septembre 2015'!C27+'Octobre 2015'!C27+'Novembre 2015'!C27+'Decembre 2015'!C27</f>
        <v>1</v>
      </c>
      <c r="D27" s="24">
        <f>'JANVIER 2015'!D26+'FEVRIER 2015'!D25+'Mars 2015'!D27+'Avril 2015'!D27+'Mai 2015'!D27+'Juin 2015'!D27+'Juillet 2015'!D27+'Aout 2015'!D25+'Septembre 2015'!D27+'Octobre 2015'!D27+'Novembre 2015'!D27+'Decembre 2015'!D27</f>
        <v>0</v>
      </c>
      <c r="E27" s="25">
        <f>'JANVIER 2015'!E26+'FEVRIER 2015'!E25+'Mars 2015'!E27+'Avril 2015'!E27+'Mai 2015'!E27+'Juin 2015'!E27+'Juillet 2015'!E27+'Aout 2015'!E25+'Septembre 2015'!E27+'Octobre 2015'!E27+'Novembre 2015'!E27+'Decembre 2015'!E27</f>
        <v>0</v>
      </c>
      <c r="F27" s="19">
        <f t="shared" si="0"/>
        <v>9</v>
      </c>
      <c r="G27" s="32">
        <f>'JANVIER 2015'!G26+'FEVRIER 2015'!G25+'Mars 2015'!G27+'Avril 2015'!G27+'Mai 2015'!G27+'Juin 2015'!G27+'Juillet 2015'!G27+'Aout 2015'!G25+'Septembre 2015'!G27+'Octobre 2015'!G27+'Novembre 2015'!G27+'Decembre 2015'!G27</f>
        <v>10</v>
      </c>
      <c r="H27" s="24">
        <f>'JANVIER 2015'!H26+'FEVRIER 2015'!H25+'Mars 2015'!H27+'Avril 2015'!H27+'Mai 2015'!H27+'Juin 2015'!H27+'Juillet 2015'!H27+'Aout 2015'!H25+'Septembre 2015'!H27+'Octobre 2015'!H27+'Novembre 2015'!H27+'Decembre 2015'!H27</f>
        <v>0</v>
      </c>
      <c r="I27" s="24">
        <f>'JANVIER 2015'!I26+'FEVRIER 2015'!I25+'Mars 2015'!I27+'Avril 2015'!I27+'Mai 2015'!I27+'Juin 2015'!I27+'Juillet 2015'!I27+'Aout 2015'!I25+'Septembre 2015'!I27+'Octobre 2015'!I27+'Novembre 2015'!I27+'Decembre 2015'!I27</f>
        <v>0</v>
      </c>
      <c r="J27" s="24">
        <f>'JANVIER 2015'!J26+'FEVRIER 2015'!J25+'Mars 2015'!J27+'Avril 2015'!J27+'Mai 2015'!J27+'Juin 2015'!J27+'Juillet 2015'!J27+'Aout 2015'!J25+'Septembre 2015'!J27+'Octobre 2015'!J27+'Novembre 2015'!J27+'Decembre 2015'!J27</f>
        <v>0</v>
      </c>
      <c r="K27" s="17">
        <f t="shared" si="1"/>
        <v>10</v>
      </c>
      <c r="L27" s="7">
        <f t="shared" si="2"/>
        <v>19</v>
      </c>
    </row>
    <row r="28" spans="1:12" ht="15.75" thickBot="1">
      <c r="A28" s="8">
        <v>19</v>
      </c>
      <c r="B28" s="23">
        <f>'JANVIER 2015'!B27+'FEVRIER 2015'!B26+'Mars 2015'!B28+'Avril 2015'!B28+'Mai 2015'!B28+'Juin 2015'!B28+'Juillet 2015'!B28+'Aout 2015'!B26+'Septembre 2015'!B28+'Octobre 2015'!B28+'Novembre 2015'!B28+'Decembre 2015'!B28</f>
        <v>5</v>
      </c>
      <c r="C28" s="24">
        <f>'JANVIER 2015'!C27+'FEVRIER 2015'!C26+'Mars 2015'!C28+'Avril 2015'!C28+'Mai 2015'!C28+'Juin 2015'!C28+'Juillet 2015'!C28+'Aout 2015'!C26+'Septembre 2015'!C28+'Octobre 2015'!C28+'Novembre 2015'!C28+'Decembre 2015'!C28</f>
        <v>0</v>
      </c>
      <c r="D28" s="24">
        <f>'JANVIER 2015'!D27+'FEVRIER 2015'!D26+'Mars 2015'!D28+'Avril 2015'!D28+'Mai 2015'!D28+'Juin 2015'!D28+'Juillet 2015'!D28+'Aout 2015'!D26+'Septembre 2015'!D28+'Octobre 2015'!D28+'Novembre 2015'!D28+'Decembre 2015'!D28</f>
        <v>1</v>
      </c>
      <c r="E28" s="25">
        <f>'JANVIER 2015'!E27+'FEVRIER 2015'!E26+'Mars 2015'!E28+'Avril 2015'!E28+'Mai 2015'!E28+'Juin 2015'!E28+'Juillet 2015'!E28+'Aout 2015'!E26+'Septembre 2015'!E28+'Octobre 2015'!E28+'Novembre 2015'!E28+'Decembre 2015'!E28</f>
        <v>0</v>
      </c>
      <c r="F28" s="19">
        <f t="shared" si="0"/>
        <v>6</v>
      </c>
      <c r="G28" s="32">
        <f>'JANVIER 2015'!G27+'FEVRIER 2015'!G26+'Mars 2015'!G28+'Avril 2015'!G28+'Mai 2015'!G28+'Juin 2015'!G28+'Juillet 2015'!G28+'Aout 2015'!G26+'Septembre 2015'!G28+'Octobre 2015'!G28+'Novembre 2015'!G28+'Decembre 2015'!G28</f>
        <v>4</v>
      </c>
      <c r="H28" s="24">
        <f>'JANVIER 2015'!H27+'FEVRIER 2015'!H26+'Mars 2015'!H28+'Avril 2015'!H28+'Mai 2015'!H28+'Juin 2015'!H28+'Juillet 2015'!H28+'Aout 2015'!H26+'Septembre 2015'!H28+'Octobre 2015'!H28+'Novembre 2015'!H28+'Decembre 2015'!H28</f>
        <v>0</v>
      </c>
      <c r="I28" s="24">
        <f>'JANVIER 2015'!I27+'FEVRIER 2015'!I26+'Mars 2015'!I28+'Avril 2015'!I28+'Mai 2015'!I28+'Juin 2015'!I28+'Juillet 2015'!I28+'Aout 2015'!I26+'Septembre 2015'!I28+'Octobre 2015'!I28+'Novembre 2015'!I28+'Decembre 2015'!I28</f>
        <v>1</v>
      </c>
      <c r="J28" s="24">
        <f>'JANVIER 2015'!J27+'FEVRIER 2015'!J26+'Mars 2015'!J28+'Avril 2015'!J28+'Mai 2015'!J28+'Juin 2015'!J28+'Juillet 2015'!J28+'Aout 2015'!J26+'Septembre 2015'!J28+'Octobre 2015'!J28+'Novembre 2015'!J28+'Decembre 2015'!J28</f>
        <v>0</v>
      </c>
      <c r="K28" s="17">
        <f t="shared" si="1"/>
        <v>5</v>
      </c>
      <c r="L28" s="7">
        <f t="shared" si="2"/>
        <v>11</v>
      </c>
    </row>
    <row r="29" spans="1:12" ht="15.75" thickBot="1">
      <c r="A29" s="8">
        <v>20</v>
      </c>
      <c r="B29" s="23">
        <f>'JANVIER 2015'!B28+'FEVRIER 2015'!B27+'Mars 2015'!B29+'Avril 2015'!B29+'Mai 2015'!B29+'Juin 2015'!B29+'Juillet 2015'!B29+'Aout 2015'!B27+'Septembre 2015'!B29+'Octobre 2015'!B29+'Novembre 2015'!B29+'Decembre 2015'!B29</f>
        <v>7</v>
      </c>
      <c r="C29" s="24">
        <f>'JANVIER 2015'!C28+'FEVRIER 2015'!C27+'Mars 2015'!C29+'Avril 2015'!C29+'Mai 2015'!C29+'Juin 2015'!C29+'Juillet 2015'!C29+'Aout 2015'!C27+'Septembre 2015'!C29+'Octobre 2015'!C29+'Novembre 2015'!C29+'Decembre 2015'!C29</f>
        <v>0</v>
      </c>
      <c r="D29" s="24">
        <f>'JANVIER 2015'!D28+'FEVRIER 2015'!D27+'Mars 2015'!D29+'Avril 2015'!D29+'Mai 2015'!D29+'Juin 2015'!D29+'Juillet 2015'!D29+'Aout 2015'!D27+'Septembre 2015'!D29+'Octobre 2015'!D29+'Novembre 2015'!D29+'Decembre 2015'!D29</f>
        <v>0</v>
      </c>
      <c r="E29" s="25">
        <f>'JANVIER 2015'!E28+'FEVRIER 2015'!E27+'Mars 2015'!E29+'Avril 2015'!E29+'Mai 2015'!E29+'Juin 2015'!E29+'Juillet 2015'!E29+'Aout 2015'!E27+'Septembre 2015'!E29+'Octobre 2015'!E29+'Novembre 2015'!E29+'Decembre 2015'!E29</f>
        <v>1</v>
      </c>
      <c r="F29" s="19">
        <f t="shared" si="0"/>
        <v>8</v>
      </c>
      <c r="G29" s="32">
        <f>'JANVIER 2015'!G28+'FEVRIER 2015'!G27+'Mars 2015'!G29+'Avril 2015'!G29+'Mai 2015'!G29+'Juin 2015'!G29+'Juillet 2015'!G29+'Aout 2015'!G27+'Septembre 2015'!G29+'Octobre 2015'!G29+'Novembre 2015'!G29+'Decembre 2015'!G29</f>
        <v>2</v>
      </c>
      <c r="H29" s="24">
        <f>'JANVIER 2015'!H28+'FEVRIER 2015'!H27+'Mars 2015'!H29+'Avril 2015'!H29+'Mai 2015'!H29+'Juin 2015'!H29+'Juillet 2015'!H29+'Aout 2015'!H27+'Septembre 2015'!H29+'Octobre 2015'!H29+'Novembre 2015'!H29+'Decembre 2015'!H29</f>
        <v>1</v>
      </c>
      <c r="I29" s="24">
        <f>'JANVIER 2015'!I28+'FEVRIER 2015'!I27+'Mars 2015'!I29+'Avril 2015'!I29+'Mai 2015'!I29+'Juin 2015'!I29+'Juillet 2015'!I29+'Aout 2015'!I27+'Septembre 2015'!I29+'Octobre 2015'!I29+'Novembre 2015'!I29+'Decembre 2015'!I29</f>
        <v>0</v>
      </c>
      <c r="J29" s="24">
        <f>'JANVIER 2015'!J28+'FEVRIER 2015'!J27+'Mars 2015'!J29+'Avril 2015'!J29+'Mai 2015'!J29+'Juin 2015'!J29+'Juillet 2015'!J29+'Aout 2015'!J27+'Septembre 2015'!J29+'Octobre 2015'!J29+'Novembre 2015'!J29+'Decembre 2015'!J29</f>
        <v>0</v>
      </c>
      <c r="K29" s="17">
        <f t="shared" si="1"/>
        <v>3</v>
      </c>
      <c r="L29" s="7">
        <f t="shared" si="2"/>
        <v>11</v>
      </c>
    </row>
    <row r="30" spans="1:12" ht="15.75" thickBot="1">
      <c r="A30" s="8">
        <v>21</v>
      </c>
      <c r="B30" s="23">
        <f>'JANVIER 2015'!B29+'FEVRIER 2015'!B28+'Mars 2015'!B30+'Avril 2015'!B30+'Mai 2015'!B30+'Juin 2015'!B30+'Juillet 2015'!B30+'Aout 2015'!B28+'Septembre 2015'!B30+'Octobre 2015'!B30+'Novembre 2015'!B30+'Decembre 2015'!B30</f>
        <v>2</v>
      </c>
      <c r="C30" s="24">
        <f>'JANVIER 2015'!C29+'FEVRIER 2015'!C28+'Mars 2015'!C30+'Avril 2015'!C30+'Mai 2015'!C30+'Juin 2015'!C30+'Juillet 2015'!C30+'Aout 2015'!C28+'Septembre 2015'!C30+'Octobre 2015'!C30+'Novembre 2015'!C30+'Decembre 2015'!C30</f>
        <v>0</v>
      </c>
      <c r="D30" s="24">
        <f>'JANVIER 2015'!D29+'FEVRIER 2015'!D28+'Mars 2015'!D30+'Avril 2015'!D30+'Mai 2015'!D30+'Juin 2015'!D30+'Juillet 2015'!D30+'Aout 2015'!D28+'Septembre 2015'!D30+'Octobre 2015'!D30+'Novembre 2015'!D30+'Decembre 2015'!D30</f>
        <v>0</v>
      </c>
      <c r="E30" s="25">
        <f>'JANVIER 2015'!E29+'FEVRIER 2015'!E28+'Mars 2015'!E30+'Avril 2015'!E30+'Mai 2015'!E30+'Juin 2015'!E30+'Juillet 2015'!E30+'Aout 2015'!E28+'Septembre 2015'!E30+'Octobre 2015'!E30+'Novembre 2015'!E30+'Decembre 2015'!E30</f>
        <v>0</v>
      </c>
      <c r="F30" s="19">
        <f t="shared" si="0"/>
        <v>2</v>
      </c>
      <c r="G30" s="32">
        <f>'JANVIER 2015'!G29+'FEVRIER 2015'!G28+'Mars 2015'!G30+'Avril 2015'!G30+'Mai 2015'!G30+'Juin 2015'!G30+'Juillet 2015'!G30+'Aout 2015'!G28+'Septembre 2015'!G30+'Octobre 2015'!G30+'Novembre 2015'!G30+'Decembre 2015'!G30</f>
        <v>16</v>
      </c>
      <c r="H30" s="24">
        <f>'JANVIER 2015'!H29+'FEVRIER 2015'!H28+'Mars 2015'!H30+'Avril 2015'!H30+'Mai 2015'!H30+'Juin 2015'!H30+'Juillet 2015'!H30+'Aout 2015'!H28+'Septembre 2015'!H30+'Octobre 2015'!H30+'Novembre 2015'!H30+'Decembre 2015'!H30</f>
        <v>1</v>
      </c>
      <c r="I30" s="24">
        <f>'JANVIER 2015'!I29+'FEVRIER 2015'!I28+'Mars 2015'!I30+'Avril 2015'!I30+'Mai 2015'!I30+'Juin 2015'!I30+'Juillet 2015'!I30+'Aout 2015'!I28+'Septembre 2015'!I30+'Octobre 2015'!I30+'Novembre 2015'!I30+'Decembre 2015'!I30</f>
        <v>0</v>
      </c>
      <c r="J30" s="24">
        <f>'JANVIER 2015'!J29+'FEVRIER 2015'!J28+'Mars 2015'!J30+'Avril 2015'!J30+'Mai 2015'!J30+'Juin 2015'!J30+'Juillet 2015'!J30+'Aout 2015'!J28+'Septembre 2015'!J30+'Octobre 2015'!J30+'Novembre 2015'!J30+'Decembre 2015'!J30</f>
        <v>0</v>
      </c>
      <c r="K30" s="17">
        <f t="shared" si="1"/>
        <v>17</v>
      </c>
      <c r="L30" s="7">
        <f t="shared" si="2"/>
        <v>19</v>
      </c>
    </row>
    <row r="31" spans="1:12" ht="15.75" thickBot="1">
      <c r="A31" s="8">
        <v>22</v>
      </c>
      <c r="B31" s="23">
        <f>'JANVIER 2015'!B30+'FEVRIER 2015'!B29+'Mars 2015'!B31+'Avril 2015'!B31+'Mai 2015'!B31+'Juin 2015'!B31+'Juillet 2015'!B31+'Aout 2015'!B29+'Septembre 2015'!B31+'Octobre 2015'!B31+'Novembre 2015'!B31+'Decembre 2015'!B31</f>
        <v>7</v>
      </c>
      <c r="C31" s="24">
        <f>'JANVIER 2015'!C30+'FEVRIER 2015'!C29+'Mars 2015'!C31+'Avril 2015'!C31+'Mai 2015'!C31+'Juin 2015'!C31+'Juillet 2015'!C31+'Aout 2015'!C29+'Septembre 2015'!C31+'Octobre 2015'!C31+'Novembre 2015'!C31+'Decembre 2015'!C31</f>
        <v>0</v>
      </c>
      <c r="D31" s="24">
        <f>'JANVIER 2015'!D30+'FEVRIER 2015'!D29+'Mars 2015'!D31+'Avril 2015'!D31+'Mai 2015'!D31+'Juin 2015'!D31+'Juillet 2015'!D31+'Aout 2015'!D29+'Septembre 2015'!D31+'Octobre 2015'!D31+'Novembre 2015'!D31+'Decembre 2015'!D31</f>
        <v>2</v>
      </c>
      <c r="E31" s="62">
        <f>'JANVIER 2015'!E30+'FEVRIER 2015'!E29+'Mars 2015'!E31+'Avril 2015'!E31+'Mai 2015'!E31+'Juin 2015'!E31+'Juillet 2015'!E31+'Aout 2015'!E29+'Septembre 2015'!E31+'Octobre 2015'!E31+'Novembre 2015'!E31+'Decembre 2015'!E31</f>
        <v>1</v>
      </c>
      <c r="F31" s="19">
        <f t="shared" si="0"/>
        <v>10</v>
      </c>
      <c r="G31" s="32">
        <f>'JANVIER 2015'!G30+'FEVRIER 2015'!G29+'Mars 2015'!G31+'Avril 2015'!G31+'Mai 2015'!G31+'Juin 2015'!G31+'Juillet 2015'!G31+'Aout 2015'!G29+'Septembre 2015'!G31+'Octobre 2015'!G31+'Novembre 2015'!G31+'Decembre 2015'!G31</f>
        <v>14</v>
      </c>
      <c r="H31" s="24">
        <f>'JANVIER 2015'!H30+'FEVRIER 2015'!H29+'Mars 2015'!H31+'Avril 2015'!H31+'Mai 2015'!H31+'Juin 2015'!H31+'Juillet 2015'!H31+'Aout 2015'!H29+'Septembre 2015'!H31+'Octobre 2015'!H31+'Novembre 2015'!H31+'Decembre 2015'!H31</f>
        <v>0</v>
      </c>
      <c r="I31" s="24">
        <f>'JANVIER 2015'!I30+'FEVRIER 2015'!I29+'Mars 2015'!I31+'Avril 2015'!I31+'Mai 2015'!I31+'Juin 2015'!I31+'Juillet 2015'!I31+'Aout 2015'!I29+'Septembre 2015'!I31+'Octobre 2015'!I31+'Novembre 2015'!I31+'Decembre 2015'!I31</f>
        <v>1</v>
      </c>
      <c r="J31" s="24">
        <f>'JANVIER 2015'!J30+'FEVRIER 2015'!J29+'Mars 2015'!J31+'Avril 2015'!J31+'Mai 2015'!J31+'Juin 2015'!J31+'Juillet 2015'!J31+'Aout 2015'!J29+'Septembre 2015'!J31+'Octobre 2015'!J31+'Novembre 2015'!J31+'Decembre 2015'!J31</f>
        <v>0</v>
      </c>
      <c r="K31" s="17">
        <f t="shared" si="1"/>
        <v>15</v>
      </c>
      <c r="L31" s="7">
        <f t="shared" si="2"/>
        <v>25</v>
      </c>
    </row>
    <row r="32" spans="1:12" ht="15.75" thickBot="1">
      <c r="A32" s="8">
        <v>23</v>
      </c>
      <c r="B32" s="23">
        <f>'JANVIER 2015'!B31+'FEVRIER 2015'!B30+'Mars 2015'!B32+'Avril 2015'!B32+'Mai 2015'!B32+'Juin 2015'!B32+'Juillet 2015'!B32+'Aout 2015'!B30+'Septembre 2015'!B32+'Octobre 2015'!B32+'Novembre 2015'!B32+'Decembre 2015'!B32</f>
        <v>7</v>
      </c>
      <c r="C32" s="24">
        <f>'JANVIER 2015'!C31+'FEVRIER 2015'!C30+'Mars 2015'!C32+'Avril 2015'!C32+'Mai 2015'!C32+'Juin 2015'!C32+'Juillet 2015'!C32+'Aout 2015'!C30+'Septembre 2015'!C32+'Octobre 2015'!C32+'Novembre 2015'!C32+'Decembre 2015'!C32</f>
        <v>0</v>
      </c>
      <c r="D32" s="24">
        <f>'JANVIER 2015'!D31+'FEVRIER 2015'!D30+'Mars 2015'!D32+'Avril 2015'!D32+'Mai 2015'!D32+'Juin 2015'!D32+'Juillet 2015'!D32+'Aout 2015'!D30+'Septembre 2015'!D32+'Octobre 2015'!D32+'Novembre 2015'!D32+'Decembre 2015'!D32</f>
        <v>1</v>
      </c>
      <c r="E32" s="25">
        <f>'JANVIER 2015'!E31+'FEVRIER 2015'!E30+'Mars 2015'!E32+'Avril 2015'!E32+'Mai 2015'!E32+'Juin 2015'!E32+'Juillet 2015'!E32+'Aout 2015'!E30+'Septembre 2015'!E32+'Octobre 2015'!E32+'Novembre 2015'!E32+'Decembre 2015'!E32</f>
        <v>0</v>
      </c>
      <c r="F32" s="19">
        <f t="shared" si="0"/>
        <v>8</v>
      </c>
      <c r="G32" s="32">
        <f>'JANVIER 2015'!G31+'FEVRIER 2015'!G30+'Mars 2015'!G32+'Avril 2015'!G32+'Mai 2015'!G32+'Juin 2015'!G32+'Juillet 2015'!G32+'Aout 2015'!G30+'Septembre 2015'!G32+'Octobre 2015'!G32+'Novembre 2015'!G32+'Decembre 2015'!G32</f>
        <v>31</v>
      </c>
      <c r="H32" s="24">
        <f>'JANVIER 2015'!H31+'FEVRIER 2015'!H30+'Mars 2015'!H32+'Avril 2015'!H32+'Mai 2015'!H32+'Juin 2015'!H32+'Juillet 2015'!H32+'Aout 2015'!H30+'Septembre 2015'!H32+'Octobre 2015'!H32+'Novembre 2015'!H32+'Decembre 2015'!H32</f>
        <v>1</v>
      </c>
      <c r="I32" s="24">
        <f>'JANVIER 2015'!I31+'FEVRIER 2015'!I30+'Mars 2015'!I32+'Avril 2015'!I32+'Mai 2015'!I32+'Juin 2015'!I32+'Juillet 2015'!I32+'Aout 2015'!I30+'Septembre 2015'!I32+'Octobre 2015'!I32+'Novembre 2015'!I32+'Decembre 2015'!I32</f>
        <v>1</v>
      </c>
      <c r="J32" s="24">
        <f>'JANVIER 2015'!J31+'FEVRIER 2015'!J30+'Mars 2015'!J32+'Avril 2015'!J32+'Mai 2015'!J32+'Juin 2015'!J32+'Juillet 2015'!J32+'Aout 2015'!J30+'Septembre 2015'!J32+'Octobre 2015'!J32+'Novembre 2015'!J32+'Decembre 2015'!J32</f>
        <v>0</v>
      </c>
      <c r="K32" s="17">
        <f t="shared" si="1"/>
        <v>33</v>
      </c>
      <c r="L32" s="7">
        <f t="shared" si="2"/>
        <v>41</v>
      </c>
    </row>
    <row r="33" spans="1:14" ht="15.75" thickBot="1">
      <c r="A33" s="8">
        <v>24</v>
      </c>
      <c r="B33" s="23">
        <f>'JANVIER 2015'!B32+'FEVRIER 2015'!B31+'Mars 2015'!B33+'Avril 2015'!B33+'Mai 2015'!B33+'Juin 2015'!B33+'Juillet 2015'!B33+'Aout 2015'!B31+'Septembre 2015'!B33+'Octobre 2015'!B33+'Novembre 2015'!B33+'Decembre 2015'!B33</f>
        <v>3</v>
      </c>
      <c r="C33" s="24">
        <f>'JANVIER 2015'!C32+'FEVRIER 2015'!C31+'Mars 2015'!C33+'Avril 2015'!C33+'Mai 2015'!C33+'Juin 2015'!C33+'Juillet 2015'!C33+'Aout 2015'!C31+'Septembre 2015'!C33+'Octobre 2015'!C33+'Novembre 2015'!C33+'Decembre 2015'!C33</f>
        <v>0</v>
      </c>
      <c r="D33" s="24">
        <f>'JANVIER 2015'!D32+'FEVRIER 2015'!D31+'Mars 2015'!D33+'Avril 2015'!D33+'Mai 2015'!D33+'Juin 2015'!D33+'Juillet 2015'!D33+'Aout 2015'!D31+'Septembre 2015'!D33+'Octobre 2015'!D33+'Novembre 2015'!D33+'Decembre 2015'!D33</f>
        <v>0</v>
      </c>
      <c r="E33" s="25">
        <f>'JANVIER 2015'!E32+'FEVRIER 2015'!E31+'Mars 2015'!E33+'Avril 2015'!E33+'Mai 2015'!E33+'Juin 2015'!E33+'Juillet 2015'!E33+'Aout 2015'!E31+'Septembre 2015'!E33+'Octobre 2015'!E33+'Novembre 2015'!E33+'Decembre 2015'!E33</f>
        <v>0</v>
      </c>
      <c r="F33" s="19">
        <f t="shared" si="0"/>
        <v>3</v>
      </c>
      <c r="G33" s="32">
        <f>'JANVIER 2015'!G32+'FEVRIER 2015'!G31+'Mars 2015'!G33+'Avril 2015'!G33+'Mai 2015'!G33+'Juin 2015'!G33+'Juillet 2015'!G33+'Aout 2015'!G31+'Septembre 2015'!G33+'Octobre 2015'!G33+'Novembre 2015'!G33+'Decembre 2015'!G33</f>
        <v>2</v>
      </c>
      <c r="H33" s="24">
        <f>'JANVIER 2015'!H32+'FEVRIER 2015'!H31+'Mars 2015'!H33+'Avril 2015'!H33+'Mai 2015'!H33+'Juin 2015'!H33+'Juillet 2015'!H33+'Aout 2015'!H31+'Septembre 2015'!H33+'Octobre 2015'!H33+'Novembre 2015'!H33+'Decembre 2015'!H33</f>
        <v>0</v>
      </c>
      <c r="I33" s="24">
        <f>'JANVIER 2015'!I32+'FEVRIER 2015'!I31+'Mars 2015'!I33+'Avril 2015'!I33+'Mai 2015'!I33+'Juin 2015'!I33+'Juillet 2015'!I33+'Aout 2015'!I31+'Septembre 2015'!I33+'Octobre 2015'!I33+'Novembre 2015'!I33+'Decembre 2015'!I33</f>
        <v>0</v>
      </c>
      <c r="J33" s="24">
        <f>'JANVIER 2015'!J32+'FEVRIER 2015'!J31+'Mars 2015'!J33+'Avril 2015'!J33+'Mai 2015'!J33+'Juin 2015'!J33+'Juillet 2015'!J33+'Aout 2015'!J31+'Septembre 2015'!J33+'Octobre 2015'!J33+'Novembre 2015'!J33+'Decembre 2015'!J33</f>
        <v>0</v>
      </c>
      <c r="K33" s="17">
        <f t="shared" si="1"/>
        <v>2</v>
      </c>
      <c r="L33" s="7">
        <f t="shared" si="2"/>
        <v>5</v>
      </c>
    </row>
    <row r="34" spans="1:14" ht="15.75" thickBot="1">
      <c r="A34" s="8">
        <v>25</v>
      </c>
      <c r="B34" s="23">
        <f>'JANVIER 2015'!B33+'FEVRIER 2015'!B32+'Mars 2015'!B34+'Avril 2015'!B34+'Mai 2015'!B34+'Juin 2015'!B34+'Juillet 2015'!B34+'Aout 2015'!B32+'Septembre 2015'!B34+'Octobre 2015'!B34+'Novembre 2015'!B34+'Decembre 2015'!B34</f>
        <v>10</v>
      </c>
      <c r="C34" s="24">
        <f>'JANVIER 2015'!C33+'FEVRIER 2015'!C32+'Mars 2015'!C34+'Avril 2015'!C34+'Mai 2015'!C34+'Juin 2015'!C34+'Juillet 2015'!C34+'Aout 2015'!C32+'Septembre 2015'!C34+'Octobre 2015'!C34+'Novembre 2015'!C34+'Decembre 2015'!C34</f>
        <v>0</v>
      </c>
      <c r="D34" s="24">
        <f>'JANVIER 2015'!D33+'FEVRIER 2015'!D32+'Mars 2015'!D34+'Avril 2015'!D34+'Mai 2015'!D34+'Juin 2015'!D34+'Juillet 2015'!D34+'Aout 2015'!D32+'Septembre 2015'!D34+'Octobre 2015'!D34+'Novembre 2015'!D34+'Decembre 2015'!D34</f>
        <v>3</v>
      </c>
      <c r="E34" s="25">
        <f>'JANVIER 2015'!E33+'FEVRIER 2015'!E32+'Mars 2015'!E34+'Avril 2015'!E34+'Mai 2015'!E34+'Juin 2015'!E34+'Juillet 2015'!E34+'Aout 2015'!E32+'Septembre 2015'!E34+'Octobre 2015'!E34+'Novembre 2015'!E34+'Decembre 2015'!E34</f>
        <v>0</v>
      </c>
      <c r="F34" s="19">
        <f t="shared" si="0"/>
        <v>13</v>
      </c>
      <c r="G34" s="32">
        <f>'JANVIER 2015'!G33+'FEVRIER 2015'!G32+'Mars 2015'!G34+'Avril 2015'!G34+'Mai 2015'!G34+'Juin 2015'!G34+'Juillet 2015'!G34+'Aout 2015'!G32+'Septembre 2015'!G34+'Octobre 2015'!G34+'Novembre 2015'!G34+'Decembre 2015'!G34</f>
        <v>28</v>
      </c>
      <c r="H34" s="24">
        <f>'JANVIER 2015'!H33+'FEVRIER 2015'!H32+'Mars 2015'!H34+'Avril 2015'!H34+'Mai 2015'!H34+'Juin 2015'!H34+'Juillet 2015'!H34+'Aout 2015'!H32+'Septembre 2015'!H34+'Octobre 2015'!H34+'Novembre 2015'!H34+'Decembre 2015'!H34</f>
        <v>0</v>
      </c>
      <c r="I34" s="24">
        <f>'JANVIER 2015'!I33+'FEVRIER 2015'!I32+'Mars 2015'!I34+'Avril 2015'!I34+'Mai 2015'!I34+'Juin 2015'!I34+'Juillet 2015'!I34+'Aout 2015'!I32+'Septembre 2015'!I34+'Octobre 2015'!I34+'Novembre 2015'!I34+'Decembre 2015'!I34</f>
        <v>1</v>
      </c>
      <c r="J34" s="24">
        <f>'JANVIER 2015'!J33+'FEVRIER 2015'!J32+'Mars 2015'!J34+'Avril 2015'!J34+'Mai 2015'!J34+'Juin 2015'!J34+'Juillet 2015'!J34+'Aout 2015'!J32+'Septembre 2015'!J34+'Octobre 2015'!J34+'Novembre 2015'!J34+'Decembre 2015'!J34</f>
        <v>0</v>
      </c>
      <c r="K34" s="17">
        <f t="shared" si="1"/>
        <v>29</v>
      </c>
      <c r="L34" s="7">
        <f t="shared" si="2"/>
        <v>42</v>
      </c>
    </row>
    <row r="35" spans="1:14" ht="15.75" thickBot="1">
      <c r="A35" s="8">
        <v>26</v>
      </c>
      <c r="B35" s="23">
        <f>'JANVIER 2015'!B34+'FEVRIER 2015'!B33+'Mars 2015'!B35+'Avril 2015'!B35+'Mai 2015'!B35+'Juin 2015'!B35+'Juillet 2015'!B35+'Aout 2015'!B33+'Septembre 2015'!B35+'Octobre 2015'!B35+'Novembre 2015'!B35+'Decembre 2015'!B35</f>
        <v>2</v>
      </c>
      <c r="C35" s="24">
        <f>'JANVIER 2015'!C34+'FEVRIER 2015'!C33+'Mars 2015'!C35+'Avril 2015'!C35+'Mai 2015'!C35+'Juin 2015'!C35+'Juillet 2015'!C35+'Aout 2015'!C33+'Septembre 2015'!C35+'Octobre 2015'!C35+'Novembre 2015'!C35+'Decembre 2015'!C35</f>
        <v>1</v>
      </c>
      <c r="D35" s="24">
        <f>'JANVIER 2015'!D34+'FEVRIER 2015'!D33+'Mars 2015'!D35+'Avril 2015'!D35+'Mai 2015'!D35+'Juin 2015'!D35+'Juillet 2015'!D35+'Aout 2015'!D33+'Septembre 2015'!D35+'Octobre 2015'!D35+'Novembre 2015'!D35+'Decembre 2015'!D35</f>
        <v>0</v>
      </c>
      <c r="E35" s="25">
        <f>'JANVIER 2015'!E34+'FEVRIER 2015'!E33+'Mars 2015'!E35+'Avril 2015'!E35+'Mai 2015'!E35+'Juin 2015'!E35+'Juillet 2015'!E35+'Aout 2015'!E33+'Septembre 2015'!E35+'Octobre 2015'!E35+'Novembre 2015'!E35+'Decembre 2015'!E35</f>
        <v>0</v>
      </c>
      <c r="F35" s="19">
        <f t="shared" si="0"/>
        <v>3</v>
      </c>
      <c r="G35" s="32">
        <f>'JANVIER 2015'!G34+'FEVRIER 2015'!G33+'Mars 2015'!G35+'Avril 2015'!G35+'Mai 2015'!G35+'Juin 2015'!G35+'Juillet 2015'!G35+'Aout 2015'!G33+'Septembre 2015'!G35+'Octobre 2015'!G35+'Novembre 2015'!G35+'Decembre 2015'!G35</f>
        <v>9</v>
      </c>
      <c r="H35" s="24">
        <f>'JANVIER 2015'!H34+'FEVRIER 2015'!H33+'Mars 2015'!H35+'Avril 2015'!H35+'Mai 2015'!H35+'Juin 2015'!H35+'Juillet 2015'!H35+'Aout 2015'!H33+'Septembre 2015'!H35+'Octobre 2015'!H35+'Novembre 2015'!H35+'Decembre 2015'!H35</f>
        <v>2</v>
      </c>
      <c r="I35" s="24">
        <f>'JANVIER 2015'!I34+'FEVRIER 2015'!I33+'Mars 2015'!I35+'Avril 2015'!I35+'Mai 2015'!I35+'Juin 2015'!I35+'Juillet 2015'!I35+'Aout 2015'!I33+'Septembre 2015'!I35+'Octobre 2015'!I35+'Novembre 2015'!I35+'Decembre 2015'!I35</f>
        <v>1</v>
      </c>
      <c r="J35" s="24">
        <f>'JANVIER 2015'!J34+'FEVRIER 2015'!J33+'Mars 2015'!J35+'Avril 2015'!J35+'Mai 2015'!J35+'Juin 2015'!J35+'Juillet 2015'!J35+'Aout 2015'!J33+'Septembre 2015'!J35+'Octobre 2015'!J35+'Novembre 2015'!J35+'Decembre 2015'!J35</f>
        <v>0</v>
      </c>
      <c r="K35" s="17">
        <f t="shared" si="1"/>
        <v>12</v>
      </c>
      <c r="L35" s="7">
        <f t="shared" si="2"/>
        <v>15</v>
      </c>
    </row>
    <row r="36" spans="1:14" ht="15.75" thickBot="1">
      <c r="A36" s="8">
        <v>27</v>
      </c>
      <c r="B36" s="71">
        <f>'JANVIER 2015'!B35+'FEVRIER 2015'!B34+'Mars 2015'!B36+'Avril 2015'!B36+'Mai 2015'!B36+'Juin 2015'!B36+'Juillet 2015'!B36+'Aout 2015'!B34+'Septembre 2015'!B36+'Octobre 2015'!B36+'Novembre 2015'!B36+'Decembre 2015'!B36</f>
        <v>9</v>
      </c>
      <c r="C36" s="24">
        <f>'JANVIER 2015'!C35+'FEVRIER 2015'!C34+'Mars 2015'!C36+'Avril 2015'!C36+'Mai 2015'!C36+'Juin 2015'!C36+'Juillet 2015'!C36+'Aout 2015'!C34+'Septembre 2015'!C36+'Octobre 2015'!C36+'Novembre 2015'!C36+'Decembre 2015'!C36</f>
        <v>0</v>
      </c>
      <c r="D36" s="24">
        <f>'JANVIER 2015'!D35+'FEVRIER 2015'!D34+'Mars 2015'!D36+'Avril 2015'!D36+'Mai 2015'!D36+'Juin 2015'!D36+'Juillet 2015'!D36+'Aout 2015'!D34+'Septembre 2015'!D36+'Octobre 2015'!D36+'Novembre 2015'!D36+'Decembre 2015'!D36</f>
        <v>0</v>
      </c>
      <c r="E36" s="25">
        <f>'JANVIER 2015'!E35+'FEVRIER 2015'!E34+'Mars 2015'!E36+'Avril 2015'!E36+'Mai 2015'!E36+'Juin 2015'!E36+'Juillet 2015'!E36+'Aout 2015'!E34+'Septembre 2015'!E36+'Octobre 2015'!E36+'Novembre 2015'!E36+'Decembre 2015'!E36</f>
        <v>0</v>
      </c>
      <c r="F36" s="19">
        <f t="shared" si="0"/>
        <v>9</v>
      </c>
      <c r="G36" s="47">
        <f>'JANVIER 2015'!G35+'FEVRIER 2015'!G34+'Mars 2015'!G36+'Avril 2015'!G36+'Mai 2015'!G36+'Juin 2015'!G36+'Juillet 2015'!G36+'Aout 2015'!G34+'Septembre 2015'!G36+'Octobre 2015'!G36+'Novembre 2015'!G36+'Decembre 2015'!G36</f>
        <v>20</v>
      </c>
      <c r="H36" s="24">
        <f>'JANVIER 2015'!H35+'FEVRIER 2015'!H34+'Mars 2015'!H36+'Avril 2015'!H36+'Mai 2015'!H36+'Juin 2015'!H36+'Juillet 2015'!H36+'Aout 2015'!H34+'Septembre 2015'!H36+'Octobre 2015'!H36+'Novembre 2015'!H36+'Decembre 2015'!H36</f>
        <v>2</v>
      </c>
      <c r="I36" s="24">
        <f>'JANVIER 2015'!I35+'FEVRIER 2015'!I34+'Mars 2015'!I36+'Avril 2015'!I36+'Mai 2015'!I36+'Juin 2015'!I36+'Juillet 2015'!I36+'Aout 2015'!I34+'Septembre 2015'!I36+'Octobre 2015'!I36+'Novembre 2015'!I36+'Decembre 2015'!I36</f>
        <v>0</v>
      </c>
      <c r="J36" s="24">
        <f>'JANVIER 2015'!J35+'FEVRIER 2015'!J34+'Mars 2015'!J36+'Avril 2015'!J36+'Mai 2015'!J36+'Juin 2015'!J36+'Juillet 2015'!J36+'Aout 2015'!J34+'Septembre 2015'!J36+'Octobre 2015'!J36+'Novembre 2015'!J36+'Decembre 2015'!J36</f>
        <v>0</v>
      </c>
      <c r="K36" s="17">
        <f t="shared" si="1"/>
        <v>22</v>
      </c>
      <c r="L36" s="7">
        <f t="shared" si="2"/>
        <v>31</v>
      </c>
    </row>
    <row r="37" spans="1:14" ht="15.75" thickBot="1">
      <c r="A37" s="8">
        <v>28</v>
      </c>
      <c r="B37" s="23">
        <f>'JANVIER 2015'!B36+'FEVRIER 2015'!B35+'Mars 2015'!B37+'Avril 2015'!B37+'Mai 2015'!B37+'Juin 2015'!B37+'Juillet 2015'!B37+'Aout 2015'!B35+'Septembre 2015'!B37+'Octobre 2015'!B37+'Novembre 2015'!B37+'Decembre 2015'!B37</f>
        <v>11</v>
      </c>
      <c r="C37" s="24">
        <f>'JANVIER 2015'!C36+'FEVRIER 2015'!C35+'Mars 2015'!C37+'Avril 2015'!C37+'Mai 2015'!C37+'Juin 2015'!C37+'Juillet 2015'!C37+'Aout 2015'!C35+'Septembre 2015'!C37+'Octobre 2015'!C37+'Novembre 2015'!C37+'Decembre 2015'!C37</f>
        <v>2</v>
      </c>
      <c r="D37" s="24">
        <f>'JANVIER 2015'!D36+'FEVRIER 2015'!D35+'Mars 2015'!D37+'Avril 2015'!D37+'Mai 2015'!D37+'Juin 2015'!D37+'Juillet 2015'!D37+'Aout 2015'!D35+'Septembre 2015'!D37+'Octobre 2015'!D37+'Novembre 2015'!D37+'Decembre 2015'!D37</f>
        <v>3</v>
      </c>
      <c r="E37" s="25">
        <f>'JANVIER 2015'!E36+'FEVRIER 2015'!E35+'Mars 2015'!E37+'Avril 2015'!E37+'Mai 2015'!E37+'Juin 2015'!E37+'Juillet 2015'!E37+'Aout 2015'!E35+'Septembre 2015'!E37+'Octobre 2015'!E37+'Novembre 2015'!E37+'Decembre 2015'!E37</f>
        <v>0</v>
      </c>
      <c r="F37" s="19">
        <f t="shared" si="0"/>
        <v>16</v>
      </c>
      <c r="G37" s="32">
        <f>'JANVIER 2015'!G36+'FEVRIER 2015'!G35+'Mars 2015'!G37+'Avril 2015'!G37+'Mai 2015'!G37+'Juin 2015'!G37+'Juillet 2015'!G37+'Aout 2015'!G35+'Septembre 2015'!G37+'Octobre 2015'!G37+'Novembre 2015'!G37+'Decembre 2015'!G37</f>
        <v>16</v>
      </c>
      <c r="H37" s="24">
        <f>'JANVIER 2015'!H36+'FEVRIER 2015'!H35+'Mars 2015'!H37+'Avril 2015'!H37+'Mai 2015'!H37+'Juin 2015'!H37+'Juillet 2015'!H37+'Aout 2015'!H35+'Septembre 2015'!H37+'Octobre 2015'!H37+'Novembre 2015'!H37+'Decembre 2015'!H37</f>
        <v>0</v>
      </c>
      <c r="I37" s="24">
        <f>'JANVIER 2015'!I36+'FEVRIER 2015'!I35+'Mars 2015'!I37+'Avril 2015'!I37+'Mai 2015'!I37+'Juin 2015'!I37+'Juillet 2015'!I37+'Aout 2015'!I35+'Septembre 2015'!I37+'Octobre 2015'!I37+'Novembre 2015'!I37+'Decembre 2015'!I37</f>
        <v>0</v>
      </c>
      <c r="J37" s="24">
        <f>'JANVIER 2015'!J36+'FEVRIER 2015'!J35+'Mars 2015'!J37+'Avril 2015'!J37+'Mai 2015'!J37+'Juin 2015'!J37+'Juillet 2015'!J37+'Aout 2015'!J35+'Septembre 2015'!J37+'Octobre 2015'!J37+'Novembre 2015'!J37+'Decembre 2015'!J37</f>
        <v>0</v>
      </c>
      <c r="K37" s="17">
        <f t="shared" si="1"/>
        <v>16</v>
      </c>
      <c r="L37" s="7">
        <f t="shared" si="2"/>
        <v>32</v>
      </c>
    </row>
    <row r="38" spans="1:14" ht="15.75" thickBot="1">
      <c r="A38" s="8">
        <v>29</v>
      </c>
      <c r="B38" s="23">
        <f>'JANVIER 2015'!B37+'FEVRIER 2015'!B36+'Mars 2015'!B38+'Avril 2015'!B38+'Mai 2015'!B38+'Juin 2015'!B38+'Juillet 2015'!B38+'Aout 2015'!B36+'Septembre 2015'!B38+'Octobre 2015'!B38+'Novembre 2015'!B38+'Decembre 2015'!B38</f>
        <v>13</v>
      </c>
      <c r="C38" s="24">
        <f>'JANVIER 2015'!C37+'FEVRIER 2015'!C36+'Mars 2015'!C38+'Avril 2015'!C38+'Mai 2015'!C38+'Juin 2015'!C38+'Juillet 2015'!C38+'Aout 2015'!C36+'Septembre 2015'!C38+'Octobre 2015'!C38+'Novembre 2015'!C38+'Decembre 2015'!C38</f>
        <v>0</v>
      </c>
      <c r="D38" s="24">
        <f>'JANVIER 2015'!D37+'FEVRIER 2015'!D36+'Mars 2015'!D38+'Avril 2015'!D38+'Mai 2015'!D38+'Juin 2015'!D38+'Juillet 2015'!D38+'Aout 2015'!D36+'Septembre 2015'!D38+'Octobre 2015'!D38+'Novembre 2015'!D38+'Decembre 2015'!D38</f>
        <v>1</v>
      </c>
      <c r="E38" s="25">
        <f>'JANVIER 2015'!E37+'FEVRIER 2015'!E36+'Mars 2015'!E38+'Avril 2015'!E38+'Mai 2015'!E38+'Juin 2015'!E38+'Juillet 2015'!E38+'Aout 2015'!E36+'Septembre 2015'!E38+'Octobre 2015'!E38+'Novembre 2015'!E38+'Decembre 2015'!E38</f>
        <v>0</v>
      </c>
      <c r="F38" s="19">
        <f t="shared" si="0"/>
        <v>14</v>
      </c>
      <c r="G38" s="32">
        <f>'JANVIER 2015'!G37+'FEVRIER 2015'!G36+'Mars 2015'!G38+'Avril 2015'!G38+'Mai 2015'!G38+'Juin 2015'!G38+'Juillet 2015'!G38+'Aout 2015'!G36+'Septembre 2015'!G38+'Octobre 2015'!G38+'Novembre 2015'!G38+'Decembre 2015'!G38</f>
        <v>20</v>
      </c>
      <c r="H38" s="24">
        <f>'JANVIER 2015'!H37+'FEVRIER 2015'!H36+'Mars 2015'!H38+'Avril 2015'!H38+'Mai 2015'!H38+'Juin 2015'!H38+'Juillet 2015'!H38+'Aout 2015'!H36+'Septembre 2015'!H38+'Octobre 2015'!H38+'Novembre 2015'!H38+'Decembre 2015'!H38</f>
        <v>2</v>
      </c>
      <c r="I38" s="24">
        <f>'JANVIER 2015'!I37+'FEVRIER 2015'!I36+'Mars 2015'!I38+'Avril 2015'!I38+'Mai 2015'!I38+'Juin 2015'!I38+'Juillet 2015'!I38+'Aout 2015'!I36+'Septembre 2015'!I38+'Octobre 2015'!I38+'Novembre 2015'!I38+'Decembre 2015'!I38</f>
        <v>1</v>
      </c>
      <c r="J38" s="24">
        <f>'JANVIER 2015'!J37+'FEVRIER 2015'!J36+'Mars 2015'!J38+'Avril 2015'!J38+'Mai 2015'!J38+'Juin 2015'!J38+'Juillet 2015'!J38+'Aout 2015'!J36+'Septembre 2015'!J38+'Octobre 2015'!J38+'Novembre 2015'!J38+'Decembre 2015'!J38</f>
        <v>0</v>
      </c>
      <c r="K38" s="17">
        <f t="shared" si="1"/>
        <v>23</v>
      </c>
      <c r="L38" s="7">
        <f t="shared" si="2"/>
        <v>37</v>
      </c>
    </row>
    <row r="39" spans="1:14" ht="15.75" thickBot="1">
      <c r="A39" s="8">
        <v>30</v>
      </c>
      <c r="B39" s="23">
        <f>'JANVIER 2015'!B38+'FEVRIER 2015'!B37+'Mars 2015'!B39+'Avril 2015'!B39+'Mai 2015'!B39+'Juin 2015'!B39+'Juillet 2015'!B39+'Aout 2015'!B37+'Septembre 2015'!B39+'Octobre 2015'!B39+'Novembre 2015'!B39+'Decembre 2015'!B39</f>
        <v>2</v>
      </c>
      <c r="C39" s="24">
        <f>'JANVIER 2015'!C38+'FEVRIER 2015'!C37+'Mars 2015'!C39+'Avril 2015'!C39+'Mai 2015'!C39+'Juin 2015'!C39+'Juillet 2015'!C39+'Aout 2015'!C37+'Septembre 2015'!C39+'Octobre 2015'!C39+'Novembre 2015'!C39+'Decembre 2015'!C39</f>
        <v>0</v>
      </c>
      <c r="D39" s="24">
        <f>'JANVIER 2015'!D38+'FEVRIER 2015'!D37+'Mars 2015'!D39+'Avril 2015'!D39+'Mai 2015'!D39+'Juin 2015'!D39+'Juillet 2015'!D39+'Aout 2015'!D37+'Septembre 2015'!D39+'Octobre 2015'!D39+'Novembre 2015'!D39+'Decembre 2015'!D39</f>
        <v>1</v>
      </c>
      <c r="E39" s="25">
        <f>'JANVIER 2015'!E38+'FEVRIER 2015'!E37+'Mars 2015'!E39+'Avril 2015'!E39+'Mai 2015'!E39+'Juin 2015'!E39+'Juillet 2015'!E39+'Aout 2015'!E37+'Septembre 2015'!E39+'Octobre 2015'!E39+'Novembre 2015'!E39+'Decembre 2015'!E39</f>
        <v>0</v>
      </c>
      <c r="F39" s="19">
        <f t="shared" si="0"/>
        <v>3</v>
      </c>
      <c r="G39" s="32">
        <f>'JANVIER 2015'!G38+'FEVRIER 2015'!G37+'Mars 2015'!G39+'Avril 2015'!G39+'Mai 2015'!G39+'Juin 2015'!G39+'Juillet 2015'!G39+'Aout 2015'!G37+'Septembre 2015'!G39+'Octobre 2015'!G39+'Novembre 2015'!G39+'Decembre 2015'!G39</f>
        <v>8</v>
      </c>
      <c r="H39" s="24">
        <f>'JANVIER 2015'!H38+'FEVRIER 2015'!H37+'Mars 2015'!H39+'Avril 2015'!H39+'Mai 2015'!H39+'Juin 2015'!H39+'Juillet 2015'!H39+'Aout 2015'!H37+'Septembre 2015'!H39+'Octobre 2015'!H39+'Novembre 2015'!H39+'Decembre 2015'!H39</f>
        <v>1</v>
      </c>
      <c r="I39" s="24">
        <f>'JANVIER 2015'!I38+'FEVRIER 2015'!I37+'Mars 2015'!I39+'Avril 2015'!I39+'Mai 2015'!I39+'Juin 2015'!I39+'Juillet 2015'!I39+'Aout 2015'!I37+'Septembre 2015'!I39+'Octobre 2015'!I39+'Novembre 2015'!I39+'Decembre 2015'!I39</f>
        <v>0</v>
      </c>
      <c r="J39" s="24">
        <f>'JANVIER 2015'!J38+'FEVRIER 2015'!J37+'Mars 2015'!J39+'Avril 2015'!J39+'Mai 2015'!J39+'Juin 2015'!J39+'Juillet 2015'!J39+'Aout 2015'!J37+'Septembre 2015'!J39+'Octobre 2015'!J39+'Novembre 2015'!J39+'Decembre 2015'!J39</f>
        <v>0</v>
      </c>
      <c r="K39" s="17">
        <f t="shared" si="1"/>
        <v>9</v>
      </c>
      <c r="L39" s="7">
        <f t="shared" si="2"/>
        <v>12</v>
      </c>
    </row>
    <row r="40" spans="1:14" ht="15.75" thickBot="1">
      <c r="A40" s="9">
        <v>31</v>
      </c>
      <c r="B40" s="28">
        <f>'JANVIER 2015'!B39+'FEVRIER 2015'!B38+'Mars 2015'!B40+'Avril 2015'!B40+'Mai 2015'!B40+'Juin 2015'!B40+'Juillet 2015'!B40+'Aout 2015'!B38+'Septembre 2015'!B40+'Octobre 2015'!B40+'Novembre 2015'!B40+'Decembre 2015'!B40</f>
        <v>10</v>
      </c>
      <c r="C40" s="29">
        <f>'JANVIER 2015'!C39+'FEVRIER 2015'!C38+'Mars 2015'!C40+'Avril 2015'!C40+'Mai 2015'!C40+'Juin 2015'!C40+'Juillet 2015'!C40+'Aout 2015'!C38+'Septembre 2015'!C40+'Octobre 2015'!C40+'Novembre 2015'!C40+'Decembre 2015'!C40</f>
        <v>0</v>
      </c>
      <c r="D40" s="29">
        <f>'JANVIER 2015'!D39+'FEVRIER 2015'!D38+'Mars 2015'!D40+'Avril 2015'!D40+'Mai 2015'!D40+'Juin 2015'!D40+'Juillet 2015'!D40+'Aout 2015'!D38+'Septembre 2015'!D40+'Octobre 2015'!D40+'Novembre 2015'!D40+'Decembre 2015'!D40</f>
        <v>0</v>
      </c>
      <c r="E40" s="30">
        <f>'JANVIER 2015'!E39+'FEVRIER 2015'!E38+'Mars 2015'!E40+'Avril 2015'!E40+'Mai 2015'!E40+'Juin 2015'!E40+'Juillet 2015'!E40+'Aout 2015'!E38+'Septembre 2015'!E40+'Octobre 2015'!E40+'Novembre 2015'!E40+'Decembre 2015'!E40</f>
        <v>0</v>
      </c>
      <c r="F40" s="19">
        <f t="shared" si="0"/>
        <v>10</v>
      </c>
      <c r="G40" s="32">
        <f>'JANVIER 2015'!G39+'FEVRIER 2015'!G38+'Mars 2015'!G40+'Avril 2015'!G40+'Mai 2015'!G40+'Juin 2015'!G40+'Juillet 2015'!G40+'Aout 2015'!G38+'Septembre 2015'!G40+'Octobre 2015'!G40+'Novembre 2015'!G40+'Decembre 2015'!G40</f>
        <v>6</v>
      </c>
      <c r="H40" s="24">
        <f>'JANVIER 2015'!H39+'FEVRIER 2015'!H38+'Mars 2015'!H40+'Avril 2015'!H40+'Mai 2015'!H40+'Juin 2015'!H40+'Juillet 2015'!H40+'Aout 2015'!H38+'Septembre 2015'!H40+'Octobre 2015'!H40+'Novembre 2015'!H40+'Decembre 2015'!H40</f>
        <v>0</v>
      </c>
      <c r="I40" s="24">
        <f>'JANVIER 2015'!I39+'FEVRIER 2015'!I38+'Mars 2015'!I40+'Avril 2015'!I40+'Mai 2015'!I40+'Juin 2015'!I40+'Juillet 2015'!I40+'Aout 2015'!I38+'Septembre 2015'!I40+'Octobre 2015'!I40+'Novembre 2015'!I40+'Decembre 2015'!I40</f>
        <v>0</v>
      </c>
      <c r="J40" s="24">
        <f>'JANVIER 2015'!J39+'FEVRIER 2015'!J38+'Mars 2015'!J40+'Avril 2015'!J40+'Mai 2015'!J40+'Juin 2015'!J40+'Juillet 2015'!J40+'Aout 2015'!J38+'Septembre 2015'!J40+'Octobre 2015'!J40+'Novembre 2015'!J40+'Decembre 2015'!J40</f>
        <v>0</v>
      </c>
      <c r="K40" s="17">
        <f t="shared" si="1"/>
        <v>6</v>
      </c>
      <c r="L40" s="7">
        <f t="shared" si="2"/>
        <v>16</v>
      </c>
    </row>
    <row r="41" spans="1:14" ht="15.75" thickBot="1">
      <c r="A41" s="104"/>
      <c r="B41" s="102">
        <f>SUM(B10:B40)</f>
        <v>241</v>
      </c>
      <c r="C41" s="102">
        <f t="shared" ref="C41:E41" si="3">SUM(C10:C40)</f>
        <v>8</v>
      </c>
      <c r="D41" s="102">
        <f t="shared" si="3"/>
        <v>21</v>
      </c>
      <c r="E41" s="102">
        <f t="shared" si="3"/>
        <v>5</v>
      </c>
      <c r="F41" s="101">
        <f>SUM(F10:F40)</f>
        <v>275</v>
      </c>
      <c r="G41" s="18">
        <f>SUM(G10:G40)</f>
        <v>349</v>
      </c>
      <c r="H41" s="18">
        <f t="shared" ref="H41:L41" si="4">SUM(H10:H40)</f>
        <v>19</v>
      </c>
      <c r="I41" s="18">
        <f t="shared" si="4"/>
        <v>9</v>
      </c>
      <c r="J41" s="18">
        <f t="shared" si="4"/>
        <v>2</v>
      </c>
      <c r="K41" s="18">
        <f t="shared" si="4"/>
        <v>379</v>
      </c>
      <c r="L41" s="18">
        <f t="shared" si="4"/>
        <v>654</v>
      </c>
      <c r="N41" s="100"/>
    </row>
    <row r="42" spans="1:14" ht="15.75" thickBot="1">
      <c r="A42" s="12"/>
      <c r="B42" s="12"/>
      <c r="C42" s="13"/>
      <c r="D42" s="13"/>
      <c r="E42" s="13"/>
      <c r="F42" s="12"/>
      <c r="G42" s="12"/>
      <c r="H42" s="13"/>
      <c r="I42" s="13"/>
      <c r="J42" s="13"/>
      <c r="K42" s="12"/>
      <c r="L42" s="14"/>
    </row>
    <row r="43" spans="1:14" ht="15.75" thickBot="1">
      <c r="A43" s="119"/>
      <c r="B43" s="119"/>
      <c r="C43" s="119"/>
      <c r="D43" s="119"/>
      <c r="E43" s="119"/>
      <c r="F43" s="119"/>
      <c r="G43" s="120" t="s">
        <v>17</v>
      </c>
      <c r="H43" s="151"/>
      <c r="I43" s="120" t="s">
        <v>18</v>
      </c>
      <c r="J43" s="122"/>
      <c r="K43" s="55"/>
      <c r="L43" s="56"/>
    </row>
    <row r="44" spans="1:14" ht="15.75" thickBot="1">
      <c r="A44" s="15"/>
      <c r="B44" s="106" t="s">
        <v>19</v>
      </c>
      <c r="C44" s="107"/>
      <c r="D44" s="107"/>
      <c r="E44" s="107"/>
      <c r="F44" s="107"/>
      <c r="G44" s="117">
        <v>129</v>
      </c>
      <c r="H44" s="162"/>
      <c r="I44" s="163"/>
      <c r="J44" s="164"/>
      <c r="K44" s="55"/>
      <c r="L44" s="56"/>
    </row>
    <row r="45" spans="1:14" ht="15.75" thickBot="1">
      <c r="A45" s="15"/>
      <c r="B45" s="106" t="s">
        <v>20</v>
      </c>
      <c r="C45" s="107"/>
      <c r="D45" s="107"/>
      <c r="E45" s="107"/>
      <c r="F45" s="107"/>
      <c r="G45" s="108">
        <f>'JANVIER 2015'!G44:H44+'FEVRIER 2015'!G43:H43+'Mars 2015'!G45:H45+'Avril 2015'!G45:H45+'Mai 2015'!G45:H45+'Juin 2015'!G45:H45+'Juillet 2015'!G45:H45+'Aout 2015'!G43:H43+'Septembre 2015'!G45:H45+'Octobre 2015'!G45:H45+'Novembre 2015'!G45:H45+'Decembre 2015'!G45:H45</f>
        <v>1299</v>
      </c>
      <c r="H45" s="165"/>
      <c r="I45" s="108"/>
      <c r="J45" s="109"/>
      <c r="K45" s="55"/>
      <c r="L45" s="56"/>
    </row>
    <row r="46" spans="1:14" ht="15.75" thickBot="1">
      <c r="A46" s="15"/>
      <c r="B46" s="114" t="s">
        <v>21</v>
      </c>
      <c r="C46" s="114"/>
      <c r="D46" s="114"/>
      <c r="E46" s="114"/>
      <c r="F46" s="106"/>
      <c r="G46" s="115">
        <f>'JANVIER 2015'!G45:H45+'FEVRIER 2015'!G44:H44+'Mars 2015'!G46:H46+'Avril 2015'!G46:H46+'Mai 2015'!G46:H46+'Juin 2015'!G46:H46+'Juillet 2015'!G46:H46+'Aout 2015'!G44:H44+'Septembre 2015'!G46:H46+'Octobre 2015'!G46:H46+'Novembre 2015'!G46:H46+'Decembre 2015'!G46:H46</f>
        <v>483</v>
      </c>
      <c r="H46" s="166"/>
      <c r="I46" s="108"/>
      <c r="J46" s="109"/>
      <c r="K46" s="55"/>
      <c r="L46" s="56"/>
    </row>
    <row r="47" spans="1:14" ht="15.75" thickBot="1">
      <c r="A47" s="15"/>
      <c r="B47" s="106" t="s">
        <v>22</v>
      </c>
      <c r="C47" s="107"/>
      <c r="D47" s="107"/>
      <c r="E47" s="107"/>
      <c r="F47" s="107"/>
      <c r="G47" s="113">
        <f>L41+G46</f>
        <v>1137</v>
      </c>
      <c r="H47" s="165"/>
      <c r="I47" s="108"/>
      <c r="J47" s="109"/>
      <c r="K47" s="55"/>
      <c r="L47" s="56"/>
    </row>
    <row r="48" spans="1:14" ht="15.75" thickBot="1">
      <c r="A48" s="4"/>
      <c r="B48" s="106" t="s">
        <v>23</v>
      </c>
      <c r="C48" s="107"/>
      <c r="D48" s="107"/>
      <c r="E48" s="107"/>
      <c r="F48" s="107"/>
      <c r="G48" s="113">
        <f>G44+G45-G47</f>
        <v>291</v>
      </c>
      <c r="H48" s="165"/>
      <c r="I48" s="108"/>
      <c r="J48" s="109"/>
      <c r="K48" s="55"/>
      <c r="L48" s="57"/>
    </row>
    <row r="49" spans="1:12" ht="15.75" thickBot="1">
      <c r="A49" s="4"/>
      <c r="B49" s="106" t="s">
        <v>24</v>
      </c>
      <c r="C49" s="107"/>
      <c r="D49" s="107"/>
      <c r="E49" s="107"/>
      <c r="F49" s="107"/>
      <c r="G49" s="168">
        <v>37</v>
      </c>
      <c r="H49" s="165"/>
      <c r="I49" s="108"/>
      <c r="J49" s="109"/>
      <c r="K49" s="55"/>
      <c r="L49" s="57"/>
    </row>
    <row r="50" spans="1:12" ht="15.75" thickBot="1">
      <c r="A50" s="4"/>
      <c r="B50" s="106" t="s">
        <v>25</v>
      </c>
      <c r="C50" s="107"/>
      <c r="D50" s="107"/>
      <c r="E50" s="107"/>
      <c r="F50" s="107"/>
      <c r="G50" s="110">
        <f>G48-G49</f>
        <v>254</v>
      </c>
      <c r="H50" s="167"/>
      <c r="I50" s="112"/>
      <c r="J50" s="111"/>
      <c r="K50" s="55"/>
      <c r="L50" s="57"/>
    </row>
    <row r="51" spans="1:12">
      <c r="A51" s="5" t="s">
        <v>26</v>
      </c>
      <c r="B51" s="38"/>
      <c r="C51" s="44"/>
      <c r="D51" s="44"/>
      <c r="E51" s="44"/>
      <c r="F51" s="38"/>
      <c r="G51" s="38"/>
      <c r="H51" s="44"/>
      <c r="I51" s="45" t="s">
        <v>27</v>
      </c>
      <c r="J51" s="44"/>
      <c r="K51" s="38"/>
      <c r="L51" s="1"/>
    </row>
    <row r="53" spans="1:12">
      <c r="B53" s="105" t="s">
        <v>28</v>
      </c>
    </row>
    <row r="54" spans="1:12">
      <c r="B54" s="105" t="s">
        <v>34</v>
      </c>
    </row>
    <row r="55" spans="1:12">
      <c r="B55" s="105" t="s">
        <v>31</v>
      </c>
    </row>
    <row r="56" spans="1:12">
      <c r="B56" s="105" t="s">
        <v>32</v>
      </c>
    </row>
    <row r="57" spans="1:12">
      <c r="B57" s="105" t="s">
        <v>34</v>
      </c>
    </row>
    <row r="58" spans="1:12">
      <c r="B58" s="105" t="s">
        <v>36</v>
      </c>
    </row>
    <row r="59" spans="1:12">
      <c r="B59" s="105" t="s">
        <v>38</v>
      </c>
    </row>
    <row r="60" spans="1:12">
      <c r="B60" s="105" t="s">
        <v>32</v>
      </c>
    </row>
    <row r="61" spans="1:12">
      <c r="B61" s="105" t="s">
        <v>39</v>
      </c>
    </row>
    <row r="62" spans="1:12">
      <c r="B62" s="105" t="s">
        <v>28</v>
      </c>
    </row>
    <row r="63" spans="1:12">
      <c r="B63" s="105" t="s">
        <v>34</v>
      </c>
    </row>
    <row r="64" spans="1:12">
      <c r="B64" s="105" t="s">
        <v>32</v>
      </c>
    </row>
    <row r="65" spans="2:2">
      <c r="B65" t="s">
        <v>42</v>
      </c>
    </row>
    <row r="66" spans="2:2">
      <c r="B66" t="s">
        <v>32</v>
      </c>
    </row>
    <row r="67" spans="2:2">
      <c r="B67" t="s">
        <v>34</v>
      </c>
    </row>
    <row r="68" spans="2:2">
      <c r="B68" t="s">
        <v>49</v>
      </c>
    </row>
    <row r="69" spans="2:2">
      <c r="B69" t="s">
        <v>47</v>
      </c>
    </row>
  </sheetData>
  <mergeCells count="36">
    <mergeCell ref="A5:L5"/>
    <mergeCell ref="A1:D1"/>
    <mergeCell ref="G1:L1"/>
    <mergeCell ref="A2:D2"/>
    <mergeCell ref="G2:L2"/>
    <mergeCell ref="A3:D3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JANVIER 2015</vt:lpstr>
      <vt:lpstr>FEVRIER 2015</vt:lpstr>
      <vt:lpstr>Mars 2015</vt:lpstr>
      <vt:lpstr>Avril 2015</vt:lpstr>
      <vt:lpstr>Mai 2015</vt:lpstr>
      <vt:lpstr>Juin 2015</vt:lpstr>
      <vt:lpstr>Juillet 2015</vt:lpstr>
      <vt:lpstr>Aout 2015</vt:lpstr>
      <vt:lpstr>Septembre 2015</vt:lpstr>
      <vt:lpstr>Octobre 2015</vt:lpstr>
      <vt:lpstr>Novembre 2015</vt:lpstr>
      <vt:lpstr>Decembre 2015</vt:lpstr>
      <vt:lpstr>annee 2015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2016-04-25T15:39:17Z</cp:lastPrinted>
  <dcterms:created xsi:type="dcterms:W3CDTF">2014-12-31T15:22:06Z</dcterms:created>
  <dcterms:modified xsi:type="dcterms:W3CDTF">2016-05-04T11:52:51Z</dcterms:modified>
</cp:coreProperties>
</file>