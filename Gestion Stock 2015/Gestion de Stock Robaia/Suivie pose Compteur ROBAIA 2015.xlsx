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3020" windowHeight="7365" activeTab="3"/>
  </bookViews>
  <sheets>
    <sheet name="Janvier 2015" sheetId="3" r:id="rId1"/>
    <sheet name="Fevrier 2015" sheetId="4" r:id="rId2"/>
    <sheet name="Mars 2015" sheetId="5" r:id="rId3"/>
    <sheet name="Avril 2015" sheetId="6" r:id="rId4"/>
    <sheet name="Mai 2015" sheetId="7" r:id="rId5"/>
    <sheet name="Juin 2015" sheetId="8" r:id="rId6"/>
    <sheet name="Juillet 2015" sheetId="9" r:id="rId7"/>
    <sheet name="Aout 2015" sheetId="10" r:id="rId8"/>
    <sheet name="Septembre 2015" sheetId="11" r:id="rId9"/>
    <sheet name="Octobre 2015" sheetId="12" r:id="rId10"/>
    <sheet name="Novembre 2015" sheetId="13" r:id="rId11"/>
    <sheet name="Decembre 2015" sheetId="14" r:id="rId12"/>
  </sheets>
  <definedNames>
    <definedName name="_xlnm.Print_Titles" localSheetId="0">'Janvier 2015'!$1:$6</definedName>
  </definedNames>
  <calcPr calcId="124519"/>
</workbook>
</file>

<file path=xl/calcChain.xml><?xml version="1.0" encoding="utf-8"?>
<calcChain xmlns="http://schemas.openxmlformats.org/spreadsheetml/2006/main">
  <c r="A9" i="14"/>
  <c r="A10" s="1"/>
  <c r="A11" s="1"/>
  <c r="A12" s="1"/>
  <c r="A13" s="1"/>
  <c r="A14" s="1"/>
  <c r="A15" s="1"/>
  <c r="A16" s="1"/>
  <c r="A17" s="1"/>
  <c r="A18" s="1"/>
  <c r="A19" s="1"/>
  <c r="A20" s="1"/>
  <c r="A8"/>
  <c r="K4"/>
  <c r="K3"/>
  <c r="K2"/>
  <c r="A8" i="13"/>
  <c r="A9" s="1"/>
  <c r="A10" s="1"/>
  <c r="A11" s="1"/>
  <c r="A12" s="1"/>
  <c r="A13" s="1"/>
  <c r="A14" s="1"/>
  <c r="A15" s="1"/>
  <c r="A16" s="1"/>
  <c r="A17" s="1"/>
  <c r="A18" s="1"/>
  <c r="A19" s="1"/>
  <c r="A20" s="1"/>
  <c r="K4"/>
  <c r="K3"/>
  <c r="K2"/>
  <c r="A16" i="12"/>
  <c r="A17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8"/>
  <c r="A9" s="1"/>
  <c r="A10" s="1"/>
  <c r="A11" s="1"/>
  <c r="A12" s="1"/>
  <c r="A13" s="1"/>
  <c r="A14" s="1"/>
  <c r="A15" s="1"/>
  <c r="K4"/>
  <c r="K3"/>
  <c r="K2"/>
  <c r="K5" i="14" l="1"/>
  <c r="K5" i="13"/>
  <c r="K5" i="12"/>
  <c r="A8" i="11"/>
  <c r="A9" s="1"/>
  <c r="A10" s="1"/>
  <c r="A11" s="1"/>
  <c r="A12" s="1"/>
  <c r="A13" s="1"/>
  <c r="A14" s="1"/>
  <c r="A15" s="1"/>
  <c r="K4"/>
  <c r="K3"/>
  <c r="K2"/>
  <c r="K5" l="1"/>
  <c r="A8" i="10"/>
  <c r="A9" s="1"/>
  <c r="A10" s="1"/>
  <c r="A11" s="1"/>
  <c r="K4"/>
  <c r="K3"/>
  <c r="K2"/>
  <c r="K5" l="1"/>
  <c r="A8" i="9"/>
  <c r="A9" s="1"/>
  <c r="A10" s="1"/>
  <c r="A11" s="1"/>
  <c r="A12" s="1"/>
  <c r="A13" s="1"/>
  <c r="K4"/>
  <c r="K3"/>
  <c r="K2"/>
  <c r="K5" l="1"/>
  <c r="A8" i="8" l="1"/>
  <c r="A9" s="1"/>
  <c r="A10" s="1"/>
  <c r="A11" s="1"/>
  <c r="A12" s="1"/>
  <c r="A13" s="1"/>
  <c r="A14" s="1"/>
  <c r="A15" s="1"/>
  <c r="A16" s="1"/>
  <c r="A17" s="1"/>
  <c r="A18" s="1"/>
  <c r="A19" s="1"/>
  <c r="K4"/>
  <c r="K3"/>
  <c r="K2"/>
  <c r="A8" i="7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K4"/>
  <c r="K3"/>
  <c r="K2"/>
  <c r="K5" i="8" l="1"/>
  <c r="K5" i="7"/>
  <c r="A8" i="6"/>
  <c r="A9" s="1"/>
  <c r="A10" s="1"/>
  <c r="A11" s="1"/>
  <c r="A12" s="1"/>
  <c r="A13" s="1"/>
  <c r="A14" s="1"/>
  <c r="A15" s="1"/>
  <c r="A16" s="1"/>
  <c r="K4"/>
  <c r="K3"/>
  <c r="K2"/>
  <c r="K5" l="1"/>
  <c r="A9" i="5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8"/>
  <c r="K4"/>
  <c r="K3"/>
  <c r="K2"/>
  <c r="K5" l="1"/>
  <c r="A8" i="4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K4"/>
  <c r="K3"/>
  <c r="K2"/>
  <c r="K5" l="1"/>
  <c r="K4" i="3"/>
  <c r="K3"/>
  <c r="K2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K5" l="1"/>
</calcChain>
</file>

<file path=xl/sharedStrings.xml><?xml version="1.0" encoding="utf-8"?>
<sst xmlns="http://schemas.openxmlformats.org/spreadsheetml/2006/main" count="612" uniqueCount="233">
  <si>
    <t>Unité de Médéa</t>
  </si>
  <si>
    <t>218481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</si>
  <si>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</si>
  <si>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</si>
  <si>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</si>
  <si>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</si>
  <si>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</si>
  <si>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</si>
  <si>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</si>
  <si>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</si>
  <si>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</si>
  <si>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</si>
  <si>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</si>
  <si>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</si>
  <si>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</si>
  <si>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</si>
  <si>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</si>
  <si>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</si>
  <si>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</si>
  <si>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</si>
  <si>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</si>
  <si>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15/21</t>
  </si>
  <si>
    <t>BO 0440</t>
  </si>
  <si>
    <t>BO 0441</t>
  </si>
  <si>
    <t>BO 0442</t>
  </si>
  <si>
    <t>217961</t>
  </si>
  <si>
    <t>217962</t>
  </si>
  <si>
    <t>217963</t>
  </si>
  <si>
    <t>BO 0443</t>
  </si>
  <si>
    <t>BO 0444</t>
  </si>
  <si>
    <t>BO 0445</t>
  </si>
  <si>
    <t>BO 0446</t>
  </si>
  <si>
    <t>BO 0447</t>
  </si>
  <si>
    <t>BO 0448</t>
  </si>
  <si>
    <t>BO 0449</t>
  </si>
  <si>
    <t>BO 0450</t>
  </si>
  <si>
    <t>BO 0451</t>
  </si>
  <si>
    <t>BO 0452</t>
  </si>
  <si>
    <t>BO 0453</t>
  </si>
  <si>
    <t>BO 0454</t>
  </si>
  <si>
    <t>BO 0455</t>
  </si>
  <si>
    <t>BO 0456</t>
  </si>
  <si>
    <t>BO 0457</t>
  </si>
  <si>
    <t>BO 0458</t>
  </si>
  <si>
    <t>BO 0459</t>
  </si>
  <si>
    <t>217964</t>
  </si>
  <si>
    <t>217965</t>
  </si>
  <si>
    <t>217966</t>
  </si>
  <si>
    <t>217967</t>
  </si>
  <si>
    <t>217968</t>
  </si>
  <si>
    <t>217969</t>
  </si>
  <si>
    <t>217970</t>
  </si>
  <si>
    <t>BO 0410</t>
  </si>
  <si>
    <t>BO 0411</t>
  </si>
  <si>
    <t>BO 0412</t>
  </si>
  <si>
    <t>BO 0413</t>
  </si>
  <si>
    <t>BO 0414</t>
  </si>
  <si>
    <t>BO 0415</t>
  </si>
  <si>
    <t>BO 0416</t>
  </si>
  <si>
    <t>BO 0417</t>
  </si>
  <si>
    <t>BO 0418</t>
  </si>
  <si>
    <t>BO 0419</t>
  </si>
  <si>
    <t>BO 0420</t>
  </si>
  <si>
    <t>BO 0421</t>
  </si>
  <si>
    <t>BO 0422</t>
  </si>
  <si>
    <t>BO 0423</t>
  </si>
  <si>
    <t>BO 0424</t>
  </si>
  <si>
    <t>BO 0425</t>
  </si>
  <si>
    <t>BO 0426</t>
  </si>
  <si>
    <t>BO 0427</t>
  </si>
  <si>
    <t>BO 0428</t>
  </si>
  <si>
    <t>BO 0429</t>
  </si>
  <si>
    <t>218751</t>
  </si>
  <si>
    <t>218752</t>
  </si>
  <si>
    <t>218753</t>
  </si>
  <si>
    <t>218754</t>
  </si>
  <si>
    <t>218755</t>
  </si>
  <si>
    <t>218756</t>
  </si>
  <si>
    <t>218757</t>
  </si>
  <si>
    <t>218758</t>
  </si>
  <si>
    <t>218759</t>
  </si>
  <si>
    <t>218760</t>
  </si>
  <si>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</si>
  <si>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</si>
  <si>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</si>
  <si>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</si>
  <si>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</si>
  <si>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Nouveau Branchement</t>
  </si>
  <si>
    <t xml:space="preserve">Suivi Pose Compteurs  </t>
  </si>
  <si>
    <t>Vente Compteur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</si>
  <si>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</si>
  <si>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</si>
  <si>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</si>
  <si>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</si>
  <si>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</si>
  <si>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</si>
  <si>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</si>
  <si>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</si>
  <si>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Elimination de Forfait</t>
  </si>
  <si>
    <t>Antenne : Robaîa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</si>
  <si>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</si>
  <si>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</si>
  <si>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015831</t>
  </si>
  <si>
    <t>015832</t>
  </si>
  <si>
    <t>015833</t>
  </si>
  <si>
    <t>015834</t>
  </si>
  <si>
    <t>015835</t>
  </si>
  <si>
    <t>015836</t>
  </si>
  <si>
    <t>015837</t>
  </si>
  <si>
    <t>015838</t>
  </si>
  <si>
    <t>015839</t>
  </si>
  <si>
    <t>015840</t>
  </si>
  <si>
    <t>BO 0430</t>
  </si>
  <si>
    <t>BO 0431</t>
  </si>
  <si>
    <t>BO 0432</t>
  </si>
  <si>
    <t>BO 0433</t>
  </si>
  <si>
    <t>BO 0434</t>
  </si>
  <si>
    <t>BO 0435</t>
  </si>
  <si>
    <t>BO 0436</t>
  </si>
  <si>
    <t>BO 0437</t>
  </si>
  <si>
    <t>BO 0438</t>
  </si>
  <si>
    <t>BO 0439</t>
  </si>
  <si>
    <t>BO 0174</t>
  </si>
  <si>
    <t>015976</t>
  </si>
  <si>
    <t>VENTE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</si>
  <si>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</si>
  <si>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</si>
  <si>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</si>
  <si>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060071</t>
  </si>
  <si>
    <t>060072</t>
  </si>
  <si>
    <t>060073</t>
  </si>
  <si>
    <t>060074</t>
  </si>
  <si>
    <t>060075</t>
  </si>
  <si>
    <t>026064</t>
  </si>
  <si>
    <t>026063</t>
  </si>
  <si>
    <t>026065</t>
  </si>
  <si>
    <t>026066</t>
  </si>
  <si>
    <t>026067</t>
  </si>
  <si>
    <t>026068</t>
  </si>
  <si>
    <t>026062</t>
  </si>
  <si>
    <t>BO</t>
  </si>
  <si>
    <t>026070</t>
  </si>
  <si>
    <t>NB(KEBAILI AEK)</t>
  </si>
  <si>
    <t>BO0327</t>
  </si>
  <si>
    <t>026061</t>
  </si>
  <si>
    <t>BO 0338</t>
  </si>
  <si>
    <t>BO 0011</t>
  </si>
  <si>
    <t>BO 0041</t>
  </si>
  <si>
    <t>BO 0055</t>
  </si>
  <si>
    <t>BO 0068</t>
  </si>
  <si>
    <t>BO 0096</t>
  </si>
  <si>
    <t>BO 0108</t>
  </si>
  <si>
    <t>BO 0140</t>
  </si>
  <si>
    <t>BO 0147</t>
  </si>
  <si>
    <t>BO 0180</t>
  </si>
  <si>
    <t>BO 0307</t>
  </si>
  <si>
    <t>BO 0334</t>
  </si>
  <si>
    <t>BO 0330</t>
  </si>
  <si>
    <t>E13XG036311U</t>
  </si>
  <si>
    <t>BO 0486</t>
  </si>
  <si>
    <t>EURX U.K N° 115039</t>
  </si>
  <si>
    <t>BO 0379</t>
  </si>
  <si>
    <t>EURX U.K N° 114946</t>
  </si>
  <si>
    <t>BO 0380</t>
  </si>
  <si>
    <t>S/C</t>
  </si>
  <si>
    <t>14764088</t>
  </si>
  <si>
    <t>BO 0378</t>
  </si>
  <si>
    <t>E13XG036296 M</t>
  </si>
  <si>
    <t>BO 0339</t>
  </si>
  <si>
    <t>E13XG036301S</t>
  </si>
  <si>
    <t>BO 0340</t>
  </si>
  <si>
    <t>006876</t>
  </si>
  <si>
    <t>20/27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</si>
  <si>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</si>
  <si>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</si>
  <si>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015979</t>
  </si>
  <si>
    <t>015975</t>
  </si>
  <si>
    <t>015980</t>
  </si>
  <si>
    <t>015977</t>
  </si>
  <si>
    <t>015974</t>
  </si>
  <si>
    <t>015978</t>
  </si>
  <si>
    <t>015973</t>
  </si>
  <si>
    <t>015972</t>
  </si>
  <si>
    <t>015971</t>
  </si>
  <si>
    <t>BO 0324</t>
  </si>
  <si>
    <t>BO 0333</t>
  </si>
  <si>
    <t>NB()</t>
  </si>
  <si>
    <t>026069</t>
  </si>
  <si>
    <t>NB(Khiteher abdellah)</t>
  </si>
  <si>
    <t>060080</t>
  </si>
  <si>
    <t>060076</t>
  </si>
  <si>
    <t>NB(Ramouche messaouda)</t>
  </si>
  <si>
    <t>060079</t>
  </si>
  <si>
    <t>NB(Zitouni farid)</t>
  </si>
  <si>
    <t>NB(Kanai lakhdar)</t>
  </si>
  <si>
    <t>060077</t>
  </si>
  <si>
    <t>NB(Kassad lakhdar)</t>
  </si>
  <si>
    <t>060078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</si>
  <si>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</si>
  <si>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NB(Adjal mokhtar)</t>
  </si>
  <si>
    <t>060275</t>
  </si>
  <si>
    <t>NB(Boudiaf mohamed)</t>
  </si>
  <si>
    <t>060276</t>
  </si>
  <si>
    <t>NB(Abdouche kheira)</t>
  </si>
  <si>
    <t>060280</t>
  </si>
  <si>
    <t>NB(Boudiaf Aek)</t>
  </si>
  <si>
    <t>060278</t>
  </si>
  <si>
    <t>BO 0129</t>
  </si>
  <si>
    <t>060272</t>
  </si>
  <si>
    <t>BO 0278</t>
  </si>
  <si>
    <t>060279</t>
  </si>
  <si>
    <t>BO 0391</t>
  </si>
  <si>
    <t>060274</t>
  </si>
  <si>
    <t>BO 0467</t>
  </si>
  <si>
    <t>060271</t>
  </si>
  <si>
    <t>060277</t>
  </si>
  <si>
    <t>NB(Bouregaa bakhta)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</si>
  <si>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</si>
  <si>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</si>
  <si>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2015111722</t>
  </si>
  <si>
    <t>2015111723</t>
  </si>
  <si>
    <t>2015111724</t>
  </si>
  <si>
    <t>2015111721</t>
  </si>
  <si>
    <t>BO 0294</t>
  </si>
  <si>
    <t>NB(Attari Ahmed)</t>
  </si>
  <si>
    <t>NB(Attari Mhamed)</t>
  </si>
  <si>
    <t>NB(Boudiaf nadji)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</si>
  <si>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</si>
  <si>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BO 494</t>
  </si>
  <si>
    <t>BO 0500</t>
  </si>
  <si>
    <t>BO 0491</t>
  </si>
  <si>
    <t>BO 0489</t>
  </si>
  <si>
    <t>BO 0497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</si>
</sst>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sz val="11"/>
      <color rgb="FFFF0000"/>
      <name val="Calibri"/>
      <family val="2"/>
      <scheme val="minor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0">
    <xf numFmtId="0" fontId="0" fillId="0" borderId="0" xfId="0"/>
    <xf numFmtId="14" fontId="0" fillId="0" borderId="1" xfId="0" applyNumberFormat="1" applyBorder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2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right" vertical="center" wrapText="1"/>
    </xf>
    <xf numFmtId="0" fontId="7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1" xfId="1" applyBorder="1" applyAlignment="1">
      <alignment vertical="center" wrapText="1"/>
    </xf>
    <xf numFmtId="49" fontId="2" fillId="0" borderId="0" xfId="1" applyNumberFormat="1" applyFont="1" applyAlignment="1">
      <alignment vertical="center" wrapText="1"/>
    </xf>
    <xf numFmtId="0" fontId="2" fillId="0" borderId="0" xfId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0" borderId="4" xfId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14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49" fontId="9" fillId="0" borderId="0" xfId="1" applyNumberFormat="1" applyFont="1" applyBorder="1" applyAlignment="1">
      <alignment horizontal="center" vertical="center" wrapText="1"/>
    </xf>
    <xf numFmtId="14" fontId="9" fillId="0" borderId="0" xfId="1" applyNumberFormat="1" applyFont="1" applyBorder="1" applyAlignment="1">
      <alignment horizontal="center" vertical="center" wrapText="1"/>
    </xf>
    <xf numFmtId="49" fontId="10" fillId="0" borderId="0" xfId="1" applyNumberFormat="1" applyFont="1" applyBorder="1" applyAlignment="1">
      <alignment horizontal="center" vertical="top" wrapText="1"/>
    </xf>
    <xf numFmtId="0" fontId="9" fillId="0" borderId="0" xfId="1" applyFont="1" applyFill="1" applyBorder="1" applyAlignment="1">
      <alignment horizontal="center" vertical="center" wrapText="1"/>
    </xf>
    <xf numFmtId="49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9524</xdr:rowOff>
    </xdr:from>
    <xdr:to>
      <xdr:col>5</xdr:col>
      <xdr:colOff>1304927</xdr:colOff>
      <xdr:row>16</xdr:row>
      <xdr:rowOff>0</xdr:rowOff>
    </xdr:to>
    <xdr:cxnSp macro="">
      <xdr:nvCxnSpPr>
        <xdr:cNvPr id="3" name="Straight Connector 2"/>
        <xdr:cNvCxnSpPr/>
      </xdr:nvCxnSpPr>
      <xdr:spPr>
        <a:xfrm rot="10800000" flipV="1">
          <a:off x="466725" y="1485899"/>
          <a:ext cx="4781552" cy="18954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419100</xdr:rowOff>
    </xdr:from>
    <xdr:to>
      <xdr:col>6</xdr:col>
      <xdr:colOff>0</xdr:colOff>
      <xdr:row>16</xdr:row>
      <xdr:rowOff>9525</xdr:rowOff>
    </xdr:to>
    <xdr:cxnSp macro="">
      <xdr:nvCxnSpPr>
        <xdr:cNvPr id="3" name="Straight Connector 2"/>
        <xdr:cNvCxnSpPr/>
      </xdr:nvCxnSpPr>
      <xdr:spPr>
        <a:xfrm rot="10800000" flipV="1">
          <a:off x="476250" y="1466850"/>
          <a:ext cx="4800600" cy="1924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opLeftCell="A31" workbookViewId="0">
      <selection activeCell="F44" sqref="F44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SUMIF(F7:F160,"Elimination*",G7:G110)</f>
        <v>40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SUMIF(F7:F160,"NB*",G7:G110)</f>
        <v>0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SUMIF(F7:F160,"Vente*",G7:G110)</f>
        <v>0</v>
      </c>
    </row>
    <row r="5" spans="1:11" ht="15.75">
      <c r="A5" s="34" t="s">
        <v>90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40</v>
      </c>
    </row>
    <row r="6" spans="1:11" ht="26.1" customHeight="1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 ht="15" customHeight="1">
      <c r="A7" s="10">
        <v>1</v>
      </c>
      <c r="B7" s="20" t="s">
        <v>52</v>
      </c>
      <c r="C7" s="11" t="s">
        <v>21</v>
      </c>
      <c r="D7" s="21" t="s">
        <v>1</v>
      </c>
      <c r="E7" s="1">
        <v>42012</v>
      </c>
      <c r="F7" s="12" t="s">
        <v>98</v>
      </c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 t="s">
        <v>53</v>
      </c>
      <c r="C8" s="11" t="s">
        <v>21</v>
      </c>
      <c r="D8" s="21" t="s">
        <v>2</v>
      </c>
      <c r="E8" s="1">
        <v>42012</v>
      </c>
      <c r="F8" s="12" t="s">
        <v>98</v>
      </c>
      <c r="G8" s="13">
        <v>1</v>
      </c>
      <c r="H8" s="15"/>
      <c r="I8" s="16"/>
      <c r="J8" s="16"/>
    </row>
    <row r="9" spans="1:11" ht="15" customHeight="1">
      <c r="A9" s="10">
        <f t="shared" ref="A9:A46" si="0">+A8+1</f>
        <v>3</v>
      </c>
      <c r="B9" s="20" t="s">
        <v>54</v>
      </c>
      <c r="C9" s="11" t="s">
        <v>21</v>
      </c>
      <c r="D9" s="21" t="s">
        <v>3</v>
      </c>
      <c r="E9" s="1">
        <v>42012</v>
      </c>
      <c r="F9" s="12" t="s">
        <v>98</v>
      </c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 t="s">
        <v>55</v>
      </c>
      <c r="C10" s="11" t="s">
        <v>21</v>
      </c>
      <c r="D10" s="21" t="s">
        <v>4</v>
      </c>
      <c r="E10" s="1">
        <v>42012</v>
      </c>
      <c r="F10" s="12" t="s">
        <v>98</v>
      </c>
      <c r="G10" s="13">
        <v>1</v>
      </c>
      <c r="H10" s="15"/>
      <c r="I10" s="16"/>
      <c r="J10" s="16"/>
    </row>
    <row r="11" spans="1:11" ht="15" customHeight="1">
      <c r="A11" s="10">
        <f t="shared" si="0"/>
        <v>5</v>
      </c>
      <c r="B11" s="20" t="s">
        <v>56</v>
      </c>
      <c r="C11" s="11" t="s">
        <v>21</v>
      </c>
      <c r="D11" s="21" t="s">
        <v>5</v>
      </c>
      <c r="E11" s="1">
        <v>42012</v>
      </c>
      <c r="F11" s="12" t="s">
        <v>98</v>
      </c>
      <c r="G11" s="13">
        <v>1</v>
      </c>
      <c r="H11" s="15"/>
      <c r="I11" s="16"/>
      <c r="J11" s="16"/>
    </row>
    <row r="12" spans="1:11" ht="15" customHeight="1">
      <c r="A12" s="10">
        <f t="shared" si="0"/>
        <v>6</v>
      </c>
      <c r="B12" s="20" t="s">
        <v>57</v>
      </c>
      <c r="C12" s="11" t="s">
        <v>21</v>
      </c>
      <c r="D12" s="21" t="s">
        <v>6</v>
      </c>
      <c r="E12" s="1">
        <v>42012</v>
      </c>
      <c r="F12" s="12" t="s">
        <v>98</v>
      </c>
      <c r="G12" s="13">
        <v>1</v>
      </c>
      <c r="H12" s="16"/>
      <c r="I12" s="16"/>
      <c r="J12" s="16"/>
    </row>
    <row r="13" spans="1:11" ht="15" customHeight="1">
      <c r="A13" s="10">
        <f t="shared" si="0"/>
        <v>7</v>
      </c>
      <c r="B13" s="20" t="s">
        <v>58</v>
      </c>
      <c r="C13" s="11" t="s">
        <v>21</v>
      </c>
      <c r="D13" s="21" t="s">
        <v>7</v>
      </c>
      <c r="E13" s="1">
        <v>42012</v>
      </c>
      <c r="F13" s="12" t="s">
        <v>98</v>
      </c>
      <c r="G13" s="13">
        <v>1</v>
      </c>
      <c r="H13" s="16"/>
      <c r="I13" s="16"/>
      <c r="J13" s="16"/>
    </row>
    <row r="14" spans="1:11" ht="15" customHeight="1">
      <c r="A14" s="10">
        <f t="shared" si="0"/>
        <v>8</v>
      </c>
      <c r="B14" s="20" t="s">
        <v>59</v>
      </c>
      <c r="C14" s="11" t="s">
        <v>21</v>
      </c>
      <c r="D14" s="21" t="s">
        <v>8</v>
      </c>
      <c r="E14" s="1">
        <v>42012</v>
      </c>
      <c r="F14" s="12" t="s">
        <v>98</v>
      </c>
      <c r="G14" s="17">
        <v>1</v>
      </c>
      <c r="H14" s="18"/>
      <c r="I14" s="16"/>
      <c r="J14" s="16"/>
    </row>
    <row r="15" spans="1:11" ht="15" customHeight="1">
      <c r="A15" s="10">
        <f t="shared" si="0"/>
        <v>9</v>
      </c>
      <c r="B15" s="20" t="s">
        <v>60</v>
      </c>
      <c r="C15" s="11" t="s">
        <v>21</v>
      </c>
      <c r="D15" s="21" t="s">
        <v>9</v>
      </c>
      <c r="E15" s="1">
        <v>42012</v>
      </c>
      <c r="F15" s="12" t="s">
        <v>98</v>
      </c>
      <c r="G15" s="17">
        <v>1</v>
      </c>
      <c r="H15" s="18"/>
      <c r="I15" s="16"/>
      <c r="J15" s="16"/>
    </row>
    <row r="16" spans="1:11" ht="15" customHeight="1">
      <c r="A16" s="10">
        <f t="shared" si="0"/>
        <v>10</v>
      </c>
      <c r="B16" s="20" t="s">
        <v>61</v>
      </c>
      <c r="C16" s="11" t="s">
        <v>21</v>
      </c>
      <c r="D16" s="21" t="s">
        <v>10</v>
      </c>
      <c r="E16" s="1">
        <v>42012</v>
      </c>
      <c r="F16" s="12" t="s">
        <v>98</v>
      </c>
      <c r="G16" s="17">
        <v>1</v>
      </c>
      <c r="H16" s="18"/>
      <c r="I16" s="16"/>
      <c r="J16" s="16"/>
    </row>
    <row r="17" spans="1:10" ht="15" customHeight="1">
      <c r="A17" s="10">
        <f t="shared" si="0"/>
        <v>11</v>
      </c>
      <c r="B17" s="20" t="s">
        <v>62</v>
      </c>
      <c r="C17" s="11" t="s">
        <v>21</v>
      </c>
      <c r="D17" s="21" t="s">
        <v>11</v>
      </c>
      <c r="E17" s="1">
        <v>42012</v>
      </c>
      <c r="F17" s="12" t="s">
        <v>98</v>
      </c>
      <c r="G17" s="17">
        <v>1</v>
      </c>
      <c r="H17" s="18"/>
      <c r="I17" s="16"/>
      <c r="J17" s="16"/>
    </row>
    <row r="18" spans="1:10" ht="15" customHeight="1">
      <c r="A18" s="10">
        <f t="shared" si="0"/>
        <v>12</v>
      </c>
      <c r="B18" s="20" t="s">
        <v>63</v>
      </c>
      <c r="C18" s="11" t="s">
        <v>21</v>
      </c>
      <c r="D18" s="21" t="s">
        <v>12</v>
      </c>
      <c r="E18" s="1">
        <v>42012</v>
      </c>
      <c r="F18" s="12" t="s">
        <v>98</v>
      </c>
      <c r="G18" s="17">
        <v>1</v>
      </c>
      <c r="H18" s="18"/>
      <c r="I18" s="16"/>
      <c r="J18" s="16"/>
    </row>
    <row r="19" spans="1:10" ht="15" customHeight="1">
      <c r="A19" s="10">
        <f t="shared" si="0"/>
        <v>13</v>
      </c>
      <c r="B19" s="20" t="s">
        <v>64</v>
      </c>
      <c r="C19" s="11" t="s">
        <v>21</v>
      </c>
      <c r="D19" s="21" t="s">
        <v>13</v>
      </c>
      <c r="E19" s="1">
        <v>42012</v>
      </c>
      <c r="F19" s="12" t="s">
        <v>98</v>
      </c>
      <c r="G19" s="17">
        <v>1</v>
      </c>
      <c r="H19" s="18"/>
      <c r="I19" s="16"/>
      <c r="J19" s="16"/>
    </row>
    <row r="20" spans="1:10" ht="15" customHeight="1">
      <c r="A20" s="10">
        <f t="shared" si="0"/>
        <v>14</v>
      </c>
      <c r="B20" s="20" t="s">
        <v>65</v>
      </c>
      <c r="C20" s="11" t="s">
        <v>21</v>
      </c>
      <c r="D20" s="21" t="s">
        <v>14</v>
      </c>
      <c r="E20" s="1">
        <v>42012</v>
      </c>
      <c r="F20" s="12" t="s">
        <v>98</v>
      </c>
      <c r="G20" s="17">
        <v>1</v>
      </c>
      <c r="H20" s="18"/>
      <c r="I20" s="16"/>
      <c r="J20" s="16"/>
    </row>
    <row r="21" spans="1:10" ht="15" customHeight="1">
      <c r="A21" s="10">
        <f t="shared" si="0"/>
        <v>15</v>
      </c>
      <c r="B21" s="20" t="s">
        <v>66</v>
      </c>
      <c r="C21" s="11" t="s">
        <v>21</v>
      </c>
      <c r="D21" s="21" t="s">
        <v>15</v>
      </c>
      <c r="E21" s="1">
        <v>42012</v>
      </c>
      <c r="F21" s="12" t="s">
        <v>98</v>
      </c>
      <c r="G21" s="17">
        <v>1</v>
      </c>
      <c r="H21" s="18"/>
      <c r="I21" s="16"/>
      <c r="J21" s="16"/>
    </row>
    <row r="22" spans="1:10" ht="15" customHeight="1">
      <c r="A22" s="10">
        <f t="shared" si="0"/>
        <v>16</v>
      </c>
      <c r="B22" s="20" t="s">
        <v>67</v>
      </c>
      <c r="C22" s="11" t="s">
        <v>21</v>
      </c>
      <c r="D22" s="21" t="s">
        <v>16</v>
      </c>
      <c r="E22" s="1">
        <v>42012</v>
      </c>
      <c r="F22" s="12" t="s">
        <v>98</v>
      </c>
      <c r="G22" s="17">
        <v>1</v>
      </c>
      <c r="H22" s="18"/>
      <c r="I22" s="16"/>
      <c r="J22" s="16"/>
    </row>
    <row r="23" spans="1:10" ht="15" customHeight="1">
      <c r="A23" s="10">
        <f t="shared" si="0"/>
        <v>17</v>
      </c>
      <c r="B23" s="20" t="s">
        <v>68</v>
      </c>
      <c r="C23" s="11" t="s">
        <v>21</v>
      </c>
      <c r="D23" s="21" t="s">
        <v>17</v>
      </c>
      <c r="E23" s="1">
        <v>42012</v>
      </c>
      <c r="F23" s="12" t="s">
        <v>98</v>
      </c>
      <c r="G23" s="17">
        <v>1</v>
      </c>
      <c r="H23" s="18"/>
      <c r="I23" s="16"/>
      <c r="J23" s="16"/>
    </row>
    <row r="24" spans="1:10" ht="15" customHeight="1">
      <c r="A24" s="10">
        <f t="shared" si="0"/>
        <v>18</v>
      </c>
      <c r="B24" s="20" t="s">
        <v>69</v>
      </c>
      <c r="C24" s="11" t="s">
        <v>21</v>
      </c>
      <c r="D24" s="21" t="s">
        <v>18</v>
      </c>
      <c r="E24" s="1">
        <v>42012</v>
      </c>
      <c r="F24" s="12" t="s">
        <v>98</v>
      </c>
      <c r="G24" s="17">
        <v>1</v>
      </c>
      <c r="H24" s="18"/>
      <c r="I24" s="16"/>
      <c r="J24" s="16"/>
    </row>
    <row r="25" spans="1:10" ht="15" customHeight="1">
      <c r="A25" s="10">
        <f t="shared" si="0"/>
        <v>19</v>
      </c>
      <c r="B25" s="20" t="s">
        <v>70</v>
      </c>
      <c r="C25" s="11" t="s">
        <v>21</v>
      </c>
      <c r="D25" s="21" t="s">
        <v>19</v>
      </c>
      <c r="E25" s="1">
        <v>42012</v>
      </c>
      <c r="F25" s="12" t="s">
        <v>98</v>
      </c>
      <c r="G25" s="17">
        <v>1</v>
      </c>
      <c r="H25" s="18"/>
      <c r="I25" s="16"/>
      <c r="J25" s="16"/>
    </row>
    <row r="26" spans="1:10" ht="15" customHeight="1">
      <c r="A26" s="10">
        <f t="shared" si="0"/>
        <v>20</v>
      </c>
      <c r="B26" s="20" t="s">
        <v>71</v>
      </c>
      <c r="C26" s="11" t="s">
        <v>21</v>
      </c>
      <c r="D26" s="21" t="s">
        <v>20</v>
      </c>
      <c r="E26" s="1">
        <v>42012</v>
      </c>
      <c r="F26" s="12" t="s">
        <v>98</v>
      </c>
      <c r="G26" s="17">
        <v>1</v>
      </c>
      <c r="H26" s="18"/>
      <c r="I26" s="16"/>
      <c r="J26" s="16"/>
    </row>
    <row r="27" spans="1:10" ht="15" customHeight="1">
      <c r="A27" s="10">
        <f t="shared" si="0"/>
        <v>21</v>
      </c>
      <c r="B27" s="20" t="s">
        <v>22</v>
      </c>
      <c r="C27" s="11" t="s">
        <v>21</v>
      </c>
      <c r="D27" s="21" t="s">
        <v>25</v>
      </c>
      <c r="E27" s="1">
        <v>42008</v>
      </c>
      <c r="F27" s="12" t="s">
        <v>98</v>
      </c>
      <c r="G27" s="17">
        <v>1</v>
      </c>
      <c r="H27" s="18"/>
      <c r="I27" s="16"/>
      <c r="J27" s="16"/>
    </row>
    <row r="28" spans="1:10" ht="15" customHeight="1">
      <c r="A28" s="10">
        <f t="shared" si="0"/>
        <v>22</v>
      </c>
      <c r="B28" s="20" t="s">
        <v>23</v>
      </c>
      <c r="C28" s="11" t="s">
        <v>21</v>
      </c>
      <c r="D28" s="21" t="s">
        <v>26</v>
      </c>
      <c r="E28" s="1">
        <v>42008</v>
      </c>
      <c r="F28" s="12" t="s">
        <v>98</v>
      </c>
      <c r="G28" s="17">
        <v>1</v>
      </c>
      <c r="H28" s="18"/>
      <c r="I28" s="16"/>
      <c r="J28" s="16"/>
    </row>
    <row r="29" spans="1:10" ht="15" customHeight="1">
      <c r="A29" s="10">
        <f t="shared" si="0"/>
        <v>23</v>
      </c>
      <c r="B29" s="20" t="s">
        <v>24</v>
      </c>
      <c r="C29" s="11" t="s">
        <v>21</v>
      </c>
      <c r="D29" s="21" t="s">
        <v>27</v>
      </c>
      <c r="E29" s="1">
        <v>42008</v>
      </c>
      <c r="F29" s="12" t="s">
        <v>98</v>
      </c>
      <c r="G29" s="17">
        <v>1</v>
      </c>
      <c r="H29" s="18"/>
      <c r="I29" s="16"/>
      <c r="J29" s="16"/>
    </row>
    <row r="30" spans="1:10" ht="15" customHeight="1">
      <c r="A30" s="10">
        <f t="shared" si="0"/>
        <v>24</v>
      </c>
      <c r="B30" s="20" t="s">
        <v>28</v>
      </c>
      <c r="C30" s="11" t="s">
        <v>21</v>
      </c>
      <c r="D30" s="21" t="s">
        <v>45</v>
      </c>
      <c r="E30" s="1">
        <v>42010</v>
      </c>
      <c r="F30" s="12" t="s">
        <v>98</v>
      </c>
      <c r="G30" s="17">
        <v>1</v>
      </c>
      <c r="H30" s="18"/>
      <c r="I30" s="16"/>
      <c r="J30" s="16"/>
    </row>
    <row r="31" spans="1:10" ht="15" customHeight="1">
      <c r="A31" s="10">
        <f t="shared" si="0"/>
        <v>25</v>
      </c>
      <c r="B31" s="20" t="s">
        <v>29</v>
      </c>
      <c r="C31" s="11" t="s">
        <v>21</v>
      </c>
      <c r="D31" s="21" t="s">
        <v>46</v>
      </c>
      <c r="E31" s="1">
        <v>42010</v>
      </c>
      <c r="F31" s="12" t="s">
        <v>98</v>
      </c>
      <c r="G31" s="17">
        <v>1</v>
      </c>
      <c r="H31" s="18"/>
      <c r="I31" s="16"/>
      <c r="J31" s="16"/>
    </row>
    <row r="32" spans="1:10" ht="15" customHeight="1">
      <c r="A32" s="10">
        <f t="shared" si="0"/>
        <v>26</v>
      </c>
      <c r="B32" s="20" t="s">
        <v>30</v>
      </c>
      <c r="C32" s="11" t="s">
        <v>21</v>
      </c>
      <c r="D32" s="21" t="s">
        <v>47</v>
      </c>
      <c r="E32" s="1">
        <v>42010</v>
      </c>
      <c r="F32" s="12" t="s">
        <v>98</v>
      </c>
      <c r="G32" s="17">
        <v>1</v>
      </c>
      <c r="H32" s="18"/>
      <c r="I32" s="16"/>
      <c r="J32" s="16"/>
    </row>
    <row r="33" spans="1:10" ht="15" customHeight="1">
      <c r="A33" s="10">
        <f t="shared" si="0"/>
        <v>27</v>
      </c>
      <c r="B33" s="20" t="s">
        <v>31</v>
      </c>
      <c r="C33" s="11" t="s">
        <v>21</v>
      </c>
      <c r="D33" s="21" t="s">
        <v>48</v>
      </c>
      <c r="E33" s="1">
        <v>42010</v>
      </c>
      <c r="F33" s="12" t="s">
        <v>98</v>
      </c>
      <c r="G33" s="17">
        <v>1</v>
      </c>
      <c r="H33" s="18"/>
      <c r="I33" s="16"/>
      <c r="J33" s="16"/>
    </row>
    <row r="34" spans="1:10" ht="15" customHeight="1">
      <c r="A34" s="10">
        <f t="shared" si="0"/>
        <v>28</v>
      </c>
      <c r="B34" s="20" t="s">
        <v>32</v>
      </c>
      <c r="C34" s="11" t="s">
        <v>21</v>
      </c>
      <c r="D34" s="21" t="s">
        <v>49</v>
      </c>
      <c r="E34" s="1">
        <v>42010</v>
      </c>
      <c r="F34" s="12" t="s">
        <v>98</v>
      </c>
      <c r="G34" s="17">
        <v>1</v>
      </c>
      <c r="H34" s="18"/>
      <c r="I34" s="16"/>
      <c r="J34" s="16"/>
    </row>
    <row r="35" spans="1:10" ht="15" customHeight="1">
      <c r="A35" s="10">
        <f t="shared" si="0"/>
        <v>29</v>
      </c>
      <c r="B35" s="20" t="s">
        <v>33</v>
      </c>
      <c r="C35" s="11" t="s">
        <v>21</v>
      </c>
      <c r="D35" s="21" t="s">
        <v>50</v>
      </c>
      <c r="E35" s="1">
        <v>42010</v>
      </c>
      <c r="F35" s="12" t="s">
        <v>98</v>
      </c>
      <c r="G35" s="17">
        <v>1</v>
      </c>
      <c r="H35" s="18"/>
      <c r="I35" s="16"/>
      <c r="J35" s="16"/>
    </row>
    <row r="36" spans="1:10" ht="15" customHeight="1">
      <c r="A36" s="10">
        <f t="shared" si="0"/>
        <v>30</v>
      </c>
      <c r="B36" s="20" t="s">
        <v>34</v>
      </c>
      <c r="C36" s="11" t="s">
        <v>21</v>
      </c>
      <c r="D36" s="21" t="s">
        <v>51</v>
      </c>
      <c r="E36" s="1">
        <v>42010</v>
      </c>
      <c r="F36" s="12" t="s">
        <v>98</v>
      </c>
      <c r="G36" s="17">
        <v>1</v>
      </c>
      <c r="H36" s="19"/>
      <c r="I36" s="19"/>
      <c r="J36" s="19"/>
    </row>
    <row r="37" spans="1:10" ht="15" customHeight="1">
      <c r="A37" s="10">
        <f t="shared" si="0"/>
        <v>31</v>
      </c>
      <c r="B37" s="20" t="s">
        <v>35</v>
      </c>
      <c r="C37" s="11" t="s">
        <v>21</v>
      </c>
      <c r="D37" s="21" t="s">
        <v>72</v>
      </c>
      <c r="E37" s="1">
        <v>42010</v>
      </c>
      <c r="F37" s="12" t="s">
        <v>98</v>
      </c>
      <c r="G37" s="17">
        <v>1</v>
      </c>
      <c r="H37" s="19"/>
      <c r="I37" s="19"/>
      <c r="J37" s="19"/>
    </row>
    <row r="38" spans="1:10" ht="15" customHeight="1">
      <c r="A38" s="10">
        <f t="shared" si="0"/>
        <v>32</v>
      </c>
      <c r="B38" s="20" t="s">
        <v>36</v>
      </c>
      <c r="C38" s="11" t="s">
        <v>21</v>
      </c>
      <c r="D38" s="21" t="s">
        <v>73</v>
      </c>
      <c r="E38" s="1">
        <v>42010</v>
      </c>
      <c r="F38" s="12" t="s">
        <v>98</v>
      </c>
      <c r="G38" s="17">
        <v>1</v>
      </c>
      <c r="H38" s="19"/>
      <c r="I38" s="19"/>
      <c r="J38" s="19"/>
    </row>
    <row r="39" spans="1:10" ht="15" customHeight="1">
      <c r="A39" s="10">
        <f t="shared" si="0"/>
        <v>33</v>
      </c>
      <c r="B39" s="20" t="s">
        <v>37</v>
      </c>
      <c r="C39" s="11" t="s">
        <v>21</v>
      </c>
      <c r="D39" s="21" t="s">
        <v>74</v>
      </c>
      <c r="E39" s="1">
        <v>42010</v>
      </c>
      <c r="F39" s="12" t="s">
        <v>98</v>
      </c>
      <c r="G39" s="17">
        <v>1</v>
      </c>
      <c r="H39" s="19"/>
      <c r="I39" s="19"/>
      <c r="J39" s="19"/>
    </row>
    <row r="40" spans="1:10" ht="15" customHeight="1">
      <c r="A40" s="10">
        <f t="shared" si="0"/>
        <v>34</v>
      </c>
      <c r="B40" s="20" t="s">
        <v>38</v>
      </c>
      <c r="C40" s="11" t="s">
        <v>21</v>
      </c>
      <c r="D40" s="21" t="s">
        <v>75</v>
      </c>
      <c r="E40" s="1">
        <v>42010</v>
      </c>
      <c r="F40" s="12" t="s">
        <v>98</v>
      </c>
      <c r="G40" s="17">
        <v>1</v>
      </c>
      <c r="H40" s="19"/>
      <c r="I40" s="19"/>
      <c r="J40" s="19"/>
    </row>
    <row r="41" spans="1:10" ht="15" customHeight="1">
      <c r="A41" s="10">
        <f t="shared" si="0"/>
        <v>35</v>
      </c>
      <c r="B41" s="20" t="s">
        <v>39</v>
      </c>
      <c r="C41" s="11" t="s">
        <v>21</v>
      </c>
      <c r="D41" s="21" t="s">
        <v>76</v>
      </c>
      <c r="E41" s="1">
        <v>42010</v>
      </c>
      <c r="F41" s="12" t="s">
        <v>98</v>
      </c>
      <c r="G41" s="17">
        <v>1</v>
      </c>
      <c r="H41" s="19"/>
      <c r="I41" s="19"/>
      <c r="J41" s="19"/>
    </row>
    <row r="42" spans="1:10" ht="15" customHeight="1">
      <c r="A42" s="10">
        <f t="shared" si="0"/>
        <v>36</v>
      </c>
      <c r="B42" s="20" t="s">
        <v>40</v>
      </c>
      <c r="C42" s="11" t="s">
        <v>21</v>
      </c>
      <c r="D42" s="21" t="s">
        <v>77</v>
      </c>
      <c r="E42" s="1">
        <v>42010</v>
      </c>
      <c r="F42" s="12" t="s">
        <v>98</v>
      </c>
      <c r="G42" s="17">
        <v>1</v>
      </c>
      <c r="H42" s="19"/>
      <c r="I42" s="19"/>
      <c r="J42" s="19"/>
    </row>
    <row r="43" spans="1:10" ht="15" customHeight="1">
      <c r="A43" s="10">
        <f t="shared" si="0"/>
        <v>37</v>
      </c>
      <c r="B43" s="20" t="s">
        <v>41</v>
      </c>
      <c r="C43" s="11" t="s">
        <v>21</v>
      </c>
      <c r="D43" s="21" t="s">
        <v>78</v>
      </c>
      <c r="E43" s="1">
        <v>42010</v>
      </c>
      <c r="F43" s="12" t="s">
        <v>98</v>
      </c>
      <c r="G43" s="17">
        <v>1</v>
      </c>
      <c r="H43" s="19"/>
      <c r="I43" s="19"/>
      <c r="J43" s="19"/>
    </row>
    <row r="44" spans="1:10" ht="15" customHeight="1">
      <c r="A44" s="10">
        <f t="shared" si="0"/>
        <v>38</v>
      </c>
      <c r="B44" s="20" t="s">
        <v>42</v>
      </c>
      <c r="C44" s="11" t="s">
        <v>21</v>
      </c>
      <c r="D44" s="21" t="s">
        <v>79</v>
      </c>
      <c r="E44" s="1">
        <v>42010</v>
      </c>
      <c r="F44" s="12" t="s">
        <v>98</v>
      </c>
      <c r="G44" s="17">
        <v>1</v>
      </c>
      <c r="H44" s="19"/>
      <c r="I44" s="19"/>
      <c r="J44" s="19"/>
    </row>
    <row r="45" spans="1:10" ht="15" customHeight="1">
      <c r="A45" s="10">
        <f t="shared" si="0"/>
        <v>39</v>
      </c>
      <c r="B45" s="20" t="s">
        <v>43</v>
      </c>
      <c r="C45" s="11" t="s">
        <v>21</v>
      </c>
      <c r="D45" s="21" t="s">
        <v>80</v>
      </c>
      <c r="E45" s="1">
        <v>42010</v>
      </c>
      <c r="F45" s="12" t="s">
        <v>98</v>
      </c>
      <c r="G45" s="17">
        <v>1</v>
      </c>
      <c r="H45" s="19"/>
      <c r="I45" s="19"/>
      <c r="J45" s="19"/>
    </row>
    <row r="46" spans="1:10" ht="15" customHeight="1">
      <c r="A46" s="10">
        <f t="shared" si="0"/>
        <v>40</v>
      </c>
      <c r="B46" s="20" t="s">
        <v>44</v>
      </c>
      <c r="C46" s="11" t="s">
        <v>21</v>
      </c>
      <c r="D46" s="21" t="s">
        <v>81</v>
      </c>
      <c r="E46" s="1">
        <v>42010</v>
      </c>
      <c r="F46" s="12" t="s">
        <v>98</v>
      </c>
      <c r="G46" s="17">
        <v>1</v>
      </c>
      <c r="H46" s="19"/>
      <c r="I46" s="19"/>
      <c r="J46" s="19"/>
    </row>
    <row r="47" spans="1:10" ht="15" customHeight="1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>
      <c r="A50" s="25"/>
      <c r="B50" s="26"/>
      <c r="C50" s="27"/>
      <c r="D50" s="28"/>
      <c r="E50" s="29"/>
      <c r="F50" s="30"/>
      <c r="G50" s="24">
        <v>1</v>
      </c>
    </row>
    <row r="51" spans="1:10" ht="15" customHeight="1">
      <c r="A51" s="25"/>
      <c r="B51" s="26"/>
      <c r="C51" s="27"/>
      <c r="D51" s="28"/>
      <c r="E51" s="29"/>
      <c r="F51" s="30"/>
      <c r="G51" s="24">
        <v>1</v>
      </c>
    </row>
    <row r="52" spans="1:10" ht="15" customHeight="1">
      <c r="A52" s="25"/>
      <c r="B52" s="26"/>
      <c r="C52" s="27"/>
      <c r="D52" s="28"/>
      <c r="E52" s="29"/>
      <c r="F52" s="30"/>
      <c r="G52" s="24">
        <v>1</v>
      </c>
    </row>
    <row r="53" spans="1:10" ht="15" customHeight="1">
      <c r="A53" s="25"/>
      <c r="B53" s="26"/>
      <c r="C53" s="27"/>
      <c r="D53" s="28"/>
      <c r="E53" s="29"/>
      <c r="F53" s="30"/>
      <c r="G53" s="24">
        <v>1</v>
      </c>
    </row>
    <row r="54" spans="1:10" ht="15" customHeight="1">
      <c r="A54" s="25"/>
      <c r="B54" s="26"/>
      <c r="C54" s="27"/>
      <c r="D54" s="28"/>
      <c r="E54" s="29"/>
      <c r="F54" s="30"/>
      <c r="G54" s="24">
        <v>1</v>
      </c>
    </row>
    <row r="55" spans="1:10" ht="15" customHeight="1">
      <c r="A55" s="25"/>
      <c r="B55" s="26"/>
      <c r="C55" s="27"/>
      <c r="D55" s="28"/>
      <c r="E55" s="29"/>
      <c r="F55" s="30"/>
      <c r="G55" s="24">
        <v>1</v>
      </c>
    </row>
    <row r="56" spans="1:10" ht="15" customHeight="1">
      <c r="A56" s="25"/>
      <c r="B56" s="26"/>
      <c r="C56" s="27"/>
      <c r="D56" s="28"/>
      <c r="E56" s="29"/>
      <c r="F56" s="30"/>
      <c r="G56" s="24">
        <v>1</v>
      </c>
    </row>
    <row r="57" spans="1:10" ht="15" customHeight="1">
      <c r="A57" s="25"/>
      <c r="B57" s="26"/>
      <c r="C57" s="27"/>
      <c r="D57" s="28"/>
      <c r="E57" s="29"/>
      <c r="F57" s="30"/>
      <c r="G57" s="24">
        <v>1</v>
      </c>
    </row>
    <row r="58" spans="1:10" ht="15" customHeight="1">
      <c r="A58" s="25"/>
      <c r="B58" s="26"/>
      <c r="C58" s="27"/>
      <c r="D58" s="28"/>
      <c r="E58" s="29"/>
      <c r="F58" s="30"/>
      <c r="G58" s="24">
        <v>1</v>
      </c>
    </row>
    <row r="59" spans="1:10" ht="15" customHeight="1">
      <c r="A59" s="25"/>
      <c r="B59" s="26"/>
      <c r="C59" s="27"/>
      <c r="D59" s="28"/>
      <c r="E59" s="29"/>
      <c r="F59" s="30"/>
      <c r="G59" s="24">
        <v>1</v>
      </c>
    </row>
    <row r="60" spans="1:10" ht="15" customHeight="1">
      <c r="A60" s="25"/>
      <c r="B60" s="26"/>
      <c r="C60" s="27"/>
      <c r="D60" s="28"/>
      <c r="E60" s="29"/>
      <c r="F60" s="30"/>
      <c r="G60" s="24">
        <v>1</v>
      </c>
    </row>
    <row r="61" spans="1:10" ht="15" customHeight="1">
      <c r="A61" s="25"/>
      <c r="B61" s="26"/>
      <c r="C61" s="27"/>
      <c r="D61" s="28"/>
      <c r="E61" s="29"/>
      <c r="F61" s="30"/>
      <c r="G61" s="24">
        <v>1</v>
      </c>
    </row>
    <row r="62" spans="1:10" ht="15" customHeight="1">
      <c r="A62" s="25"/>
      <c r="B62" s="26"/>
      <c r="C62" s="27"/>
      <c r="D62" s="28"/>
      <c r="E62" s="29"/>
      <c r="F62" s="30"/>
      <c r="G62" s="24">
        <v>1</v>
      </c>
    </row>
    <row r="63" spans="1:10" ht="15" customHeight="1">
      <c r="A63" s="25"/>
      <c r="B63" s="26"/>
      <c r="C63" s="27"/>
      <c r="D63" s="28"/>
      <c r="E63" s="29"/>
      <c r="F63" s="30"/>
      <c r="G63" s="24">
        <v>1</v>
      </c>
    </row>
    <row r="64" spans="1:10" ht="15" customHeight="1">
      <c r="A64" s="25"/>
      <c r="B64" s="26"/>
      <c r="C64" s="27"/>
      <c r="D64" s="28"/>
      <c r="E64" s="29"/>
      <c r="F64" s="30"/>
      <c r="G64" s="24">
        <v>1</v>
      </c>
    </row>
    <row r="65" spans="1:7" ht="15" customHeight="1">
      <c r="A65" s="25"/>
      <c r="B65" s="26"/>
      <c r="C65" s="27"/>
      <c r="D65" s="28"/>
      <c r="E65" s="29"/>
      <c r="F65" s="30"/>
      <c r="G65" s="24">
        <v>1</v>
      </c>
    </row>
    <row r="66" spans="1:7" ht="15" customHeight="1">
      <c r="A66" s="25"/>
      <c r="B66" s="26"/>
      <c r="C66" s="27"/>
      <c r="D66" s="28"/>
      <c r="E66" s="29"/>
      <c r="F66" s="30"/>
      <c r="G66" s="24">
        <v>1</v>
      </c>
    </row>
    <row r="67" spans="1:7" ht="15" customHeight="1">
      <c r="A67" s="25"/>
      <c r="B67" s="26"/>
      <c r="C67" s="27"/>
      <c r="D67" s="28"/>
      <c r="E67" s="29"/>
      <c r="F67" s="30"/>
      <c r="G67" s="24">
        <v>1</v>
      </c>
    </row>
    <row r="68" spans="1:7" ht="15" customHeight="1">
      <c r="A68" s="25"/>
      <c r="B68" s="26"/>
      <c r="C68" s="27"/>
      <c r="D68" s="28"/>
      <c r="E68" s="29"/>
      <c r="F68" s="30"/>
      <c r="G68" s="24">
        <v>1</v>
      </c>
    </row>
    <row r="69" spans="1:7" ht="15" customHeight="1">
      <c r="A69" s="25"/>
      <c r="B69" s="26"/>
      <c r="C69" s="27"/>
      <c r="D69" s="28"/>
      <c r="E69" s="29"/>
      <c r="F69" s="30"/>
      <c r="G69" s="24">
        <v>1</v>
      </c>
    </row>
    <row r="70" spans="1:7" ht="15" customHeight="1">
      <c r="A70" s="25"/>
      <c r="B70" s="26"/>
      <c r="C70" s="31"/>
      <c r="D70" s="32"/>
      <c r="E70" s="29"/>
      <c r="F70" s="30"/>
      <c r="G70" s="24">
        <v>1</v>
      </c>
    </row>
    <row r="71" spans="1:7" ht="15" customHeight="1">
      <c r="A71" s="25"/>
      <c r="B71" s="26"/>
      <c r="C71" s="31"/>
      <c r="D71" s="32"/>
      <c r="E71" s="29"/>
      <c r="F71" s="30"/>
      <c r="G71" s="24">
        <v>1</v>
      </c>
    </row>
    <row r="72" spans="1:7" ht="15" customHeight="1">
      <c r="A72" s="25"/>
      <c r="B72" s="26"/>
      <c r="C72" s="31"/>
      <c r="D72" s="32"/>
      <c r="E72" s="29"/>
      <c r="F72" s="30"/>
      <c r="G72" s="24">
        <v>1</v>
      </c>
    </row>
    <row r="73" spans="1:7" ht="15" customHeight="1">
      <c r="A73" s="25"/>
      <c r="B73" s="26"/>
      <c r="C73" s="31"/>
      <c r="D73" s="32"/>
      <c r="E73" s="29"/>
      <c r="F73" s="30"/>
      <c r="G73" s="24">
        <v>1</v>
      </c>
    </row>
    <row r="74" spans="1:7" ht="15" customHeight="1">
      <c r="A74" s="25"/>
      <c r="B74" s="26"/>
      <c r="C74" s="31"/>
      <c r="D74" s="32"/>
      <c r="E74" s="29"/>
      <c r="F74" s="30"/>
      <c r="G74" s="24">
        <v>1</v>
      </c>
    </row>
    <row r="75" spans="1:7" ht="15" customHeight="1">
      <c r="A75" s="25"/>
      <c r="B75" s="26"/>
      <c r="C75" s="31"/>
      <c r="D75" s="32"/>
      <c r="E75" s="29"/>
      <c r="F75" s="30"/>
      <c r="G75" s="24">
        <v>1</v>
      </c>
    </row>
    <row r="76" spans="1:7" ht="15" customHeight="1">
      <c r="A76" s="25"/>
      <c r="B76" s="26"/>
      <c r="C76" s="31"/>
      <c r="D76" s="32"/>
      <c r="E76" s="29"/>
      <c r="F76" s="30"/>
      <c r="G76" s="24">
        <v>1</v>
      </c>
    </row>
    <row r="77" spans="1:7" ht="15" customHeight="1">
      <c r="A77" s="25"/>
      <c r="B77" s="26"/>
      <c r="C77" s="31"/>
      <c r="D77" s="32"/>
      <c r="E77" s="29"/>
      <c r="F77" s="30"/>
      <c r="G77" s="24">
        <v>1</v>
      </c>
    </row>
    <row r="78" spans="1:7">
      <c r="A78" s="25"/>
      <c r="B78" s="26"/>
      <c r="C78" s="27"/>
      <c r="D78" s="28"/>
      <c r="E78" s="29"/>
      <c r="F78" s="30"/>
      <c r="G78" s="24">
        <v>1</v>
      </c>
    </row>
    <row r="79" spans="1:7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>
      <selection activeCell="C55" sqref="C55"/>
    </sheetView>
  </sheetViews>
  <sheetFormatPr defaultColWidth="11.42578125" defaultRowHeight="15"/>
  <cols>
    <col min="1" max="1" width="6.140625" customWidth="1"/>
    <col min="2" max="2" width="10.140625" customWidth="1"/>
    <col min="6" max="6" width="17.85546875" customWidth="1"/>
    <col min="7" max="7" width="0" hidden="1" customWidth="1"/>
    <col min="8" max="8" width="22.140625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SUMIF(F7:F160,"Elimination*",G7:G110)</f>
        <v>0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SUMIF(F7:F160,"NB*",G7:G110)</f>
        <v>0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SUMIF(F7:F160,"Vente*",G7:G110)</f>
        <v>0</v>
      </c>
    </row>
    <row r="5" spans="1:11" ht="15.75">
      <c r="A5" s="34" t="s">
        <v>100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0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>
      <selection activeCell="K5" sqref="K5"/>
    </sheetView>
  </sheetViews>
  <sheetFormatPr defaultColWidth="11.42578125" defaultRowHeight="15"/>
  <cols>
    <col min="1" max="1" width="6.7109375" customWidth="1"/>
    <col min="6" max="6" width="16.5703125" customWidth="1"/>
    <col min="7" max="7" width="2.7109375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SUMIF(F7:F160,"Elimination*",G7:G110)</f>
        <v>10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SUMIF(F7:F160,"NB*",G7:G110)</f>
        <v>0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SUMIF(F7:F160,"Vente*",G7:G110)</f>
        <v>1</v>
      </c>
    </row>
    <row r="5" spans="1:11" ht="15.75">
      <c r="A5" s="34" t="s">
        <v>101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11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 ht="15" customHeight="1">
      <c r="A7" s="10">
        <v>1</v>
      </c>
      <c r="B7" s="20" t="s">
        <v>112</v>
      </c>
      <c r="C7" s="11" t="s">
        <v>21</v>
      </c>
      <c r="D7" s="21" t="s">
        <v>102</v>
      </c>
      <c r="E7" s="1">
        <v>42071</v>
      </c>
      <c r="F7" s="12" t="s">
        <v>98</v>
      </c>
      <c r="G7" s="13">
        <v>1</v>
      </c>
      <c r="H7" s="14"/>
      <c r="I7" s="14"/>
      <c r="J7" s="14"/>
    </row>
    <row r="8" spans="1:11">
      <c r="A8" s="10">
        <f>+A7+1</f>
        <v>2</v>
      </c>
      <c r="B8" s="20" t="s">
        <v>113</v>
      </c>
      <c r="C8" s="11" t="s">
        <v>21</v>
      </c>
      <c r="D8" s="21" t="s">
        <v>103</v>
      </c>
      <c r="E8" s="1">
        <v>42071</v>
      </c>
      <c r="F8" s="12" t="s">
        <v>98</v>
      </c>
      <c r="G8" s="13">
        <v>1</v>
      </c>
      <c r="H8" s="15"/>
      <c r="I8" s="16"/>
      <c r="J8" s="16"/>
    </row>
    <row r="9" spans="1:11">
      <c r="A9" s="10">
        <f t="shared" ref="A9:A46" si="0">+A8+1</f>
        <v>3</v>
      </c>
      <c r="B9" s="20" t="s">
        <v>114</v>
      </c>
      <c r="C9" s="11" t="s">
        <v>21</v>
      </c>
      <c r="D9" s="21" t="s">
        <v>104</v>
      </c>
      <c r="E9" s="1">
        <v>42071</v>
      </c>
      <c r="F9" s="12" t="s">
        <v>98</v>
      </c>
      <c r="G9" s="13">
        <v>1</v>
      </c>
      <c r="H9" s="15"/>
      <c r="I9" s="16"/>
      <c r="J9" s="16"/>
    </row>
    <row r="10" spans="1:11">
      <c r="A10" s="10">
        <f t="shared" si="0"/>
        <v>4</v>
      </c>
      <c r="B10" s="20" t="s">
        <v>115</v>
      </c>
      <c r="C10" s="11" t="s">
        <v>21</v>
      </c>
      <c r="D10" s="21" t="s">
        <v>105</v>
      </c>
      <c r="E10" s="1">
        <v>42071</v>
      </c>
      <c r="F10" s="12" t="s">
        <v>98</v>
      </c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 t="s">
        <v>116</v>
      </c>
      <c r="C11" s="11" t="s">
        <v>21</v>
      </c>
      <c r="D11" s="21" t="s">
        <v>106</v>
      </c>
      <c r="E11" s="1">
        <v>42071</v>
      </c>
      <c r="F11" s="12" t="s">
        <v>98</v>
      </c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 t="s">
        <v>117</v>
      </c>
      <c r="C12" s="11" t="s">
        <v>21</v>
      </c>
      <c r="D12" s="21" t="s">
        <v>107</v>
      </c>
      <c r="E12" s="1">
        <v>42071</v>
      </c>
      <c r="F12" s="12" t="s">
        <v>98</v>
      </c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 t="s">
        <v>118</v>
      </c>
      <c r="C13" s="11" t="s">
        <v>21</v>
      </c>
      <c r="D13" s="21" t="s">
        <v>108</v>
      </c>
      <c r="E13" s="1">
        <v>42071</v>
      </c>
      <c r="F13" s="12" t="s">
        <v>98</v>
      </c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 t="s">
        <v>119</v>
      </c>
      <c r="C14" s="11" t="s">
        <v>21</v>
      </c>
      <c r="D14" s="21" t="s">
        <v>109</v>
      </c>
      <c r="E14" s="1">
        <v>42071</v>
      </c>
      <c r="F14" s="12" t="s">
        <v>98</v>
      </c>
      <c r="G14" s="17">
        <v>1</v>
      </c>
      <c r="H14" s="18"/>
      <c r="I14" s="16"/>
      <c r="J14" s="16"/>
    </row>
    <row r="15" spans="1:11">
      <c r="A15" s="10">
        <f t="shared" si="0"/>
        <v>9</v>
      </c>
      <c r="B15" s="20" t="s">
        <v>120</v>
      </c>
      <c r="C15" s="11" t="s">
        <v>21</v>
      </c>
      <c r="D15" s="21" t="s">
        <v>110</v>
      </c>
      <c r="E15" s="1">
        <v>42071</v>
      </c>
      <c r="F15" s="12" t="s">
        <v>98</v>
      </c>
      <c r="G15" s="17">
        <v>1</v>
      </c>
      <c r="H15" s="18"/>
      <c r="I15" s="16"/>
      <c r="J15" s="16"/>
    </row>
    <row r="16" spans="1:11">
      <c r="A16" s="10">
        <f t="shared" si="0"/>
        <v>10</v>
      </c>
      <c r="B16" s="20" t="s">
        <v>121</v>
      </c>
      <c r="C16" s="11" t="s">
        <v>21</v>
      </c>
      <c r="D16" s="21" t="s">
        <v>111</v>
      </c>
      <c r="E16" s="1">
        <v>42071</v>
      </c>
      <c r="F16" s="12" t="s">
        <v>98</v>
      </c>
      <c r="G16" s="17">
        <v>1</v>
      </c>
      <c r="H16" s="18"/>
      <c r="I16" s="16"/>
      <c r="J16" s="16"/>
    </row>
    <row r="17" spans="1:10">
      <c r="A17" s="10">
        <f t="shared" si="0"/>
        <v>11</v>
      </c>
      <c r="B17" s="20" t="s">
        <v>122</v>
      </c>
      <c r="C17" s="11" t="s">
        <v>21</v>
      </c>
      <c r="D17" s="21" t="s">
        <v>123</v>
      </c>
      <c r="E17" s="1">
        <v>42082</v>
      </c>
      <c r="F17" s="12" t="s">
        <v>124</v>
      </c>
      <c r="G17" s="17">
        <v>1</v>
      </c>
      <c r="H17" s="18"/>
      <c r="I17" s="16"/>
      <c r="J17" s="16"/>
    </row>
    <row r="18" spans="1:10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selection activeCell="B10" sqref="B10"/>
    </sheetView>
  </sheetViews>
  <sheetFormatPr defaultColWidth="11.42578125" defaultRowHeight="15"/>
  <cols>
    <col min="1" max="1" width="6.7109375" customWidth="1"/>
    <col min="6" max="6" width="16.5703125" customWidth="1"/>
    <col min="7" max="7" width="0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SUMIF(F7:F112,"Elimination*",G7:G62)</f>
        <v>2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SUMIF(F7:F112,"NB*",G7:G62)</f>
        <v>8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SUMIF(F7:F112,"Vente*",G7:G62)</f>
        <v>0</v>
      </c>
    </row>
    <row r="5" spans="1:11" ht="15.75">
      <c r="A5" s="34" t="s">
        <v>125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10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 t="s">
        <v>228</v>
      </c>
      <c r="C7" s="11" t="s">
        <v>21</v>
      </c>
      <c r="D7" s="21" t="s">
        <v>175</v>
      </c>
      <c r="E7" s="1">
        <v>42106</v>
      </c>
      <c r="F7" s="12" t="s">
        <v>186</v>
      </c>
      <c r="G7" s="13">
        <v>1</v>
      </c>
      <c r="H7" s="14"/>
      <c r="I7" s="14"/>
      <c r="J7" s="14"/>
    </row>
    <row r="8" spans="1:11">
      <c r="A8" s="10">
        <f>+A7+1</f>
        <v>2</v>
      </c>
      <c r="B8" s="20" t="s">
        <v>231</v>
      </c>
      <c r="C8" s="11" t="s">
        <v>21</v>
      </c>
      <c r="D8" s="21" t="s">
        <v>176</v>
      </c>
      <c r="E8" s="1">
        <v>42106</v>
      </c>
      <c r="F8" s="12" t="s">
        <v>186</v>
      </c>
      <c r="G8" s="13">
        <v>1</v>
      </c>
      <c r="H8" s="15"/>
      <c r="I8" s="16"/>
      <c r="J8" s="16"/>
    </row>
    <row r="9" spans="1:11">
      <c r="A9" s="10">
        <f t="shared" ref="A9:A16" si="0">+A8+1</f>
        <v>3</v>
      </c>
      <c r="B9" s="20" t="s">
        <v>232</v>
      </c>
      <c r="C9" s="11" t="s">
        <v>21</v>
      </c>
      <c r="D9" s="21" t="s">
        <v>177</v>
      </c>
      <c r="E9" s="1">
        <v>42107</v>
      </c>
      <c r="F9" s="12" t="s">
        <v>186</v>
      </c>
      <c r="G9" s="13">
        <v>1</v>
      </c>
      <c r="H9" s="15"/>
      <c r="I9" s="16"/>
      <c r="J9" s="16"/>
    </row>
    <row r="10" spans="1:11">
      <c r="A10" s="10">
        <f t="shared" si="0"/>
        <v>4</v>
      </c>
      <c r="B10" s="20" t="s">
        <v>140</v>
      </c>
      <c r="C10" s="11" t="s">
        <v>21</v>
      </c>
      <c r="D10" s="21" t="s">
        <v>179</v>
      </c>
      <c r="E10" s="1">
        <v>42115</v>
      </c>
      <c r="F10" s="12" t="s">
        <v>186</v>
      </c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 t="s">
        <v>230</v>
      </c>
      <c r="C11" s="11" t="s">
        <v>21</v>
      </c>
      <c r="D11" s="21" t="s">
        <v>178</v>
      </c>
      <c r="E11" s="1">
        <v>42116</v>
      </c>
      <c r="F11" s="12" t="s">
        <v>186</v>
      </c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 t="s">
        <v>229</v>
      </c>
      <c r="C12" s="11" t="s">
        <v>21</v>
      </c>
      <c r="D12" s="21" t="s">
        <v>180</v>
      </c>
      <c r="E12" s="1">
        <v>42116</v>
      </c>
      <c r="F12" s="12" t="s">
        <v>186</v>
      </c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 t="s">
        <v>140</v>
      </c>
      <c r="C13" s="11" t="s">
        <v>21</v>
      </c>
      <c r="D13" s="21" t="s">
        <v>181</v>
      </c>
      <c r="E13" s="1">
        <v>42116</v>
      </c>
      <c r="F13" s="12" t="s">
        <v>186</v>
      </c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 t="s">
        <v>140</v>
      </c>
      <c r="C14" s="11" t="s">
        <v>21</v>
      </c>
      <c r="D14" s="21" t="s">
        <v>182</v>
      </c>
      <c r="E14" s="1">
        <v>42116</v>
      </c>
      <c r="F14" s="12" t="s">
        <v>186</v>
      </c>
      <c r="G14" s="17">
        <v>1</v>
      </c>
      <c r="H14" s="18"/>
      <c r="I14" s="16"/>
      <c r="J14" s="16"/>
    </row>
    <row r="15" spans="1:11">
      <c r="A15" s="10">
        <f t="shared" si="0"/>
        <v>9</v>
      </c>
      <c r="B15" s="20" t="s">
        <v>184</v>
      </c>
      <c r="C15" s="11" t="s">
        <v>21</v>
      </c>
      <c r="D15" s="21" t="s">
        <v>183</v>
      </c>
      <c r="E15" s="1">
        <v>42120</v>
      </c>
      <c r="F15" s="12" t="s">
        <v>98</v>
      </c>
      <c r="G15" s="17">
        <v>1</v>
      </c>
      <c r="H15" s="18"/>
      <c r="I15" s="16"/>
      <c r="J15" s="16"/>
    </row>
    <row r="16" spans="1:11">
      <c r="A16" s="10">
        <f t="shared" si="0"/>
        <v>10</v>
      </c>
      <c r="B16" s="20" t="s">
        <v>185</v>
      </c>
      <c r="C16" s="11" t="s">
        <v>21</v>
      </c>
      <c r="D16" s="21" t="s">
        <v>187</v>
      </c>
      <c r="E16" s="1">
        <v>42120</v>
      </c>
      <c r="F16" s="12" t="s">
        <v>98</v>
      </c>
      <c r="G16" s="17">
        <v>1</v>
      </c>
      <c r="H16" s="18"/>
      <c r="I16" s="16"/>
      <c r="J16" s="16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workbookViewId="0">
      <selection activeCell="D7" sqref="D7"/>
    </sheetView>
  </sheetViews>
  <sheetFormatPr defaultColWidth="11.42578125" defaultRowHeight="15"/>
  <cols>
    <col min="1" max="1" width="6.7109375" customWidth="1"/>
    <col min="6" max="6" width="16.5703125" customWidth="1"/>
    <col min="7" max="7" width="0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SUMIF(F7:F160,"Elimination*",G7:G110)</f>
        <v>1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SUMIF(F7:F160,"NB*",G7:G110)</f>
        <v>0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SUMIF(F7:F160,"Vente*",G7:G110)</f>
        <v>0</v>
      </c>
    </row>
    <row r="5" spans="1:11" ht="15.75">
      <c r="A5" s="34" t="s">
        <v>126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1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 t="s">
        <v>143</v>
      </c>
      <c r="C7" s="11" t="s">
        <v>21</v>
      </c>
      <c r="D7" s="21" t="s">
        <v>144</v>
      </c>
      <c r="E7" s="1">
        <v>42134</v>
      </c>
      <c r="F7" s="12" t="s">
        <v>98</v>
      </c>
      <c r="G7" s="13">
        <v>1</v>
      </c>
      <c r="H7" s="14"/>
      <c r="I7" s="14"/>
      <c r="J7" s="14"/>
    </row>
    <row r="8" spans="1:1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selection activeCell="D9" sqref="D9"/>
    </sheetView>
  </sheetViews>
  <sheetFormatPr defaultColWidth="11.42578125" defaultRowHeight="15"/>
  <cols>
    <col min="1" max="1" width="6.7109375" customWidth="1"/>
    <col min="6" max="6" width="16.5703125" customWidth="1"/>
    <col min="7" max="7" width="1.85546875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SUMIF(F7:F127,"Elimination*",G7:G77)</f>
        <v>12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SUMIF(F7:F127,"NB*",G7:G77)</f>
        <v>1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SUMIF(F7:F127,"Vente*",G7:G77)</f>
        <v>0</v>
      </c>
    </row>
    <row r="5" spans="1:11" ht="15.75">
      <c r="A5" s="34" t="s">
        <v>127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13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 t="s">
        <v>145</v>
      </c>
      <c r="C7" s="11" t="s">
        <v>21</v>
      </c>
      <c r="D7" s="21" t="s">
        <v>136</v>
      </c>
      <c r="E7" s="1">
        <v>42156</v>
      </c>
      <c r="F7" s="12" t="s">
        <v>98</v>
      </c>
      <c r="G7" s="13">
        <v>1</v>
      </c>
      <c r="H7" s="14"/>
      <c r="I7" s="14"/>
      <c r="J7" s="14"/>
    </row>
    <row r="8" spans="1:11">
      <c r="A8" s="10">
        <f>+A7+1</f>
        <v>2</v>
      </c>
      <c r="B8" s="20" t="s">
        <v>156</v>
      </c>
      <c r="C8" s="11" t="s">
        <v>21</v>
      </c>
      <c r="D8" s="21" t="s">
        <v>135</v>
      </c>
      <c r="E8" s="1">
        <v>42156</v>
      </c>
      <c r="F8" s="12" t="s">
        <v>98</v>
      </c>
      <c r="G8" s="13">
        <v>1</v>
      </c>
      <c r="H8" s="15"/>
      <c r="I8" s="16"/>
      <c r="J8" s="16"/>
    </row>
    <row r="9" spans="1:11">
      <c r="A9" s="10">
        <f t="shared" ref="A9:A19" si="0">+A8+1</f>
        <v>3</v>
      </c>
      <c r="B9" s="20" t="s">
        <v>140</v>
      </c>
      <c r="C9" s="11" t="s">
        <v>21</v>
      </c>
      <c r="D9" s="21" t="s">
        <v>141</v>
      </c>
      <c r="E9" s="1">
        <v>42162</v>
      </c>
      <c r="F9" s="12" t="s">
        <v>142</v>
      </c>
      <c r="G9" s="13">
        <v>1</v>
      </c>
      <c r="H9" s="15"/>
      <c r="I9" s="16"/>
      <c r="J9" s="16"/>
    </row>
    <row r="10" spans="1:11">
      <c r="A10" s="10">
        <f t="shared" si="0"/>
        <v>4</v>
      </c>
      <c r="B10" s="20" t="s">
        <v>146</v>
      </c>
      <c r="C10" s="11" t="s">
        <v>21</v>
      </c>
      <c r="D10" s="21" t="s">
        <v>128</v>
      </c>
      <c r="E10" s="1">
        <v>42185</v>
      </c>
      <c r="F10" s="12" t="s">
        <v>98</v>
      </c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 t="s">
        <v>147</v>
      </c>
      <c r="C11" s="11" t="s">
        <v>21</v>
      </c>
      <c r="D11" s="21" t="s">
        <v>133</v>
      </c>
      <c r="E11" s="1">
        <v>42185</v>
      </c>
      <c r="F11" s="12" t="s">
        <v>98</v>
      </c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 t="s">
        <v>148</v>
      </c>
      <c r="C12" s="11" t="s">
        <v>21</v>
      </c>
      <c r="D12" s="21" t="s">
        <v>134</v>
      </c>
      <c r="E12" s="1">
        <v>42185</v>
      </c>
      <c r="F12" s="12" t="s">
        <v>98</v>
      </c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 t="s">
        <v>149</v>
      </c>
      <c r="C13" s="11" t="s">
        <v>21</v>
      </c>
      <c r="D13" s="21" t="s">
        <v>138</v>
      </c>
      <c r="E13" s="1">
        <v>42185</v>
      </c>
      <c r="F13" s="12" t="s">
        <v>98</v>
      </c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 t="s">
        <v>150</v>
      </c>
      <c r="C14" s="11" t="s">
        <v>21</v>
      </c>
      <c r="D14" s="21" t="s">
        <v>137</v>
      </c>
      <c r="E14" s="1">
        <v>42185</v>
      </c>
      <c r="F14" s="12" t="s">
        <v>98</v>
      </c>
      <c r="G14" s="17">
        <v>1</v>
      </c>
      <c r="H14" s="18"/>
      <c r="I14" s="16"/>
      <c r="J14" s="16"/>
    </row>
    <row r="15" spans="1:11">
      <c r="A15" s="10">
        <f t="shared" si="0"/>
        <v>9</v>
      </c>
      <c r="B15" s="20" t="s">
        <v>151</v>
      </c>
      <c r="C15" s="11" t="s">
        <v>21</v>
      </c>
      <c r="D15" s="21" t="s">
        <v>129</v>
      </c>
      <c r="E15" s="1">
        <v>42185</v>
      </c>
      <c r="F15" s="12" t="s">
        <v>98</v>
      </c>
      <c r="G15" s="17">
        <v>1</v>
      </c>
      <c r="H15" s="18"/>
      <c r="I15" s="16"/>
      <c r="J15" s="16"/>
    </row>
    <row r="16" spans="1:11">
      <c r="A16" s="10">
        <f t="shared" si="0"/>
        <v>10</v>
      </c>
      <c r="B16" s="20" t="s">
        <v>152</v>
      </c>
      <c r="C16" s="11" t="s">
        <v>21</v>
      </c>
      <c r="D16" s="21" t="s">
        <v>139</v>
      </c>
      <c r="E16" s="1">
        <v>42185</v>
      </c>
      <c r="F16" s="12" t="s">
        <v>98</v>
      </c>
      <c r="G16" s="17">
        <v>1</v>
      </c>
      <c r="H16" s="18"/>
      <c r="I16" s="16"/>
      <c r="J16" s="16"/>
    </row>
    <row r="17" spans="1:10">
      <c r="A17" s="10">
        <f t="shared" si="0"/>
        <v>11</v>
      </c>
      <c r="B17" s="20" t="s">
        <v>153</v>
      </c>
      <c r="C17" s="11" t="s">
        <v>21</v>
      </c>
      <c r="D17" s="21" t="s">
        <v>130</v>
      </c>
      <c r="E17" s="1">
        <v>42185</v>
      </c>
      <c r="F17" s="12" t="s">
        <v>98</v>
      </c>
      <c r="G17" s="17">
        <v>1</v>
      </c>
      <c r="H17" s="18"/>
      <c r="I17" s="16"/>
      <c r="J17" s="16"/>
    </row>
    <row r="18" spans="1:10">
      <c r="A18" s="10">
        <f t="shared" si="0"/>
        <v>12</v>
      </c>
      <c r="B18" s="20" t="s">
        <v>154</v>
      </c>
      <c r="C18" s="11" t="s">
        <v>21</v>
      </c>
      <c r="D18" s="21" t="s">
        <v>131</v>
      </c>
      <c r="E18" s="1">
        <v>42185</v>
      </c>
      <c r="F18" s="12" t="s">
        <v>98</v>
      </c>
      <c r="G18" s="17">
        <v>1</v>
      </c>
      <c r="H18" s="18"/>
      <c r="I18" s="16"/>
      <c r="J18" s="16"/>
    </row>
    <row r="19" spans="1:10">
      <c r="A19" s="10">
        <f t="shared" si="0"/>
        <v>13</v>
      </c>
      <c r="B19" s="20" t="s">
        <v>155</v>
      </c>
      <c r="C19" s="11" t="s">
        <v>21</v>
      </c>
      <c r="D19" s="21" t="s">
        <v>132</v>
      </c>
      <c r="E19" s="1">
        <v>42185</v>
      </c>
      <c r="F19" s="12" t="s">
        <v>98</v>
      </c>
      <c r="G19" s="17">
        <v>1</v>
      </c>
      <c r="H19" s="18"/>
      <c r="I19" s="16"/>
      <c r="J19" s="16"/>
    </row>
  </sheetData>
  <sheetProtection sheet="1" objects="1" scenarios="1"/>
  <sortState ref="B7:F19">
    <sortCondition ref="E7:E1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topLeftCell="A4" workbookViewId="0">
      <selection activeCell="E16" sqref="E16"/>
    </sheetView>
  </sheetViews>
  <sheetFormatPr defaultColWidth="11.42578125" defaultRowHeight="15"/>
  <cols>
    <col min="1" max="1" width="6.7109375" customWidth="1"/>
    <col min="4" max="4" width="18.140625" bestFit="1" customWidth="1"/>
    <col min="6" max="6" width="16.5703125" customWidth="1"/>
    <col min="7" max="7" width="2.85546875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SUMIF(F7:F113,"Elimination*",G7:G63)</f>
        <v>7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SUMIF(F7:F113,"NB*",G7:G63)</f>
        <v>0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SUMIF(F7:F113,"Vente*",G7:G63)</f>
        <v>0</v>
      </c>
    </row>
    <row r="5" spans="1:11" ht="15.75">
      <c r="A5" s="34" t="s">
        <v>173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7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 t="s">
        <v>157</v>
      </c>
      <c r="C7" s="11">
        <v>65</v>
      </c>
      <c r="D7" s="21" t="s">
        <v>158</v>
      </c>
      <c r="E7" s="1">
        <v>42201</v>
      </c>
      <c r="F7" s="12" t="s">
        <v>98</v>
      </c>
      <c r="G7" s="17">
        <v>1</v>
      </c>
      <c r="H7" s="18"/>
      <c r="I7" s="16"/>
      <c r="J7" s="16"/>
    </row>
    <row r="8" spans="1:11">
      <c r="A8" s="10">
        <f t="shared" ref="A8:A13" si="0">+A7+1</f>
        <v>2</v>
      </c>
      <c r="B8" s="20" t="s">
        <v>159</v>
      </c>
      <c r="C8" s="11">
        <v>50</v>
      </c>
      <c r="D8" s="21" t="s">
        <v>160</v>
      </c>
      <c r="E8" s="1">
        <v>42201</v>
      </c>
      <c r="F8" s="12" t="s">
        <v>98</v>
      </c>
      <c r="G8" s="17">
        <v>1</v>
      </c>
      <c r="H8" s="18"/>
      <c r="I8" s="16"/>
      <c r="J8" s="16"/>
    </row>
    <row r="9" spans="1:11">
      <c r="A9" s="10">
        <f t="shared" si="0"/>
        <v>3</v>
      </c>
      <c r="B9" s="20" t="s">
        <v>161</v>
      </c>
      <c r="C9" s="11">
        <v>50</v>
      </c>
      <c r="D9" s="21" t="s">
        <v>162</v>
      </c>
      <c r="E9" s="1">
        <v>42208</v>
      </c>
      <c r="F9" s="12" t="s">
        <v>98</v>
      </c>
      <c r="G9" s="17">
        <v>1</v>
      </c>
      <c r="H9" s="18" t="s">
        <v>164</v>
      </c>
      <c r="I9" s="16"/>
      <c r="J9" s="16"/>
    </row>
    <row r="10" spans="1:11">
      <c r="A10" s="10">
        <f t="shared" si="0"/>
        <v>4</v>
      </c>
      <c r="B10" s="20" t="s">
        <v>163</v>
      </c>
      <c r="C10" s="11">
        <v>80</v>
      </c>
      <c r="D10" s="21" t="s">
        <v>165</v>
      </c>
      <c r="E10" s="1">
        <v>42208</v>
      </c>
      <c r="F10" s="12" t="s">
        <v>98</v>
      </c>
      <c r="G10" s="17">
        <v>1</v>
      </c>
    </row>
    <row r="11" spans="1:11">
      <c r="A11" s="10">
        <f t="shared" si="0"/>
        <v>5</v>
      </c>
      <c r="B11" s="20" t="s">
        <v>166</v>
      </c>
      <c r="C11" s="11">
        <v>65</v>
      </c>
      <c r="D11" s="21" t="s">
        <v>167</v>
      </c>
      <c r="E11" s="1">
        <v>42211</v>
      </c>
      <c r="F11" s="12" t="s">
        <v>98</v>
      </c>
      <c r="G11" s="17">
        <v>1</v>
      </c>
    </row>
    <row r="12" spans="1:11">
      <c r="A12" s="10">
        <f t="shared" si="0"/>
        <v>6</v>
      </c>
      <c r="B12" s="20" t="s">
        <v>168</v>
      </c>
      <c r="C12" s="11">
        <v>65</v>
      </c>
      <c r="D12" s="21" t="s">
        <v>169</v>
      </c>
      <c r="E12" s="1">
        <v>42214</v>
      </c>
      <c r="F12" s="12" t="s">
        <v>98</v>
      </c>
      <c r="G12" s="17">
        <v>1</v>
      </c>
    </row>
    <row r="13" spans="1:11">
      <c r="A13" s="10">
        <f t="shared" si="0"/>
        <v>7</v>
      </c>
      <c r="B13" s="20" t="s">
        <v>170</v>
      </c>
      <c r="C13" s="11" t="s">
        <v>172</v>
      </c>
      <c r="D13" s="21" t="s">
        <v>171</v>
      </c>
      <c r="E13" s="1">
        <v>42214</v>
      </c>
      <c r="F13" s="12" t="s">
        <v>98</v>
      </c>
      <c r="G13" s="17">
        <v>1</v>
      </c>
      <c r="H13" s="18" t="s">
        <v>164</v>
      </c>
    </row>
  </sheetData>
  <sheetProtection sheet="1" objects="1" scenarios="1"/>
  <sortState ref="B7:F16">
    <sortCondition ref="D7:D1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selection activeCell="F15" sqref="F15"/>
    </sheetView>
  </sheetViews>
  <sheetFormatPr defaultColWidth="11.42578125" defaultRowHeight="15"/>
  <cols>
    <col min="1" max="1" width="6.7109375" customWidth="1"/>
    <col min="4" max="4" width="18.140625" bestFit="1" customWidth="1"/>
    <col min="6" max="6" width="20" customWidth="1"/>
    <col min="7" max="7" width="1.85546875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SUMIF(F7:F91,"Elimination*",G7:G41)</f>
        <v>0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SUMIF(F7:F91,"NB*",G7:G41)</f>
        <v>5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SUMIF(F7:F91,"Vente*",G7:G41)</f>
        <v>0</v>
      </c>
    </row>
    <row r="5" spans="1:11" ht="15.75">
      <c r="A5" s="34" t="s">
        <v>174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5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 ht="15" customHeight="1">
      <c r="A7" s="10">
        <v>1</v>
      </c>
      <c r="B7" s="20" t="s">
        <v>140</v>
      </c>
      <c r="C7" s="11" t="s">
        <v>21</v>
      </c>
      <c r="D7" s="21" t="s">
        <v>189</v>
      </c>
      <c r="E7" s="1">
        <v>42220</v>
      </c>
      <c r="F7" s="12" t="s">
        <v>188</v>
      </c>
      <c r="G7" s="13">
        <v>1</v>
      </c>
      <c r="H7" s="14"/>
      <c r="I7" s="14"/>
      <c r="J7" s="14"/>
    </row>
    <row r="8" spans="1:11" ht="15" customHeight="1">
      <c r="A8" s="10">
        <f>+A7+1</f>
        <v>2</v>
      </c>
      <c r="B8" s="20" t="s">
        <v>140</v>
      </c>
      <c r="C8" s="11" t="s">
        <v>21</v>
      </c>
      <c r="D8" s="21" t="s">
        <v>190</v>
      </c>
      <c r="E8" s="1">
        <v>42220</v>
      </c>
      <c r="F8" s="12" t="s">
        <v>191</v>
      </c>
      <c r="G8" s="13">
        <v>1</v>
      </c>
      <c r="H8" s="15"/>
      <c r="I8" s="16"/>
      <c r="J8" s="16"/>
    </row>
    <row r="9" spans="1:11" ht="15" customHeight="1">
      <c r="A9" s="10">
        <f t="shared" ref="A9:A11" si="0">+A8+1</f>
        <v>3</v>
      </c>
      <c r="B9" s="20" t="s">
        <v>140</v>
      </c>
      <c r="C9" s="11" t="s">
        <v>21</v>
      </c>
      <c r="D9" s="21" t="s">
        <v>192</v>
      </c>
      <c r="E9" s="1">
        <v>42229</v>
      </c>
      <c r="F9" s="12" t="s">
        <v>193</v>
      </c>
      <c r="G9" s="13">
        <v>1</v>
      </c>
      <c r="H9" s="15"/>
      <c r="I9" s="16"/>
      <c r="J9" s="16"/>
    </row>
    <row r="10" spans="1:11" ht="15" customHeight="1">
      <c r="A10" s="10">
        <f t="shared" si="0"/>
        <v>4</v>
      </c>
      <c r="B10" s="20" t="s">
        <v>140</v>
      </c>
      <c r="C10" s="11" t="s">
        <v>21</v>
      </c>
      <c r="D10" s="21" t="s">
        <v>195</v>
      </c>
      <c r="E10" s="1">
        <v>42232</v>
      </c>
      <c r="F10" s="12" t="s">
        <v>194</v>
      </c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 t="s">
        <v>140</v>
      </c>
      <c r="C11" s="11" t="s">
        <v>21</v>
      </c>
      <c r="D11" s="21" t="s">
        <v>197</v>
      </c>
      <c r="E11" s="1">
        <v>42239</v>
      </c>
      <c r="F11" s="12" t="s">
        <v>196</v>
      </c>
      <c r="G11" s="13">
        <v>1</v>
      </c>
      <c r="H11" s="15"/>
      <c r="I11" s="16"/>
      <c r="J11" s="16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selection activeCell="E18" sqref="E18"/>
    </sheetView>
  </sheetViews>
  <sheetFormatPr defaultColWidth="11.42578125" defaultRowHeight="15"/>
  <cols>
    <col min="1" max="1" width="6.7109375" customWidth="1"/>
    <col min="4" max="4" width="18.140625" bestFit="1" customWidth="1"/>
    <col min="6" max="6" width="20" customWidth="1"/>
    <col min="7" max="7" width="0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SUMIF(F7:F99,"Elimination*",G7:G49)</f>
        <v>4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SUMIF(F7:F99,"NB*",G7:G49)</f>
        <v>5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SUMIF(F7:F99,"Vente*",G7:G49)</f>
        <v>0</v>
      </c>
    </row>
    <row r="5" spans="1:11" ht="15.75">
      <c r="A5" s="34" t="s">
        <v>198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9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 t="s">
        <v>140</v>
      </c>
      <c r="C7" s="11" t="s">
        <v>21</v>
      </c>
      <c r="D7" s="21" t="s">
        <v>204</v>
      </c>
      <c r="E7" s="1">
        <v>42262</v>
      </c>
      <c r="F7" s="12" t="s">
        <v>203</v>
      </c>
      <c r="G7" s="13">
        <v>1</v>
      </c>
      <c r="H7" s="14"/>
      <c r="I7" s="14"/>
      <c r="J7" s="14"/>
    </row>
    <row r="8" spans="1:11">
      <c r="A8" s="10">
        <f>+A7+1</f>
        <v>2</v>
      </c>
      <c r="B8" s="20" t="s">
        <v>207</v>
      </c>
      <c r="C8" s="11" t="s">
        <v>21</v>
      </c>
      <c r="D8" s="21" t="s">
        <v>208</v>
      </c>
      <c r="E8" s="1">
        <v>42263</v>
      </c>
      <c r="F8" s="12" t="s">
        <v>98</v>
      </c>
      <c r="G8" s="13">
        <v>1</v>
      </c>
      <c r="H8" s="15"/>
      <c r="I8" s="16"/>
      <c r="J8" s="16"/>
    </row>
    <row r="9" spans="1:11">
      <c r="A9" s="10">
        <f t="shared" ref="A9:A15" si="0">+A8+1</f>
        <v>3</v>
      </c>
      <c r="B9" s="20" t="s">
        <v>209</v>
      </c>
      <c r="C9" s="11" t="s">
        <v>21</v>
      </c>
      <c r="D9" s="21" t="s">
        <v>210</v>
      </c>
      <c r="E9" s="1">
        <v>42263</v>
      </c>
      <c r="F9" s="12" t="s">
        <v>98</v>
      </c>
      <c r="G9" s="13">
        <v>1</v>
      </c>
      <c r="H9" s="15"/>
      <c r="I9" s="16"/>
      <c r="J9" s="16"/>
    </row>
    <row r="10" spans="1:11">
      <c r="A10" s="10">
        <f t="shared" si="0"/>
        <v>4</v>
      </c>
      <c r="B10" s="20" t="s">
        <v>140</v>
      </c>
      <c r="C10" s="11" t="s">
        <v>21</v>
      </c>
      <c r="D10" s="21" t="s">
        <v>202</v>
      </c>
      <c r="E10" s="1">
        <v>42267</v>
      </c>
      <c r="F10" s="12" t="s">
        <v>201</v>
      </c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 t="s">
        <v>140</v>
      </c>
      <c r="C11" s="11" t="s">
        <v>21</v>
      </c>
      <c r="D11" s="21" t="s">
        <v>206</v>
      </c>
      <c r="E11" s="1">
        <v>42267</v>
      </c>
      <c r="F11" s="12" t="s">
        <v>205</v>
      </c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 t="s">
        <v>140</v>
      </c>
      <c r="C12" s="11" t="s">
        <v>21</v>
      </c>
      <c r="D12" s="21" t="s">
        <v>215</v>
      </c>
      <c r="E12" s="1">
        <v>42269</v>
      </c>
      <c r="F12" s="12" t="s">
        <v>216</v>
      </c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 t="s">
        <v>140</v>
      </c>
      <c r="C13" s="11" t="s">
        <v>21</v>
      </c>
      <c r="D13" s="21" t="s">
        <v>200</v>
      </c>
      <c r="E13" s="1">
        <v>42274</v>
      </c>
      <c r="F13" s="12" t="s">
        <v>199</v>
      </c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 t="s">
        <v>211</v>
      </c>
      <c r="C14" s="11" t="s">
        <v>21</v>
      </c>
      <c r="D14" s="21" t="s">
        <v>212</v>
      </c>
      <c r="E14" s="1">
        <v>42275</v>
      </c>
      <c r="F14" s="12" t="s">
        <v>98</v>
      </c>
      <c r="G14" s="13">
        <v>1</v>
      </c>
      <c r="H14" s="18"/>
      <c r="I14" s="16"/>
      <c r="J14" s="16"/>
    </row>
    <row r="15" spans="1:11">
      <c r="A15" s="10">
        <f t="shared" si="0"/>
        <v>9</v>
      </c>
      <c r="B15" s="20" t="s">
        <v>213</v>
      </c>
      <c r="C15" s="11" t="s">
        <v>21</v>
      </c>
      <c r="D15" s="21" t="s">
        <v>214</v>
      </c>
      <c r="E15" s="1">
        <v>42275</v>
      </c>
      <c r="F15" s="12" t="s">
        <v>98</v>
      </c>
      <c r="G15" s="13">
        <v>1</v>
      </c>
      <c r="H15" s="18"/>
      <c r="I15" s="16"/>
      <c r="J15" s="16"/>
    </row>
  </sheetData>
  <sortState ref="B7:F15">
    <sortCondition ref="E7:E1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D14" sqref="D14"/>
    </sheetView>
  </sheetViews>
  <sheetFormatPr defaultColWidth="11.42578125" defaultRowHeight="15"/>
  <cols>
    <col min="1" max="1" width="6.7109375" customWidth="1"/>
    <col min="4" max="4" width="18.140625" bestFit="1" customWidth="1"/>
    <col min="6" max="6" width="20" customWidth="1"/>
    <col min="7" max="7" width="0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SUMIF(F7:F99,"Elimination*",G7:G49)</f>
        <v>0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SUMIF(F7:F99,"NB*",G7:G49)</f>
        <v>0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SUMIF(F7:F99,"Vente*",G7:G49)</f>
        <v>0</v>
      </c>
    </row>
    <row r="5" spans="1:11" ht="15.75">
      <c r="A5" s="34" t="s">
        <v>218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0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>
      <c r="A9" s="10">
        <f t="shared" ref="A9:A32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/>
      <c r="C14" s="11"/>
      <c r="D14" s="21"/>
      <c r="E14" s="1"/>
      <c r="F14" s="12"/>
      <c r="G14" s="13">
        <v>1</v>
      </c>
      <c r="H14" s="18"/>
      <c r="I14" s="16"/>
      <c r="J14" s="16"/>
    </row>
    <row r="15" spans="1:11">
      <c r="A15" s="10">
        <f t="shared" si="0"/>
        <v>9</v>
      </c>
      <c r="B15" s="20"/>
      <c r="C15" s="11"/>
      <c r="D15" s="21"/>
      <c r="E15" s="1"/>
      <c r="F15" s="12"/>
      <c r="G15" s="13">
        <v>1</v>
      </c>
      <c r="H15" s="18"/>
      <c r="I15" s="16"/>
      <c r="J15" s="16"/>
    </row>
    <row r="16" spans="1:11">
      <c r="A16" s="10">
        <f t="shared" si="0"/>
        <v>10</v>
      </c>
      <c r="B16" s="20"/>
      <c r="C16" s="11"/>
      <c r="D16" s="21"/>
      <c r="E16" s="1"/>
      <c r="F16" s="12"/>
    </row>
    <row r="17" spans="1:6">
      <c r="A17" s="10">
        <f t="shared" si="0"/>
        <v>11</v>
      </c>
      <c r="B17" s="20"/>
      <c r="C17" s="11"/>
      <c r="D17" s="21"/>
      <c r="E17" s="1"/>
      <c r="F17" s="12"/>
    </row>
    <row r="18" spans="1:6">
      <c r="A18" s="10">
        <f t="shared" si="0"/>
        <v>12</v>
      </c>
      <c r="B18" s="20"/>
      <c r="C18" s="11"/>
      <c r="D18" s="21"/>
      <c r="E18" s="1"/>
      <c r="F18" s="12"/>
    </row>
    <row r="19" spans="1:6">
      <c r="A19" s="10">
        <f t="shared" si="0"/>
        <v>13</v>
      </c>
      <c r="B19" s="20"/>
      <c r="C19" s="11"/>
      <c r="D19" s="21"/>
      <c r="E19" s="1"/>
      <c r="F19" s="12"/>
    </row>
    <row r="20" spans="1:6">
      <c r="A20" s="10">
        <f t="shared" si="0"/>
        <v>14</v>
      </c>
      <c r="B20" s="20"/>
      <c r="C20" s="11"/>
      <c r="D20" s="21"/>
      <c r="E20" s="1"/>
      <c r="F20" s="12"/>
    </row>
    <row r="21" spans="1:6">
      <c r="A21" s="10">
        <f t="shared" si="0"/>
        <v>15</v>
      </c>
      <c r="B21" s="20"/>
      <c r="C21" s="11"/>
      <c r="D21" s="21"/>
      <c r="E21" s="1"/>
      <c r="F21" s="12"/>
    </row>
    <row r="22" spans="1:6">
      <c r="A22" s="10">
        <f t="shared" si="0"/>
        <v>16</v>
      </c>
      <c r="B22" s="20"/>
      <c r="C22" s="11"/>
      <c r="D22" s="21"/>
      <c r="E22" s="1"/>
      <c r="F22" s="12"/>
    </row>
    <row r="23" spans="1:6">
      <c r="A23" s="10">
        <f t="shared" si="0"/>
        <v>17</v>
      </c>
      <c r="B23" s="20"/>
      <c r="C23" s="11"/>
      <c r="D23" s="21"/>
      <c r="E23" s="1"/>
      <c r="F23" s="12"/>
    </row>
    <row r="24" spans="1:6">
      <c r="A24" s="10">
        <f t="shared" si="0"/>
        <v>18</v>
      </c>
      <c r="B24" s="20"/>
      <c r="C24" s="11"/>
      <c r="D24" s="21"/>
      <c r="E24" s="1"/>
      <c r="F24" s="12"/>
    </row>
    <row r="25" spans="1:6">
      <c r="A25" s="10">
        <f t="shared" si="0"/>
        <v>19</v>
      </c>
      <c r="B25" s="20"/>
      <c r="C25" s="11"/>
      <c r="D25" s="21"/>
      <c r="E25" s="1"/>
      <c r="F25" s="12"/>
    </row>
    <row r="26" spans="1:6">
      <c r="A26" s="10">
        <f t="shared" si="0"/>
        <v>20</v>
      </c>
      <c r="B26" s="20"/>
      <c r="C26" s="11"/>
      <c r="D26" s="21"/>
      <c r="E26" s="1"/>
      <c r="F26" s="12"/>
    </row>
    <row r="27" spans="1:6">
      <c r="A27" s="10">
        <f t="shared" si="0"/>
        <v>21</v>
      </c>
      <c r="B27" s="20"/>
      <c r="C27" s="11"/>
      <c r="D27" s="21"/>
      <c r="E27" s="1"/>
      <c r="F27" s="12"/>
    </row>
    <row r="28" spans="1:6">
      <c r="A28" s="10">
        <f t="shared" si="0"/>
        <v>22</v>
      </c>
      <c r="B28" s="20"/>
      <c r="C28" s="11"/>
      <c r="D28" s="21"/>
      <c r="E28" s="1"/>
      <c r="F28" s="12"/>
    </row>
    <row r="29" spans="1:6">
      <c r="A29" s="10">
        <f t="shared" si="0"/>
        <v>23</v>
      </c>
      <c r="B29" s="20"/>
      <c r="C29" s="11"/>
      <c r="D29" s="21"/>
      <c r="E29" s="1"/>
      <c r="F29" s="12"/>
    </row>
    <row r="30" spans="1:6">
      <c r="A30" s="10">
        <f t="shared" si="0"/>
        <v>24</v>
      </c>
      <c r="B30" s="20"/>
      <c r="C30" s="11"/>
      <c r="D30" s="21"/>
      <c r="E30" s="1"/>
      <c r="F30" s="12"/>
    </row>
    <row r="31" spans="1:6">
      <c r="A31" s="10">
        <f t="shared" si="0"/>
        <v>25</v>
      </c>
      <c r="B31" s="20"/>
      <c r="C31" s="11"/>
      <c r="D31" s="21"/>
      <c r="E31" s="1"/>
      <c r="F31" s="12"/>
    </row>
    <row r="32" spans="1:6">
      <c r="A32" s="10">
        <f t="shared" si="0"/>
        <v>26</v>
      </c>
      <c r="B32" s="20"/>
      <c r="C32" s="11"/>
      <c r="D32" s="21"/>
      <c r="E32" s="1"/>
      <c r="F32" s="12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J10" sqref="J10"/>
    </sheetView>
  </sheetViews>
  <sheetFormatPr defaultColWidth="11.42578125" defaultRowHeight="15"/>
  <cols>
    <col min="1" max="1" width="6.7109375" customWidth="1"/>
    <col min="4" max="4" width="18.140625" bestFit="1" customWidth="1"/>
    <col min="6" max="6" width="20" customWidth="1"/>
    <col min="7" max="7" width="0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SUMIF(F7:F87,"Elimination*",G7:G37)</f>
        <v>1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SUMIF(F7:F87,"NB*",G7:G37)</f>
        <v>3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SUMIF(F7:F87,"Vente*",G7:G37)</f>
        <v>0</v>
      </c>
    </row>
    <row r="5" spans="1:11" ht="15.75">
      <c r="A5" s="34" t="s">
        <v>217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4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 t="s">
        <v>223</v>
      </c>
      <c r="C7" s="11" t="s">
        <v>21</v>
      </c>
      <c r="D7" s="21" t="s">
        <v>222</v>
      </c>
      <c r="E7" s="1">
        <v>42311</v>
      </c>
      <c r="F7" s="12" t="s">
        <v>98</v>
      </c>
      <c r="G7" s="13">
        <v>1</v>
      </c>
      <c r="H7" s="14"/>
      <c r="I7" s="14"/>
      <c r="J7" s="14"/>
    </row>
    <row r="8" spans="1:11">
      <c r="A8" s="10">
        <f>+A7+1</f>
        <v>2</v>
      </c>
      <c r="B8" s="20" t="s">
        <v>140</v>
      </c>
      <c r="C8" s="11" t="s">
        <v>21</v>
      </c>
      <c r="D8" s="21" t="s">
        <v>219</v>
      </c>
      <c r="E8" s="1">
        <v>42319</v>
      </c>
      <c r="F8" s="12" t="s">
        <v>224</v>
      </c>
      <c r="G8" s="13">
        <v>1</v>
      </c>
      <c r="H8" s="15"/>
      <c r="I8" s="16"/>
      <c r="J8" s="16"/>
    </row>
    <row r="9" spans="1:11">
      <c r="A9" s="10">
        <f t="shared" ref="A9:A20" si="0">+A8+1</f>
        <v>3</v>
      </c>
      <c r="B9" s="20" t="s">
        <v>140</v>
      </c>
      <c r="C9" s="11" t="s">
        <v>21</v>
      </c>
      <c r="D9" s="21" t="s">
        <v>220</v>
      </c>
      <c r="E9" s="1">
        <v>42319</v>
      </c>
      <c r="F9" s="12" t="s">
        <v>225</v>
      </c>
      <c r="G9" s="13">
        <v>1</v>
      </c>
      <c r="H9" s="15"/>
      <c r="I9" s="16"/>
      <c r="J9" s="16"/>
    </row>
    <row r="10" spans="1:11">
      <c r="A10" s="10">
        <f t="shared" si="0"/>
        <v>4</v>
      </c>
      <c r="B10" s="20" t="s">
        <v>140</v>
      </c>
      <c r="C10" s="11" t="s">
        <v>21</v>
      </c>
      <c r="D10" s="21" t="s">
        <v>221</v>
      </c>
      <c r="E10" s="1">
        <v>42331</v>
      </c>
      <c r="F10" s="12" t="s">
        <v>226</v>
      </c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/>
      <c r="C14" s="11"/>
      <c r="D14" s="21"/>
      <c r="E14" s="1"/>
      <c r="F14" s="12"/>
      <c r="G14" s="13">
        <v>1</v>
      </c>
      <c r="H14" s="18"/>
      <c r="I14" s="16"/>
      <c r="J14" s="16"/>
    </row>
    <row r="15" spans="1:11">
      <c r="A15" s="10">
        <f t="shared" si="0"/>
        <v>9</v>
      </c>
      <c r="B15" s="20"/>
      <c r="C15" s="11"/>
      <c r="D15" s="21"/>
      <c r="E15" s="1"/>
      <c r="F15" s="12"/>
      <c r="G15" s="13">
        <v>1</v>
      </c>
      <c r="H15" s="18"/>
      <c r="I15" s="16"/>
      <c r="J15" s="16"/>
    </row>
    <row r="16" spans="1:11">
      <c r="A16" s="10">
        <f t="shared" si="0"/>
        <v>10</v>
      </c>
      <c r="B16" s="20"/>
      <c r="C16" s="11"/>
      <c r="D16" s="21"/>
      <c r="E16" s="1"/>
      <c r="F16" s="12"/>
    </row>
    <row r="17" spans="1:6">
      <c r="A17" s="10">
        <f t="shared" si="0"/>
        <v>11</v>
      </c>
      <c r="B17" s="20"/>
      <c r="C17" s="11"/>
      <c r="D17" s="21"/>
      <c r="E17" s="1"/>
      <c r="F17" s="12"/>
    </row>
    <row r="18" spans="1:6">
      <c r="A18" s="10">
        <f t="shared" si="0"/>
        <v>12</v>
      </c>
      <c r="B18" s="20"/>
      <c r="C18" s="11"/>
      <c r="D18" s="21"/>
      <c r="E18" s="1"/>
      <c r="F18" s="12"/>
    </row>
    <row r="19" spans="1:6">
      <c r="A19" s="10">
        <f t="shared" si="0"/>
        <v>13</v>
      </c>
      <c r="B19" s="20"/>
      <c r="C19" s="11"/>
      <c r="D19" s="21"/>
      <c r="E19" s="1"/>
      <c r="F19" s="12"/>
    </row>
    <row r="20" spans="1:6">
      <c r="A20" s="10">
        <f t="shared" si="0"/>
        <v>14</v>
      </c>
      <c r="B20" s="20"/>
      <c r="C20" s="11"/>
      <c r="D20" s="21"/>
      <c r="E20" s="1"/>
      <c r="F20" s="12"/>
    </row>
  </sheetData>
  <sheetProtection sheet="1" objects="1" scenarios="1"/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E13" sqref="E13"/>
    </sheetView>
  </sheetViews>
  <sheetFormatPr defaultColWidth="11.42578125" defaultRowHeight="15"/>
  <cols>
    <col min="1" max="1" width="6.7109375" customWidth="1"/>
    <col min="4" max="4" width="18.140625" bestFit="1" customWidth="1"/>
    <col min="6" max="6" width="20" customWidth="1"/>
    <col min="7" max="7" width="0" hidden="1" customWidth="1"/>
  </cols>
  <sheetData>
    <row r="1" spans="1:11" ht="18">
      <c r="A1" s="37" t="s">
        <v>82</v>
      </c>
      <c r="B1" s="37"/>
      <c r="C1" s="37"/>
      <c r="D1" s="2"/>
      <c r="E1" s="3" t="s">
        <v>83</v>
      </c>
      <c r="F1" s="3"/>
      <c r="G1" s="4"/>
      <c r="H1" s="4"/>
      <c r="I1" s="4"/>
      <c r="J1" s="4"/>
    </row>
    <row r="2" spans="1:11" ht="15.75">
      <c r="A2" s="38" t="s">
        <v>84</v>
      </c>
      <c r="B2" s="38"/>
      <c r="C2" s="38"/>
      <c r="D2" s="3"/>
      <c r="E2" s="5" t="s">
        <v>85</v>
      </c>
      <c r="F2" s="5"/>
      <c r="G2" s="4"/>
      <c r="H2" s="4"/>
      <c r="I2" s="35" t="s">
        <v>86</v>
      </c>
      <c r="J2" s="36"/>
      <c r="K2" s="22">
        <f ca="1">SUMIF(F7:F87,"Elimination*",G7:G37)</f>
        <v>0</v>
      </c>
    </row>
    <row r="3" spans="1:11">
      <c r="A3" s="39" t="s">
        <v>0</v>
      </c>
      <c r="B3" s="39"/>
      <c r="C3" s="39"/>
      <c r="D3" s="5"/>
      <c r="E3" s="5" t="s">
        <v>99</v>
      </c>
      <c r="F3" s="4"/>
      <c r="G3" s="4"/>
      <c r="H3" s="4"/>
      <c r="I3" s="35" t="s">
        <v>87</v>
      </c>
      <c r="J3" s="36"/>
      <c r="K3" s="22">
        <f ca="1">SUMIF(F7:F87,"NB*",G7:G37)</f>
        <v>0</v>
      </c>
    </row>
    <row r="4" spans="1:11" ht="18">
      <c r="A4" s="37" t="s">
        <v>88</v>
      </c>
      <c r="B4" s="37"/>
      <c r="C4" s="37"/>
      <c r="D4" s="37"/>
      <c r="E4" s="37"/>
      <c r="F4" s="37"/>
      <c r="G4" s="4"/>
      <c r="H4" s="4"/>
      <c r="I4" s="35" t="s">
        <v>89</v>
      </c>
      <c r="J4" s="36"/>
      <c r="K4" s="22">
        <f ca="1">SUMIF(F7:F87,"Vente*",G7:G37)</f>
        <v>0</v>
      </c>
    </row>
    <row r="5" spans="1:11" ht="15.75">
      <c r="A5" s="34" t="s">
        <v>227</v>
      </c>
      <c r="B5" s="34"/>
      <c r="C5" s="34"/>
      <c r="D5" s="34"/>
      <c r="E5" s="34"/>
      <c r="F5" s="34"/>
      <c r="G5" s="6"/>
      <c r="H5" s="6"/>
      <c r="I5" s="35" t="s">
        <v>91</v>
      </c>
      <c r="J5" s="36"/>
      <c r="K5" s="23">
        <f ca="1">SUM(K2:K4)</f>
        <v>0</v>
      </c>
    </row>
    <row r="6" spans="1:11" ht="33.75">
      <c r="A6" s="7" t="s">
        <v>92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8"/>
      <c r="H6" s="9"/>
      <c r="I6" s="9"/>
      <c r="J6" s="9"/>
    </row>
    <row r="7" spans="1:11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>
      <c r="A9" s="10">
        <f t="shared" ref="A9:A20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>
      <c r="A14" s="10">
        <f t="shared" si="0"/>
        <v>8</v>
      </c>
      <c r="B14" s="20"/>
      <c r="C14" s="11"/>
      <c r="D14" s="21"/>
      <c r="E14" s="1"/>
      <c r="F14" s="12"/>
      <c r="G14" s="13">
        <v>1</v>
      </c>
      <c r="H14" s="18"/>
      <c r="I14" s="16"/>
      <c r="J14" s="16"/>
    </row>
    <row r="15" spans="1:11">
      <c r="A15" s="10">
        <f t="shared" si="0"/>
        <v>9</v>
      </c>
      <c r="B15" s="20"/>
      <c r="C15" s="11"/>
      <c r="D15" s="21"/>
      <c r="E15" s="1"/>
      <c r="F15" s="12"/>
      <c r="G15" s="13">
        <v>1</v>
      </c>
      <c r="H15" s="18"/>
      <c r="I15" s="16"/>
      <c r="J15" s="16"/>
    </row>
    <row r="16" spans="1:11">
      <c r="A16" s="10">
        <f t="shared" si="0"/>
        <v>10</v>
      </c>
      <c r="B16" s="20"/>
      <c r="C16" s="11"/>
      <c r="D16" s="21"/>
      <c r="E16" s="1"/>
      <c r="F16" s="12"/>
    </row>
    <row r="17" spans="1:6">
      <c r="A17" s="10">
        <f t="shared" si="0"/>
        <v>11</v>
      </c>
      <c r="B17" s="20"/>
      <c r="C17" s="11"/>
      <c r="D17" s="21"/>
      <c r="E17" s="1"/>
      <c r="F17" s="12"/>
    </row>
    <row r="18" spans="1:6">
      <c r="A18" s="10">
        <f t="shared" si="0"/>
        <v>12</v>
      </c>
      <c r="B18" s="20"/>
      <c r="C18" s="11"/>
      <c r="D18" s="21"/>
      <c r="E18" s="1"/>
      <c r="F18" s="12"/>
    </row>
    <row r="19" spans="1:6">
      <c r="A19" s="10">
        <f t="shared" si="0"/>
        <v>13</v>
      </c>
      <c r="B19" s="20"/>
      <c r="C19" s="11"/>
      <c r="D19" s="21"/>
      <c r="E19" s="1"/>
      <c r="F19" s="12"/>
    </row>
    <row r="20" spans="1:6">
      <c r="A20" s="10">
        <f t="shared" si="0"/>
        <v>14</v>
      </c>
      <c r="B20" s="20"/>
      <c r="C20" s="11"/>
      <c r="D20" s="21"/>
      <c r="E20" s="1"/>
      <c r="F20" s="12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Janvier 2015</vt:lpstr>
      <vt:lpstr>Fevrier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  <vt:lpstr>'Janvier 2015'!Print_Titles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Lounnaci</cp:lastModifiedBy>
  <cp:lastPrinted>2016-04-25T13:58:45Z</cp:lastPrinted>
  <dcterms:created xsi:type="dcterms:W3CDTF">2015-01-01T08:07:14Z</dcterms:created>
  <dcterms:modified xsi:type="dcterms:W3CDTF">2016-05-04T11:03:04Z</dcterms:modified>
</cp:coreProperties>
</file>