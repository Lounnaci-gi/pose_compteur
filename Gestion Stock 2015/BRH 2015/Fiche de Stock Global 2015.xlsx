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5\BRH 2015\"/>
    </mc:Choice>
  </mc:AlternateContent>
  <bookViews>
    <workbookView xWindow="555" yWindow="75" windowWidth="11700" windowHeight="6825"/>
  </bookViews>
  <sheets>
    <sheet name="JANVIER 2015" sheetId="1" r:id="rId1"/>
    <sheet name="FEVRIER 2015" sheetId="2" r:id="rId2"/>
    <sheet name="Mars 2015" sheetId="3" r:id="rId3"/>
    <sheet name="Avril 2015" sheetId="4" r:id="rId4"/>
    <sheet name="Mai 2015" sheetId="8" r:id="rId5"/>
    <sheet name="Juin 2015" sheetId="5" r:id="rId6"/>
    <sheet name="Juillet 2015" sheetId="6" r:id="rId7"/>
    <sheet name="Aout 2015" sheetId="7" r:id="rId8"/>
    <sheet name="Septembre 2015" sheetId="9" r:id="rId9"/>
    <sheet name="Octobre 2015" sheetId="10" r:id="rId10"/>
    <sheet name="Novembre 2015" sheetId="11" r:id="rId11"/>
    <sheet name="Decembre 2015" sheetId="12" r:id="rId12"/>
    <sheet name="annee 2015" sheetId="13" r:id="rId13"/>
  </sheets>
  <calcPr calcId="152511"/>
</workbook>
</file>

<file path=xl/calcChain.xml><?xml version="1.0" encoding="utf-8"?>
<calcChain xmlns="http://schemas.openxmlformats.org/spreadsheetml/2006/main">
  <c r="J41" i="13" l="1"/>
  <c r="I41" i="13"/>
  <c r="H41" i="13"/>
  <c r="G41" i="13"/>
  <c r="E41" i="13"/>
  <c r="D41" i="13"/>
  <c r="C41" i="13"/>
  <c r="B41" i="13"/>
  <c r="K40" i="13"/>
  <c r="F40" i="13"/>
  <c r="L40" i="13" s="1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K10" i="13"/>
  <c r="K41" i="13" s="1"/>
  <c r="F10" i="13"/>
  <c r="L10" i="13" s="1"/>
  <c r="F41" i="13" l="1"/>
  <c r="L11" i="13"/>
  <c r="L41" i="13" s="1"/>
  <c r="G47" i="13" s="1"/>
  <c r="G48" i="13" s="1"/>
  <c r="G50" i="13" s="1"/>
  <c r="J41" i="12" l="1"/>
  <c r="I41" i="12"/>
  <c r="H41" i="12"/>
  <c r="G41" i="12"/>
  <c r="E41" i="12"/>
  <c r="D41" i="12"/>
  <c r="C41" i="12"/>
  <c r="B41" i="12"/>
  <c r="K40" i="12"/>
  <c r="F40" i="12"/>
  <c r="L40" i="12" s="1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K10" i="12"/>
  <c r="K41" i="12" s="1"/>
  <c r="F10" i="12"/>
  <c r="L10" i="12" s="1"/>
  <c r="F41" i="12" l="1"/>
  <c r="L29" i="12"/>
  <c r="L24" i="12"/>
  <c r="L11" i="12"/>
  <c r="J41" i="11"/>
  <c r="I41" i="11"/>
  <c r="H41" i="11"/>
  <c r="G41" i="11"/>
  <c r="E41" i="11"/>
  <c r="D41" i="11"/>
  <c r="C41" i="11"/>
  <c r="B41" i="11"/>
  <c r="K40" i="11"/>
  <c r="F40" i="11"/>
  <c r="L40" i="11" s="1"/>
  <c r="K39" i="11"/>
  <c r="F39" i="11"/>
  <c r="L39" i="11" s="1"/>
  <c r="K38" i="11"/>
  <c r="F38" i="11"/>
  <c r="L38" i="11" s="1"/>
  <c r="K37" i="11"/>
  <c r="F37" i="11"/>
  <c r="L37" i="11" s="1"/>
  <c r="K36" i="11"/>
  <c r="F36" i="11"/>
  <c r="L36" i="11" s="1"/>
  <c r="K35" i="11"/>
  <c r="F35" i="11"/>
  <c r="L35" i="11" s="1"/>
  <c r="K34" i="11"/>
  <c r="F34" i="11"/>
  <c r="L34" i="11" s="1"/>
  <c r="K33" i="11"/>
  <c r="F33" i="11"/>
  <c r="L33" i="11" s="1"/>
  <c r="K32" i="11"/>
  <c r="F32" i="11"/>
  <c r="L32" i="11" s="1"/>
  <c r="K31" i="11"/>
  <c r="F31" i="11"/>
  <c r="L31" i="11" s="1"/>
  <c r="K30" i="11"/>
  <c r="F30" i="11"/>
  <c r="L30" i="11" s="1"/>
  <c r="K29" i="11"/>
  <c r="F29" i="11"/>
  <c r="L29" i="11" s="1"/>
  <c r="K28" i="11"/>
  <c r="F28" i="11"/>
  <c r="L28" i="11" s="1"/>
  <c r="K27" i="11"/>
  <c r="F27" i="11"/>
  <c r="L27" i="11" s="1"/>
  <c r="K26" i="11"/>
  <c r="F26" i="11"/>
  <c r="L26" i="11" s="1"/>
  <c r="K25" i="11"/>
  <c r="F25" i="11"/>
  <c r="L25" i="11" s="1"/>
  <c r="K24" i="11"/>
  <c r="F24" i="11"/>
  <c r="K23" i="11"/>
  <c r="F23" i="11"/>
  <c r="L23" i="11" s="1"/>
  <c r="K22" i="11"/>
  <c r="F22" i="11"/>
  <c r="L22" i="11" s="1"/>
  <c r="K21" i="11"/>
  <c r="F21" i="11"/>
  <c r="L21" i="11" s="1"/>
  <c r="K20" i="11"/>
  <c r="F20" i="11"/>
  <c r="L20" i="11" s="1"/>
  <c r="K19" i="11"/>
  <c r="F19" i="11"/>
  <c r="L19" i="11" s="1"/>
  <c r="K18" i="11"/>
  <c r="F18" i="11"/>
  <c r="L18" i="11" s="1"/>
  <c r="K17" i="11"/>
  <c r="F17" i="11"/>
  <c r="L17" i="11" s="1"/>
  <c r="K16" i="11"/>
  <c r="F16" i="11"/>
  <c r="L16" i="11" s="1"/>
  <c r="K15" i="11"/>
  <c r="F15" i="11"/>
  <c r="L15" i="11" s="1"/>
  <c r="K14" i="11"/>
  <c r="F14" i="11"/>
  <c r="L14" i="11" s="1"/>
  <c r="K13" i="11"/>
  <c r="F13" i="11"/>
  <c r="L13" i="11" s="1"/>
  <c r="K12" i="11"/>
  <c r="F12" i="11"/>
  <c r="L12" i="11" s="1"/>
  <c r="K11" i="11"/>
  <c r="F11" i="11"/>
  <c r="K10" i="11"/>
  <c r="K41" i="11" s="1"/>
  <c r="F10" i="11"/>
  <c r="L10" i="11" s="1"/>
  <c r="L41" i="12" l="1"/>
  <c r="G47" i="12" s="1"/>
  <c r="G48" i="12" s="1"/>
  <c r="G50" i="12" s="1"/>
  <c r="F41" i="11"/>
  <c r="L24" i="11"/>
  <c r="L11" i="11"/>
  <c r="J41" i="10"/>
  <c r="I41" i="10"/>
  <c r="H41" i="10"/>
  <c r="G41" i="10"/>
  <c r="E41" i="10"/>
  <c r="D41" i="10"/>
  <c r="C41" i="10"/>
  <c r="B41" i="10"/>
  <c r="K40" i="10"/>
  <c r="F40" i="10"/>
  <c r="L40" i="10" s="1"/>
  <c r="K39" i="10"/>
  <c r="F39" i="10"/>
  <c r="L39" i="10" s="1"/>
  <c r="K38" i="10"/>
  <c r="F38" i="10"/>
  <c r="L38" i="10" s="1"/>
  <c r="K37" i="10"/>
  <c r="F37" i="10"/>
  <c r="L37" i="10" s="1"/>
  <c r="K36" i="10"/>
  <c r="F36" i="10"/>
  <c r="L36" i="10" s="1"/>
  <c r="K35" i="10"/>
  <c r="F35" i="10"/>
  <c r="L35" i="10" s="1"/>
  <c r="K34" i="10"/>
  <c r="F34" i="10"/>
  <c r="L34" i="10" s="1"/>
  <c r="K33" i="10"/>
  <c r="F33" i="10"/>
  <c r="L33" i="10" s="1"/>
  <c r="K32" i="10"/>
  <c r="F32" i="10"/>
  <c r="L32" i="10" s="1"/>
  <c r="K31" i="10"/>
  <c r="F31" i="10"/>
  <c r="L31" i="10" s="1"/>
  <c r="K30" i="10"/>
  <c r="F30" i="10"/>
  <c r="L30" i="10" s="1"/>
  <c r="K29" i="10"/>
  <c r="F29" i="10"/>
  <c r="L29" i="10" s="1"/>
  <c r="K28" i="10"/>
  <c r="F28" i="10"/>
  <c r="L28" i="10" s="1"/>
  <c r="K27" i="10"/>
  <c r="F27" i="10"/>
  <c r="L27" i="10" s="1"/>
  <c r="K26" i="10"/>
  <c r="F26" i="10"/>
  <c r="L26" i="10" s="1"/>
  <c r="K25" i="10"/>
  <c r="F25" i="10"/>
  <c r="L25" i="10" s="1"/>
  <c r="K24" i="10"/>
  <c r="F24" i="10"/>
  <c r="L24" i="10" s="1"/>
  <c r="K23" i="10"/>
  <c r="F23" i="10"/>
  <c r="L23" i="10" s="1"/>
  <c r="K22" i="10"/>
  <c r="F22" i="10"/>
  <c r="L22" i="10" s="1"/>
  <c r="K21" i="10"/>
  <c r="F21" i="10"/>
  <c r="L21" i="10" s="1"/>
  <c r="K20" i="10"/>
  <c r="F20" i="10"/>
  <c r="L20" i="10" s="1"/>
  <c r="K19" i="10"/>
  <c r="F19" i="10"/>
  <c r="L19" i="10" s="1"/>
  <c r="K18" i="10"/>
  <c r="F18" i="10"/>
  <c r="L18" i="10" s="1"/>
  <c r="K17" i="10"/>
  <c r="F17" i="10"/>
  <c r="L17" i="10" s="1"/>
  <c r="K16" i="10"/>
  <c r="F16" i="10"/>
  <c r="L16" i="10" s="1"/>
  <c r="K15" i="10"/>
  <c r="F15" i="10"/>
  <c r="L15" i="10" s="1"/>
  <c r="K14" i="10"/>
  <c r="F14" i="10"/>
  <c r="L14" i="10" s="1"/>
  <c r="K13" i="10"/>
  <c r="F13" i="10"/>
  <c r="L13" i="10" s="1"/>
  <c r="K12" i="10"/>
  <c r="F12" i="10"/>
  <c r="L12" i="10" s="1"/>
  <c r="K11" i="10"/>
  <c r="F11" i="10"/>
  <c r="K10" i="10"/>
  <c r="K41" i="10" s="1"/>
  <c r="F10" i="10"/>
  <c r="L10" i="10" s="1"/>
  <c r="L41" i="11" l="1"/>
  <c r="G47" i="11" s="1"/>
  <c r="G48" i="11" s="1"/>
  <c r="G50" i="11" s="1"/>
  <c r="F41" i="10"/>
  <c r="L11" i="10"/>
  <c r="L41" i="10" s="1"/>
  <c r="G47" i="10" s="1"/>
  <c r="G48" i="10" s="1"/>
  <c r="G50" i="10" s="1"/>
  <c r="J41" i="9"/>
  <c r="I41" i="9"/>
  <c r="H41" i="9"/>
  <c r="G41" i="9"/>
  <c r="E41" i="9"/>
  <c r="D41" i="9"/>
  <c r="C41" i="9"/>
  <c r="B41" i="9"/>
  <c r="K40" i="9"/>
  <c r="F40" i="9"/>
  <c r="L40" i="9" s="1"/>
  <c r="K39" i="9"/>
  <c r="F39" i="9"/>
  <c r="L39" i="9" s="1"/>
  <c r="K38" i="9"/>
  <c r="F38" i="9"/>
  <c r="K37" i="9"/>
  <c r="F37" i="9"/>
  <c r="L37" i="9" s="1"/>
  <c r="K36" i="9"/>
  <c r="F36" i="9"/>
  <c r="K35" i="9"/>
  <c r="F35" i="9"/>
  <c r="K34" i="9"/>
  <c r="F34" i="9"/>
  <c r="K33" i="9"/>
  <c r="F33" i="9"/>
  <c r="K32" i="9"/>
  <c r="F32" i="9"/>
  <c r="K31" i="9"/>
  <c r="F31" i="9"/>
  <c r="K30" i="9"/>
  <c r="F30" i="9"/>
  <c r="K29" i="9"/>
  <c r="F29" i="9"/>
  <c r="K28" i="9"/>
  <c r="F28" i="9"/>
  <c r="K27" i="9"/>
  <c r="F27" i="9"/>
  <c r="K26" i="9"/>
  <c r="F26" i="9"/>
  <c r="K25" i="9"/>
  <c r="F25" i="9"/>
  <c r="K24" i="9"/>
  <c r="F24" i="9"/>
  <c r="K23" i="9"/>
  <c r="F23" i="9"/>
  <c r="K22" i="9"/>
  <c r="F22" i="9"/>
  <c r="K21" i="9"/>
  <c r="F21" i="9"/>
  <c r="K20" i="9"/>
  <c r="F20" i="9"/>
  <c r="K19" i="9"/>
  <c r="F19" i="9"/>
  <c r="K18" i="9"/>
  <c r="F18" i="9"/>
  <c r="K17" i="9"/>
  <c r="F17" i="9"/>
  <c r="K16" i="9"/>
  <c r="F16" i="9"/>
  <c r="K15" i="9"/>
  <c r="F15" i="9"/>
  <c r="K14" i="9"/>
  <c r="F14" i="9"/>
  <c r="K13" i="9"/>
  <c r="F13" i="9"/>
  <c r="K12" i="9"/>
  <c r="F12" i="9"/>
  <c r="K11" i="9"/>
  <c r="F11" i="9"/>
  <c r="K10" i="9"/>
  <c r="K41" i="9" s="1"/>
  <c r="F10" i="9"/>
  <c r="L38" i="9" l="1"/>
  <c r="F41" i="9"/>
  <c r="L27" i="9"/>
  <c r="L28" i="9"/>
  <c r="L29" i="9"/>
  <c r="L30" i="9"/>
  <c r="L31" i="9"/>
  <c r="L32" i="9"/>
  <c r="L33" i="9"/>
  <c r="L34" i="9"/>
  <c r="L35" i="9"/>
  <c r="L36" i="9"/>
  <c r="L10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11" i="9"/>
  <c r="J41" i="8"/>
  <c r="I41" i="8"/>
  <c r="H41" i="8"/>
  <c r="G41" i="8"/>
  <c r="E41" i="8"/>
  <c r="D41" i="8"/>
  <c r="C41" i="8"/>
  <c r="B41" i="8"/>
  <c r="K40" i="8"/>
  <c r="F40" i="8"/>
  <c r="L40" i="8" s="1"/>
  <c r="K39" i="8"/>
  <c r="F39" i="8"/>
  <c r="L39" i="8" s="1"/>
  <c r="K38" i="8"/>
  <c r="F38" i="8"/>
  <c r="L38" i="8" s="1"/>
  <c r="K37" i="8"/>
  <c r="F37" i="8"/>
  <c r="L37" i="8" s="1"/>
  <c r="K36" i="8"/>
  <c r="F36" i="8"/>
  <c r="L36" i="8" s="1"/>
  <c r="K35" i="8"/>
  <c r="F35" i="8"/>
  <c r="K34" i="8"/>
  <c r="F34" i="8"/>
  <c r="K33" i="8"/>
  <c r="F33" i="8"/>
  <c r="L33" i="8" s="1"/>
  <c r="K32" i="8"/>
  <c r="F32" i="8"/>
  <c r="L32" i="8" s="1"/>
  <c r="K31" i="8"/>
  <c r="F31" i="8"/>
  <c r="L31" i="8" s="1"/>
  <c r="K30" i="8"/>
  <c r="F30" i="8"/>
  <c r="L30" i="8" s="1"/>
  <c r="K29" i="8"/>
  <c r="F29" i="8"/>
  <c r="L29" i="8" s="1"/>
  <c r="K28" i="8"/>
  <c r="F28" i="8"/>
  <c r="L28" i="8" s="1"/>
  <c r="K27" i="8"/>
  <c r="F27" i="8"/>
  <c r="L27" i="8" s="1"/>
  <c r="K26" i="8"/>
  <c r="F26" i="8"/>
  <c r="L26" i="8" s="1"/>
  <c r="K25" i="8"/>
  <c r="F25" i="8"/>
  <c r="L25" i="8" s="1"/>
  <c r="K24" i="8"/>
  <c r="F24" i="8"/>
  <c r="L24" i="8" s="1"/>
  <c r="K23" i="8"/>
  <c r="F23" i="8"/>
  <c r="L23" i="8" s="1"/>
  <c r="K22" i="8"/>
  <c r="F22" i="8"/>
  <c r="L22" i="8" s="1"/>
  <c r="K21" i="8"/>
  <c r="F21" i="8"/>
  <c r="K20" i="8"/>
  <c r="F20" i="8"/>
  <c r="L20" i="8" s="1"/>
  <c r="K19" i="8"/>
  <c r="F19" i="8"/>
  <c r="K18" i="8"/>
  <c r="F18" i="8"/>
  <c r="L18" i="8" s="1"/>
  <c r="K17" i="8"/>
  <c r="F17" i="8"/>
  <c r="L17" i="8" s="1"/>
  <c r="K16" i="8"/>
  <c r="F16" i="8"/>
  <c r="L16" i="8" s="1"/>
  <c r="K15" i="8"/>
  <c r="F15" i="8"/>
  <c r="L15" i="8" s="1"/>
  <c r="K14" i="8"/>
  <c r="F14" i="8"/>
  <c r="K13" i="8"/>
  <c r="F13" i="8"/>
  <c r="L13" i="8" s="1"/>
  <c r="K12" i="8"/>
  <c r="F12" i="8"/>
  <c r="L12" i="8" s="1"/>
  <c r="K11" i="8"/>
  <c r="F11" i="8"/>
  <c r="K10" i="8"/>
  <c r="K41" i="8" s="1"/>
  <c r="F10" i="8"/>
  <c r="L10" i="8" s="1"/>
  <c r="L34" i="8" l="1"/>
  <c r="L19" i="8"/>
  <c r="L35" i="8"/>
  <c r="L21" i="8"/>
  <c r="L14" i="8"/>
  <c r="L41" i="9"/>
  <c r="G47" i="9" s="1"/>
  <c r="G48" i="9" s="1"/>
  <c r="G50" i="9" s="1"/>
  <c r="F41" i="8"/>
  <c r="L11" i="8"/>
  <c r="J41" i="2"/>
  <c r="I41" i="2"/>
  <c r="H41" i="2"/>
  <c r="G41" i="2"/>
  <c r="E41" i="2"/>
  <c r="D41" i="2"/>
  <c r="C41" i="2"/>
  <c r="B41" i="2"/>
  <c r="K40" i="2"/>
  <c r="F40" i="2"/>
  <c r="L40" i="2" s="1"/>
  <c r="K39" i="2"/>
  <c r="F39" i="2"/>
  <c r="L39" i="2" s="1"/>
  <c r="K38" i="2"/>
  <c r="F38" i="2"/>
  <c r="L38" i="2" s="1"/>
  <c r="K37" i="2"/>
  <c r="F37" i="2"/>
  <c r="L37" i="2" s="1"/>
  <c r="K36" i="2"/>
  <c r="F36" i="2"/>
  <c r="L36" i="2" s="1"/>
  <c r="K35" i="2"/>
  <c r="F35" i="2"/>
  <c r="L35" i="2" s="1"/>
  <c r="K34" i="2"/>
  <c r="F34" i="2"/>
  <c r="L34" i="2" s="1"/>
  <c r="K33" i="2"/>
  <c r="F33" i="2"/>
  <c r="L33" i="2" s="1"/>
  <c r="K32" i="2"/>
  <c r="F32" i="2"/>
  <c r="L32" i="2" s="1"/>
  <c r="K31" i="2"/>
  <c r="F31" i="2"/>
  <c r="L31" i="2" s="1"/>
  <c r="K30" i="2"/>
  <c r="F30" i="2"/>
  <c r="L30" i="2" s="1"/>
  <c r="K29" i="2"/>
  <c r="F29" i="2"/>
  <c r="L29" i="2" s="1"/>
  <c r="K28" i="2"/>
  <c r="F28" i="2"/>
  <c r="L28" i="2" s="1"/>
  <c r="K27" i="2"/>
  <c r="F27" i="2"/>
  <c r="L27" i="2" s="1"/>
  <c r="K26" i="2"/>
  <c r="F26" i="2"/>
  <c r="L26" i="2" s="1"/>
  <c r="K25" i="2"/>
  <c r="F25" i="2"/>
  <c r="L25" i="2" s="1"/>
  <c r="K24" i="2"/>
  <c r="F24" i="2"/>
  <c r="L24" i="2" s="1"/>
  <c r="K23" i="2"/>
  <c r="F23" i="2"/>
  <c r="L23" i="2" s="1"/>
  <c r="K22" i="2"/>
  <c r="F22" i="2"/>
  <c r="L22" i="2" s="1"/>
  <c r="K21" i="2"/>
  <c r="F21" i="2"/>
  <c r="K20" i="2"/>
  <c r="F20" i="2"/>
  <c r="L20" i="2" s="1"/>
  <c r="K19" i="2"/>
  <c r="F19" i="2"/>
  <c r="L19" i="2" s="1"/>
  <c r="K18" i="2"/>
  <c r="F18" i="2"/>
  <c r="L18" i="2" s="1"/>
  <c r="K17" i="2"/>
  <c r="F17" i="2"/>
  <c r="L17" i="2" s="1"/>
  <c r="K16" i="2"/>
  <c r="F16" i="2"/>
  <c r="L16" i="2" s="1"/>
  <c r="K15" i="2"/>
  <c r="F15" i="2"/>
  <c r="L15" i="2" s="1"/>
  <c r="K14" i="2"/>
  <c r="F14" i="2"/>
  <c r="K13" i="2"/>
  <c r="F13" i="2"/>
  <c r="L13" i="2" s="1"/>
  <c r="K12" i="2"/>
  <c r="F12" i="2"/>
  <c r="L12" i="2" s="1"/>
  <c r="K11" i="2"/>
  <c r="F11" i="2"/>
  <c r="K10" i="2"/>
  <c r="K41" i="2" s="1"/>
  <c r="F10" i="2"/>
  <c r="L10" i="2" s="1"/>
  <c r="L41" i="8" l="1"/>
  <c r="G47" i="8" s="1"/>
  <c r="G48" i="8" s="1"/>
  <c r="G50" i="8" s="1"/>
  <c r="L21" i="2"/>
  <c r="L14" i="2"/>
  <c r="L11" i="2"/>
  <c r="F41" i="2"/>
  <c r="L41" i="2" l="1"/>
  <c r="G47" i="2" s="1"/>
  <c r="G48" i="2" s="1"/>
  <c r="G50" i="2" s="1"/>
  <c r="J41" i="7"/>
  <c r="I41" i="7"/>
  <c r="H41" i="7"/>
  <c r="G41" i="7"/>
  <c r="E41" i="7"/>
  <c r="D41" i="7"/>
  <c r="C41" i="7"/>
  <c r="B41" i="7"/>
  <c r="K40" i="7"/>
  <c r="F40" i="7"/>
  <c r="K39" i="7"/>
  <c r="F39" i="7"/>
  <c r="L39" i="7" s="1"/>
  <c r="K38" i="7"/>
  <c r="F38" i="7"/>
  <c r="L38" i="7" s="1"/>
  <c r="K37" i="7"/>
  <c r="F37" i="7"/>
  <c r="L37" i="7" s="1"/>
  <c r="K36" i="7"/>
  <c r="F36" i="7"/>
  <c r="K35" i="7"/>
  <c r="F35" i="7"/>
  <c r="K34" i="7"/>
  <c r="F34" i="7"/>
  <c r="K33" i="7"/>
  <c r="F33" i="7"/>
  <c r="L33" i="7" s="1"/>
  <c r="K32" i="7"/>
  <c r="F32" i="7"/>
  <c r="K31" i="7"/>
  <c r="F31" i="7"/>
  <c r="L31" i="7" s="1"/>
  <c r="K30" i="7"/>
  <c r="F30" i="7"/>
  <c r="L30" i="7" s="1"/>
  <c r="K29" i="7"/>
  <c r="F29" i="7"/>
  <c r="K28" i="7"/>
  <c r="F28" i="7"/>
  <c r="L28" i="7" s="1"/>
  <c r="K27" i="7"/>
  <c r="F27" i="7"/>
  <c r="L27" i="7" s="1"/>
  <c r="K26" i="7"/>
  <c r="F26" i="7"/>
  <c r="L26" i="7" s="1"/>
  <c r="K25" i="7"/>
  <c r="F25" i="7"/>
  <c r="L25" i="7" s="1"/>
  <c r="K24" i="7"/>
  <c r="F24" i="7"/>
  <c r="L24" i="7" s="1"/>
  <c r="K23" i="7"/>
  <c r="F23" i="7"/>
  <c r="L23" i="7" s="1"/>
  <c r="K22" i="7"/>
  <c r="F22" i="7"/>
  <c r="L22" i="7" s="1"/>
  <c r="K21" i="7"/>
  <c r="F21" i="7"/>
  <c r="L21" i="7" s="1"/>
  <c r="K20" i="7"/>
  <c r="F20" i="7"/>
  <c r="L20" i="7" s="1"/>
  <c r="K19" i="7"/>
  <c r="F19" i="7"/>
  <c r="L19" i="7" s="1"/>
  <c r="K18" i="7"/>
  <c r="F18" i="7"/>
  <c r="L18" i="7" s="1"/>
  <c r="K17" i="7"/>
  <c r="F17" i="7"/>
  <c r="L17" i="7" s="1"/>
  <c r="K16" i="7"/>
  <c r="F16" i="7"/>
  <c r="L16" i="7" s="1"/>
  <c r="K15" i="7"/>
  <c r="F15" i="7"/>
  <c r="K14" i="7"/>
  <c r="F14" i="7"/>
  <c r="L14" i="7" s="1"/>
  <c r="K13" i="7"/>
  <c r="F13" i="7"/>
  <c r="L13" i="7" s="1"/>
  <c r="K12" i="7"/>
  <c r="F12" i="7"/>
  <c r="L12" i="7" s="1"/>
  <c r="K11" i="7"/>
  <c r="F11" i="7"/>
  <c r="K10" i="7"/>
  <c r="K41" i="7" s="1"/>
  <c r="F10" i="7"/>
  <c r="L10" i="7" s="1"/>
  <c r="L40" i="7" l="1"/>
  <c r="L36" i="7"/>
  <c r="L35" i="7"/>
  <c r="L34" i="7"/>
  <c r="L32" i="7"/>
  <c r="L29" i="7"/>
  <c r="L15" i="7"/>
  <c r="F41" i="7"/>
  <c r="L11" i="7"/>
  <c r="J41" i="6"/>
  <c r="I41" i="6"/>
  <c r="H41" i="6"/>
  <c r="G41" i="6"/>
  <c r="E41" i="6"/>
  <c r="D41" i="6"/>
  <c r="C41" i="6"/>
  <c r="B41" i="6"/>
  <c r="K40" i="6"/>
  <c r="F40" i="6"/>
  <c r="L40" i="6" s="1"/>
  <c r="K39" i="6"/>
  <c r="F39" i="6"/>
  <c r="L39" i="6" s="1"/>
  <c r="K38" i="6"/>
  <c r="F38" i="6"/>
  <c r="L38" i="6" s="1"/>
  <c r="K37" i="6"/>
  <c r="F37" i="6"/>
  <c r="L37" i="6" s="1"/>
  <c r="K36" i="6"/>
  <c r="F36" i="6"/>
  <c r="K35" i="6"/>
  <c r="F35" i="6"/>
  <c r="L35" i="6" s="1"/>
  <c r="K34" i="6"/>
  <c r="F34" i="6"/>
  <c r="L34" i="6" s="1"/>
  <c r="K33" i="6"/>
  <c r="F33" i="6"/>
  <c r="L33" i="6" s="1"/>
  <c r="K32" i="6"/>
  <c r="F32" i="6"/>
  <c r="L32" i="6" s="1"/>
  <c r="K31" i="6"/>
  <c r="F31" i="6"/>
  <c r="L31" i="6" s="1"/>
  <c r="K30" i="6"/>
  <c r="F30" i="6"/>
  <c r="L30" i="6" s="1"/>
  <c r="K29" i="6"/>
  <c r="F29" i="6"/>
  <c r="K28" i="6"/>
  <c r="F28" i="6"/>
  <c r="L28" i="6" s="1"/>
  <c r="K27" i="6"/>
  <c r="F27" i="6"/>
  <c r="L27" i="6" s="1"/>
  <c r="K26" i="6"/>
  <c r="F26" i="6"/>
  <c r="L26" i="6" s="1"/>
  <c r="K25" i="6"/>
  <c r="F25" i="6"/>
  <c r="L25" i="6" s="1"/>
  <c r="K24" i="6"/>
  <c r="F24" i="6"/>
  <c r="L24" i="6" s="1"/>
  <c r="K23" i="6"/>
  <c r="F23" i="6"/>
  <c r="L23" i="6" s="1"/>
  <c r="K22" i="6"/>
  <c r="F22" i="6"/>
  <c r="L22" i="6" s="1"/>
  <c r="K21" i="6"/>
  <c r="F21" i="6"/>
  <c r="L21" i="6" s="1"/>
  <c r="K20" i="6"/>
  <c r="F20" i="6"/>
  <c r="L20" i="6" s="1"/>
  <c r="K19" i="6"/>
  <c r="F19" i="6"/>
  <c r="L19" i="6" s="1"/>
  <c r="K18" i="6"/>
  <c r="F18" i="6"/>
  <c r="L18" i="6" s="1"/>
  <c r="K17" i="6"/>
  <c r="F17" i="6"/>
  <c r="L17" i="6" s="1"/>
  <c r="K16" i="6"/>
  <c r="F16" i="6"/>
  <c r="L16" i="6" s="1"/>
  <c r="K15" i="6"/>
  <c r="F15" i="6"/>
  <c r="L15" i="6" s="1"/>
  <c r="K14" i="6"/>
  <c r="F14" i="6"/>
  <c r="L14" i="6" s="1"/>
  <c r="K13" i="6"/>
  <c r="F13" i="6"/>
  <c r="L13" i="6" s="1"/>
  <c r="K12" i="6"/>
  <c r="F12" i="6"/>
  <c r="L12" i="6" s="1"/>
  <c r="K11" i="6"/>
  <c r="F11" i="6"/>
  <c r="L11" i="6" s="1"/>
  <c r="K10" i="6"/>
  <c r="K41" i="6" s="1"/>
  <c r="F10" i="6"/>
  <c r="L41" i="7" l="1"/>
  <c r="G47" i="7" s="1"/>
  <c r="G48" i="7" s="1"/>
  <c r="G50" i="7" s="1"/>
  <c r="L36" i="6"/>
  <c r="L29" i="6"/>
  <c r="L10" i="6"/>
  <c r="F41" i="6"/>
  <c r="J41" i="5"/>
  <c r="I41" i="5"/>
  <c r="H41" i="5"/>
  <c r="G41" i="5"/>
  <c r="E41" i="5"/>
  <c r="D41" i="5"/>
  <c r="C41" i="5"/>
  <c r="B41" i="5"/>
  <c r="K40" i="5"/>
  <c r="F40" i="5"/>
  <c r="L40" i="5" s="1"/>
  <c r="K39" i="5"/>
  <c r="F39" i="5"/>
  <c r="K38" i="5"/>
  <c r="F38" i="5"/>
  <c r="K37" i="5"/>
  <c r="F37" i="5"/>
  <c r="K36" i="5"/>
  <c r="F36" i="5"/>
  <c r="K35" i="5"/>
  <c r="F35" i="5"/>
  <c r="L35" i="5" s="1"/>
  <c r="K34" i="5"/>
  <c r="F34" i="5"/>
  <c r="K33" i="5"/>
  <c r="F33" i="5"/>
  <c r="K32" i="5"/>
  <c r="F32" i="5"/>
  <c r="K31" i="5"/>
  <c r="F31" i="5"/>
  <c r="K30" i="5"/>
  <c r="F30" i="5"/>
  <c r="K29" i="5"/>
  <c r="F29" i="5"/>
  <c r="L29" i="5" s="1"/>
  <c r="K28" i="5"/>
  <c r="F28" i="5"/>
  <c r="L28" i="5" s="1"/>
  <c r="K27" i="5"/>
  <c r="F27" i="5"/>
  <c r="K26" i="5"/>
  <c r="F26" i="5"/>
  <c r="L26" i="5" s="1"/>
  <c r="K25" i="5"/>
  <c r="F25" i="5"/>
  <c r="L25" i="5" s="1"/>
  <c r="K24" i="5"/>
  <c r="F24" i="5"/>
  <c r="K23" i="5"/>
  <c r="F23" i="5"/>
  <c r="L23" i="5" s="1"/>
  <c r="K22" i="5"/>
  <c r="F22" i="5"/>
  <c r="L22" i="5" s="1"/>
  <c r="K21" i="5"/>
  <c r="F21" i="5"/>
  <c r="L21" i="5" s="1"/>
  <c r="K20" i="5"/>
  <c r="F20" i="5"/>
  <c r="K19" i="5"/>
  <c r="F19" i="5"/>
  <c r="L19" i="5" s="1"/>
  <c r="K18" i="5"/>
  <c r="F18" i="5"/>
  <c r="L18" i="5" s="1"/>
  <c r="K17" i="5"/>
  <c r="F17" i="5"/>
  <c r="L17" i="5" s="1"/>
  <c r="K16" i="5"/>
  <c r="F16" i="5"/>
  <c r="L16" i="5" s="1"/>
  <c r="K15" i="5"/>
  <c r="F15" i="5"/>
  <c r="L15" i="5" s="1"/>
  <c r="K14" i="5"/>
  <c r="F14" i="5"/>
  <c r="L14" i="5" s="1"/>
  <c r="K13" i="5"/>
  <c r="F13" i="5"/>
  <c r="L13" i="5" s="1"/>
  <c r="K12" i="5"/>
  <c r="F12" i="5"/>
  <c r="K11" i="5"/>
  <c r="F11" i="5"/>
  <c r="K10" i="5"/>
  <c r="F10" i="5"/>
  <c r="L41" i="6" l="1"/>
  <c r="G47" i="6" s="1"/>
  <c r="G48" i="6" s="1"/>
  <c r="G50" i="6" s="1"/>
  <c r="L39" i="5"/>
  <c r="L38" i="5"/>
  <c r="L37" i="5"/>
  <c r="L36" i="5"/>
  <c r="L34" i="5"/>
  <c r="L33" i="5"/>
  <c r="L32" i="5"/>
  <c r="L31" i="5"/>
  <c r="L30" i="5"/>
  <c r="L27" i="5"/>
  <c r="L24" i="5"/>
  <c r="L20" i="5"/>
  <c r="F41" i="5"/>
  <c r="K41" i="5"/>
  <c r="L11" i="5"/>
  <c r="L12" i="5"/>
  <c r="L10" i="5"/>
  <c r="J41" i="4"/>
  <c r="I41" i="4"/>
  <c r="H41" i="4"/>
  <c r="G41" i="4"/>
  <c r="E41" i="4"/>
  <c r="D41" i="4"/>
  <c r="C41" i="4"/>
  <c r="B41" i="4"/>
  <c r="K40" i="4"/>
  <c r="F40" i="4"/>
  <c r="L40" i="4" s="1"/>
  <c r="K39" i="4"/>
  <c r="F39" i="4"/>
  <c r="L39" i="4" s="1"/>
  <c r="K38" i="4"/>
  <c r="F38" i="4"/>
  <c r="L38" i="4" s="1"/>
  <c r="K37" i="4"/>
  <c r="F37" i="4"/>
  <c r="K36" i="4"/>
  <c r="F36" i="4"/>
  <c r="L36" i="4" s="1"/>
  <c r="K35" i="4"/>
  <c r="F35" i="4"/>
  <c r="K34" i="4"/>
  <c r="F34" i="4"/>
  <c r="L34" i="4" s="1"/>
  <c r="K33" i="4"/>
  <c r="F33" i="4"/>
  <c r="L33" i="4" s="1"/>
  <c r="K32" i="4"/>
  <c r="F32" i="4"/>
  <c r="L32" i="4" s="1"/>
  <c r="K31" i="4"/>
  <c r="F31" i="4"/>
  <c r="L31" i="4" s="1"/>
  <c r="K30" i="4"/>
  <c r="F30" i="4"/>
  <c r="L30" i="4" s="1"/>
  <c r="K29" i="4"/>
  <c r="F29" i="4"/>
  <c r="L29" i="4" s="1"/>
  <c r="K28" i="4"/>
  <c r="F28" i="4"/>
  <c r="L28" i="4" s="1"/>
  <c r="K27" i="4"/>
  <c r="F27" i="4"/>
  <c r="L27" i="4" s="1"/>
  <c r="K26" i="4"/>
  <c r="F26" i="4"/>
  <c r="L26" i="4" s="1"/>
  <c r="K25" i="4"/>
  <c r="F25" i="4"/>
  <c r="L25" i="4" s="1"/>
  <c r="K24" i="4"/>
  <c r="F24" i="4"/>
  <c r="L24" i="4" s="1"/>
  <c r="K23" i="4"/>
  <c r="F23" i="4"/>
  <c r="L23" i="4" s="1"/>
  <c r="K22" i="4"/>
  <c r="F22" i="4"/>
  <c r="L22" i="4" s="1"/>
  <c r="K21" i="4"/>
  <c r="F21" i="4"/>
  <c r="L21" i="4" s="1"/>
  <c r="K20" i="4"/>
  <c r="F20" i="4"/>
  <c r="L20" i="4" s="1"/>
  <c r="K19" i="4"/>
  <c r="F19" i="4"/>
  <c r="L19" i="4" s="1"/>
  <c r="K18" i="4"/>
  <c r="F18" i="4"/>
  <c r="L18" i="4" s="1"/>
  <c r="K17" i="4"/>
  <c r="F17" i="4"/>
  <c r="L17" i="4" s="1"/>
  <c r="K16" i="4"/>
  <c r="F16" i="4"/>
  <c r="L16" i="4" s="1"/>
  <c r="K15" i="4"/>
  <c r="F15" i="4"/>
  <c r="L15" i="4" s="1"/>
  <c r="K14" i="4"/>
  <c r="F14" i="4"/>
  <c r="L14" i="4" s="1"/>
  <c r="K13" i="4"/>
  <c r="F13" i="4"/>
  <c r="L13" i="4" s="1"/>
  <c r="K12" i="4"/>
  <c r="F12" i="4"/>
  <c r="L12" i="4" s="1"/>
  <c r="K11" i="4"/>
  <c r="F11" i="4"/>
  <c r="L11" i="4" s="1"/>
  <c r="K10" i="4"/>
  <c r="F10" i="4"/>
  <c r="F41" i="4" s="1"/>
  <c r="L37" i="4" l="1"/>
  <c r="L35" i="4"/>
  <c r="L41" i="5"/>
  <c r="G47" i="5" s="1"/>
  <c r="G48" i="5" s="1"/>
  <c r="G50" i="5" s="1"/>
  <c r="K41" i="4"/>
  <c r="L10" i="4"/>
  <c r="L41" i="4" l="1"/>
  <c r="G47" i="4" s="1"/>
  <c r="G48" i="4" s="1"/>
  <c r="G50" i="4" s="1"/>
  <c r="J41" i="3" l="1"/>
  <c r="I41" i="3"/>
  <c r="H41" i="3"/>
  <c r="G41" i="3"/>
  <c r="E41" i="3"/>
  <c r="D41" i="3"/>
  <c r="C41" i="3"/>
  <c r="B41" i="3"/>
  <c r="K40" i="3"/>
  <c r="F40" i="3"/>
  <c r="K39" i="3"/>
  <c r="F39" i="3"/>
  <c r="K38" i="3"/>
  <c r="F38" i="3"/>
  <c r="K37" i="3"/>
  <c r="F37" i="3"/>
  <c r="K36" i="3"/>
  <c r="F36" i="3"/>
  <c r="K35" i="3"/>
  <c r="F35" i="3"/>
  <c r="K34" i="3"/>
  <c r="F34" i="3"/>
  <c r="K33" i="3"/>
  <c r="F33" i="3"/>
  <c r="K32" i="3"/>
  <c r="F32" i="3"/>
  <c r="K31" i="3"/>
  <c r="F31" i="3"/>
  <c r="K30" i="3"/>
  <c r="F30" i="3"/>
  <c r="K29" i="3"/>
  <c r="F29" i="3"/>
  <c r="K28" i="3"/>
  <c r="F28" i="3"/>
  <c r="K27" i="3"/>
  <c r="F27" i="3"/>
  <c r="K26" i="3"/>
  <c r="F26" i="3"/>
  <c r="K25" i="3"/>
  <c r="F25" i="3"/>
  <c r="K24" i="3"/>
  <c r="F24" i="3"/>
  <c r="K23" i="3"/>
  <c r="F23" i="3"/>
  <c r="K22" i="3"/>
  <c r="F22" i="3"/>
  <c r="K21" i="3"/>
  <c r="F21" i="3"/>
  <c r="K20" i="3"/>
  <c r="F20" i="3"/>
  <c r="K19" i="3"/>
  <c r="F19" i="3"/>
  <c r="K18" i="3"/>
  <c r="F18" i="3"/>
  <c r="K17" i="3"/>
  <c r="F17" i="3"/>
  <c r="K16" i="3"/>
  <c r="F16" i="3"/>
  <c r="K15" i="3"/>
  <c r="F15" i="3"/>
  <c r="K14" i="3"/>
  <c r="F14" i="3"/>
  <c r="K13" i="3"/>
  <c r="F13" i="3"/>
  <c r="K12" i="3"/>
  <c r="F12" i="3"/>
  <c r="K11" i="3"/>
  <c r="F11" i="3"/>
  <c r="K10" i="3"/>
  <c r="F10" i="3"/>
  <c r="L10" i="3" l="1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K41" i="3"/>
  <c r="L12" i="3"/>
  <c r="F41" i="3"/>
  <c r="L11" i="3"/>
  <c r="L41" i="3" l="1"/>
  <c r="G47" i="3" s="1"/>
  <c r="G48" i="3" s="1"/>
  <c r="G50" i="3" s="1"/>
  <c r="H41" i="1"/>
  <c r="I41" i="1"/>
  <c r="J41" i="1"/>
  <c r="G41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10" i="1"/>
  <c r="C41" i="1"/>
  <c r="D41" i="1"/>
  <c r="E41" i="1"/>
  <c r="B41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L32" i="1" s="1"/>
  <c r="F33" i="1"/>
  <c r="F34" i="1"/>
  <c r="F35" i="1"/>
  <c r="F36" i="1"/>
  <c r="L36" i="1" s="1"/>
  <c r="F37" i="1"/>
  <c r="F38" i="1"/>
  <c r="F39" i="1"/>
  <c r="F40" i="1"/>
  <c r="L40" i="1" s="1"/>
  <c r="F10" i="1"/>
  <c r="L10" i="1" s="1"/>
  <c r="L39" i="1" l="1"/>
  <c r="L35" i="1"/>
  <c r="L38" i="1"/>
  <c r="L33" i="1"/>
  <c r="L31" i="1"/>
  <c r="L27" i="1"/>
  <c r="L23" i="1"/>
  <c r="L19" i="1"/>
  <c r="L11" i="1"/>
  <c r="L26" i="1"/>
  <c r="L24" i="1"/>
  <c r="L18" i="1"/>
  <c r="L12" i="1"/>
  <c r="L21" i="1"/>
  <c r="L17" i="1"/>
  <c r="L29" i="1"/>
  <c r="L37" i="1"/>
  <c r="L25" i="1"/>
  <c r="L13" i="1"/>
  <c r="L16" i="1"/>
  <c r="L15" i="1"/>
  <c r="L30" i="1"/>
  <c r="L14" i="1"/>
  <c r="L34" i="1"/>
  <c r="L28" i="1"/>
  <c r="F41" i="1"/>
  <c r="L22" i="1"/>
  <c r="L20" i="1"/>
  <c r="K41" i="1"/>
  <c r="L41" i="1" l="1"/>
  <c r="G47" i="1" s="1"/>
  <c r="G48" i="1" s="1"/>
  <c r="G50" i="1" l="1"/>
</calcChain>
</file>

<file path=xl/sharedStrings.xml><?xml version="1.0" encoding="utf-8"?>
<sst xmlns="http://schemas.openxmlformats.org/spreadsheetml/2006/main" count="443" uniqueCount="43">
  <si>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</si>
  <si>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</si>
  <si>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</si>
  <si>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</si>
  <si>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</si>
  <si>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</si>
  <si>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</si>
  <si>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</si>
  <si>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</si>
  <si>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</si>
  <si>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</si>
  <si>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</si>
  <si>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</si>
  <si>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</si>
  <si>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</si>
  <si>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</si>
  <si>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</si>
  <si>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</si>
  <si>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</si>
  <si>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</si>
  <si>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</si>
  <si>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</si>
  <si>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</si>
  <si>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</si>
  <si>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</si>
  <si>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</si>
  <si>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</si>
  <si>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</si>
  <si>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</si>
  <si>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</si>
  <si>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</si>
  <si>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</si>
  <si>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BILAN GLOBALE DU CENTRE BERROUAGHIA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</si>
  <si>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</si>
  <si>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10 Compteurs Réintégré Omaria</t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</si>
  <si>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</si>
  <si>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</si>
  <si>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</si>
  <si>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</si>
  <si>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</si>
  <si>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</si>
  <si>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01 Compteur 20/27 Réintégré a Oumaria</t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</si>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</sst>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39">
    <xf numFmtId="0" fontId="0" fillId="0" borderId="0" xfId="0"/>
    <xf numFmtId="0" fontId="7" fillId="0" borderId="0" xfId="3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Border="1" applyAlignment="1">
      <alignment horizontal="center" vertical="center" wrapText="1"/>
    </xf>
    <xf numFmtId="0" fontId="12" fillId="2" borderId="0" xfId="3" applyFont="1" applyFill="1" applyBorder="1" applyAlignment="1">
      <alignment horizontal="center" vertical="center" wrapText="1"/>
    </xf>
    <xf numFmtId="0" fontId="12" fillId="0" borderId="0" xfId="3" applyFont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1" fontId="1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14" fillId="2" borderId="21" xfId="3" applyFont="1" applyFill="1" applyBorder="1" applyAlignment="1" applyProtection="1">
      <alignment horizontal="center" vertical="center" wrapText="1"/>
      <protection locked="0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" fillId="2" borderId="6" xfId="3" applyFont="1" applyFill="1" applyBorder="1" applyAlignment="1" applyProtection="1">
      <alignment horizontal="center" vertical="center" wrapText="1"/>
      <protection locked="0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1" fillId="2" borderId="7" xfId="3" applyFont="1" applyFill="1" applyBorder="1" applyAlignment="1" applyProtection="1">
      <alignment vertical="center" wrapText="1"/>
      <protection locked="0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0" fontId="7" fillId="2" borderId="44" xfId="3" applyFont="1" applyFill="1" applyBorder="1" applyAlignment="1">
      <alignment horizontal="center" vertical="center" wrapText="1"/>
    </xf>
    <xf numFmtId="0" fontId="7" fillId="2" borderId="45" xfId="3" applyFill="1" applyBorder="1" applyAlignment="1">
      <alignment horizontal="center" vertical="center" wrapText="1"/>
    </xf>
    <xf numFmtId="0" fontId="7" fillId="2" borderId="21" xfId="3" applyFill="1" applyBorder="1" applyAlignment="1">
      <alignment horizontal="center" vertical="center" wrapText="1"/>
    </xf>
    <xf numFmtId="0" fontId="7" fillId="2" borderId="43" xfId="3" applyFill="1" applyBorder="1" applyAlignment="1" applyProtection="1">
      <alignment horizontal="center" vertical="center" wrapText="1"/>
      <protection locked="0"/>
    </xf>
    <xf numFmtId="0" fontId="7" fillId="2" borderId="23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835650" y="82105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835650" y="82105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480425"/>
          <a:ext cx="958850" cy="1219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835650" y="81216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480425"/>
          <a:ext cx="958850" cy="1219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480425"/>
          <a:ext cx="958850" cy="1219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480425"/>
          <a:ext cx="958850" cy="1219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91175" y="8480425"/>
          <a:ext cx="958850" cy="1219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91175" y="8480425"/>
          <a:ext cx="958850" cy="1219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91175" y="8480425"/>
          <a:ext cx="958850" cy="1219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480425"/>
          <a:ext cx="958850" cy="1219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topLeftCell="A34" workbookViewId="0">
      <selection activeCell="E53" sqref="E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8"/>
      <c r="F1" s="39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8"/>
      <c r="F2" s="39"/>
      <c r="G2" s="131" t="s">
        <v>3</v>
      </c>
      <c r="H2" s="131"/>
      <c r="I2" s="131"/>
      <c r="J2" s="131"/>
      <c r="K2" s="131"/>
      <c r="L2" s="131"/>
    </row>
    <row r="3" spans="1:12" x14ac:dyDescent="0.25">
      <c r="A3" s="131" t="s">
        <v>4</v>
      </c>
      <c r="B3" s="131"/>
      <c r="C3" s="131"/>
      <c r="D3" s="131"/>
      <c r="E3" s="38"/>
      <c r="F3" s="39"/>
      <c r="G3" s="131" t="s">
        <v>32</v>
      </c>
      <c r="H3" s="131"/>
      <c r="I3" s="131"/>
      <c r="J3" s="131"/>
      <c r="K3" s="131"/>
      <c r="L3" s="131"/>
    </row>
    <row r="4" spans="1:12" x14ac:dyDescent="0.25">
      <c r="A4" s="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9" t="s">
        <v>5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1:12" ht="15.75" x14ac:dyDescent="0.25">
      <c r="A6" s="120" t="s">
        <v>28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ht="15.75" thickBot="1" x14ac:dyDescent="0.3">
      <c r="A7" s="3" t="s">
        <v>6</v>
      </c>
      <c r="B7" s="13"/>
      <c r="C7" s="14"/>
      <c r="D7" s="14"/>
      <c r="E7" s="14"/>
      <c r="F7" s="13"/>
      <c r="G7" s="13"/>
      <c r="H7" s="122"/>
      <c r="I7" s="122"/>
      <c r="J7" s="14"/>
      <c r="K7" s="40"/>
      <c r="L7" s="4"/>
    </row>
    <row r="8" spans="1:12" x14ac:dyDescent="0.25">
      <c r="A8" s="123" t="s">
        <v>7</v>
      </c>
      <c r="B8" s="125" t="s">
        <v>8</v>
      </c>
      <c r="C8" s="126"/>
      <c r="D8" s="126"/>
      <c r="E8" s="126"/>
      <c r="F8" s="127"/>
      <c r="G8" s="128" t="s">
        <v>9</v>
      </c>
      <c r="H8" s="126"/>
      <c r="I8" s="126"/>
      <c r="J8" s="126"/>
      <c r="K8" s="127"/>
      <c r="L8" s="129" t="s">
        <v>10</v>
      </c>
    </row>
    <row r="9" spans="1:12" ht="15.75" thickBot="1" x14ac:dyDescent="0.3">
      <c r="A9" s="124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30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>
        <v>3</v>
      </c>
      <c r="H12" s="25"/>
      <c r="I12" s="25"/>
      <c r="J12" s="25"/>
      <c r="K12" s="18">
        <f t="shared" si="1"/>
        <v>3</v>
      </c>
      <c r="L12" s="8">
        <f t="shared" si="2"/>
        <v>3</v>
      </c>
    </row>
    <row r="13" spans="1:12" ht="15.75" thickBot="1" x14ac:dyDescent="0.3">
      <c r="A13" s="9">
        <v>4</v>
      </c>
      <c r="B13" s="24">
        <v>2</v>
      </c>
      <c r="C13" s="25"/>
      <c r="D13" s="25"/>
      <c r="E13" s="26"/>
      <c r="F13" s="20">
        <f t="shared" si="0"/>
        <v>2</v>
      </c>
      <c r="G13" s="77">
        <v>11</v>
      </c>
      <c r="H13" s="25"/>
      <c r="I13" s="25"/>
      <c r="J13" s="25"/>
      <c r="K13" s="18">
        <f t="shared" si="1"/>
        <v>11</v>
      </c>
      <c r="L13" s="8">
        <f t="shared" si="2"/>
        <v>13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>
        <v>8</v>
      </c>
      <c r="H14" s="25"/>
      <c r="I14" s="25"/>
      <c r="J14" s="25"/>
      <c r="K14" s="18">
        <f t="shared" si="1"/>
        <v>8</v>
      </c>
      <c r="L14" s="8">
        <f t="shared" si="2"/>
        <v>8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>
        <v>29</v>
      </c>
      <c r="H15" s="25"/>
      <c r="I15" s="25"/>
      <c r="J15" s="25"/>
      <c r="K15" s="18">
        <f t="shared" si="1"/>
        <v>29</v>
      </c>
      <c r="L15" s="8">
        <f t="shared" si="2"/>
        <v>29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>
        <v>9</v>
      </c>
      <c r="H16" s="25"/>
      <c r="I16" s="25"/>
      <c r="J16" s="25"/>
      <c r="K16" s="18">
        <f t="shared" si="1"/>
        <v>9</v>
      </c>
      <c r="L16" s="8">
        <f t="shared" si="2"/>
        <v>9</v>
      </c>
    </row>
    <row r="17" spans="1:12" ht="15.75" thickBot="1" x14ac:dyDescent="0.3">
      <c r="A17" s="9">
        <v>8</v>
      </c>
      <c r="B17" s="24">
        <v>1</v>
      </c>
      <c r="C17" s="25"/>
      <c r="D17" s="25"/>
      <c r="E17" s="26"/>
      <c r="F17" s="20">
        <f t="shared" si="0"/>
        <v>1</v>
      </c>
      <c r="G17" s="33">
        <v>23</v>
      </c>
      <c r="H17" s="25">
        <v>1</v>
      </c>
      <c r="I17" s="25"/>
      <c r="J17" s="25"/>
      <c r="K17" s="18">
        <f t="shared" si="1"/>
        <v>24</v>
      </c>
      <c r="L17" s="8">
        <f t="shared" si="2"/>
        <v>25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>
        <v>12</v>
      </c>
      <c r="C20" s="25"/>
      <c r="D20" s="25"/>
      <c r="E20" s="26"/>
      <c r="F20" s="20">
        <f t="shared" si="0"/>
        <v>12</v>
      </c>
      <c r="G20" s="33">
        <v>3</v>
      </c>
      <c r="H20" s="25"/>
      <c r="I20" s="25"/>
      <c r="J20" s="25"/>
      <c r="K20" s="18">
        <f t="shared" si="1"/>
        <v>3</v>
      </c>
      <c r="L20" s="8">
        <f t="shared" si="2"/>
        <v>15</v>
      </c>
    </row>
    <row r="21" spans="1:12" ht="15.75" thickBot="1" x14ac:dyDescent="0.3">
      <c r="A21" s="9">
        <v>12</v>
      </c>
      <c r="B21" s="24">
        <v>9</v>
      </c>
      <c r="C21" s="25"/>
      <c r="D21" s="25"/>
      <c r="E21" s="26"/>
      <c r="F21" s="20">
        <f t="shared" si="0"/>
        <v>9</v>
      </c>
      <c r="G21" s="33"/>
      <c r="H21" s="36">
        <v>2</v>
      </c>
      <c r="I21" s="36"/>
      <c r="J21" s="36"/>
      <c r="K21" s="18">
        <f t="shared" si="1"/>
        <v>2</v>
      </c>
      <c r="L21" s="8">
        <f t="shared" si="2"/>
        <v>11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>
        <v>3</v>
      </c>
      <c r="H22" s="25"/>
      <c r="I22" s="25"/>
      <c r="J22" s="25"/>
      <c r="K22" s="18">
        <f t="shared" si="1"/>
        <v>3</v>
      </c>
      <c r="L22" s="8">
        <f t="shared" si="2"/>
        <v>3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>
        <v>10</v>
      </c>
      <c r="C25" s="25"/>
      <c r="D25" s="25"/>
      <c r="E25" s="26"/>
      <c r="F25" s="20">
        <f t="shared" si="0"/>
        <v>10</v>
      </c>
      <c r="G25" s="33"/>
      <c r="H25" s="25"/>
      <c r="I25" s="25"/>
      <c r="J25" s="25"/>
      <c r="K25" s="18">
        <f t="shared" si="1"/>
        <v>0</v>
      </c>
      <c r="L25" s="8">
        <f t="shared" si="2"/>
        <v>10</v>
      </c>
    </row>
    <row r="26" spans="1:12" ht="15.75" thickBot="1" x14ac:dyDescent="0.3">
      <c r="A26" s="9">
        <v>17</v>
      </c>
      <c r="B26" s="24">
        <v>17</v>
      </c>
      <c r="C26" s="50"/>
      <c r="D26" s="28"/>
      <c r="E26" s="26"/>
      <c r="F26" s="20">
        <f t="shared" si="0"/>
        <v>17</v>
      </c>
      <c r="G26" s="33"/>
      <c r="H26" s="25"/>
      <c r="I26" s="25"/>
      <c r="J26" s="25"/>
      <c r="K26" s="18">
        <f t="shared" si="1"/>
        <v>0</v>
      </c>
      <c r="L26" s="8">
        <f t="shared" si="2"/>
        <v>17</v>
      </c>
    </row>
    <row r="27" spans="1:12" ht="15.75" thickBot="1" x14ac:dyDescent="0.3">
      <c r="A27" s="9">
        <v>18</v>
      </c>
      <c r="B27" s="24">
        <v>3</v>
      </c>
      <c r="C27" s="25"/>
      <c r="D27" s="25"/>
      <c r="E27" s="26"/>
      <c r="F27" s="20">
        <f t="shared" si="0"/>
        <v>3</v>
      </c>
      <c r="G27" s="33">
        <v>1</v>
      </c>
      <c r="H27" s="25"/>
      <c r="I27" s="25"/>
      <c r="J27" s="25"/>
      <c r="K27" s="18">
        <f t="shared" si="1"/>
        <v>1</v>
      </c>
      <c r="L27" s="8">
        <f t="shared" si="2"/>
        <v>4</v>
      </c>
    </row>
    <row r="28" spans="1:12" ht="15.75" thickBot="1" x14ac:dyDescent="0.3">
      <c r="A28" s="9">
        <v>19</v>
      </c>
      <c r="B28" s="24">
        <v>1</v>
      </c>
      <c r="C28" s="25"/>
      <c r="D28" s="25"/>
      <c r="E28" s="26"/>
      <c r="F28" s="20">
        <f t="shared" si="0"/>
        <v>1</v>
      </c>
      <c r="G28" s="33">
        <v>2</v>
      </c>
      <c r="H28" s="25"/>
      <c r="I28" s="25"/>
      <c r="J28" s="25"/>
      <c r="K28" s="18">
        <f t="shared" si="1"/>
        <v>2</v>
      </c>
      <c r="L28" s="8">
        <f t="shared" si="2"/>
        <v>3</v>
      </c>
    </row>
    <row r="29" spans="1:12" ht="15.75" thickBot="1" x14ac:dyDescent="0.3">
      <c r="A29" s="9">
        <v>20</v>
      </c>
      <c r="B29" s="24">
        <v>1</v>
      </c>
      <c r="C29" s="25"/>
      <c r="D29" s="25"/>
      <c r="E29" s="26"/>
      <c r="F29" s="20">
        <f t="shared" si="0"/>
        <v>1</v>
      </c>
      <c r="G29" s="33"/>
      <c r="H29" s="25"/>
      <c r="I29" s="25"/>
      <c r="J29" s="25"/>
      <c r="K29" s="18">
        <f t="shared" si="1"/>
        <v>0</v>
      </c>
      <c r="L29" s="8">
        <f t="shared" si="2"/>
        <v>1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>
        <v>2</v>
      </c>
      <c r="H30" s="25"/>
      <c r="I30" s="25"/>
      <c r="J30" s="25"/>
      <c r="K30" s="18">
        <f t="shared" si="1"/>
        <v>2</v>
      </c>
      <c r="L30" s="8">
        <f t="shared" si="2"/>
        <v>2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>
        <v>2</v>
      </c>
      <c r="H34" s="25"/>
      <c r="I34" s="25"/>
      <c r="J34" s="25"/>
      <c r="K34" s="18">
        <f t="shared" si="1"/>
        <v>2</v>
      </c>
      <c r="L34" s="8">
        <f t="shared" si="2"/>
        <v>2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>
        <v>1</v>
      </c>
      <c r="C37" s="25"/>
      <c r="D37" s="25"/>
      <c r="E37" s="26"/>
      <c r="F37" s="20">
        <f t="shared" si="0"/>
        <v>1</v>
      </c>
      <c r="G37" s="33"/>
      <c r="H37" s="25"/>
      <c r="I37" s="25"/>
      <c r="J37" s="25"/>
      <c r="K37" s="18">
        <f t="shared" si="1"/>
        <v>0</v>
      </c>
      <c r="L37" s="8">
        <f t="shared" si="2"/>
        <v>1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12">
        <f>SUM(B10:B40)</f>
        <v>57</v>
      </c>
      <c r="C41" s="12">
        <f t="shared" ref="C41:E41" si="3">SUM(C10:C40)</f>
        <v>0</v>
      </c>
      <c r="D41" s="12">
        <f t="shared" si="3"/>
        <v>0</v>
      </c>
      <c r="E41" s="12">
        <f t="shared" si="3"/>
        <v>0</v>
      </c>
      <c r="F41" s="17">
        <f>SUM(F10:F40)</f>
        <v>57</v>
      </c>
      <c r="G41" s="19">
        <f>SUM(G10:G40)</f>
        <v>96</v>
      </c>
      <c r="H41" s="19">
        <f t="shared" ref="H41:L41" si="4">SUM(H10:H40)</f>
        <v>3</v>
      </c>
      <c r="I41" s="19">
        <f t="shared" si="4"/>
        <v>0</v>
      </c>
      <c r="J41" s="19">
        <f t="shared" si="4"/>
        <v>0</v>
      </c>
      <c r="K41" s="19">
        <f t="shared" si="4"/>
        <v>99</v>
      </c>
      <c r="L41" s="19">
        <f t="shared" si="4"/>
        <v>156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12"/>
      <c r="B43" s="112"/>
      <c r="C43" s="112"/>
      <c r="D43" s="112"/>
      <c r="E43" s="112"/>
      <c r="F43" s="112"/>
      <c r="G43" s="113" t="s">
        <v>17</v>
      </c>
      <c r="H43" s="114"/>
      <c r="I43" s="114" t="s">
        <v>18</v>
      </c>
      <c r="J43" s="115"/>
      <c r="K43" s="13"/>
      <c r="L43" s="15"/>
    </row>
    <row r="44" spans="1:12" ht="15.75" thickBot="1" x14ac:dyDescent="0.3">
      <c r="A44" s="16"/>
      <c r="B44" s="99" t="s">
        <v>19</v>
      </c>
      <c r="C44" s="100"/>
      <c r="D44" s="100"/>
      <c r="E44" s="100"/>
      <c r="F44" s="100"/>
      <c r="G44" s="110">
        <v>206</v>
      </c>
      <c r="H44" s="116"/>
      <c r="I44" s="117"/>
      <c r="J44" s="118"/>
      <c r="K44" s="13"/>
      <c r="L44" s="15"/>
    </row>
    <row r="45" spans="1:12" ht="15.75" thickBot="1" x14ac:dyDescent="0.3">
      <c r="A45" s="16"/>
      <c r="B45" s="99" t="s">
        <v>20</v>
      </c>
      <c r="C45" s="100"/>
      <c r="D45" s="100"/>
      <c r="E45" s="100"/>
      <c r="F45" s="100"/>
      <c r="G45" s="103">
        <v>40</v>
      </c>
      <c r="H45" s="102"/>
      <c r="I45" s="103"/>
      <c r="J45" s="102"/>
      <c r="K45" s="13"/>
      <c r="L45" s="15"/>
    </row>
    <row r="46" spans="1:12" ht="15.75" thickBot="1" x14ac:dyDescent="0.3">
      <c r="A46" s="16"/>
      <c r="B46" s="107" t="s">
        <v>21</v>
      </c>
      <c r="C46" s="107"/>
      <c r="D46" s="107"/>
      <c r="E46" s="107"/>
      <c r="F46" s="99"/>
      <c r="G46" s="108">
        <v>2</v>
      </c>
      <c r="H46" s="109"/>
      <c r="I46" s="110"/>
      <c r="J46" s="111"/>
      <c r="K46" s="13"/>
      <c r="L46" s="15"/>
    </row>
    <row r="47" spans="1:12" ht="15.75" thickBot="1" x14ac:dyDescent="0.3">
      <c r="A47" s="16"/>
      <c r="B47" s="99" t="s">
        <v>22</v>
      </c>
      <c r="C47" s="100"/>
      <c r="D47" s="100"/>
      <c r="E47" s="100"/>
      <c r="F47" s="100"/>
      <c r="G47" s="101">
        <f>L41+G46</f>
        <v>158</v>
      </c>
      <c r="H47" s="102"/>
      <c r="I47" s="103"/>
      <c r="J47" s="102"/>
      <c r="K47" s="13"/>
      <c r="L47" s="15"/>
    </row>
    <row r="48" spans="1:12" ht="15.75" thickBot="1" x14ac:dyDescent="0.3">
      <c r="A48" s="5"/>
      <c r="B48" s="99" t="s">
        <v>23</v>
      </c>
      <c r="C48" s="100"/>
      <c r="D48" s="100"/>
      <c r="E48" s="100"/>
      <c r="F48" s="100"/>
      <c r="G48" s="101">
        <f>G44+G45-G47</f>
        <v>88</v>
      </c>
      <c r="H48" s="102"/>
      <c r="I48" s="103"/>
      <c r="J48" s="102"/>
      <c r="K48" s="13"/>
      <c r="L48" s="4"/>
    </row>
    <row r="49" spans="1:12" ht="15.75" thickBot="1" x14ac:dyDescent="0.3">
      <c r="A49" s="5"/>
      <c r="B49" s="99" t="s">
        <v>24</v>
      </c>
      <c r="C49" s="100"/>
      <c r="D49" s="100"/>
      <c r="E49" s="100"/>
      <c r="F49" s="100"/>
      <c r="G49" s="101">
        <v>88</v>
      </c>
      <c r="H49" s="102"/>
      <c r="I49" s="103"/>
      <c r="J49" s="102"/>
      <c r="K49" s="13"/>
      <c r="L49" s="4"/>
    </row>
    <row r="50" spans="1:12" ht="15.75" thickBot="1" x14ac:dyDescent="0.3">
      <c r="A50" s="5"/>
      <c r="B50" s="99" t="s">
        <v>25</v>
      </c>
      <c r="C50" s="100"/>
      <c r="D50" s="100"/>
      <c r="E50" s="100"/>
      <c r="F50" s="100"/>
      <c r="G50" s="104">
        <f>G48-G49</f>
        <v>0</v>
      </c>
      <c r="H50" s="105"/>
      <c r="I50" s="106"/>
      <c r="J50" s="105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  <row r="52" spans="1:12" x14ac:dyDescent="0.25">
      <c r="D52" t="s">
        <v>6</v>
      </c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G52" sqref="G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8"/>
      <c r="F1" s="39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8"/>
      <c r="F2" s="39"/>
      <c r="G2" s="131" t="s">
        <v>3</v>
      </c>
      <c r="H2" s="131"/>
      <c r="I2" s="131"/>
      <c r="J2" s="131"/>
      <c r="K2" s="131"/>
      <c r="L2" s="131"/>
    </row>
    <row r="3" spans="1:12" x14ac:dyDescent="0.25">
      <c r="A3" s="131" t="s">
        <v>4</v>
      </c>
      <c r="B3" s="131"/>
      <c r="C3" s="131"/>
      <c r="D3" s="131"/>
      <c r="E3" s="38"/>
      <c r="F3" s="39"/>
      <c r="G3" s="131" t="s">
        <v>32</v>
      </c>
      <c r="H3" s="131"/>
      <c r="I3" s="131"/>
      <c r="J3" s="131"/>
      <c r="K3" s="131"/>
      <c r="L3" s="131"/>
    </row>
    <row r="4" spans="1:12" x14ac:dyDescent="0.25">
      <c r="A4" s="75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9" t="s">
        <v>5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1:12" ht="15.75" x14ac:dyDescent="0.25">
      <c r="A6" s="120" t="s">
        <v>29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ht="15.75" thickBot="1" x14ac:dyDescent="0.3">
      <c r="A7" s="3" t="s">
        <v>6</v>
      </c>
      <c r="B7" s="13"/>
      <c r="C7" s="14"/>
      <c r="D7" s="14"/>
      <c r="E7" s="14"/>
      <c r="F7" s="13"/>
      <c r="G7" s="13"/>
      <c r="H7" s="122"/>
      <c r="I7" s="122"/>
      <c r="J7" s="14"/>
      <c r="K7" s="40"/>
      <c r="L7" s="4"/>
    </row>
    <row r="8" spans="1:12" x14ac:dyDescent="0.25">
      <c r="A8" s="123" t="s">
        <v>7</v>
      </c>
      <c r="B8" s="125" t="s">
        <v>8</v>
      </c>
      <c r="C8" s="126"/>
      <c r="D8" s="126"/>
      <c r="E8" s="126"/>
      <c r="F8" s="127"/>
      <c r="G8" s="128" t="s">
        <v>9</v>
      </c>
      <c r="H8" s="126"/>
      <c r="I8" s="126"/>
      <c r="J8" s="126"/>
      <c r="K8" s="127"/>
      <c r="L8" s="129" t="s">
        <v>10</v>
      </c>
    </row>
    <row r="9" spans="1:12" ht="15.75" thickBot="1" x14ac:dyDescent="0.3">
      <c r="A9" s="124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30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>
        <v>2</v>
      </c>
      <c r="E11" s="26"/>
      <c r="F11" s="20">
        <f t="shared" ref="F11:F40" si="0">SUM(B11:E11)</f>
        <v>2</v>
      </c>
      <c r="G11" s="33">
        <v>1</v>
      </c>
      <c r="H11" s="25"/>
      <c r="I11" s="25"/>
      <c r="J11" s="25"/>
      <c r="K11" s="18">
        <f t="shared" ref="K11:K40" si="1">SUM(G11:J11)</f>
        <v>1</v>
      </c>
      <c r="L11" s="8">
        <f t="shared" ref="L11:L40" si="2">SUM(F11+K11)</f>
        <v>3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77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>
        <v>1</v>
      </c>
      <c r="H14" s="25"/>
      <c r="I14" s="25"/>
      <c r="J14" s="25"/>
      <c r="K14" s="18">
        <f t="shared" si="1"/>
        <v>1</v>
      </c>
      <c r="L14" s="8">
        <f t="shared" si="2"/>
        <v>1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>
        <v>13</v>
      </c>
      <c r="H21" s="36"/>
      <c r="I21" s="36"/>
      <c r="J21" s="36"/>
      <c r="K21" s="18">
        <f t="shared" si="1"/>
        <v>13</v>
      </c>
      <c r="L21" s="8">
        <f t="shared" si="2"/>
        <v>13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>
        <v>2</v>
      </c>
      <c r="C24" s="25"/>
      <c r="D24" s="25"/>
      <c r="E24" s="26"/>
      <c r="F24" s="20">
        <f t="shared" si="0"/>
        <v>2</v>
      </c>
      <c r="G24" s="33"/>
      <c r="H24" s="25"/>
      <c r="I24" s="25"/>
      <c r="J24" s="25"/>
      <c r="K24" s="18">
        <f t="shared" si="1"/>
        <v>0</v>
      </c>
      <c r="L24" s="8">
        <f t="shared" si="2"/>
        <v>2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>
        <v>1</v>
      </c>
      <c r="C26" s="50"/>
      <c r="D26" s="28"/>
      <c r="E26" s="26"/>
      <c r="F26" s="20">
        <f t="shared" si="0"/>
        <v>1</v>
      </c>
      <c r="G26" s="33"/>
      <c r="H26" s="25"/>
      <c r="I26" s="25"/>
      <c r="J26" s="25"/>
      <c r="K26" s="18">
        <f t="shared" si="1"/>
        <v>0</v>
      </c>
      <c r="L26" s="8">
        <f t="shared" si="2"/>
        <v>1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>
        <v>1</v>
      </c>
      <c r="C31" s="25"/>
      <c r="D31" s="25"/>
      <c r="E31" s="26"/>
      <c r="F31" s="20">
        <f t="shared" si="0"/>
        <v>1</v>
      </c>
      <c r="G31" s="33"/>
      <c r="H31" s="25"/>
      <c r="I31" s="25"/>
      <c r="J31" s="25"/>
      <c r="K31" s="18">
        <f t="shared" si="1"/>
        <v>0</v>
      </c>
      <c r="L31" s="8">
        <f t="shared" si="2"/>
        <v>1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>
        <v>1</v>
      </c>
      <c r="C33" s="25"/>
      <c r="D33" s="25"/>
      <c r="E33" s="26"/>
      <c r="F33" s="20">
        <f t="shared" si="0"/>
        <v>1</v>
      </c>
      <c r="G33" s="33"/>
      <c r="H33" s="25"/>
      <c r="I33" s="25"/>
      <c r="J33" s="25"/>
      <c r="K33" s="18">
        <f t="shared" si="1"/>
        <v>0</v>
      </c>
      <c r="L33" s="8">
        <f t="shared" si="2"/>
        <v>1</v>
      </c>
    </row>
    <row r="34" spans="1:12" ht="15.75" thickBot="1" x14ac:dyDescent="0.3">
      <c r="A34" s="9">
        <v>25</v>
      </c>
      <c r="B34" s="24">
        <v>1</v>
      </c>
      <c r="C34" s="25"/>
      <c r="D34" s="25"/>
      <c r="E34" s="26"/>
      <c r="F34" s="20">
        <f t="shared" si="0"/>
        <v>1</v>
      </c>
      <c r="G34" s="33"/>
      <c r="H34" s="25"/>
      <c r="I34" s="25"/>
      <c r="J34" s="25"/>
      <c r="K34" s="18">
        <f t="shared" si="1"/>
        <v>0</v>
      </c>
      <c r="L34" s="8">
        <f t="shared" si="2"/>
        <v>1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>
        <v>3</v>
      </c>
      <c r="H35" s="25"/>
      <c r="I35" s="25"/>
      <c r="J35" s="25"/>
      <c r="K35" s="18">
        <f t="shared" si="1"/>
        <v>3</v>
      </c>
      <c r="L35" s="8">
        <f t="shared" si="2"/>
        <v>3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76"/>
      <c r="B41" s="74">
        <f>SUM(B10:B40)</f>
        <v>6</v>
      </c>
      <c r="C41" s="74">
        <f t="shared" ref="C41:E41" si="3">SUM(C10:C40)</f>
        <v>0</v>
      </c>
      <c r="D41" s="74">
        <f t="shared" si="3"/>
        <v>2</v>
      </c>
      <c r="E41" s="74">
        <f t="shared" si="3"/>
        <v>0</v>
      </c>
      <c r="F41" s="73">
        <f>SUM(F10:F40)</f>
        <v>8</v>
      </c>
      <c r="G41" s="19">
        <f>SUM(G10:G40)</f>
        <v>18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18</v>
      </c>
      <c r="L41" s="19">
        <f t="shared" si="4"/>
        <v>26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12"/>
      <c r="B43" s="112"/>
      <c r="C43" s="112"/>
      <c r="D43" s="112"/>
      <c r="E43" s="112"/>
      <c r="F43" s="112"/>
      <c r="G43" s="113" t="s">
        <v>17</v>
      </c>
      <c r="H43" s="114"/>
      <c r="I43" s="114" t="s">
        <v>18</v>
      </c>
      <c r="J43" s="115"/>
      <c r="K43" s="13"/>
      <c r="L43" s="15"/>
    </row>
    <row r="44" spans="1:12" ht="15.75" thickBot="1" x14ac:dyDescent="0.3">
      <c r="A44" s="16"/>
      <c r="B44" s="99" t="s">
        <v>19</v>
      </c>
      <c r="C44" s="100"/>
      <c r="D44" s="100"/>
      <c r="E44" s="100"/>
      <c r="F44" s="100"/>
      <c r="G44" s="110">
        <v>88</v>
      </c>
      <c r="H44" s="116"/>
      <c r="I44" s="117"/>
      <c r="J44" s="118"/>
      <c r="K44" s="13"/>
      <c r="L44" s="15"/>
    </row>
    <row r="45" spans="1:12" ht="15.75" thickBot="1" x14ac:dyDescent="0.3">
      <c r="A45" s="16"/>
      <c r="B45" s="99" t="s">
        <v>20</v>
      </c>
      <c r="C45" s="100"/>
      <c r="D45" s="100"/>
      <c r="E45" s="100"/>
      <c r="F45" s="100"/>
      <c r="G45" s="103">
        <v>70</v>
      </c>
      <c r="H45" s="102"/>
      <c r="I45" s="103"/>
      <c r="J45" s="102"/>
      <c r="K45" s="13"/>
      <c r="L45" s="15"/>
    </row>
    <row r="46" spans="1:12" ht="15.75" thickBot="1" x14ac:dyDescent="0.3">
      <c r="A46" s="16"/>
      <c r="B46" s="107" t="s">
        <v>21</v>
      </c>
      <c r="C46" s="107"/>
      <c r="D46" s="107"/>
      <c r="E46" s="107"/>
      <c r="F46" s="99"/>
      <c r="G46" s="108">
        <v>2</v>
      </c>
      <c r="H46" s="109"/>
      <c r="I46" s="110"/>
      <c r="J46" s="111"/>
      <c r="K46" s="13"/>
      <c r="L46" s="15"/>
    </row>
    <row r="47" spans="1:12" ht="15.75" thickBot="1" x14ac:dyDescent="0.3">
      <c r="A47" s="16"/>
      <c r="B47" s="99" t="s">
        <v>22</v>
      </c>
      <c r="C47" s="100"/>
      <c r="D47" s="100"/>
      <c r="E47" s="100"/>
      <c r="F47" s="100"/>
      <c r="G47" s="101">
        <f>L41+G46</f>
        <v>28</v>
      </c>
      <c r="H47" s="102"/>
      <c r="I47" s="103"/>
      <c r="J47" s="102"/>
      <c r="K47" s="13"/>
      <c r="L47" s="15"/>
    </row>
    <row r="48" spans="1:12" ht="15.75" thickBot="1" x14ac:dyDescent="0.3">
      <c r="A48" s="5"/>
      <c r="B48" s="99" t="s">
        <v>23</v>
      </c>
      <c r="C48" s="100"/>
      <c r="D48" s="100"/>
      <c r="E48" s="100"/>
      <c r="F48" s="100"/>
      <c r="G48" s="101">
        <f>G44+G45-G47</f>
        <v>130</v>
      </c>
      <c r="H48" s="102"/>
      <c r="I48" s="103"/>
      <c r="J48" s="102"/>
      <c r="K48" s="13"/>
      <c r="L48" s="4"/>
    </row>
    <row r="49" spans="1:12" ht="15.75" thickBot="1" x14ac:dyDescent="0.3">
      <c r="A49" s="5"/>
      <c r="B49" s="99" t="s">
        <v>24</v>
      </c>
      <c r="C49" s="100"/>
      <c r="D49" s="100"/>
      <c r="E49" s="100"/>
      <c r="F49" s="100"/>
      <c r="G49" s="101">
        <v>130</v>
      </c>
      <c r="H49" s="102"/>
      <c r="I49" s="103"/>
      <c r="J49" s="102"/>
      <c r="K49" s="13"/>
      <c r="L49" s="4"/>
    </row>
    <row r="50" spans="1:12" ht="15.75" thickBot="1" x14ac:dyDescent="0.3">
      <c r="A50" s="5"/>
      <c r="B50" s="99" t="s">
        <v>25</v>
      </c>
      <c r="C50" s="100"/>
      <c r="D50" s="100"/>
      <c r="E50" s="100"/>
      <c r="F50" s="100"/>
      <c r="G50" s="104">
        <f>G48-G49</f>
        <v>0</v>
      </c>
      <c r="H50" s="105"/>
      <c r="I50" s="106"/>
      <c r="J50" s="105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8:F48"/>
    <mergeCell ref="G48:H48"/>
    <mergeCell ref="I48:J48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5:L5"/>
    <mergeCell ref="A6:L6"/>
    <mergeCell ref="H7:I7"/>
    <mergeCell ref="G43:H43"/>
    <mergeCell ref="I43:J43"/>
    <mergeCell ref="A8:A9"/>
    <mergeCell ref="B8:F8"/>
    <mergeCell ref="G8:K8"/>
    <mergeCell ref="L8:L9"/>
    <mergeCell ref="A43:F43"/>
    <mergeCell ref="A1:D1"/>
    <mergeCell ref="G1:L1"/>
    <mergeCell ref="A2:D2"/>
    <mergeCell ref="G2:L2"/>
    <mergeCell ref="A3:D3"/>
    <mergeCell ref="G3:L3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  <pageSetup orientation="portrait" horizontalDpi="36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8"/>
      <c r="F1" s="39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8"/>
      <c r="F2" s="39"/>
      <c r="G2" s="131"/>
      <c r="H2" s="131"/>
      <c r="I2" s="131"/>
      <c r="J2" s="131"/>
      <c r="K2" s="131"/>
      <c r="L2" s="131"/>
    </row>
    <row r="3" spans="1:12" x14ac:dyDescent="0.25">
      <c r="A3" s="131" t="s">
        <v>4</v>
      </c>
      <c r="B3" s="131"/>
      <c r="C3" s="131"/>
      <c r="D3" s="131"/>
      <c r="E3" s="38"/>
      <c r="F3" s="39"/>
      <c r="G3" s="131"/>
      <c r="H3" s="131"/>
      <c r="I3" s="131"/>
      <c r="J3" s="131"/>
      <c r="K3" s="131"/>
      <c r="L3" s="131"/>
    </row>
    <row r="4" spans="1:12" x14ac:dyDescent="0.25">
      <c r="A4" s="5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9" t="s">
        <v>5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1:12" ht="15.75" x14ac:dyDescent="0.25">
      <c r="A6" s="120" t="s">
        <v>30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ht="15.75" thickBot="1" x14ac:dyDescent="0.3">
      <c r="A7" s="3" t="s">
        <v>6</v>
      </c>
      <c r="B7" s="13"/>
      <c r="C7" s="14"/>
      <c r="D7" s="14"/>
      <c r="E7" s="14"/>
      <c r="F7" s="13"/>
      <c r="G7" s="13"/>
      <c r="H7" s="122"/>
      <c r="I7" s="122"/>
      <c r="J7" s="14"/>
      <c r="K7" s="40"/>
      <c r="L7" s="4"/>
    </row>
    <row r="8" spans="1:12" x14ac:dyDescent="0.25">
      <c r="A8" s="123" t="s">
        <v>7</v>
      </c>
      <c r="B8" s="125" t="s">
        <v>8</v>
      </c>
      <c r="C8" s="126"/>
      <c r="D8" s="126"/>
      <c r="E8" s="126"/>
      <c r="F8" s="127"/>
      <c r="G8" s="128" t="s">
        <v>9</v>
      </c>
      <c r="H8" s="126"/>
      <c r="I8" s="126"/>
      <c r="J8" s="126"/>
      <c r="K8" s="127"/>
      <c r="L8" s="129" t="s">
        <v>10</v>
      </c>
    </row>
    <row r="9" spans="1:12" ht="15.75" thickBot="1" x14ac:dyDescent="0.3">
      <c r="A9" s="124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30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>
        <v>1</v>
      </c>
      <c r="H10" s="32"/>
      <c r="I10" s="32"/>
      <c r="J10" s="32"/>
      <c r="K10" s="18">
        <f>SUM(G10:J10)</f>
        <v>1</v>
      </c>
      <c r="L10" s="8">
        <f>SUM(F10+K10)</f>
        <v>1</v>
      </c>
    </row>
    <row r="11" spans="1:12" ht="15.75" thickBot="1" x14ac:dyDescent="0.3">
      <c r="A11" s="9">
        <v>2</v>
      </c>
      <c r="B11" s="24">
        <v>2</v>
      </c>
      <c r="C11" s="25"/>
      <c r="D11" s="25"/>
      <c r="E11" s="26"/>
      <c r="F11" s="20">
        <f t="shared" ref="F11:F40" si="0">SUM(B11:E11)</f>
        <v>2</v>
      </c>
      <c r="G11" s="33">
        <v>3</v>
      </c>
      <c r="H11" s="25"/>
      <c r="I11" s="25"/>
      <c r="J11" s="25"/>
      <c r="K11" s="18">
        <f t="shared" ref="K11:K40" si="1">SUM(G11:J11)</f>
        <v>3</v>
      </c>
      <c r="L11" s="8">
        <f t="shared" ref="L11:L40" si="2">SUM(F11+K11)</f>
        <v>5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>
        <v>3</v>
      </c>
      <c r="H12" s="25"/>
      <c r="I12" s="25">
        <v>1</v>
      </c>
      <c r="J12" s="25"/>
      <c r="K12" s="18">
        <f t="shared" si="1"/>
        <v>4</v>
      </c>
      <c r="L12" s="8">
        <f t="shared" si="2"/>
        <v>4</v>
      </c>
    </row>
    <row r="13" spans="1:12" ht="15.75" thickBot="1" x14ac:dyDescent="0.3">
      <c r="A13" s="9">
        <v>4</v>
      </c>
      <c r="B13" s="24">
        <v>1</v>
      </c>
      <c r="C13" s="25"/>
      <c r="D13" s="25">
        <v>1</v>
      </c>
      <c r="E13" s="26"/>
      <c r="F13" s="20">
        <f t="shared" si="0"/>
        <v>2</v>
      </c>
      <c r="G13" s="34"/>
      <c r="H13" s="25"/>
      <c r="I13" s="25"/>
      <c r="J13" s="25"/>
      <c r="K13" s="18">
        <f t="shared" si="1"/>
        <v>0</v>
      </c>
      <c r="L13" s="8">
        <f t="shared" si="2"/>
        <v>2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>
        <v>1</v>
      </c>
      <c r="H14" s="25"/>
      <c r="I14" s="25"/>
      <c r="J14" s="25"/>
      <c r="K14" s="18">
        <f t="shared" si="1"/>
        <v>1</v>
      </c>
      <c r="L14" s="8">
        <f t="shared" si="2"/>
        <v>1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>
        <v>10</v>
      </c>
      <c r="H17" s="25"/>
      <c r="I17" s="25"/>
      <c r="J17" s="25"/>
      <c r="K17" s="18">
        <f t="shared" si="1"/>
        <v>10</v>
      </c>
      <c r="L17" s="8">
        <f t="shared" si="2"/>
        <v>10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>
        <v>1</v>
      </c>
      <c r="H19" s="25"/>
      <c r="I19" s="25"/>
      <c r="J19" s="25"/>
      <c r="K19" s="18">
        <f t="shared" si="1"/>
        <v>1</v>
      </c>
      <c r="L19" s="8">
        <f t="shared" si="2"/>
        <v>1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>
        <v>1</v>
      </c>
      <c r="H20" s="25"/>
      <c r="I20" s="25"/>
      <c r="J20" s="25"/>
      <c r="K20" s="18">
        <f t="shared" si="1"/>
        <v>1</v>
      </c>
      <c r="L20" s="8">
        <f t="shared" si="2"/>
        <v>1</v>
      </c>
    </row>
    <row r="21" spans="1:12" ht="15.75" thickBot="1" x14ac:dyDescent="0.3">
      <c r="A21" s="9">
        <v>12</v>
      </c>
      <c r="B21" s="24">
        <v>1</v>
      </c>
      <c r="C21" s="25"/>
      <c r="D21" s="25"/>
      <c r="E21" s="26"/>
      <c r="F21" s="20">
        <f t="shared" si="0"/>
        <v>1</v>
      </c>
      <c r="G21" s="33">
        <v>2</v>
      </c>
      <c r="H21" s="36"/>
      <c r="I21" s="36"/>
      <c r="J21" s="36"/>
      <c r="K21" s="18">
        <f t="shared" si="1"/>
        <v>2</v>
      </c>
      <c r="L21" s="8">
        <f t="shared" si="2"/>
        <v>3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>
        <v>10</v>
      </c>
      <c r="C23" s="25"/>
      <c r="D23" s="25"/>
      <c r="E23" s="26"/>
      <c r="F23" s="20">
        <f t="shared" si="0"/>
        <v>10</v>
      </c>
      <c r="G23" s="37"/>
      <c r="H23" s="25"/>
      <c r="I23" s="25"/>
      <c r="J23" s="25"/>
      <c r="K23" s="18">
        <f t="shared" si="1"/>
        <v>0</v>
      </c>
      <c r="L23" s="8">
        <f t="shared" si="2"/>
        <v>10</v>
      </c>
    </row>
    <row r="24" spans="1:12" ht="15.75" thickBot="1" x14ac:dyDescent="0.3">
      <c r="A24" s="9">
        <v>15</v>
      </c>
      <c r="B24" s="24">
        <v>2</v>
      </c>
      <c r="C24" s="25"/>
      <c r="D24" s="25"/>
      <c r="E24" s="26"/>
      <c r="F24" s="20">
        <f t="shared" si="0"/>
        <v>2</v>
      </c>
      <c r="G24" s="33">
        <v>1</v>
      </c>
      <c r="H24" s="25"/>
      <c r="I24" s="25"/>
      <c r="J24" s="25"/>
      <c r="K24" s="18">
        <f t="shared" si="1"/>
        <v>1</v>
      </c>
      <c r="L24" s="8">
        <f t="shared" si="2"/>
        <v>3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>
        <v>1</v>
      </c>
      <c r="H25" s="25"/>
      <c r="I25" s="25"/>
      <c r="J25" s="25"/>
      <c r="K25" s="18">
        <f t="shared" si="1"/>
        <v>1</v>
      </c>
      <c r="L25" s="8">
        <f t="shared" si="2"/>
        <v>1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>
        <v>1</v>
      </c>
      <c r="E28" s="26"/>
      <c r="F28" s="20">
        <f t="shared" si="0"/>
        <v>1</v>
      </c>
      <c r="G28" s="33"/>
      <c r="H28" s="25"/>
      <c r="I28" s="25"/>
      <c r="J28" s="25"/>
      <c r="K28" s="18">
        <f t="shared" si="1"/>
        <v>0</v>
      </c>
      <c r="L28" s="8">
        <f t="shared" si="2"/>
        <v>1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>
        <v>1</v>
      </c>
      <c r="E31" s="26"/>
      <c r="F31" s="20">
        <f t="shared" si="0"/>
        <v>1</v>
      </c>
      <c r="G31" s="33"/>
      <c r="H31" s="25"/>
      <c r="I31" s="25"/>
      <c r="J31" s="25"/>
      <c r="K31" s="18">
        <f t="shared" si="1"/>
        <v>0</v>
      </c>
      <c r="L31" s="8">
        <f t="shared" si="2"/>
        <v>1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>
        <v>6</v>
      </c>
      <c r="H32" s="25"/>
      <c r="I32" s="25"/>
      <c r="J32" s="25"/>
      <c r="K32" s="18">
        <f t="shared" si="1"/>
        <v>6</v>
      </c>
      <c r="L32" s="8">
        <f t="shared" si="2"/>
        <v>6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>
        <v>3</v>
      </c>
      <c r="C34" s="25"/>
      <c r="D34" s="25"/>
      <c r="E34" s="26"/>
      <c r="F34" s="20">
        <f t="shared" si="0"/>
        <v>3</v>
      </c>
      <c r="G34" s="33"/>
      <c r="H34" s="25"/>
      <c r="I34" s="25"/>
      <c r="J34" s="25"/>
      <c r="K34" s="18">
        <f t="shared" si="1"/>
        <v>0</v>
      </c>
      <c r="L34" s="8">
        <f t="shared" si="2"/>
        <v>3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>
        <v>12</v>
      </c>
      <c r="C38" s="25"/>
      <c r="D38" s="25"/>
      <c r="E38" s="26"/>
      <c r="F38" s="20">
        <f t="shared" si="0"/>
        <v>12</v>
      </c>
      <c r="G38" s="33">
        <v>3</v>
      </c>
      <c r="H38" s="25"/>
      <c r="I38" s="25"/>
      <c r="J38" s="25"/>
      <c r="K38" s="18">
        <f t="shared" si="1"/>
        <v>3</v>
      </c>
      <c r="L38" s="8">
        <f t="shared" si="2"/>
        <v>15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>
        <v>1</v>
      </c>
      <c r="H40" s="25"/>
      <c r="I40" s="28">
        <v>1</v>
      </c>
      <c r="J40" s="25"/>
      <c r="K40" s="18">
        <f t="shared" si="1"/>
        <v>2</v>
      </c>
      <c r="L40" s="8">
        <f t="shared" si="2"/>
        <v>2</v>
      </c>
    </row>
    <row r="41" spans="1:12" ht="15.75" thickBot="1" x14ac:dyDescent="0.3">
      <c r="A41" s="11"/>
      <c r="B41" s="53">
        <f>SUM(B10:B40)</f>
        <v>31</v>
      </c>
      <c r="C41" s="53">
        <f t="shared" ref="C41:E41" si="3">SUM(C10:C40)</f>
        <v>0</v>
      </c>
      <c r="D41" s="53">
        <f t="shared" si="3"/>
        <v>3</v>
      </c>
      <c r="E41" s="53">
        <f t="shared" si="3"/>
        <v>0</v>
      </c>
      <c r="F41" s="52">
        <f>SUM(F10:F40)</f>
        <v>34</v>
      </c>
      <c r="G41" s="19">
        <f>SUM(G10:G40)</f>
        <v>34</v>
      </c>
      <c r="H41" s="19">
        <f t="shared" ref="H41:L41" si="4">SUM(H10:H40)</f>
        <v>0</v>
      </c>
      <c r="I41" s="19">
        <f t="shared" si="4"/>
        <v>2</v>
      </c>
      <c r="J41" s="19">
        <f t="shared" si="4"/>
        <v>0</v>
      </c>
      <c r="K41" s="19">
        <f t="shared" si="4"/>
        <v>36</v>
      </c>
      <c r="L41" s="19">
        <f t="shared" si="4"/>
        <v>70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12"/>
      <c r="B43" s="112"/>
      <c r="C43" s="112"/>
      <c r="D43" s="112"/>
      <c r="E43" s="112"/>
      <c r="F43" s="112"/>
      <c r="G43" s="113" t="s">
        <v>17</v>
      </c>
      <c r="H43" s="132"/>
      <c r="I43" s="113" t="s">
        <v>18</v>
      </c>
      <c r="J43" s="115"/>
      <c r="K43" s="54"/>
      <c r="L43" s="55"/>
    </row>
    <row r="44" spans="1:12" ht="15.75" thickBot="1" x14ac:dyDescent="0.3">
      <c r="A44" s="16"/>
      <c r="B44" s="99" t="s">
        <v>19</v>
      </c>
      <c r="C44" s="100"/>
      <c r="D44" s="100"/>
      <c r="E44" s="100"/>
      <c r="F44" s="100"/>
      <c r="G44" s="110">
        <v>130</v>
      </c>
      <c r="H44" s="133"/>
      <c r="I44" s="134"/>
      <c r="J44" s="135"/>
      <c r="K44" s="54"/>
      <c r="L44" s="55"/>
    </row>
    <row r="45" spans="1:12" ht="15.75" thickBot="1" x14ac:dyDescent="0.3">
      <c r="A45" s="16"/>
      <c r="B45" s="99" t="s">
        <v>20</v>
      </c>
      <c r="C45" s="100"/>
      <c r="D45" s="100"/>
      <c r="E45" s="100"/>
      <c r="F45" s="100"/>
      <c r="G45" s="103">
        <v>220</v>
      </c>
      <c r="H45" s="136"/>
      <c r="I45" s="103"/>
      <c r="J45" s="102"/>
      <c r="K45" s="54"/>
      <c r="L45" s="55"/>
    </row>
    <row r="46" spans="1:12" ht="15.75" thickBot="1" x14ac:dyDescent="0.3">
      <c r="A46" s="16"/>
      <c r="B46" s="107" t="s">
        <v>21</v>
      </c>
      <c r="C46" s="107"/>
      <c r="D46" s="107"/>
      <c r="E46" s="107"/>
      <c r="F46" s="99"/>
      <c r="G46" s="108">
        <v>3</v>
      </c>
      <c r="H46" s="137"/>
      <c r="I46" s="103"/>
      <c r="J46" s="102"/>
      <c r="K46" s="54"/>
      <c r="L46" s="55"/>
    </row>
    <row r="47" spans="1:12" ht="15.75" thickBot="1" x14ac:dyDescent="0.3">
      <c r="A47" s="16"/>
      <c r="B47" s="99" t="s">
        <v>22</v>
      </c>
      <c r="C47" s="100"/>
      <c r="D47" s="100"/>
      <c r="E47" s="100"/>
      <c r="F47" s="100"/>
      <c r="G47" s="101">
        <f>L41+G46</f>
        <v>73</v>
      </c>
      <c r="H47" s="136"/>
      <c r="I47" s="103"/>
      <c r="J47" s="102"/>
      <c r="K47" s="54"/>
      <c r="L47" s="55"/>
    </row>
    <row r="48" spans="1:12" ht="15.75" thickBot="1" x14ac:dyDescent="0.3">
      <c r="A48" s="5"/>
      <c r="B48" s="99" t="s">
        <v>23</v>
      </c>
      <c r="C48" s="100"/>
      <c r="D48" s="100"/>
      <c r="E48" s="100"/>
      <c r="F48" s="100"/>
      <c r="G48" s="101">
        <f>G44+G45-G47</f>
        <v>277</v>
      </c>
      <c r="H48" s="136"/>
      <c r="I48" s="103"/>
      <c r="J48" s="102"/>
      <c r="K48" s="54"/>
      <c r="L48" s="56"/>
    </row>
    <row r="49" spans="1:12" ht="15.75" thickBot="1" x14ac:dyDescent="0.3">
      <c r="A49" s="5"/>
      <c r="B49" s="99" t="s">
        <v>24</v>
      </c>
      <c r="C49" s="100"/>
      <c r="D49" s="100"/>
      <c r="E49" s="100"/>
      <c r="F49" s="100"/>
      <c r="G49" s="103">
        <v>277</v>
      </c>
      <c r="H49" s="136"/>
      <c r="I49" s="103"/>
      <c r="J49" s="102"/>
      <c r="K49" s="54"/>
      <c r="L49" s="56"/>
    </row>
    <row r="50" spans="1:12" ht="15.75" thickBot="1" x14ac:dyDescent="0.3">
      <c r="A50" s="5"/>
      <c r="B50" s="99" t="s">
        <v>25</v>
      </c>
      <c r="C50" s="100"/>
      <c r="D50" s="100"/>
      <c r="E50" s="100"/>
      <c r="F50" s="100"/>
      <c r="G50" s="104">
        <f>G48-G49</f>
        <v>0</v>
      </c>
      <c r="H50" s="138"/>
      <c r="I50" s="106"/>
      <c r="J50" s="105"/>
      <c r="K50" s="54"/>
      <c r="L50" s="56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6:L6"/>
    <mergeCell ref="H7:I7"/>
    <mergeCell ref="A8:A9"/>
    <mergeCell ref="B8:F8"/>
    <mergeCell ref="G8:K8"/>
    <mergeCell ref="L8:L9"/>
    <mergeCell ref="A5:L5"/>
    <mergeCell ref="A1:D1"/>
    <mergeCell ref="G1:L1"/>
    <mergeCell ref="A2:D2"/>
    <mergeCell ref="G2:L2"/>
    <mergeCell ref="A3:D3"/>
    <mergeCell ref="G3:L3"/>
  </mergeCells>
  <pageMargins left="0" right="0" top="0.35433070866141736" bottom="0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G52" sqref="G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8"/>
      <c r="F1" s="39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8"/>
      <c r="F2" s="39"/>
      <c r="G2" s="131" t="s">
        <v>3</v>
      </c>
      <c r="H2" s="131"/>
      <c r="I2" s="131"/>
      <c r="J2" s="131"/>
      <c r="K2" s="131"/>
      <c r="L2" s="131"/>
    </row>
    <row r="3" spans="1:12" x14ac:dyDescent="0.25">
      <c r="A3" s="131" t="s">
        <v>4</v>
      </c>
      <c r="B3" s="131"/>
      <c r="C3" s="131"/>
      <c r="D3" s="131"/>
      <c r="E3" s="38"/>
      <c r="F3" s="39"/>
      <c r="G3" s="131" t="s">
        <v>32</v>
      </c>
      <c r="H3" s="131"/>
      <c r="I3" s="131"/>
      <c r="J3" s="131"/>
      <c r="K3" s="131"/>
      <c r="L3" s="131"/>
    </row>
    <row r="4" spans="1:12" x14ac:dyDescent="0.25">
      <c r="A4" s="57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9" t="s">
        <v>5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1:12" ht="15.75" x14ac:dyDescent="0.25">
      <c r="A6" s="120" t="s">
        <v>31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ht="15.75" thickBot="1" x14ac:dyDescent="0.3">
      <c r="A7" s="3" t="s">
        <v>6</v>
      </c>
      <c r="B7" s="13"/>
      <c r="C7" s="14"/>
      <c r="D7" s="14"/>
      <c r="E7" s="14"/>
      <c r="F7" s="13"/>
      <c r="G7" s="13"/>
      <c r="H7" s="122"/>
      <c r="I7" s="122"/>
      <c r="J7" s="14"/>
      <c r="K7" s="40"/>
      <c r="L7" s="4"/>
    </row>
    <row r="8" spans="1:12" x14ac:dyDescent="0.25">
      <c r="A8" s="123" t="s">
        <v>7</v>
      </c>
      <c r="B8" s="125" t="s">
        <v>8</v>
      </c>
      <c r="C8" s="126"/>
      <c r="D8" s="126"/>
      <c r="E8" s="126"/>
      <c r="F8" s="127"/>
      <c r="G8" s="128" t="s">
        <v>9</v>
      </c>
      <c r="H8" s="126"/>
      <c r="I8" s="126"/>
      <c r="J8" s="126"/>
      <c r="K8" s="127"/>
      <c r="L8" s="129" t="s">
        <v>10</v>
      </c>
    </row>
    <row r="9" spans="1:12" ht="15.75" thickBot="1" x14ac:dyDescent="0.3">
      <c r="A9" s="124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30"/>
    </row>
    <row r="10" spans="1:12" ht="15.75" thickBot="1" x14ac:dyDescent="0.3">
      <c r="A10" s="7">
        <v>1</v>
      </c>
      <c r="B10" s="21">
        <v>3</v>
      </c>
      <c r="C10" s="22"/>
      <c r="D10" s="22"/>
      <c r="E10" s="23"/>
      <c r="F10" s="20">
        <f>SUM(B10:E10)</f>
        <v>3</v>
      </c>
      <c r="G10" s="49">
        <v>2</v>
      </c>
      <c r="H10" s="32"/>
      <c r="I10" s="32"/>
      <c r="J10" s="32"/>
      <c r="K10" s="18">
        <f>SUM(G10:J10)</f>
        <v>2</v>
      </c>
      <c r="L10" s="8">
        <f>SUM(F10+K10)</f>
        <v>5</v>
      </c>
    </row>
    <row r="11" spans="1:12" ht="15.75" thickBot="1" x14ac:dyDescent="0.3">
      <c r="A11" s="9">
        <v>2</v>
      </c>
      <c r="B11" s="24">
        <v>1</v>
      </c>
      <c r="C11" s="25"/>
      <c r="D11" s="25"/>
      <c r="E11" s="26"/>
      <c r="F11" s="20">
        <f t="shared" ref="F11:F40" si="0">SUM(B11:E11)</f>
        <v>1</v>
      </c>
      <c r="G11" s="33">
        <v>5</v>
      </c>
      <c r="H11" s="25"/>
      <c r="I11" s="25"/>
      <c r="J11" s="25"/>
      <c r="K11" s="18">
        <f t="shared" ref="K11:K40" si="1">SUM(G11:J11)</f>
        <v>5</v>
      </c>
      <c r="L11" s="8">
        <f t="shared" ref="L11:L40" si="2">SUM(F11+K11)</f>
        <v>6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77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>
        <v>1</v>
      </c>
      <c r="H14" s="25"/>
      <c r="I14" s="25"/>
      <c r="J14" s="25"/>
      <c r="K14" s="18">
        <f t="shared" si="1"/>
        <v>1</v>
      </c>
      <c r="L14" s="8">
        <f t="shared" si="2"/>
        <v>1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>
        <v>2</v>
      </c>
      <c r="H16" s="25"/>
      <c r="I16" s="25"/>
      <c r="J16" s="25"/>
      <c r="K16" s="18">
        <f t="shared" si="1"/>
        <v>2</v>
      </c>
      <c r="L16" s="8">
        <f t="shared" si="2"/>
        <v>2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>
        <v>1</v>
      </c>
      <c r="H17" s="25"/>
      <c r="I17" s="25"/>
      <c r="J17" s="25"/>
      <c r="K17" s="18">
        <f t="shared" si="1"/>
        <v>1</v>
      </c>
      <c r="L17" s="8">
        <f t="shared" si="2"/>
        <v>1</v>
      </c>
    </row>
    <row r="18" spans="1:12" ht="15.75" thickBot="1" x14ac:dyDescent="0.3">
      <c r="A18" s="9">
        <v>9</v>
      </c>
      <c r="B18" s="24"/>
      <c r="C18" s="25"/>
      <c r="D18" s="25">
        <v>1</v>
      </c>
      <c r="E18" s="26"/>
      <c r="F18" s="20">
        <f t="shared" si="0"/>
        <v>1</v>
      </c>
      <c r="G18" s="33">
        <v>3</v>
      </c>
      <c r="H18" s="25"/>
      <c r="I18" s="25"/>
      <c r="J18" s="25"/>
      <c r="K18" s="18">
        <f t="shared" si="1"/>
        <v>3</v>
      </c>
      <c r="L18" s="8">
        <f t="shared" si="2"/>
        <v>4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>
        <v>2</v>
      </c>
      <c r="C20" s="25"/>
      <c r="D20" s="25"/>
      <c r="E20" s="26"/>
      <c r="F20" s="20">
        <f t="shared" si="0"/>
        <v>2</v>
      </c>
      <c r="G20" s="33"/>
      <c r="H20" s="25"/>
      <c r="I20" s="25"/>
      <c r="J20" s="25"/>
      <c r="K20" s="18">
        <f t="shared" si="1"/>
        <v>0</v>
      </c>
      <c r="L20" s="8">
        <f t="shared" si="2"/>
        <v>2</v>
      </c>
    </row>
    <row r="21" spans="1:12" ht="15.75" thickBot="1" x14ac:dyDescent="0.3">
      <c r="A21" s="9">
        <v>12</v>
      </c>
      <c r="B21" s="24">
        <v>4</v>
      </c>
      <c r="C21" s="25"/>
      <c r="D21" s="25"/>
      <c r="E21" s="26"/>
      <c r="F21" s="20">
        <f t="shared" si="0"/>
        <v>4</v>
      </c>
      <c r="G21" s="33"/>
      <c r="H21" s="36"/>
      <c r="I21" s="36"/>
      <c r="J21" s="36"/>
      <c r="K21" s="18">
        <f t="shared" si="1"/>
        <v>0</v>
      </c>
      <c r="L21" s="8">
        <f t="shared" si="2"/>
        <v>4</v>
      </c>
    </row>
    <row r="22" spans="1:12" ht="15.75" thickBot="1" x14ac:dyDescent="0.3">
      <c r="A22" s="9">
        <v>13</v>
      </c>
      <c r="B22" s="24">
        <v>1</v>
      </c>
      <c r="C22" s="25"/>
      <c r="D22" s="25"/>
      <c r="E22" s="26"/>
      <c r="F22" s="20">
        <f t="shared" si="0"/>
        <v>1</v>
      </c>
      <c r="G22" s="37"/>
      <c r="H22" s="25"/>
      <c r="I22" s="25"/>
      <c r="J22" s="25"/>
      <c r="K22" s="18">
        <f t="shared" si="1"/>
        <v>0</v>
      </c>
      <c r="L22" s="8">
        <f t="shared" si="2"/>
        <v>1</v>
      </c>
    </row>
    <row r="23" spans="1:12" ht="15.75" thickBot="1" x14ac:dyDescent="0.3">
      <c r="A23" s="9">
        <v>14</v>
      </c>
      <c r="B23" s="24">
        <v>8</v>
      </c>
      <c r="C23" s="25"/>
      <c r="D23" s="25"/>
      <c r="E23" s="26"/>
      <c r="F23" s="20">
        <f t="shared" si="0"/>
        <v>8</v>
      </c>
      <c r="G23" s="37">
        <v>2</v>
      </c>
      <c r="H23" s="25"/>
      <c r="I23" s="25"/>
      <c r="J23" s="25"/>
      <c r="K23" s="18">
        <f t="shared" si="1"/>
        <v>2</v>
      </c>
      <c r="L23" s="8">
        <f t="shared" si="2"/>
        <v>10</v>
      </c>
    </row>
    <row r="24" spans="1:12" ht="15.75" thickBot="1" x14ac:dyDescent="0.3">
      <c r="A24" s="9">
        <v>15</v>
      </c>
      <c r="B24" s="24">
        <v>1</v>
      </c>
      <c r="C24" s="25"/>
      <c r="D24" s="25">
        <v>1</v>
      </c>
      <c r="E24" s="26"/>
      <c r="F24" s="20">
        <f t="shared" si="0"/>
        <v>2</v>
      </c>
      <c r="G24" s="33"/>
      <c r="H24" s="25"/>
      <c r="I24" s="25"/>
      <c r="J24" s="25"/>
      <c r="K24" s="18">
        <f t="shared" si="1"/>
        <v>0</v>
      </c>
      <c r="L24" s="8">
        <f t="shared" si="2"/>
        <v>2</v>
      </c>
    </row>
    <row r="25" spans="1:12" ht="15.75" thickBot="1" x14ac:dyDescent="0.3">
      <c r="A25" s="9">
        <v>16</v>
      </c>
      <c r="B25" s="24"/>
      <c r="C25" s="25">
        <v>1</v>
      </c>
      <c r="D25" s="25"/>
      <c r="E25" s="26"/>
      <c r="F25" s="20">
        <f t="shared" si="0"/>
        <v>1</v>
      </c>
      <c r="G25" s="33"/>
      <c r="H25" s="25"/>
      <c r="I25" s="25"/>
      <c r="J25" s="25"/>
      <c r="K25" s="18">
        <f t="shared" si="1"/>
        <v>0</v>
      </c>
      <c r="L25" s="8">
        <f t="shared" si="2"/>
        <v>1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>
        <v>1</v>
      </c>
      <c r="C28" s="25"/>
      <c r="D28" s="25"/>
      <c r="E28" s="26"/>
      <c r="F28" s="20">
        <f t="shared" si="0"/>
        <v>1</v>
      </c>
      <c r="G28" s="33"/>
      <c r="H28" s="25"/>
      <c r="I28" s="25"/>
      <c r="J28" s="25"/>
      <c r="K28" s="18">
        <f t="shared" si="1"/>
        <v>0</v>
      </c>
      <c r="L28" s="8">
        <f t="shared" si="2"/>
        <v>1</v>
      </c>
    </row>
    <row r="29" spans="1:12" ht="15.75" thickBot="1" x14ac:dyDescent="0.3">
      <c r="A29" s="9">
        <v>20</v>
      </c>
      <c r="B29" s="24">
        <v>1</v>
      </c>
      <c r="C29" s="25"/>
      <c r="D29" s="25"/>
      <c r="E29" s="26"/>
      <c r="F29" s="20">
        <f t="shared" si="0"/>
        <v>1</v>
      </c>
      <c r="G29" s="33"/>
      <c r="H29" s="25"/>
      <c r="I29" s="25"/>
      <c r="J29" s="25"/>
      <c r="K29" s="18">
        <f t="shared" si="1"/>
        <v>0</v>
      </c>
      <c r="L29" s="8">
        <f t="shared" si="2"/>
        <v>1</v>
      </c>
    </row>
    <row r="30" spans="1:12" ht="15.75" thickBot="1" x14ac:dyDescent="0.3">
      <c r="A30" s="9">
        <v>21</v>
      </c>
      <c r="B30" s="24">
        <v>2</v>
      </c>
      <c r="C30" s="25"/>
      <c r="D30" s="25"/>
      <c r="E30" s="26"/>
      <c r="F30" s="20">
        <f t="shared" si="0"/>
        <v>2</v>
      </c>
      <c r="G30" s="33">
        <v>1</v>
      </c>
      <c r="H30" s="25"/>
      <c r="I30" s="25"/>
      <c r="J30" s="25"/>
      <c r="K30" s="18">
        <f t="shared" si="1"/>
        <v>1</v>
      </c>
      <c r="L30" s="8">
        <f t="shared" si="2"/>
        <v>3</v>
      </c>
    </row>
    <row r="31" spans="1:12" ht="15.75" thickBot="1" x14ac:dyDescent="0.3">
      <c r="A31" s="9">
        <v>22</v>
      </c>
      <c r="B31" s="24">
        <v>5</v>
      </c>
      <c r="C31" s="25"/>
      <c r="D31" s="25"/>
      <c r="E31" s="84">
        <v>1</v>
      </c>
      <c r="F31" s="20">
        <f t="shared" si="0"/>
        <v>6</v>
      </c>
      <c r="G31" s="33">
        <v>3</v>
      </c>
      <c r="H31" s="25"/>
      <c r="I31" s="25"/>
      <c r="J31" s="25"/>
      <c r="K31" s="18">
        <f t="shared" si="1"/>
        <v>3</v>
      </c>
      <c r="L31" s="8">
        <f t="shared" si="2"/>
        <v>9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>
        <v>15</v>
      </c>
      <c r="H32" s="25"/>
      <c r="I32" s="25">
        <v>1</v>
      </c>
      <c r="J32" s="25"/>
      <c r="K32" s="18">
        <f t="shared" si="1"/>
        <v>16</v>
      </c>
      <c r="L32" s="8">
        <f t="shared" si="2"/>
        <v>16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>
        <v>9</v>
      </c>
      <c r="H34" s="25"/>
      <c r="I34" s="25"/>
      <c r="J34" s="25"/>
      <c r="K34" s="18">
        <f t="shared" si="1"/>
        <v>9</v>
      </c>
      <c r="L34" s="8">
        <f t="shared" si="2"/>
        <v>9</v>
      </c>
    </row>
    <row r="35" spans="1:12" ht="15.75" thickBot="1" x14ac:dyDescent="0.3">
      <c r="A35" s="9">
        <v>26</v>
      </c>
      <c r="B35" s="24">
        <v>1</v>
      </c>
      <c r="C35" s="25"/>
      <c r="D35" s="25"/>
      <c r="E35" s="26"/>
      <c r="F35" s="20">
        <f t="shared" si="0"/>
        <v>1</v>
      </c>
      <c r="G35" s="33">
        <v>7</v>
      </c>
      <c r="H35" s="25"/>
      <c r="I35" s="25">
        <v>1</v>
      </c>
      <c r="J35" s="25"/>
      <c r="K35" s="18">
        <f t="shared" si="1"/>
        <v>8</v>
      </c>
      <c r="L35" s="8">
        <f t="shared" si="2"/>
        <v>9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>
        <v>1</v>
      </c>
      <c r="H36" s="25"/>
      <c r="I36" s="25"/>
      <c r="J36" s="25"/>
      <c r="K36" s="18">
        <f t="shared" si="1"/>
        <v>1</v>
      </c>
      <c r="L36" s="8">
        <f t="shared" si="2"/>
        <v>1</v>
      </c>
    </row>
    <row r="37" spans="1:12" ht="15.75" thickBot="1" x14ac:dyDescent="0.3">
      <c r="A37" s="9">
        <v>28</v>
      </c>
      <c r="B37" s="24"/>
      <c r="C37" s="25">
        <v>2</v>
      </c>
      <c r="D37" s="25">
        <v>1</v>
      </c>
      <c r="E37" s="26"/>
      <c r="F37" s="20">
        <f t="shared" si="0"/>
        <v>3</v>
      </c>
      <c r="G37" s="33"/>
      <c r="H37" s="25"/>
      <c r="I37" s="25"/>
      <c r="J37" s="25"/>
      <c r="K37" s="18">
        <f t="shared" si="1"/>
        <v>0</v>
      </c>
      <c r="L37" s="8">
        <f t="shared" si="2"/>
        <v>3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60"/>
      <c r="B41" s="59">
        <f>SUM(B10:B40)</f>
        <v>30</v>
      </c>
      <c r="C41" s="59">
        <f t="shared" ref="C41:E41" si="3">SUM(C10:C40)</f>
        <v>3</v>
      </c>
      <c r="D41" s="59">
        <f t="shared" si="3"/>
        <v>3</v>
      </c>
      <c r="E41" s="59">
        <f t="shared" si="3"/>
        <v>1</v>
      </c>
      <c r="F41" s="58">
        <f>SUM(F10:F40)</f>
        <v>37</v>
      </c>
      <c r="G41" s="19">
        <f>SUM(G10:G40)</f>
        <v>52</v>
      </c>
      <c r="H41" s="19">
        <f t="shared" ref="H41:L41" si="4">SUM(H10:H40)</f>
        <v>0</v>
      </c>
      <c r="I41" s="19">
        <f t="shared" si="4"/>
        <v>2</v>
      </c>
      <c r="J41" s="19">
        <f t="shared" si="4"/>
        <v>0</v>
      </c>
      <c r="K41" s="19">
        <f t="shared" si="4"/>
        <v>54</v>
      </c>
      <c r="L41" s="19">
        <f t="shared" si="4"/>
        <v>91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12"/>
      <c r="B43" s="112"/>
      <c r="C43" s="112"/>
      <c r="D43" s="112"/>
      <c r="E43" s="112"/>
      <c r="F43" s="112"/>
      <c r="G43" s="113" t="s">
        <v>17</v>
      </c>
      <c r="H43" s="132"/>
      <c r="I43" s="113" t="s">
        <v>18</v>
      </c>
      <c r="J43" s="115"/>
      <c r="K43" s="54"/>
      <c r="L43" s="55"/>
    </row>
    <row r="44" spans="1:12" ht="15.75" thickBot="1" x14ac:dyDescent="0.3">
      <c r="A44" s="16"/>
      <c r="B44" s="99" t="s">
        <v>19</v>
      </c>
      <c r="C44" s="100"/>
      <c r="D44" s="100"/>
      <c r="E44" s="100"/>
      <c r="F44" s="100"/>
      <c r="G44" s="110">
        <v>277</v>
      </c>
      <c r="H44" s="133"/>
      <c r="I44" s="134"/>
      <c r="J44" s="135"/>
      <c r="K44" s="54"/>
      <c r="L44" s="55"/>
    </row>
    <row r="45" spans="1:12" ht="15.75" thickBot="1" x14ac:dyDescent="0.3">
      <c r="A45" s="16"/>
      <c r="B45" s="99" t="s">
        <v>20</v>
      </c>
      <c r="C45" s="100"/>
      <c r="D45" s="100"/>
      <c r="E45" s="100"/>
      <c r="F45" s="100"/>
      <c r="G45" s="103">
        <v>204</v>
      </c>
      <c r="H45" s="136"/>
      <c r="I45" s="103"/>
      <c r="J45" s="102"/>
      <c r="K45" s="54"/>
      <c r="L45" s="55"/>
    </row>
    <row r="46" spans="1:12" ht="15.75" thickBot="1" x14ac:dyDescent="0.3">
      <c r="A46" s="16"/>
      <c r="B46" s="107" t="s">
        <v>21</v>
      </c>
      <c r="C46" s="107"/>
      <c r="D46" s="107"/>
      <c r="E46" s="107"/>
      <c r="F46" s="99"/>
      <c r="G46" s="108">
        <v>263</v>
      </c>
      <c r="H46" s="137"/>
      <c r="I46" s="103"/>
      <c r="J46" s="102"/>
      <c r="K46" s="54"/>
      <c r="L46" s="55"/>
    </row>
    <row r="47" spans="1:12" ht="15.75" thickBot="1" x14ac:dyDescent="0.3">
      <c r="A47" s="16"/>
      <c r="B47" s="99" t="s">
        <v>22</v>
      </c>
      <c r="C47" s="100"/>
      <c r="D47" s="100"/>
      <c r="E47" s="100"/>
      <c r="F47" s="100"/>
      <c r="G47" s="101">
        <f>L41+G46</f>
        <v>354</v>
      </c>
      <c r="H47" s="136"/>
      <c r="I47" s="103"/>
      <c r="J47" s="102"/>
      <c r="K47" s="54"/>
      <c r="L47" s="55"/>
    </row>
    <row r="48" spans="1:12" ht="15.75" thickBot="1" x14ac:dyDescent="0.3">
      <c r="A48" s="5"/>
      <c r="B48" s="99" t="s">
        <v>23</v>
      </c>
      <c r="C48" s="100"/>
      <c r="D48" s="100"/>
      <c r="E48" s="100"/>
      <c r="F48" s="100"/>
      <c r="G48" s="101">
        <f>G44+G45-G47</f>
        <v>127</v>
      </c>
      <c r="H48" s="136"/>
      <c r="I48" s="103"/>
      <c r="J48" s="102"/>
      <c r="K48" s="54"/>
      <c r="L48" s="56"/>
    </row>
    <row r="49" spans="1:12" ht="15.75" thickBot="1" x14ac:dyDescent="0.3">
      <c r="A49" s="5"/>
      <c r="B49" s="99" t="s">
        <v>24</v>
      </c>
      <c r="C49" s="100"/>
      <c r="D49" s="100"/>
      <c r="E49" s="100"/>
      <c r="F49" s="100"/>
      <c r="G49" s="103">
        <v>128</v>
      </c>
      <c r="H49" s="136"/>
      <c r="I49" s="103"/>
      <c r="J49" s="102"/>
      <c r="K49" s="54"/>
      <c r="L49" s="56"/>
    </row>
    <row r="50" spans="1:12" ht="15.75" thickBot="1" x14ac:dyDescent="0.3">
      <c r="A50" s="5"/>
      <c r="B50" s="99" t="s">
        <v>25</v>
      </c>
      <c r="C50" s="100"/>
      <c r="D50" s="100"/>
      <c r="E50" s="100"/>
      <c r="F50" s="100"/>
      <c r="G50" s="104">
        <f>G49-G48</f>
        <v>1</v>
      </c>
      <c r="H50" s="138"/>
      <c r="I50" s="106"/>
      <c r="J50" s="105"/>
      <c r="K50" s="54"/>
      <c r="L50" s="56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6:L6"/>
    <mergeCell ref="H7:I7"/>
    <mergeCell ref="A8:A9"/>
    <mergeCell ref="B8:F8"/>
    <mergeCell ref="G8:K8"/>
    <mergeCell ref="L8:L9"/>
    <mergeCell ref="A5:L5"/>
    <mergeCell ref="A1:D1"/>
    <mergeCell ref="G1:L1"/>
    <mergeCell ref="A2:D2"/>
    <mergeCell ref="G2:L2"/>
    <mergeCell ref="A3:D3"/>
    <mergeCell ref="G3:L3"/>
  </mergeCells>
  <pageMargins left="0.7" right="0.7" top="0.75" bottom="0.75" header="0.3" footer="0.3"/>
  <pageSetup orientation="portrait" horizontalDpi="120" verticalDpi="7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8"/>
      <c r="F1" s="39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8"/>
      <c r="F2" s="39"/>
      <c r="G2" s="131" t="s">
        <v>3</v>
      </c>
      <c r="H2" s="131"/>
      <c r="I2" s="131"/>
      <c r="J2" s="131"/>
      <c r="K2" s="131"/>
      <c r="L2" s="131"/>
    </row>
    <row r="3" spans="1:12" x14ac:dyDescent="0.25">
      <c r="A3" s="131" t="s">
        <v>4</v>
      </c>
      <c r="B3" s="131"/>
      <c r="C3" s="131"/>
      <c r="D3" s="131"/>
      <c r="E3" s="38"/>
      <c r="F3" s="39"/>
      <c r="G3" s="131" t="s">
        <v>32</v>
      </c>
      <c r="H3" s="131"/>
      <c r="I3" s="131"/>
      <c r="J3" s="131"/>
      <c r="K3" s="131"/>
      <c r="L3" s="131"/>
    </row>
    <row r="4" spans="1:12" x14ac:dyDescent="0.25">
      <c r="A4" s="78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9" t="s">
        <v>5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1:12" ht="15.75" x14ac:dyDescent="0.25">
      <c r="A6" s="120" t="s">
        <v>37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ht="15.75" thickBot="1" x14ac:dyDescent="0.3">
      <c r="A7" s="3" t="s">
        <v>6</v>
      </c>
      <c r="B7" s="13"/>
      <c r="C7" s="14"/>
      <c r="D7" s="14"/>
      <c r="E7" s="14"/>
      <c r="F7" s="13"/>
      <c r="G7" s="13"/>
      <c r="H7" s="122"/>
      <c r="I7" s="122"/>
      <c r="J7" s="14"/>
      <c r="K7" s="40"/>
      <c r="L7" s="4"/>
    </row>
    <row r="8" spans="1:12" x14ac:dyDescent="0.25">
      <c r="A8" s="123" t="s">
        <v>7</v>
      </c>
      <c r="B8" s="125" t="s">
        <v>8</v>
      </c>
      <c r="C8" s="126"/>
      <c r="D8" s="126"/>
      <c r="E8" s="126"/>
      <c r="F8" s="127"/>
      <c r="G8" s="128" t="s">
        <v>9</v>
      </c>
      <c r="H8" s="126"/>
      <c r="I8" s="126"/>
      <c r="J8" s="126"/>
      <c r="K8" s="127"/>
      <c r="L8" s="129" t="s">
        <v>10</v>
      </c>
    </row>
    <row r="9" spans="1:12" ht="15.75" thickBot="1" x14ac:dyDescent="0.3">
      <c r="A9" s="124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30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>
        <v>5</v>
      </c>
      <c r="C12" s="25"/>
      <c r="D12" s="25">
        <v>1</v>
      </c>
      <c r="E12" s="27"/>
      <c r="F12" s="20">
        <f t="shared" si="0"/>
        <v>6</v>
      </c>
      <c r="G12" s="33"/>
      <c r="H12" s="25"/>
      <c r="I12" s="25"/>
      <c r="J12" s="25"/>
      <c r="K12" s="18">
        <f t="shared" si="1"/>
        <v>0</v>
      </c>
      <c r="L12" s="8">
        <f t="shared" si="2"/>
        <v>6</v>
      </c>
    </row>
    <row r="13" spans="1:12" ht="15.75" thickBot="1" x14ac:dyDescent="0.3">
      <c r="A13" s="9">
        <v>4</v>
      </c>
      <c r="B13" s="24"/>
      <c r="C13" s="25"/>
      <c r="D13" s="25">
        <v>1</v>
      </c>
      <c r="E13" s="26">
        <v>1</v>
      </c>
      <c r="F13" s="20">
        <f t="shared" si="0"/>
        <v>2</v>
      </c>
      <c r="G13" s="77"/>
      <c r="H13" s="25"/>
      <c r="I13" s="25"/>
      <c r="J13" s="25"/>
      <c r="K13" s="18">
        <f t="shared" si="1"/>
        <v>0</v>
      </c>
      <c r="L13" s="8">
        <f t="shared" si="2"/>
        <v>2</v>
      </c>
    </row>
    <row r="14" spans="1:12" ht="15.75" thickBot="1" x14ac:dyDescent="0.3">
      <c r="A14" s="9">
        <v>5</v>
      </c>
      <c r="B14" s="24">
        <v>1</v>
      </c>
      <c r="C14" s="25"/>
      <c r="D14" s="25"/>
      <c r="E14" s="26"/>
      <c r="F14" s="20">
        <f t="shared" si="0"/>
        <v>1</v>
      </c>
      <c r="G14" s="33">
        <v>2</v>
      </c>
      <c r="H14" s="25">
        <v>1</v>
      </c>
      <c r="I14" s="25"/>
      <c r="J14" s="25"/>
      <c r="K14" s="18">
        <f t="shared" si="1"/>
        <v>3</v>
      </c>
      <c r="L14" s="8">
        <f t="shared" si="2"/>
        <v>4</v>
      </c>
    </row>
    <row r="15" spans="1:12" ht="15.75" thickBot="1" x14ac:dyDescent="0.3">
      <c r="A15" s="9">
        <v>6</v>
      </c>
      <c r="B15" s="24">
        <v>4</v>
      </c>
      <c r="C15" s="25"/>
      <c r="D15" s="25"/>
      <c r="E15" s="26"/>
      <c r="F15" s="20">
        <f t="shared" si="0"/>
        <v>4</v>
      </c>
      <c r="G15" s="33"/>
      <c r="H15" s="25"/>
      <c r="I15" s="25"/>
      <c r="J15" s="25"/>
      <c r="K15" s="18">
        <f t="shared" si="1"/>
        <v>0</v>
      </c>
      <c r="L15" s="8">
        <f t="shared" si="2"/>
        <v>4</v>
      </c>
    </row>
    <row r="16" spans="1:12" ht="15.75" thickBot="1" x14ac:dyDescent="0.3">
      <c r="A16" s="9">
        <v>7</v>
      </c>
      <c r="B16" s="24">
        <v>1</v>
      </c>
      <c r="C16" s="25"/>
      <c r="D16" s="25"/>
      <c r="E16" s="26"/>
      <c r="F16" s="20">
        <f t="shared" si="0"/>
        <v>1</v>
      </c>
      <c r="G16" s="33">
        <v>3</v>
      </c>
      <c r="H16" s="25"/>
      <c r="I16" s="25"/>
      <c r="J16" s="25"/>
      <c r="K16" s="18">
        <f t="shared" si="1"/>
        <v>3</v>
      </c>
      <c r="L16" s="8">
        <f t="shared" si="2"/>
        <v>4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>
        <v>1</v>
      </c>
      <c r="C19" s="25"/>
      <c r="D19" s="25"/>
      <c r="E19" s="26"/>
      <c r="F19" s="20">
        <f t="shared" si="0"/>
        <v>1</v>
      </c>
      <c r="G19" s="35">
        <v>1</v>
      </c>
      <c r="H19" s="25"/>
      <c r="I19" s="25"/>
      <c r="J19" s="25"/>
      <c r="K19" s="18">
        <f t="shared" si="1"/>
        <v>1</v>
      </c>
      <c r="L19" s="8">
        <f t="shared" si="2"/>
        <v>2</v>
      </c>
    </row>
    <row r="20" spans="1:12" ht="15.75" thickBot="1" x14ac:dyDescent="0.3">
      <c r="A20" s="9">
        <v>11</v>
      </c>
      <c r="B20" s="24">
        <v>1</v>
      </c>
      <c r="C20" s="25"/>
      <c r="D20" s="25"/>
      <c r="E20" s="26"/>
      <c r="F20" s="20">
        <f t="shared" si="0"/>
        <v>1</v>
      </c>
      <c r="G20" s="33"/>
      <c r="H20" s="25"/>
      <c r="I20" s="25"/>
      <c r="J20" s="25"/>
      <c r="K20" s="18">
        <f t="shared" si="1"/>
        <v>0</v>
      </c>
      <c r="L20" s="8">
        <f t="shared" si="2"/>
        <v>1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>
        <v>1</v>
      </c>
      <c r="H21" s="36"/>
      <c r="I21" s="36"/>
      <c r="J21" s="36"/>
      <c r="K21" s="18">
        <f t="shared" si="1"/>
        <v>1</v>
      </c>
      <c r="L21" s="8">
        <f t="shared" si="2"/>
        <v>1</v>
      </c>
    </row>
    <row r="22" spans="1:12" ht="15.75" thickBot="1" x14ac:dyDescent="0.3">
      <c r="A22" s="9">
        <v>13</v>
      </c>
      <c r="B22" s="24">
        <v>1</v>
      </c>
      <c r="C22" s="25"/>
      <c r="D22" s="25"/>
      <c r="E22" s="26"/>
      <c r="F22" s="20">
        <f t="shared" si="0"/>
        <v>1</v>
      </c>
      <c r="G22" s="37">
        <v>2</v>
      </c>
      <c r="H22" s="25"/>
      <c r="I22" s="25"/>
      <c r="J22" s="25"/>
      <c r="K22" s="18">
        <f t="shared" si="1"/>
        <v>2</v>
      </c>
      <c r="L22" s="8">
        <f t="shared" si="2"/>
        <v>3</v>
      </c>
    </row>
    <row r="23" spans="1:12" ht="15.75" thickBot="1" x14ac:dyDescent="0.3">
      <c r="A23" s="9">
        <v>14</v>
      </c>
      <c r="B23" s="24">
        <v>1</v>
      </c>
      <c r="C23" s="25"/>
      <c r="D23" s="25"/>
      <c r="E23" s="26"/>
      <c r="F23" s="20">
        <f t="shared" si="0"/>
        <v>1</v>
      </c>
      <c r="G23" s="37">
        <v>1</v>
      </c>
      <c r="H23" s="25"/>
      <c r="I23" s="25"/>
      <c r="J23" s="25"/>
      <c r="K23" s="18">
        <f t="shared" si="1"/>
        <v>1</v>
      </c>
      <c r="L23" s="8">
        <f t="shared" si="2"/>
        <v>2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>
        <v>2</v>
      </c>
      <c r="C26" s="50"/>
      <c r="D26" s="28"/>
      <c r="E26" s="26">
        <v>1</v>
      </c>
      <c r="F26" s="20">
        <f t="shared" si="0"/>
        <v>3</v>
      </c>
      <c r="G26" s="33">
        <v>3</v>
      </c>
      <c r="H26" s="25"/>
      <c r="I26" s="25"/>
      <c r="J26" s="25"/>
      <c r="K26" s="18">
        <f t="shared" si="1"/>
        <v>3</v>
      </c>
      <c r="L26" s="8">
        <f t="shared" si="2"/>
        <v>6</v>
      </c>
    </row>
    <row r="27" spans="1:12" ht="15.75" thickBot="1" x14ac:dyDescent="0.3">
      <c r="A27" s="9">
        <v>18</v>
      </c>
      <c r="B27" s="24"/>
      <c r="C27" s="25">
        <v>1</v>
      </c>
      <c r="D27" s="25"/>
      <c r="E27" s="26"/>
      <c r="F27" s="20">
        <f t="shared" si="0"/>
        <v>1</v>
      </c>
      <c r="G27" s="33"/>
      <c r="H27" s="25"/>
      <c r="I27" s="25"/>
      <c r="J27" s="25"/>
      <c r="K27" s="18">
        <f t="shared" si="1"/>
        <v>0</v>
      </c>
      <c r="L27" s="8">
        <f t="shared" si="2"/>
        <v>1</v>
      </c>
    </row>
    <row r="28" spans="1:12" ht="15.75" thickBot="1" x14ac:dyDescent="0.3">
      <c r="A28" s="9">
        <v>19</v>
      </c>
      <c r="B28" s="24">
        <v>1</v>
      </c>
      <c r="C28" s="25"/>
      <c r="D28" s="25"/>
      <c r="E28" s="26"/>
      <c r="F28" s="20">
        <f t="shared" si="0"/>
        <v>1</v>
      </c>
      <c r="G28" s="33"/>
      <c r="H28" s="25"/>
      <c r="I28" s="25"/>
      <c r="J28" s="25"/>
      <c r="K28" s="18">
        <f t="shared" si="1"/>
        <v>0</v>
      </c>
      <c r="L28" s="8">
        <f t="shared" si="2"/>
        <v>1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>
        <v>1</v>
      </c>
      <c r="J29" s="25"/>
      <c r="K29" s="18">
        <f t="shared" si="1"/>
        <v>1</v>
      </c>
      <c r="L29" s="8">
        <f t="shared" si="2"/>
        <v>1</v>
      </c>
    </row>
    <row r="30" spans="1:12" ht="15.75" thickBot="1" x14ac:dyDescent="0.3">
      <c r="A30" s="9">
        <v>21</v>
      </c>
      <c r="B30" s="24">
        <v>2</v>
      </c>
      <c r="C30" s="25"/>
      <c r="D30" s="25"/>
      <c r="E30" s="26"/>
      <c r="F30" s="20">
        <f t="shared" si="0"/>
        <v>2</v>
      </c>
      <c r="G30" s="33">
        <v>1</v>
      </c>
      <c r="H30" s="25"/>
      <c r="I30" s="25"/>
      <c r="J30" s="25"/>
      <c r="K30" s="18">
        <f t="shared" si="1"/>
        <v>1</v>
      </c>
      <c r="L30" s="8">
        <f t="shared" si="2"/>
        <v>3</v>
      </c>
    </row>
    <row r="31" spans="1:12" ht="15.75" thickBot="1" x14ac:dyDescent="0.3">
      <c r="A31" s="9">
        <v>22</v>
      </c>
      <c r="B31" s="24"/>
      <c r="C31" s="25"/>
      <c r="D31" s="25"/>
      <c r="E31" s="84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>
        <v>1</v>
      </c>
      <c r="C33" s="25"/>
      <c r="D33" s="25"/>
      <c r="E33" s="26"/>
      <c r="F33" s="20">
        <f t="shared" si="0"/>
        <v>1</v>
      </c>
      <c r="G33" s="33"/>
      <c r="H33" s="25"/>
      <c r="I33" s="25"/>
      <c r="J33" s="25"/>
      <c r="K33" s="18">
        <f t="shared" si="1"/>
        <v>0</v>
      </c>
      <c r="L33" s="8">
        <f t="shared" si="2"/>
        <v>1</v>
      </c>
    </row>
    <row r="34" spans="1:12" ht="15.75" thickBot="1" x14ac:dyDescent="0.3">
      <c r="A34" s="9">
        <v>25</v>
      </c>
      <c r="B34" s="24">
        <v>1</v>
      </c>
      <c r="C34" s="25"/>
      <c r="D34" s="25">
        <v>3</v>
      </c>
      <c r="E34" s="26"/>
      <c r="F34" s="20">
        <f t="shared" si="0"/>
        <v>4</v>
      </c>
      <c r="G34" s="33">
        <v>4</v>
      </c>
      <c r="H34" s="25"/>
      <c r="I34" s="25"/>
      <c r="J34" s="25"/>
      <c r="K34" s="18">
        <f t="shared" si="1"/>
        <v>4</v>
      </c>
      <c r="L34" s="8">
        <f t="shared" si="2"/>
        <v>8</v>
      </c>
    </row>
    <row r="35" spans="1:12" ht="15.75" thickBot="1" x14ac:dyDescent="0.3">
      <c r="A35" s="9">
        <v>26</v>
      </c>
      <c r="B35" s="24">
        <v>1</v>
      </c>
      <c r="C35" s="25"/>
      <c r="D35" s="25"/>
      <c r="E35" s="26"/>
      <c r="F35" s="20">
        <f t="shared" si="0"/>
        <v>1</v>
      </c>
      <c r="G35" s="33">
        <v>1</v>
      </c>
      <c r="H35" s="25"/>
      <c r="I35" s="25"/>
      <c r="J35" s="25"/>
      <c r="K35" s="18">
        <f t="shared" si="1"/>
        <v>1</v>
      </c>
      <c r="L35" s="8">
        <f t="shared" si="2"/>
        <v>2</v>
      </c>
    </row>
    <row r="36" spans="1:12" ht="15.75" thickBot="1" x14ac:dyDescent="0.3">
      <c r="A36" s="9">
        <v>27</v>
      </c>
      <c r="B36" s="88">
        <v>3</v>
      </c>
      <c r="C36" s="25"/>
      <c r="D36" s="25"/>
      <c r="E36" s="26"/>
      <c r="F36" s="20">
        <f t="shared" si="0"/>
        <v>3</v>
      </c>
      <c r="G36" s="48"/>
      <c r="H36" s="25"/>
      <c r="I36" s="25"/>
      <c r="J36" s="25"/>
      <c r="K36" s="18">
        <f t="shared" si="1"/>
        <v>0</v>
      </c>
      <c r="L36" s="8">
        <f t="shared" si="2"/>
        <v>3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>
        <v>1</v>
      </c>
      <c r="H38" s="25"/>
      <c r="I38" s="25"/>
      <c r="J38" s="25"/>
      <c r="K38" s="18">
        <f t="shared" si="1"/>
        <v>1</v>
      </c>
      <c r="L38" s="8">
        <f t="shared" si="2"/>
        <v>1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>
        <v>2</v>
      </c>
      <c r="C40" s="30"/>
      <c r="D40" s="30"/>
      <c r="E40" s="31"/>
      <c r="F40" s="20">
        <f t="shared" si="0"/>
        <v>2</v>
      </c>
      <c r="G40" s="33"/>
      <c r="H40" s="25"/>
      <c r="I40" s="25"/>
      <c r="J40" s="25"/>
      <c r="K40" s="18">
        <f t="shared" si="1"/>
        <v>0</v>
      </c>
      <c r="L40" s="8">
        <f t="shared" si="2"/>
        <v>2</v>
      </c>
    </row>
    <row r="41" spans="1:12" ht="15.75" thickBot="1" x14ac:dyDescent="0.3">
      <c r="A41" s="76"/>
      <c r="B41" s="80">
        <f>SUM(B10:B40)</f>
        <v>28</v>
      </c>
      <c r="C41" s="80">
        <f t="shared" ref="C41:E41" si="3">SUM(C10:C40)</f>
        <v>1</v>
      </c>
      <c r="D41" s="80">
        <f t="shared" si="3"/>
        <v>5</v>
      </c>
      <c r="E41" s="80">
        <f t="shared" si="3"/>
        <v>2</v>
      </c>
      <c r="F41" s="79">
        <f>SUM(F10:F40)</f>
        <v>36</v>
      </c>
      <c r="G41" s="19">
        <f>SUM(G10:G40)</f>
        <v>20</v>
      </c>
      <c r="H41" s="19">
        <f t="shared" ref="H41:L41" si="4">SUM(H10:H40)</f>
        <v>1</v>
      </c>
      <c r="I41" s="19">
        <f t="shared" si="4"/>
        <v>1</v>
      </c>
      <c r="J41" s="19">
        <f t="shared" si="4"/>
        <v>0</v>
      </c>
      <c r="K41" s="19">
        <f t="shared" si="4"/>
        <v>22</v>
      </c>
      <c r="L41" s="19">
        <f t="shared" si="4"/>
        <v>58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12"/>
      <c r="B43" s="112"/>
      <c r="C43" s="112"/>
      <c r="D43" s="112"/>
      <c r="E43" s="112"/>
      <c r="F43" s="112"/>
      <c r="G43" s="113" t="s">
        <v>17</v>
      </c>
      <c r="H43" s="132"/>
      <c r="I43" s="113" t="s">
        <v>18</v>
      </c>
      <c r="J43" s="115"/>
      <c r="K43" s="54"/>
      <c r="L43" s="55"/>
    </row>
    <row r="44" spans="1:12" ht="15.75" thickBot="1" x14ac:dyDescent="0.3">
      <c r="A44" s="16"/>
      <c r="B44" s="99" t="s">
        <v>19</v>
      </c>
      <c r="C44" s="100"/>
      <c r="D44" s="100"/>
      <c r="E44" s="100"/>
      <c r="F44" s="100"/>
      <c r="G44" s="110">
        <v>128</v>
      </c>
      <c r="H44" s="133"/>
      <c r="I44" s="134"/>
      <c r="J44" s="135"/>
      <c r="K44" s="54"/>
      <c r="L44" s="55"/>
    </row>
    <row r="45" spans="1:12" ht="15.75" thickBot="1" x14ac:dyDescent="0.3">
      <c r="A45" s="16"/>
      <c r="B45" s="99" t="s">
        <v>20</v>
      </c>
      <c r="C45" s="100"/>
      <c r="D45" s="100"/>
      <c r="E45" s="100"/>
      <c r="F45" s="100"/>
      <c r="G45" s="103">
        <v>201</v>
      </c>
      <c r="H45" s="136"/>
      <c r="I45" s="103"/>
      <c r="J45" s="102"/>
      <c r="K45" s="54"/>
      <c r="L45" s="55"/>
    </row>
    <row r="46" spans="1:12" ht="15.75" thickBot="1" x14ac:dyDescent="0.3">
      <c r="A46" s="16"/>
      <c r="B46" s="107" t="s">
        <v>21</v>
      </c>
      <c r="C46" s="107"/>
      <c r="D46" s="107"/>
      <c r="E46" s="107"/>
      <c r="F46" s="99"/>
      <c r="G46" s="108">
        <v>32</v>
      </c>
      <c r="H46" s="137"/>
      <c r="I46" s="103"/>
      <c r="J46" s="102"/>
      <c r="K46" s="54"/>
      <c r="L46" s="55"/>
    </row>
    <row r="47" spans="1:12" ht="15.75" thickBot="1" x14ac:dyDescent="0.3">
      <c r="A47" s="16"/>
      <c r="B47" s="99" t="s">
        <v>22</v>
      </c>
      <c r="C47" s="100"/>
      <c r="D47" s="100"/>
      <c r="E47" s="100"/>
      <c r="F47" s="100"/>
      <c r="G47" s="101">
        <f>L41+G46</f>
        <v>90</v>
      </c>
      <c r="H47" s="136"/>
      <c r="I47" s="103"/>
      <c r="J47" s="102"/>
      <c r="K47" s="54"/>
      <c r="L47" s="55"/>
    </row>
    <row r="48" spans="1:12" ht="15.75" thickBot="1" x14ac:dyDescent="0.3">
      <c r="A48" s="5"/>
      <c r="B48" s="99" t="s">
        <v>23</v>
      </c>
      <c r="C48" s="100"/>
      <c r="D48" s="100"/>
      <c r="E48" s="100"/>
      <c r="F48" s="100"/>
      <c r="G48" s="101">
        <f>G44+G45-G47</f>
        <v>239</v>
      </c>
      <c r="H48" s="136"/>
      <c r="I48" s="103"/>
      <c r="J48" s="102"/>
      <c r="K48" s="54"/>
      <c r="L48" s="56"/>
    </row>
    <row r="49" spans="1:12" ht="15.75" thickBot="1" x14ac:dyDescent="0.3">
      <c r="A49" s="5"/>
      <c r="B49" s="99" t="s">
        <v>24</v>
      </c>
      <c r="C49" s="100"/>
      <c r="D49" s="100"/>
      <c r="E49" s="100"/>
      <c r="F49" s="100"/>
      <c r="G49" s="103">
        <v>239</v>
      </c>
      <c r="H49" s="136"/>
      <c r="I49" s="103"/>
      <c r="J49" s="102"/>
      <c r="K49" s="54"/>
      <c r="L49" s="56"/>
    </row>
    <row r="50" spans="1:12" ht="15.75" thickBot="1" x14ac:dyDescent="0.3">
      <c r="A50" s="5"/>
      <c r="B50" s="99" t="s">
        <v>25</v>
      </c>
      <c r="C50" s="100"/>
      <c r="D50" s="100"/>
      <c r="E50" s="100"/>
      <c r="F50" s="100"/>
      <c r="G50" s="104">
        <f>G48-G49</f>
        <v>0</v>
      </c>
      <c r="H50" s="138"/>
      <c r="I50" s="106"/>
      <c r="J50" s="105"/>
      <c r="K50" s="54"/>
      <c r="L50" s="56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.7" right="0.7" top="0.75" bottom="0.75" header="0.3" footer="0.3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7" workbookViewId="0">
      <selection activeCell="G44" sqref="G44:H4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8"/>
      <c r="F1" s="39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8"/>
      <c r="F2" s="39"/>
      <c r="G2" s="131" t="s">
        <v>3</v>
      </c>
      <c r="H2" s="131"/>
      <c r="I2" s="131"/>
      <c r="J2" s="131"/>
      <c r="K2" s="131"/>
      <c r="L2" s="131"/>
    </row>
    <row r="3" spans="1:12" x14ac:dyDescent="0.25">
      <c r="A3" s="131" t="s">
        <v>4</v>
      </c>
      <c r="B3" s="131"/>
      <c r="C3" s="131"/>
      <c r="D3" s="131"/>
      <c r="E3" s="38"/>
      <c r="F3" s="39"/>
      <c r="G3" s="131" t="s">
        <v>32</v>
      </c>
      <c r="H3" s="131"/>
      <c r="I3" s="131"/>
      <c r="J3" s="131"/>
      <c r="K3" s="131"/>
      <c r="L3" s="131"/>
    </row>
    <row r="4" spans="1:12" x14ac:dyDescent="0.25">
      <c r="A4" s="6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9" t="s">
        <v>5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1:12" ht="15.75" x14ac:dyDescent="0.25">
      <c r="A6" s="120" t="s">
        <v>33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ht="15.75" thickBot="1" x14ac:dyDescent="0.3">
      <c r="A7" s="3" t="s">
        <v>6</v>
      </c>
      <c r="B7" s="13"/>
      <c r="C7" s="14"/>
      <c r="D7" s="14"/>
      <c r="E7" s="14"/>
      <c r="F7" s="13"/>
      <c r="G7" s="13"/>
      <c r="H7" s="122"/>
      <c r="I7" s="122"/>
      <c r="J7" s="14"/>
      <c r="K7" s="40"/>
      <c r="L7" s="4"/>
    </row>
    <row r="8" spans="1:12" x14ac:dyDescent="0.25">
      <c r="A8" s="123" t="s">
        <v>7</v>
      </c>
      <c r="B8" s="125" t="s">
        <v>8</v>
      </c>
      <c r="C8" s="126"/>
      <c r="D8" s="126"/>
      <c r="E8" s="126"/>
      <c r="F8" s="127"/>
      <c r="G8" s="128" t="s">
        <v>9</v>
      </c>
      <c r="H8" s="126"/>
      <c r="I8" s="126"/>
      <c r="J8" s="126"/>
      <c r="K8" s="127"/>
      <c r="L8" s="129" t="s">
        <v>10</v>
      </c>
    </row>
    <row r="9" spans="1:12" ht="15.75" thickBot="1" x14ac:dyDescent="0.3">
      <c r="A9" s="124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30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>
        <v>2</v>
      </c>
      <c r="H10" s="32"/>
      <c r="I10" s="32"/>
      <c r="J10" s="32"/>
      <c r="K10" s="18">
        <f>SUM(G10:J10)</f>
        <v>2</v>
      </c>
      <c r="L10" s="8">
        <f>SUM(F10+K10)</f>
        <v>2</v>
      </c>
    </row>
    <row r="11" spans="1:12" ht="15.75" thickBot="1" x14ac:dyDescent="0.3">
      <c r="A11" s="9">
        <v>2</v>
      </c>
      <c r="B11" s="24">
        <v>18</v>
      </c>
      <c r="C11" s="25"/>
      <c r="D11" s="25"/>
      <c r="E11" s="26"/>
      <c r="F11" s="20">
        <f t="shared" ref="F11:F40" si="0">SUM(B11:E11)</f>
        <v>18</v>
      </c>
      <c r="G11" s="33">
        <v>1</v>
      </c>
      <c r="H11" s="25"/>
      <c r="I11" s="25"/>
      <c r="J11" s="25"/>
      <c r="K11" s="18">
        <f t="shared" ref="K11:K40" si="1">SUM(G11:J11)</f>
        <v>1</v>
      </c>
      <c r="L11" s="8">
        <f t="shared" ref="L11:L40" si="2">SUM(F11+K11)</f>
        <v>19</v>
      </c>
    </row>
    <row r="12" spans="1:12" ht="15.75" thickBot="1" x14ac:dyDescent="0.3">
      <c r="A12" s="9">
        <v>3</v>
      </c>
      <c r="B12" s="24">
        <v>5</v>
      </c>
      <c r="C12" s="25"/>
      <c r="D12" s="25"/>
      <c r="E12" s="27"/>
      <c r="F12" s="20">
        <f t="shared" si="0"/>
        <v>5</v>
      </c>
      <c r="G12" s="33"/>
      <c r="H12" s="25"/>
      <c r="I12" s="25"/>
      <c r="J12" s="25"/>
      <c r="K12" s="18">
        <f t="shared" si="1"/>
        <v>0</v>
      </c>
      <c r="L12" s="8">
        <f t="shared" si="2"/>
        <v>5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>
        <v>1</v>
      </c>
      <c r="C16" s="25"/>
      <c r="D16" s="25"/>
      <c r="E16" s="26"/>
      <c r="F16" s="20">
        <f t="shared" si="0"/>
        <v>1</v>
      </c>
      <c r="G16" s="33"/>
      <c r="H16" s="25"/>
      <c r="I16" s="25"/>
      <c r="J16" s="25"/>
      <c r="K16" s="18">
        <f t="shared" si="1"/>
        <v>0</v>
      </c>
      <c r="L16" s="8">
        <f t="shared" si="2"/>
        <v>1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>
        <v>3</v>
      </c>
      <c r="C18" s="25"/>
      <c r="D18" s="25"/>
      <c r="E18" s="26"/>
      <c r="F18" s="20">
        <f t="shared" si="0"/>
        <v>3</v>
      </c>
      <c r="G18" s="33"/>
      <c r="H18" s="25"/>
      <c r="I18" s="25"/>
      <c r="J18" s="25"/>
      <c r="K18" s="18">
        <f t="shared" si="1"/>
        <v>0</v>
      </c>
      <c r="L18" s="8">
        <f t="shared" si="2"/>
        <v>3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>
        <v>2</v>
      </c>
      <c r="H20" s="25">
        <v>1</v>
      </c>
      <c r="I20" s="25"/>
      <c r="J20" s="25"/>
      <c r="K20" s="18">
        <f t="shared" si="1"/>
        <v>3</v>
      </c>
      <c r="L20" s="8">
        <f t="shared" si="2"/>
        <v>3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>
        <v>1</v>
      </c>
      <c r="H24" s="25"/>
      <c r="I24" s="25"/>
      <c r="J24" s="25"/>
      <c r="K24" s="18">
        <f t="shared" si="1"/>
        <v>1</v>
      </c>
      <c r="L24" s="8">
        <f t="shared" si="2"/>
        <v>1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>
        <v>1</v>
      </c>
      <c r="C27" s="25"/>
      <c r="D27" s="25"/>
      <c r="E27" s="26"/>
      <c r="F27" s="20">
        <f t="shared" si="0"/>
        <v>1</v>
      </c>
      <c r="G27" s="33">
        <v>9</v>
      </c>
      <c r="H27" s="25"/>
      <c r="I27" s="25"/>
      <c r="J27" s="25"/>
      <c r="K27" s="18">
        <f t="shared" si="1"/>
        <v>9</v>
      </c>
      <c r="L27" s="8">
        <f t="shared" si="2"/>
        <v>10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>
        <v>1</v>
      </c>
      <c r="C30" s="25"/>
      <c r="D30" s="25"/>
      <c r="E30" s="26"/>
      <c r="F30" s="20">
        <f t="shared" si="0"/>
        <v>1</v>
      </c>
      <c r="G30" s="33">
        <v>5</v>
      </c>
      <c r="H30" s="25"/>
      <c r="I30" s="25"/>
      <c r="J30" s="25"/>
      <c r="K30" s="18">
        <f t="shared" si="1"/>
        <v>5</v>
      </c>
      <c r="L30" s="8">
        <f t="shared" si="2"/>
        <v>6</v>
      </c>
    </row>
    <row r="31" spans="1:12" ht="15.75" thickBot="1" x14ac:dyDescent="0.3">
      <c r="A31" s="9">
        <v>22</v>
      </c>
      <c r="B31" s="24">
        <v>2</v>
      </c>
      <c r="C31" s="25"/>
      <c r="D31" s="25"/>
      <c r="E31" s="26"/>
      <c r="F31" s="20">
        <f t="shared" si="0"/>
        <v>2</v>
      </c>
      <c r="G31" s="33">
        <v>2</v>
      </c>
      <c r="H31" s="25"/>
      <c r="I31" s="25"/>
      <c r="J31" s="25"/>
      <c r="K31" s="18">
        <f t="shared" si="1"/>
        <v>2</v>
      </c>
      <c r="L31" s="8">
        <f t="shared" si="2"/>
        <v>4</v>
      </c>
    </row>
    <row r="32" spans="1:12" ht="15.75" thickBot="1" x14ac:dyDescent="0.3">
      <c r="A32" s="9">
        <v>23</v>
      </c>
      <c r="B32" s="24">
        <v>1</v>
      </c>
      <c r="C32" s="25"/>
      <c r="D32" s="25"/>
      <c r="E32" s="26"/>
      <c r="F32" s="20">
        <f t="shared" si="0"/>
        <v>1</v>
      </c>
      <c r="G32" s="33">
        <v>2</v>
      </c>
      <c r="H32" s="25"/>
      <c r="I32" s="25"/>
      <c r="J32" s="25"/>
      <c r="K32" s="18">
        <f t="shared" si="1"/>
        <v>2</v>
      </c>
      <c r="L32" s="8">
        <f t="shared" si="2"/>
        <v>3</v>
      </c>
    </row>
    <row r="33" spans="1:12" ht="15.75" thickBot="1" x14ac:dyDescent="0.3">
      <c r="A33" s="9">
        <v>24</v>
      </c>
      <c r="B33" s="24">
        <v>2</v>
      </c>
      <c r="C33" s="25"/>
      <c r="D33" s="25"/>
      <c r="E33" s="26"/>
      <c r="F33" s="20">
        <f t="shared" si="0"/>
        <v>2</v>
      </c>
      <c r="G33" s="33">
        <v>2</v>
      </c>
      <c r="H33" s="25"/>
      <c r="I33" s="25"/>
      <c r="J33" s="25"/>
      <c r="K33" s="18">
        <f t="shared" si="1"/>
        <v>2</v>
      </c>
      <c r="L33" s="8">
        <f t="shared" si="2"/>
        <v>4</v>
      </c>
    </row>
    <row r="34" spans="1:12" ht="15.75" thickBot="1" x14ac:dyDescent="0.3">
      <c r="A34" s="9">
        <v>25</v>
      </c>
      <c r="B34" s="24">
        <v>2</v>
      </c>
      <c r="C34" s="25"/>
      <c r="D34" s="25"/>
      <c r="E34" s="26"/>
      <c r="F34" s="20">
        <f t="shared" si="0"/>
        <v>2</v>
      </c>
      <c r="G34" s="33">
        <v>7</v>
      </c>
      <c r="H34" s="25"/>
      <c r="I34" s="25"/>
      <c r="J34" s="25"/>
      <c r="K34" s="18">
        <f t="shared" si="1"/>
        <v>7</v>
      </c>
      <c r="L34" s="8">
        <f t="shared" si="2"/>
        <v>9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>
        <v>10</v>
      </c>
      <c r="H36" s="25"/>
      <c r="I36" s="25"/>
      <c r="J36" s="25"/>
      <c r="K36" s="18">
        <f t="shared" si="1"/>
        <v>10</v>
      </c>
      <c r="L36" s="8">
        <f t="shared" si="2"/>
        <v>10</v>
      </c>
    </row>
    <row r="37" spans="1:12" ht="15.75" thickBot="1" x14ac:dyDescent="0.3">
      <c r="A37" s="9">
        <v>28</v>
      </c>
      <c r="B37" s="24">
        <v>2</v>
      </c>
      <c r="C37" s="25"/>
      <c r="D37" s="25"/>
      <c r="E37" s="26"/>
      <c r="F37" s="20">
        <f t="shared" si="0"/>
        <v>2</v>
      </c>
      <c r="G37" s="33">
        <v>10</v>
      </c>
      <c r="H37" s="25"/>
      <c r="I37" s="25"/>
      <c r="J37" s="25"/>
      <c r="K37" s="18">
        <f t="shared" si="1"/>
        <v>10</v>
      </c>
      <c r="L37" s="8">
        <f t="shared" si="2"/>
        <v>12</v>
      </c>
    </row>
    <row r="38" spans="1:12" ht="15.75" thickBot="1" x14ac:dyDescent="0.3">
      <c r="A38" s="9">
        <v>29</v>
      </c>
      <c r="B38" s="24">
        <v>1</v>
      </c>
      <c r="C38" s="25"/>
      <c r="D38" s="25"/>
      <c r="E38" s="26"/>
      <c r="F38" s="20">
        <f t="shared" si="0"/>
        <v>1</v>
      </c>
      <c r="G38" s="33">
        <v>9</v>
      </c>
      <c r="H38" s="25">
        <v>1</v>
      </c>
      <c r="I38" s="25"/>
      <c r="J38" s="25"/>
      <c r="K38" s="18">
        <f t="shared" si="1"/>
        <v>10</v>
      </c>
      <c r="L38" s="8">
        <f t="shared" si="2"/>
        <v>11</v>
      </c>
    </row>
    <row r="39" spans="1:12" ht="15.75" thickBot="1" x14ac:dyDescent="0.3">
      <c r="A39" s="9">
        <v>30</v>
      </c>
      <c r="B39" s="24"/>
      <c r="C39" s="25"/>
      <c r="D39" s="25">
        <v>1</v>
      </c>
      <c r="E39" s="26"/>
      <c r="F39" s="20">
        <f t="shared" si="0"/>
        <v>1</v>
      </c>
      <c r="G39" s="33">
        <v>19</v>
      </c>
      <c r="H39" s="25"/>
      <c r="I39" s="25"/>
      <c r="J39" s="25"/>
      <c r="K39" s="18">
        <f t="shared" si="1"/>
        <v>19</v>
      </c>
      <c r="L39" s="8">
        <f t="shared" si="2"/>
        <v>20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64"/>
      <c r="B41" s="62">
        <f>SUM(B10:B40)</f>
        <v>39</v>
      </c>
      <c r="C41" s="62">
        <f t="shared" ref="C41:E41" si="3">SUM(C10:C40)</f>
        <v>0</v>
      </c>
      <c r="D41" s="62">
        <f t="shared" si="3"/>
        <v>1</v>
      </c>
      <c r="E41" s="62">
        <f t="shared" si="3"/>
        <v>0</v>
      </c>
      <c r="F41" s="61">
        <f>SUM(F10:F40)</f>
        <v>40</v>
      </c>
      <c r="G41" s="19">
        <f>SUM(G10:G40)</f>
        <v>81</v>
      </c>
      <c r="H41" s="19">
        <f t="shared" ref="H41:L41" si="4">SUM(H10:H40)</f>
        <v>2</v>
      </c>
      <c r="I41" s="19">
        <f t="shared" si="4"/>
        <v>0</v>
      </c>
      <c r="J41" s="19">
        <f t="shared" si="4"/>
        <v>0</v>
      </c>
      <c r="K41" s="19">
        <f t="shared" si="4"/>
        <v>83</v>
      </c>
      <c r="L41" s="19">
        <f t="shared" si="4"/>
        <v>123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12"/>
      <c r="B43" s="112"/>
      <c r="C43" s="112"/>
      <c r="D43" s="112"/>
      <c r="E43" s="112"/>
      <c r="F43" s="112"/>
      <c r="G43" s="113" t="s">
        <v>17</v>
      </c>
      <c r="H43" s="132"/>
      <c r="I43" s="113" t="s">
        <v>18</v>
      </c>
      <c r="J43" s="115"/>
      <c r="K43" s="54"/>
      <c r="L43" s="55"/>
    </row>
    <row r="44" spans="1:12" ht="15.75" thickBot="1" x14ac:dyDescent="0.3">
      <c r="A44" s="16"/>
      <c r="B44" s="99" t="s">
        <v>19</v>
      </c>
      <c r="C44" s="100"/>
      <c r="D44" s="100"/>
      <c r="E44" s="100"/>
      <c r="F44" s="100"/>
      <c r="G44" s="110">
        <v>239</v>
      </c>
      <c r="H44" s="133"/>
      <c r="I44" s="134"/>
      <c r="J44" s="135"/>
      <c r="K44" s="54"/>
      <c r="L44" s="55"/>
    </row>
    <row r="45" spans="1:12" ht="15.75" thickBot="1" x14ac:dyDescent="0.3">
      <c r="A45" s="16"/>
      <c r="B45" s="99" t="s">
        <v>20</v>
      </c>
      <c r="C45" s="100"/>
      <c r="D45" s="100"/>
      <c r="E45" s="100"/>
      <c r="F45" s="100"/>
      <c r="G45" s="103">
        <v>0</v>
      </c>
      <c r="H45" s="136"/>
      <c r="I45" s="103"/>
      <c r="J45" s="102"/>
      <c r="K45" s="54"/>
      <c r="L45" s="55"/>
    </row>
    <row r="46" spans="1:12" ht="15.75" thickBot="1" x14ac:dyDescent="0.3">
      <c r="A46" s="16"/>
      <c r="B46" s="107" t="s">
        <v>21</v>
      </c>
      <c r="C46" s="107"/>
      <c r="D46" s="107"/>
      <c r="E46" s="107"/>
      <c r="F46" s="99"/>
      <c r="G46" s="108">
        <v>21</v>
      </c>
      <c r="H46" s="137"/>
      <c r="I46" s="103"/>
      <c r="J46" s="102"/>
      <c r="K46" s="54"/>
      <c r="L46" s="55"/>
    </row>
    <row r="47" spans="1:12" ht="15.75" thickBot="1" x14ac:dyDescent="0.3">
      <c r="A47" s="16"/>
      <c r="B47" s="99" t="s">
        <v>22</v>
      </c>
      <c r="C47" s="100"/>
      <c r="D47" s="100"/>
      <c r="E47" s="100"/>
      <c r="F47" s="100"/>
      <c r="G47" s="101">
        <f>L41+G46</f>
        <v>144</v>
      </c>
      <c r="H47" s="136"/>
      <c r="I47" s="103"/>
      <c r="J47" s="102"/>
      <c r="K47" s="54"/>
      <c r="L47" s="55"/>
    </row>
    <row r="48" spans="1:12" ht="15.75" thickBot="1" x14ac:dyDescent="0.3">
      <c r="A48" s="5"/>
      <c r="B48" s="99" t="s">
        <v>23</v>
      </c>
      <c r="C48" s="100"/>
      <c r="D48" s="100"/>
      <c r="E48" s="100"/>
      <c r="F48" s="100"/>
      <c r="G48" s="101">
        <f>G44+G45-G47</f>
        <v>95</v>
      </c>
      <c r="H48" s="136"/>
      <c r="I48" s="103"/>
      <c r="J48" s="102"/>
      <c r="K48" s="54"/>
      <c r="L48" s="56"/>
    </row>
    <row r="49" spans="1:12" ht="15.75" thickBot="1" x14ac:dyDescent="0.3">
      <c r="A49" s="5"/>
      <c r="B49" s="99" t="s">
        <v>24</v>
      </c>
      <c r="C49" s="100"/>
      <c r="D49" s="100"/>
      <c r="E49" s="100"/>
      <c r="F49" s="100"/>
      <c r="G49" s="103">
        <v>85</v>
      </c>
      <c r="H49" s="136"/>
      <c r="I49" s="103"/>
      <c r="J49" s="102"/>
      <c r="K49" s="54"/>
      <c r="L49" s="56"/>
    </row>
    <row r="50" spans="1:12" ht="15.75" thickBot="1" x14ac:dyDescent="0.3">
      <c r="A50" s="5"/>
      <c r="B50" s="99" t="s">
        <v>25</v>
      </c>
      <c r="C50" s="100"/>
      <c r="D50" s="100"/>
      <c r="E50" s="100"/>
      <c r="F50" s="100"/>
      <c r="G50" s="104">
        <f>G48-G49</f>
        <v>10</v>
      </c>
      <c r="H50" s="138"/>
      <c r="I50" s="106"/>
      <c r="J50" s="105"/>
      <c r="K50" s="54"/>
      <c r="L50" s="56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  <row r="53" spans="1:12" x14ac:dyDescent="0.25">
      <c r="B53" t="s">
        <v>34</v>
      </c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23622047244094491" right="0.23622047244094491" top="0.15748031496062992" bottom="0.15748031496062992" header="0.31496062992125984" footer="0.31496062992125984"/>
  <pageSetup orientation="portrait" horizontalDpi="120" verticalDpi="7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L58" sqref="L5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8"/>
      <c r="F1" s="39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8"/>
      <c r="F2" s="39"/>
      <c r="G2" s="131" t="s">
        <v>3</v>
      </c>
      <c r="H2" s="131"/>
      <c r="I2" s="131"/>
      <c r="J2" s="131"/>
      <c r="K2" s="131"/>
      <c r="L2" s="131"/>
    </row>
    <row r="3" spans="1:12" x14ac:dyDescent="0.25">
      <c r="A3" s="131" t="s">
        <v>4</v>
      </c>
      <c r="B3" s="131"/>
      <c r="C3" s="131"/>
      <c r="D3" s="131"/>
      <c r="E3" s="38"/>
      <c r="F3" s="39"/>
      <c r="G3" s="131" t="s">
        <v>32</v>
      </c>
      <c r="H3" s="131"/>
      <c r="I3" s="131"/>
      <c r="J3" s="131"/>
      <c r="K3" s="131"/>
      <c r="L3" s="131"/>
    </row>
    <row r="4" spans="1:12" x14ac:dyDescent="0.25">
      <c r="A4" s="67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9" t="s">
        <v>5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1:12" ht="15.75" x14ac:dyDescent="0.25">
      <c r="A6" s="120" t="s">
        <v>36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ht="15.75" thickBot="1" x14ac:dyDescent="0.3">
      <c r="A7" s="3" t="s">
        <v>6</v>
      </c>
      <c r="B7" s="13"/>
      <c r="C7" s="14"/>
      <c r="D7" s="14"/>
      <c r="E7" s="14"/>
      <c r="F7" s="13"/>
      <c r="G7" s="13"/>
      <c r="H7" s="122"/>
      <c r="I7" s="122"/>
      <c r="J7" s="14"/>
      <c r="K7" s="40"/>
      <c r="L7" s="4"/>
    </row>
    <row r="8" spans="1:12" x14ac:dyDescent="0.25">
      <c r="A8" s="123" t="s">
        <v>7</v>
      </c>
      <c r="B8" s="125" t="s">
        <v>8</v>
      </c>
      <c r="C8" s="126"/>
      <c r="D8" s="126"/>
      <c r="E8" s="126"/>
      <c r="F8" s="127"/>
      <c r="G8" s="128" t="s">
        <v>9</v>
      </c>
      <c r="H8" s="126"/>
      <c r="I8" s="126"/>
      <c r="J8" s="126"/>
      <c r="K8" s="127"/>
      <c r="L8" s="129" t="s">
        <v>10</v>
      </c>
    </row>
    <row r="9" spans="1:12" ht="15.75" thickBot="1" x14ac:dyDescent="0.3">
      <c r="A9" s="124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30"/>
    </row>
    <row r="10" spans="1:12" ht="15.75" thickBot="1" x14ac:dyDescent="0.3">
      <c r="A10" s="7">
        <v>1</v>
      </c>
      <c r="B10" s="21">
        <v>1</v>
      </c>
      <c r="C10" s="22"/>
      <c r="D10" s="22"/>
      <c r="E10" s="23"/>
      <c r="F10" s="20">
        <f>SUM(B10:E10)</f>
        <v>1</v>
      </c>
      <c r="G10" s="49"/>
      <c r="H10" s="32">
        <v>1</v>
      </c>
      <c r="I10" s="32"/>
      <c r="J10" s="32"/>
      <c r="K10" s="18">
        <f>SUM(G10:J10)</f>
        <v>1</v>
      </c>
      <c r="L10" s="8">
        <f>SUM(F10+K10)</f>
        <v>2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>
        <v>5</v>
      </c>
      <c r="H16" s="25"/>
      <c r="I16" s="25"/>
      <c r="J16" s="25"/>
      <c r="K16" s="18">
        <f t="shared" si="1"/>
        <v>5</v>
      </c>
      <c r="L16" s="8">
        <f t="shared" si="2"/>
        <v>5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>
        <v>8</v>
      </c>
      <c r="H17" s="25"/>
      <c r="I17" s="25"/>
      <c r="J17" s="25"/>
      <c r="K17" s="18">
        <f t="shared" si="1"/>
        <v>8</v>
      </c>
      <c r="L17" s="8">
        <f t="shared" si="2"/>
        <v>8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>
        <v>3</v>
      </c>
      <c r="H18" s="25"/>
      <c r="I18" s="25"/>
      <c r="J18" s="25"/>
      <c r="K18" s="18">
        <f t="shared" si="1"/>
        <v>3</v>
      </c>
      <c r="L18" s="8">
        <f t="shared" si="2"/>
        <v>3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>
        <v>2</v>
      </c>
      <c r="C21" s="25"/>
      <c r="D21" s="25"/>
      <c r="E21" s="26"/>
      <c r="F21" s="20">
        <f t="shared" si="0"/>
        <v>2</v>
      </c>
      <c r="G21" s="33">
        <v>1</v>
      </c>
      <c r="H21" s="36"/>
      <c r="I21" s="36"/>
      <c r="J21" s="36"/>
      <c r="K21" s="18">
        <f t="shared" si="1"/>
        <v>1</v>
      </c>
      <c r="L21" s="8">
        <f t="shared" si="2"/>
        <v>3</v>
      </c>
    </row>
    <row r="22" spans="1:12" ht="15.75" thickBot="1" x14ac:dyDescent="0.3">
      <c r="A22" s="9">
        <v>13</v>
      </c>
      <c r="B22" s="24">
        <v>3</v>
      </c>
      <c r="C22" s="25"/>
      <c r="D22" s="25"/>
      <c r="E22" s="26"/>
      <c r="F22" s="20">
        <f t="shared" si="0"/>
        <v>3</v>
      </c>
      <c r="G22" s="37">
        <v>1</v>
      </c>
      <c r="H22" s="25"/>
      <c r="I22" s="25"/>
      <c r="J22" s="25"/>
      <c r="K22" s="18">
        <f t="shared" si="1"/>
        <v>1</v>
      </c>
      <c r="L22" s="8">
        <f t="shared" si="2"/>
        <v>4</v>
      </c>
    </row>
    <row r="23" spans="1:12" ht="15.75" thickBot="1" x14ac:dyDescent="0.3">
      <c r="A23" s="9">
        <v>14</v>
      </c>
      <c r="B23" s="24">
        <v>1</v>
      </c>
      <c r="C23" s="25"/>
      <c r="D23" s="25"/>
      <c r="E23" s="26"/>
      <c r="F23" s="20">
        <f t="shared" si="0"/>
        <v>1</v>
      </c>
      <c r="G23" s="37"/>
      <c r="H23" s="25"/>
      <c r="I23" s="25"/>
      <c r="J23" s="25"/>
      <c r="K23" s="18">
        <f t="shared" si="1"/>
        <v>0</v>
      </c>
      <c r="L23" s="8">
        <f t="shared" si="2"/>
        <v>1</v>
      </c>
    </row>
    <row r="24" spans="1:12" ht="15.75" thickBot="1" x14ac:dyDescent="0.3">
      <c r="A24" s="9">
        <v>15</v>
      </c>
      <c r="B24" s="24">
        <v>1</v>
      </c>
      <c r="C24" s="25"/>
      <c r="D24" s="25"/>
      <c r="E24" s="26"/>
      <c r="F24" s="20">
        <f t="shared" si="0"/>
        <v>1</v>
      </c>
      <c r="G24" s="33">
        <v>3</v>
      </c>
      <c r="H24" s="25"/>
      <c r="I24" s="25"/>
      <c r="J24" s="25"/>
      <c r="K24" s="18">
        <f t="shared" si="1"/>
        <v>3</v>
      </c>
      <c r="L24" s="8">
        <f t="shared" si="2"/>
        <v>4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>
        <v>6</v>
      </c>
      <c r="H25" s="25"/>
      <c r="I25" s="25"/>
      <c r="J25" s="25"/>
      <c r="K25" s="18">
        <f t="shared" si="1"/>
        <v>6</v>
      </c>
      <c r="L25" s="8">
        <f t="shared" si="2"/>
        <v>6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>
        <v>4</v>
      </c>
      <c r="H28" s="25"/>
      <c r="I28" s="25"/>
      <c r="J28" s="25"/>
      <c r="K28" s="18">
        <f t="shared" si="1"/>
        <v>4</v>
      </c>
      <c r="L28" s="8">
        <f t="shared" si="2"/>
        <v>4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>
        <v>1</v>
      </c>
      <c r="I29" s="25"/>
      <c r="J29" s="25"/>
      <c r="K29" s="18">
        <f t="shared" si="1"/>
        <v>1</v>
      </c>
      <c r="L29" s="8">
        <f t="shared" si="2"/>
        <v>1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>
        <v>4</v>
      </c>
      <c r="H31" s="25"/>
      <c r="I31" s="25"/>
      <c r="J31" s="25"/>
      <c r="K31" s="18">
        <f t="shared" si="1"/>
        <v>4</v>
      </c>
      <c r="L31" s="8">
        <f t="shared" si="2"/>
        <v>4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>
        <v>4</v>
      </c>
      <c r="H32" s="25"/>
      <c r="I32" s="25"/>
      <c r="J32" s="25"/>
      <c r="K32" s="18">
        <f t="shared" si="1"/>
        <v>4</v>
      </c>
      <c r="L32" s="8">
        <f t="shared" si="2"/>
        <v>4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>
        <v>1</v>
      </c>
      <c r="C35" s="25"/>
      <c r="D35" s="25"/>
      <c r="E35" s="26"/>
      <c r="F35" s="20">
        <f t="shared" si="0"/>
        <v>1</v>
      </c>
      <c r="G35" s="33">
        <v>1</v>
      </c>
      <c r="H35" s="25"/>
      <c r="I35" s="25"/>
      <c r="J35" s="25"/>
      <c r="K35" s="18">
        <f t="shared" si="1"/>
        <v>1</v>
      </c>
      <c r="L35" s="8">
        <f t="shared" si="2"/>
        <v>2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>
        <v>1</v>
      </c>
      <c r="I36" s="25"/>
      <c r="J36" s="25"/>
      <c r="K36" s="18">
        <f t="shared" si="1"/>
        <v>1</v>
      </c>
      <c r="L36" s="8">
        <f t="shared" si="2"/>
        <v>1</v>
      </c>
    </row>
    <row r="37" spans="1:12" ht="15.75" thickBot="1" x14ac:dyDescent="0.3">
      <c r="A37" s="9">
        <v>28</v>
      </c>
      <c r="B37" s="24">
        <v>1</v>
      </c>
      <c r="C37" s="25"/>
      <c r="D37" s="25"/>
      <c r="E37" s="26"/>
      <c r="F37" s="20">
        <f t="shared" si="0"/>
        <v>1</v>
      </c>
      <c r="G37" s="33"/>
      <c r="H37" s="25"/>
      <c r="I37" s="25"/>
      <c r="J37" s="25"/>
      <c r="K37" s="18">
        <f t="shared" si="1"/>
        <v>0</v>
      </c>
      <c r="L37" s="8">
        <f t="shared" si="2"/>
        <v>1</v>
      </c>
    </row>
    <row r="38" spans="1:12" ht="15.75" thickBot="1" x14ac:dyDescent="0.3">
      <c r="A38" s="9">
        <v>29</v>
      </c>
      <c r="B38" s="24">
        <v>1</v>
      </c>
      <c r="C38" s="25"/>
      <c r="D38" s="25">
        <v>1</v>
      </c>
      <c r="E38" s="26"/>
      <c r="F38" s="20">
        <f t="shared" si="0"/>
        <v>2</v>
      </c>
      <c r="G38" s="33">
        <v>2</v>
      </c>
      <c r="H38" s="25"/>
      <c r="I38" s="25"/>
      <c r="J38" s="25"/>
      <c r="K38" s="18">
        <f t="shared" si="1"/>
        <v>2</v>
      </c>
      <c r="L38" s="8">
        <f t="shared" si="2"/>
        <v>4</v>
      </c>
    </row>
    <row r="39" spans="1:12" ht="15.75" thickBot="1" x14ac:dyDescent="0.3">
      <c r="A39" s="9">
        <v>30</v>
      </c>
      <c r="B39" s="24">
        <v>2</v>
      </c>
      <c r="C39" s="25"/>
      <c r="D39" s="25"/>
      <c r="E39" s="26"/>
      <c r="F39" s="20">
        <f t="shared" si="0"/>
        <v>2</v>
      </c>
      <c r="G39" s="33"/>
      <c r="H39" s="25"/>
      <c r="I39" s="25"/>
      <c r="J39" s="25"/>
      <c r="K39" s="18">
        <f t="shared" si="1"/>
        <v>0</v>
      </c>
      <c r="L39" s="8">
        <f t="shared" si="2"/>
        <v>2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68"/>
      <c r="B41" s="66">
        <f>SUM(B10:B40)</f>
        <v>13</v>
      </c>
      <c r="C41" s="66">
        <f t="shared" ref="C41:E41" si="3">SUM(C10:C40)</f>
        <v>0</v>
      </c>
      <c r="D41" s="66">
        <f t="shared" si="3"/>
        <v>1</v>
      </c>
      <c r="E41" s="66">
        <f t="shared" si="3"/>
        <v>0</v>
      </c>
      <c r="F41" s="65">
        <f>SUM(F10:F40)</f>
        <v>14</v>
      </c>
      <c r="G41" s="19">
        <f>SUM(G10:G40)</f>
        <v>42</v>
      </c>
      <c r="H41" s="19">
        <f t="shared" ref="H41:L41" si="4">SUM(H10:H40)</f>
        <v>3</v>
      </c>
      <c r="I41" s="19">
        <f t="shared" si="4"/>
        <v>0</v>
      </c>
      <c r="J41" s="19">
        <f t="shared" si="4"/>
        <v>0</v>
      </c>
      <c r="K41" s="19">
        <f t="shared" si="4"/>
        <v>45</v>
      </c>
      <c r="L41" s="19">
        <f t="shared" si="4"/>
        <v>59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12"/>
      <c r="B43" s="112"/>
      <c r="C43" s="112"/>
      <c r="D43" s="112"/>
      <c r="E43" s="112"/>
      <c r="F43" s="112"/>
      <c r="G43" s="113" t="s">
        <v>17</v>
      </c>
      <c r="H43" s="132"/>
      <c r="I43" s="113" t="s">
        <v>18</v>
      </c>
      <c r="J43" s="115"/>
      <c r="K43" s="54"/>
      <c r="L43" s="55"/>
    </row>
    <row r="44" spans="1:12" ht="15.75" thickBot="1" x14ac:dyDescent="0.3">
      <c r="A44" s="16"/>
      <c r="B44" s="99" t="s">
        <v>19</v>
      </c>
      <c r="C44" s="100"/>
      <c r="D44" s="100"/>
      <c r="E44" s="100"/>
      <c r="F44" s="100"/>
      <c r="G44" s="110">
        <v>85</v>
      </c>
      <c r="H44" s="133"/>
      <c r="I44" s="134"/>
      <c r="J44" s="135"/>
      <c r="K44" s="54"/>
      <c r="L44" s="55"/>
    </row>
    <row r="45" spans="1:12" ht="15.75" thickBot="1" x14ac:dyDescent="0.3">
      <c r="A45" s="16"/>
      <c r="B45" s="99" t="s">
        <v>20</v>
      </c>
      <c r="C45" s="100"/>
      <c r="D45" s="100"/>
      <c r="E45" s="100"/>
      <c r="F45" s="100"/>
      <c r="G45" s="103">
        <v>208</v>
      </c>
      <c r="H45" s="136"/>
      <c r="I45" s="103"/>
      <c r="J45" s="102"/>
      <c r="K45" s="54"/>
      <c r="L45" s="55"/>
    </row>
    <row r="46" spans="1:12" ht="15.75" thickBot="1" x14ac:dyDescent="0.3">
      <c r="A46" s="16"/>
      <c r="B46" s="107" t="s">
        <v>21</v>
      </c>
      <c r="C46" s="107"/>
      <c r="D46" s="107"/>
      <c r="E46" s="107"/>
      <c r="F46" s="99"/>
      <c r="G46" s="108">
        <v>0</v>
      </c>
      <c r="H46" s="137"/>
      <c r="I46" s="103"/>
      <c r="J46" s="102"/>
      <c r="K46" s="54"/>
      <c r="L46" s="55"/>
    </row>
    <row r="47" spans="1:12" ht="15.75" thickBot="1" x14ac:dyDescent="0.3">
      <c r="A47" s="16"/>
      <c r="B47" s="99" t="s">
        <v>22</v>
      </c>
      <c r="C47" s="100"/>
      <c r="D47" s="100"/>
      <c r="E47" s="100"/>
      <c r="F47" s="100"/>
      <c r="G47" s="101">
        <f>L41+G46</f>
        <v>59</v>
      </c>
      <c r="H47" s="136"/>
      <c r="I47" s="103"/>
      <c r="J47" s="102"/>
      <c r="K47" s="54"/>
      <c r="L47" s="55"/>
    </row>
    <row r="48" spans="1:12" ht="15.75" thickBot="1" x14ac:dyDescent="0.3">
      <c r="A48" s="5"/>
      <c r="B48" s="99" t="s">
        <v>23</v>
      </c>
      <c r="C48" s="100"/>
      <c r="D48" s="100"/>
      <c r="E48" s="100"/>
      <c r="F48" s="100"/>
      <c r="G48" s="101">
        <f>G44+G45-G47</f>
        <v>234</v>
      </c>
      <c r="H48" s="136"/>
      <c r="I48" s="103"/>
      <c r="J48" s="102"/>
      <c r="K48" s="54"/>
      <c r="L48" s="56"/>
    </row>
    <row r="49" spans="1:12" ht="15.75" thickBot="1" x14ac:dyDescent="0.3">
      <c r="A49" s="5"/>
      <c r="B49" s="99" t="s">
        <v>24</v>
      </c>
      <c r="C49" s="100"/>
      <c r="D49" s="100"/>
      <c r="E49" s="100"/>
      <c r="F49" s="100"/>
      <c r="G49" s="103">
        <v>234</v>
      </c>
      <c r="H49" s="136"/>
      <c r="I49" s="103"/>
      <c r="J49" s="102"/>
      <c r="K49" s="54"/>
      <c r="L49" s="56"/>
    </row>
    <row r="50" spans="1:12" ht="15.75" thickBot="1" x14ac:dyDescent="0.3">
      <c r="A50" s="5"/>
      <c r="B50" s="99" t="s">
        <v>25</v>
      </c>
      <c r="C50" s="100"/>
      <c r="D50" s="100"/>
      <c r="E50" s="100"/>
      <c r="F50" s="100"/>
      <c r="G50" s="104">
        <f>G49-G48</f>
        <v>0</v>
      </c>
      <c r="H50" s="138"/>
      <c r="I50" s="106"/>
      <c r="J50" s="105"/>
      <c r="K50" s="54"/>
      <c r="L50" s="56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H16" sqref="H1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8"/>
      <c r="F1" s="39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8"/>
      <c r="F2" s="39"/>
      <c r="G2" s="131" t="s">
        <v>3</v>
      </c>
      <c r="H2" s="131"/>
      <c r="I2" s="131"/>
      <c r="J2" s="131"/>
      <c r="K2" s="131"/>
      <c r="L2" s="131"/>
    </row>
    <row r="3" spans="1:12" x14ac:dyDescent="0.25">
      <c r="A3" s="131" t="s">
        <v>4</v>
      </c>
      <c r="B3" s="131"/>
      <c r="C3" s="131"/>
      <c r="D3" s="131"/>
      <c r="E3" s="38"/>
      <c r="F3" s="39"/>
      <c r="G3" s="131" t="s">
        <v>32</v>
      </c>
      <c r="H3" s="131"/>
      <c r="I3" s="131"/>
      <c r="J3" s="131"/>
      <c r="K3" s="131"/>
      <c r="L3" s="131"/>
    </row>
    <row r="4" spans="1:12" x14ac:dyDescent="0.25">
      <c r="A4" s="69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9" t="s">
        <v>5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1:12" ht="15.75" x14ac:dyDescent="0.25">
      <c r="A6" s="120" t="s">
        <v>35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ht="6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22"/>
      <c r="I7" s="122"/>
      <c r="J7" s="14"/>
      <c r="K7" s="40"/>
      <c r="L7" s="4"/>
    </row>
    <row r="8" spans="1:12" x14ac:dyDescent="0.25">
      <c r="A8" s="123" t="s">
        <v>7</v>
      </c>
      <c r="B8" s="125" t="s">
        <v>8</v>
      </c>
      <c r="C8" s="126"/>
      <c r="D8" s="126"/>
      <c r="E8" s="126"/>
      <c r="F8" s="127"/>
      <c r="G8" s="128" t="s">
        <v>9</v>
      </c>
      <c r="H8" s="126"/>
      <c r="I8" s="126"/>
      <c r="J8" s="126"/>
      <c r="K8" s="127"/>
      <c r="L8" s="129" t="s">
        <v>10</v>
      </c>
    </row>
    <row r="9" spans="1:12" ht="15.75" thickBot="1" x14ac:dyDescent="0.3">
      <c r="A9" s="124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30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>
        <v>11</v>
      </c>
      <c r="H11" s="25"/>
      <c r="I11" s="25"/>
      <c r="J11" s="25"/>
      <c r="K11" s="18">
        <f t="shared" ref="K11:K40" si="1">SUM(G11:J11)</f>
        <v>11</v>
      </c>
      <c r="L11" s="8">
        <f t="shared" ref="L11:L40" si="2">SUM(F11+K11)</f>
        <v>11</v>
      </c>
    </row>
    <row r="12" spans="1:12" ht="15.75" thickBot="1" x14ac:dyDescent="0.3">
      <c r="A12" s="9">
        <v>3</v>
      </c>
      <c r="B12" s="24">
        <v>4</v>
      </c>
      <c r="C12" s="25"/>
      <c r="D12" s="25"/>
      <c r="E12" s="27"/>
      <c r="F12" s="20">
        <f t="shared" si="0"/>
        <v>4</v>
      </c>
      <c r="G12" s="33"/>
      <c r="H12" s="25">
        <v>1</v>
      </c>
      <c r="I12" s="25"/>
      <c r="J12" s="25"/>
      <c r="K12" s="18">
        <f t="shared" si="1"/>
        <v>1</v>
      </c>
      <c r="L12" s="8">
        <f t="shared" si="2"/>
        <v>5</v>
      </c>
    </row>
    <row r="13" spans="1:12" ht="15.75" thickBot="1" x14ac:dyDescent="0.3">
      <c r="A13" s="9">
        <v>4</v>
      </c>
      <c r="B13" s="24">
        <v>2</v>
      </c>
      <c r="C13" s="25"/>
      <c r="D13" s="25"/>
      <c r="E13" s="26"/>
      <c r="F13" s="20">
        <f t="shared" si="0"/>
        <v>2</v>
      </c>
      <c r="G13" s="34"/>
      <c r="H13" s="25"/>
      <c r="I13" s="25"/>
      <c r="J13" s="25"/>
      <c r="K13" s="18">
        <f t="shared" si="1"/>
        <v>0</v>
      </c>
      <c r="L13" s="8">
        <f t="shared" si="2"/>
        <v>2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>
        <v>1</v>
      </c>
      <c r="E15" s="26"/>
      <c r="F15" s="20">
        <f t="shared" si="0"/>
        <v>1</v>
      </c>
      <c r="G15" s="33">
        <v>3</v>
      </c>
      <c r="H15" s="25"/>
      <c r="I15" s="25"/>
      <c r="J15" s="25"/>
      <c r="K15" s="18">
        <f t="shared" si="1"/>
        <v>3</v>
      </c>
      <c r="L15" s="8">
        <f t="shared" si="2"/>
        <v>4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>
        <v>4</v>
      </c>
      <c r="C19" s="25"/>
      <c r="D19" s="25"/>
      <c r="E19" s="26"/>
      <c r="F19" s="20">
        <f t="shared" si="0"/>
        <v>4</v>
      </c>
      <c r="G19" s="35"/>
      <c r="H19" s="25"/>
      <c r="I19" s="25"/>
      <c r="J19" s="25"/>
      <c r="K19" s="18">
        <f t="shared" si="1"/>
        <v>0</v>
      </c>
      <c r="L19" s="8">
        <f t="shared" si="2"/>
        <v>4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>
        <v>2</v>
      </c>
      <c r="C21" s="25"/>
      <c r="D21" s="25"/>
      <c r="E21" s="26"/>
      <c r="F21" s="20">
        <f t="shared" si="0"/>
        <v>2</v>
      </c>
      <c r="G21" s="33"/>
      <c r="H21" s="36"/>
      <c r="I21" s="36"/>
      <c r="J21" s="36"/>
      <c r="K21" s="18">
        <f t="shared" si="1"/>
        <v>0</v>
      </c>
      <c r="L21" s="8">
        <f t="shared" si="2"/>
        <v>2</v>
      </c>
    </row>
    <row r="22" spans="1:12" ht="15.75" thickBot="1" x14ac:dyDescent="0.3">
      <c r="A22" s="9">
        <v>13</v>
      </c>
      <c r="B22" s="24">
        <v>2</v>
      </c>
      <c r="C22" s="25"/>
      <c r="D22" s="25"/>
      <c r="E22" s="26"/>
      <c r="F22" s="20">
        <f t="shared" si="0"/>
        <v>2</v>
      </c>
      <c r="G22" s="37">
        <v>2</v>
      </c>
      <c r="H22" s="25"/>
      <c r="I22" s="25"/>
      <c r="J22" s="25"/>
      <c r="K22" s="18">
        <f t="shared" si="1"/>
        <v>2</v>
      </c>
      <c r="L22" s="8">
        <f t="shared" si="2"/>
        <v>4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>
        <v>1</v>
      </c>
      <c r="C25" s="25"/>
      <c r="D25" s="25"/>
      <c r="E25" s="26"/>
      <c r="F25" s="20">
        <f t="shared" si="0"/>
        <v>1</v>
      </c>
      <c r="G25" s="33"/>
      <c r="H25" s="25"/>
      <c r="I25" s="25"/>
      <c r="J25" s="25"/>
      <c r="K25" s="18">
        <f t="shared" si="1"/>
        <v>0</v>
      </c>
      <c r="L25" s="8">
        <f t="shared" si="2"/>
        <v>1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>
        <v>4</v>
      </c>
      <c r="C27" s="25"/>
      <c r="D27" s="25"/>
      <c r="E27" s="26"/>
      <c r="F27" s="20">
        <f t="shared" si="0"/>
        <v>4</v>
      </c>
      <c r="G27" s="33"/>
      <c r="H27" s="25"/>
      <c r="I27" s="25"/>
      <c r="J27" s="25"/>
      <c r="K27" s="18">
        <f t="shared" si="1"/>
        <v>0</v>
      </c>
      <c r="L27" s="8">
        <f t="shared" si="2"/>
        <v>4</v>
      </c>
    </row>
    <row r="28" spans="1:12" ht="15.75" thickBot="1" x14ac:dyDescent="0.3">
      <c r="A28" s="9">
        <v>19</v>
      </c>
      <c r="B28" s="24">
        <v>3</v>
      </c>
      <c r="C28" s="25"/>
      <c r="D28" s="25"/>
      <c r="E28" s="26"/>
      <c r="F28" s="20">
        <f t="shared" si="0"/>
        <v>3</v>
      </c>
      <c r="G28" s="33"/>
      <c r="H28" s="25"/>
      <c r="I28" s="25"/>
      <c r="J28" s="25"/>
      <c r="K28" s="18">
        <f t="shared" si="1"/>
        <v>0</v>
      </c>
      <c r="L28" s="8">
        <f t="shared" si="2"/>
        <v>3</v>
      </c>
    </row>
    <row r="29" spans="1:12" ht="15.75" thickBot="1" x14ac:dyDescent="0.3">
      <c r="A29" s="9">
        <v>20</v>
      </c>
      <c r="B29" s="24"/>
      <c r="C29" s="25"/>
      <c r="D29" s="25"/>
      <c r="E29" s="26">
        <v>1</v>
      </c>
      <c r="F29" s="20">
        <f t="shared" si="0"/>
        <v>1</v>
      </c>
      <c r="G29" s="33">
        <v>3</v>
      </c>
      <c r="H29" s="25"/>
      <c r="I29" s="25"/>
      <c r="J29" s="25"/>
      <c r="K29" s="18">
        <f t="shared" si="1"/>
        <v>3</v>
      </c>
      <c r="L29" s="8">
        <f t="shared" si="2"/>
        <v>4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>
        <v>5</v>
      </c>
      <c r="C32" s="25"/>
      <c r="D32" s="25">
        <v>1</v>
      </c>
      <c r="E32" s="26"/>
      <c r="F32" s="20">
        <f t="shared" si="0"/>
        <v>6</v>
      </c>
      <c r="G32" s="33">
        <v>1</v>
      </c>
      <c r="H32" s="25"/>
      <c r="I32" s="25"/>
      <c r="J32" s="25"/>
      <c r="K32" s="18">
        <f t="shared" si="1"/>
        <v>1</v>
      </c>
      <c r="L32" s="8">
        <f t="shared" si="2"/>
        <v>7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>
        <v>2</v>
      </c>
      <c r="C34" s="25"/>
      <c r="D34" s="25"/>
      <c r="E34" s="26"/>
      <c r="F34" s="20">
        <f t="shared" si="0"/>
        <v>2</v>
      </c>
      <c r="G34" s="33">
        <v>4</v>
      </c>
      <c r="H34" s="25"/>
      <c r="I34" s="25"/>
      <c r="J34" s="25"/>
      <c r="K34" s="18">
        <f t="shared" si="1"/>
        <v>4</v>
      </c>
      <c r="L34" s="8">
        <f t="shared" si="2"/>
        <v>6</v>
      </c>
    </row>
    <row r="35" spans="1:12" ht="15.75" thickBot="1" x14ac:dyDescent="0.3">
      <c r="A35" s="9">
        <v>26</v>
      </c>
      <c r="B35" s="24"/>
      <c r="C35" s="25">
        <v>1</v>
      </c>
      <c r="D35" s="25"/>
      <c r="E35" s="26"/>
      <c r="F35" s="20">
        <f t="shared" si="0"/>
        <v>1</v>
      </c>
      <c r="G35" s="33">
        <v>1</v>
      </c>
      <c r="H35" s="25">
        <v>2</v>
      </c>
      <c r="I35" s="25"/>
      <c r="J35" s="25"/>
      <c r="K35" s="18">
        <f t="shared" si="1"/>
        <v>3</v>
      </c>
      <c r="L35" s="8">
        <f t="shared" si="2"/>
        <v>4</v>
      </c>
    </row>
    <row r="36" spans="1:12" ht="15.75" thickBot="1" x14ac:dyDescent="0.3">
      <c r="A36" s="9">
        <v>27</v>
      </c>
      <c r="B36" s="88">
        <v>1</v>
      </c>
      <c r="C36" s="25"/>
      <c r="D36" s="25"/>
      <c r="E36" s="26"/>
      <c r="F36" s="20">
        <f t="shared" si="0"/>
        <v>1</v>
      </c>
      <c r="G36" s="48">
        <v>1</v>
      </c>
      <c r="H36" s="25">
        <v>1</v>
      </c>
      <c r="I36" s="25"/>
      <c r="J36" s="25"/>
      <c r="K36" s="18">
        <f t="shared" si="1"/>
        <v>2</v>
      </c>
      <c r="L36" s="8">
        <f t="shared" si="2"/>
        <v>3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>
        <v>3</v>
      </c>
      <c r="C40" s="30"/>
      <c r="D40" s="30"/>
      <c r="E40" s="31"/>
      <c r="F40" s="20">
        <f t="shared" si="0"/>
        <v>3</v>
      </c>
      <c r="G40" s="33">
        <v>2</v>
      </c>
      <c r="H40" s="25"/>
      <c r="I40" s="25"/>
      <c r="J40" s="25"/>
      <c r="K40" s="18">
        <f t="shared" si="1"/>
        <v>2</v>
      </c>
      <c r="L40" s="8">
        <f t="shared" si="2"/>
        <v>5</v>
      </c>
    </row>
    <row r="41" spans="1:12" ht="15.75" thickBot="1" x14ac:dyDescent="0.3">
      <c r="A41" s="72"/>
      <c r="B41" s="71">
        <f>SUM(B10:B40)</f>
        <v>33</v>
      </c>
      <c r="C41" s="71">
        <f t="shared" ref="C41:E41" si="3">SUM(C10:C40)</f>
        <v>1</v>
      </c>
      <c r="D41" s="71">
        <f t="shared" si="3"/>
        <v>2</v>
      </c>
      <c r="E41" s="71">
        <f t="shared" si="3"/>
        <v>1</v>
      </c>
      <c r="F41" s="70">
        <f>SUM(F10:F40)</f>
        <v>37</v>
      </c>
      <c r="G41" s="19">
        <f>SUM(G10:G40)</f>
        <v>28</v>
      </c>
      <c r="H41" s="19">
        <f t="shared" ref="H41:L41" si="4">SUM(H10:H40)</f>
        <v>4</v>
      </c>
      <c r="I41" s="19">
        <f t="shared" si="4"/>
        <v>0</v>
      </c>
      <c r="J41" s="19">
        <f t="shared" si="4"/>
        <v>0</v>
      </c>
      <c r="K41" s="19">
        <f t="shared" si="4"/>
        <v>32</v>
      </c>
      <c r="L41" s="19">
        <f t="shared" si="4"/>
        <v>69</v>
      </c>
    </row>
    <row r="42" spans="1:12" ht="6.7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12"/>
      <c r="B43" s="112"/>
      <c r="C43" s="112"/>
      <c r="D43" s="112"/>
      <c r="E43" s="112"/>
      <c r="F43" s="112"/>
      <c r="G43" s="113" t="s">
        <v>17</v>
      </c>
      <c r="H43" s="132"/>
      <c r="I43" s="113" t="s">
        <v>18</v>
      </c>
      <c r="J43" s="115"/>
      <c r="K43" s="54"/>
      <c r="L43" s="55"/>
    </row>
    <row r="44" spans="1:12" ht="15.75" thickBot="1" x14ac:dyDescent="0.3">
      <c r="A44" s="16"/>
      <c r="B44" s="99" t="s">
        <v>19</v>
      </c>
      <c r="C44" s="100"/>
      <c r="D44" s="100"/>
      <c r="E44" s="100"/>
      <c r="F44" s="100"/>
      <c r="G44" s="110">
        <v>234</v>
      </c>
      <c r="H44" s="133"/>
      <c r="I44" s="134"/>
      <c r="J44" s="135"/>
      <c r="K44" s="54"/>
      <c r="L44" s="55"/>
    </row>
    <row r="45" spans="1:12" ht="15.75" thickBot="1" x14ac:dyDescent="0.3">
      <c r="A45" s="16"/>
      <c r="B45" s="99" t="s">
        <v>20</v>
      </c>
      <c r="C45" s="100"/>
      <c r="D45" s="100"/>
      <c r="E45" s="100"/>
      <c r="F45" s="100"/>
      <c r="G45" s="103">
        <v>8</v>
      </c>
      <c r="H45" s="136"/>
      <c r="I45" s="103"/>
      <c r="J45" s="102"/>
      <c r="K45" s="54"/>
      <c r="L45" s="55"/>
    </row>
    <row r="46" spans="1:12" ht="15.75" thickBot="1" x14ac:dyDescent="0.3">
      <c r="A46" s="16"/>
      <c r="B46" s="107" t="s">
        <v>21</v>
      </c>
      <c r="C46" s="107"/>
      <c r="D46" s="107"/>
      <c r="E46" s="107"/>
      <c r="F46" s="99"/>
      <c r="G46" s="108">
        <v>34</v>
      </c>
      <c r="H46" s="137"/>
      <c r="I46" s="103"/>
      <c r="J46" s="102"/>
      <c r="K46" s="54"/>
      <c r="L46" s="55"/>
    </row>
    <row r="47" spans="1:12" ht="15.75" thickBot="1" x14ac:dyDescent="0.3">
      <c r="A47" s="16"/>
      <c r="B47" s="99" t="s">
        <v>22</v>
      </c>
      <c r="C47" s="100"/>
      <c r="D47" s="100"/>
      <c r="E47" s="100"/>
      <c r="F47" s="100"/>
      <c r="G47" s="101">
        <f>L41+G46</f>
        <v>103</v>
      </c>
      <c r="H47" s="136"/>
      <c r="I47" s="103"/>
      <c r="J47" s="102"/>
      <c r="K47" s="54"/>
      <c r="L47" s="55"/>
    </row>
    <row r="48" spans="1:12" ht="15.75" thickBot="1" x14ac:dyDescent="0.3">
      <c r="A48" s="5"/>
      <c r="B48" s="99" t="s">
        <v>23</v>
      </c>
      <c r="C48" s="100"/>
      <c r="D48" s="100"/>
      <c r="E48" s="100"/>
      <c r="F48" s="100"/>
      <c r="G48" s="101">
        <f>G44+G45-G47</f>
        <v>139</v>
      </c>
      <c r="H48" s="136"/>
      <c r="I48" s="103"/>
      <c r="J48" s="102"/>
      <c r="K48" s="54"/>
      <c r="L48" s="56"/>
    </row>
    <row r="49" spans="1:12" ht="15.75" thickBot="1" x14ac:dyDescent="0.3">
      <c r="A49" s="5"/>
      <c r="B49" s="99" t="s">
        <v>24</v>
      </c>
      <c r="C49" s="100"/>
      <c r="D49" s="100"/>
      <c r="E49" s="100"/>
      <c r="F49" s="100"/>
      <c r="G49" s="103">
        <v>139</v>
      </c>
      <c r="H49" s="136"/>
      <c r="I49" s="103"/>
      <c r="J49" s="102"/>
      <c r="K49" s="54"/>
      <c r="L49" s="56"/>
    </row>
    <row r="50" spans="1:12" ht="15.75" thickBot="1" x14ac:dyDescent="0.3">
      <c r="A50" s="5"/>
      <c r="B50" s="99" t="s">
        <v>25</v>
      </c>
      <c r="C50" s="100"/>
      <c r="D50" s="100"/>
      <c r="E50" s="100"/>
      <c r="F50" s="100"/>
      <c r="G50" s="104">
        <f>G48-G49</f>
        <v>0</v>
      </c>
      <c r="H50" s="138"/>
      <c r="I50" s="106"/>
      <c r="J50" s="105"/>
      <c r="K50" s="54"/>
      <c r="L50" s="56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L51" sqref="A1:L5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8"/>
      <c r="F1" s="39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8"/>
      <c r="F2" s="39"/>
      <c r="G2" s="131" t="s">
        <v>3</v>
      </c>
      <c r="H2" s="131"/>
      <c r="I2" s="131"/>
      <c r="J2" s="131"/>
      <c r="K2" s="131"/>
      <c r="L2" s="131"/>
    </row>
    <row r="3" spans="1:12" x14ac:dyDescent="0.25">
      <c r="A3" s="131" t="s">
        <v>4</v>
      </c>
      <c r="B3" s="131"/>
      <c r="C3" s="131"/>
      <c r="D3" s="131"/>
      <c r="E3" s="38"/>
      <c r="F3" s="39"/>
      <c r="G3" s="131" t="s">
        <v>32</v>
      </c>
      <c r="H3" s="131"/>
      <c r="I3" s="131"/>
      <c r="J3" s="131"/>
      <c r="K3" s="131"/>
      <c r="L3" s="131"/>
    </row>
    <row r="4" spans="1:12" x14ac:dyDescent="0.25">
      <c r="A4" s="8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9" t="s">
        <v>5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1:12" ht="15.75" x14ac:dyDescent="0.25">
      <c r="A6" s="120" t="s">
        <v>38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ht="15.75" thickBot="1" x14ac:dyDescent="0.3">
      <c r="A7" s="3" t="s">
        <v>6</v>
      </c>
      <c r="B7" s="13"/>
      <c r="C7" s="14"/>
      <c r="D7" s="14"/>
      <c r="E7" s="14"/>
      <c r="F7" s="13"/>
      <c r="G7" s="13"/>
      <c r="H7" s="122"/>
      <c r="I7" s="122"/>
      <c r="J7" s="14"/>
      <c r="K7" s="40"/>
      <c r="L7" s="4"/>
    </row>
    <row r="8" spans="1:12" x14ac:dyDescent="0.25">
      <c r="A8" s="123" t="s">
        <v>7</v>
      </c>
      <c r="B8" s="125" t="s">
        <v>8</v>
      </c>
      <c r="C8" s="126"/>
      <c r="D8" s="126"/>
      <c r="E8" s="126"/>
      <c r="F8" s="127"/>
      <c r="G8" s="128" t="s">
        <v>9</v>
      </c>
      <c r="H8" s="126"/>
      <c r="I8" s="126"/>
      <c r="J8" s="126"/>
      <c r="K8" s="127"/>
      <c r="L8" s="129" t="s">
        <v>10</v>
      </c>
    </row>
    <row r="9" spans="1:12" ht="15.75" thickBot="1" x14ac:dyDescent="0.3">
      <c r="A9" s="124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30"/>
    </row>
    <row r="10" spans="1:12" ht="15.75" thickBot="1" x14ac:dyDescent="0.3">
      <c r="A10" s="7">
        <v>1</v>
      </c>
      <c r="B10" s="21">
        <v>4</v>
      </c>
      <c r="C10" s="22"/>
      <c r="D10" s="22"/>
      <c r="E10" s="23"/>
      <c r="F10" s="20">
        <f>SUM(B10:E10)</f>
        <v>4</v>
      </c>
      <c r="G10" s="49"/>
      <c r="H10" s="32"/>
      <c r="I10" s="32"/>
      <c r="J10" s="32"/>
      <c r="K10" s="18">
        <f>SUM(G10:J10)</f>
        <v>0</v>
      </c>
      <c r="L10" s="8">
        <f>SUM(F10+K10)</f>
        <v>4</v>
      </c>
    </row>
    <row r="11" spans="1:12" ht="15.75" thickBot="1" x14ac:dyDescent="0.3">
      <c r="A11" s="9">
        <v>2</v>
      </c>
      <c r="B11" s="24">
        <v>2</v>
      </c>
      <c r="C11" s="25"/>
      <c r="D11" s="25"/>
      <c r="E11" s="26"/>
      <c r="F11" s="20">
        <f t="shared" ref="F11:F40" si="0">SUM(B11:E11)</f>
        <v>2</v>
      </c>
      <c r="G11" s="33"/>
      <c r="H11" s="25">
        <v>1</v>
      </c>
      <c r="I11" s="25"/>
      <c r="J11" s="25"/>
      <c r="K11" s="18">
        <f t="shared" ref="K11:K40" si="1">SUM(G11:J11)</f>
        <v>1</v>
      </c>
      <c r="L11" s="8">
        <f t="shared" ref="L11:L40" si="2">SUM(F11+K11)</f>
        <v>3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>
        <v>2</v>
      </c>
      <c r="H12" s="25"/>
      <c r="I12" s="25"/>
      <c r="J12" s="25"/>
      <c r="K12" s="18">
        <f t="shared" si="1"/>
        <v>2</v>
      </c>
      <c r="L12" s="8">
        <f t="shared" si="2"/>
        <v>2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>
        <v>3</v>
      </c>
      <c r="H16" s="25"/>
      <c r="I16" s="25"/>
      <c r="J16" s="25"/>
      <c r="K16" s="18">
        <f t="shared" si="1"/>
        <v>3</v>
      </c>
      <c r="L16" s="8">
        <f t="shared" si="2"/>
        <v>3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>
        <v>2</v>
      </c>
      <c r="C18" s="25"/>
      <c r="D18" s="25">
        <v>1</v>
      </c>
      <c r="E18" s="26"/>
      <c r="F18" s="20">
        <f t="shared" si="0"/>
        <v>3</v>
      </c>
      <c r="G18" s="33"/>
      <c r="H18" s="25"/>
      <c r="I18" s="25"/>
      <c r="J18" s="25"/>
      <c r="K18" s="18">
        <f t="shared" si="1"/>
        <v>0</v>
      </c>
      <c r="L18" s="8">
        <f t="shared" si="2"/>
        <v>3</v>
      </c>
    </row>
    <row r="19" spans="1:12" ht="15.75" thickBot="1" x14ac:dyDescent="0.3">
      <c r="A19" s="9">
        <v>10</v>
      </c>
      <c r="B19" s="24">
        <v>1</v>
      </c>
      <c r="C19" s="25"/>
      <c r="D19" s="25"/>
      <c r="E19" s="26"/>
      <c r="F19" s="20">
        <f t="shared" si="0"/>
        <v>1</v>
      </c>
      <c r="G19" s="35"/>
      <c r="H19" s="25"/>
      <c r="I19" s="25"/>
      <c r="J19" s="25"/>
      <c r="K19" s="18">
        <f t="shared" si="1"/>
        <v>0</v>
      </c>
      <c r="L19" s="8">
        <f t="shared" si="2"/>
        <v>1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>
        <v>6</v>
      </c>
      <c r="H21" s="36"/>
      <c r="I21" s="36"/>
      <c r="J21" s="36"/>
      <c r="K21" s="18">
        <f t="shared" si="1"/>
        <v>6</v>
      </c>
      <c r="L21" s="8">
        <f t="shared" si="2"/>
        <v>6</v>
      </c>
    </row>
    <row r="22" spans="1:12" ht="15.75" thickBot="1" x14ac:dyDescent="0.3">
      <c r="A22" s="9">
        <v>13</v>
      </c>
      <c r="B22" s="24">
        <v>1</v>
      </c>
      <c r="C22" s="25"/>
      <c r="D22" s="25"/>
      <c r="E22" s="26"/>
      <c r="F22" s="20">
        <f t="shared" si="0"/>
        <v>1</v>
      </c>
      <c r="G22" s="37">
        <v>3</v>
      </c>
      <c r="H22" s="25"/>
      <c r="I22" s="25"/>
      <c r="J22" s="25"/>
      <c r="K22" s="18">
        <f t="shared" si="1"/>
        <v>3</v>
      </c>
      <c r="L22" s="8">
        <f t="shared" si="2"/>
        <v>4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>
        <v>8</v>
      </c>
      <c r="H23" s="25"/>
      <c r="I23" s="25"/>
      <c r="J23" s="25"/>
      <c r="K23" s="18">
        <f t="shared" si="1"/>
        <v>8</v>
      </c>
      <c r="L23" s="8">
        <f t="shared" si="2"/>
        <v>8</v>
      </c>
    </row>
    <row r="24" spans="1:12" ht="15.75" thickBot="1" x14ac:dyDescent="0.3">
      <c r="A24" s="9">
        <v>15</v>
      </c>
      <c r="B24" s="24">
        <v>3</v>
      </c>
      <c r="C24" s="25"/>
      <c r="D24" s="25"/>
      <c r="E24" s="26"/>
      <c r="F24" s="20">
        <f t="shared" si="0"/>
        <v>3</v>
      </c>
      <c r="G24" s="33"/>
      <c r="H24" s="25"/>
      <c r="I24" s="25"/>
      <c r="J24" s="25"/>
      <c r="K24" s="18">
        <f t="shared" si="1"/>
        <v>0</v>
      </c>
      <c r="L24" s="8">
        <f t="shared" si="2"/>
        <v>3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>
        <v>2</v>
      </c>
      <c r="H25" s="25">
        <v>1</v>
      </c>
      <c r="I25" s="25">
        <v>1</v>
      </c>
      <c r="J25" s="25"/>
      <c r="K25" s="18">
        <f t="shared" si="1"/>
        <v>4</v>
      </c>
      <c r="L25" s="8">
        <f t="shared" si="2"/>
        <v>4</v>
      </c>
    </row>
    <row r="26" spans="1:12" ht="15.75" thickBot="1" x14ac:dyDescent="0.3">
      <c r="A26" s="9">
        <v>17</v>
      </c>
      <c r="B26" s="24"/>
      <c r="C26" s="50">
        <v>1</v>
      </c>
      <c r="D26" s="28"/>
      <c r="E26" s="26"/>
      <c r="F26" s="20">
        <f t="shared" si="0"/>
        <v>1</v>
      </c>
      <c r="G26" s="33">
        <v>4</v>
      </c>
      <c r="H26" s="25">
        <v>1</v>
      </c>
      <c r="I26" s="25"/>
      <c r="J26" s="25"/>
      <c r="K26" s="18">
        <f t="shared" si="1"/>
        <v>5</v>
      </c>
      <c r="L26" s="8">
        <f t="shared" si="2"/>
        <v>6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>
        <v>5</v>
      </c>
      <c r="C29" s="25"/>
      <c r="D29" s="25"/>
      <c r="E29" s="26"/>
      <c r="F29" s="20">
        <f t="shared" si="0"/>
        <v>5</v>
      </c>
      <c r="G29" s="33"/>
      <c r="H29" s="25">
        <v>1</v>
      </c>
      <c r="I29" s="25"/>
      <c r="J29" s="25"/>
      <c r="K29" s="18">
        <f t="shared" si="1"/>
        <v>1</v>
      </c>
      <c r="L29" s="8">
        <f t="shared" si="2"/>
        <v>6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>
        <v>2</v>
      </c>
      <c r="H30" s="25">
        <v>1</v>
      </c>
      <c r="I30" s="25"/>
      <c r="J30" s="25"/>
      <c r="K30" s="18">
        <f t="shared" si="1"/>
        <v>3</v>
      </c>
      <c r="L30" s="8">
        <f t="shared" si="2"/>
        <v>3</v>
      </c>
    </row>
    <row r="31" spans="1:12" ht="15.75" thickBot="1" x14ac:dyDescent="0.3">
      <c r="A31" s="9">
        <v>22</v>
      </c>
      <c r="B31" s="24">
        <v>1</v>
      </c>
      <c r="C31" s="25"/>
      <c r="D31" s="25"/>
      <c r="E31" s="26"/>
      <c r="F31" s="20">
        <f t="shared" si="0"/>
        <v>1</v>
      </c>
      <c r="G31" s="33"/>
      <c r="H31" s="25"/>
      <c r="I31" s="25"/>
      <c r="J31" s="25"/>
      <c r="K31" s="18">
        <f t="shared" si="1"/>
        <v>0</v>
      </c>
      <c r="L31" s="8">
        <f t="shared" si="2"/>
        <v>1</v>
      </c>
    </row>
    <row r="32" spans="1:12" ht="15.75" thickBot="1" x14ac:dyDescent="0.3">
      <c r="A32" s="9">
        <v>23</v>
      </c>
      <c r="B32" s="24">
        <v>2</v>
      </c>
      <c r="C32" s="25"/>
      <c r="D32" s="25"/>
      <c r="E32" s="26"/>
      <c r="F32" s="20">
        <f t="shared" si="0"/>
        <v>2</v>
      </c>
      <c r="G32" s="33">
        <v>1</v>
      </c>
      <c r="H32" s="25"/>
      <c r="I32" s="25">
        <v>1</v>
      </c>
      <c r="J32" s="25"/>
      <c r="K32" s="18">
        <f t="shared" si="1"/>
        <v>2</v>
      </c>
      <c r="L32" s="8">
        <f t="shared" si="2"/>
        <v>4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88">
        <v>1</v>
      </c>
      <c r="C36" s="25"/>
      <c r="D36" s="25"/>
      <c r="E36" s="26"/>
      <c r="F36" s="20">
        <f t="shared" si="0"/>
        <v>1</v>
      </c>
      <c r="G36" s="48">
        <v>3</v>
      </c>
      <c r="H36" s="25">
        <v>1</v>
      </c>
      <c r="I36" s="25"/>
      <c r="J36" s="25"/>
      <c r="K36" s="18">
        <f t="shared" si="1"/>
        <v>4</v>
      </c>
      <c r="L36" s="8">
        <f t="shared" si="2"/>
        <v>5</v>
      </c>
    </row>
    <row r="37" spans="1:12" ht="15.75" thickBot="1" x14ac:dyDescent="0.3">
      <c r="A37" s="9">
        <v>28</v>
      </c>
      <c r="B37" s="24">
        <v>7</v>
      </c>
      <c r="C37" s="25"/>
      <c r="D37" s="25">
        <v>2</v>
      </c>
      <c r="E37" s="26"/>
      <c r="F37" s="20">
        <f t="shared" si="0"/>
        <v>9</v>
      </c>
      <c r="G37" s="33">
        <v>4</v>
      </c>
      <c r="H37" s="25"/>
      <c r="I37" s="25"/>
      <c r="J37" s="25"/>
      <c r="K37" s="18">
        <f t="shared" si="1"/>
        <v>4</v>
      </c>
      <c r="L37" s="8">
        <f t="shared" si="2"/>
        <v>13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>
        <v>2</v>
      </c>
      <c r="H38" s="25"/>
      <c r="I38" s="25"/>
      <c r="J38" s="25"/>
      <c r="K38" s="18">
        <f t="shared" si="1"/>
        <v>2</v>
      </c>
      <c r="L38" s="8">
        <f t="shared" si="2"/>
        <v>2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76"/>
      <c r="B41" s="82">
        <f>SUM(B10:B40)</f>
        <v>29</v>
      </c>
      <c r="C41" s="82">
        <f t="shared" ref="C41:E41" si="3">SUM(C10:C40)</f>
        <v>1</v>
      </c>
      <c r="D41" s="82">
        <f t="shared" si="3"/>
        <v>3</v>
      </c>
      <c r="E41" s="82">
        <f t="shared" si="3"/>
        <v>0</v>
      </c>
      <c r="F41" s="81">
        <f>SUM(F10:F40)</f>
        <v>33</v>
      </c>
      <c r="G41" s="19">
        <f>SUM(G10:G40)</f>
        <v>40</v>
      </c>
      <c r="H41" s="19">
        <f t="shared" ref="H41:L41" si="4">SUM(H10:H40)</f>
        <v>6</v>
      </c>
      <c r="I41" s="19">
        <f t="shared" si="4"/>
        <v>2</v>
      </c>
      <c r="J41" s="19">
        <f t="shared" si="4"/>
        <v>0</v>
      </c>
      <c r="K41" s="19">
        <f t="shared" si="4"/>
        <v>48</v>
      </c>
      <c r="L41" s="19">
        <f t="shared" si="4"/>
        <v>81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12"/>
      <c r="B43" s="112"/>
      <c r="C43" s="112"/>
      <c r="D43" s="112"/>
      <c r="E43" s="112"/>
      <c r="F43" s="112"/>
      <c r="G43" s="113" t="s">
        <v>17</v>
      </c>
      <c r="H43" s="132"/>
      <c r="I43" s="113" t="s">
        <v>18</v>
      </c>
      <c r="J43" s="115"/>
      <c r="K43" s="54"/>
      <c r="L43" s="55"/>
    </row>
    <row r="44" spans="1:12" ht="15.75" thickBot="1" x14ac:dyDescent="0.3">
      <c r="A44" s="16"/>
      <c r="B44" s="99" t="s">
        <v>19</v>
      </c>
      <c r="C44" s="100"/>
      <c r="D44" s="100"/>
      <c r="E44" s="100"/>
      <c r="F44" s="100"/>
      <c r="G44" s="110">
        <v>139</v>
      </c>
      <c r="H44" s="133"/>
      <c r="I44" s="134"/>
      <c r="J44" s="135"/>
      <c r="K44" s="54"/>
      <c r="L44" s="55"/>
    </row>
    <row r="45" spans="1:12" ht="15.75" thickBot="1" x14ac:dyDescent="0.3">
      <c r="A45" s="16"/>
      <c r="B45" s="99" t="s">
        <v>20</v>
      </c>
      <c r="C45" s="100"/>
      <c r="D45" s="100"/>
      <c r="E45" s="100"/>
      <c r="F45" s="100"/>
      <c r="G45" s="103">
        <v>0</v>
      </c>
      <c r="H45" s="136"/>
      <c r="I45" s="103"/>
      <c r="J45" s="102"/>
      <c r="K45" s="54"/>
      <c r="L45" s="55"/>
    </row>
    <row r="46" spans="1:12" ht="15.75" thickBot="1" x14ac:dyDescent="0.3">
      <c r="A46" s="16"/>
      <c r="B46" s="107" t="s">
        <v>21</v>
      </c>
      <c r="C46" s="107"/>
      <c r="D46" s="107"/>
      <c r="E46" s="107"/>
      <c r="F46" s="99"/>
      <c r="G46" s="108">
        <v>2</v>
      </c>
      <c r="H46" s="137"/>
      <c r="I46" s="103"/>
      <c r="J46" s="102"/>
      <c r="K46" s="54"/>
      <c r="L46" s="55"/>
    </row>
    <row r="47" spans="1:12" ht="15.75" thickBot="1" x14ac:dyDescent="0.3">
      <c r="A47" s="16"/>
      <c r="B47" s="99" t="s">
        <v>22</v>
      </c>
      <c r="C47" s="100"/>
      <c r="D47" s="100"/>
      <c r="E47" s="100"/>
      <c r="F47" s="100"/>
      <c r="G47" s="101">
        <f>L41+G46</f>
        <v>83</v>
      </c>
      <c r="H47" s="136"/>
      <c r="I47" s="103"/>
      <c r="J47" s="102"/>
      <c r="K47" s="54"/>
      <c r="L47" s="55"/>
    </row>
    <row r="48" spans="1:12" ht="15.75" thickBot="1" x14ac:dyDescent="0.3">
      <c r="A48" s="5"/>
      <c r="B48" s="99" t="s">
        <v>23</v>
      </c>
      <c r="C48" s="100"/>
      <c r="D48" s="100"/>
      <c r="E48" s="100"/>
      <c r="F48" s="100"/>
      <c r="G48" s="101">
        <f>G44+G45-G47</f>
        <v>56</v>
      </c>
      <c r="H48" s="136"/>
      <c r="I48" s="103"/>
      <c r="J48" s="102"/>
      <c r="K48" s="54"/>
      <c r="L48" s="56"/>
    </row>
    <row r="49" spans="1:12" ht="15.75" thickBot="1" x14ac:dyDescent="0.3">
      <c r="A49" s="5"/>
      <c r="B49" s="99" t="s">
        <v>24</v>
      </c>
      <c r="C49" s="100"/>
      <c r="D49" s="100"/>
      <c r="E49" s="100"/>
      <c r="F49" s="100"/>
      <c r="G49" s="103">
        <v>56</v>
      </c>
      <c r="H49" s="136"/>
      <c r="I49" s="103"/>
      <c r="J49" s="102"/>
      <c r="K49" s="54"/>
      <c r="L49" s="56"/>
    </row>
    <row r="50" spans="1:12" ht="15.75" thickBot="1" x14ac:dyDescent="0.3">
      <c r="A50" s="5"/>
      <c r="B50" s="99" t="s">
        <v>25</v>
      </c>
      <c r="C50" s="100"/>
      <c r="D50" s="100"/>
      <c r="E50" s="100"/>
      <c r="F50" s="100"/>
      <c r="G50" s="104">
        <f>G48-G49</f>
        <v>0</v>
      </c>
      <c r="H50" s="138"/>
      <c r="I50" s="106"/>
      <c r="J50" s="105"/>
      <c r="K50" s="54"/>
      <c r="L50" s="56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28" workbookViewId="0">
      <selection activeCell="L53" sqref="A1:L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8"/>
      <c r="F1" s="39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8"/>
      <c r="F2" s="39"/>
      <c r="G2" s="131" t="s">
        <v>3</v>
      </c>
      <c r="H2" s="131"/>
      <c r="I2" s="131"/>
      <c r="J2" s="131"/>
      <c r="K2" s="131"/>
      <c r="L2" s="131"/>
    </row>
    <row r="3" spans="1:12" x14ac:dyDescent="0.25">
      <c r="A3" s="131" t="s">
        <v>4</v>
      </c>
      <c r="B3" s="131"/>
      <c r="C3" s="131"/>
      <c r="D3" s="131"/>
      <c r="E3" s="38"/>
      <c r="F3" s="39"/>
      <c r="G3" s="131" t="s">
        <v>32</v>
      </c>
      <c r="H3" s="131"/>
      <c r="I3" s="131"/>
      <c r="J3" s="131"/>
      <c r="K3" s="131"/>
      <c r="L3" s="131"/>
    </row>
    <row r="4" spans="1:12" ht="3.75" customHeight="1" x14ac:dyDescent="0.25">
      <c r="A4" s="85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9" t="s">
        <v>5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1:12" ht="15.75" x14ac:dyDescent="0.25">
      <c r="A6" s="120" t="s">
        <v>39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ht="3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22"/>
      <c r="I7" s="122"/>
      <c r="J7" s="14"/>
      <c r="K7" s="40"/>
      <c r="L7" s="4"/>
    </row>
    <row r="8" spans="1:12" x14ac:dyDescent="0.25">
      <c r="A8" s="123" t="s">
        <v>7</v>
      </c>
      <c r="B8" s="125" t="s">
        <v>8</v>
      </c>
      <c r="C8" s="126"/>
      <c r="D8" s="126"/>
      <c r="E8" s="126"/>
      <c r="F8" s="127"/>
      <c r="G8" s="128" t="s">
        <v>9</v>
      </c>
      <c r="H8" s="126"/>
      <c r="I8" s="126"/>
      <c r="J8" s="126"/>
      <c r="K8" s="127"/>
      <c r="L8" s="129" t="s">
        <v>10</v>
      </c>
    </row>
    <row r="9" spans="1:12" ht="15.75" thickBot="1" x14ac:dyDescent="0.3">
      <c r="A9" s="124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30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>
        <v>1</v>
      </c>
      <c r="H10" s="32"/>
      <c r="I10" s="32"/>
      <c r="J10" s="32"/>
      <c r="K10" s="18">
        <f>SUM(G10:J10)</f>
        <v>1</v>
      </c>
      <c r="L10" s="8">
        <f>SUM(F10+K10)</f>
        <v>1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>
        <v>2</v>
      </c>
      <c r="C13" s="25"/>
      <c r="D13" s="25"/>
      <c r="E13" s="26"/>
      <c r="F13" s="20">
        <f t="shared" si="0"/>
        <v>2</v>
      </c>
      <c r="G13" s="34">
        <v>1</v>
      </c>
      <c r="H13" s="25"/>
      <c r="I13" s="25"/>
      <c r="J13" s="25"/>
      <c r="K13" s="18">
        <f t="shared" si="1"/>
        <v>1</v>
      </c>
      <c r="L13" s="8">
        <f t="shared" si="2"/>
        <v>3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>
        <v>1</v>
      </c>
      <c r="C16" s="25"/>
      <c r="D16" s="25"/>
      <c r="E16" s="26"/>
      <c r="F16" s="20">
        <f t="shared" si="0"/>
        <v>1</v>
      </c>
      <c r="G16" s="33"/>
      <c r="H16" s="25"/>
      <c r="I16" s="25"/>
      <c r="J16" s="25"/>
      <c r="K16" s="18">
        <f t="shared" si="1"/>
        <v>0</v>
      </c>
      <c r="L16" s="8">
        <f t="shared" si="2"/>
        <v>1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>
        <v>7</v>
      </c>
      <c r="H17" s="25"/>
      <c r="I17" s="25"/>
      <c r="J17" s="25">
        <v>1</v>
      </c>
      <c r="K17" s="18">
        <f t="shared" si="1"/>
        <v>8</v>
      </c>
      <c r="L17" s="8">
        <f t="shared" si="2"/>
        <v>8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>
        <v>1</v>
      </c>
      <c r="H20" s="25"/>
      <c r="I20" s="25"/>
      <c r="J20" s="25"/>
      <c r="K20" s="18">
        <f t="shared" si="1"/>
        <v>1</v>
      </c>
      <c r="L20" s="8">
        <f t="shared" si="2"/>
        <v>1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>
        <v>4</v>
      </c>
      <c r="H23" s="25"/>
      <c r="I23" s="25"/>
      <c r="J23" s="25"/>
      <c r="K23" s="18">
        <f t="shared" si="1"/>
        <v>4</v>
      </c>
      <c r="L23" s="8">
        <f t="shared" si="2"/>
        <v>4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>
        <v>2</v>
      </c>
      <c r="C27" s="25"/>
      <c r="D27" s="25"/>
      <c r="E27" s="26"/>
      <c r="F27" s="20">
        <f t="shared" si="0"/>
        <v>2</v>
      </c>
      <c r="G27" s="33"/>
      <c r="H27" s="25"/>
      <c r="I27" s="25"/>
      <c r="J27" s="25"/>
      <c r="K27" s="18">
        <f t="shared" si="1"/>
        <v>0</v>
      </c>
      <c r="L27" s="8">
        <f t="shared" si="2"/>
        <v>2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>
        <v>2</v>
      </c>
      <c r="C29" s="25"/>
      <c r="D29" s="25"/>
      <c r="E29" s="26"/>
      <c r="F29" s="20">
        <f t="shared" si="0"/>
        <v>2</v>
      </c>
      <c r="G29" s="33"/>
      <c r="H29" s="25"/>
      <c r="I29" s="25"/>
      <c r="J29" s="25"/>
      <c r="K29" s="18">
        <f t="shared" si="1"/>
        <v>0</v>
      </c>
      <c r="L29" s="8">
        <f t="shared" si="2"/>
        <v>2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>
        <v>4</v>
      </c>
      <c r="H30" s="25"/>
      <c r="I30" s="25"/>
      <c r="J30" s="25"/>
      <c r="K30" s="18">
        <f t="shared" si="1"/>
        <v>4</v>
      </c>
      <c r="L30" s="8">
        <f t="shared" si="2"/>
        <v>4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>
        <v>5</v>
      </c>
      <c r="H31" s="25"/>
      <c r="I31" s="25"/>
      <c r="J31" s="25"/>
      <c r="K31" s="18">
        <f t="shared" si="1"/>
        <v>5</v>
      </c>
      <c r="L31" s="8">
        <f t="shared" si="2"/>
        <v>5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>
        <v>3</v>
      </c>
      <c r="C34" s="25"/>
      <c r="D34" s="25"/>
      <c r="E34" s="26"/>
      <c r="F34" s="20">
        <f t="shared" si="0"/>
        <v>3</v>
      </c>
      <c r="G34" s="33">
        <v>5</v>
      </c>
      <c r="H34" s="25"/>
      <c r="I34" s="25"/>
      <c r="J34" s="25"/>
      <c r="K34" s="18">
        <f t="shared" si="1"/>
        <v>5</v>
      </c>
      <c r="L34" s="8">
        <f t="shared" si="2"/>
        <v>8</v>
      </c>
    </row>
    <row r="35" spans="1:12" ht="15.75" thickBot="1" x14ac:dyDescent="0.3">
      <c r="A35" s="9">
        <v>26</v>
      </c>
      <c r="B35" s="24">
        <v>1</v>
      </c>
      <c r="C35" s="25"/>
      <c r="D35" s="25"/>
      <c r="E35" s="26"/>
      <c r="F35" s="20">
        <f t="shared" si="0"/>
        <v>1</v>
      </c>
      <c r="G35" s="33">
        <v>3</v>
      </c>
      <c r="H35" s="25"/>
      <c r="I35" s="25"/>
      <c r="J35" s="25"/>
      <c r="K35" s="18">
        <f t="shared" si="1"/>
        <v>3</v>
      </c>
      <c r="L35" s="8">
        <f t="shared" si="2"/>
        <v>4</v>
      </c>
    </row>
    <row r="36" spans="1:12" ht="15.75" thickBot="1" x14ac:dyDescent="0.3">
      <c r="A36" s="9">
        <v>27</v>
      </c>
      <c r="B36" s="88">
        <v>5</v>
      </c>
      <c r="C36" s="25"/>
      <c r="D36" s="25"/>
      <c r="E36" s="26"/>
      <c r="F36" s="20">
        <f t="shared" si="0"/>
        <v>5</v>
      </c>
      <c r="G36" s="48">
        <v>2</v>
      </c>
      <c r="H36" s="25"/>
      <c r="I36" s="25"/>
      <c r="J36" s="25"/>
      <c r="K36" s="18">
        <f t="shared" si="1"/>
        <v>2</v>
      </c>
      <c r="L36" s="8">
        <f t="shared" si="2"/>
        <v>7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>
        <v>3</v>
      </c>
      <c r="H37" s="25"/>
      <c r="I37" s="25"/>
      <c r="J37" s="25"/>
      <c r="K37" s="18">
        <f t="shared" si="1"/>
        <v>3</v>
      </c>
      <c r="L37" s="8">
        <f t="shared" si="2"/>
        <v>3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76"/>
      <c r="B41" s="87">
        <f>SUM(B10:B40)</f>
        <v>16</v>
      </c>
      <c r="C41" s="87">
        <f t="shared" ref="C41:E41" si="3">SUM(C10:C40)</f>
        <v>0</v>
      </c>
      <c r="D41" s="87">
        <f t="shared" si="3"/>
        <v>0</v>
      </c>
      <c r="E41" s="87">
        <f t="shared" si="3"/>
        <v>0</v>
      </c>
      <c r="F41" s="86">
        <f>SUM(F10:F40)</f>
        <v>16</v>
      </c>
      <c r="G41" s="19">
        <f>SUM(G10:G40)</f>
        <v>36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1</v>
      </c>
      <c r="K41" s="19">
        <f t="shared" si="4"/>
        <v>37</v>
      </c>
      <c r="L41" s="19">
        <f t="shared" si="4"/>
        <v>53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12"/>
      <c r="B43" s="112"/>
      <c r="C43" s="112"/>
      <c r="D43" s="112"/>
      <c r="E43" s="112"/>
      <c r="F43" s="112"/>
      <c r="G43" s="113" t="s">
        <v>17</v>
      </c>
      <c r="H43" s="132"/>
      <c r="I43" s="113" t="s">
        <v>18</v>
      </c>
      <c r="J43" s="115"/>
      <c r="K43" s="54"/>
      <c r="L43" s="55"/>
    </row>
    <row r="44" spans="1:12" ht="15.75" thickBot="1" x14ac:dyDescent="0.3">
      <c r="A44" s="16"/>
      <c r="B44" s="99" t="s">
        <v>19</v>
      </c>
      <c r="C44" s="100"/>
      <c r="D44" s="100"/>
      <c r="E44" s="100"/>
      <c r="F44" s="100"/>
      <c r="G44" s="110">
        <v>56</v>
      </c>
      <c r="H44" s="133"/>
      <c r="I44" s="134"/>
      <c r="J44" s="135"/>
      <c r="K44" s="54"/>
      <c r="L44" s="55"/>
    </row>
    <row r="45" spans="1:12" ht="15.75" thickBot="1" x14ac:dyDescent="0.3">
      <c r="A45" s="16"/>
      <c r="B45" s="99" t="s">
        <v>20</v>
      </c>
      <c r="C45" s="100"/>
      <c r="D45" s="100"/>
      <c r="E45" s="100"/>
      <c r="F45" s="100"/>
      <c r="G45" s="103">
        <v>203</v>
      </c>
      <c r="H45" s="136"/>
      <c r="I45" s="103"/>
      <c r="J45" s="102"/>
      <c r="K45" s="54"/>
      <c r="L45" s="55"/>
    </row>
    <row r="46" spans="1:12" ht="15.75" thickBot="1" x14ac:dyDescent="0.3">
      <c r="A46" s="16"/>
      <c r="B46" s="107" t="s">
        <v>21</v>
      </c>
      <c r="C46" s="107"/>
      <c r="D46" s="107"/>
      <c r="E46" s="107"/>
      <c r="F46" s="99"/>
      <c r="G46" s="108">
        <v>26</v>
      </c>
      <c r="H46" s="137"/>
      <c r="I46" s="103"/>
      <c r="J46" s="102"/>
      <c r="K46" s="54"/>
      <c r="L46" s="55"/>
    </row>
    <row r="47" spans="1:12" ht="15.75" thickBot="1" x14ac:dyDescent="0.3">
      <c r="A47" s="16"/>
      <c r="B47" s="99" t="s">
        <v>22</v>
      </c>
      <c r="C47" s="100"/>
      <c r="D47" s="100"/>
      <c r="E47" s="100"/>
      <c r="F47" s="100"/>
      <c r="G47" s="101">
        <f>L41+G46</f>
        <v>79</v>
      </c>
      <c r="H47" s="136"/>
      <c r="I47" s="103"/>
      <c r="J47" s="102"/>
      <c r="K47" s="54"/>
      <c r="L47" s="55"/>
    </row>
    <row r="48" spans="1:12" ht="15.75" thickBot="1" x14ac:dyDescent="0.3">
      <c r="A48" s="5"/>
      <c r="B48" s="99" t="s">
        <v>23</v>
      </c>
      <c r="C48" s="100"/>
      <c r="D48" s="100"/>
      <c r="E48" s="100"/>
      <c r="F48" s="100"/>
      <c r="G48" s="101">
        <f>G44+G45-G47</f>
        <v>180</v>
      </c>
      <c r="H48" s="136"/>
      <c r="I48" s="103"/>
      <c r="J48" s="102"/>
      <c r="K48" s="54"/>
      <c r="L48" s="56"/>
    </row>
    <row r="49" spans="1:12" ht="15.75" thickBot="1" x14ac:dyDescent="0.3">
      <c r="A49" s="5"/>
      <c r="B49" s="99" t="s">
        <v>24</v>
      </c>
      <c r="C49" s="100"/>
      <c r="D49" s="100"/>
      <c r="E49" s="100"/>
      <c r="F49" s="100"/>
      <c r="G49" s="103">
        <v>179</v>
      </c>
      <c r="H49" s="136"/>
      <c r="I49" s="103"/>
      <c r="J49" s="102"/>
      <c r="K49" s="54"/>
      <c r="L49" s="56"/>
    </row>
    <row r="50" spans="1:12" ht="15.75" thickBot="1" x14ac:dyDescent="0.3">
      <c r="A50" s="5"/>
      <c r="B50" s="99" t="s">
        <v>25</v>
      </c>
      <c r="C50" s="100"/>
      <c r="D50" s="100"/>
      <c r="E50" s="100"/>
      <c r="F50" s="100"/>
      <c r="G50" s="104">
        <f>G48-G49</f>
        <v>1</v>
      </c>
      <c r="H50" s="138"/>
      <c r="I50" s="106"/>
      <c r="J50" s="105"/>
      <c r="K50" s="54"/>
      <c r="L50" s="56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  <row r="52" spans="1:12" ht="6.75" customHeight="1" x14ac:dyDescent="0.25"/>
    <row r="53" spans="1:12" x14ac:dyDescent="0.25">
      <c r="A53" t="s">
        <v>41</v>
      </c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16" workbookViewId="0">
      <selection activeCell="L51" sqref="A1:L5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8"/>
      <c r="F1" s="39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8"/>
      <c r="F2" s="39"/>
      <c r="G2" s="131" t="s">
        <v>3</v>
      </c>
      <c r="H2" s="131"/>
      <c r="I2" s="131"/>
      <c r="J2" s="131"/>
      <c r="K2" s="131"/>
      <c r="L2" s="131"/>
    </row>
    <row r="3" spans="1:12" x14ac:dyDescent="0.25">
      <c r="A3" s="131" t="s">
        <v>4</v>
      </c>
      <c r="B3" s="131"/>
      <c r="C3" s="131"/>
      <c r="D3" s="131"/>
      <c r="E3" s="38"/>
      <c r="F3" s="39"/>
      <c r="G3" s="131" t="s">
        <v>32</v>
      </c>
      <c r="H3" s="131"/>
      <c r="I3" s="131"/>
      <c r="J3" s="131"/>
      <c r="K3" s="131"/>
      <c r="L3" s="131"/>
    </row>
    <row r="4" spans="1:12" x14ac:dyDescent="0.25">
      <c r="A4" s="89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9" t="s">
        <v>5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1:12" ht="15.75" x14ac:dyDescent="0.25">
      <c r="A6" s="120" t="s">
        <v>40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ht="15.75" thickBot="1" x14ac:dyDescent="0.3">
      <c r="A7" s="3" t="s">
        <v>6</v>
      </c>
      <c r="B7" s="13"/>
      <c r="C7" s="14"/>
      <c r="D7" s="14"/>
      <c r="E7" s="14"/>
      <c r="F7" s="13"/>
      <c r="G7" s="13"/>
      <c r="H7" s="122"/>
      <c r="I7" s="122"/>
      <c r="J7" s="14"/>
      <c r="K7" s="40"/>
      <c r="L7" s="4"/>
    </row>
    <row r="8" spans="1:12" x14ac:dyDescent="0.25">
      <c r="A8" s="123" t="s">
        <v>7</v>
      </c>
      <c r="B8" s="125" t="s">
        <v>8</v>
      </c>
      <c r="C8" s="126"/>
      <c r="D8" s="126"/>
      <c r="E8" s="126"/>
      <c r="F8" s="127"/>
      <c r="G8" s="128" t="s">
        <v>9</v>
      </c>
      <c r="H8" s="126"/>
      <c r="I8" s="126"/>
      <c r="J8" s="126"/>
      <c r="K8" s="127"/>
      <c r="L8" s="129" t="s">
        <v>10</v>
      </c>
    </row>
    <row r="9" spans="1:12" ht="15.75" thickBot="1" x14ac:dyDescent="0.3">
      <c r="A9" s="124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30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>
        <v>1</v>
      </c>
      <c r="H12" s="25"/>
      <c r="I12" s="25"/>
      <c r="J12" s="25"/>
      <c r="K12" s="18">
        <f t="shared" si="1"/>
        <v>1</v>
      </c>
      <c r="L12" s="8">
        <f t="shared" si="2"/>
        <v>1</v>
      </c>
    </row>
    <row r="13" spans="1:12" ht="15.75" thickBot="1" x14ac:dyDescent="0.3">
      <c r="A13" s="9">
        <v>4</v>
      </c>
      <c r="B13" s="24">
        <v>1</v>
      </c>
      <c r="C13" s="25"/>
      <c r="D13" s="25"/>
      <c r="E13" s="26"/>
      <c r="F13" s="20">
        <f t="shared" si="0"/>
        <v>1</v>
      </c>
      <c r="G13" s="34"/>
      <c r="H13" s="25"/>
      <c r="I13" s="25"/>
      <c r="J13" s="25"/>
      <c r="K13" s="18">
        <f t="shared" si="1"/>
        <v>0</v>
      </c>
      <c r="L13" s="8">
        <f t="shared" si="2"/>
        <v>1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>
        <v>2</v>
      </c>
      <c r="H14" s="25"/>
      <c r="I14" s="25">
        <v>1</v>
      </c>
      <c r="J14" s="25"/>
      <c r="K14" s="18">
        <f t="shared" si="1"/>
        <v>3</v>
      </c>
      <c r="L14" s="8">
        <f t="shared" si="2"/>
        <v>3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>
        <v>2</v>
      </c>
      <c r="C17" s="25"/>
      <c r="D17" s="25"/>
      <c r="E17" s="26"/>
      <c r="F17" s="20">
        <f t="shared" si="0"/>
        <v>2</v>
      </c>
      <c r="G17" s="33"/>
      <c r="H17" s="25"/>
      <c r="I17" s="25"/>
      <c r="J17" s="25"/>
      <c r="K17" s="18">
        <f t="shared" si="1"/>
        <v>0</v>
      </c>
      <c r="L17" s="8">
        <f t="shared" si="2"/>
        <v>2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>
        <v>2</v>
      </c>
      <c r="C20" s="25"/>
      <c r="D20" s="25"/>
      <c r="E20" s="26"/>
      <c r="F20" s="20">
        <f t="shared" si="0"/>
        <v>2</v>
      </c>
      <c r="G20" s="33"/>
      <c r="H20" s="25"/>
      <c r="I20" s="25"/>
      <c r="J20" s="25"/>
      <c r="K20" s="18">
        <f t="shared" si="1"/>
        <v>0</v>
      </c>
      <c r="L20" s="8">
        <f t="shared" si="2"/>
        <v>2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>
        <v>9</v>
      </c>
      <c r="H21" s="36">
        <v>1</v>
      </c>
      <c r="I21" s="36"/>
      <c r="J21" s="36"/>
      <c r="K21" s="18">
        <f t="shared" si="1"/>
        <v>10</v>
      </c>
      <c r="L21" s="8">
        <f t="shared" si="2"/>
        <v>10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>
        <v>3</v>
      </c>
      <c r="H24" s="25"/>
      <c r="I24" s="25"/>
      <c r="J24" s="25"/>
      <c r="K24" s="18">
        <f t="shared" si="1"/>
        <v>3</v>
      </c>
      <c r="L24" s="8">
        <f t="shared" si="2"/>
        <v>3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>
        <v>1</v>
      </c>
      <c r="J28" s="25"/>
      <c r="K28" s="18">
        <f t="shared" si="1"/>
        <v>1</v>
      </c>
      <c r="L28" s="8">
        <f t="shared" si="2"/>
        <v>1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>
        <v>1</v>
      </c>
      <c r="E31" s="26"/>
      <c r="F31" s="20">
        <f t="shared" si="0"/>
        <v>1</v>
      </c>
      <c r="G31" s="33">
        <v>1</v>
      </c>
      <c r="H31" s="25"/>
      <c r="I31" s="25">
        <v>1</v>
      </c>
      <c r="J31" s="25"/>
      <c r="K31" s="18">
        <f t="shared" si="1"/>
        <v>2</v>
      </c>
      <c r="L31" s="8">
        <f t="shared" si="2"/>
        <v>3</v>
      </c>
    </row>
    <row r="32" spans="1:12" ht="15.75" thickBot="1" x14ac:dyDescent="0.3">
      <c r="A32" s="9">
        <v>23</v>
      </c>
      <c r="B32" s="24">
        <v>2</v>
      </c>
      <c r="C32" s="25"/>
      <c r="D32" s="25"/>
      <c r="E32" s="26"/>
      <c r="F32" s="20">
        <f t="shared" si="0"/>
        <v>2</v>
      </c>
      <c r="G32" s="33"/>
      <c r="H32" s="25"/>
      <c r="I32" s="25"/>
      <c r="J32" s="25"/>
      <c r="K32" s="18">
        <f t="shared" si="1"/>
        <v>0</v>
      </c>
      <c r="L32" s="8">
        <f t="shared" si="2"/>
        <v>2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>
        <v>1</v>
      </c>
      <c r="J34" s="25"/>
      <c r="K34" s="18">
        <f t="shared" si="1"/>
        <v>1</v>
      </c>
      <c r="L34" s="8">
        <f t="shared" si="2"/>
        <v>1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>
        <v>2</v>
      </c>
      <c r="H35" s="25"/>
      <c r="I35" s="25"/>
      <c r="J35" s="25"/>
      <c r="K35" s="18">
        <f t="shared" si="1"/>
        <v>2</v>
      </c>
      <c r="L35" s="8">
        <f t="shared" si="2"/>
        <v>2</v>
      </c>
    </row>
    <row r="36" spans="1:12" ht="15.75" thickBot="1" x14ac:dyDescent="0.3">
      <c r="A36" s="9">
        <v>27</v>
      </c>
      <c r="B36" s="88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>
        <v>6</v>
      </c>
      <c r="H38" s="25"/>
      <c r="I38" s="25"/>
      <c r="J38" s="25"/>
      <c r="K38" s="18">
        <f t="shared" si="1"/>
        <v>6</v>
      </c>
      <c r="L38" s="8">
        <f t="shared" si="2"/>
        <v>6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>
        <v>2</v>
      </c>
      <c r="H39" s="25"/>
      <c r="I39" s="25"/>
      <c r="J39" s="25"/>
      <c r="K39" s="18">
        <f t="shared" si="1"/>
        <v>2</v>
      </c>
      <c r="L39" s="8">
        <f t="shared" si="2"/>
        <v>2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76"/>
      <c r="B41" s="91">
        <f>SUM(B10:B40)</f>
        <v>7</v>
      </c>
      <c r="C41" s="91">
        <f t="shared" ref="C41:E41" si="3">SUM(C10:C40)</f>
        <v>0</v>
      </c>
      <c r="D41" s="91">
        <f t="shared" si="3"/>
        <v>1</v>
      </c>
      <c r="E41" s="91">
        <f t="shared" si="3"/>
        <v>0</v>
      </c>
      <c r="F41" s="90">
        <f>SUM(F10:F40)</f>
        <v>8</v>
      </c>
      <c r="G41" s="19">
        <f>SUM(G10:G40)</f>
        <v>26</v>
      </c>
      <c r="H41" s="19">
        <f t="shared" ref="H41:L41" si="4">SUM(H10:H40)</f>
        <v>1</v>
      </c>
      <c r="I41" s="19">
        <f t="shared" si="4"/>
        <v>4</v>
      </c>
      <c r="J41" s="19">
        <f t="shared" si="4"/>
        <v>0</v>
      </c>
      <c r="K41" s="19">
        <f t="shared" si="4"/>
        <v>31</v>
      </c>
      <c r="L41" s="19">
        <f t="shared" si="4"/>
        <v>39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12"/>
      <c r="B43" s="112"/>
      <c r="C43" s="112"/>
      <c r="D43" s="112"/>
      <c r="E43" s="112"/>
      <c r="F43" s="112"/>
      <c r="G43" s="113" t="s">
        <v>17</v>
      </c>
      <c r="H43" s="132"/>
      <c r="I43" s="113" t="s">
        <v>18</v>
      </c>
      <c r="J43" s="115"/>
      <c r="K43" s="54"/>
      <c r="L43" s="55"/>
    </row>
    <row r="44" spans="1:12" ht="15.75" thickBot="1" x14ac:dyDescent="0.3">
      <c r="A44" s="16"/>
      <c r="B44" s="99" t="s">
        <v>19</v>
      </c>
      <c r="C44" s="100"/>
      <c r="D44" s="100"/>
      <c r="E44" s="100"/>
      <c r="F44" s="100"/>
      <c r="G44" s="110">
        <v>179</v>
      </c>
      <c r="H44" s="133"/>
      <c r="I44" s="134"/>
      <c r="J44" s="135"/>
      <c r="K44" s="54"/>
      <c r="L44" s="55"/>
    </row>
    <row r="45" spans="1:12" ht="15.75" thickBot="1" x14ac:dyDescent="0.3">
      <c r="A45" s="16"/>
      <c r="B45" s="99" t="s">
        <v>20</v>
      </c>
      <c r="C45" s="100"/>
      <c r="D45" s="100"/>
      <c r="E45" s="100"/>
      <c r="F45" s="100"/>
      <c r="G45" s="103">
        <v>0</v>
      </c>
      <c r="H45" s="136"/>
      <c r="I45" s="103"/>
      <c r="J45" s="102"/>
      <c r="K45" s="54"/>
      <c r="L45" s="55"/>
    </row>
    <row r="46" spans="1:12" ht="15.75" thickBot="1" x14ac:dyDescent="0.3">
      <c r="A46" s="16"/>
      <c r="B46" s="107" t="s">
        <v>21</v>
      </c>
      <c r="C46" s="107"/>
      <c r="D46" s="107"/>
      <c r="E46" s="107"/>
      <c r="F46" s="99"/>
      <c r="G46" s="108">
        <v>2</v>
      </c>
      <c r="H46" s="137"/>
      <c r="I46" s="103"/>
      <c r="J46" s="102"/>
      <c r="K46" s="54"/>
      <c r="L46" s="55"/>
    </row>
    <row r="47" spans="1:12" ht="15.75" thickBot="1" x14ac:dyDescent="0.3">
      <c r="A47" s="16"/>
      <c r="B47" s="99" t="s">
        <v>22</v>
      </c>
      <c r="C47" s="100"/>
      <c r="D47" s="100"/>
      <c r="E47" s="100"/>
      <c r="F47" s="100"/>
      <c r="G47" s="101">
        <f>L41+G46</f>
        <v>41</v>
      </c>
      <c r="H47" s="136"/>
      <c r="I47" s="103"/>
      <c r="J47" s="102"/>
      <c r="K47" s="54"/>
      <c r="L47" s="55"/>
    </row>
    <row r="48" spans="1:12" ht="15.75" thickBot="1" x14ac:dyDescent="0.3">
      <c r="A48" s="5"/>
      <c r="B48" s="99" t="s">
        <v>23</v>
      </c>
      <c r="C48" s="100"/>
      <c r="D48" s="100"/>
      <c r="E48" s="100"/>
      <c r="F48" s="100"/>
      <c r="G48" s="101">
        <f>G44+G45-G47</f>
        <v>138</v>
      </c>
      <c r="H48" s="136"/>
      <c r="I48" s="103"/>
      <c r="J48" s="102"/>
      <c r="K48" s="54"/>
      <c r="L48" s="56"/>
    </row>
    <row r="49" spans="1:12" ht="15.75" thickBot="1" x14ac:dyDescent="0.3">
      <c r="A49" s="5"/>
      <c r="B49" s="99" t="s">
        <v>24</v>
      </c>
      <c r="C49" s="100"/>
      <c r="D49" s="100"/>
      <c r="E49" s="100"/>
      <c r="F49" s="100"/>
      <c r="G49" s="103">
        <v>138</v>
      </c>
      <c r="H49" s="136"/>
      <c r="I49" s="103"/>
      <c r="J49" s="102"/>
      <c r="K49" s="54"/>
      <c r="L49" s="56"/>
    </row>
    <row r="50" spans="1:12" ht="15.75" thickBot="1" x14ac:dyDescent="0.3">
      <c r="A50" s="5"/>
      <c r="B50" s="99" t="s">
        <v>25</v>
      </c>
      <c r="C50" s="100"/>
      <c r="D50" s="100"/>
      <c r="E50" s="100"/>
      <c r="F50" s="100"/>
      <c r="G50" s="104">
        <f>G48-G49</f>
        <v>0</v>
      </c>
      <c r="H50" s="138"/>
      <c r="I50" s="106"/>
      <c r="J50" s="105"/>
      <c r="K50" s="54"/>
      <c r="L50" s="56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5" workbookViewId="0">
      <selection activeCell="L51" sqref="A1:L5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8"/>
      <c r="F1" s="39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8"/>
      <c r="F2" s="39"/>
      <c r="G2" s="131" t="s">
        <v>3</v>
      </c>
      <c r="H2" s="131"/>
      <c r="I2" s="131"/>
      <c r="J2" s="131"/>
      <c r="K2" s="131"/>
      <c r="L2" s="131"/>
    </row>
    <row r="3" spans="1:12" x14ac:dyDescent="0.25">
      <c r="A3" s="131" t="s">
        <v>4</v>
      </c>
      <c r="B3" s="131"/>
      <c r="C3" s="131"/>
      <c r="D3" s="131"/>
      <c r="E3" s="38"/>
      <c r="F3" s="39"/>
      <c r="G3" s="131" t="s">
        <v>32</v>
      </c>
      <c r="H3" s="131"/>
      <c r="I3" s="131"/>
      <c r="J3" s="131"/>
      <c r="K3" s="131"/>
      <c r="L3" s="131"/>
    </row>
    <row r="4" spans="1:12" hidden="1" x14ac:dyDescent="0.25">
      <c r="A4" s="92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9" t="s">
        <v>5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1:12" ht="15.75" x14ac:dyDescent="0.25">
      <c r="A6" s="120" t="s">
        <v>42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ht="3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22"/>
      <c r="I7" s="122"/>
      <c r="J7" s="14"/>
      <c r="K7" s="40"/>
      <c r="L7" s="4"/>
    </row>
    <row r="8" spans="1:12" x14ac:dyDescent="0.25">
      <c r="A8" s="123" t="s">
        <v>7</v>
      </c>
      <c r="B8" s="125" t="s">
        <v>8</v>
      </c>
      <c r="C8" s="126"/>
      <c r="D8" s="126"/>
      <c r="E8" s="126"/>
      <c r="F8" s="127"/>
      <c r="G8" s="128" t="s">
        <v>9</v>
      </c>
      <c r="H8" s="126"/>
      <c r="I8" s="126"/>
      <c r="J8" s="126"/>
      <c r="K8" s="127"/>
      <c r="L8" s="129" t="s">
        <v>10</v>
      </c>
    </row>
    <row r="9" spans="1:12" ht="15.75" thickBot="1" x14ac:dyDescent="0.3">
      <c r="A9" s="124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30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>
        <v>2</v>
      </c>
      <c r="C12" s="25"/>
      <c r="D12" s="25"/>
      <c r="E12" s="27"/>
      <c r="F12" s="20">
        <f t="shared" si="0"/>
        <v>2</v>
      </c>
      <c r="G12" s="33"/>
      <c r="H12" s="25"/>
      <c r="I12" s="25"/>
      <c r="J12" s="25"/>
      <c r="K12" s="18">
        <f t="shared" si="1"/>
        <v>0</v>
      </c>
      <c r="L12" s="8">
        <f t="shared" si="2"/>
        <v>2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>
        <v>5</v>
      </c>
      <c r="C15" s="25"/>
      <c r="D15" s="25"/>
      <c r="E15" s="26">
        <v>1</v>
      </c>
      <c r="F15" s="20">
        <f t="shared" si="0"/>
        <v>6</v>
      </c>
      <c r="G15" s="33"/>
      <c r="H15" s="25"/>
      <c r="I15" s="25"/>
      <c r="J15" s="25"/>
      <c r="K15" s="18">
        <f t="shared" si="1"/>
        <v>0</v>
      </c>
      <c r="L15" s="8">
        <f t="shared" si="2"/>
        <v>6</v>
      </c>
    </row>
    <row r="16" spans="1:12" ht="15.75" thickBot="1" x14ac:dyDescent="0.3">
      <c r="A16" s="9">
        <v>7</v>
      </c>
      <c r="B16" s="24">
        <v>5</v>
      </c>
      <c r="C16" s="25"/>
      <c r="D16" s="25"/>
      <c r="E16" s="26"/>
      <c r="F16" s="20">
        <f t="shared" si="0"/>
        <v>5</v>
      </c>
      <c r="G16" s="33"/>
      <c r="H16" s="25">
        <v>1</v>
      </c>
      <c r="I16" s="25"/>
      <c r="J16" s="25">
        <v>1</v>
      </c>
      <c r="K16" s="18">
        <f t="shared" si="1"/>
        <v>2</v>
      </c>
      <c r="L16" s="8">
        <f t="shared" si="2"/>
        <v>7</v>
      </c>
    </row>
    <row r="17" spans="1:12" ht="15.75" thickBot="1" x14ac:dyDescent="0.3">
      <c r="A17" s="9">
        <v>8</v>
      </c>
      <c r="B17" s="24">
        <v>4</v>
      </c>
      <c r="C17" s="25"/>
      <c r="D17" s="25"/>
      <c r="E17" s="26"/>
      <c r="F17" s="20">
        <f t="shared" si="0"/>
        <v>4</v>
      </c>
      <c r="G17" s="33"/>
      <c r="H17" s="25"/>
      <c r="I17" s="25"/>
      <c r="J17" s="25"/>
      <c r="K17" s="18">
        <f t="shared" si="1"/>
        <v>0</v>
      </c>
      <c r="L17" s="8">
        <f t="shared" si="2"/>
        <v>4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>
        <v>10</v>
      </c>
      <c r="H19" s="25"/>
      <c r="I19" s="25"/>
      <c r="J19" s="25"/>
      <c r="K19" s="18">
        <f t="shared" si="1"/>
        <v>10</v>
      </c>
      <c r="L19" s="8">
        <f t="shared" si="2"/>
        <v>10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>
        <v>1</v>
      </c>
      <c r="C23" s="25"/>
      <c r="D23" s="25"/>
      <c r="E23" s="26"/>
      <c r="F23" s="20">
        <f t="shared" si="0"/>
        <v>1</v>
      </c>
      <c r="G23" s="37">
        <v>2</v>
      </c>
      <c r="H23" s="25"/>
      <c r="I23" s="25"/>
      <c r="J23" s="25"/>
      <c r="K23" s="18">
        <f t="shared" si="1"/>
        <v>2</v>
      </c>
      <c r="L23" s="8">
        <f t="shared" si="2"/>
        <v>3</v>
      </c>
    </row>
    <row r="24" spans="1:12" ht="15.75" thickBot="1" x14ac:dyDescent="0.3">
      <c r="A24" s="9">
        <v>15</v>
      </c>
      <c r="B24" s="24">
        <v>1</v>
      </c>
      <c r="C24" s="25"/>
      <c r="D24" s="25"/>
      <c r="E24" s="26"/>
      <c r="F24" s="20">
        <f t="shared" si="0"/>
        <v>1</v>
      </c>
      <c r="G24" s="33">
        <v>7</v>
      </c>
      <c r="H24" s="25"/>
      <c r="I24" s="25"/>
      <c r="J24" s="25"/>
      <c r="K24" s="18">
        <f t="shared" si="1"/>
        <v>7</v>
      </c>
      <c r="L24" s="8">
        <f t="shared" si="2"/>
        <v>8</v>
      </c>
    </row>
    <row r="25" spans="1:12" ht="15.75" thickBot="1" x14ac:dyDescent="0.3">
      <c r="A25" s="9">
        <v>16</v>
      </c>
      <c r="B25" s="24">
        <v>1</v>
      </c>
      <c r="C25" s="25">
        <v>1</v>
      </c>
      <c r="D25" s="25"/>
      <c r="E25" s="26"/>
      <c r="F25" s="20">
        <f t="shared" si="0"/>
        <v>2</v>
      </c>
      <c r="G25" s="33">
        <v>2</v>
      </c>
      <c r="H25" s="25"/>
      <c r="I25" s="25"/>
      <c r="J25" s="25"/>
      <c r="K25" s="18">
        <f t="shared" si="1"/>
        <v>2</v>
      </c>
      <c r="L25" s="8">
        <f t="shared" si="2"/>
        <v>4</v>
      </c>
    </row>
    <row r="26" spans="1:12" ht="15.75" thickBot="1" x14ac:dyDescent="0.3">
      <c r="A26" s="9">
        <v>17</v>
      </c>
      <c r="B26" s="24"/>
      <c r="C26" s="98">
        <v>1</v>
      </c>
      <c r="D26" s="28"/>
      <c r="E26" s="26"/>
      <c r="F26" s="20">
        <f t="shared" si="0"/>
        <v>1</v>
      </c>
      <c r="G26" s="33">
        <v>3</v>
      </c>
      <c r="H26" s="25"/>
      <c r="I26" s="25"/>
      <c r="J26" s="25"/>
      <c r="K26" s="18">
        <f t="shared" si="1"/>
        <v>3</v>
      </c>
      <c r="L26" s="8">
        <f t="shared" si="2"/>
        <v>4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>
        <v>1</v>
      </c>
      <c r="I29" s="25"/>
      <c r="J29" s="25"/>
      <c r="K29" s="18">
        <f t="shared" si="1"/>
        <v>1</v>
      </c>
      <c r="L29" s="8">
        <f t="shared" si="2"/>
        <v>1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>
        <v>6</v>
      </c>
      <c r="H30" s="25"/>
      <c r="I30" s="25"/>
      <c r="J30" s="25"/>
      <c r="K30" s="18">
        <f t="shared" si="1"/>
        <v>6</v>
      </c>
      <c r="L30" s="8">
        <f t="shared" si="2"/>
        <v>6</v>
      </c>
    </row>
    <row r="31" spans="1:12" ht="15.75" thickBot="1" x14ac:dyDescent="0.3">
      <c r="A31" s="9">
        <v>22</v>
      </c>
      <c r="B31" s="24">
        <v>4</v>
      </c>
      <c r="C31" s="25"/>
      <c r="D31" s="25"/>
      <c r="E31" s="26"/>
      <c r="F31" s="20">
        <f t="shared" si="0"/>
        <v>4</v>
      </c>
      <c r="G31" s="33"/>
      <c r="H31" s="25"/>
      <c r="I31" s="25"/>
      <c r="J31" s="25"/>
      <c r="K31" s="18">
        <f t="shared" si="1"/>
        <v>0</v>
      </c>
      <c r="L31" s="8">
        <f t="shared" si="2"/>
        <v>4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>
        <v>11</v>
      </c>
      <c r="H32" s="25">
        <v>1</v>
      </c>
      <c r="I32" s="25"/>
      <c r="J32" s="25"/>
      <c r="K32" s="18">
        <f t="shared" si="1"/>
        <v>12</v>
      </c>
      <c r="L32" s="8">
        <f t="shared" si="2"/>
        <v>12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88"/>
      <c r="C36" s="25"/>
      <c r="D36" s="25"/>
      <c r="E36" s="26"/>
      <c r="F36" s="20">
        <f t="shared" si="0"/>
        <v>0</v>
      </c>
      <c r="G36" s="48">
        <v>7</v>
      </c>
      <c r="H36" s="25">
        <v>1</v>
      </c>
      <c r="I36" s="25"/>
      <c r="J36" s="25"/>
      <c r="K36" s="18">
        <f t="shared" si="1"/>
        <v>8</v>
      </c>
      <c r="L36" s="8">
        <f t="shared" si="2"/>
        <v>8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>
        <v>3</v>
      </c>
      <c r="H37" s="25"/>
      <c r="I37" s="25"/>
      <c r="J37" s="25"/>
      <c r="K37" s="18">
        <f t="shared" si="1"/>
        <v>3</v>
      </c>
      <c r="L37" s="8">
        <f t="shared" si="2"/>
        <v>3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>
        <v>2</v>
      </c>
      <c r="H38" s="25">
        <v>1</v>
      </c>
      <c r="I38" s="25">
        <v>1</v>
      </c>
      <c r="J38" s="25"/>
      <c r="K38" s="18">
        <f t="shared" si="1"/>
        <v>4</v>
      </c>
      <c r="L38" s="8">
        <f t="shared" si="2"/>
        <v>4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>
        <v>6</v>
      </c>
      <c r="H39" s="25">
        <v>1</v>
      </c>
      <c r="I39" s="25"/>
      <c r="J39" s="25"/>
      <c r="K39" s="18">
        <f t="shared" si="1"/>
        <v>7</v>
      </c>
      <c r="L39" s="8">
        <f t="shared" si="2"/>
        <v>7</v>
      </c>
    </row>
    <row r="40" spans="1:12" ht="15.75" thickBot="1" x14ac:dyDescent="0.3">
      <c r="A40" s="10">
        <v>31</v>
      </c>
      <c r="B40" s="29">
        <v>5</v>
      </c>
      <c r="C40" s="30"/>
      <c r="D40" s="30"/>
      <c r="E40" s="31"/>
      <c r="F40" s="20">
        <f t="shared" si="0"/>
        <v>5</v>
      </c>
      <c r="G40" s="33">
        <v>4</v>
      </c>
      <c r="H40" s="25"/>
      <c r="I40" s="25"/>
      <c r="J40" s="25"/>
      <c r="K40" s="18">
        <f t="shared" si="1"/>
        <v>4</v>
      </c>
      <c r="L40" s="8">
        <f t="shared" si="2"/>
        <v>9</v>
      </c>
    </row>
    <row r="41" spans="1:12" ht="15.75" thickBot="1" x14ac:dyDescent="0.3">
      <c r="A41" s="76"/>
      <c r="B41" s="94">
        <f>SUM(B10:B40)</f>
        <v>28</v>
      </c>
      <c r="C41" s="94">
        <f t="shared" ref="C41:E41" si="3">SUM(C10:C40)</f>
        <v>2</v>
      </c>
      <c r="D41" s="94">
        <f t="shared" si="3"/>
        <v>0</v>
      </c>
      <c r="E41" s="94">
        <f t="shared" si="3"/>
        <v>1</v>
      </c>
      <c r="F41" s="93">
        <f>SUM(F10:F40)</f>
        <v>31</v>
      </c>
      <c r="G41" s="19">
        <f>SUM(G10:G40)</f>
        <v>63</v>
      </c>
      <c r="H41" s="19">
        <f t="shared" ref="H41:L41" si="4">SUM(H10:H40)</f>
        <v>6</v>
      </c>
      <c r="I41" s="19">
        <f t="shared" si="4"/>
        <v>1</v>
      </c>
      <c r="J41" s="19">
        <f t="shared" si="4"/>
        <v>1</v>
      </c>
      <c r="K41" s="19">
        <f t="shared" si="4"/>
        <v>71</v>
      </c>
      <c r="L41" s="19">
        <f t="shared" si="4"/>
        <v>102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12"/>
      <c r="B43" s="112"/>
      <c r="C43" s="112"/>
      <c r="D43" s="112"/>
      <c r="E43" s="112"/>
      <c r="F43" s="112"/>
      <c r="G43" s="113" t="s">
        <v>17</v>
      </c>
      <c r="H43" s="132"/>
      <c r="I43" s="113" t="s">
        <v>18</v>
      </c>
      <c r="J43" s="115"/>
      <c r="K43" s="54"/>
      <c r="L43" s="55"/>
    </row>
    <row r="44" spans="1:12" ht="15.75" thickBot="1" x14ac:dyDescent="0.3">
      <c r="A44" s="16"/>
      <c r="B44" s="99" t="s">
        <v>19</v>
      </c>
      <c r="C44" s="100"/>
      <c r="D44" s="100"/>
      <c r="E44" s="100"/>
      <c r="F44" s="100"/>
      <c r="G44" s="110">
        <v>138</v>
      </c>
      <c r="H44" s="133"/>
      <c r="I44" s="134"/>
      <c r="J44" s="135"/>
      <c r="K44" s="54"/>
      <c r="L44" s="55"/>
    </row>
    <row r="45" spans="1:12" ht="15.75" thickBot="1" x14ac:dyDescent="0.3">
      <c r="A45" s="16"/>
      <c r="B45" s="99" t="s">
        <v>20</v>
      </c>
      <c r="C45" s="100"/>
      <c r="D45" s="100"/>
      <c r="E45" s="100"/>
      <c r="F45" s="100"/>
      <c r="G45" s="103">
        <v>120</v>
      </c>
      <c r="H45" s="136"/>
      <c r="I45" s="103"/>
      <c r="J45" s="102"/>
      <c r="K45" s="54"/>
      <c r="L45" s="55"/>
    </row>
    <row r="46" spans="1:12" ht="15.75" thickBot="1" x14ac:dyDescent="0.3">
      <c r="A46" s="16"/>
      <c r="B46" s="107" t="s">
        <v>21</v>
      </c>
      <c r="C46" s="107"/>
      <c r="D46" s="107"/>
      <c r="E46" s="107"/>
      <c r="F46" s="99"/>
      <c r="G46" s="108">
        <v>97</v>
      </c>
      <c r="H46" s="137"/>
      <c r="I46" s="103"/>
      <c r="J46" s="102"/>
      <c r="K46" s="54"/>
      <c r="L46" s="55"/>
    </row>
    <row r="47" spans="1:12" ht="15.75" thickBot="1" x14ac:dyDescent="0.3">
      <c r="A47" s="16"/>
      <c r="B47" s="99" t="s">
        <v>22</v>
      </c>
      <c r="C47" s="100"/>
      <c r="D47" s="100"/>
      <c r="E47" s="100"/>
      <c r="F47" s="100"/>
      <c r="G47" s="101">
        <f>L41+G46</f>
        <v>199</v>
      </c>
      <c r="H47" s="136"/>
      <c r="I47" s="103"/>
      <c r="J47" s="102"/>
      <c r="K47" s="54"/>
      <c r="L47" s="55"/>
    </row>
    <row r="48" spans="1:12" ht="15.75" thickBot="1" x14ac:dyDescent="0.3">
      <c r="A48" s="5"/>
      <c r="B48" s="99" t="s">
        <v>23</v>
      </c>
      <c r="C48" s="100"/>
      <c r="D48" s="100"/>
      <c r="E48" s="100"/>
      <c r="F48" s="100"/>
      <c r="G48" s="101">
        <f>G44+G45-G47</f>
        <v>59</v>
      </c>
      <c r="H48" s="136"/>
      <c r="I48" s="103"/>
      <c r="J48" s="102"/>
      <c r="K48" s="54"/>
      <c r="L48" s="56"/>
    </row>
    <row r="49" spans="1:12" ht="15.75" thickBot="1" x14ac:dyDescent="0.3">
      <c r="A49" s="5"/>
      <c r="B49" s="99" t="s">
        <v>24</v>
      </c>
      <c r="C49" s="100"/>
      <c r="D49" s="100"/>
      <c r="E49" s="100"/>
      <c r="F49" s="100"/>
      <c r="G49" s="103">
        <v>59</v>
      </c>
      <c r="H49" s="136"/>
      <c r="I49" s="103"/>
      <c r="J49" s="102"/>
      <c r="K49" s="54"/>
      <c r="L49" s="56"/>
    </row>
    <row r="50" spans="1:12" ht="15.75" thickBot="1" x14ac:dyDescent="0.3">
      <c r="A50" s="5"/>
      <c r="B50" s="99" t="s">
        <v>25</v>
      </c>
      <c r="C50" s="100"/>
      <c r="D50" s="100"/>
      <c r="E50" s="100"/>
      <c r="F50" s="100"/>
      <c r="G50" s="104">
        <f>G48-G49</f>
        <v>0</v>
      </c>
      <c r="H50" s="138"/>
      <c r="I50" s="106"/>
      <c r="J50" s="105"/>
      <c r="K50" s="54"/>
      <c r="L50" s="56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27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9" t="s">
        <v>0</v>
      </c>
      <c r="B1" s="119"/>
      <c r="C1" s="119"/>
      <c r="D1" s="119"/>
      <c r="E1" s="38"/>
      <c r="F1" s="39"/>
      <c r="G1" s="120" t="s">
        <v>1</v>
      </c>
      <c r="H1" s="120"/>
      <c r="I1" s="120"/>
      <c r="J1" s="120"/>
      <c r="K1" s="120"/>
      <c r="L1" s="120"/>
    </row>
    <row r="2" spans="1:12" ht="15.75" x14ac:dyDescent="0.25">
      <c r="A2" s="120" t="s">
        <v>2</v>
      </c>
      <c r="B2" s="120"/>
      <c r="C2" s="120"/>
      <c r="D2" s="120"/>
      <c r="E2" s="38"/>
      <c r="F2" s="39"/>
      <c r="G2" s="131" t="s">
        <v>3</v>
      </c>
      <c r="H2" s="131"/>
      <c r="I2" s="131"/>
      <c r="J2" s="131"/>
      <c r="K2" s="131"/>
      <c r="L2" s="131"/>
    </row>
    <row r="3" spans="1:12" x14ac:dyDescent="0.25">
      <c r="A3" s="131" t="s">
        <v>4</v>
      </c>
      <c r="B3" s="131"/>
      <c r="C3" s="131"/>
      <c r="D3" s="131"/>
      <c r="E3" s="38"/>
      <c r="F3" s="39"/>
      <c r="G3" s="131" t="s">
        <v>32</v>
      </c>
      <c r="H3" s="131"/>
      <c r="I3" s="131"/>
      <c r="J3" s="131"/>
      <c r="K3" s="131"/>
      <c r="L3" s="131"/>
    </row>
    <row r="4" spans="1:12" x14ac:dyDescent="0.25">
      <c r="A4" s="97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119" t="s">
        <v>5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</row>
    <row r="6" spans="1:12" ht="15.75" x14ac:dyDescent="0.25">
      <c r="A6" s="120" t="s">
        <v>42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12" ht="15.75" thickBot="1" x14ac:dyDescent="0.3">
      <c r="A7" s="3" t="s">
        <v>6</v>
      </c>
      <c r="B7" s="13"/>
      <c r="C7" s="14"/>
      <c r="D7" s="14"/>
      <c r="E7" s="14"/>
      <c r="F7" s="13"/>
      <c r="G7" s="13"/>
      <c r="H7" s="122"/>
      <c r="I7" s="122"/>
      <c r="J7" s="14"/>
      <c r="K7" s="40"/>
      <c r="L7" s="4"/>
    </row>
    <row r="8" spans="1:12" x14ac:dyDescent="0.25">
      <c r="A8" s="123" t="s">
        <v>7</v>
      </c>
      <c r="B8" s="125" t="s">
        <v>8</v>
      </c>
      <c r="C8" s="126"/>
      <c r="D8" s="126"/>
      <c r="E8" s="126"/>
      <c r="F8" s="127"/>
      <c r="G8" s="128" t="s">
        <v>9</v>
      </c>
      <c r="H8" s="126"/>
      <c r="I8" s="126"/>
      <c r="J8" s="126"/>
      <c r="K8" s="127"/>
      <c r="L8" s="129" t="s">
        <v>10</v>
      </c>
    </row>
    <row r="9" spans="1:12" ht="15.75" thickBot="1" x14ac:dyDescent="0.3">
      <c r="A9" s="124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30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98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88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76"/>
      <c r="B41" s="96">
        <f>SUM(B10:B40)</f>
        <v>0</v>
      </c>
      <c r="C41" s="96">
        <f t="shared" ref="C41:E41" si="3">SUM(C10:C40)</f>
        <v>0</v>
      </c>
      <c r="D41" s="96">
        <f t="shared" si="3"/>
        <v>0</v>
      </c>
      <c r="E41" s="96">
        <f t="shared" si="3"/>
        <v>0</v>
      </c>
      <c r="F41" s="95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15.75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112"/>
      <c r="B43" s="112"/>
      <c r="C43" s="112"/>
      <c r="D43" s="112"/>
      <c r="E43" s="112"/>
      <c r="F43" s="112"/>
      <c r="G43" s="113" t="s">
        <v>17</v>
      </c>
      <c r="H43" s="132"/>
      <c r="I43" s="113" t="s">
        <v>18</v>
      </c>
      <c r="J43" s="115"/>
      <c r="K43" s="54"/>
      <c r="L43" s="55"/>
    </row>
    <row r="44" spans="1:12" ht="15.75" thickBot="1" x14ac:dyDescent="0.3">
      <c r="A44" s="16"/>
      <c r="B44" s="99" t="s">
        <v>19</v>
      </c>
      <c r="C44" s="100"/>
      <c r="D44" s="100"/>
      <c r="E44" s="100"/>
      <c r="F44" s="100"/>
      <c r="G44" s="110"/>
      <c r="H44" s="133"/>
      <c r="I44" s="134"/>
      <c r="J44" s="135"/>
      <c r="K44" s="54"/>
      <c r="L44" s="55"/>
    </row>
    <row r="45" spans="1:12" ht="15.75" thickBot="1" x14ac:dyDescent="0.3">
      <c r="A45" s="16"/>
      <c r="B45" s="99" t="s">
        <v>20</v>
      </c>
      <c r="C45" s="100"/>
      <c r="D45" s="100"/>
      <c r="E45" s="100"/>
      <c r="F45" s="100"/>
      <c r="G45" s="103"/>
      <c r="H45" s="136"/>
      <c r="I45" s="103"/>
      <c r="J45" s="102"/>
      <c r="K45" s="54"/>
      <c r="L45" s="55"/>
    </row>
    <row r="46" spans="1:12" ht="15.75" thickBot="1" x14ac:dyDescent="0.3">
      <c r="A46" s="16"/>
      <c r="B46" s="107" t="s">
        <v>21</v>
      </c>
      <c r="C46" s="107"/>
      <c r="D46" s="107"/>
      <c r="E46" s="107"/>
      <c r="F46" s="99"/>
      <c r="G46" s="108"/>
      <c r="H46" s="137"/>
      <c r="I46" s="103"/>
      <c r="J46" s="102"/>
      <c r="K46" s="54"/>
      <c r="L46" s="55"/>
    </row>
    <row r="47" spans="1:12" ht="15.75" thickBot="1" x14ac:dyDescent="0.3">
      <c r="A47" s="16"/>
      <c r="B47" s="99" t="s">
        <v>22</v>
      </c>
      <c r="C47" s="100"/>
      <c r="D47" s="100"/>
      <c r="E47" s="100"/>
      <c r="F47" s="100"/>
      <c r="G47" s="101">
        <f>L41+G46</f>
        <v>0</v>
      </c>
      <c r="H47" s="136"/>
      <c r="I47" s="103"/>
      <c r="J47" s="102"/>
      <c r="K47" s="54"/>
      <c r="L47" s="55"/>
    </row>
    <row r="48" spans="1:12" ht="15.75" thickBot="1" x14ac:dyDescent="0.3">
      <c r="A48" s="5"/>
      <c r="B48" s="99" t="s">
        <v>23</v>
      </c>
      <c r="C48" s="100"/>
      <c r="D48" s="100"/>
      <c r="E48" s="100"/>
      <c r="F48" s="100"/>
      <c r="G48" s="101">
        <f>G44+G45-G47</f>
        <v>0</v>
      </c>
      <c r="H48" s="136"/>
      <c r="I48" s="103"/>
      <c r="J48" s="102"/>
      <c r="K48" s="54"/>
      <c r="L48" s="56"/>
    </row>
    <row r="49" spans="1:12" ht="15.75" thickBot="1" x14ac:dyDescent="0.3">
      <c r="A49" s="5"/>
      <c r="B49" s="99" t="s">
        <v>24</v>
      </c>
      <c r="C49" s="100"/>
      <c r="D49" s="100"/>
      <c r="E49" s="100"/>
      <c r="F49" s="100"/>
      <c r="G49" s="103"/>
      <c r="H49" s="136"/>
      <c r="I49" s="103"/>
      <c r="J49" s="102"/>
      <c r="K49" s="54"/>
      <c r="L49" s="56"/>
    </row>
    <row r="50" spans="1:12" ht="15.75" thickBot="1" x14ac:dyDescent="0.3">
      <c r="A50" s="5"/>
      <c r="B50" s="99" t="s">
        <v>25</v>
      </c>
      <c r="C50" s="100"/>
      <c r="D50" s="100"/>
      <c r="E50" s="100"/>
      <c r="F50" s="100"/>
      <c r="G50" s="104">
        <f>G48-G49</f>
        <v>0</v>
      </c>
      <c r="H50" s="138"/>
      <c r="I50" s="106"/>
      <c r="J50" s="105"/>
      <c r="K50" s="54"/>
      <c r="L50" s="56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JANVIER 2015</vt:lpstr>
      <vt:lpstr>FEVRIER 2015</vt:lpstr>
      <vt:lpstr>Mars 2015</vt:lpstr>
      <vt:lpstr>Avril 2015</vt:lpstr>
      <vt:lpstr>Mai 2015</vt:lpstr>
      <vt:lpstr>Juin 2015</vt:lpstr>
      <vt:lpstr>Juillet 2015</vt:lpstr>
      <vt:lpstr>Aout 2015</vt:lpstr>
      <vt:lpstr>Septembre 2015</vt:lpstr>
      <vt:lpstr>Octobre 2015</vt:lpstr>
      <vt:lpstr>Novembre 2015</vt:lpstr>
      <vt:lpstr>Decembre 2015</vt:lpstr>
      <vt:lpstr>annee 2015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2016-04-25T14:02:55Z</cp:lastPrinted>
  <dcterms:created xsi:type="dcterms:W3CDTF">2014-12-31T15:22:06Z</dcterms:created>
  <dcterms:modified xsi:type="dcterms:W3CDTF">2018-10-09T11:38:49Z</dcterms:modified>
</cp:coreProperties>
</file>