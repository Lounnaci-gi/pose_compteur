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"/>
    </mc:Choice>
  </mc:AlternateContent>
  <xr:revisionPtr revIDLastSave="0" documentId="13_ncr:1_{7EC56A49-DD46-4680-A1EC-A4EA92B7099D}" xr6:coauthVersionLast="47" xr6:coauthVersionMax="47" xr10:uidLastSave="{00000000-0000-0000-0000-000000000000}"/>
  <bookViews>
    <workbookView xWindow="-120" yWindow="-120" windowWidth="29040" windowHeight="15720" firstSheet="3" activeTab="14" xr2:uid="{00000000-000D-0000-FFFF-FFFF00000000}"/>
  </bookViews>
  <sheets>
    <sheet name="2014" sheetId="1" r:id="rId1"/>
    <sheet name="2015" sheetId="2" r:id="rId2"/>
    <sheet name="2015 GLOBALE" sheetId="3" r:id="rId3"/>
    <sheet name="2014 N" sheetId="7" r:id="rId4"/>
    <sheet name="2016" sheetId="6" r:id="rId5"/>
    <sheet name="2017" sheetId="8" r:id="rId6"/>
    <sheet name="2018" sheetId="9" r:id="rId7"/>
    <sheet name="2019" sheetId="10" r:id="rId8"/>
    <sheet name="2020" sheetId="11" r:id="rId9"/>
    <sheet name="2021" sheetId="12" r:id="rId10"/>
    <sheet name="2022" sheetId="13" r:id="rId11"/>
    <sheet name="2023" sheetId="14" r:id="rId12"/>
    <sheet name="2024" sheetId="15" r:id="rId13"/>
    <sheet name="2025" sheetId="16" r:id="rId14"/>
    <sheet name="2026" sheetId="17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16" l="1"/>
  <c r="C33" i="17"/>
  <c r="C33" i="16"/>
  <c r="I33" i="17" l="1"/>
  <c r="H33" i="17"/>
  <c r="G33" i="17"/>
  <c r="F33" i="17"/>
  <c r="J31" i="17"/>
  <c r="J29" i="17"/>
  <c r="J27" i="17"/>
  <c r="J25" i="17"/>
  <c r="J23" i="17"/>
  <c r="J21" i="17"/>
  <c r="J19" i="17"/>
  <c r="J17" i="17"/>
  <c r="J15" i="17"/>
  <c r="J13" i="17"/>
  <c r="J11" i="17"/>
  <c r="J9" i="17"/>
  <c r="D9" i="17"/>
  <c r="J11" i="16"/>
  <c r="J13" i="16"/>
  <c r="J15" i="16"/>
  <c r="J17" i="16"/>
  <c r="J19" i="16"/>
  <c r="J21" i="16"/>
  <c r="J23" i="16"/>
  <c r="J25" i="16"/>
  <c r="J27" i="16"/>
  <c r="J29" i="16"/>
  <c r="J31" i="16"/>
  <c r="K33" i="17" l="1"/>
  <c r="J33" i="17"/>
  <c r="K9" i="17"/>
  <c r="B11" i="17" s="1"/>
  <c r="D11" i="17" s="1"/>
  <c r="K11" i="17" s="1"/>
  <c r="B13" i="17" s="1"/>
  <c r="D13" i="17" s="1"/>
  <c r="K13" i="17" s="1"/>
  <c r="B15" i="17" s="1"/>
  <c r="D15" i="17" s="1"/>
  <c r="K15" i="17" s="1"/>
  <c r="B17" i="17" s="1"/>
  <c r="D17" i="17" s="1"/>
  <c r="K17" i="17" s="1"/>
  <c r="B19" i="17" s="1"/>
  <c r="D19" i="17" s="1"/>
  <c r="K19" i="17" s="1"/>
  <c r="B21" i="17" s="1"/>
  <c r="D21" i="17" s="1"/>
  <c r="K21" i="17" s="1"/>
  <c r="B23" i="17" s="1"/>
  <c r="D23" i="17" s="1"/>
  <c r="K23" i="17" s="1"/>
  <c r="B25" i="17" s="1"/>
  <c r="D25" i="17" s="1"/>
  <c r="K25" i="17" s="1"/>
  <c r="B27" i="17" s="1"/>
  <c r="D27" i="17" s="1"/>
  <c r="K27" i="17" s="1"/>
  <c r="B29" i="17" s="1"/>
  <c r="D29" i="17" s="1"/>
  <c r="K29" i="17" s="1"/>
  <c r="B31" i="17" s="1"/>
  <c r="D31" i="17" s="1"/>
  <c r="K31" i="17" s="1"/>
  <c r="I33" i="16"/>
  <c r="H33" i="16"/>
  <c r="G33" i="16"/>
  <c r="F33" i="16"/>
  <c r="J9" i="16"/>
  <c r="J33" i="16" s="1"/>
  <c r="D9" i="16"/>
  <c r="K9" i="16" l="1"/>
  <c r="B11" i="16" s="1"/>
  <c r="D11" i="16" s="1"/>
  <c r="K11" i="16" s="1"/>
  <c r="B13" i="16" s="1"/>
  <c r="D13" i="16" s="1"/>
  <c r="K13" i="16" s="1"/>
  <c r="B15" i="16" s="1"/>
  <c r="D15" i="16" s="1"/>
  <c r="K15" i="16" s="1"/>
  <c r="B17" i="16" s="1"/>
  <c r="D17" i="16" s="1"/>
  <c r="K17" i="16" s="1"/>
  <c r="B19" i="16" s="1"/>
  <c r="D19" i="16" s="1"/>
  <c r="K19" i="16" s="1"/>
  <c r="B21" i="16" s="1"/>
  <c r="D21" i="16" s="1"/>
  <c r="K21" i="16" s="1"/>
  <c r="B23" i="16" s="1"/>
  <c r="D23" i="16" s="1"/>
  <c r="K23" i="16" s="1"/>
  <c r="B25" i="16" s="1"/>
  <c r="D25" i="16" s="1"/>
  <c r="K25" i="16" s="1"/>
  <c r="B27" i="16" s="1"/>
  <c r="D27" i="16" s="1"/>
  <c r="K27" i="16" s="1"/>
  <c r="B29" i="16" s="1"/>
  <c r="D29" i="16" s="1"/>
  <c r="K29" i="16" s="1"/>
  <c r="B31" i="16" s="1"/>
  <c r="D31" i="16" s="1"/>
  <c r="K31" i="16" s="1"/>
  <c r="I33" i="15"/>
  <c r="H33" i="15"/>
  <c r="G33" i="15"/>
  <c r="F33" i="15"/>
  <c r="C33" i="15"/>
  <c r="J31" i="15"/>
  <c r="J29" i="15"/>
  <c r="J27" i="15"/>
  <c r="J25" i="15"/>
  <c r="J23" i="15"/>
  <c r="J21" i="15"/>
  <c r="J19" i="15"/>
  <c r="J17" i="15"/>
  <c r="J15" i="15"/>
  <c r="J13" i="15"/>
  <c r="J11" i="15"/>
  <c r="J9" i="15"/>
  <c r="D9" i="15"/>
  <c r="K9" i="15" l="1"/>
  <c r="B11" i="15" s="1"/>
  <c r="D11" i="15" s="1"/>
  <c r="J33" i="15"/>
  <c r="K33" i="15" s="1"/>
  <c r="K11" i="15"/>
  <c r="B13" i="15" s="1"/>
  <c r="D13" i="15" s="1"/>
  <c r="K13" i="15" s="1"/>
  <c r="B15" i="15" s="1"/>
  <c r="D15" i="15" s="1"/>
  <c r="K15" i="15" s="1"/>
  <c r="B17" i="15" s="1"/>
  <c r="D17" i="15" s="1"/>
  <c r="K17" i="15" s="1"/>
  <c r="B19" i="15" s="1"/>
  <c r="D19" i="15" s="1"/>
  <c r="K19" i="15" s="1"/>
  <c r="B21" i="15" s="1"/>
  <c r="D21" i="15" s="1"/>
  <c r="K21" i="15" s="1"/>
  <c r="B23" i="15" s="1"/>
  <c r="D23" i="15" s="1"/>
  <c r="K23" i="15" s="1"/>
  <c r="B25" i="15" s="1"/>
  <c r="D25" i="15" s="1"/>
  <c r="K25" i="15" s="1"/>
  <c r="B27" i="15" s="1"/>
  <c r="D27" i="15" s="1"/>
  <c r="K27" i="15" s="1"/>
  <c r="B29" i="15" s="1"/>
  <c r="D29" i="15" s="1"/>
  <c r="K29" i="15" s="1"/>
  <c r="B31" i="15" s="1"/>
  <c r="D31" i="15" s="1"/>
  <c r="K31" i="15" s="1"/>
  <c r="I33" i="14"/>
  <c r="H33" i="14"/>
  <c r="G33" i="14"/>
  <c r="F33" i="14"/>
  <c r="C33" i="14"/>
  <c r="J31" i="14"/>
  <c r="D31" i="14"/>
  <c r="K31" i="14" s="1"/>
  <c r="J29" i="14"/>
  <c r="D29" i="14"/>
  <c r="J27" i="14"/>
  <c r="D27" i="14"/>
  <c r="J25" i="14"/>
  <c r="D25" i="14"/>
  <c r="J23" i="14"/>
  <c r="D23" i="14"/>
  <c r="J21" i="14"/>
  <c r="D21" i="14"/>
  <c r="J19" i="14"/>
  <c r="D19" i="14"/>
  <c r="K19" i="14" s="1"/>
  <c r="J17" i="14"/>
  <c r="D17" i="14"/>
  <c r="J15" i="14"/>
  <c r="D15" i="14"/>
  <c r="K15" i="14" s="1"/>
  <c r="J13" i="14"/>
  <c r="D13" i="14"/>
  <c r="J11" i="14"/>
  <c r="D11" i="14"/>
  <c r="J9" i="14"/>
  <c r="D9" i="14"/>
  <c r="K23" i="14" l="1"/>
  <c r="K29" i="14"/>
  <c r="K27" i="14"/>
  <c r="K25" i="14"/>
  <c r="K21" i="14"/>
  <c r="K17" i="14"/>
  <c r="K13" i="14"/>
  <c r="J33" i="14"/>
  <c r="K33" i="14" s="1"/>
  <c r="K11" i="14"/>
  <c r="K9" i="14"/>
  <c r="I33" i="13" l="1"/>
  <c r="H33" i="13"/>
  <c r="G33" i="13"/>
  <c r="F33" i="13"/>
  <c r="C33" i="13"/>
  <c r="J31" i="13"/>
  <c r="D31" i="13"/>
  <c r="J29" i="13"/>
  <c r="D29" i="13"/>
  <c r="J27" i="13"/>
  <c r="D27" i="13"/>
  <c r="J25" i="13"/>
  <c r="D25" i="13"/>
  <c r="J23" i="13"/>
  <c r="D23" i="13"/>
  <c r="J21" i="13"/>
  <c r="D21" i="13"/>
  <c r="J19" i="13"/>
  <c r="D19" i="13"/>
  <c r="J17" i="13"/>
  <c r="D17" i="13"/>
  <c r="J15" i="13"/>
  <c r="D15" i="13"/>
  <c r="J13" i="13"/>
  <c r="D13" i="13"/>
  <c r="J11" i="13"/>
  <c r="D11" i="13"/>
  <c r="J9" i="13"/>
  <c r="D9" i="13"/>
  <c r="J33" i="13" l="1"/>
  <c r="K33" i="13"/>
  <c r="K9" i="13"/>
  <c r="K11" i="13"/>
  <c r="K13" i="13"/>
  <c r="K15" i="13"/>
  <c r="K17" i="13"/>
  <c r="K19" i="13"/>
  <c r="K21" i="13"/>
  <c r="K23" i="13"/>
  <c r="K25" i="13"/>
  <c r="K27" i="13"/>
  <c r="K29" i="13"/>
  <c r="K31" i="13"/>
  <c r="I33" i="12"/>
  <c r="H33" i="12"/>
  <c r="G33" i="12"/>
  <c r="F33" i="12"/>
  <c r="C33" i="12"/>
  <c r="J31" i="12"/>
  <c r="D31" i="12"/>
  <c r="J29" i="12"/>
  <c r="D29" i="12"/>
  <c r="J27" i="12"/>
  <c r="D27" i="12"/>
  <c r="J25" i="12"/>
  <c r="D25" i="12"/>
  <c r="J23" i="12"/>
  <c r="D23" i="12"/>
  <c r="J21" i="12"/>
  <c r="D21" i="12"/>
  <c r="J19" i="12"/>
  <c r="D19" i="12"/>
  <c r="J17" i="12"/>
  <c r="D17" i="12"/>
  <c r="J15" i="12"/>
  <c r="D15" i="12"/>
  <c r="J13" i="12"/>
  <c r="D13" i="12"/>
  <c r="J11" i="12"/>
  <c r="D11" i="12"/>
  <c r="J9" i="12"/>
  <c r="D9" i="12"/>
  <c r="K31" i="12" l="1"/>
  <c r="K27" i="12"/>
  <c r="K23" i="12"/>
  <c r="K19" i="12"/>
  <c r="K17" i="12"/>
  <c r="K15" i="12"/>
  <c r="J33" i="12"/>
  <c r="K33" i="12" s="1"/>
  <c r="K11" i="12"/>
  <c r="K29" i="12"/>
  <c r="K21" i="12"/>
  <c r="K25" i="12"/>
  <c r="K13" i="12"/>
  <c r="K9" i="12"/>
  <c r="D17" i="11"/>
  <c r="D15" i="11"/>
  <c r="I33" i="11" l="1"/>
  <c r="H33" i="11"/>
  <c r="G33" i="11"/>
  <c r="F33" i="11"/>
  <c r="C33" i="11"/>
  <c r="J31" i="11"/>
  <c r="D31" i="11"/>
  <c r="J29" i="11"/>
  <c r="D29" i="11"/>
  <c r="J27" i="11"/>
  <c r="D27" i="11"/>
  <c r="J25" i="11"/>
  <c r="D25" i="11"/>
  <c r="J23" i="11"/>
  <c r="D23" i="11"/>
  <c r="J21" i="11"/>
  <c r="D21" i="11"/>
  <c r="J19" i="11"/>
  <c r="D19" i="11"/>
  <c r="J17" i="11"/>
  <c r="K17" i="11" s="1"/>
  <c r="J15" i="11"/>
  <c r="K15" i="11" s="1"/>
  <c r="J13" i="11"/>
  <c r="D13" i="11"/>
  <c r="J11" i="11"/>
  <c r="D11" i="11"/>
  <c r="J9" i="11"/>
  <c r="D9" i="11"/>
  <c r="K31" i="11" l="1"/>
  <c r="K29" i="11"/>
  <c r="K25" i="11"/>
  <c r="K23" i="11"/>
  <c r="K21" i="11"/>
  <c r="K19" i="11"/>
  <c r="K11" i="11"/>
  <c r="K9" i="11"/>
  <c r="K27" i="11"/>
  <c r="K13" i="11"/>
  <c r="J33" i="11"/>
  <c r="K33" i="11" s="1"/>
  <c r="J31" i="10"/>
  <c r="D31" i="10" l="1"/>
  <c r="D29" i="10"/>
  <c r="D27" i="10"/>
  <c r="D25" i="10"/>
  <c r="J31" i="9" l="1"/>
  <c r="K31" i="10" l="1"/>
  <c r="I33" i="10"/>
  <c r="H33" i="10"/>
  <c r="G33" i="10"/>
  <c r="F33" i="10"/>
  <c r="C33" i="10"/>
  <c r="J29" i="10"/>
  <c r="K29" i="10" s="1"/>
  <c r="J27" i="10"/>
  <c r="K27" i="10" s="1"/>
  <c r="J25" i="10"/>
  <c r="K25" i="10" s="1"/>
  <c r="J23" i="10"/>
  <c r="D23" i="10"/>
  <c r="J21" i="10"/>
  <c r="D21" i="10"/>
  <c r="J19" i="10"/>
  <c r="D19" i="10"/>
  <c r="J17" i="10"/>
  <c r="D17" i="10"/>
  <c r="J15" i="10"/>
  <c r="D15" i="10"/>
  <c r="J13" i="10"/>
  <c r="D13" i="10"/>
  <c r="J11" i="10"/>
  <c r="D11" i="10"/>
  <c r="J9" i="10"/>
  <c r="D9" i="10"/>
  <c r="J33" i="10" l="1"/>
  <c r="K33" i="10" s="1"/>
  <c r="K9" i="10"/>
  <c r="K11" i="10"/>
  <c r="K13" i="10"/>
  <c r="K15" i="10"/>
  <c r="K17" i="10"/>
  <c r="K19" i="10"/>
  <c r="K21" i="10"/>
  <c r="K23" i="10"/>
  <c r="J31" i="7" l="1"/>
  <c r="I34" i="9" l="1"/>
  <c r="H34" i="9"/>
  <c r="G34" i="9"/>
  <c r="F34" i="9"/>
  <c r="C34" i="9"/>
  <c r="D31" i="9"/>
  <c r="K31" i="9" s="1"/>
  <c r="J29" i="9"/>
  <c r="D29" i="9"/>
  <c r="J27" i="9"/>
  <c r="D27" i="9"/>
  <c r="J25" i="9"/>
  <c r="D25" i="9"/>
  <c r="J23" i="9"/>
  <c r="D23" i="9"/>
  <c r="J21" i="9"/>
  <c r="D21" i="9"/>
  <c r="J19" i="9"/>
  <c r="D19" i="9"/>
  <c r="J17" i="9"/>
  <c r="D17" i="9"/>
  <c r="K17" i="9" s="1"/>
  <c r="J15" i="9"/>
  <c r="D15" i="9"/>
  <c r="J13" i="9"/>
  <c r="D13" i="9"/>
  <c r="J11" i="9"/>
  <c r="D11" i="9"/>
  <c r="J9" i="9"/>
  <c r="D9" i="9"/>
  <c r="K23" i="9" l="1"/>
  <c r="K29" i="9"/>
  <c r="K27" i="9"/>
  <c r="K25" i="9"/>
  <c r="K21" i="9"/>
  <c r="K19" i="9"/>
  <c r="K15" i="9"/>
  <c r="K13" i="9"/>
  <c r="J34" i="9"/>
  <c r="K34" i="9" s="1"/>
  <c r="K11" i="9"/>
  <c r="K9" i="9"/>
  <c r="B33" i="7" l="1"/>
  <c r="I33" i="3" l="1"/>
  <c r="I33" i="8"/>
  <c r="H33" i="8"/>
  <c r="G33" i="8"/>
  <c r="F33" i="8"/>
  <c r="C33" i="8"/>
  <c r="J31" i="8"/>
  <c r="D31" i="8"/>
  <c r="J29" i="8"/>
  <c r="D29" i="8"/>
  <c r="J27" i="8"/>
  <c r="D27" i="8"/>
  <c r="J25" i="8"/>
  <c r="D25" i="8"/>
  <c r="J23" i="8"/>
  <c r="D23" i="8"/>
  <c r="J21" i="8"/>
  <c r="D21" i="8"/>
  <c r="J19" i="8"/>
  <c r="D19" i="8"/>
  <c r="J17" i="8"/>
  <c r="D17" i="8"/>
  <c r="J15" i="8"/>
  <c r="D15" i="8"/>
  <c r="J13" i="8"/>
  <c r="D13" i="8"/>
  <c r="J11" i="8"/>
  <c r="D11" i="8"/>
  <c r="J9" i="8"/>
  <c r="D9" i="8"/>
  <c r="I33" i="6"/>
  <c r="H33" i="7"/>
  <c r="G33" i="7"/>
  <c r="F33" i="7"/>
  <c r="C33" i="7"/>
  <c r="D31" i="7"/>
  <c r="K31" i="7" s="1"/>
  <c r="J29" i="7"/>
  <c r="D29" i="7"/>
  <c r="J27" i="7"/>
  <c r="D27" i="7"/>
  <c r="J25" i="7"/>
  <c r="D25" i="7"/>
  <c r="J23" i="7"/>
  <c r="D23" i="7"/>
  <c r="J21" i="7"/>
  <c r="D21" i="7"/>
  <c r="J19" i="7"/>
  <c r="D19" i="7"/>
  <c r="J17" i="7"/>
  <c r="D17" i="7"/>
  <c r="J15" i="7"/>
  <c r="D15" i="7"/>
  <c r="J13" i="7"/>
  <c r="D13" i="7"/>
  <c r="J11" i="7"/>
  <c r="D11" i="7"/>
  <c r="J9" i="7"/>
  <c r="D9" i="7"/>
  <c r="C33" i="3"/>
  <c r="C33" i="1"/>
  <c r="K27" i="8" l="1"/>
  <c r="K31" i="8"/>
  <c r="J33" i="7"/>
  <c r="K29" i="8"/>
  <c r="K27" i="7"/>
  <c r="K11" i="8"/>
  <c r="K13" i="8"/>
  <c r="K23" i="8"/>
  <c r="K9" i="7"/>
  <c r="K11" i="7"/>
  <c r="K13" i="7"/>
  <c r="K15" i="7"/>
  <c r="K17" i="7"/>
  <c r="K19" i="7"/>
  <c r="K21" i="7"/>
  <c r="K23" i="7"/>
  <c r="K25" i="7"/>
  <c r="K29" i="7"/>
  <c r="K15" i="8"/>
  <c r="K17" i="8"/>
  <c r="K19" i="8"/>
  <c r="K21" i="8"/>
  <c r="K25" i="8"/>
  <c r="J33" i="8"/>
  <c r="K33" i="8" s="1"/>
  <c r="K9" i="8"/>
  <c r="F33" i="6"/>
  <c r="C33" i="6"/>
  <c r="J25" i="6"/>
  <c r="J27" i="6"/>
  <c r="J29" i="6"/>
  <c r="J31" i="6"/>
  <c r="J11" i="6"/>
  <c r="J13" i="6"/>
  <c r="J15" i="6"/>
  <c r="J17" i="6"/>
  <c r="J19" i="6"/>
  <c r="J21" i="6"/>
  <c r="J23" i="6"/>
  <c r="J9" i="6"/>
  <c r="H33" i="6"/>
  <c r="G33" i="6"/>
  <c r="D31" i="6"/>
  <c r="D29" i="6"/>
  <c r="D27" i="6"/>
  <c r="D25" i="6"/>
  <c r="D23" i="6"/>
  <c r="D21" i="6"/>
  <c r="D19" i="6"/>
  <c r="D17" i="6"/>
  <c r="D15" i="6"/>
  <c r="D13" i="6"/>
  <c r="D11" i="6"/>
  <c r="D9" i="6"/>
  <c r="K21" i="6" l="1"/>
  <c r="K31" i="6"/>
  <c r="J33" i="6"/>
  <c r="K9" i="6"/>
  <c r="J31" i="3" l="1"/>
  <c r="D31" i="3" l="1"/>
  <c r="K31" i="3" s="1"/>
  <c r="J29" i="3" l="1"/>
  <c r="D29" i="3"/>
  <c r="J27" i="3"/>
  <c r="D27" i="3"/>
  <c r="J25" i="3"/>
  <c r="D25" i="3"/>
  <c r="J23" i="3"/>
  <c r="D23" i="3"/>
  <c r="J21" i="3"/>
  <c r="D21" i="3"/>
  <c r="J19" i="3"/>
  <c r="D19" i="3"/>
  <c r="J17" i="3"/>
  <c r="D17" i="3"/>
  <c r="J15" i="3"/>
  <c r="D15" i="3"/>
  <c r="J13" i="3"/>
  <c r="D13" i="3"/>
  <c r="J11" i="3"/>
  <c r="D11" i="3"/>
  <c r="J9" i="3"/>
  <c r="D9" i="3"/>
  <c r="H33" i="3"/>
  <c r="G33" i="3"/>
  <c r="F33" i="3"/>
  <c r="K25" i="3" l="1"/>
  <c r="K23" i="3"/>
  <c r="K21" i="3"/>
  <c r="K29" i="3"/>
  <c r="K17" i="3"/>
  <c r="K13" i="3"/>
  <c r="K11" i="3"/>
  <c r="K9" i="3"/>
  <c r="J33" i="3"/>
  <c r="B29" i="2"/>
  <c r="B11" i="2"/>
  <c r="H33" i="2" l="1"/>
  <c r="G33" i="2"/>
  <c r="F33" i="2"/>
  <c r="C33" i="2"/>
  <c r="J31" i="2"/>
  <c r="J29" i="2"/>
  <c r="D29" i="2"/>
  <c r="J27" i="2"/>
  <c r="J25" i="2"/>
  <c r="J23" i="2"/>
  <c r="J21" i="2"/>
  <c r="J19" i="2"/>
  <c r="J17" i="2"/>
  <c r="J15" i="2"/>
  <c r="J13" i="2"/>
  <c r="J11" i="2"/>
  <c r="D11" i="2"/>
  <c r="B13" i="2" s="1"/>
  <c r="D13" i="2" s="1"/>
  <c r="J9" i="2"/>
  <c r="D9" i="2"/>
  <c r="K13" i="2" l="1"/>
  <c r="B15" i="2" s="1"/>
  <c r="D15" i="2" s="1"/>
  <c r="K15" i="2" s="1"/>
  <c r="B17" i="2" s="1"/>
  <c r="D17" i="2" s="1"/>
  <c r="K17" i="2" s="1"/>
  <c r="B19" i="2" s="1"/>
  <c r="D19" i="2" s="1"/>
  <c r="K19" i="2" s="1"/>
  <c r="B21" i="2" s="1"/>
  <c r="D21" i="2" s="1"/>
  <c r="K21" i="2" s="1"/>
  <c r="B23" i="2" s="1"/>
  <c r="D23" i="2" s="1"/>
  <c r="K23" i="2" s="1"/>
  <c r="B25" i="2" s="1"/>
  <c r="D25" i="2" s="1"/>
  <c r="K25" i="2" s="1"/>
  <c r="B27" i="2" s="1"/>
  <c r="D27" i="2" s="1"/>
  <c r="K29" i="2"/>
  <c r="B31" i="2" s="1"/>
  <c r="D31" i="2" s="1"/>
  <c r="J33" i="2"/>
  <c r="H33" i="1"/>
  <c r="G33" i="1"/>
  <c r="F33" i="1"/>
  <c r="J17" i="1" l="1"/>
  <c r="D31" i="1" l="1"/>
  <c r="D29" i="1"/>
  <c r="D11" i="1" l="1"/>
  <c r="D13" i="1"/>
  <c r="D15" i="1"/>
  <c r="D17" i="1"/>
  <c r="D19" i="1"/>
  <c r="D21" i="1"/>
  <c r="D23" i="1"/>
  <c r="D25" i="1"/>
  <c r="D27" i="1"/>
  <c r="J21" i="1"/>
  <c r="J23" i="1"/>
  <c r="J25" i="1"/>
  <c r="J27" i="1"/>
  <c r="J29" i="1"/>
  <c r="J31" i="1"/>
  <c r="J11" i="1"/>
  <c r="J13" i="1"/>
  <c r="J15" i="1"/>
  <c r="J19" i="1"/>
  <c r="J9" i="1"/>
  <c r="D9" i="1"/>
  <c r="K9" i="1" l="1"/>
  <c r="J33" i="1"/>
  <c r="K25" i="1"/>
  <c r="K23" i="1"/>
  <c r="K19" i="1"/>
  <c r="K11" i="1"/>
  <c r="K15" i="1"/>
  <c r="K29" i="1"/>
  <c r="K21" i="1"/>
  <c r="K17" i="1"/>
  <c r="K13" i="1"/>
</calcChain>
</file>

<file path=xl/sharedStrings.xml><?xml version="1.0" encoding="utf-8"?>
<sst xmlns="http://schemas.openxmlformats.org/spreadsheetml/2006/main" count="682" uniqueCount="146">
  <si>
    <t>Algérienne des Eaux</t>
  </si>
  <si>
    <t>Zone d'Alger</t>
  </si>
  <si>
    <t>Mois</t>
  </si>
  <si>
    <t>Nvx Branchements</t>
  </si>
  <si>
    <t>Vente</t>
  </si>
  <si>
    <t>Médèa le: 31/12/2013</t>
  </si>
  <si>
    <t>Centre de : BERROUAGHIA</t>
  </si>
  <si>
    <t>Unité de Médéa</t>
  </si>
  <si>
    <t>Agence de :BERROUAGHIA</t>
  </si>
  <si>
    <t xml:space="preserve">Suivi Pose Compteurs                                                                 </t>
  </si>
  <si>
    <t>Entrée</t>
  </si>
  <si>
    <t>Total</t>
  </si>
  <si>
    <t>N° Bon Sortie</t>
  </si>
  <si>
    <t>O B S</t>
  </si>
  <si>
    <t>date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</si>
  <si>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</si>
  <si>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</si>
  <si>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</si>
  <si>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</si>
  <si>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</si>
  <si>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</si>
  <si>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</si>
  <si>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</si>
  <si>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</si>
  <si>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</si>
  <si>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</si>
  <si>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</si>
  <si>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TOTAL</t>
  </si>
  <si>
    <r>
      <t>L'Agent Chargé du Suivi</t>
    </r>
    <r>
      <rPr>
        <i/>
        <sz val="10"/>
        <rFont val="Arial"/>
        <family val="2"/>
      </rPr>
      <t xml:space="preserve"> </t>
    </r>
  </si>
  <si>
    <t>Le Chef d'Agence</t>
  </si>
  <si>
    <t>Le Chef de Centre</t>
  </si>
  <si>
    <t>ANNEE   2014</t>
  </si>
  <si>
    <t>119</t>
  </si>
  <si>
    <t>Stocks initial début de mois</t>
  </si>
  <si>
    <t>Elimination du Forfait</t>
  </si>
  <si>
    <t>Autre (Spécifier)</t>
  </si>
  <si>
    <t>Total Sortie</t>
  </si>
  <si>
    <t>Stock fin de mois</t>
  </si>
  <si>
    <t>Sorties</t>
  </si>
  <si>
    <t>265</t>
  </si>
  <si>
    <t>233</t>
  </si>
  <si>
    <t>173</t>
  </si>
  <si>
    <t>20 Cpts Centre beni slimane</t>
  </si>
  <si>
    <t>147</t>
  </si>
  <si>
    <t>224</t>
  </si>
  <si>
    <t>120</t>
  </si>
  <si>
    <t>85</t>
  </si>
  <si>
    <t>90</t>
  </si>
  <si>
    <t>91</t>
  </si>
  <si>
    <t>113</t>
  </si>
  <si>
    <t>186</t>
  </si>
  <si>
    <t>001681</t>
  </si>
  <si>
    <t>07/08/2014</t>
  </si>
  <si>
    <t>000812</t>
  </si>
  <si>
    <t>000623</t>
  </si>
  <si>
    <t>000081</t>
  </si>
  <si>
    <t>20/01/2014</t>
  </si>
  <si>
    <t>000449</t>
  </si>
  <si>
    <t>002117/002194</t>
  </si>
  <si>
    <t>23/29 09/2014</t>
  </si>
  <si>
    <t>002537/002454/002300</t>
  </si>
  <si>
    <t>09/20/26 10/2014</t>
  </si>
  <si>
    <t>002630/002849</t>
  </si>
  <si>
    <t>05/25 11/2014</t>
  </si>
  <si>
    <t>40 cpts XG 0735</t>
  </si>
  <si>
    <t>20 Cpts recu Centre Ain Boucif</t>
  </si>
  <si>
    <t>20 Compteur Robaia</t>
  </si>
  <si>
    <t>20 Compteur Seghouane</t>
  </si>
  <si>
    <t>35 Compteur Robaia</t>
  </si>
  <si>
    <t>10 Compteur Ouled dheid</t>
  </si>
  <si>
    <t>206</t>
  </si>
  <si>
    <t>01 Compteur Hors Stock Olued Dhied</t>
  </si>
  <si>
    <t>10 Compteurs Réintégré  Oumaria</t>
  </si>
  <si>
    <t>01 Compteurs Réintégré  Oumaria</t>
  </si>
  <si>
    <t>000298</t>
  </si>
  <si>
    <t>812/739/899/838</t>
  </si>
  <si>
    <t>16-09-28-21/04/2015</t>
  </si>
  <si>
    <t>ANNEE   2015</t>
  </si>
  <si>
    <t>ANNEE   2016</t>
  </si>
  <si>
    <t>59</t>
  </si>
  <si>
    <t>60 Compteurs Réintégré Oumaria</t>
  </si>
  <si>
    <t>40 Compteurs Réintégré Oumaria</t>
  </si>
  <si>
    <t>200 Compteurs Réintégré KEB</t>
  </si>
  <si>
    <t>20 Cpts Réintégré Robaia  10 Cpts Ouled Dheid</t>
  </si>
  <si>
    <t>0027</t>
  </si>
  <si>
    <t>06/01/2015</t>
  </si>
  <si>
    <t>1162/1121</t>
  </si>
  <si>
    <t>21/05-18/05/2015</t>
  </si>
  <si>
    <t>1546/1560</t>
  </si>
  <si>
    <t>02/07-12/07/2015</t>
  </si>
  <si>
    <t>2562/2760</t>
  </si>
  <si>
    <t>04/10-22/10/2015</t>
  </si>
  <si>
    <t>237</t>
  </si>
  <si>
    <t>20/01/2016</t>
  </si>
  <si>
    <t>432/421/510/610/623</t>
  </si>
  <si>
    <t>07-04-14-23-24/2016</t>
  </si>
  <si>
    <t>152</t>
  </si>
  <si>
    <t>3332/3463/3503</t>
  </si>
  <si>
    <t>08-22-29/2015</t>
  </si>
  <si>
    <t>4 manque ETP-Ziani</t>
  </si>
  <si>
    <t>28 Compteurs Réintégré Oumaria</t>
  </si>
  <si>
    <t>42 Compteurs Réintégré Oumaria</t>
  </si>
  <si>
    <t>20 Compteurs Réintégré KEB</t>
  </si>
  <si>
    <t>10 Compteurs Réintégré KEB</t>
  </si>
  <si>
    <t>50 Compteurs Réintégré Oumaria</t>
  </si>
  <si>
    <t>30 Compteurs Réintégré Oumaria</t>
  </si>
  <si>
    <t>50 Compteurs Réintégré Medea</t>
  </si>
  <si>
    <t>10 Compteurs Réintégré Oumaria</t>
  </si>
  <si>
    <t>97</t>
  </si>
  <si>
    <t>Médèa le: 31/12/2016</t>
  </si>
  <si>
    <t>Total des Sortie</t>
  </si>
  <si>
    <t>Observation</t>
  </si>
  <si>
    <t>Date</t>
  </si>
  <si>
    <t>Médèa le: 31/12/2015</t>
  </si>
  <si>
    <t>ANNEE   2017</t>
  </si>
  <si>
    <t>30 Compteurs Réintégré  Oumaria</t>
  </si>
  <si>
    <t>01 Compteurs Réintégré  Centre KEB</t>
  </si>
  <si>
    <t>01 Cpt Réintégré Tahtouh</t>
  </si>
  <si>
    <t>05 Cpt Réintégré U-Médéa</t>
  </si>
  <si>
    <t>01 Cpt Réintégré Ouled Dheid</t>
  </si>
  <si>
    <t>ANNEE   2018</t>
  </si>
  <si>
    <t>0</t>
  </si>
  <si>
    <t xml:space="preserve">10 Compterus Réintégré agence Msallah </t>
  </si>
  <si>
    <t>01 Cpt Réintégré Benchikao</t>
  </si>
  <si>
    <t>01 Cpt Réintégré 24 Février</t>
  </si>
  <si>
    <t>06 Cpt Réintégré Centre-Médéa</t>
  </si>
  <si>
    <t>ANNEE   2019</t>
  </si>
  <si>
    <t>10</t>
  </si>
  <si>
    <t>01 Cpt DN20/27 Réintégre Agence Tahtouh</t>
  </si>
  <si>
    <t>Médèa le: 31/12/2020</t>
  </si>
  <si>
    <t>ANNEE   2020</t>
  </si>
  <si>
    <t>7</t>
  </si>
  <si>
    <t>01 Cpt DN20/27 Réintégre Agence 24 FéV</t>
  </si>
  <si>
    <t>ANNEE   2021</t>
  </si>
  <si>
    <t>Médèa le: 31/12/2021</t>
  </si>
  <si>
    <t>8</t>
  </si>
  <si>
    <t>01 cpt DN 80,Reintégré DC Unité Médéa</t>
  </si>
  <si>
    <t>ANNEE   2022</t>
  </si>
  <si>
    <t>01 cpt DN 20/27, Déstination Agence Tahtouh</t>
  </si>
  <si>
    <t>ANNEE   2023</t>
  </si>
  <si>
    <t>ANNEE   2024</t>
  </si>
  <si>
    <t>ANNEE   2025</t>
  </si>
  <si>
    <t>1 compteur distination médéa</t>
  </si>
  <si>
    <t>1 compteur distination beni slimane</t>
  </si>
  <si>
    <t>10 compteur distination beni slimane</t>
  </si>
  <si>
    <t>ANNEE 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</si>
</sst>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i/>
      <sz val="10"/>
      <name val="Arial"/>
      <family val="2"/>
    </font>
    <font>
      <sz val="10"/>
      <color theme="1"/>
      <name val="Calibri"/>
      <family val="2"/>
      <scheme val="minor"/>
    </font>
    <font>
      <b/>
      <sz val="1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4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/>
    </xf>
    <xf numFmtId="49" fontId="5" fillId="2" borderId="7" xfId="0" applyNumberFormat="1" applyFont="1" applyFill="1" applyBorder="1" applyAlignment="1">
      <alignment horizontal="center"/>
    </xf>
    <xf numFmtId="0" fontId="0" fillId="2" borderId="19" xfId="0" applyFill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4" fillId="2" borderId="9" xfId="0" applyFont="1" applyFill="1" applyBorder="1"/>
    <xf numFmtId="49" fontId="7" fillId="2" borderId="9" xfId="0" applyNumberFormat="1" applyFont="1" applyFill="1" applyBorder="1"/>
    <xf numFmtId="49" fontId="5" fillId="2" borderId="9" xfId="0" applyNumberFormat="1" applyFont="1" applyFill="1" applyBorder="1" applyAlignment="1">
      <alignment horizontal="center" vertical="center"/>
    </xf>
    <xf numFmtId="49" fontId="5" fillId="2" borderId="9" xfId="0" applyNumberFormat="1" applyFont="1" applyFill="1" applyBorder="1" applyAlignment="1">
      <alignment horizontal="center"/>
    </xf>
    <xf numFmtId="14" fontId="5" fillId="2" borderId="9" xfId="0" applyNumberFormat="1" applyFont="1" applyFill="1" applyBorder="1" applyAlignment="1">
      <alignment horizontal="center"/>
    </xf>
    <xf numFmtId="49" fontId="6" fillId="2" borderId="9" xfId="0" applyNumberFormat="1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14" fontId="7" fillId="2" borderId="9" xfId="0" applyNumberFormat="1" applyFont="1" applyFill="1" applyBorder="1" applyAlignment="1">
      <alignment horizontal="center"/>
    </xf>
    <xf numFmtId="49" fontId="7" fillId="2" borderId="9" xfId="0" applyNumberFormat="1" applyFont="1" applyFill="1" applyBorder="1" applyAlignment="1">
      <alignment horizontal="center"/>
    </xf>
    <xf numFmtId="0" fontId="1" fillId="0" borderId="15" xfId="0" applyFont="1" applyBorder="1" applyAlignment="1">
      <alignment horizontal="left" vertical="center"/>
    </xf>
    <xf numFmtId="49" fontId="2" fillId="2" borderId="27" xfId="0" applyNumberFormat="1" applyFont="1" applyFill="1" applyBorder="1"/>
    <xf numFmtId="0" fontId="3" fillId="2" borderId="25" xfId="0" applyFont="1" applyFill="1" applyBorder="1" applyAlignment="1">
      <alignment horizontal="center"/>
    </xf>
    <xf numFmtId="0" fontId="3" fillId="2" borderId="25" xfId="0" applyFont="1" applyFill="1" applyBorder="1"/>
    <xf numFmtId="0" fontId="3" fillId="2" borderId="28" xfId="0" applyFont="1" applyFill="1" applyBorder="1"/>
    <xf numFmtId="49" fontId="5" fillId="2" borderId="5" xfId="0" applyNumberFormat="1" applyFont="1" applyFill="1" applyBorder="1" applyAlignment="1">
      <alignment horizontal="center"/>
    </xf>
    <xf numFmtId="14" fontId="4" fillId="2" borderId="14" xfId="0" applyNumberFormat="1" applyFont="1" applyFill="1" applyBorder="1" applyAlignment="1">
      <alignment vertical="center"/>
    </xf>
    <xf numFmtId="0" fontId="4" fillId="2" borderId="25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wrapText="1"/>
    </xf>
    <xf numFmtId="49" fontId="6" fillId="2" borderId="5" xfId="0" applyNumberFormat="1" applyFont="1" applyFill="1" applyBorder="1" applyAlignment="1">
      <alignment horizontal="center"/>
    </xf>
    <xf numFmtId="49" fontId="6" fillId="2" borderId="7" xfId="0" applyNumberFormat="1" applyFont="1" applyFill="1" applyBorder="1" applyAlignment="1">
      <alignment horizontal="center"/>
    </xf>
    <xf numFmtId="49" fontId="6" fillId="2" borderId="11" xfId="0" applyNumberFormat="1" applyFont="1" applyFill="1" applyBorder="1" applyAlignment="1">
      <alignment horizontal="center"/>
    </xf>
    <xf numFmtId="14" fontId="6" fillId="2" borderId="9" xfId="0" applyNumberFormat="1" applyFont="1" applyFill="1" applyBorder="1" applyAlignment="1">
      <alignment horizontal="center"/>
    </xf>
    <xf numFmtId="0" fontId="6" fillId="2" borderId="9" xfId="0" applyFont="1" applyFill="1" applyBorder="1"/>
    <xf numFmtId="49" fontId="6" fillId="2" borderId="9" xfId="0" applyNumberFormat="1" applyFont="1" applyFill="1" applyBorder="1" applyAlignment="1">
      <alignment horizontal="center" vertical="center"/>
    </xf>
    <xf numFmtId="49" fontId="6" fillId="2" borderId="9" xfId="0" applyNumberFormat="1" applyFont="1" applyFill="1" applyBorder="1"/>
    <xf numFmtId="0" fontId="6" fillId="2" borderId="9" xfId="0" applyFont="1" applyFill="1" applyBorder="1" applyAlignment="1">
      <alignment horizontal="center"/>
    </xf>
    <xf numFmtId="14" fontId="6" fillId="2" borderId="14" xfId="0" applyNumberFormat="1" applyFont="1" applyFill="1" applyBorder="1" applyAlignment="1">
      <alignment vertical="center"/>
    </xf>
    <xf numFmtId="0" fontId="6" fillId="2" borderId="25" xfId="0" applyFont="1" applyFill="1" applyBorder="1" applyAlignment="1">
      <alignment vertical="center"/>
    </xf>
    <xf numFmtId="0" fontId="11" fillId="0" borderId="15" xfId="0" applyFont="1" applyBorder="1" applyAlignment="1">
      <alignment horizontal="left" vertical="center"/>
    </xf>
    <xf numFmtId="49" fontId="11" fillId="2" borderId="27" xfId="0" applyNumberFormat="1" applyFont="1" applyFill="1" applyBorder="1"/>
    <xf numFmtId="0" fontId="11" fillId="2" borderId="25" xfId="0" applyFont="1" applyFill="1" applyBorder="1" applyAlignment="1">
      <alignment horizontal="center"/>
    </xf>
    <xf numFmtId="0" fontId="11" fillId="2" borderId="25" xfId="0" applyFont="1" applyFill="1" applyBorder="1"/>
    <xf numFmtId="0" fontId="11" fillId="2" borderId="28" xfId="0" applyFont="1" applyFill="1" applyBorder="1"/>
    <xf numFmtId="0" fontId="6" fillId="2" borderId="14" xfId="0" applyFont="1" applyFill="1" applyBorder="1" applyAlignment="1">
      <alignment vertical="center"/>
    </xf>
    <xf numFmtId="49" fontId="12" fillId="2" borderId="1" xfId="0" applyNumberFormat="1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/>
    </xf>
    <xf numFmtId="49" fontId="6" fillId="2" borderId="3" xfId="0" applyNumberFormat="1" applyFont="1" applyFill="1" applyBorder="1" applyAlignment="1">
      <alignment horizontal="center" vertical="center" wrapText="1"/>
    </xf>
    <xf numFmtId="49" fontId="4" fillId="2" borderId="31" xfId="0" applyNumberFormat="1" applyFont="1" applyFill="1" applyBorder="1" applyAlignment="1">
      <alignment horizontal="center"/>
    </xf>
    <xf numFmtId="49" fontId="5" fillId="2" borderId="7" xfId="0" applyNumberFormat="1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8" xfId="0" applyFont="1" applyFill="1" applyBorder="1" applyAlignment="1">
      <alignment horizontal="center"/>
    </xf>
    <xf numFmtId="49" fontId="5" fillId="2" borderId="44" xfId="0" applyNumberFormat="1" applyFont="1" applyFill="1" applyBorder="1" applyAlignment="1">
      <alignment horizontal="center"/>
    </xf>
    <xf numFmtId="49" fontId="5" fillId="2" borderId="45" xfId="0" applyNumberFormat="1" applyFont="1" applyFill="1" applyBorder="1" applyAlignment="1">
      <alignment horizontal="center"/>
    </xf>
    <xf numFmtId="49" fontId="4" fillId="2" borderId="46" xfId="0" applyNumberFormat="1" applyFont="1" applyFill="1" applyBorder="1" applyAlignment="1">
      <alignment horizontal="center"/>
    </xf>
    <xf numFmtId="14" fontId="4" fillId="2" borderId="47" xfId="0" applyNumberFormat="1" applyFont="1" applyFill="1" applyBorder="1" applyAlignment="1">
      <alignment horizontal="center"/>
    </xf>
    <xf numFmtId="0" fontId="5" fillId="2" borderId="45" xfId="0" applyFont="1" applyFill="1" applyBorder="1" applyAlignment="1">
      <alignment horizontal="center"/>
    </xf>
    <xf numFmtId="0" fontId="0" fillId="2" borderId="33" xfId="0" applyFill="1" applyBorder="1"/>
    <xf numFmtId="14" fontId="4" fillId="2" borderId="46" xfId="0" applyNumberFormat="1" applyFont="1" applyFill="1" applyBorder="1" applyAlignment="1">
      <alignment horizontal="center"/>
    </xf>
    <xf numFmtId="0" fontId="4" fillId="2" borderId="47" xfId="0" applyFont="1" applyFill="1" applyBorder="1" applyAlignment="1">
      <alignment horizontal="center"/>
    </xf>
    <xf numFmtId="49" fontId="7" fillId="2" borderId="46" xfId="0" applyNumberFormat="1" applyFont="1" applyFill="1" applyBorder="1" applyAlignment="1">
      <alignment horizontal="center"/>
    </xf>
    <xf numFmtId="0" fontId="5" fillId="2" borderId="47" xfId="0" applyFont="1" applyFill="1" applyBorder="1" applyAlignment="1">
      <alignment horizontal="center"/>
    </xf>
    <xf numFmtId="49" fontId="7" fillId="2" borderId="44" xfId="0" applyNumberFormat="1" applyFont="1" applyFill="1" applyBorder="1" applyAlignment="1">
      <alignment horizontal="center"/>
    </xf>
    <xf numFmtId="49" fontId="5" fillId="2" borderId="46" xfId="0" applyNumberFormat="1" applyFont="1" applyFill="1" applyBorder="1" applyAlignment="1">
      <alignment horizontal="center"/>
    </xf>
    <xf numFmtId="49" fontId="5" fillId="2" borderId="47" xfId="0" applyNumberFormat="1" applyFont="1" applyFill="1" applyBorder="1" applyAlignment="1">
      <alignment horizontal="center"/>
    </xf>
    <xf numFmtId="14" fontId="5" fillId="2" borderId="45" xfId="0" applyNumberFormat="1" applyFont="1" applyFill="1" applyBorder="1" applyAlignment="1">
      <alignment horizontal="center"/>
    </xf>
    <xf numFmtId="0" fontId="5" fillId="2" borderId="33" xfId="0" applyFont="1" applyFill="1" applyBorder="1" applyAlignment="1">
      <alignment horizontal="center" vertical="center" wrapText="1"/>
    </xf>
    <xf numFmtId="14" fontId="5" fillId="2" borderId="47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/>
    </xf>
    <xf numFmtId="49" fontId="4" fillId="2" borderId="26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/>
    </xf>
    <xf numFmtId="49" fontId="7" fillId="2" borderId="34" xfId="0" applyNumberFormat="1" applyFont="1" applyFill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/>
    </xf>
    <xf numFmtId="49" fontId="6" fillId="2" borderId="34" xfId="0" applyNumberFormat="1" applyFont="1" applyFill="1" applyBorder="1" applyAlignment="1">
      <alignment horizontal="center" vertical="center"/>
    </xf>
    <xf numFmtId="49" fontId="12" fillId="2" borderId="34" xfId="0" applyNumberFormat="1" applyFont="1" applyFill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49" fontId="12" fillId="2" borderId="2" xfId="0" applyNumberFormat="1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 wrapText="1"/>
    </xf>
    <xf numFmtId="49" fontId="5" fillId="2" borderId="15" xfId="0" applyNumberFormat="1" applyFont="1" applyFill="1" applyBorder="1" applyAlignment="1">
      <alignment horizontal="center" vertical="center"/>
    </xf>
    <xf numFmtId="14" fontId="5" fillId="2" borderId="24" xfId="0" applyNumberFormat="1" applyFont="1" applyFill="1" applyBorder="1" applyAlignment="1">
      <alignment horizontal="center" vertical="center"/>
    </xf>
    <xf numFmtId="49" fontId="5" fillId="2" borderId="34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5" fillId="2" borderId="26" xfId="0" applyNumberFormat="1" applyFont="1" applyFill="1" applyBorder="1" applyAlignment="1">
      <alignment horizontal="center" vertical="center"/>
    </xf>
    <xf numFmtId="14" fontId="5" fillId="2" borderId="15" xfId="0" applyNumberFormat="1" applyFont="1" applyFill="1" applyBorder="1" applyAlignment="1">
      <alignment horizontal="center" vertical="center"/>
    </xf>
    <xf numFmtId="49" fontId="5" fillId="2" borderId="24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14" xfId="0" applyNumberFormat="1" applyFont="1" applyFill="1" applyBorder="1" applyAlignment="1">
      <alignment horizontal="center"/>
    </xf>
    <xf numFmtId="49" fontId="5" fillId="2" borderId="31" xfId="0" applyNumberFormat="1" applyFont="1" applyFill="1" applyBorder="1" applyAlignment="1">
      <alignment horizontal="center"/>
    </xf>
    <xf numFmtId="49" fontId="4" fillId="2" borderId="5" xfId="0" applyNumberFormat="1" applyFont="1" applyFill="1" applyBorder="1" applyAlignment="1">
      <alignment horizontal="center"/>
    </xf>
    <xf numFmtId="14" fontId="4" fillId="2" borderId="17" xfId="0" applyNumberFormat="1" applyFont="1" applyFill="1" applyBorder="1" applyAlignment="1">
      <alignment horizontal="center"/>
    </xf>
    <xf numFmtId="14" fontId="5" fillId="2" borderId="14" xfId="0" applyNumberFormat="1" applyFont="1" applyFill="1" applyBorder="1" applyAlignment="1">
      <alignment horizontal="center"/>
    </xf>
    <xf numFmtId="14" fontId="5" fillId="2" borderId="17" xfId="0" applyNumberFormat="1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49" fontId="5" fillId="2" borderId="17" xfId="0" applyNumberFormat="1" applyFont="1" applyFill="1" applyBorder="1" applyAlignment="1">
      <alignment horizontal="center"/>
    </xf>
    <xf numFmtId="49" fontId="7" fillId="2" borderId="5" xfId="0" applyNumberFormat="1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0" fillId="2" borderId="3" xfId="0" applyFill="1" applyBorder="1"/>
    <xf numFmtId="14" fontId="4" fillId="2" borderId="5" xfId="0" applyNumberFormat="1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3" fontId="6" fillId="2" borderId="9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3" fontId="3" fillId="2" borderId="3" xfId="0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14" fontId="4" fillId="2" borderId="8" xfId="0" applyNumberFormat="1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14" fontId="4" fillId="2" borderId="24" xfId="0" applyNumberFormat="1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3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3" fontId="0" fillId="0" borderId="0" xfId="0" applyNumberFormat="1"/>
    <xf numFmtId="49" fontId="12" fillId="2" borderId="2" xfId="0" applyNumberFormat="1" applyFont="1" applyFill="1" applyBorder="1" applyAlignment="1">
      <alignment vertical="center" wrapText="1"/>
    </xf>
    <xf numFmtId="0" fontId="2" fillId="0" borderId="4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left" vertical="center"/>
    </xf>
    <xf numFmtId="0" fontId="10" fillId="0" borderId="38" xfId="0" applyFont="1" applyBorder="1" applyAlignment="1">
      <alignment horizontal="left" vertical="center"/>
    </xf>
    <xf numFmtId="3" fontId="4" fillId="2" borderId="4" xfId="0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4" fillId="2" borderId="47" xfId="0" applyFont="1" applyFill="1" applyBorder="1" applyAlignment="1">
      <alignment horizontal="center" vertical="center"/>
    </xf>
    <xf numFmtId="3" fontId="4" fillId="2" borderId="15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2" fillId="0" borderId="35" xfId="0" applyFont="1" applyBorder="1" applyAlignment="1">
      <alignment horizontal="left" vertical="center"/>
    </xf>
    <xf numFmtId="0" fontId="2" fillId="0" borderId="37" xfId="0" applyFont="1" applyBorder="1" applyAlignment="1">
      <alignment horizontal="left" vertical="center"/>
    </xf>
    <xf numFmtId="0" fontId="4" fillId="2" borderId="26" xfId="0" applyFont="1" applyFill="1" applyBorder="1" applyAlignment="1">
      <alignment horizontal="center" vertical="center"/>
    </xf>
    <xf numFmtId="49" fontId="4" fillId="2" borderId="24" xfId="0" applyNumberFormat="1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3" fontId="4" fillId="2" borderId="26" xfId="0" applyNumberFormat="1" applyFont="1" applyFill="1" applyBorder="1" applyAlignment="1">
      <alignment horizontal="center" vertical="center"/>
    </xf>
    <xf numFmtId="3" fontId="4" fillId="2" borderId="24" xfId="0" applyNumberFormat="1" applyFont="1" applyFill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wrapText="1"/>
    </xf>
    <xf numFmtId="0" fontId="5" fillId="2" borderId="15" xfId="0" applyFont="1" applyFill="1" applyBorder="1" applyAlignment="1">
      <alignment horizontal="center" wrapText="1"/>
    </xf>
    <xf numFmtId="3" fontId="4" fillId="0" borderId="24" xfId="0" applyNumberFormat="1" applyFont="1" applyBorder="1" applyAlignment="1">
      <alignment horizontal="center" vertical="center"/>
    </xf>
    <xf numFmtId="0" fontId="10" fillId="0" borderId="37" xfId="0" applyFont="1" applyBorder="1" applyAlignment="1">
      <alignment horizontal="left" vertical="center"/>
    </xf>
    <xf numFmtId="49" fontId="6" fillId="2" borderId="36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49" fontId="6" fillId="2" borderId="7" xfId="0" applyNumberFormat="1" applyFont="1" applyFill="1" applyBorder="1" applyAlignment="1">
      <alignment horizontal="center" vertical="center" wrapText="1"/>
    </xf>
    <xf numFmtId="49" fontId="6" fillId="2" borderId="33" xfId="0" applyNumberFormat="1" applyFont="1" applyFill="1" applyBorder="1" applyAlignment="1">
      <alignment horizontal="center" vertical="center" wrapText="1"/>
    </xf>
    <xf numFmtId="0" fontId="7" fillId="0" borderId="38" xfId="0" applyFont="1" applyBorder="1" applyAlignment="1">
      <alignment horizontal="left" vertical="center"/>
    </xf>
    <xf numFmtId="3" fontId="4" fillId="0" borderId="32" xfId="0" applyNumberFormat="1" applyFont="1" applyBorder="1" applyAlignment="1">
      <alignment horizontal="center" vertical="center"/>
    </xf>
    <xf numFmtId="3" fontId="4" fillId="0" borderId="38" xfId="0" applyNumberFormat="1" applyFont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 wrapText="1"/>
    </xf>
    <xf numFmtId="49" fontId="6" fillId="2" borderId="15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3" fontId="4" fillId="2" borderId="34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34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3" fontId="4" fillId="2" borderId="39" xfId="0" applyNumberFormat="1" applyFont="1" applyFill="1" applyBorder="1" applyAlignment="1">
      <alignment horizontal="center" vertical="center"/>
    </xf>
    <xf numFmtId="3" fontId="4" fillId="2" borderId="52" xfId="0" applyNumberFormat="1" applyFont="1" applyFill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center" vertical="center"/>
    </xf>
    <xf numFmtId="3" fontId="4" fillId="2" borderId="36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3" fontId="6" fillId="0" borderId="6" xfId="0" applyNumberFormat="1" applyFont="1" applyBorder="1" applyAlignment="1">
      <alignment horizontal="center"/>
    </xf>
    <xf numFmtId="3" fontId="6" fillId="0" borderId="10" xfId="0" applyNumberFormat="1" applyFont="1" applyBorder="1" applyAlignment="1">
      <alignment horizontal="center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49" fontId="6" fillId="2" borderId="29" xfId="0" applyNumberFormat="1" applyFont="1" applyFill="1" applyBorder="1" applyAlignment="1">
      <alignment horizontal="center" vertical="center"/>
    </xf>
    <xf numFmtId="49" fontId="6" fillId="2" borderId="30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3" fontId="6" fillId="2" borderId="5" xfId="0" applyNumberFormat="1" applyFont="1" applyFill="1" applyBorder="1" applyAlignment="1">
      <alignment horizontal="center" vertical="center"/>
    </xf>
    <xf numFmtId="3" fontId="6" fillId="2" borderId="9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0" borderId="8" xfId="0" applyBorder="1" applyAlignment="1">
      <alignment horizontal="left" vertical="center"/>
    </xf>
    <xf numFmtId="0" fontId="6" fillId="2" borderId="30" xfId="0" applyFont="1" applyFill="1" applyBorder="1" applyAlignment="1">
      <alignment horizontal="center" vertical="center"/>
    </xf>
    <xf numFmtId="3" fontId="6" fillId="2" borderId="10" xfId="0" applyNumberFormat="1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 wrapText="1"/>
    </xf>
    <xf numFmtId="49" fontId="6" fillId="2" borderId="12" xfId="0" applyNumberFormat="1" applyFont="1" applyFill="1" applyBorder="1" applyAlignment="1">
      <alignment horizontal="center"/>
    </xf>
    <xf numFmtId="49" fontId="6" fillId="2" borderId="13" xfId="0" applyNumberFormat="1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49" fontId="6" fillId="2" borderId="24" xfId="0" applyNumberFormat="1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 wrapText="1"/>
    </xf>
    <xf numFmtId="0" fontId="6" fillId="0" borderId="8" xfId="0" applyFont="1" applyBorder="1" applyAlignment="1">
      <alignment horizontal="left" vertical="center"/>
    </xf>
    <xf numFmtId="0" fontId="6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49" fontId="0" fillId="2" borderId="12" xfId="0" applyNumberFormat="1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3" fontId="6" fillId="2" borderId="18" xfId="0" applyNumberFormat="1" applyFont="1" applyFill="1" applyBorder="1" applyAlignment="1">
      <alignment horizontal="center"/>
    </xf>
    <xf numFmtId="0" fontId="0" fillId="2" borderId="24" xfId="0" applyFill="1" applyBorder="1" applyAlignment="1">
      <alignment horizontal="center" wrapText="1"/>
    </xf>
    <xf numFmtId="49" fontId="6" fillId="2" borderId="9" xfId="0" applyNumberFormat="1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3" fontId="6" fillId="2" borderId="17" xfId="0" applyNumberFormat="1" applyFont="1" applyFill="1" applyBorder="1" applyAlignment="1">
      <alignment horizontal="center" vertical="center"/>
    </xf>
    <xf numFmtId="49" fontId="0" fillId="2" borderId="13" xfId="0" applyNumberFormat="1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4" fillId="2" borderId="9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3" fontId="4" fillId="2" borderId="10" xfId="0" applyNumberFormat="1" applyFont="1" applyFill="1" applyBorder="1" applyAlignment="1">
      <alignment horizontal="center"/>
    </xf>
    <xf numFmtId="3" fontId="4" fillId="2" borderId="18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3" fontId="4" fillId="2" borderId="30" xfId="0" applyNumberFormat="1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3" fontId="4" fillId="2" borderId="17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49" fontId="5" fillId="2" borderId="24" xfId="0" applyNumberFormat="1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49" fontId="5" fillId="2" borderId="13" xfId="0" applyNumberFormat="1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 wrapText="1"/>
    </xf>
    <xf numFmtId="49" fontId="5" fillId="2" borderId="12" xfId="0" applyNumberFormat="1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49" fontId="4" fillId="2" borderId="9" xfId="0" applyNumberFormat="1" applyFont="1" applyFill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49" fontId="4" fillId="2" borderId="29" xfId="0" applyNumberFormat="1" applyFont="1" applyFill="1" applyBorder="1" applyAlignment="1">
      <alignment horizontal="center" vertical="center"/>
    </xf>
    <xf numFmtId="49" fontId="4" fillId="2" borderId="30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49" fontId="6" fillId="2" borderId="51" xfId="0" applyNumberFormat="1" applyFont="1" applyFill="1" applyBorder="1" applyAlignment="1">
      <alignment horizontal="center"/>
    </xf>
    <xf numFmtId="49" fontId="7" fillId="2" borderId="51" xfId="0" applyNumberFormat="1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4" fillId="2" borderId="31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3" fontId="4" fillId="2" borderId="50" xfId="0" applyNumberFormat="1" applyFont="1" applyFill="1" applyBorder="1" applyAlignment="1">
      <alignment horizontal="center"/>
    </xf>
    <xf numFmtId="3" fontId="4" fillId="2" borderId="49" xfId="0" applyNumberFormat="1" applyFont="1" applyFill="1" applyBorder="1" applyAlignment="1">
      <alignment horizontal="center"/>
    </xf>
    <xf numFmtId="49" fontId="0" fillId="2" borderId="26" xfId="0" applyNumberFormat="1" applyFill="1" applyBorder="1" applyAlignment="1">
      <alignment horizontal="left"/>
    </xf>
    <xf numFmtId="0" fontId="0" fillId="2" borderId="24" xfId="0" applyFill="1" applyBorder="1" applyAlignment="1">
      <alignment horizontal="left"/>
    </xf>
    <xf numFmtId="0" fontId="10" fillId="0" borderId="15" xfId="0" applyFont="1" applyBorder="1" applyAlignment="1">
      <alignment horizontal="left" vertical="center"/>
    </xf>
    <xf numFmtId="3" fontId="4" fillId="2" borderId="29" xfId="0" applyNumberFormat="1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3" fontId="4" fillId="2" borderId="23" xfId="0" applyNumberFormat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3" fontId="4" fillId="2" borderId="31" xfId="0" applyNumberFormat="1" applyFont="1" applyFill="1" applyBorder="1" applyAlignment="1">
      <alignment horizontal="center" vertical="center"/>
    </xf>
    <xf numFmtId="3" fontId="4" fillId="2" borderId="14" xfId="0" applyNumberFormat="1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/>
    </xf>
    <xf numFmtId="0" fontId="7" fillId="0" borderId="24" xfId="0" applyFont="1" applyBorder="1" applyAlignment="1">
      <alignment horizontal="left" vertical="center"/>
    </xf>
    <xf numFmtId="49" fontId="5" fillId="2" borderId="4" xfId="0" applyNumberFormat="1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49" fontId="5" fillId="2" borderId="34" xfId="0" applyNumberFormat="1" applyFont="1" applyFill="1" applyBorder="1" applyAlignment="1">
      <alignment horizontal="center" wrapText="1"/>
    </xf>
    <xf numFmtId="0" fontId="5" fillId="2" borderId="34" xfId="0" applyFont="1" applyFill="1" applyBorder="1" applyAlignment="1">
      <alignment horizontal="center" wrapText="1"/>
    </xf>
    <xf numFmtId="49" fontId="4" fillId="2" borderId="5" xfId="0" applyNumberFormat="1" applyFont="1" applyFill="1" applyBorder="1" applyAlignment="1">
      <alignment horizontal="center"/>
    </xf>
    <xf numFmtId="49" fontId="4" fillId="2" borderId="17" xfId="0" applyNumberFormat="1" applyFont="1" applyFill="1" applyBorder="1" applyAlignment="1">
      <alignment horizontal="center"/>
    </xf>
    <xf numFmtId="3" fontId="4" fillId="0" borderId="50" xfId="0" applyNumberFormat="1" applyFont="1" applyBorder="1" applyAlignment="1">
      <alignment horizontal="center"/>
    </xf>
    <xf numFmtId="3" fontId="4" fillId="0" borderId="49" xfId="0" applyNumberFormat="1" applyFont="1" applyBorder="1" applyAlignment="1">
      <alignment horizontal="center"/>
    </xf>
    <xf numFmtId="49" fontId="5" fillId="2" borderId="26" xfId="0" applyNumberFormat="1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3" fontId="4" fillId="0" borderId="18" xfId="0" applyNumberFormat="1" applyFont="1" applyBorder="1" applyAlignment="1">
      <alignment horizontal="center"/>
    </xf>
    <xf numFmtId="0" fontId="5" fillId="2" borderId="4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/>
    </xf>
    <xf numFmtId="0" fontId="2" fillId="0" borderId="24" xfId="0" applyFont="1" applyBorder="1" applyAlignment="1">
      <alignment horizontal="left" vertical="center"/>
    </xf>
    <xf numFmtId="49" fontId="4" fillId="2" borderId="22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2" fontId="6" fillId="2" borderId="9" xfId="0" applyNumberFormat="1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0" fontId="0" fillId="0" borderId="3" xfId="0" applyBorder="1"/>
    <xf numFmtId="3" fontId="4" fillId="0" borderId="7" xfId="0" applyNumberFormat="1" applyFont="1" applyBorder="1" applyAlignment="1">
      <alignment horizontal="center" vertical="center"/>
    </xf>
    <xf numFmtId="0" fontId="0" fillId="0" borderId="33" xfId="0" applyBorder="1"/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3" fontId="4" fillId="2" borderId="32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3" fontId="4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3" fontId="4" fillId="0" borderId="36" xfId="0" applyNumberFormat="1" applyFont="1" applyBorder="1" applyAlignment="1">
      <alignment horizontal="center" vertical="center"/>
    </xf>
    <xf numFmtId="0" fontId="0" fillId="0" borderId="36" xfId="0" applyBorder="1"/>
    <xf numFmtId="3" fontId="4" fillId="2" borderId="35" xfId="0" applyNumberFormat="1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49" fontId="6" fillId="2" borderId="34" xfId="0" applyNumberFormat="1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0" fillId="0" borderId="34" xfId="0" applyBorder="1"/>
    <xf numFmtId="49" fontId="4" fillId="2" borderId="32" xfId="0" applyNumberFormat="1" applyFont="1" applyFill="1" applyBorder="1" applyAlignment="1">
      <alignment horizontal="center" vertical="center"/>
    </xf>
    <xf numFmtId="49" fontId="4" fillId="2" borderId="37" xfId="0" applyNumberFormat="1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wrapText="1"/>
    </xf>
    <xf numFmtId="0" fontId="2" fillId="0" borderId="40" xfId="0" applyFont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34" xfId="0" applyNumberFormat="1" applyFont="1" applyFill="1" applyBorder="1" applyAlignment="1">
      <alignment horizontal="center" vertical="center"/>
    </xf>
    <xf numFmtId="49" fontId="4" fillId="2" borderId="26" xfId="0" applyNumberFormat="1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3" fontId="4" fillId="0" borderId="26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opLeftCell="A10" zoomScale="85" zoomScaleNormal="85" workbookViewId="0">
      <selection activeCell="E31" sqref="E31"/>
    </sheetView>
  </sheetViews>
  <sheetFormatPr baseColWidth="10" defaultColWidth="11.42578125" defaultRowHeight="15" x14ac:dyDescent="0.25"/>
  <cols>
    <col min="1" max="1" width="11.28515625" customWidth="1"/>
    <col min="2" max="2" width="10" customWidth="1"/>
    <col min="3" max="3" width="8.85546875" customWidth="1"/>
    <col min="4" max="4" width="9.28515625" customWidth="1"/>
    <col min="5" max="5" width="16.5703125" customWidth="1"/>
    <col min="6" max="6" width="9.140625" customWidth="1"/>
    <col min="7" max="7" width="11" customWidth="1"/>
    <col min="8" max="8" width="7.5703125" customWidth="1"/>
    <col min="9" max="9" width="9.28515625" customWidth="1"/>
    <col min="10" max="10" width="9.42578125" customWidth="1"/>
    <col min="11" max="11" width="8.7109375" customWidth="1"/>
    <col min="12" max="12" width="22.85546875" customWidth="1"/>
  </cols>
  <sheetData>
    <row r="1" spans="1:12" ht="18" x14ac:dyDescent="0.25">
      <c r="A1" s="132" t="s">
        <v>0</v>
      </c>
      <c r="B1" s="132"/>
      <c r="C1" s="132"/>
      <c r="D1" s="1"/>
      <c r="E1" s="1"/>
      <c r="F1" s="2"/>
      <c r="G1" s="2"/>
      <c r="H1" s="2"/>
      <c r="I1" s="2"/>
      <c r="J1" s="133" t="s">
        <v>5</v>
      </c>
      <c r="K1" s="133"/>
      <c r="L1" s="133"/>
    </row>
    <row r="2" spans="1:12" ht="15.75" x14ac:dyDescent="0.25">
      <c r="A2" s="134" t="s">
        <v>1</v>
      </c>
      <c r="B2" s="134"/>
      <c r="C2" s="134"/>
      <c r="D2" s="3"/>
      <c r="E2" s="3"/>
      <c r="F2" s="2"/>
      <c r="G2" s="2"/>
      <c r="H2" s="2"/>
      <c r="I2" s="2"/>
      <c r="J2" s="134" t="s">
        <v>6</v>
      </c>
      <c r="K2" s="134"/>
      <c r="L2" s="134"/>
    </row>
    <row r="3" spans="1:12" x14ac:dyDescent="0.25">
      <c r="A3" s="133" t="s">
        <v>7</v>
      </c>
      <c r="B3" s="133"/>
      <c r="C3" s="133"/>
      <c r="D3" s="4"/>
      <c r="E3" s="4"/>
      <c r="F3" s="2"/>
      <c r="G3" s="2"/>
      <c r="H3" s="2"/>
      <c r="I3" s="2"/>
      <c r="J3" s="133" t="s">
        <v>8</v>
      </c>
      <c r="K3" s="133"/>
      <c r="L3" s="133"/>
    </row>
    <row r="4" spans="1:12" ht="18" x14ac:dyDescent="0.25">
      <c r="A4" s="1"/>
      <c r="B4" s="1"/>
      <c r="C4" s="1"/>
      <c r="D4" s="132" t="s">
        <v>9</v>
      </c>
      <c r="E4" s="132"/>
      <c r="F4" s="132"/>
      <c r="G4" s="132"/>
      <c r="H4" s="132"/>
      <c r="I4" s="132"/>
      <c r="J4" s="132"/>
      <c r="K4" s="132"/>
      <c r="L4" s="132"/>
    </row>
    <row r="5" spans="1:12" ht="18" x14ac:dyDescent="0.25">
      <c r="A5" s="1"/>
      <c r="B5" s="1"/>
      <c r="C5" s="132" t="s">
        <v>31</v>
      </c>
      <c r="D5" s="132"/>
      <c r="E5" s="132"/>
      <c r="F5" s="132"/>
      <c r="G5" s="132"/>
      <c r="H5" s="132"/>
      <c r="I5" s="132"/>
      <c r="J5" s="132"/>
      <c r="K5" s="1"/>
      <c r="L5" s="1"/>
    </row>
    <row r="6" spans="1:12" ht="15.75" thickBot="1" x14ac:dyDescent="0.3"/>
    <row r="7" spans="1:12" ht="27.95" customHeight="1" thickBot="1" x14ac:dyDescent="0.3">
      <c r="A7" s="208" t="s">
        <v>2</v>
      </c>
      <c r="B7" s="210" t="s">
        <v>33</v>
      </c>
      <c r="C7" s="208" t="s">
        <v>10</v>
      </c>
      <c r="D7" s="208" t="s">
        <v>11</v>
      </c>
      <c r="E7" s="30" t="s">
        <v>12</v>
      </c>
      <c r="F7" s="212" t="s">
        <v>38</v>
      </c>
      <c r="G7" s="213"/>
      <c r="H7" s="213"/>
      <c r="I7" s="213"/>
      <c r="J7" s="213"/>
      <c r="K7" s="214"/>
      <c r="L7" s="208" t="s">
        <v>13</v>
      </c>
    </row>
    <row r="8" spans="1:12" ht="36" customHeight="1" thickBot="1" x14ac:dyDescent="0.3">
      <c r="A8" s="209"/>
      <c r="B8" s="211"/>
      <c r="C8" s="209"/>
      <c r="D8" s="209"/>
      <c r="E8" s="30" t="s">
        <v>14</v>
      </c>
      <c r="F8" s="31" t="s">
        <v>3</v>
      </c>
      <c r="G8" s="31" t="s">
        <v>34</v>
      </c>
      <c r="H8" s="32" t="s">
        <v>4</v>
      </c>
      <c r="I8" s="31" t="s">
        <v>35</v>
      </c>
      <c r="J8" s="31" t="s">
        <v>36</v>
      </c>
      <c r="K8" s="33" t="s">
        <v>37</v>
      </c>
      <c r="L8" s="209"/>
    </row>
    <row r="9" spans="1:12" ht="17.45" customHeight="1" x14ac:dyDescent="0.25">
      <c r="A9" s="200" t="s">
        <v>15</v>
      </c>
      <c r="B9" s="202" t="s">
        <v>32</v>
      </c>
      <c r="C9" s="204">
        <v>200</v>
      </c>
      <c r="D9" s="206">
        <f>C9+B9</f>
        <v>319</v>
      </c>
      <c r="E9" s="34" t="s">
        <v>55</v>
      </c>
      <c r="F9" s="196">
        <v>8</v>
      </c>
      <c r="G9" s="196">
        <v>44</v>
      </c>
      <c r="H9" s="196">
        <v>2</v>
      </c>
      <c r="I9" s="196"/>
      <c r="J9" s="196">
        <f>I9+H9+G9+F9</f>
        <v>54</v>
      </c>
      <c r="K9" s="198">
        <f>D9-J9</f>
        <v>265</v>
      </c>
      <c r="L9" s="35"/>
    </row>
    <row r="10" spans="1:12" ht="17.45" customHeight="1" thickBot="1" x14ac:dyDescent="0.3">
      <c r="A10" s="201"/>
      <c r="B10" s="203"/>
      <c r="C10" s="205"/>
      <c r="D10" s="207"/>
      <c r="E10" s="16" t="s">
        <v>56</v>
      </c>
      <c r="F10" s="197"/>
      <c r="G10" s="197"/>
      <c r="H10" s="197"/>
      <c r="I10" s="197"/>
      <c r="J10" s="197"/>
      <c r="K10" s="199"/>
      <c r="L10" s="36"/>
    </row>
    <row r="11" spans="1:12" ht="14.45" customHeight="1" x14ac:dyDescent="0.25">
      <c r="A11" s="201" t="s">
        <v>16</v>
      </c>
      <c r="B11" s="203" t="s">
        <v>39</v>
      </c>
      <c r="C11" s="197"/>
      <c r="D11" s="207">
        <f t="shared" ref="D11" si="0">C11+B11</f>
        <v>265</v>
      </c>
      <c r="E11" s="197"/>
      <c r="F11" s="197">
        <v>16</v>
      </c>
      <c r="G11" s="197">
        <v>15</v>
      </c>
      <c r="H11" s="197">
        <v>1</v>
      </c>
      <c r="I11" s="197"/>
      <c r="J11" s="196">
        <f t="shared" ref="J11" si="1">I11+H11+G11+F11</f>
        <v>32</v>
      </c>
      <c r="K11" s="199">
        <f t="shared" ref="K11" si="2">D11-J11</f>
        <v>233</v>
      </c>
      <c r="L11" s="215"/>
    </row>
    <row r="12" spans="1:12" ht="14.45" customHeight="1" thickBot="1" x14ac:dyDescent="0.3">
      <c r="A12" s="216"/>
      <c r="B12" s="217"/>
      <c r="C12" s="197"/>
      <c r="D12" s="207"/>
      <c r="E12" s="197"/>
      <c r="F12" s="197"/>
      <c r="G12" s="197"/>
      <c r="H12" s="197"/>
      <c r="I12" s="197"/>
      <c r="J12" s="197"/>
      <c r="K12" s="199"/>
      <c r="L12" s="215"/>
    </row>
    <row r="13" spans="1:12" ht="14.45" customHeight="1" x14ac:dyDescent="0.25">
      <c r="A13" s="201" t="s">
        <v>17</v>
      </c>
      <c r="B13" s="203" t="s">
        <v>40</v>
      </c>
      <c r="C13" s="205">
        <v>6</v>
      </c>
      <c r="D13" s="207">
        <f t="shared" ref="D13" si="3">C13+B13</f>
        <v>239</v>
      </c>
      <c r="E13" s="16" t="s">
        <v>57</v>
      </c>
      <c r="F13" s="197">
        <v>27</v>
      </c>
      <c r="G13" s="197">
        <v>38</v>
      </c>
      <c r="H13" s="197">
        <v>1</v>
      </c>
      <c r="I13" s="197"/>
      <c r="J13" s="196">
        <f t="shared" ref="J13" si="4">I13+H13+G13+F13</f>
        <v>66</v>
      </c>
      <c r="K13" s="199">
        <f t="shared" ref="K13" si="5">D13-J13</f>
        <v>173</v>
      </c>
      <c r="L13" s="215"/>
    </row>
    <row r="14" spans="1:12" ht="14.45" customHeight="1" thickBot="1" x14ac:dyDescent="0.3">
      <c r="A14" s="216"/>
      <c r="B14" s="217"/>
      <c r="C14" s="205"/>
      <c r="D14" s="207"/>
      <c r="E14" s="37">
        <v>41721</v>
      </c>
      <c r="F14" s="197"/>
      <c r="G14" s="197"/>
      <c r="H14" s="197"/>
      <c r="I14" s="197"/>
      <c r="J14" s="197"/>
      <c r="K14" s="199"/>
      <c r="L14" s="215"/>
    </row>
    <row r="15" spans="1:12" ht="14.45" customHeight="1" x14ac:dyDescent="0.25">
      <c r="A15" s="201" t="s">
        <v>18</v>
      </c>
      <c r="B15" s="203" t="s">
        <v>41</v>
      </c>
      <c r="C15" s="205">
        <v>100</v>
      </c>
      <c r="D15" s="207">
        <f t="shared" ref="D15" si="6">C15+B15</f>
        <v>273</v>
      </c>
      <c r="E15" s="16" t="s">
        <v>54</v>
      </c>
      <c r="F15" s="197">
        <v>90</v>
      </c>
      <c r="G15" s="197">
        <v>30</v>
      </c>
      <c r="H15" s="197">
        <v>6</v>
      </c>
      <c r="I15" s="197"/>
      <c r="J15" s="196">
        <f t="shared" ref="J15" si="7">I15+H15+G15+F15</f>
        <v>126</v>
      </c>
      <c r="K15" s="218">
        <f t="shared" ref="K15" si="8">D15-J15</f>
        <v>147</v>
      </c>
      <c r="L15" s="215"/>
    </row>
    <row r="16" spans="1:12" ht="14.45" customHeight="1" thickBot="1" x14ac:dyDescent="0.3">
      <c r="A16" s="216"/>
      <c r="B16" s="217"/>
      <c r="C16" s="205"/>
      <c r="D16" s="207"/>
      <c r="E16" s="37">
        <v>41743</v>
      </c>
      <c r="F16" s="197"/>
      <c r="G16" s="197"/>
      <c r="H16" s="197"/>
      <c r="I16" s="197"/>
      <c r="J16" s="197"/>
      <c r="K16" s="218"/>
      <c r="L16" s="215"/>
    </row>
    <row r="17" spans="1:12" ht="14.45" customHeight="1" x14ac:dyDescent="0.25">
      <c r="A17" s="201" t="s">
        <v>19</v>
      </c>
      <c r="B17" s="203" t="s">
        <v>43</v>
      </c>
      <c r="C17" s="205">
        <v>200</v>
      </c>
      <c r="D17" s="207">
        <f t="shared" ref="D17" si="9">C17+B17</f>
        <v>347</v>
      </c>
      <c r="E17" s="16" t="s">
        <v>53</v>
      </c>
      <c r="F17" s="197">
        <v>52</v>
      </c>
      <c r="G17" s="197">
        <v>26</v>
      </c>
      <c r="H17" s="197">
        <v>45</v>
      </c>
      <c r="I17" s="219" t="s">
        <v>64</v>
      </c>
      <c r="J17" s="196">
        <f>H17+G17+F17</f>
        <v>123</v>
      </c>
      <c r="K17" s="218">
        <f t="shared" ref="K17" si="10">D17-J17</f>
        <v>224</v>
      </c>
      <c r="L17" s="220"/>
    </row>
    <row r="18" spans="1:12" ht="14.45" customHeight="1" thickBot="1" x14ac:dyDescent="0.3">
      <c r="A18" s="216"/>
      <c r="B18" s="217"/>
      <c r="C18" s="205"/>
      <c r="D18" s="207"/>
      <c r="E18" s="37">
        <v>41766</v>
      </c>
      <c r="F18" s="197"/>
      <c r="G18" s="197"/>
      <c r="H18" s="197"/>
      <c r="I18" s="219"/>
      <c r="J18" s="197"/>
      <c r="K18" s="218"/>
      <c r="L18" s="215"/>
    </row>
    <row r="19" spans="1:12" ht="17.45" customHeight="1" x14ac:dyDescent="0.25">
      <c r="A19" s="201" t="s">
        <v>20</v>
      </c>
      <c r="B19" s="203" t="s">
        <v>44</v>
      </c>
      <c r="C19" s="197"/>
      <c r="D19" s="207">
        <f t="shared" ref="D19" si="11">C19+B19</f>
        <v>224</v>
      </c>
      <c r="E19" s="232"/>
      <c r="F19" s="197">
        <v>50</v>
      </c>
      <c r="G19" s="197">
        <v>52</v>
      </c>
      <c r="H19" s="197">
        <v>2</v>
      </c>
      <c r="I19" s="197"/>
      <c r="J19" s="196">
        <f t="shared" ref="J19" si="12">I19+H19+G19+F19</f>
        <v>104</v>
      </c>
      <c r="K19" s="218">
        <f t="shared" ref="K19" si="13">D19-J19</f>
        <v>120</v>
      </c>
      <c r="L19" s="221"/>
    </row>
    <row r="20" spans="1:12" ht="17.45" customHeight="1" thickBot="1" x14ac:dyDescent="0.3">
      <c r="A20" s="216"/>
      <c r="B20" s="217"/>
      <c r="C20" s="197"/>
      <c r="D20" s="207"/>
      <c r="E20" s="232"/>
      <c r="F20" s="197"/>
      <c r="G20" s="197"/>
      <c r="H20" s="197"/>
      <c r="I20" s="197"/>
      <c r="J20" s="197"/>
      <c r="K20" s="218"/>
      <c r="L20" s="222"/>
    </row>
    <row r="21" spans="1:12" ht="14.45" customHeight="1" x14ac:dyDescent="0.25">
      <c r="A21" s="201" t="s">
        <v>21</v>
      </c>
      <c r="B21" s="203" t="s">
        <v>45</v>
      </c>
      <c r="C21" s="205">
        <v>20</v>
      </c>
      <c r="D21" s="207">
        <f t="shared" ref="D21" si="14">C21+B21</f>
        <v>140</v>
      </c>
      <c r="E21" s="38"/>
      <c r="F21" s="197">
        <v>14</v>
      </c>
      <c r="G21" s="197">
        <v>38</v>
      </c>
      <c r="H21" s="197">
        <v>3</v>
      </c>
      <c r="I21" s="197"/>
      <c r="J21" s="196">
        <f>I21+H21+G21+F21</f>
        <v>55</v>
      </c>
      <c r="K21" s="218">
        <f>D21-J21</f>
        <v>85</v>
      </c>
      <c r="L21" s="223" t="s">
        <v>65</v>
      </c>
    </row>
    <row r="22" spans="1:12" ht="14.45" customHeight="1" thickBot="1" x14ac:dyDescent="0.3">
      <c r="A22" s="216"/>
      <c r="B22" s="217"/>
      <c r="C22" s="205"/>
      <c r="D22" s="207"/>
      <c r="E22" s="38"/>
      <c r="F22" s="197"/>
      <c r="G22" s="197"/>
      <c r="H22" s="197"/>
      <c r="I22" s="197"/>
      <c r="J22" s="197"/>
      <c r="K22" s="218"/>
      <c r="L22" s="224"/>
    </row>
    <row r="23" spans="1:12" ht="17.45" customHeight="1" x14ac:dyDescent="0.25">
      <c r="A23" s="201" t="s">
        <v>22</v>
      </c>
      <c r="B23" s="203" t="s">
        <v>46</v>
      </c>
      <c r="C23" s="205">
        <v>100</v>
      </c>
      <c r="D23" s="207">
        <f t="shared" ref="D23" si="15">C23+B23</f>
        <v>185</v>
      </c>
      <c r="E23" s="39" t="s">
        <v>51</v>
      </c>
      <c r="F23" s="197">
        <v>21</v>
      </c>
      <c r="G23" s="197">
        <v>72</v>
      </c>
      <c r="H23" s="197">
        <v>2</v>
      </c>
      <c r="I23" s="197"/>
      <c r="J23" s="196">
        <f t="shared" ref="J23" si="16">I23+H23+G23+F23</f>
        <v>95</v>
      </c>
      <c r="K23" s="218">
        <f t="shared" ref="K23" si="17">D23-J23</f>
        <v>90</v>
      </c>
      <c r="L23" s="221"/>
    </row>
    <row r="24" spans="1:12" ht="17.45" customHeight="1" thickBot="1" x14ac:dyDescent="0.3">
      <c r="A24" s="216"/>
      <c r="B24" s="217"/>
      <c r="C24" s="205"/>
      <c r="D24" s="207"/>
      <c r="E24" s="16" t="s">
        <v>52</v>
      </c>
      <c r="F24" s="197"/>
      <c r="G24" s="197"/>
      <c r="H24" s="197"/>
      <c r="I24" s="197"/>
      <c r="J24" s="197"/>
      <c r="K24" s="218"/>
      <c r="L24" s="222"/>
    </row>
    <row r="25" spans="1:12" ht="17.45" customHeight="1" x14ac:dyDescent="0.25">
      <c r="A25" s="201" t="s">
        <v>23</v>
      </c>
      <c r="B25" s="203" t="s">
        <v>47</v>
      </c>
      <c r="C25" s="205">
        <v>103</v>
      </c>
      <c r="D25" s="207">
        <f t="shared" ref="D25" si="18">C25+B25</f>
        <v>193</v>
      </c>
      <c r="E25" s="16" t="s">
        <v>58</v>
      </c>
      <c r="F25" s="197">
        <v>22</v>
      </c>
      <c r="G25" s="197">
        <v>79</v>
      </c>
      <c r="H25" s="197">
        <v>1</v>
      </c>
      <c r="I25" s="197"/>
      <c r="J25" s="196">
        <f t="shared" ref="J25" si="19">I25+H25+G25+F25</f>
        <v>102</v>
      </c>
      <c r="K25" s="218">
        <f t="shared" ref="K25" si="20">D25-J25</f>
        <v>91</v>
      </c>
      <c r="L25" s="226"/>
    </row>
    <row r="26" spans="1:12" ht="17.45" customHeight="1" thickBot="1" x14ac:dyDescent="0.3">
      <c r="A26" s="225"/>
      <c r="B26" s="217"/>
      <c r="C26" s="205"/>
      <c r="D26" s="207"/>
      <c r="E26" s="16" t="s">
        <v>59</v>
      </c>
      <c r="F26" s="197"/>
      <c r="G26" s="197"/>
      <c r="H26" s="197"/>
      <c r="I26" s="197"/>
      <c r="J26" s="197"/>
      <c r="K26" s="218"/>
      <c r="L26" s="227"/>
    </row>
    <row r="27" spans="1:12" ht="14.45" customHeight="1" x14ac:dyDescent="0.25">
      <c r="A27" s="201" t="s">
        <v>24</v>
      </c>
      <c r="B27" s="203" t="s">
        <v>48</v>
      </c>
      <c r="C27" s="205">
        <v>102</v>
      </c>
      <c r="D27" s="207">
        <f t="shared" ref="D27:D31" si="21">C27+B27</f>
        <v>193</v>
      </c>
      <c r="E27" s="40" t="s">
        <v>60</v>
      </c>
      <c r="F27" s="197">
        <v>18</v>
      </c>
      <c r="G27" s="197">
        <v>41</v>
      </c>
      <c r="H27" s="197">
        <v>1</v>
      </c>
      <c r="I27" s="197">
        <v>20</v>
      </c>
      <c r="J27" s="196">
        <f t="shared" ref="J27" si="22">I27+H27+G27+F27</f>
        <v>80</v>
      </c>
      <c r="K27" s="218">
        <v>113</v>
      </c>
      <c r="L27" s="237" t="s">
        <v>42</v>
      </c>
    </row>
    <row r="28" spans="1:12" ht="14.45" customHeight="1" thickBot="1" x14ac:dyDescent="0.3">
      <c r="A28" s="216"/>
      <c r="B28" s="217"/>
      <c r="C28" s="205"/>
      <c r="D28" s="207"/>
      <c r="E28" s="41" t="s">
        <v>61</v>
      </c>
      <c r="F28" s="197"/>
      <c r="G28" s="197"/>
      <c r="H28" s="197"/>
      <c r="I28" s="197"/>
      <c r="J28" s="197"/>
      <c r="K28" s="218"/>
      <c r="L28" s="238"/>
    </row>
    <row r="29" spans="1:12" ht="14.45" customHeight="1" x14ac:dyDescent="0.25">
      <c r="A29" s="201" t="s">
        <v>25</v>
      </c>
      <c r="B29" s="203" t="s">
        <v>49</v>
      </c>
      <c r="C29" s="205">
        <v>163</v>
      </c>
      <c r="D29" s="207">
        <f t="shared" si="21"/>
        <v>276</v>
      </c>
      <c r="E29" s="16" t="s">
        <v>62</v>
      </c>
      <c r="F29" s="197">
        <v>22</v>
      </c>
      <c r="G29" s="197">
        <v>68</v>
      </c>
      <c r="H29" s="197"/>
      <c r="I29" s="197"/>
      <c r="J29" s="196">
        <f t="shared" ref="J29" si="23">I29+H29+G29+F29</f>
        <v>90</v>
      </c>
      <c r="K29" s="218">
        <f t="shared" ref="K29" si="24">D29-J29</f>
        <v>186</v>
      </c>
      <c r="L29" s="228"/>
    </row>
    <row r="30" spans="1:12" ht="14.45" customHeight="1" thickBot="1" x14ac:dyDescent="0.3">
      <c r="A30" s="216"/>
      <c r="B30" s="217"/>
      <c r="C30" s="205"/>
      <c r="D30" s="207"/>
      <c r="E30" s="37" t="s">
        <v>63</v>
      </c>
      <c r="F30" s="197"/>
      <c r="G30" s="197"/>
      <c r="H30" s="197"/>
      <c r="I30" s="197"/>
      <c r="J30" s="197"/>
      <c r="K30" s="218"/>
      <c r="L30" s="229"/>
    </row>
    <row r="31" spans="1:12" ht="14.45" customHeight="1" x14ac:dyDescent="0.25">
      <c r="A31" s="201" t="s">
        <v>26</v>
      </c>
      <c r="B31" s="203" t="s">
        <v>50</v>
      </c>
      <c r="C31" s="205">
        <v>101</v>
      </c>
      <c r="D31" s="207">
        <f t="shared" si="21"/>
        <v>287</v>
      </c>
      <c r="E31" s="49"/>
      <c r="F31" s="197">
        <v>23</v>
      </c>
      <c r="G31" s="197">
        <v>77</v>
      </c>
      <c r="H31" s="197">
        <v>3</v>
      </c>
      <c r="I31" s="197">
        <v>30</v>
      </c>
      <c r="J31" s="196">
        <f t="shared" ref="J31" si="25">I31+H31+G31+F31</f>
        <v>133</v>
      </c>
      <c r="K31" s="218">
        <v>154</v>
      </c>
      <c r="L31" s="231" t="s">
        <v>83</v>
      </c>
    </row>
    <row r="32" spans="1:12" ht="15" customHeight="1" thickBot="1" x14ac:dyDescent="0.3">
      <c r="A32" s="216"/>
      <c r="B32" s="234"/>
      <c r="C32" s="235"/>
      <c r="D32" s="236"/>
      <c r="E32" s="43"/>
      <c r="F32" s="233"/>
      <c r="G32" s="233"/>
      <c r="H32" s="233"/>
      <c r="I32" s="233"/>
      <c r="J32" s="233"/>
      <c r="K32" s="230"/>
      <c r="L32" s="172"/>
    </row>
    <row r="33" spans="1:12" ht="23.1" customHeight="1" thickBot="1" x14ac:dyDescent="0.3">
      <c r="A33" s="44" t="s">
        <v>27</v>
      </c>
      <c r="B33" s="45"/>
      <c r="C33" s="46">
        <f>SUM(C9:C32)</f>
        <v>1095</v>
      </c>
      <c r="D33" s="46"/>
      <c r="E33" s="47"/>
      <c r="F33" s="46">
        <f>SUM(F9:F32)</f>
        <v>363</v>
      </c>
      <c r="G33" s="46">
        <f>SUM(G9:G32)</f>
        <v>580</v>
      </c>
      <c r="H33" s="46">
        <f>SUM(H9:H32)</f>
        <v>67</v>
      </c>
      <c r="I33" s="46"/>
      <c r="J33" s="46">
        <f>SUM(J9:J32)</f>
        <v>1060</v>
      </c>
      <c r="K33" s="48"/>
      <c r="L33" s="7"/>
    </row>
    <row r="35" spans="1:12" x14ac:dyDescent="0.25">
      <c r="A35" s="180" t="s">
        <v>28</v>
      </c>
      <c r="B35" s="180"/>
      <c r="C35" s="180"/>
      <c r="D35" s="8"/>
      <c r="E35" s="9"/>
      <c r="F35" s="9" t="s">
        <v>29</v>
      </c>
      <c r="G35" s="9"/>
      <c r="H35" s="9"/>
      <c r="I35" s="9"/>
      <c r="J35" s="9"/>
      <c r="K35" s="181" t="s">
        <v>30</v>
      </c>
      <c r="L35" s="181"/>
    </row>
  </sheetData>
  <mergeCells count="149">
    <mergeCell ref="K31:K32"/>
    <mergeCell ref="L31:L32"/>
    <mergeCell ref="A35:C35"/>
    <mergeCell ref="K35:L35"/>
    <mergeCell ref="E19:E20"/>
    <mergeCell ref="F31:F32"/>
    <mergeCell ref="G31:G32"/>
    <mergeCell ref="H31:H32"/>
    <mergeCell ref="I31:I32"/>
    <mergeCell ref="J31:J32"/>
    <mergeCell ref="A31:A32"/>
    <mergeCell ref="B31:B32"/>
    <mergeCell ref="C31:C32"/>
    <mergeCell ref="D31:D32"/>
    <mergeCell ref="K27:K28"/>
    <mergeCell ref="L27:L28"/>
    <mergeCell ref="A29:A30"/>
    <mergeCell ref="B29:B30"/>
    <mergeCell ref="C29:C30"/>
    <mergeCell ref="D29:D30"/>
    <mergeCell ref="F29:F30"/>
    <mergeCell ref="G29:G30"/>
    <mergeCell ref="H29:H30"/>
    <mergeCell ref="I29:I30"/>
    <mergeCell ref="J29:J30"/>
    <mergeCell ref="K29:K30"/>
    <mergeCell ref="L29:L30"/>
    <mergeCell ref="F27:F28"/>
    <mergeCell ref="G27:G28"/>
    <mergeCell ref="H27:H28"/>
    <mergeCell ref="I27:I28"/>
    <mergeCell ref="J27:J28"/>
    <mergeCell ref="A27:A28"/>
    <mergeCell ref="B27:B28"/>
    <mergeCell ref="C27:C28"/>
    <mergeCell ref="D27:D28"/>
    <mergeCell ref="L23:L24"/>
    <mergeCell ref="A25:A26"/>
    <mergeCell ref="B25:B26"/>
    <mergeCell ref="C25:C26"/>
    <mergeCell ref="D25:D26"/>
    <mergeCell ref="F25:F26"/>
    <mergeCell ref="G25:G26"/>
    <mergeCell ref="H25:H26"/>
    <mergeCell ref="I25:I26"/>
    <mergeCell ref="J25:J26"/>
    <mergeCell ref="K25:K26"/>
    <mergeCell ref="G23:G24"/>
    <mergeCell ref="H23:H24"/>
    <mergeCell ref="I23:I24"/>
    <mergeCell ref="J23:J24"/>
    <mergeCell ref="K23:K24"/>
    <mergeCell ref="A23:A24"/>
    <mergeCell ref="B23:B24"/>
    <mergeCell ref="C23:C24"/>
    <mergeCell ref="D23:D24"/>
    <mergeCell ref="F23:F24"/>
    <mergeCell ref="L25:L26"/>
    <mergeCell ref="L19:L20"/>
    <mergeCell ref="A21:A22"/>
    <mergeCell ref="B21:B22"/>
    <mergeCell ref="C21:C22"/>
    <mergeCell ref="D21:D22"/>
    <mergeCell ref="F21:F22"/>
    <mergeCell ref="G21:G22"/>
    <mergeCell ref="H21:H22"/>
    <mergeCell ref="I21:I22"/>
    <mergeCell ref="J21:J22"/>
    <mergeCell ref="K21:K22"/>
    <mergeCell ref="L21:L22"/>
    <mergeCell ref="G19:G20"/>
    <mergeCell ref="H19:H20"/>
    <mergeCell ref="I19:I20"/>
    <mergeCell ref="J19:J20"/>
    <mergeCell ref="K19:K20"/>
    <mergeCell ref="A19:A20"/>
    <mergeCell ref="B19:B20"/>
    <mergeCell ref="C19:C20"/>
    <mergeCell ref="D19:D20"/>
    <mergeCell ref="F19:F20"/>
    <mergeCell ref="K15:K16"/>
    <mergeCell ref="L15:L16"/>
    <mergeCell ref="A17:A18"/>
    <mergeCell ref="B17:B18"/>
    <mergeCell ref="C17:C18"/>
    <mergeCell ref="D17:D18"/>
    <mergeCell ref="F17:F18"/>
    <mergeCell ref="G17:G18"/>
    <mergeCell ref="H17:H18"/>
    <mergeCell ref="I17:I18"/>
    <mergeCell ref="J17:J18"/>
    <mergeCell ref="K17:K18"/>
    <mergeCell ref="L17:L18"/>
    <mergeCell ref="F15:F16"/>
    <mergeCell ref="G15:G16"/>
    <mergeCell ref="H15:H16"/>
    <mergeCell ref="I15:I16"/>
    <mergeCell ref="J15:J16"/>
    <mergeCell ref="A15:A16"/>
    <mergeCell ref="B15:B16"/>
    <mergeCell ref="C15:C16"/>
    <mergeCell ref="D15:D16"/>
    <mergeCell ref="K11:K12"/>
    <mergeCell ref="L11:L12"/>
    <mergeCell ref="A13:A14"/>
    <mergeCell ref="B13:B14"/>
    <mergeCell ref="C13:C14"/>
    <mergeCell ref="D13:D14"/>
    <mergeCell ref="F13:F14"/>
    <mergeCell ref="G13:G14"/>
    <mergeCell ref="H13:H14"/>
    <mergeCell ref="I13:I14"/>
    <mergeCell ref="J13:J14"/>
    <mergeCell ref="K13:K14"/>
    <mergeCell ref="L13:L14"/>
    <mergeCell ref="F11:F12"/>
    <mergeCell ref="G11:G12"/>
    <mergeCell ref="H11:H12"/>
    <mergeCell ref="I11:I12"/>
    <mergeCell ref="J11:J12"/>
    <mergeCell ref="A11:A12"/>
    <mergeCell ref="B11:B12"/>
    <mergeCell ref="C11:C12"/>
    <mergeCell ref="D11:D12"/>
    <mergeCell ref="E11:E12"/>
    <mergeCell ref="J1:L1"/>
    <mergeCell ref="A2:C2"/>
    <mergeCell ref="J2:L2"/>
    <mergeCell ref="A3:C3"/>
    <mergeCell ref="J3:L3"/>
    <mergeCell ref="A7:A8"/>
    <mergeCell ref="B7:B8"/>
    <mergeCell ref="C7:C8"/>
    <mergeCell ref="A1:C1"/>
    <mergeCell ref="D4:L4"/>
    <mergeCell ref="C5:J5"/>
    <mergeCell ref="D7:D8"/>
    <mergeCell ref="L7:L8"/>
    <mergeCell ref="F7:K7"/>
    <mergeCell ref="G9:G10"/>
    <mergeCell ref="H9:H10"/>
    <mergeCell ref="I9:I10"/>
    <mergeCell ref="J9:J10"/>
    <mergeCell ref="K9:K10"/>
    <mergeCell ref="A9:A10"/>
    <mergeCell ref="B9:B10"/>
    <mergeCell ref="C9:C10"/>
    <mergeCell ref="D9:D10"/>
    <mergeCell ref="F9:F10"/>
  </mergeCells>
  <pageMargins left="0" right="0" top="0" bottom="0" header="0.31496062992125984" footer="0.31496062992125984"/>
  <pageSetup orientation="landscape" horizontalDpi="36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5"/>
  <sheetViews>
    <sheetView topLeftCell="A7" zoomScale="80" zoomScaleNormal="80" workbookViewId="0">
      <selection activeCell="C17" sqref="C17:C18"/>
    </sheetView>
  </sheetViews>
  <sheetFormatPr baseColWidth="10" defaultColWidth="11.42578125" defaultRowHeight="15" x14ac:dyDescent="0.25"/>
  <cols>
    <col min="1" max="1" width="12.5703125" customWidth="1"/>
    <col min="2" max="2" width="14.7109375" customWidth="1"/>
    <col min="3" max="3" width="9.7109375" customWidth="1"/>
    <col min="4" max="4" width="9.28515625" customWidth="1"/>
    <col min="5" max="5" width="19.42578125" customWidth="1"/>
    <col min="6" max="6" width="14.85546875" customWidth="1"/>
    <col min="7" max="7" width="11.5703125" customWidth="1"/>
    <col min="8" max="8" width="9.5703125" customWidth="1"/>
    <col min="9" max="9" width="10.42578125" customWidth="1"/>
    <col min="10" max="10" width="9.42578125" customWidth="1"/>
    <col min="11" max="11" width="10.5703125" customWidth="1"/>
    <col min="12" max="12" width="26.28515625" customWidth="1"/>
  </cols>
  <sheetData>
    <row r="1" spans="1:12" ht="18" x14ac:dyDescent="0.25">
      <c r="A1" s="132" t="s">
        <v>0</v>
      </c>
      <c r="B1" s="132"/>
      <c r="C1" s="132"/>
      <c r="D1" s="1"/>
      <c r="E1" s="1"/>
      <c r="F1" s="2"/>
      <c r="G1" s="2"/>
      <c r="H1" s="2"/>
      <c r="I1" s="2"/>
      <c r="J1" s="133" t="s">
        <v>5</v>
      </c>
      <c r="K1" s="133"/>
      <c r="L1" s="133"/>
    </row>
    <row r="2" spans="1:12" ht="15.75" x14ac:dyDescent="0.25">
      <c r="A2" s="134" t="s">
        <v>1</v>
      </c>
      <c r="B2" s="134"/>
      <c r="C2" s="134"/>
      <c r="D2" s="3"/>
      <c r="E2" s="3"/>
      <c r="F2" s="2"/>
      <c r="G2" s="2"/>
      <c r="H2" s="2"/>
      <c r="I2" s="2"/>
      <c r="J2" s="134" t="s">
        <v>6</v>
      </c>
      <c r="K2" s="134"/>
      <c r="L2" s="134"/>
    </row>
    <row r="3" spans="1:12" x14ac:dyDescent="0.25">
      <c r="A3" s="133" t="s">
        <v>7</v>
      </c>
      <c r="B3" s="133"/>
      <c r="C3" s="133"/>
      <c r="D3" s="4"/>
      <c r="E3" s="4"/>
      <c r="F3" s="2"/>
      <c r="G3" s="2"/>
      <c r="H3" s="2"/>
      <c r="I3" s="2"/>
      <c r="J3" s="133" t="s">
        <v>8</v>
      </c>
      <c r="K3" s="133"/>
      <c r="L3" s="133"/>
    </row>
    <row r="4" spans="1:12" ht="18" x14ac:dyDescent="0.25">
      <c r="A4" s="1"/>
      <c r="B4" s="1"/>
      <c r="C4" s="1"/>
      <c r="D4" s="132" t="s">
        <v>9</v>
      </c>
      <c r="E4" s="132"/>
      <c r="F4" s="132"/>
      <c r="G4" s="132"/>
      <c r="H4" s="132"/>
      <c r="I4" s="132"/>
      <c r="J4" s="132"/>
      <c r="K4" s="132"/>
      <c r="L4" s="132"/>
    </row>
    <row r="5" spans="1:12" ht="18" x14ac:dyDescent="0.25">
      <c r="A5" s="1"/>
      <c r="B5" s="1"/>
      <c r="C5" s="132" t="s">
        <v>31</v>
      </c>
      <c r="D5" s="132"/>
      <c r="E5" s="132"/>
      <c r="F5" s="132"/>
      <c r="G5" s="132"/>
      <c r="H5" s="132"/>
      <c r="I5" s="132"/>
      <c r="J5" s="132"/>
      <c r="K5" s="1"/>
      <c r="L5" s="1"/>
    </row>
    <row r="6" spans="1:12" ht="15.75" thickBot="1" x14ac:dyDescent="0.3"/>
    <row r="7" spans="1:12" ht="15.75" thickBot="1" x14ac:dyDescent="0.3">
      <c r="A7" s="141" t="s">
        <v>2</v>
      </c>
      <c r="B7" s="137" t="s">
        <v>33</v>
      </c>
      <c r="C7" s="141" t="s">
        <v>10</v>
      </c>
      <c r="D7" s="141" t="s">
        <v>11</v>
      </c>
      <c r="E7" s="5" t="s">
        <v>12</v>
      </c>
      <c r="F7" s="143" t="s">
        <v>38</v>
      </c>
      <c r="G7" s="144"/>
      <c r="H7" s="144"/>
      <c r="I7" s="144"/>
      <c r="J7" s="144"/>
      <c r="K7" s="268"/>
      <c r="L7" s="141" t="s">
        <v>13</v>
      </c>
    </row>
    <row r="8" spans="1:12" ht="36.75" customHeight="1" thickBot="1" x14ac:dyDescent="0.3">
      <c r="A8" s="142"/>
      <c r="B8" s="138"/>
      <c r="C8" s="142"/>
      <c r="D8" s="142"/>
      <c r="E8" s="5" t="s">
        <v>14</v>
      </c>
      <c r="F8" s="10" t="s">
        <v>3</v>
      </c>
      <c r="G8" s="10" t="s">
        <v>34</v>
      </c>
      <c r="H8" s="28" t="s">
        <v>4</v>
      </c>
      <c r="I8" s="10" t="s">
        <v>35</v>
      </c>
      <c r="J8" s="10" t="s">
        <v>36</v>
      </c>
      <c r="K8" s="29" t="s">
        <v>37</v>
      </c>
      <c r="L8" s="142"/>
    </row>
    <row r="9" spans="1:12" ht="16.5" thickBot="1" x14ac:dyDescent="0.3">
      <c r="A9" s="263" t="s">
        <v>15</v>
      </c>
      <c r="B9" s="264" t="s">
        <v>96</v>
      </c>
      <c r="C9" s="266">
        <v>50</v>
      </c>
      <c r="D9" s="267">
        <f>C9+B9</f>
        <v>202</v>
      </c>
      <c r="E9" s="25"/>
      <c r="F9" s="241">
        <v>34</v>
      </c>
      <c r="G9" s="241">
        <v>38</v>
      </c>
      <c r="H9" s="241">
        <v>2</v>
      </c>
      <c r="I9" s="241"/>
      <c r="J9" s="241">
        <f>I9+H9+G9+F9</f>
        <v>74</v>
      </c>
      <c r="K9" s="262">
        <v>90</v>
      </c>
      <c r="L9" s="6" t="s">
        <v>66</v>
      </c>
    </row>
    <row r="10" spans="1:12" ht="16.5" thickBot="1" x14ac:dyDescent="0.3">
      <c r="A10" s="244"/>
      <c r="B10" s="265"/>
      <c r="C10" s="248"/>
      <c r="D10" s="250"/>
      <c r="E10" s="14"/>
      <c r="F10" s="239"/>
      <c r="G10" s="239"/>
      <c r="H10" s="239"/>
      <c r="I10" s="239"/>
      <c r="J10" s="239"/>
      <c r="K10" s="261"/>
      <c r="L10" s="6" t="s">
        <v>67</v>
      </c>
    </row>
    <row r="11" spans="1:12" ht="14.45" customHeight="1" thickBot="1" x14ac:dyDescent="0.3">
      <c r="A11" s="244" t="s">
        <v>16</v>
      </c>
      <c r="B11" s="246">
        <f>K9</f>
        <v>90</v>
      </c>
      <c r="C11" s="239">
        <v>70</v>
      </c>
      <c r="D11" s="250">
        <f t="shared" ref="D11" si="0">C11+B11</f>
        <v>160</v>
      </c>
      <c r="E11" s="239"/>
      <c r="F11" s="239">
        <v>6</v>
      </c>
      <c r="G11" s="239">
        <v>18</v>
      </c>
      <c r="H11" s="239">
        <v>2</v>
      </c>
      <c r="I11" s="239"/>
      <c r="J11" s="241">
        <f t="shared" ref="J11" si="1">I11+H11+G11+F11</f>
        <v>26</v>
      </c>
      <c r="K11" s="261">
        <v>89</v>
      </c>
      <c r="L11" s="6" t="s">
        <v>68</v>
      </c>
    </row>
    <row r="12" spans="1:12" ht="15" customHeight="1" thickBot="1" x14ac:dyDescent="0.3">
      <c r="A12" s="245"/>
      <c r="B12" s="247"/>
      <c r="C12" s="239"/>
      <c r="D12" s="250"/>
      <c r="E12" s="239"/>
      <c r="F12" s="239"/>
      <c r="G12" s="239"/>
      <c r="H12" s="239"/>
      <c r="I12" s="239"/>
      <c r="J12" s="239"/>
      <c r="K12" s="261"/>
      <c r="L12" s="6" t="s">
        <v>69</v>
      </c>
    </row>
    <row r="13" spans="1:12" ht="15.6" customHeight="1" x14ac:dyDescent="0.25">
      <c r="A13" s="244" t="s">
        <v>17</v>
      </c>
      <c r="B13" s="246">
        <f t="shared" ref="B13" si="2">K11</f>
        <v>89</v>
      </c>
      <c r="C13" s="248">
        <v>235</v>
      </c>
      <c r="D13" s="250">
        <f t="shared" ref="D13" si="3">C13+B13</f>
        <v>324</v>
      </c>
      <c r="E13" s="14"/>
      <c r="F13" s="239">
        <v>30</v>
      </c>
      <c r="G13" s="239">
        <v>10</v>
      </c>
      <c r="H13" s="239">
        <v>2</v>
      </c>
      <c r="I13" s="239"/>
      <c r="J13" s="241">
        <f t="shared" ref="J13" si="4">I13+H13+G13+F13</f>
        <v>42</v>
      </c>
      <c r="K13" s="261">
        <f t="shared" ref="K13" si="5">D13-J13</f>
        <v>282</v>
      </c>
      <c r="L13" s="259"/>
    </row>
    <row r="14" spans="1:12" ht="15.95" customHeight="1" thickBot="1" x14ac:dyDescent="0.3">
      <c r="A14" s="245"/>
      <c r="B14" s="247"/>
      <c r="C14" s="248"/>
      <c r="D14" s="250"/>
      <c r="E14" s="15"/>
      <c r="F14" s="239"/>
      <c r="G14" s="239"/>
      <c r="H14" s="239"/>
      <c r="I14" s="239"/>
      <c r="J14" s="239"/>
      <c r="K14" s="261"/>
      <c r="L14" s="259"/>
    </row>
    <row r="15" spans="1:12" ht="15.6" customHeight="1" x14ac:dyDescent="0.25">
      <c r="A15" s="244" t="s">
        <v>18</v>
      </c>
      <c r="B15" s="246">
        <f t="shared" ref="B15" si="6">K13</f>
        <v>282</v>
      </c>
      <c r="C15" s="248">
        <v>204</v>
      </c>
      <c r="D15" s="250">
        <f t="shared" ref="D15" si="7">C15+B15</f>
        <v>486</v>
      </c>
      <c r="E15" s="14"/>
      <c r="F15" s="239">
        <v>27</v>
      </c>
      <c r="G15" s="239">
        <v>40</v>
      </c>
      <c r="H15" s="239">
        <v>263</v>
      </c>
      <c r="I15" s="239"/>
      <c r="J15" s="241">
        <f t="shared" ref="J15" si="8">I15+H15+G15+F15</f>
        <v>330</v>
      </c>
      <c r="K15" s="242">
        <f t="shared" ref="K15" si="9">D15-J15</f>
        <v>156</v>
      </c>
      <c r="L15" s="259"/>
    </row>
    <row r="16" spans="1:12" ht="15.95" customHeight="1" thickBot="1" x14ac:dyDescent="0.3">
      <c r="A16" s="245"/>
      <c r="B16" s="247"/>
      <c r="C16" s="248"/>
      <c r="D16" s="250"/>
      <c r="E16" s="15"/>
      <c r="F16" s="239"/>
      <c r="G16" s="239"/>
      <c r="H16" s="239"/>
      <c r="I16" s="239"/>
      <c r="J16" s="239"/>
      <c r="K16" s="242"/>
      <c r="L16" s="259"/>
    </row>
    <row r="17" spans="1:12" ht="15.6" customHeight="1" x14ac:dyDescent="0.25">
      <c r="A17" s="244" t="s">
        <v>19</v>
      </c>
      <c r="B17" s="246">
        <f t="shared" ref="B17" si="10">K15</f>
        <v>156</v>
      </c>
      <c r="C17" s="248"/>
      <c r="D17" s="250">
        <f t="shared" ref="D17" si="11">C17+B17</f>
        <v>156</v>
      </c>
      <c r="E17" s="14"/>
      <c r="F17" s="239"/>
      <c r="G17" s="239"/>
      <c r="H17" s="239"/>
      <c r="I17" s="257"/>
      <c r="J17" s="241">
        <f>H17+G17+F17</f>
        <v>0</v>
      </c>
      <c r="K17" s="242">
        <f t="shared" ref="K17" si="12">D17-J17</f>
        <v>156</v>
      </c>
      <c r="L17" s="258"/>
    </row>
    <row r="18" spans="1:12" ht="15.95" customHeight="1" thickBot="1" x14ac:dyDescent="0.3">
      <c r="A18" s="245"/>
      <c r="B18" s="247"/>
      <c r="C18" s="248"/>
      <c r="D18" s="250"/>
      <c r="E18" s="15"/>
      <c r="F18" s="239"/>
      <c r="G18" s="239"/>
      <c r="H18" s="239"/>
      <c r="I18" s="257"/>
      <c r="J18" s="239"/>
      <c r="K18" s="242"/>
      <c r="L18" s="259"/>
    </row>
    <row r="19" spans="1:12" ht="14.45" customHeight="1" x14ac:dyDescent="0.25">
      <c r="A19" s="244" t="s">
        <v>20</v>
      </c>
      <c r="B19" s="246">
        <f t="shared" ref="B19" si="13">K17</f>
        <v>156</v>
      </c>
      <c r="C19" s="239"/>
      <c r="D19" s="250">
        <f t="shared" ref="D19" si="14">C19+B19</f>
        <v>156</v>
      </c>
      <c r="E19" s="260"/>
      <c r="F19" s="239"/>
      <c r="G19" s="239"/>
      <c r="H19" s="239"/>
      <c r="I19" s="239"/>
      <c r="J19" s="241">
        <f t="shared" ref="J19" si="15">I19+H19+G19+F19</f>
        <v>0</v>
      </c>
      <c r="K19" s="242">
        <f t="shared" ref="K19" si="16">D19-J19</f>
        <v>156</v>
      </c>
      <c r="L19" s="255"/>
    </row>
    <row r="20" spans="1:12" ht="15" customHeight="1" thickBot="1" x14ac:dyDescent="0.3">
      <c r="A20" s="245"/>
      <c r="B20" s="247"/>
      <c r="C20" s="239"/>
      <c r="D20" s="250"/>
      <c r="E20" s="260"/>
      <c r="F20" s="239"/>
      <c r="G20" s="239"/>
      <c r="H20" s="239"/>
      <c r="I20" s="239"/>
      <c r="J20" s="239"/>
      <c r="K20" s="242"/>
      <c r="L20" s="256"/>
    </row>
    <row r="21" spans="1:12" ht="18" x14ac:dyDescent="0.25">
      <c r="A21" s="244" t="s">
        <v>21</v>
      </c>
      <c r="B21" s="246">
        <f t="shared" ref="B21" si="17">K19</f>
        <v>156</v>
      </c>
      <c r="C21" s="248"/>
      <c r="D21" s="250">
        <f t="shared" ref="D21" si="18">C21+B21</f>
        <v>156</v>
      </c>
      <c r="E21" s="11"/>
      <c r="F21" s="239"/>
      <c r="G21" s="239"/>
      <c r="H21" s="239"/>
      <c r="I21" s="239"/>
      <c r="J21" s="241">
        <f>I21+H21+G21+F21</f>
        <v>0</v>
      </c>
      <c r="K21" s="242">
        <f>D21-J21</f>
        <v>156</v>
      </c>
      <c r="L21" s="253"/>
    </row>
    <row r="22" spans="1:12" ht="18.75" thickBot="1" x14ac:dyDescent="0.3">
      <c r="A22" s="245"/>
      <c r="B22" s="247"/>
      <c r="C22" s="248"/>
      <c r="D22" s="250"/>
      <c r="E22" s="11"/>
      <c r="F22" s="239"/>
      <c r="G22" s="239"/>
      <c r="H22" s="239"/>
      <c r="I22" s="239"/>
      <c r="J22" s="239"/>
      <c r="K22" s="242"/>
      <c r="L22" s="254"/>
    </row>
    <row r="23" spans="1:12" ht="15.6" customHeight="1" x14ac:dyDescent="0.25">
      <c r="A23" s="244" t="s">
        <v>22</v>
      </c>
      <c r="B23" s="246">
        <f t="shared" ref="B23" si="19">K21</f>
        <v>156</v>
      </c>
      <c r="C23" s="248"/>
      <c r="D23" s="250">
        <f t="shared" ref="D23" si="20">C23+B23</f>
        <v>156</v>
      </c>
      <c r="E23" s="13"/>
      <c r="F23" s="239"/>
      <c r="G23" s="239"/>
      <c r="H23" s="239"/>
      <c r="I23" s="239"/>
      <c r="J23" s="241">
        <f t="shared" ref="J23" si="21">I23+H23+G23+F23</f>
        <v>0</v>
      </c>
      <c r="K23" s="242">
        <f t="shared" ref="K23" si="22">D23-J23</f>
        <v>156</v>
      </c>
      <c r="L23" s="255"/>
    </row>
    <row r="24" spans="1:12" ht="15.95" customHeight="1" thickBot="1" x14ac:dyDescent="0.3">
      <c r="A24" s="245"/>
      <c r="B24" s="247"/>
      <c r="C24" s="248"/>
      <c r="D24" s="250"/>
      <c r="E24" s="14"/>
      <c r="F24" s="239"/>
      <c r="G24" s="239"/>
      <c r="H24" s="239"/>
      <c r="I24" s="239"/>
      <c r="J24" s="239"/>
      <c r="K24" s="242"/>
      <c r="L24" s="256"/>
    </row>
    <row r="25" spans="1:12" ht="14.45" customHeight="1" x14ac:dyDescent="0.25">
      <c r="A25" s="244" t="s">
        <v>23</v>
      </c>
      <c r="B25" s="246">
        <f t="shared" ref="B25" si="23">K23</f>
        <v>156</v>
      </c>
      <c r="C25" s="248"/>
      <c r="D25" s="250">
        <f t="shared" ref="D25" si="24">C25+B25</f>
        <v>156</v>
      </c>
      <c r="E25" s="16"/>
      <c r="F25" s="239"/>
      <c r="G25" s="239"/>
      <c r="H25" s="239"/>
      <c r="I25" s="239"/>
      <c r="J25" s="241">
        <f t="shared" ref="J25" si="25">I25+H25+G25+F25</f>
        <v>0</v>
      </c>
      <c r="K25" s="242">
        <f t="shared" ref="K25" si="26">D25-J25</f>
        <v>156</v>
      </c>
      <c r="L25" s="226"/>
    </row>
    <row r="26" spans="1:12" ht="15.95" customHeight="1" thickBot="1" x14ac:dyDescent="0.3">
      <c r="A26" s="252"/>
      <c r="B26" s="247"/>
      <c r="C26" s="248"/>
      <c r="D26" s="250"/>
      <c r="E26" s="14"/>
      <c r="F26" s="239"/>
      <c r="G26" s="239"/>
      <c r="H26" s="239"/>
      <c r="I26" s="239"/>
      <c r="J26" s="239"/>
      <c r="K26" s="242"/>
      <c r="L26" s="227"/>
    </row>
    <row r="27" spans="1:12" ht="14.45" customHeight="1" x14ac:dyDescent="0.25">
      <c r="A27" s="244" t="s">
        <v>24</v>
      </c>
      <c r="B27" s="246">
        <f t="shared" ref="B27" si="27">K25</f>
        <v>156</v>
      </c>
      <c r="C27" s="248"/>
      <c r="D27" s="250">
        <f t="shared" ref="D27:D31" si="28">C27+B27</f>
        <v>156</v>
      </c>
      <c r="E27" s="12"/>
      <c r="F27" s="239"/>
      <c r="G27" s="239"/>
      <c r="H27" s="239"/>
      <c r="I27" s="239"/>
      <c r="J27" s="241">
        <f t="shared" ref="J27" si="29">I27+H27+G27+F27</f>
        <v>0</v>
      </c>
      <c r="K27" s="242">
        <v>0</v>
      </c>
      <c r="L27" s="237"/>
    </row>
    <row r="28" spans="1:12" ht="15.95" customHeight="1" thickBot="1" x14ac:dyDescent="0.3">
      <c r="A28" s="245"/>
      <c r="B28" s="247"/>
      <c r="C28" s="248"/>
      <c r="D28" s="250"/>
      <c r="E28" s="17"/>
      <c r="F28" s="239"/>
      <c r="G28" s="239"/>
      <c r="H28" s="239"/>
      <c r="I28" s="239"/>
      <c r="J28" s="239"/>
      <c r="K28" s="242"/>
      <c r="L28" s="238"/>
    </row>
    <row r="29" spans="1:12" ht="14.45" customHeight="1" x14ac:dyDescent="0.25">
      <c r="A29" s="244" t="s">
        <v>25</v>
      </c>
      <c r="B29" s="246">
        <f t="shared" ref="B29" si="30">K27</f>
        <v>0</v>
      </c>
      <c r="C29" s="248"/>
      <c r="D29" s="250">
        <f t="shared" si="28"/>
        <v>0</v>
      </c>
      <c r="E29" s="19"/>
      <c r="F29" s="239"/>
      <c r="G29" s="239"/>
      <c r="H29" s="239"/>
      <c r="I29" s="239"/>
      <c r="J29" s="241">
        <f t="shared" ref="J29" si="31">I29+H29+G29+F29</f>
        <v>0</v>
      </c>
      <c r="K29" s="242">
        <f t="shared" ref="K29" si="32">D29-J29</f>
        <v>0</v>
      </c>
      <c r="L29" s="228"/>
    </row>
    <row r="30" spans="1:12" ht="15" customHeight="1" thickBot="1" x14ac:dyDescent="0.3">
      <c r="A30" s="245"/>
      <c r="B30" s="247"/>
      <c r="C30" s="248"/>
      <c r="D30" s="250"/>
      <c r="E30" s="18"/>
      <c r="F30" s="239"/>
      <c r="G30" s="239"/>
      <c r="H30" s="239"/>
      <c r="I30" s="239"/>
      <c r="J30" s="239"/>
      <c r="K30" s="242"/>
      <c r="L30" s="229"/>
    </row>
    <row r="31" spans="1:12" ht="18" x14ac:dyDescent="0.25">
      <c r="A31" s="244" t="s">
        <v>26</v>
      </c>
      <c r="B31" s="246">
        <f t="shared" ref="B31" si="33">K29</f>
        <v>0</v>
      </c>
      <c r="C31" s="248"/>
      <c r="D31" s="250">
        <f t="shared" si="28"/>
        <v>0</v>
      </c>
      <c r="E31" s="26"/>
      <c r="F31" s="239"/>
      <c r="G31" s="239"/>
      <c r="H31" s="239"/>
      <c r="I31" s="239"/>
      <c r="J31" s="241">
        <f t="shared" ref="J31" si="34">I31+H31+G31+F31</f>
        <v>0</v>
      </c>
      <c r="K31" s="242">
        <v>0</v>
      </c>
      <c r="L31" s="231"/>
    </row>
    <row r="32" spans="1:12" ht="18.75" thickBot="1" x14ac:dyDescent="0.3">
      <c r="A32" s="245"/>
      <c r="B32" s="247"/>
      <c r="C32" s="249"/>
      <c r="D32" s="251"/>
      <c r="E32" s="27"/>
      <c r="F32" s="240"/>
      <c r="G32" s="240"/>
      <c r="H32" s="240"/>
      <c r="I32" s="240"/>
      <c r="J32" s="240"/>
      <c r="K32" s="243"/>
      <c r="L32" s="172"/>
    </row>
    <row r="33" spans="1:12" ht="18.75" thickBot="1" x14ac:dyDescent="0.3">
      <c r="A33" s="20" t="s">
        <v>27</v>
      </c>
      <c r="B33" s="21"/>
      <c r="C33" s="22">
        <f>SUM(C9:C32)</f>
        <v>559</v>
      </c>
      <c r="D33" s="22"/>
      <c r="E33" s="23"/>
      <c r="F33" s="22">
        <f>SUM(F9:F32)</f>
        <v>97</v>
      </c>
      <c r="G33" s="22">
        <f>SUM(G9:G32)</f>
        <v>106</v>
      </c>
      <c r="H33" s="22">
        <f>SUM(H9:H32)</f>
        <v>269</v>
      </c>
      <c r="I33" s="22"/>
      <c r="J33" s="22">
        <f>SUM(J9:J32)</f>
        <v>472</v>
      </c>
      <c r="K33" s="24"/>
      <c r="L33" s="7"/>
    </row>
    <row r="35" spans="1:12" x14ac:dyDescent="0.25">
      <c r="A35" s="180" t="s">
        <v>28</v>
      </c>
      <c r="B35" s="180"/>
      <c r="C35" s="180"/>
      <c r="D35" s="8"/>
      <c r="E35" s="9"/>
      <c r="F35" s="9" t="s">
        <v>29</v>
      </c>
      <c r="G35" s="9"/>
      <c r="H35" s="9"/>
      <c r="I35" s="9"/>
      <c r="J35" s="9"/>
      <c r="K35" s="181" t="s">
        <v>30</v>
      </c>
      <c r="L35" s="181"/>
    </row>
  </sheetData>
  <mergeCells count="148">
    <mergeCell ref="D4:L4"/>
    <mergeCell ref="C5:J5"/>
    <mergeCell ref="A7:A8"/>
    <mergeCell ref="B7:B8"/>
    <mergeCell ref="C7:C8"/>
    <mergeCell ref="D7:D8"/>
    <mergeCell ref="F7:K7"/>
    <mergeCell ref="L7:L8"/>
    <mergeCell ref="A1:C1"/>
    <mergeCell ref="J1:L1"/>
    <mergeCell ref="A2:C2"/>
    <mergeCell ref="J2:L2"/>
    <mergeCell ref="A3:C3"/>
    <mergeCell ref="J3:L3"/>
    <mergeCell ref="A11:A12"/>
    <mergeCell ref="B11:B12"/>
    <mergeCell ref="C11:C12"/>
    <mergeCell ref="D11:D12"/>
    <mergeCell ref="E11:E12"/>
    <mergeCell ref="F11:F12"/>
    <mergeCell ref="A9:A10"/>
    <mergeCell ref="B9:B10"/>
    <mergeCell ref="C9:C10"/>
    <mergeCell ref="D9:D10"/>
    <mergeCell ref="F9:F10"/>
    <mergeCell ref="G11:G12"/>
    <mergeCell ref="H11:H12"/>
    <mergeCell ref="I11:I12"/>
    <mergeCell ref="J11:J12"/>
    <mergeCell ref="K11:K12"/>
    <mergeCell ref="H9:H10"/>
    <mergeCell ref="I9:I10"/>
    <mergeCell ref="J9:J10"/>
    <mergeCell ref="K9:K10"/>
    <mergeCell ref="G9:G10"/>
    <mergeCell ref="A15:A16"/>
    <mergeCell ref="B15:B16"/>
    <mergeCell ref="C15:C16"/>
    <mergeCell ref="D15:D16"/>
    <mergeCell ref="F15:F16"/>
    <mergeCell ref="A13:A14"/>
    <mergeCell ref="B13:B14"/>
    <mergeCell ref="C13:C14"/>
    <mergeCell ref="D13:D14"/>
    <mergeCell ref="F13:F14"/>
    <mergeCell ref="G15:G16"/>
    <mergeCell ref="H15:H16"/>
    <mergeCell ref="I15:I16"/>
    <mergeCell ref="J15:J16"/>
    <mergeCell ref="K15:K16"/>
    <mergeCell ref="L15:L16"/>
    <mergeCell ref="H13:H14"/>
    <mergeCell ref="I13:I14"/>
    <mergeCell ref="J13:J14"/>
    <mergeCell ref="K13:K14"/>
    <mergeCell ref="L13:L14"/>
    <mergeCell ref="G13:G14"/>
    <mergeCell ref="L17:L18"/>
    <mergeCell ref="A19:A20"/>
    <mergeCell ref="B19:B20"/>
    <mergeCell ref="C19:C20"/>
    <mergeCell ref="D19:D20"/>
    <mergeCell ref="E19:E20"/>
    <mergeCell ref="A17:A18"/>
    <mergeCell ref="B17:B18"/>
    <mergeCell ref="C17:C18"/>
    <mergeCell ref="D17:D18"/>
    <mergeCell ref="F17:F18"/>
    <mergeCell ref="G17:G18"/>
    <mergeCell ref="L19:L20"/>
    <mergeCell ref="F19:F20"/>
    <mergeCell ref="G19:G20"/>
    <mergeCell ref="H19:H20"/>
    <mergeCell ref="I19:I20"/>
    <mergeCell ref="J19:J20"/>
    <mergeCell ref="K19:K20"/>
    <mergeCell ref="F21:F22"/>
    <mergeCell ref="G21:G22"/>
    <mergeCell ref="H21:H22"/>
    <mergeCell ref="I21:I22"/>
    <mergeCell ref="J21:J22"/>
    <mergeCell ref="H17:H18"/>
    <mergeCell ref="I17:I18"/>
    <mergeCell ref="J17:J18"/>
    <mergeCell ref="K17:K18"/>
    <mergeCell ref="A29:A30"/>
    <mergeCell ref="B29:B30"/>
    <mergeCell ref="C29:C30"/>
    <mergeCell ref="D29:D30"/>
    <mergeCell ref="F29:F30"/>
    <mergeCell ref="G29:G30"/>
    <mergeCell ref="H29:H30"/>
    <mergeCell ref="K21:K22"/>
    <mergeCell ref="L21:L22"/>
    <mergeCell ref="A23:A24"/>
    <mergeCell ref="B23:B24"/>
    <mergeCell ref="C23:C24"/>
    <mergeCell ref="D23:D24"/>
    <mergeCell ref="F23:F24"/>
    <mergeCell ref="G23:G24"/>
    <mergeCell ref="H23:H24"/>
    <mergeCell ref="I23:I24"/>
    <mergeCell ref="J23:J24"/>
    <mergeCell ref="K23:K24"/>
    <mergeCell ref="L23:L24"/>
    <mergeCell ref="A21:A22"/>
    <mergeCell ref="B21:B22"/>
    <mergeCell ref="C21:C22"/>
    <mergeCell ref="D21:D22"/>
    <mergeCell ref="I25:I26"/>
    <mergeCell ref="J25:J26"/>
    <mergeCell ref="K25:K26"/>
    <mergeCell ref="L25:L26"/>
    <mergeCell ref="A27:A28"/>
    <mergeCell ref="B27:B28"/>
    <mergeCell ref="C27:C28"/>
    <mergeCell ref="D27:D28"/>
    <mergeCell ref="F27:F28"/>
    <mergeCell ref="G27:G28"/>
    <mergeCell ref="A25:A26"/>
    <mergeCell ref="B25:B26"/>
    <mergeCell ref="C25:C26"/>
    <mergeCell ref="D25:D26"/>
    <mergeCell ref="F25:F26"/>
    <mergeCell ref="G25:G26"/>
    <mergeCell ref="H25:H26"/>
    <mergeCell ref="I29:I30"/>
    <mergeCell ref="J29:J30"/>
    <mergeCell ref="K29:K30"/>
    <mergeCell ref="L29:L30"/>
    <mergeCell ref="H27:H28"/>
    <mergeCell ref="I27:I28"/>
    <mergeCell ref="J27:J28"/>
    <mergeCell ref="K27:K28"/>
    <mergeCell ref="L27:L28"/>
    <mergeCell ref="H31:H32"/>
    <mergeCell ref="I31:I32"/>
    <mergeCell ref="J31:J32"/>
    <mergeCell ref="K31:K32"/>
    <mergeCell ref="L31:L32"/>
    <mergeCell ref="A35:C35"/>
    <mergeCell ref="K35:L35"/>
    <mergeCell ref="A31:A32"/>
    <mergeCell ref="B31:B32"/>
    <mergeCell ref="C31:C32"/>
    <mergeCell ref="D31:D32"/>
    <mergeCell ref="F31:F32"/>
    <mergeCell ref="G31:G32"/>
  </mergeCells>
  <pageMargins left="0.7" right="0.7" top="0.75" bottom="0.75" header="0.3" footer="0.3"/>
  <pageSetup orientation="portrait" horizontalDpi="120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5"/>
  <sheetViews>
    <sheetView topLeftCell="A4" zoomScale="85" zoomScaleNormal="85" workbookViewId="0">
      <selection activeCell="E18" sqref="E18"/>
    </sheetView>
  </sheetViews>
  <sheetFormatPr baseColWidth="10" defaultColWidth="11.42578125" defaultRowHeight="15" x14ac:dyDescent="0.25"/>
  <cols>
    <col min="1" max="1" width="11.28515625" customWidth="1"/>
    <col min="2" max="2" width="13.28515625" customWidth="1"/>
    <col min="3" max="3" width="8.42578125" customWidth="1"/>
    <col min="4" max="4" width="8.85546875" customWidth="1"/>
    <col min="5" max="5" width="23.28515625" customWidth="1"/>
    <col min="6" max="6" width="13.85546875" customWidth="1"/>
    <col min="7" max="7" width="10.5703125" customWidth="1"/>
    <col min="8" max="8" width="7.7109375" customWidth="1"/>
    <col min="9" max="9" width="10" customWidth="1"/>
    <col min="10" max="10" width="10.140625" customWidth="1"/>
    <col min="11" max="11" width="13.140625" customWidth="1"/>
    <col min="12" max="12" width="26.28515625" customWidth="1"/>
  </cols>
  <sheetData>
    <row r="1" spans="1:12" ht="18" x14ac:dyDescent="0.25">
      <c r="A1" s="132" t="s">
        <v>0</v>
      </c>
      <c r="B1" s="132"/>
      <c r="C1" s="132"/>
      <c r="D1" s="1"/>
      <c r="E1" s="1"/>
      <c r="F1" s="2"/>
      <c r="G1" s="2"/>
      <c r="H1" s="2"/>
      <c r="I1" s="2"/>
      <c r="J1" s="133" t="s">
        <v>113</v>
      </c>
      <c r="K1" s="133"/>
      <c r="L1" s="133"/>
    </row>
    <row r="2" spans="1:12" ht="15.75" x14ac:dyDescent="0.25">
      <c r="A2" s="134" t="s">
        <v>1</v>
      </c>
      <c r="B2" s="134"/>
      <c r="C2" s="134"/>
      <c r="D2" s="3"/>
      <c r="E2" s="3"/>
      <c r="F2" s="2"/>
      <c r="G2" s="2"/>
      <c r="H2" s="2"/>
      <c r="I2" s="2"/>
      <c r="J2" s="134" t="s">
        <v>6</v>
      </c>
      <c r="K2" s="134"/>
      <c r="L2" s="134"/>
    </row>
    <row r="3" spans="1:12" x14ac:dyDescent="0.25">
      <c r="A3" s="133" t="s">
        <v>7</v>
      </c>
      <c r="B3" s="133"/>
      <c r="C3" s="133"/>
      <c r="D3" s="4"/>
      <c r="E3" s="4"/>
      <c r="F3" s="2"/>
      <c r="G3" s="2"/>
      <c r="H3" s="2"/>
      <c r="I3" s="2"/>
      <c r="J3" s="133" t="s">
        <v>8</v>
      </c>
      <c r="K3" s="133"/>
      <c r="L3" s="133"/>
    </row>
    <row r="4" spans="1:12" ht="18" x14ac:dyDescent="0.25">
      <c r="A4" s="1"/>
      <c r="B4" s="1"/>
      <c r="C4" s="1"/>
      <c r="D4" s="132" t="s">
        <v>9</v>
      </c>
      <c r="E4" s="132"/>
      <c r="F4" s="132"/>
      <c r="G4" s="132"/>
      <c r="H4" s="132"/>
      <c r="I4" s="132"/>
      <c r="J4" s="132"/>
      <c r="K4" s="132"/>
      <c r="L4" s="132"/>
    </row>
    <row r="5" spans="1:12" ht="18" x14ac:dyDescent="0.25">
      <c r="A5" s="1"/>
      <c r="B5" s="1"/>
      <c r="C5" s="132" t="s">
        <v>77</v>
      </c>
      <c r="D5" s="132"/>
      <c r="E5" s="132"/>
      <c r="F5" s="132"/>
      <c r="G5" s="132"/>
      <c r="H5" s="132"/>
      <c r="I5" s="132"/>
      <c r="J5" s="132"/>
      <c r="K5" s="1"/>
      <c r="L5" s="1"/>
    </row>
    <row r="6" spans="1:12" ht="15.75" thickBot="1" x14ac:dyDescent="0.3"/>
    <row r="7" spans="1:12" ht="15.75" thickBot="1" x14ac:dyDescent="0.3">
      <c r="A7" s="141" t="s">
        <v>2</v>
      </c>
      <c r="B7" s="137" t="s">
        <v>33</v>
      </c>
      <c r="C7" s="141" t="s">
        <v>10</v>
      </c>
      <c r="D7" s="141" t="s">
        <v>11</v>
      </c>
      <c r="E7" s="5" t="s">
        <v>12</v>
      </c>
      <c r="F7" s="143" t="s">
        <v>38</v>
      </c>
      <c r="G7" s="144"/>
      <c r="H7" s="144"/>
      <c r="I7" s="144"/>
      <c r="J7" s="144"/>
      <c r="K7" s="268"/>
      <c r="L7" s="141" t="s">
        <v>13</v>
      </c>
    </row>
    <row r="8" spans="1:12" ht="39" thickBot="1" x14ac:dyDescent="0.3">
      <c r="A8" s="142"/>
      <c r="B8" s="138"/>
      <c r="C8" s="142"/>
      <c r="D8" s="142"/>
      <c r="E8" s="5" t="s">
        <v>112</v>
      </c>
      <c r="F8" s="10" t="s">
        <v>3</v>
      </c>
      <c r="G8" s="10" t="s">
        <v>34</v>
      </c>
      <c r="H8" s="28" t="s">
        <v>4</v>
      </c>
      <c r="I8" s="10" t="s">
        <v>35</v>
      </c>
      <c r="J8" s="10" t="s">
        <v>36</v>
      </c>
      <c r="K8" s="29" t="s">
        <v>37</v>
      </c>
      <c r="L8" s="142"/>
    </row>
    <row r="9" spans="1:12" ht="15.75" x14ac:dyDescent="0.25">
      <c r="A9" s="263" t="s">
        <v>15</v>
      </c>
      <c r="B9" s="264" t="s">
        <v>70</v>
      </c>
      <c r="C9" s="266">
        <v>40</v>
      </c>
      <c r="D9" s="267">
        <f>C9+B9</f>
        <v>246</v>
      </c>
      <c r="E9" s="25" t="s">
        <v>84</v>
      </c>
      <c r="F9" s="241">
        <v>57</v>
      </c>
      <c r="G9" s="241">
        <v>99</v>
      </c>
      <c r="H9" s="241">
        <v>2</v>
      </c>
      <c r="I9" s="241">
        <v>0</v>
      </c>
      <c r="J9" s="241">
        <f>I9+H9+G9+F9</f>
        <v>158</v>
      </c>
      <c r="K9" s="262">
        <f>D9-J9</f>
        <v>88</v>
      </c>
      <c r="L9" s="308"/>
    </row>
    <row r="10" spans="1:12" ht="16.5" thickBot="1" x14ac:dyDescent="0.3">
      <c r="A10" s="306"/>
      <c r="B10" s="307"/>
      <c r="C10" s="288"/>
      <c r="D10" s="290"/>
      <c r="E10" s="104" t="s">
        <v>85</v>
      </c>
      <c r="F10" s="275"/>
      <c r="G10" s="275"/>
      <c r="H10" s="275"/>
      <c r="I10" s="275"/>
      <c r="J10" s="275"/>
      <c r="K10" s="300"/>
      <c r="L10" s="302"/>
    </row>
    <row r="11" spans="1:12" ht="16.5" customHeight="1" x14ac:dyDescent="0.25">
      <c r="A11" s="263" t="s">
        <v>16</v>
      </c>
      <c r="B11" s="281">
        <v>88</v>
      </c>
      <c r="C11" s="266">
        <v>70</v>
      </c>
      <c r="D11" s="267">
        <f>C11+B11</f>
        <v>158</v>
      </c>
      <c r="E11" s="106" t="s">
        <v>74</v>
      </c>
      <c r="F11" s="241">
        <v>8</v>
      </c>
      <c r="G11" s="241">
        <v>18</v>
      </c>
      <c r="H11" s="241">
        <v>2</v>
      </c>
      <c r="I11" s="241">
        <v>0</v>
      </c>
      <c r="J11" s="241">
        <f>I11+H11+G11+F11</f>
        <v>28</v>
      </c>
      <c r="K11" s="262">
        <f>D11-J11</f>
        <v>130</v>
      </c>
      <c r="L11" s="308"/>
    </row>
    <row r="12" spans="1:12" ht="16.5" customHeight="1" thickBot="1" x14ac:dyDescent="0.3">
      <c r="A12" s="280"/>
      <c r="B12" s="282"/>
      <c r="C12" s="249"/>
      <c r="D12" s="251"/>
      <c r="E12" s="107">
        <v>42052</v>
      </c>
      <c r="F12" s="240"/>
      <c r="G12" s="240"/>
      <c r="H12" s="240"/>
      <c r="I12" s="240"/>
      <c r="J12" s="240"/>
      <c r="K12" s="303"/>
      <c r="L12" s="294"/>
    </row>
    <row r="13" spans="1:12" ht="15.75" customHeight="1" x14ac:dyDescent="0.25">
      <c r="A13" s="283" t="s">
        <v>17</v>
      </c>
      <c r="B13" s="285">
        <v>130</v>
      </c>
      <c r="C13" s="287">
        <v>220</v>
      </c>
      <c r="D13" s="289">
        <f>C13+B13</f>
        <v>350</v>
      </c>
      <c r="E13" s="105"/>
      <c r="F13" s="274">
        <v>34</v>
      </c>
      <c r="G13" s="274">
        <v>36</v>
      </c>
      <c r="H13" s="274">
        <v>3</v>
      </c>
      <c r="I13" s="274">
        <v>0</v>
      </c>
      <c r="J13" s="274">
        <f>I13+H13+G13+F13</f>
        <v>73</v>
      </c>
      <c r="K13" s="299">
        <f>D13-J13</f>
        <v>277</v>
      </c>
      <c r="L13" s="305"/>
    </row>
    <row r="14" spans="1:12" ht="16.5" customHeight="1" thickBot="1" x14ac:dyDescent="0.3">
      <c r="A14" s="284"/>
      <c r="B14" s="286"/>
      <c r="C14" s="288"/>
      <c r="D14" s="290"/>
      <c r="E14" s="108"/>
      <c r="F14" s="275"/>
      <c r="G14" s="275"/>
      <c r="H14" s="275"/>
      <c r="I14" s="275"/>
      <c r="J14" s="275"/>
      <c r="K14" s="300"/>
      <c r="L14" s="302"/>
    </row>
    <row r="15" spans="1:12" ht="15.75" customHeight="1" x14ac:dyDescent="0.25">
      <c r="A15" s="263" t="s">
        <v>18</v>
      </c>
      <c r="B15" s="281">
        <v>277</v>
      </c>
      <c r="C15" s="266">
        <v>204</v>
      </c>
      <c r="D15" s="267">
        <f>C15+B15</f>
        <v>481</v>
      </c>
      <c r="E15" s="25" t="s">
        <v>75</v>
      </c>
      <c r="F15" s="241">
        <v>37</v>
      </c>
      <c r="G15" s="241">
        <v>54</v>
      </c>
      <c r="H15" s="241">
        <v>263</v>
      </c>
      <c r="I15" s="241">
        <v>0</v>
      </c>
      <c r="J15" s="241">
        <f>I15+H15+G15+F15</f>
        <v>354</v>
      </c>
      <c r="K15" s="262">
        <v>128</v>
      </c>
      <c r="L15" s="304" t="s">
        <v>71</v>
      </c>
    </row>
    <row r="16" spans="1:12" ht="16.5" customHeight="1" thickBot="1" x14ac:dyDescent="0.3">
      <c r="A16" s="280"/>
      <c r="B16" s="282"/>
      <c r="C16" s="249"/>
      <c r="D16" s="251"/>
      <c r="E16" s="109" t="s">
        <v>76</v>
      </c>
      <c r="F16" s="240"/>
      <c r="G16" s="240"/>
      <c r="H16" s="240"/>
      <c r="I16" s="240"/>
      <c r="J16" s="240"/>
      <c r="K16" s="303"/>
      <c r="L16" s="167"/>
    </row>
    <row r="17" spans="1:12" ht="15.75" customHeight="1" x14ac:dyDescent="0.25">
      <c r="A17" s="283" t="s">
        <v>19</v>
      </c>
      <c r="B17" s="285">
        <v>128</v>
      </c>
      <c r="C17" s="287">
        <v>201</v>
      </c>
      <c r="D17" s="289">
        <f>C17+B17</f>
        <v>329</v>
      </c>
      <c r="E17" s="105" t="s">
        <v>86</v>
      </c>
      <c r="F17" s="274">
        <v>36</v>
      </c>
      <c r="G17" s="274">
        <v>22</v>
      </c>
      <c r="H17" s="274">
        <v>32</v>
      </c>
      <c r="I17" s="274">
        <v>0</v>
      </c>
      <c r="J17" s="274">
        <f>I17+H17+G17+F17</f>
        <v>90</v>
      </c>
      <c r="K17" s="299">
        <f>D17-J17</f>
        <v>239</v>
      </c>
      <c r="L17" s="301"/>
    </row>
    <row r="18" spans="1:12" ht="16.5" customHeight="1" thickBot="1" x14ac:dyDescent="0.3">
      <c r="A18" s="284"/>
      <c r="B18" s="286"/>
      <c r="C18" s="288"/>
      <c r="D18" s="290"/>
      <c r="E18" s="108" t="s">
        <v>87</v>
      </c>
      <c r="F18" s="275"/>
      <c r="G18" s="275"/>
      <c r="H18" s="275"/>
      <c r="I18" s="275"/>
      <c r="J18" s="275"/>
      <c r="K18" s="300"/>
      <c r="L18" s="302"/>
    </row>
    <row r="19" spans="1:12" ht="15" customHeight="1" x14ac:dyDescent="0.25">
      <c r="A19" s="263" t="s">
        <v>20</v>
      </c>
      <c r="B19" s="281">
        <v>239</v>
      </c>
      <c r="C19" s="266">
        <v>0</v>
      </c>
      <c r="D19" s="267">
        <f>C19+B19</f>
        <v>239</v>
      </c>
      <c r="E19" s="297"/>
      <c r="F19" s="241">
        <v>40</v>
      </c>
      <c r="G19" s="241">
        <v>83</v>
      </c>
      <c r="H19" s="241">
        <v>21</v>
      </c>
      <c r="I19" s="241">
        <v>10</v>
      </c>
      <c r="J19" s="241">
        <f>I19+H19+G19+F19</f>
        <v>154</v>
      </c>
      <c r="K19" s="271">
        <v>85</v>
      </c>
      <c r="L19" s="166" t="s">
        <v>72</v>
      </c>
    </row>
    <row r="20" spans="1:12" ht="15.75" customHeight="1" thickBot="1" x14ac:dyDescent="0.3">
      <c r="A20" s="280"/>
      <c r="B20" s="282"/>
      <c r="C20" s="249"/>
      <c r="D20" s="251"/>
      <c r="E20" s="298"/>
      <c r="F20" s="240"/>
      <c r="G20" s="240"/>
      <c r="H20" s="240"/>
      <c r="I20" s="240"/>
      <c r="J20" s="240"/>
      <c r="K20" s="243"/>
      <c r="L20" s="167"/>
    </row>
    <row r="21" spans="1:12" ht="18" x14ac:dyDescent="0.25">
      <c r="A21" s="283" t="s">
        <v>21</v>
      </c>
      <c r="B21" s="285">
        <v>85</v>
      </c>
      <c r="C21" s="287">
        <v>208</v>
      </c>
      <c r="D21" s="289">
        <f>C21+B21</f>
        <v>293</v>
      </c>
      <c r="E21" s="53" t="s">
        <v>88</v>
      </c>
      <c r="F21" s="274">
        <v>14</v>
      </c>
      <c r="G21" s="274">
        <v>45</v>
      </c>
      <c r="H21" s="274">
        <v>0</v>
      </c>
      <c r="I21" s="274">
        <v>0</v>
      </c>
      <c r="J21" s="274">
        <f>I21+H21+G21+F21</f>
        <v>59</v>
      </c>
      <c r="K21" s="276">
        <f>D21-J21</f>
        <v>234</v>
      </c>
      <c r="L21" s="295"/>
    </row>
    <row r="22" spans="1:12" ht="18.75" thickBot="1" x14ac:dyDescent="0.3">
      <c r="A22" s="284"/>
      <c r="B22" s="286"/>
      <c r="C22" s="288"/>
      <c r="D22" s="290"/>
      <c r="E22" s="110" t="s">
        <v>89</v>
      </c>
      <c r="F22" s="275"/>
      <c r="G22" s="275"/>
      <c r="H22" s="275"/>
      <c r="I22" s="275"/>
      <c r="J22" s="275"/>
      <c r="K22" s="277"/>
      <c r="L22" s="296"/>
    </row>
    <row r="23" spans="1:12" ht="15.75" customHeight="1" x14ac:dyDescent="0.25">
      <c r="A23" s="263" t="s">
        <v>22</v>
      </c>
      <c r="B23" s="281">
        <v>234</v>
      </c>
      <c r="C23" s="266">
        <v>8</v>
      </c>
      <c r="D23" s="267">
        <f>C23+B23</f>
        <v>242</v>
      </c>
      <c r="E23" s="25"/>
      <c r="F23" s="241">
        <v>37</v>
      </c>
      <c r="G23" s="241">
        <v>32</v>
      </c>
      <c r="H23" s="241">
        <v>34</v>
      </c>
      <c r="I23" s="241">
        <v>0</v>
      </c>
      <c r="J23" s="241">
        <f>I23+H23+G23+F23</f>
        <v>103</v>
      </c>
      <c r="K23" s="271">
        <f>D23-J23</f>
        <v>139</v>
      </c>
      <c r="L23" s="293"/>
    </row>
    <row r="24" spans="1:12" ht="16.5" customHeight="1" thickBot="1" x14ac:dyDescent="0.3">
      <c r="A24" s="280"/>
      <c r="B24" s="282"/>
      <c r="C24" s="249"/>
      <c r="D24" s="251"/>
      <c r="E24" s="111"/>
      <c r="F24" s="240"/>
      <c r="G24" s="240"/>
      <c r="H24" s="240"/>
      <c r="I24" s="240"/>
      <c r="J24" s="240"/>
      <c r="K24" s="243"/>
      <c r="L24" s="294"/>
    </row>
    <row r="25" spans="1:12" ht="15" customHeight="1" x14ac:dyDescent="0.25">
      <c r="A25" s="283" t="s">
        <v>23</v>
      </c>
      <c r="B25" s="285">
        <v>139</v>
      </c>
      <c r="C25" s="287">
        <v>0</v>
      </c>
      <c r="D25" s="289">
        <f>C25+B25</f>
        <v>139</v>
      </c>
      <c r="E25" s="269"/>
      <c r="F25" s="274">
        <v>33</v>
      </c>
      <c r="G25" s="274">
        <v>48</v>
      </c>
      <c r="H25" s="274">
        <v>2</v>
      </c>
      <c r="I25" s="274">
        <v>0</v>
      </c>
      <c r="J25" s="274">
        <f>I25+H25+G25+F25</f>
        <v>83</v>
      </c>
      <c r="K25" s="276">
        <f>D25-J25</f>
        <v>56</v>
      </c>
      <c r="L25" s="291"/>
    </row>
    <row r="26" spans="1:12" ht="16.5" customHeight="1" thickBot="1" x14ac:dyDescent="0.3">
      <c r="A26" s="292"/>
      <c r="B26" s="286"/>
      <c r="C26" s="288"/>
      <c r="D26" s="290"/>
      <c r="E26" s="269"/>
      <c r="F26" s="275"/>
      <c r="G26" s="275"/>
      <c r="H26" s="275"/>
      <c r="I26" s="275"/>
      <c r="J26" s="275"/>
      <c r="K26" s="277"/>
      <c r="L26" s="291"/>
    </row>
    <row r="27" spans="1:12" ht="15" customHeight="1" x14ac:dyDescent="0.25">
      <c r="A27" s="263" t="s">
        <v>24</v>
      </c>
      <c r="B27" s="281">
        <v>56</v>
      </c>
      <c r="C27" s="266">
        <v>203</v>
      </c>
      <c r="D27" s="267">
        <f>C27+B27</f>
        <v>259</v>
      </c>
      <c r="E27" s="112" t="s">
        <v>90</v>
      </c>
      <c r="F27" s="241">
        <v>16</v>
      </c>
      <c r="G27" s="241">
        <v>37</v>
      </c>
      <c r="H27" s="241">
        <v>26</v>
      </c>
      <c r="I27" s="241">
        <v>0</v>
      </c>
      <c r="J27" s="241">
        <f>I27+H27+G27+F27</f>
        <v>79</v>
      </c>
      <c r="K27" s="271">
        <v>179</v>
      </c>
      <c r="L27" s="166" t="s">
        <v>73</v>
      </c>
    </row>
    <row r="28" spans="1:12" ht="16.5" customHeight="1" thickBot="1" x14ac:dyDescent="0.3">
      <c r="A28" s="280"/>
      <c r="B28" s="282"/>
      <c r="C28" s="249"/>
      <c r="D28" s="251"/>
      <c r="E28" s="113" t="s">
        <v>91</v>
      </c>
      <c r="F28" s="240"/>
      <c r="G28" s="240"/>
      <c r="H28" s="240"/>
      <c r="I28" s="240"/>
      <c r="J28" s="240"/>
      <c r="K28" s="243"/>
      <c r="L28" s="167"/>
    </row>
    <row r="29" spans="1:12" ht="15" customHeight="1" x14ac:dyDescent="0.25">
      <c r="A29" s="283" t="s">
        <v>25</v>
      </c>
      <c r="B29" s="285">
        <v>179</v>
      </c>
      <c r="C29" s="287">
        <v>0</v>
      </c>
      <c r="D29" s="289">
        <f>C29+B29</f>
        <v>179</v>
      </c>
      <c r="E29" s="270"/>
      <c r="F29" s="274">
        <v>8</v>
      </c>
      <c r="G29" s="274">
        <v>31</v>
      </c>
      <c r="H29" s="274">
        <v>2</v>
      </c>
      <c r="I29" s="274">
        <v>0</v>
      </c>
      <c r="J29" s="274">
        <f>I29+H29+G29+F29</f>
        <v>41</v>
      </c>
      <c r="K29" s="276">
        <f>D29-J29</f>
        <v>138</v>
      </c>
      <c r="L29" s="278"/>
    </row>
    <row r="30" spans="1:12" ht="15.75" customHeight="1" thickBot="1" x14ac:dyDescent="0.3">
      <c r="A30" s="284"/>
      <c r="B30" s="286"/>
      <c r="C30" s="288"/>
      <c r="D30" s="290"/>
      <c r="E30" s="270"/>
      <c r="F30" s="275"/>
      <c r="G30" s="275"/>
      <c r="H30" s="275"/>
      <c r="I30" s="275"/>
      <c r="J30" s="275"/>
      <c r="K30" s="277"/>
      <c r="L30" s="279"/>
    </row>
    <row r="31" spans="1:12" ht="18" x14ac:dyDescent="0.25">
      <c r="A31" s="263" t="s">
        <v>26</v>
      </c>
      <c r="B31" s="281">
        <v>138</v>
      </c>
      <c r="C31" s="266">
        <v>120</v>
      </c>
      <c r="D31" s="267">
        <f>C31+B31</f>
        <v>258</v>
      </c>
      <c r="E31" s="116" t="s">
        <v>97</v>
      </c>
      <c r="F31" s="241">
        <v>31</v>
      </c>
      <c r="G31" s="241">
        <v>71</v>
      </c>
      <c r="H31" s="241">
        <v>97</v>
      </c>
      <c r="I31" s="241">
        <v>0</v>
      </c>
      <c r="J31" s="241">
        <f>I31+H31+G31+F31</f>
        <v>199</v>
      </c>
      <c r="K31" s="271">
        <f>D31-J31</f>
        <v>59</v>
      </c>
      <c r="L31" s="272"/>
    </row>
    <row r="32" spans="1:12" ht="18.75" thickBot="1" x14ac:dyDescent="0.3">
      <c r="A32" s="280"/>
      <c r="B32" s="282"/>
      <c r="C32" s="249"/>
      <c r="D32" s="251"/>
      <c r="E32" s="117" t="s">
        <v>98</v>
      </c>
      <c r="F32" s="240"/>
      <c r="G32" s="240"/>
      <c r="H32" s="240"/>
      <c r="I32" s="240"/>
      <c r="J32" s="240"/>
      <c r="K32" s="243"/>
      <c r="L32" s="273"/>
    </row>
    <row r="33" spans="1:12" ht="18.75" thickBot="1" x14ac:dyDescent="0.3">
      <c r="A33" s="114" t="s">
        <v>27</v>
      </c>
      <c r="B33" s="21"/>
      <c r="C33" s="22">
        <f>SUM(C9:C32)</f>
        <v>1274</v>
      </c>
      <c r="D33" s="22"/>
      <c r="E33" s="22"/>
      <c r="F33" s="22">
        <f>SUM(F9:F32)</f>
        <v>351</v>
      </c>
      <c r="G33" s="22">
        <f>SUM(G9:G32)</f>
        <v>576</v>
      </c>
      <c r="H33" s="22">
        <f>SUM(H9:H32)</f>
        <v>484</v>
      </c>
      <c r="I33" s="22">
        <f>SUM(I9:I32)</f>
        <v>10</v>
      </c>
      <c r="J33" s="22">
        <f>SUM(J9:J32)</f>
        <v>1421</v>
      </c>
      <c r="K33" s="24"/>
      <c r="L33" s="115"/>
    </row>
    <row r="35" spans="1:12" x14ac:dyDescent="0.25">
      <c r="A35" s="180" t="s">
        <v>28</v>
      </c>
      <c r="B35" s="180"/>
      <c r="C35" s="180"/>
      <c r="D35" s="8"/>
      <c r="E35" s="9"/>
      <c r="F35" s="9" t="s">
        <v>29</v>
      </c>
      <c r="G35" s="9"/>
      <c r="H35" s="9"/>
      <c r="I35" s="9"/>
      <c r="J35" s="9"/>
      <c r="K35" s="181" t="s">
        <v>30</v>
      </c>
      <c r="L35" s="181"/>
    </row>
  </sheetData>
  <mergeCells count="151">
    <mergeCell ref="L9:L10"/>
    <mergeCell ref="L11:L12"/>
    <mergeCell ref="D4:L4"/>
    <mergeCell ref="C5:J5"/>
    <mergeCell ref="A7:A8"/>
    <mergeCell ref="B7:B8"/>
    <mergeCell ref="C7:C8"/>
    <mergeCell ref="D7:D8"/>
    <mergeCell ref="F7:K7"/>
    <mergeCell ref="L7:L8"/>
    <mergeCell ref="F9:F10"/>
    <mergeCell ref="G9:G10"/>
    <mergeCell ref="A1:C1"/>
    <mergeCell ref="J1:L1"/>
    <mergeCell ref="A2:C2"/>
    <mergeCell ref="J2:L2"/>
    <mergeCell ref="A3:C3"/>
    <mergeCell ref="J3:L3"/>
    <mergeCell ref="A13:A14"/>
    <mergeCell ref="B13:B14"/>
    <mergeCell ref="C13:C14"/>
    <mergeCell ref="D13:D14"/>
    <mergeCell ref="F13:F14"/>
    <mergeCell ref="H9:H10"/>
    <mergeCell ref="I9:I10"/>
    <mergeCell ref="J9:J10"/>
    <mergeCell ref="K9:K10"/>
    <mergeCell ref="A11:A12"/>
    <mergeCell ref="B11:B12"/>
    <mergeCell ref="C11:C12"/>
    <mergeCell ref="D11:D12"/>
    <mergeCell ref="F11:F12"/>
    <mergeCell ref="A9:A10"/>
    <mergeCell ref="B9:B10"/>
    <mergeCell ref="C9:C10"/>
    <mergeCell ref="D9:D10"/>
    <mergeCell ref="G13:G14"/>
    <mergeCell ref="H13:H14"/>
    <mergeCell ref="I13:I14"/>
    <mergeCell ref="J13:J14"/>
    <mergeCell ref="K13:K14"/>
    <mergeCell ref="L13:L14"/>
    <mergeCell ref="G11:G12"/>
    <mergeCell ref="H11:H12"/>
    <mergeCell ref="I11:I12"/>
    <mergeCell ref="J11:J12"/>
    <mergeCell ref="K11:K12"/>
    <mergeCell ref="A17:A18"/>
    <mergeCell ref="B17:B18"/>
    <mergeCell ref="C17:C18"/>
    <mergeCell ref="D17:D18"/>
    <mergeCell ref="F17:F18"/>
    <mergeCell ref="A15:A16"/>
    <mergeCell ref="B15:B16"/>
    <mergeCell ref="C15:C16"/>
    <mergeCell ref="D15:D16"/>
    <mergeCell ref="F15:F16"/>
    <mergeCell ref="G17:G18"/>
    <mergeCell ref="H17:H18"/>
    <mergeCell ref="I17:I18"/>
    <mergeCell ref="J17:J18"/>
    <mergeCell ref="K17:K18"/>
    <mergeCell ref="L17:L18"/>
    <mergeCell ref="H15:H16"/>
    <mergeCell ref="I15:I16"/>
    <mergeCell ref="J15:J16"/>
    <mergeCell ref="K15:K16"/>
    <mergeCell ref="L15:L16"/>
    <mergeCell ref="G15:G16"/>
    <mergeCell ref="G19:G20"/>
    <mergeCell ref="H19:H20"/>
    <mergeCell ref="I19:I20"/>
    <mergeCell ref="J19:J20"/>
    <mergeCell ref="K19:K20"/>
    <mergeCell ref="L19:L20"/>
    <mergeCell ref="A19:A20"/>
    <mergeCell ref="B19:B20"/>
    <mergeCell ref="C19:C20"/>
    <mergeCell ref="D19:D20"/>
    <mergeCell ref="E19:E20"/>
    <mergeCell ref="F19:F20"/>
    <mergeCell ref="A23:A24"/>
    <mergeCell ref="B23:B24"/>
    <mergeCell ref="C23:C24"/>
    <mergeCell ref="D23:D24"/>
    <mergeCell ref="F23:F24"/>
    <mergeCell ref="A21:A22"/>
    <mergeCell ref="B21:B22"/>
    <mergeCell ref="C21:C22"/>
    <mergeCell ref="D21:D22"/>
    <mergeCell ref="F21:F22"/>
    <mergeCell ref="G23:G24"/>
    <mergeCell ref="H23:H24"/>
    <mergeCell ref="I23:I24"/>
    <mergeCell ref="J23:J24"/>
    <mergeCell ref="K23:K24"/>
    <mergeCell ref="L23:L24"/>
    <mergeCell ref="H21:H22"/>
    <mergeCell ref="I21:I22"/>
    <mergeCell ref="J21:J22"/>
    <mergeCell ref="K21:K22"/>
    <mergeCell ref="L21:L22"/>
    <mergeCell ref="G21:G22"/>
    <mergeCell ref="A27:A28"/>
    <mergeCell ref="B27:B28"/>
    <mergeCell ref="C27:C28"/>
    <mergeCell ref="D27:D28"/>
    <mergeCell ref="F27:F28"/>
    <mergeCell ref="A25:A26"/>
    <mergeCell ref="B25:B26"/>
    <mergeCell ref="C25:C26"/>
    <mergeCell ref="D25:D26"/>
    <mergeCell ref="F25:F26"/>
    <mergeCell ref="F29:F30"/>
    <mergeCell ref="G29:G30"/>
    <mergeCell ref="G27:G28"/>
    <mergeCell ref="H27:H28"/>
    <mergeCell ref="I27:I28"/>
    <mergeCell ref="J27:J28"/>
    <mergeCell ref="K27:K28"/>
    <mergeCell ref="L27:L28"/>
    <mergeCell ref="H25:H26"/>
    <mergeCell ref="I25:I26"/>
    <mergeCell ref="J25:J26"/>
    <mergeCell ref="K25:K26"/>
    <mergeCell ref="L25:L26"/>
    <mergeCell ref="G25:G26"/>
    <mergeCell ref="A35:C35"/>
    <mergeCell ref="K35:L35"/>
    <mergeCell ref="E25:E26"/>
    <mergeCell ref="E29:E30"/>
    <mergeCell ref="G31:G32"/>
    <mergeCell ref="H31:H32"/>
    <mergeCell ref="I31:I32"/>
    <mergeCell ref="J31:J32"/>
    <mergeCell ref="K31:K32"/>
    <mergeCell ref="L31:L32"/>
    <mergeCell ref="H29:H30"/>
    <mergeCell ref="I29:I30"/>
    <mergeCell ref="J29:J30"/>
    <mergeCell ref="K29:K30"/>
    <mergeCell ref="L29:L30"/>
    <mergeCell ref="A31:A32"/>
    <mergeCell ref="B31:B32"/>
    <mergeCell ref="C31:C32"/>
    <mergeCell ref="D31:D32"/>
    <mergeCell ref="F31:F32"/>
    <mergeCell ref="A29:A30"/>
    <mergeCell ref="B29:B30"/>
    <mergeCell ref="C29:C30"/>
    <mergeCell ref="D29:D30"/>
  </mergeCells>
  <pageMargins left="0.19685039370078741" right="0.23622047244094491" top="0.51181102362204722" bottom="0.74803149606299213" header="0.31496062992125984" footer="0.55118110236220474"/>
  <pageSetup scale="85" orientation="landscape" horizontalDpi="36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5"/>
  <sheetViews>
    <sheetView topLeftCell="A10" zoomScale="85" zoomScaleNormal="85" workbookViewId="0">
      <selection activeCell="B33" sqref="B33"/>
    </sheetView>
  </sheetViews>
  <sheetFormatPr baseColWidth="10" defaultColWidth="11.42578125" defaultRowHeight="15" x14ac:dyDescent="0.25"/>
  <cols>
    <col min="1" max="1" width="11.28515625" customWidth="1"/>
    <col min="2" max="2" width="10" customWidth="1"/>
    <col min="3" max="3" width="8.85546875" customWidth="1"/>
    <col min="4" max="4" width="9.28515625" customWidth="1"/>
    <col min="5" max="5" width="16.5703125" customWidth="1"/>
    <col min="6" max="6" width="9.140625" customWidth="1"/>
    <col min="7" max="7" width="11" customWidth="1"/>
    <col min="8" max="8" width="7.5703125" customWidth="1"/>
    <col min="9" max="9" width="9.28515625" customWidth="1"/>
    <col min="10" max="10" width="9.42578125" customWidth="1"/>
    <col min="11" max="11" width="8.7109375" customWidth="1"/>
    <col min="12" max="12" width="22.85546875" customWidth="1"/>
  </cols>
  <sheetData>
    <row r="1" spans="1:12" ht="18" x14ac:dyDescent="0.25">
      <c r="A1" s="132" t="s">
        <v>0</v>
      </c>
      <c r="B1" s="132"/>
      <c r="C1" s="132"/>
      <c r="D1" s="1"/>
      <c r="E1" s="1"/>
      <c r="F1" s="2"/>
      <c r="G1" s="2"/>
      <c r="H1" s="2"/>
      <c r="I1" s="2"/>
      <c r="J1" s="133" t="s">
        <v>5</v>
      </c>
      <c r="K1" s="133"/>
      <c r="L1" s="133"/>
    </row>
    <row r="2" spans="1:12" ht="15.75" x14ac:dyDescent="0.25">
      <c r="A2" s="134" t="s">
        <v>1</v>
      </c>
      <c r="B2" s="134"/>
      <c r="C2" s="134"/>
      <c r="D2" s="3"/>
      <c r="E2" s="3"/>
      <c r="F2" s="2"/>
      <c r="G2" s="2"/>
      <c r="H2" s="2"/>
      <c r="I2" s="2"/>
      <c r="J2" s="134" t="s">
        <v>6</v>
      </c>
      <c r="K2" s="134"/>
      <c r="L2" s="134"/>
    </row>
    <row r="3" spans="1:12" x14ac:dyDescent="0.25">
      <c r="A3" s="133" t="s">
        <v>7</v>
      </c>
      <c r="B3" s="133"/>
      <c r="C3" s="133"/>
      <c r="D3" s="4"/>
      <c r="E3" s="4"/>
      <c r="F3" s="2"/>
      <c r="G3" s="2"/>
      <c r="H3" s="2"/>
      <c r="I3" s="2"/>
      <c r="J3" s="133" t="s">
        <v>8</v>
      </c>
      <c r="K3" s="133"/>
      <c r="L3" s="133"/>
    </row>
    <row r="4" spans="1:12" ht="18" x14ac:dyDescent="0.25">
      <c r="A4" s="1"/>
      <c r="B4" s="1"/>
      <c r="C4" s="1"/>
      <c r="D4" s="132" t="s">
        <v>9</v>
      </c>
      <c r="E4" s="132"/>
      <c r="F4" s="132"/>
      <c r="G4" s="132"/>
      <c r="H4" s="132"/>
      <c r="I4" s="132"/>
      <c r="J4" s="132"/>
      <c r="K4" s="132"/>
      <c r="L4" s="132"/>
    </row>
    <row r="5" spans="1:12" ht="18" x14ac:dyDescent="0.25">
      <c r="A5" s="1"/>
      <c r="B5" s="1"/>
      <c r="C5" s="132" t="s">
        <v>31</v>
      </c>
      <c r="D5" s="132"/>
      <c r="E5" s="132"/>
      <c r="F5" s="132"/>
      <c r="G5" s="132"/>
      <c r="H5" s="132"/>
      <c r="I5" s="132"/>
      <c r="J5" s="132"/>
      <c r="K5" s="1"/>
      <c r="L5" s="1"/>
    </row>
    <row r="6" spans="1:12" ht="15.75" thickBot="1" x14ac:dyDescent="0.3"/>
    <row r="7" spans="1:12" ht="27.95" customHeight="1" thickBot="1" x14ac:dyDescent="0.3">
      <c r="A7" s="208" t="s">
        <v>2</v>
      </c>
      <c r="B7" s="210" t="s">
        <v>33</v>
      </c>
      <c r="C7" s="208" t="s">
        <v>10</v>
      </c>
      <c r="D7" s="208" t="s">
        <v>11</v>
      </c>
      <c r="E7" s="30" t="s">
        <v>12</v>
      </c>
      <c r="F7" s="212" t="s">
        <v>38</v>
      </c>
      <c r="G7" s="213"/>
      <c r="H7" s="213"/>
      <c r="I7" s="213"/>
      <c r="J7" s="213"/>
      <c r="K7" s="214"/>
      <c r="L7" s="208" t="s">
        <v>13</v>
      </c>
    </row>
    <row r="8" spans="1:12" ht="36" customHeight="1" thickBot="1" x14ac:dyDescent="0.3">
      <c r="A8" s="209"/>
      <c r="B8" s="211"/>
      <c r="C8" s="209"/>
      <c r="D8" s="209"/>
      <c r="E8" s="30" t="s">
        <v>14</v>
      </c>
      <c r="F8" s="31" t="s">
        <v>3</v>
      </c>
      <c r="G8" s="31" t="s">
        <v>34</v>
      </c>
      <c r="H8" s="32" t="s">
        <v>4</v>
      </c>
      <c r="I8" s="31" t="s">
        <v>35</v>
      </c>
      <c r="J8" s="31" t="s">
        <v>36</v>
      </c>
      <c r="K8" s="33" t="s">
        <v>37</v>
      </c>
      <c r="L8" s="209"/>
    </row>
    <row r="9" spans="1:12" ht="17.45" customHeight="1" x14ac:dyDescent="0.25">
      <c r="A9" s="200" t="s">
        <v>15</v>
      </c>
      <c r="B9" s="204">
        <v>119</v>
      </c>
      <c r="C9" s="204">
        <v>200</v>
      </c>
      <c r="D9" s="206">
        <f>C9+B9</f>
        <v>319</v>
      </c>
      <c r="E9" s="34" t="s">
        <v>55</v>
      </c>
      <c r="F9" s="196">
        <v>8</v>
      </c>
      <c r="G9" s="196">
        <v>44</v>
      </c>
      <c r="H9" s="196">
        <v>2</v>
      </c>
      <c r="I9" s="196"/>
      <c r="J9" s="196">
        <f>I9+H9+G9+F9</f>
        <v>54</v>
      </c>
      <c r="K9" s="198">
        <f>D9-J9</f>
        <v>265</v>
      </c>
      <c r="L9" s="35"/>
    </row>
    <row r="10" spans="1:12" ht="17.45" customHeight="1" thickBot="1" x14ac:dyDescent="0.3">
      <c r="A10" s="201"/>
      <c r="B10" s="309"/>
      <c r="C10" s="205"/>
      <c r="D10" s="207"/>
      <c r="E10" s="16" t="s">
        <v>56</v>
      </c>
      <c r="F10" s="197"/>
      <c r="G10" s="197"/>
      <c r="H10" s="197"/>
      <c r="I10" s="197"/>
      <c r="J10" s="197"/>
      <c r="K10" s="199"/>
      <c r="L10" s="36"/>
    </row>
    <row r="11" spans="1:12" ht="14.45" customHeight="1" x14ac:dyDescent="0.25">
      <c r="A11" s="201" t="s">
        <v>16</v>
      </c>
      <c r="B11" s="204">
        <v>265</v>
      </c>
      <c r="C11" s="197"/>
      <c r="D11" s="207">
        <f t="shared" ref="D11" si="0">C11+B11</f>
        <v>265</v>
      </c>
      <c r="E11" s="197"/>
      <c r="F11" s="197">
        <v>16</v>
      </c>
      <c r="G11" s="197">
        <v>15</v>
      </c>
      <c r="H11" s="197">
        <v>1</v>
      </c>
      <c r="I11" s="197"/>
      <c r="J11" s="196">
        <f t="shared" ref="J11" si="1">I11+H11+G11+F11</f>
        <v>32</v>
      </c>
      <c r="K11" s="199">
        <f t="shared" ref="K11" si="2">D11-J11</f>
        <v>233</v>
      </c>
      <c r="L11" s="215"/>
    </row>
    <row r="12" spans="1:12" ht="14.45" customHeight="1" thickBot="1" x14ac:dyDescent="0.3">
      <c r="A12" s="216"/>
      <c r="B12" s="309"/>
      <c r="C12" s="197"/>
      <c r="D12" s="207"/>
      <c r="E12" s="197"/>
      <c r="F12" s="197"/>
      <c r="G12" s="197"/>
      <c r="H12" s="197"/>
      <c r="I12" s="197"/>
      <c r="J12" s="197"/>
      <c r="K12" s="199"/>
      <c r="L12" s="215"/>
    </row>
    <row r="13" spans="1:12" ht="14.45" customHeight="1" x14ac:dyDescent="0.25">
      <c r="A13" s="201" t="s">
        <v>17</v>
      </c>
      <c r="B13" s="204">
        <v>233</v>
      </c>
      <c r="C13" s="205">
        <v>6</v>
      </c>
      <c r="D13" s="207">
        <f t="shared" ref="D13" si="3">C13+B13</f>
        <v>239</v>
      </c>
      <c r="E13" s="16" t="s">
        <v>57</v>
      </c>
      <c r="F13" s="197">
        <v>27</v>
      </c>
      <c r="G13" s="197">
        <v>38</v>
      </c>
      <c r="H13" s="197">
        <v>1</v>
      </c>
      <c r="I13" s="197"/>
      <c r="J13" s="196">
        <f t="shared" ref="J13" si="4">I13+H13+G13+F13</f>
        <v>66</v>
      </c>
      <c r="K13" s="199">
        <f t="shared" ref="K13" si="5">D13-J13</f>
        <v>173</v>
      </c>
      <c r="L13" s="215"/>
    </row>
    <row r="14" spans="1:12" ht="14.45" customHeight="1" thickBot="1" x14ac:dyDescent="0.3">
      <c r="A14" s="216"/>
      <c r="B14" s="309"/>
      <c r="C14" s="205"/>
      <c r="D14" s="207"/>
      <c r="E14" s="37">
        <v>41721</v>
      </c>
      <c r="F14" s="197"/>
      <c r="G14" s="197"/>
      <c r="H14" s="197"/>
      <c r="I14" s="197"/>
      <c r="J14" s="197"/>
      <c r="K14" s="199"/>
      <c r="L14" s="215"/>
    </row>
    <row r="15" spans="1:12" ht="14.45" customHeight="1" x14ac:dyDescent="0.25">
      <c r="A15" s="201" t="s">
        <v>18</v>
      </c>
      <c r="B15" s="204">
        <v>173</v>
      </c>
      <c r="C15" s="205">
        <v>100</v>
      </c>
      <c r="D15" s="207">
        <f t="shared" ref="D15" si="6">C15+B15</f>
        <v>273</v>
      </c>
      <c r="E15" s="16" t="s">
        <v>54</v>
      </c>
      <c r="F15" s="197">
        <v>90</v>
      </c>
      <c r="G15" s="197">
        <v>30</v>
      </c>
      <c r="H15" s="197">
        <v>6</v>
      </c>
      <c r="I15" s="197"/>
      <c r="J15" s="196">
        <f t="shared" ref="J15" si="7">I15+H15+G15+F15</f>
        <v>126</v>
      </c>
      <c r="K15" s="218">
        <f t="shared" ref="K15" si="8">D15-J15</f>
        <v>147</v>
      </c>
      <c r="L15" s="215"/>
    </row>
    <row r="16" spans="1:12" ht="14.45" customHeight="1" thickBot="1" x14ac:dyDescent="0.3">
      <c r="A16" s="216"/>
      <c r="B16" s="309"/>
      <c r="C16" s="205"/>
      <c r="D16" s="207"/>
      <c r="E16" s="37">
        <v>41743</v>
      </c>
      <c r="F16" s="197"/>
      <c r="G16" s="197"/>
      <c r="H16" s="197"/>
      <c r="I16" s="197"/>
      <c r="J16" s="197"/>
      <c r="K16" s="218"/>
      <c r="L16" s="215"/>
    </row>
    <row r="17" spans="1:12" ht="14.45" customHeight="1" x14ac:dyDescent="0.25">
      <c r="A17" s="201" t="s">
        <v>19</v>
      </c>
      <c r="B17" s="204">
        <v>147</v>
      </c>
      <c r="C17" s="205">
        <v>200</v>
      </c>
      <c r="D17" s="207">
        <f t="shared" ref="D17" si="9">C17+B17</f>
        <v>347</v>
      </c>
      <c r="E17" s="16" t="s">
        <v>53</v>
      </c>
      <c r="F17" s="197">
        <v>52</v>
      </c>
      <c r="G17" s="197">
        <v>26</v>
      </c>
      <c r="H17" s="197">
        <v>45</v>
      </c>
      <c r="I17" s="219" t="s">
        <v>64</v>
      </c>
      <c r="J17" s="196">
        <f>H17+G17+F17</f>
        <v>123</v>
      </c>
      <c r="K17" s="218">
        <f t="shared" ref="K17" si="10">D17-J17</f>
        <v>224</v>
      </c>
      <c r="L17" s="220"/>
    </row>
    <row r="18" spans="1:12" ht="14.45" customHeight="1" thickBot="1" x14ac:dyDescent="0.3">
      <c r="A18" s="216"/>
      <c r="B18" s="309"/>
      <c r="C18" s="205"/>
      <c r="D18" s="207"/>
      <c r="E18" s="37">
        <v>41766</v>
      </c>
      <c r="F18" s="197"/>
      <c r="G18" s="197"/>
      <c r="H18" s="197"/>
      <c r="I18" s="219"/>
      <c r="J18" s="197"/>
      <c r="K18" s="218"/>
      <c r="L18" s="215"/>
    </row>
    <row r="19" spans="1:12" ht="17.45" customHeight="1" x14ac:dyDescent="0.25">
      <c r="A19" s="201" t="s">
        <v>20</v>
      </c>
      <c r="B19" s="204">
        <v>224</v>
      </c>
      <c r="C19" s="197"/>
      <c r="D19" s="207">
        <f t="shared" ref="D19" si="11">C19+B19</f>
        <v>224</v>
      </c>
      <c r="E19" s="232"/>
      <c r="F19" s="197">
        <v>50</v>
      </c>
      <c r="G19" s="197">
        <v>52</v>
      </c>
      <c r="H19" s="197">
        <v>2</v>
      </c>
      <c r="I19" s="197"/>
      <c r="J19" s="196">
        <f t="shared" ref="J19" si="12">I19+H19+G19+F19</f>
        <v>104</v>
      </c>
      <c r="K19" s="218">
        <f t="shared" ref="K19" si="13">D19-J19</f>
        <v>120</v>
      </c>
      <c r="L19" s="221"/>
    </row>
    <row r="20" spans="1:12" ht="17.45" customHeight="1" thickBot="1" x14ac:dyDescent="0.3">
      <c r="A20" s="216"/>
      <c r="B20" s="309"/>
      <c r="C20" s="197"/>
      <c r="D20" s="207"/>
      <c r="E20" s="232"/>
      <c r="F20" s="197"/>
      <c r="G20" s="197"/>
      <c r="H20" s="197"/>
      <c r="I20" s="197"/>
      <c r="J20" s="197"/>
      <c r="K20" s="218"/>
      <c r="L20" s="222"/>
    </row>
    <row r="21" spans="1:12" ht="14.45" customHeight="1" x14ac:dyDescent="0.25">
      <c r="A21" s="201" t="s">
        <v>21</v>
      </c>
      <c r="B21" s="204">
        <v>120</v>
      </c>
      <c r="C21" s="205">
        <v>20</v>
      </c>
      <c r="D21" s="207">
        <f t="shared" ref="D21" si="14">C21+B21</f>
        <v>140</v>
      </c>
      <c r="E21" s="38"/>
      <c r="F21" s="197">
        <v>14</v>
      </c>
      <c r="G21" s="197">
        <v>38</v>
      </c>
      <c r="H21" s="197">
        <v>3</v>
      </c>
      <c r="I21" s="197"/>
      <c r="J21" s="196">
        <f>I21+H21+G21+F21</f>
        <v>55</v>
      </c>
      <c r="K21" s="218">
        <f>D21-J21</f>
        <v>85</v>
      </c>
      <c r="L21" s="223" t="s">
        <v>65</v>
      </c>
    </row>
    <row r="22" spans="1:12" ht="14.45" customHeight="1" thickBot="1" x14ac:dyDescent="0.3">
      <c r="A22" s="216"/>
      <c r="B22" s="309"/>
      <c r="C22" s="205"/>
      <c r="D22" s="207"/>
      <c r="E22" s="38"/>
      <c r="F22" s="197"/>
      <c r="G22" s="197"/>
      <c r="H22" s="197"/>
      <c r="I22" s="197"/>
      <c r="J22" s="197"/>
      <c r="K22" s="218"/>
      <c r="L22" s="224"/>
    </row>
    <row r="23" spans="1:12" ht="17.45" customHeight="1" x14ac:dyDescent="0.25">
      <c r="A23" s="201" t="s">
        <v>22</v>
      </c>
      <c r="B23" s="205">
        <v>85</v>
      </c>
      <c r="C23" s="205">
        <v>100</v>
      </c>
      <c r="D23" s="207">
        <f t="shared" ref="D23" si="15">C23+B23</f>
        <v>185</v>
      </c>
      <c r="E23" s="39" t="s">
        <v>51</v>
      </c>
      <c r="F23" s="197">
        <v>21</v>
      </c>
      <c r="G23" s="197">
        <v>72</v>
      </c>
      <c r="H23" s="197">
        <v>2</v>
      </c>
      <c r="I23" s="197"/>
      <c r="J23" s="196">
        <f t="shared" ref="J23" si="16">I23+H23+G23+F23</f>
        <v>95</v>
      </c>
      <c r="K23" s="218">
        <f t="shared" ref="K23" si="17">D23-J23</f>
        <v>90</v>
      </c>
      <c r="L23" s="221"/>
    </row>
    <row r="24" spans="1:12" ht="17.45" customHeight="1" thickBot="1" x14ac:dyDescent="0.3">
      <c r="A24" s="216"/>
      <c r="B24" s="207"/>
      <c r="C24" s="205"/>
      <c r="D24" s="207"/>
      <c r="E24" s="16" t="s">
        <v>52</v>
      </c>
      <c r="F24" s="197"/>
      <c r="G24" s="197"/>
      <c r="H24" s="197"/>
      <c r="I24" s="197"/>
      <c r="J24" s="197"/>
      <c r="K24" s="218"/>
      <c r="L24" s="222"/>
    </row>
    <row r="25" spans="1:12" ht="17.45" customHeight="1" x14ac:dyDescent="0.25">
      <c r="A25" s="201" t="s">
        <v>23</v>
      </c>
      <c r="B25" s="205">
        <v>90</v>
      </c>
      <c r="C25" s="205">
        <v>103</v>
      </c>
      <c r="D25" s="207">
        <f t="shared" ref="D25" si="18">C25+B25</f>
        <v>193</v>
      </c>
      <c r="E25" s="16" t="s">
        <v>58</v>
      </c>
      <c r="F25" s="197">
        <v>22</v>
      </c>
      <c r="G25" s="197">
        <v>79</v>
      </c>
      <c r="H25" s="197">
        <v>1</v>
      </c>
      <c r="I25" s="197"/>
      <c r="J25" s="196">
        <f t="shared" ref="J25" si="19">I25+H25+G25+F25</f>
        <v>102</v>
      </c>
      <c r="K25" s="218">
        <f t="shared" ref="K25:K27" si="20">D25-J25</f>
        <v>91</v>
      </c>
      <c r="L25" s="226"/>
    </row>
    <row r="26" spans="1:12" ht="17.45" customHeight="1" thickBot="1" x14ac:dyDescent="0.3">
      <c r="A26" s="225"/>
      <c r="B26" s="207"/>
      <c r="C26" s="205"/>
      <c r="D26" s="207"/>
      <c r="E26" s="16" t="s">
        <v>59</v>
      </c>
      <c r="F26" s="197"/>
      <c r="G26" s="197"/>
      <c r="H26" s="197"/>
      <c r="I26" s="197"/>
      <c r="J26" s="197"/>
      <c r="K26" s="218"/>
      <c r="L26" s="227"/>
    </row>
    <row r="27" spans="1:12" ht="14.45" customHeight="1" x14ac:dyDescent="0.25">
      <c r="A27" s="201" t="s">
        <v>24</v>
      </c>
      <c r="B27" s="205">
        <v>91</v>
      </c>
      <c r="C27" s="205">
        <v>102</v>
      </c>
      <c r="D27" s="207">
        <f t="shared" ref="D27:D31" si="21">C27+B27</f>
        <v>193</v>
      </c>
      <c r="E27" s="40" t="s">
        <v>60</v>
      </c>
      <c r="F27" s="197">
        <v>18</v>
      </c>
      <c r="G27" s="197">
        <v>41</v>
      </c>
      <c r="H27" s="197">
        <v>1</v>
      </c>
      <c r="I27" s="197">
        <v>20</v>
      </c>
      <c r="J27" s="196">
        <f t="shared" ref="J27" si="22">I27+H27+G27+F27</f>
        <v>80</v>
      </c>
      <c r="K27" s="218">
        <f t="shared" si="20"/>
        <v>113</v>
      </c>
      <c r="L27" s="237" t="s">
        <v>42</v>
      </c>
    </row>
    <row r="28" spans="1:12" ht="14.45" customHeight="1" thickBot="1" x14ac:dyDescent="0.3">
      <c r="A28" s="216"/>
      <c r="B28" s="207"/>
      <c r="C28" s="205"/>
      <c r="D28" s="207"/>
      <c r="E28" s="41" t="s">
        <v>61</v>
      </c>
      <c r="F28" s="197"/>
      <c r="G28" s="197"/>
      <c r="H28" s="197"/>
      <c r="I28" s="197"/>
      <c r="J28" s="197"/>
      <c r="K28" s="218"/>
      <c r="L28" s="238"/>
    </row>
    <row r="29" spans="1:12" ht="14.45" customHeight="1" x14ac:dyDescent="0.25">
      <c r="A29" s="201" t="s">
        <v>25</v>
      </c>
      <c r="B29" s="205">
        <v>113</v>
      </c>
      <c r="C29" s="205">
        <v>163</v>
      </c>
      <c r="D29" s="207">
        <f t="shared" si="21"/>
        <v>276</v>
      </c>
      <c r="E29" s="16" t="s">
        <v>62</v>
      </c>
      <c r="F29" s="197">
        <v>22</v>
      </c>
      <c r="G29" s="197">
        <v>68</v>
      </c>
      <c r="H29" s="197"/>
      <c r="I29" s="197"/>
      <c r="J29" s="196">
        <f t="shared" ref="J29" si="23">I29+H29+G29+F29</f>
        <v>90</v>
      </c>
      <c r="K29" s="218">
        <f t="shared" ref="K29:K31" si="24">D29-J29</f>
        <v>186</v>
      </c>
      <c r="L29" s="228"/>
    </row>
    <row r="30" spans="1:12" ht="14.45" customHeight="1" thickBot="1" x14ac:dyDescent="0.3">
      <c r="A30" s="216"/>
      <c r="B30" s="207"/>
      <c r="C30" s="205"/>
      <c r="D30" s="207"/>
      <c r="E30" s="37" t="s">
        <v>63</v>
      </c>
      <c r="F30" s="197"/>
      <c r="G30" s="197"/>
      <c r="H30" s="197"/>
      <c r="I30" s="197"/>
      <c r="J30" s="197"/>
      <c r="K30" s="218"/>
      <c r="L30" s="229"/>
    </row>
    <row r="31" spans="1:12" ht="14.45" customHeight="1" x14ac:dyDescent="0.25">
      <c r="A31" s="201" t="s">
        <v>26</v>
      </c>
      <c r="B31" s="205">
        <v>186</v>
      </c>
      <c r="C31" s="205">
        <v>101</v>
      </c>
      <c r="D31" s="207">
        <f t="shared" si="21"/>
        <v>287</v>
      </c>
      <c r="E31" s="42"/>
      <c r="F31" s="197">
        <v>23</v>
      </c>
      <c r="G31" s="197">
        <v>77</v>
      </c>
      <c r="H31" s="197">
        <v>3</v>
      </c>
      <c r="I31" s="197">
        <v>30</v>
      </c>
      <c r="J31" s="196">
        <f>SUM(F31:I32)</f>
        <v>133</v>
      </c>
      <c r="K31" s="218">
        <f t="shared" si="24"/>
        <v>154</v>
      </c>
      <c r="L31" s="231" t="s">
        <v>83</v>
      </c>
    </row>
    <row r="32" spans="1:12" ht="15" customHeight="1" thickBot="1" x14ac:dyDescent="0.3">
      <c r="A32" s="216"/>
      <c r="B32" s="207"/>
      <c r="C32" s="235"/>
      <c r="D32" s="236"/>
      <c r="E32" s="43"/>
      <c r="F32" s="233"/>
      <c r="G32" s="233"/>
      <c r="H32" s="233"/>
      <c r="I32" s="233"/>
      <c r="J32" s="233"/>
      <c r="K32" s="218"/>
      <c r="L32" s="172"/>
    </row>
    <row r="33" spans="1:12" ht="23.1" customHeight="1" thickBot="1" x14ac:dyDescent="0.3">
      <c r="A33" s="44" t="s">
        <v>27</v>
      </c>
      <c r="B33" s="119">
        <f>SUM(B9:B32)</f>
        <v>1846</v>
      </c>
      <c r="C33" s="46">
        <f>SUM(C9:C32)</f>
        <v>1095</v>
      </c>
      <c r="D33" s="46"/>
      <c r="E33" s="47"/>
      <c r="F33" s="46">
        <f>SUM(F9:F32)</f>
        <v>363</v>
      </c>
      <c r="G33" s="46">
        <f>SUM(G9:G32)</f>
        <v>580</v>
      </c>
      <c r="H33" s="46">
        <f>SUM(H9:H32)</f>
        <v>67</v>
      </c>
      <c r="I33" s="46"/>
      <c r="J33" s="46">
        <f>SUM(J9:J32)</f>
        <v>1060</v>
      </c>
      <c r="K33" s="48"/>
      <c r="L33" s="7"/>
    </row>
    <row r="35" spans="1:12" x14ac:dyDescent="0.25">
      <c r="A35" s="180" t="s">
        <v>28</v>
      </c>
      <c r="B35" s="180"/>
      <c r="C35" s="180"/>
      <c r="D35" s="8"/>
      <c r="E35" s="9"/>
      <c r="F35" s="9" t="s">
        <v>29</v>
      </c>
      <c r="G35" s="9"/>
      <c r="H35" s="9"/>
      <c r="I35" s="9"/>
      <c r="J35" s="9"/>
      <c r="K35" s="181" t="s">
        <v>30</v>
      </c>
      <c r="L35" s="181"/>
    </row>
  </sheetData>
  <mergeCells count="149">
    <mergeCell ref="D4:L4"/>
    <mergeCell ref="C5:J5"/>
    <mergeCell ref="A7:A8"/>
    <mergeCell ref="B7:B8"/>
    <mergeCell ref="C7:C8"/>
    <mergeCell ref="D7:D8"/>
    <mergeCell ref="F7:K7"/>
    <mergeCell ref="L7:L8"/>
    <mergeCell ref="A1:C1"/>
    <mergeCell ref="J1:L1"/>
    <mergeCell ref="A2:C2"/>
    <mergeCell ref="J2:L2"/>
    <mergeCell ref="A3:C3"/>
    <mergeCell ref="J3:L3"/>
    <mergeCell ref="A11:A12"/>
    <mergeCell ref="B11:B12"/>
    <mergeCell ref="C11:C12"/>
    <mergeCell ref="D11:D12"/>
    <mergeCell ref="E11:E12"/>
    <mergeCell ref="F11:F12"/>
    <mergeCell ref="A9:A10"/>
    <mergeCell ref="B9:B10"/>
    <mergeCell ref="C9:C10"/>
    <mergeCell ref="D9:D10"/>
    <mergeCell ref="F9:F10"/>
    <mergeCell ref="G11:G12"/>
    <mergeCell ref="H11:H12"/>
    <mergeCell ref="I11:I12"/>
    <mergeCell ref="J11:J12"/>
    <mergeCell ref="K11:K12"/>
    <mergeCell ref="L11:L12"/>
    <mergeCell ref="H9:H10"/>
    <mergeCell ref="I9:I10"/>
    <mergeCell ref="J9:J10"/>
    <mergeCell ref="K9:K10"/>
    <mergeCell ref="G9:G10"/>
    <mergeCell ref="A15:A16"/>
    <mergeCell ref="B15:B16"/>
    <mergeCell ref="C15:C16"/>
    <mergeCell ref="D15:D16"/>
    <mergeCell ref="F15:F16"/>
    <mergeCell ref="A13:A14"/>
    <mergeCell ref="B13:B14"/>
    <mergeCell ref="C13:C14"/>
    <mergeCell ref="D13:D14"/>
    <mergeCell ref="F13:F14"/>
    <mergeCell ref="G15:G16"/>
    <mergeCell ref="H15:H16"/>
    <mergeCell ref="I15:I16"/>
    <mergeCell ref="J15:J16"/>
    <mergeCell ref="K15:K16"/>
    <mergeCell ref="L15:L16"/>
    <mergeCell ref="H13:H14"/>
    <mergeCell ref="I13:I14"/>
    <mergeCell ref="J13:J14"/>
    <mergeCell ref="K13:K14"/>
    <mergeCell ref="L13:L14"/>
    <mergeCell ref="G13:G14"/>
    <mergeCell ref="L17:L18"/>
    <mergeCell ref="A19:A20"/>
    <mergeCell ref="B19:B20"/>
    <mergeCell ref="C19:C20"/>
    <mergeCell ref="D19:D20"/>
    <mergeCell ref="E19:E20"/>
    <mergeCell ref="A17:A18"/>
    <mergeCell ref="B17:B18"/>
    <mergeCell ref="C17:C18"/>
    <mergeCell ref="D17:D18"/>
    <mergeCell ref="F17:F18"/>
    <mergeCell ref="G17:G18"/>
    <mergeCell ref="L19:L20"/>
    <mergeCell ref="F19:F20"/>
    <mergeCell ref="G19:G20"/>
    <mergeCell ref="H19:H20"/>
    <mergeCell ref="I19:I20"/>
    <mergeCell ref="J19:J20"/>
    <mergeCell ref="K19:K20"/>
    <mergeCell ref="F21:F22"/>
    <mergeCell ref="G21:G22"/>
    <mergeCell ref="H21:H22"/>
    <mergeCell ref="I21:I22"/>
    <mergeCell ref="J21:J22"/>
    <mergeCell ref="H17:H18"/>
    <mergeCell ref="I17:I18"/>
    <mergeCell ref="J17:J18"/>
    <mergeCell ref="K17:K18"/>
    <mergeCell ref="A29:A30"/>
    <mergeCell ref="B29:B30"/>
    <mergeCell ref="C29:C30"/>
    <mergeCell ref="D29:D30"/>
    <mergeCell ref="F29:F30"/>
    <mergeCell ref="G29:G30"/>
    <mergeCell ref="H29:H30"/>
    <mergeCell ref="K21:K22"/>
    <mergeCell ref="L21:L22"/>
    <mergeCell ref="A23:A24"/>
    <mergeCell ref="B23:B24"/>
    <mergeCell ref="C23:C24"/>
    <mergeCell ref="D23:D24"/>
    <mergeCell ref="F23:F24"/>
    <mergeCell ref="G23:G24"/>
    <mergeCell ref="H23:H24"/>
    <mergeCell ref="I23:I24"/>
    <mergeCell ref="J23:J24"/>
    <mergeCell ref="K23:K24"/>
    <mergeCell ref="L23:L24"/>
    <mergeCell ref="A21:A22"/>
    <mergeCell ref="B21:B22"/>
    <mergeCell ref="C21:C22"/>
    <mergeCell ref="D21:D22"/>
    <mergeCell ref="I25:I26"/>
    <mergeCell ref="J25:J26"/>
    <mergeCell ref="K25:K26"/>
    <mergeCell ref="L25:L26"/>
    <mergeCell ref="A27:A28"/>
    <mergeCell ref="B27:B28"/>
    <mergeCell ref="C27:C28"/>
    <mergeCell ref="D27:D28"/>
    <mergeCell ref="F27:F28"/>
    <mergeCell ref="G27:G28"/>
    <mergeCell ref="A25:A26"/>
    <mergeCell ref="B25:B26"/>
    <mergeCell ref="C25:C26"/>
    <mergeCell ref="D25:D26"/>
    <mergeCell ref="F25:F26"/>
    <mergeCell ref="G25:G26"/>
    <mergeCell ref="H25:H26"/>
    <mergeCell ref="I29:I30"/>
    <mergeCell ref="J29:J30"/>
    <mergeCell ref="K29:K30"/>
    <mergeCell ref="L29:L30"/>
    <mergeCell ref="H27:H28"/>
    <mergeCell ref="I27:I28"/>
    <mergeCell ref="J27:J28"/>
    <mergeCell ref="K27:K28"/>
    <mergeCell ref="L27:L28"/>
    <mergeCell ref="H31:H32"/>
    <mergeCell ref="I31:I32"/>
    <mergeCell ref="J31:J32"/>
    <mergeCell ref="K31:K32"/>
    <mergeCell ref="L31:L32"/>
    <mergeCell ref="A35:C35"/>
    <mergeCell ref="K35:L35"/>
    <mergeCell ref="A31:A32"/>
    <mergeCell ref="B31:B32"/>
    <mergeCell ref="C31:C32"/>
    <mergeCell ref="D31:D32"/>
    <mergeCell ref="F31:F32"/>
    <mergeCell ref="G31:G32"/>
  </mergeCells>
  <pageMargins left="0" right="0" top="0" bottom="0" header="0.31496062992125984" footer="0.31496062992125984"/>
  <pageSetup orientation="landscape" horizontalDpi="36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5"/>
  <sheetViews>
    <sheetView topLeftCell="A16" zoomScale="85" zoomScaleNormal="85" workbookViewId="0">
      <selection activeCell="J33" sqref="J33"/>
    </sheetView>
  </sheetViews>
  <sheetFormatPr baseColWidth="10" defaultColWidth="11.42578125" defaultRowHeight="15" x14ac:dyDescent="0.25"/>
  <cols>
    <col min="1" max="1" width="12.5703125" customWidth="1"/>
    <col min="2" max="2" width="13.28515625" customWidth="1"/>
    <col min="3" max="3" width="8.140625" customWidth="1"/>
    <col min="4" max="4" width="8.42578125" customWidth="1"/>
    <col min="5" max="5" width="24.42578125" customWidth="1"/>
    <col min="6" max="6" width="13.140625" customWidth="1"/>
    <col min="7" max="7" width="11.5703125" customWidth="1"/>
    <col min="8" max="8" width="7.5703125" customWidth="1"/>
    <col min="9" max="9" width="10.42578125" customWidth="1"/>
    <col min="10" max="10" width="8.28515625" customWidth="1"/>
    <col min="11" max="11" width="7.5703125" customWidth="1"/>
    <col min="12" max="12" width="29.42578125" customWidth="1"/>
  </cols>
  <sheetData>
    <row r="1" spans="1:12" ht="18" x14ac:dyDescent="0.25">
      <c r="A1" s="132" t="s">
        <v>0</v>
      </c>
      <c r="B1" s="132"/>
      <c r="C1" s="132"/>
      <c r="D1" s="1"/>
      <c r="E1" s="1"/>
      <c r="F1" s="2"/>
      <c r="G1" s="2"/>
      <c r="H1" s="2"/>
      <c r="I1" s="2"/>
      <c r="J1" s="133" t="s">
        <v>109</v>
      </c>
      <c r="K1" s="133"/>
      <c r="L1" s="133"/>
    </row>
    <row r="2" spans="1:12" ht="15.75" x14ac:dyDescent="0.25">
      <c r="A2" s="134" t="s">
        <v>1</v>
      </c>
      <c r="B2" s="134"/>
      <c r="C2" s="134"/>
      <c r="D2" s="3"/>
      <c r="E2" s="3"/>
      <c r="F2" s="2"/>
      <c r="G2" s="2"/>
      <c r="H2" s="2"/>
      <c r="I2" s="2"/>
      <c r="J2" s="134" t="s">
        <v>6</v>
      </c>
      <c r="K2" s="134"/>
      <c r="L2" s="134"/>
    </row>
    <row r="3" spans="1:12" x14ac:dyDescent="0.25">
      <c r="A3" s="133" t="s">
        <v>7</v>
      </c>
      <c r="B3" s="133"/>
      <c r="C3" s="133"/>
      <c r="D3" s="4"/>
      <c r="E3" s="4"/>
      <c r="F3" s="2"/>
      <c r="G3" s="2"/>
      <c r="H3" s="2"/>
      <c r="I3" s="2"/>
      <c r="J3" s="133" t="s">
        <v>8</v>
      </c>
      <c r="K3" s="133"/>
      <c r="L3" s="133"/>
    </row>
    <row r="4" spans="1:12" ht="18" x14ac:dyDescent="0.25">
      <c r="A4" s="1"/>
      <c r="B4" s="1"/>
      <c r="C4" s="1"/>
      <c r="D4" s="132" t="s">
        <v>9</v>
      </c>
      <c r="E4" s="132"/>
      <c r="F4" s="132"/>
      <c r="G4" s="132"/>
      <c r="H4" s="132"/>
      <c r="I4" s="132"/>
      <c r="J4" s="132"/>
      <c r="K4" s="132"/>
      <c r="L4" s="132"/>
    </row>
    <row r="5" spans="1:12" ht="18" x14ac:dyDescent="0.25">
      <c r="A5" s="1"/>
      <c r="B5" s="1"/>
      <c r="C5" s="132" t="s">
        <v>78</v>
      </c>
      <c r="D5" s="132"/>
      <c r="E5" s="132"/>
      <c r="F5" s="132"/>
      <c r="G5" s="132"/>
      <c r="H5" s="132"/>
      <c r="I5" s="132"/>
      <c r="J5" s="132"/>
      <c r="K5" s="1"/>
      <c r="L5" s="1"/>
    </row>
    <row r="6" spans="1:12" ht="15.75" thickBot="1" x14ac:dyDescent="0.3"/>
    <row r="7" spans="1:12" ht="15.75" thickBot="1" x14ac:dyDescent="0.3">
      <c r="A7" s="141" t="s">
        <v>2</v>
      </c>
      <c r="B7" s="332" t="s">
        <v>33</v>
      </c>
      <c r="C7" s="141" t="s">
        <v>10</v>
      </c>
      <c r="D7" s="76" t="s">
        <v>11</v>
      </c>
      <c r="E7" s="75" t="s">
        <v>12</v>
      </c>
      <c r="F7" s="143" t="s">
        <v>38</v>
      </c>
      <c r="G7" s="144"/>
      <c r="H7" s="144"/>
      <c r="I7" s="144"/>
      <c r="J7" s="144"/>
      <c r="K7" s="268"/>
      <c r="L7" s="141" t="s">
        <v>111</v>
      </c>
    </row>
    <row r="8" spans="1:12" ht="39.75" thickBot="1" x14ac:dyDescent="0.3">
      <c r="A8" s="142"/>
      <c r="B8" s="333"/>
      <c r="C8" s="142"/>
      <c r="D8" s="75"/>
      <c r="E8" s="75" t="s">
        <v>112</v>
      </c>
      <c r="F8" s="84" t="s">
        <v>3</v>
      </c>
      <c r="G8" s="80" t="s">
        <v>34</v>
      </c>
      <c r="H8" s="85" t="s">
        <v>4</v>
      </c>
      <c r="I8" s="80" t="s">
        <v>35</v>
      </c>
      <c r="J8" s="79" t="s">
        <v>110</v>
      </c>
      <c r="K8" s="29" t="s">
        <v>37</v>
      </c>
      <c r="L8" s="142"/>
    </row>
    <row r="9" spans="1:12" ht="18" customHeight="1" x14ac:dyDescent="0.25">
      <c r="A9" s="263" t="s">
        <v>15</v>
      </c>
      <c r="B9" s="330" t="s">
        <v>79</v>
      </c>
      <c r="C9" s="154">
        <v>110</v>
      </c>
      <c r="D9" s="182">
        <f>C9+B9</f>
        <v>169</v>
      </c>
      <c r="E9" s="81" t="s">
        <v>92</v>
      </c>
      <c r="F9" s="151">
        <v>6</v>
      </c>
      <c r="G9" s="190">
        <v>22</v>
      </c>
      <c r="H9" s="151">
        <v>2</v>
      </c>
      <c r="I9" s="190">
        <v>0</v>
      </c>
      <c r="J9" s="154">
        <f>SUM(F9:I10)</f>
        <v>30</v>
      </c>
      <c r="K9" s="315">
        <f>D9-J9</f>
        <v>139</v>
      </c>
      <c r="L9" s="334"/>
    </row>
    <row r="10" spans="1:12" ht="18.75" customHeight="1" thickBot="1" x14ac:dyDescent="0.3">
      <c r="A10" s="306"/>
      <c r="B10" s="331"/>
      <c r="C10" s="155"/>
      <c r="D10" s="183"/>
      <c r="E10" s="102" t="s">
        <v>93</v>
      </c>
      <c r="F10" s="161"/>
      <c r="G10" s="191"/>
      <c r="H10" s="161"/>
      <c r="I10" s="329"/>
      <c r="J10" s="155"/>
      <c r="K10" s="324"/>
      <c r="L10" s="335"/>
    </row>
    <row r="11" spans="1:12" ht="16.5" customHeight="1" thickBot="1" x14ac:dyDescent="0.3">
      <c r="A11" s="263" t="s">
        <v>16</v>
      </c>
      <c r="B11" s="319">
        <v>139</v>
      </c>
      <c r="C11" s="154">
        <v>860</v>
      </c>
      <c r="D11" s="182">
        <f>C11+B11</f>
        <v>999</v>
      </c>
      <c r="E11" s="81" t="s">
        <v>94</v>
      </c>
      <c r="F11" s="151">
        <v>11</v>
      </c>
      <c r="G11" s="190">
        <v>735</v>
      </c>
      <c r="H11" s="151">
        <v>0</v>
      </c>
      <c r="I11" s="190">
        <v>60</v>
      </c>
      <c r="J11" s="154">
        <f t="shared" ref="J11" si="0">SUM(F11:I12)</f>
        <v>806</v>
      </c>
      <c r="K11" s="315">
        <v>193</v>
      </c>
      <c r="L11" s="312" t="s">
        <v>80</v>
      </c>
    </row>
    <row r="12" spans="1:12" ht="16.5" customHeight="1" thickBot="1" x14ac:dyDescent="0.3">
      <c r="A12" s="280"/>
      <c r="B12" s="320"/>
      <c r="C12" s="150"/>
      <c r="D12" s="321"/>
      <c r="E12" s="103" t="s">
        <v>95</v>
      </c>
      <c r="F12" s="152"/>
      <c r="G12" s="322"/>
      <c r="H12" s="152"/>
      <c r="I12" s="322"/>
      <c r="J12" s="150"/>
      <c r="K12" s="316"/>
      <c r="L12" s="313"/>
    </row>
    <row r="13" spans="1:12" ht="15.75" customHeight="1" x14ac:dyDescent="0.25">
      <c r="A13" s="283" t="s">
        <v>17</v>
      </c>
      <c r="B13" s="325">
        <v>193</v>
      </c>
      <c r="C13" s="158">
        <v>814</v>
      </c>
      <c r="D13" s="183">
        <f>C13+B13</f>
        <v>1007</v>
      </c>
      <c r="E13" s="100"/>
      <c r="F13" s="160">
        <v>9</v>
      </c>
      <c r="G13" s="191">
        <v>492</v>
      </c>
      <c r="H13" s="160">
        <v>13</v>
      </c>
      <c r="I13" s="191">
        <v>40</v>
      </c>
      <c r="J13" s="158">
        <f t="shared" ref="J13" si="1">SUM(F13:I14)</f>
        <v>554</v>
      </c>
      <c r="K13" s="323">
        <v>453</v>
      </c>
      <c r="L13" s="327" t="s">
        <v>81</v>
      </c>
    </row>
    <row r="14" spans="1:12" ht="16.5" customHeight="1" thickBot="1" x14ac:dyDescent="0.3">
      <c r="A14" s="284"/>
      <c r="B14" s="326"/>
      <c r="C14" s="155"/>
      <c r="D14" s="183"/>
      <c r="E14" s="96"/>
      <c r="F14" s="161"/>
      <c r="G14" s="191"/>
      <c r="H14" s="161"/>
      <c r="I14" s="191"/>
      <c r="J14" s="155"/>
      <c r="K14" s="324"/>
      <c r="L14" s="327"/>
    </row>
    <row r="15" spans="1:12" ht="15.75" customHeight="1" x14ac:dyDescent="0.25">
      <c r="A15" s="263" t="s">
        <v>18</v>
      </c>
      <c r="B15" s="319">
        <v>453</v>
      </c>
      <c r="C15" s="154">
        <v>0</v>
      </c>
      <c r="D15" s="182">
        <f>C15+B15</f>
        <v>453</v>
      </c>
      <c r="E15" s="81"/>
      <c r="F15" s="151">
        <v>16</v>
      </c>
      <c r="G15" s="190">
        <v>116</v>
      </c>
      <c r="H15" s="151">
        <v>0</v>
      </c>
      <c r="I15" s="190">
        <v>204</v>
      </c>
      <c r="J15" s="154">
        <f t="shared" ref="J15" si="2">SUM(F15:I16)</f>
        <v>336</v>
      </c>
      <c r="K15" s="315">
        <v>117</v>
      </c>
      <c r="L15" s="50" t="s">
        <v>82</v>
      </c>
    </row>
    <row r="16" spans="1:12" ht="16.5" customHeight="1" thickBot="1" x14ac:dyDescent="0.3">
      <c r="A16" s="280"/>
      <c r="B16" s="320"/>
      <c r="C16" s="150"/>
      <c r="D16" s="321"/>
      <c r="E16" s="101"/>
      <c r="F16" s="152"/>
      <c r="G16" s="322"/>
      <c r="H16" s="152"/>
      <c r="I16" s="322"/>
      <c r="J16" s="150"/>
      <c r="K16" s="316"/>
      <c r="L16" s="52" t="s">
        <v>99</v>
      </c>
    </row>
    <row r="17" spans="1:12" ht="15.75" customHeight="1" x14ac:dyDescent="0.25">
      <c r="A17" s="283" t="s">
        <v>19</v>
      </c>
      <c r="B17" s="325">
        <v>117</v>
      </c>
      <c r="C17" s="158">
        <v>102</v>
      </c>
      <c r="D17" s="183">
        <f>C17+B17</f>
        <v>219</v>
      </c>
      <c r="E17" s="100"/>
      <c r="F17" s="160">
        <v>11</v>
      </c>
      <c r="G17" s="191">
        <v>49</v>
      </c>
      <c r="H17" s="160">
        <v>0</v>
      </c>
      <c r="I17" s="328">
        <v>28</v>
      </c>
      <c r="J17" s="158">
        <f t="shared" ref="J17" si="3">SUM(F17:I18)</f>
        <v>88</v>
      </c>
      <c r="K17" s="323">
        <v>131</v>
      </c>
      <c r="L17" s="327" t="s">
        <v>100</v>
      </c>
    </row>
    <row r="18" spans="1:12" ht="16.5" customHeight="1" thickBot="1" x14ac:dyDescent="0.3">
      <c r="A18" s="284"/>
      <c r="B18" s="326"/>
      <c r="C18" s="155"/>
      <c r="D18" s="183"/>
      <c r="E18" s="96"/>
      <c r="F18" s="161"/>
      <c r="G18" s="191"/>
      <c r="H18" s="161"/>
      <c r="I18" s="328"/>
      <c r="J18" s="155"/>
      <c r="K18" s="324"/>
      <c r="L18" s="327"/>
    </row>
    <row r="19" spans="1:12" ht="15" customHeight="1" x14ac:dyDescent="0.25">
      <c r="A19" s="263" t="s">
        <v>20</v>
      </c>
      <c r="B19" s="319">
        <v>131</v>
      </c>
      <c r="C19" s="190">
        <v>121</v>
      </c>
      <c r="D19" s="182">
        <f>C19+B19</f>
        <v>252</v>
      </c>
      <c r="E19" s="98"/>
      <c r="F19" s="151">
        <v>16</v>
      </c>
      <c r="G19" s="190">
        <v>26</v>
      </c>
      <c r="H19" s="151">
        <v>2</v>
      </c>
      <c r="I19" s="190">
        <v>42</v>
      </c>
      <c r="J19" s="154">
        <f t="shared" ref="J19" si="4">SUM(F19:I20)</f>
        <v>86</v>
      </c>
      <c r="K19" s="315">
        <v>166</v>
      </c>
      <c r="L19" s="312" t="s">
        <v>101</v>
      </c>
    </row>
    <row r="20" spans="1:12" ht="15.75" customHeight="1" thickBot="1" x14ac:dyDescent="0.3">
      <c r="A20" s="280"/>
      <c r="B20" s="320"/>
      <c r="C20" s="322"/>
      <c r="D20" s="321"/>
      <c r="E20" s="99"/>
      <c r="F20" s="152"/>
      <c r="G20" s="322"/>
      <c r="H20" s="152"/>
      <c r="I20" s="322"/>
      <c r="J20" s="150"/>
      <c r="K20" s="316"/>
      <c r="L20" s="313"/>
    </row>
    <row r="21" spans="1:12" ht="18" x14ac:dyDescent="0.25">
      <c r="A21" s="283" t="s">
        <v>21</v>
      </c>
      <c r="B21" s="325">
        <v>166</v>
      </c>
      <c r="C21" s="158">
        <v>0</v>
      </c>
      <c r="D21" s="183">
        <f>C21+B21</f>
        <v>166</v>
      </c>
      <c r="E21" s="82"/>
      <c r="F21" s="160">
        <v>14</v>
      </c>
      <c r="G21" s="191">
        <v>14</v>
      </c>
      <c r="H21" s="160">
        <v>32</v>
      </c>
      <c r="I21" s="191">
        <v>0</v>
      </c>
      <c r="J21" s="158">
        <f t="shared" ref="J21" si="5">SUM(F21:I22)</f>
        <v>60</v>
      </c>
      <c r="K21" s="323">
        <f t="shared" ref="K21:K31" si="6">D21-J21</f>
        <v>106</v>
      </c>
      <c r="L21" s="97"/>
    </row>
    <row r="22" spans="1:12" ht="18.75" thickBot="1" x14ac:dyDescent="0.3">
      <c r="A22" s="284"/>
      <c r="B22" s="326"/>
      <c r="C22" s="155"/>
      <c r="D22" s="183"/>
      <c r="E22" s="93"/>
      <c r="F22" s="161"/>
      <c r="G22" s="191"/>
      <c r="H22" s="161"/>
      <c r="I22" s="191"/>
      <c r="J22" s="155"/>
      <c r="K22" s="324"/>
      <c r="L22" s="94"/>
    </row>
    <row r="23" spans="1:12" ht="15.75" customHeight="1" thickBot="1" x14ac:dyDescent="0.3">
      <c r="A23" s="263" t="s">
        <v>22</v>
      </c>
      <c r="B23" s="319">
        <v>106</v>
      </c>
      <c r="C23" s="154">
        <v>50</v>
      </c>
      <c r="D23" s="182">
        <f>C23+B23</f>
        <v>156</v>
      </c>
      <c r="E23" s="81"/>
      <c r="F23" s="151">
        <v>23</v>
      </c>
      <c r="G23" s="190">
        <v>9</v>
      </c>
      <c r="H23" s="151">
        <v>2</v>
      </c>
      <c r="I23" s="190">
        <v>30</v>
      </c>
      <c r="J23" s="154">
        <f t="shared" ref="J23:J31" si="7">SUM(F23:I24)</f>
        <v>64</v>
      </c>
      <c r="K23" s="315">
        <v>92</v>
      </c>
      <c r="L23" s="50" t="s">
        <v>102</v>
      </c>
    </row>
    <row r="24" spans="1:12" ht="16.5" customHeight="1" thickBot="1" x14ac:dyDescent="0.3">
      <c r="A24" s="280"/>
      <c r="B24" s="320"/>
      <c r="C24" s="150"/>
      <c r="D24" s="321"/>
      <c r="E24" s="95"/>
      <c r="F24" s="152"/>
      <c r="G24" s="322"/>
      <c r="H24" s="152"/>
      <c r="I24" s="322"/>
      <c r="J24" s="150"/>
      <c r="K24" s="316"/>
      <c r="L24" s="92" t="s">
        <v>107</v>
      </c>
    </row>
    <row r="25" spans="1:12" ht="15" customHeight="1" x14ac:dyDescent="0.25">
      <c r="A25" s="283" t="s">
        <v>23</v>
      </c>
      <c r="B25" s="325">
        <v>92</v>
      </c>
      <c r="C25" s="158">
        <v>200</v>
      </c>
      <c r="D25" s="183">
        <f>C25+B25</f>
        <v>292</v>
      </c>
      <c r="E25" s="88"/>
      <c r="F25" s="160">
        <v>6</v>
      </c>
      <c r="G25" s="191">
        <v>33</v>
      </c>
      <c r="H25" s="160">
        <v>1</v>
      </c>
      <c r="I25" s="191">
        <v>50</v>
      </c>
      <c r="J25" s="158">
        <f t="shared" si="7"/>
        <v>90</v>
      </c>
      <c r="K25" s="323">
        <v>202</v>
      </c>
      <c r="L25" s="327" t="s">
        <v>104</v>
      </c>
    </row>
    <row r="26" spans="1:12" ht="16.5" customHeight="1" thickBot="1" x14ac:dyDescent="0.3">
      <c r="A26" s="292"/>
      <c r="B26" s="326"/>
      <c r="C26" s="155"/>
      <c r="D26" s="183"/>
      <c r="E26" s="88"/>
      <c r="F26" s="161"/>
      <c r="G26" s="191"/>
      <c r="H26" s="161"/>
      <c r="I26" s="191"/>
      <c r="J26" s="155"/>
      <c r="K26" s="324"/>
      <c r="L26" s="327"/>
    </row>
    <row r="27" spans="1:12" ht="15" customHeight="1" thickBot="1" x14ac:dyDescent="0.3">
      <c r="A27" s="263" t="s">
        <v>24</v>
      </c>
      <c r="B27" s="319">
        <v>202</v>
      </c>
      <c r="C27" s="154">
        <v>3</v>
      </c>
      <c r="D27" s="182">
        <f>C27+B27</f>
        <v>205</v>
      </c>
      <c r="E27" s="90"/>
      <c r="F27" s="151">
        <v>15</v>
      </c>
      <c r="G27" s="190">
        <v>23</v>
      </c>
      <c r="H27" s="151">
        <v>1</v>
      </c>
      <c r="I27" s="190">
        <v>80</v>
      </c>
      <c r="J27" s="154">
        <f t="shared" si="7"/>
        <v>119</v>
      </c>
      <c r="K27" s="315">
        <v>86</v>
      </c>
      <c r="L27" s="50" t="s">
        <v>105</v>
      </c>
    </row>
    <row r="28" spans="1:12" ht="16.5" customHeight="1" thickBot="1" x14ac:dyDescent="0.3">
      <c r="A28" s="280"/>
      <c r="B28" s="320"/>
      <c r="C28" s="150"/>
      <c r="D28" s="321"/>
      <c r="E28" s="91"/>
      <c r="F28" s="152"/>
      <c r="G28" s="322"/>
      <c r="H28" s="152"/>
      <c r="I28" s="322"/>
      <c r="J28" s="150"/>
      <c r="K28" s="316"/>
      <c r="L28" s="92" t="s">
        <v>106</v>
      </c>
    </row>
    <row r="29" spans="1:12" ht="15" customHeight="1" thickBot="1" x14ac:dyDescent="0.3">
      <c r="A29" s="283" t="s">
        <v>25</v>
      </c>
      <c r="B29" s="325">
        <v>86</v>
      </c>
      <c r="C29" s="158">
        <v>204</v>
      </c>
      <c r="D29" s="183">
        <f>C29+B29</f>
        <v>290</v>
      </c>
      <c r="E29" s="86"/>
      <c r="F29" s="160">
        <v>29</v>
      </c>
      <c r="G29" s="191">
        <v>16</v>
      </c>
      <c r="H29" s="160">
        <v>70</v>
      </c>
      <c r="I29" s="191">
        <v>62</v>
      </c>
      <c r="J29" s="158">
        <f t="shared" si="7"/>
        <v>177</v>
      </c>
      <c r="K29" s="323">
        <v>113</v>
      </c>
      <c r="L29" s="89" t="s">
        <v>103</v>
      </c>
    </row>
    <row r="30" spans="1:12" ht="15.75" customHeight="1" thickBot="1" x14ac:dyDescent="0.3">
      <c r="A30" s="284"/>
      <c r="B30" s="326"/>
      <c r="C30" s="155"/>
      <c r="D30" s="183"/>
      <c r="E30" s="86"/>
      <c r="F30" s="161"/>
      <c r="G30" s="191"/>
      <c r="H30" s="161"/>
      <c r="I30" s="191"/>
      <c r="J30" s="155"/>
      <c r="K30" s="324"/>
      <c r="L30" s="50" t="s">
        <v>104</v>
      </c>
    </row>
    <row r="31" spans="1:12" ht="18" x14ac:dyDescent="0.25">
      <c r="A31" s="263" t="s">
        <v>26</v>
      </c>
      <c r="B31" s="319">
        <v>113</v>
      </c>
      <c r="C31" s="154">
        <v>100</v>
      </c>
      <c r="D31" s="182">
        <f>C31+B31</f>
        <v>213</v>
      </c>
      <c r="E31" s="87"/>
      <c r="F31" s="151">
        <v>36</v>
      </c>
      <c r="G31" s="190">
        <v>76</v>
      </c>
      <c r="H31" s="151">
        <v>3</v>
      </c>
      <c r="I31" s="190">
        <v>1</v>
      </c>
      <c r="J31" s="154">
        <f t="shared" si="7"/>
        <v>116</v>
      </c>
      <c r="K31" s="315">
        <f t="shared" si="6"/>
        <v>97</v>
      </c>
      <c r="L31" s="317" t="s">
        <v>119</v>
      </c>
    </row>
    <row r="32" spans="1:12" ht="18.75" thickBot="1" x14ac:dyDescent="0.3">
      <c r="A32" s="280"/>
      <c r="B32" s="320"/>
      <c r="C32" s="150"/>
      <c r="D32" s="321"/>
      <c r="E32" s="83"/>
      <c r="F32" s="152"/>
      <c r="G32" s="322"/>
      <c r="H32" s="152"/>
      <c r="I32" s="314"/>
      <c r="J32" s="150"/>
      <c r="K32" s="316"/>
      <c r="L32" s="318"/>
    </row>
    <row r="33" spans="1:12" ht="18.75" thickBot="1" x14ac:dyDescent="0.3">
      <c r="A33" s="310" t="s">
        <v>27</v>
      </c>
      <c r="B33" s="311"/>
      <c r="C33" s="56">
        <f>SUM(C9:C32)</f>
        <v>2564</v>
      </c>
      <c r="D33" s="77"/>
      <c r="E33" s="78"/>
      <c r="F33" s="22">
        <f>SUM(F9:F32)</f>
        <v>192</v>
      </c>
      <c r="G33" s="78">
        <f>SUM(G9:G32)</f>
        <v>1611</v>
      </c>
      <c r="H33" s="57">
        <f>SUM(H9:H32)</f>
        <v>126</v>
      </c>
      <c r="I33" s="56">
        <f>SUM(I9:I32)</f>
        <v>597</v>
      </c>
      <c r="J33" s="55">
        <f>SUM(J9:J32)</f>
        <v>2526</v>
      </c>
      <c r="K33" s="56">
        <v>97</v>
      </c>
      <c r="L33" s="63"/>
    </row>
    <row r="35" spans="1:12" x14ac:dyDescent="0.25">
      <c r="A35" s="180" t="s">
        <v>28</v>
      </c>
      <c r="B35" s="180"/>
      <c r="C35" s="180"/>
      <c r="D35" s="8"/>
      <c r="E35" s="9"/>
      <c r="F35" s="9" t="s">
        <v>29</v>
      </c>
      <c r="G35" s="9"/>
      <c r="H35" s="9"/>
      <c r="I35" s="9"/>
      <c r="J35" s="9"/>
      <c r="K35" s="181" t="s">
        <v>30</v>
      </c>
      <c r="L35" s="181"/>
    </row>
  </sheetData>
  <mergeCells count="143">
    <mergeCell ref="A1:C1"/>
    <mergeCell ref="J1:L1"/>
    <mergeCell ref="A2:C2"/>
    <mergeCell ref="J2:L2"/>
    <mergeCell ref="A3:C3"/>
    <mergeCell ref="J3:L3"/>
    <mergeCell ref="A9:A10"/>
    <mergeCell ref="B9:B10"/>
    <mergeCell ref="C9:C10"/>
    <mergeCell ref="D9:D10"/>
    <mergeCell ref="F9:F10"/>
    <mergeCell ref="G9:G10"/>
    <mergeCell ref="D4:L4"/>
    <mergeCell ref="C5:J5"/>
    <mergeCell ref="A7:A8"/>
    <mergeCell ref="B7:B8"/>
    <mergeCell ref="C7:C8"/>
    <mergeCell ref="F7:K7"/>
    <mergeCell ref="L7:L8"/>
    <mergeCell ref="L9:L10"/>
    <mergeCell ref="K15:K16"/>
    <mergeCell ref="H13:H14"/>
    <mergeCell ref="I13:I14"/>
    <mergeCell ref="J13:J14"/>
    <mergeCell ref="K13:K14"/>
    <mergeCell ref="H9:H10"/>
    <mergeCell ref="I9:I10"/>
    <mergeCell ref="J9:J10"/>
    <mergeCell ref="K9:K10"/>
    <mergeCell ref="H11:H12"/>
    <mergeCell ref="I11:I12"/>
    <mergeCell ref="J11:J12"/>
    <mergeCell ref="K11:K12"/>
    <mergeCell ref="B13:B14"/>
    <mergeCell ref="C13:C14"/>
    <mergeCell ref="D13:D14"/>
    <mergeCell ref="F13:F14"/>
    <mergeCell ref="G13:G14"/>
    <mergeCell ref="A11:A12"/>
    <mergeCell ref="B11:B12"/>
    <mergeCell ref="C11:C12"/>
    <mergeCell ref="D11:D12"/>
    <mergeCell ref="F11:F12"/>
    <mergeCell ref="G11:G12"/>
    <mergeCell ref="L13:L14"/>
    <mergeCell ref="H17:H18"/>
    <mergeCell ref="I17:I18"/>
    <mergeCell ref="J17:J18"/>
    <mergeCell ref="K17:K18"/>
    <mergeCell ref="L17:L18"/>
    <mergeCell ref="A19:A20"/>
    <mergeCell ref="B19:B20"/>
    <mergeCell ref="C19:C20"/>
    <mergeCell ref="D19:D20"/>
    <mergeCell ref="A17:A18"/>
    <mergeCell ref="B17:B18"/>
    <mergeCell ref="C17:C18"/>
    <mergeCell ref="D17:D18"/>
    <mergeCell ref="A15:A16"/>
    <mergeCell ref="B15:B16"/>
    <mergeCell ref="C15:C16"/>
    <mergeCell ref="D15:D16"/>
    <mergeCell ref="F15:F16"/>
    <mergeCell ref="G15:G16"/>
    <mergeCell ref="H15:H16"/>
    <mergeCell ref="I15:I16"/>
    <mergeCell ref="J15:J16"/>
    <mergeCell ref="A13:A14"/>
    <mergeCell ref="A27:A28"/>
    <mergeCell ref="B27:B28"/>
    <mergeCell ref="C27:C28"/>
    <mergeCell ref="D27:D28"/>
    <mergeCell ref="F27:F28"/>
    <mergeCell ref="F17:F18"/>
    <mergeCell ref="G17:G18"/>
    <mergeCell ref="L19:L20"/>
    <mergeCell ref="A21:A22"/>
    <mergeCell ref="B21:B22"/>
    <mergeCell ref="C21:C22"/>
    <mergeCell ref="D21:D22"/>
    <mergeCell ref="F21:F22"/>
    <mergeCell ref="G21:G22"/>
    <mergeCell ref="H21:H22"/>
    <mergeCell ref="I21:I22"/>
    <mergeCell ref="J21:J22"/>
    <mergeCell ref="F19:F20"/>
    <mergeCell ref="G19:G20"/>
    <mergeCell ref="H19:H20"/>
    <mergeCell ref="I19:I20"/>
    <mergeCell ref="J19:J20"/>
    <mergeCell ref="K19:K20"/>
    <mergeCell ref="K21:K22"/>
    <mergeCell ref="L25:L26"/>
    <mergeCell ref="J23:J24"/>
    <mergeCell ref="K23:K24"/>
    <mergeCell ref="A25:A26"/>
    <mergeCell ref="B25:B26"/>
    <mergeCell ref="C25:C26"/>
    <mergeCell ref="D25:D26"/>
    <mergeCell ref="F25:F26"/>
    <mergeCell ref="G25:G26"/>
    <mergeCell ref="A23:A24"/>
    <mergeCell ref="B23:B24"/>
    <mergeCell ref="C23:C24"/>
    <mergeCell ref="D23:D24"/>
    <mergeCell ref="F23:F24"/>
    <mergeCell ref="G23:G24"/>
    <mergeCell ref="H23:H24"/>
    <mergeCell ref="I23:I24"/>
    <mergeCell ref="F29:F30"/>
    <mergeCell ref="G27:G28"/>
    <mergeCell ref="H27:H28"/>
    <mergeCell ref="I27:I28"/>
    <mergeCell ref="J27:J28"/>
    <mergeCell ref="K27:K28"/>
    <mergeCell ref="H25:H26"/>
    <mergeCell ref="I25:I26"/>
    <mergeCell ref="J25:J26"/>
    <mergeCell ref="K25:K26"/>
    <mergeCell ref="A33:B33"/>
    <mergeCell ref="L11:L12"/>
    <mergeCell ref="H31:H32"/>
    <mergeCell ref="I31:I32"/>
    <mergeCell ref="J31:J32"/>
    <mergeCell ref="K31:K32"/>
    <mergeCell ref="L31:L32"/>
    <mergeCell ref="A35:C35"/>
    <mergeCell ref="K35:L35"/>
    <mergeCell ref="A31:A32"/>
    <mergeCell ref="B31:B32"/>
    <mergeCell ref="C31:C32"/>
    <mergeCell ref="D31:D32"/>
    <mergeCell ref="F31:F32"/>
    <mergeCell ref="G31:G32"/>
    <mergeCell ref="G29:G30"/>
    <mergeCell ref="H29:H30"/>
    <mergeCell ref="I29:I30"/>
    <mergeCell ref="J29:J30"/>
    <mergeCell ref="K29:K30"/>
    <mergeCell ref="A29:A30"/>
    <mergeCell ref="B29:B30"/>
    <mergeCell ref="C29:C30"/>
    <mergeCell ref="D29:D30"/>
  </mergeCells>
  <pageMargins left="0.19685039370078741" right="0.19685039370078741" top="0.31496062992125984" bottom="0.47244094488188981" header="0.19685039370078741" footer="0.31496062992125984"/>
  <pageSetup scale="85" orientation="landscape" horizontalDpi="36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5"/>
  <sheetViews>
    <sheetView topLeftCell="A16" zoomScale="85" zoomScaleNormal="85" workbookViewId="0">
      <selection activeCell="J33" sqref="J33"/>
    </sheetView>
  </sheetViews>
  <sheetFormatPr baseColWidth="10" defaultColWidth="11.42578125" defaultRowHeight="15" x14ac:dyDescent="0.25"/>
  <cols>
    <col min="1" max="1" width="12.5703125" customWidth="1"/>
    <col min="2" max="2" width="13.28515625" customWidth="1"/>
    <col min="3" max="3" width="8.140625" customWidth="1"/>
    <col min="4" max="4" width="8.42578125" customWidth="1"/>
    <col min="5" max="5" width="24.42578125" customWidth="1"/>
    <col min="6" max="6" width="13.140625" customWidth="1"/>
    <col min="7" max="7" width="11.5703125" customWidth="1"/>
    <col min="8" max="8" width="7.5703125" customWidth="1"/>
    <col min="9" max="9" width="10.42578125" customWidth="1"/>
    <col min="10" max="10" width="8.28515625" customWidth="1"/>
    <col min="11" max="11" width="7.5703125" customWidth="1"/>
    <col min="12" max="12" width="29.42578125" customWidth="1"/>
  </cols>
  <sheetData>
    <row r="1" spans="1:12" ht="18" x14ac:dyDescent="0.25">
      <c r="A1" s="132" t="s">
        <v>0</v>
      </c>
      <c r="B1" s="132"/>
      <c r="C1" s="132"/>
      <c r="D1" s="1"/>
      <c r="E1" s="1"/>
      <c r="F1" s="2"/>
      <c r="G1" s="2"/>
      <c r="H1" s="2"/>
      <c r="I1" s="2"/>
      <c r="J1" s="133" t="s">
        <v>5</v>
      </c>
      <c r="K1" s="133"/>
      <c r="L1" s="133"/>
    </row>
    <row r="2" spans="1:12" ht="15.75" x14ac:dyDescent="0.25">
      <c r="A2" s="134" t="s">
        <v>1</v>
      </c>
      <c r="B2" s="134"/>
      <c r="C2" s="134"/>
      <c r="D2" s="3"/>
      <c r="E2" s="3"/>
      <c r="F2" s="2"/>
      <c r="G2" s="2"/>
      <c r="H2" s="2"/>
      <c r="I2" s="2"/>
      <c r="J2" s="134" t="s">
        <v>6</v>
      </c>
      <c r="K2" s="134"/>
      <c r="L2" s="134"/>
    </row>
    <row r="3" spans="1:12" x14ac:dyDescent="0.25">
      <c r="A3" s="133" t="s">
        <v>7</v>
      </c>
      <c r="B3" s="133"/>
      <c r="C3" s="133"/>
      <c r="D3" s="4"/>
      <c r="E3" s="4"/>
      <c r="F3" s="2"/>
      <c r="G3" s="2"/>
      <c r="H3" s="2"/>
      <c r="I3" s="2"/>
      <c r="J3" s="133" t="s">
        <v>8</v>
      </c>
      <c r="K3" s="133"/>
      <c r="L3" s="133"/>
    </row>
    <row r="4" spans="1:12" ht="18" x14ac:dyDescent="0.25">
      <c r="A4" s="1"/>
      <c r="B4" s="1"/>
      <c r="C4" s="1"/>
      <c r="D4" s="132" t="s">
        <v>9</v>
      </c>
      <c r="E4" s="132"/>
      <c r="F4" s="132"/>
      <c r="G4" s="132"/>
      <c r="H4" s="132"/>
      <c r="I4" s="132"/>
      <c r="J4" s="132"/>
      <c r="K4" s="132"/>
      <c r="L4" s="132"/>
    </row>
    <row r="5" spans="1:12" ht="18" x14ac:dyDescent="0.25">
      <c r="A5" s="1"/>
      <c r="B5" s="1"/>
      <c r="C5" s="132" t="s">
        <v>114</v>
      </c>
      <c r="D5" s="132"/>
      <c r="E5" s="132"/>
      <c r="F5" s="132"/>
      <c r="G5" s="132"/>
      <c r="H5" s="132"/>
      <c r="I5" s="132"/>
      <c r="J5" s="132"/>
      <c r="K5" s="1"/>
      <c r="L5" s="1"/>
    </row>
    <row r="6" spans="1:12" ht="15.75" thickBot="1" x14ac:dyDescent="0.3"/>
    <row r="7" spans="1:12" ht="15.75" thickBot="1" x14ac:dyDescent="0.3">
      <c r="A7" s="135" t="s">
        <v>2</v>
      </c>
      <c r="B7" s="137" t="s">
        <v>33</v>
      </c>
      <c r="C7" s="139" t="s">
        <v>10</v>
      </c>
      <c r="D7" s="141" t="s">
        <v>11</v>
      </c>
      <c r="E7" s="51" t="s">
        <v>12</v>
      </c>
      <c r="F7" s="143" t="s">
        <v>38</v>
      </c>
      <c r="G7" s="144"/>
      <c r="H7" s="144"/>
      <c r="I7" s="144"/>
      <c r="J7" s="144"/>
      <c r="K7" s="268"/>
      <c r="L7" s="141" t="s">
        <v>13</v>
      </c>
    </row>
    <row r="8" spans="1:12" ht="39.75" thickBot="1" x14ac:dyDescent="0.3">
      <c r="A8" s="136"/>
      <c r="B8" s="138"/>
      <c r="C8" s="140"/>
      <c r="D8" s="142"/>
      <c r="E8" s="74" t="s">
        <v>14</v>
      </c>
      <c r="F8" s="10" t="s">
        <v>3</v>
      </c>
      <c r="G8" s="10" t="s">
        <v>34</v>
      </c>
      <c r="H8" s="28" t="s">
        <v>4</v>
      </c>
      <c r="I8" s="10" t="s">
        <v>35</v>
      </c>
      <c r="J8" s="10" t="s">
        <v>36</v>
      </c>
      <c r="K8" s="29" t="s">
        <v>37</v>
      </c>
      <c r="L8" s="142"/>
    </row>
    <row r="9" spans="1:12" ht="15.75" x14ac:dyDescent="0.25">
      <c r="A9" s="156" t="s">
        <v>15</v>
      </c>
      <c r="B9" s="336" t="s">
        <v>108</v>
      </c>
      <c r="C9" s="160">
        <v>0</v>
      </c>
      <c r="D9" s="162">
        <f>C9+B9</f>
        <v>97</v>
      </c>
      <c r="E9" s="58"/>
      <c r="F9" s="154">
        <v>8</v>
      </c>
      <c r="G9" s="154">
        <v>18</v>
      </c>
      <c r="H9" s="160">
        <v>6</v>
      </c>
      <c r="I9" s="154">
        <v>1</v>
      </c>
      <c r="J9" s="160">
        <f>SUM(F9:I10)</f>
        <v>33</v>
      </c>
      <c r="K9" s="164">
        <f>D9-J9</f>
        <v>64</v>
      </c>
      <c r="L9" s="166" t="s">
        <v>73</v>
      </c>
    </row>
    <row r="10" spans="1:12" ht="16.5" thickBot="1" x14ac:dyDescent="0.3">
      <c r="A10" s="157"/>
      <c r="B10" s="159"/>
      <c r="C10" s="161"/>
      <c r="D10" s="163"/>
      <c r="E10" s="59"/>
      <c r="F10" s="155"/>
      <c r="G10" s="155"/>
      <c r="H10" s="161"/>
      <c r="I10" s="155"/>
      <c r="J10" s="161"/>
      <c r="K10" s="168"/>
      <c r="L10" s="167"/>
    </row>
    <row r="11" spans="1:12" ht="16.5" customHeight="1" x14ac:dyDescent="0.25">
      <c r="A11" s="147" t="s">
        <v>16</v>
      </c>
      <c r="B11" s="149">
        <v>64</v>
      </c>
      <c r="C11" s="151">
        <v>101</v>
      </c>
      <c r="D11" s="149">
        <f>C11+B11</f>
        <v>165</v>
      </c>
      <c r="E11" s="60"/>
      <c r="F11" s="154">
        <v>13</v>
      </c>
      <c r="G11" s="154">
        <v>24</v>
      </c>
      <c r="H11" s="151">
        <v>1</v>
      </c>
      <c r="I11" s="154">
        <v>30</v>
      </c>
      <c r="J11" s="151">
        <f t="shared" ref="J11" si="0">SUM(F11:I12)</f>
        <v>68</v>
      </c>
      <c r="K11" s="164">
        <f>D11-J11</f>
        <v>97</v>
      </c>
      <c r="L11" s="166" t="s">
        <v>115</v>
      </c>
    </row>
    <row r="12" spans="1:12" ht="16.5" customHeight="1" thickBot="1" x14ac:dyDescent="0.3">
      <c r="A12" s="148"/>
      <c r="B12" s="150"/>
      <c r="C12" s="152"/>
      <c r="D12" s="153"/>
      <c r="E12" s="61"/>
      <c r="F12" s="150"/>
      <c r="G12" s="150"/>
      <c r="H12" s="152"/>
      <c r="I12" s="150"/>
      <c r="J12" s="152"/>
      <c r="K12" s="165"/>
      <c r="L12" s="167"/>
    </row>
    <row r="13" spans="1:12" ht="15.75" customHeight="1" x14ac:dyDescent="0.25">
      <c r="A13" s="147" t="s">
        <v>17</v>
      </c>
      <c r="B13" s="149">
        <v>97</v>
      </c>
      <c r="C13" s="151">
        <v>2</v>
      </c>
      <c r="D13" s="149">
        <f>C13+B13</f>
        <v>99</v>
      </c>
      <c r="E13" s="69"/>
      <c r="F13" s="154">
        <v>26</v>
      </c>
      <c r="G13" s="154">
        <v>28</v>
      </c>
      <c r="H13" s="151">
        <v>4</v>
      </c>
      <c r="I13" s="154">
        <v>1</v>
      </c>
      <c r="J13" s="151">
        <f t="shared" ref="J13" si="1">SUM(F13:I14)</f>
        <v>59</v>
      </c>
      <c r="K13" s="164">
        <f>D13-J13</f>
        <v>40</v>
      </c>
      <c r="L13" s="166" t="s">
        <v>116</v>
      </c>
    </row>
    <row r="14" spans="1:12" ht="16.5" customHeight="1" thickBot="1" x14ac:dyDescent="0.3">
      <c r="A14" s="148"/>
      <c r="B14" s="150"/>
      <c r="C14" s="152"/>
      <c r="D14" s="153"/>
      <c r="E14" s="73"/>
      <c r="F14" s="150"/>
      <c r="G14" s="150"/>
      <c r="H14" s="152"/>
      <c r="I14" s="150"/>
      <c r="J14" s="152"/>
      <c r="K14" s="165"/>
      <c r="L14" s="167"/>
    </row>
    <row r="15" spans="1:12" ht="15.75" customHeight="1" x14ac:dyDescent="0.25">
      <c r="A15" s="156" t="s">
        <v>18</v>
      </c>
      <c r="B15" s="162">
        <v>40</v>
      </c>
      <c r="C15" s="160">
        <v>120</v>
      </c>
      <c r="D15" s="162">
        <f>C15+B15</f>
        <v>160</v>
      </c>
      <c r="E15" s="58"/>
      <c r="F15" s="158">
        <v>42</v>
      </c>
      <c r="G15" s="158">
        <v>18</v>
      </c>
      <c r="H15" s="160">
        <v>12</v>
      </c>
      <c r="I15" s="158">
        <v>0</v>
      </c>
      <c r="J15" s="160">
        <f t="shared" ref="J15" si="2">SUM(F15:I16)</f>
        <v>72</v>
      </c>
      <c r="K15" s="164">
        <f>D15-J15</f>
        <v>88</v>
      </c>
      <c r="L15" s="170"/>
    </row>
    <row r="16" spans="1:12" ht="16.5" customHeight="1" thickBot="1" x14ac:dyDescent="0.3">
      <c r="A16" s="169"/>
      <c r="B16" s="155"/>
      <c r="C16" s="161"/>
      <c r="D16" s="163"/>
      <c r="E16" s="71"/>
      <c r="F16" s="155"/>
      <c r="G16" s="155"/>
      <c r="H16" s="161"/>
      <c r="I16" s="155"/>
      <c r="J16" s="161"/>
      <c r="K16" s="165"/>
      <c r="L16" s="170"/>
    </row>
    <row r="17" spans="1:12" ht="15.75" customHeight="1" x14ac:dyDescent="0.25">
      <c r="A17" s="147" t="s">
        <v>19</v>
      </c>
      <c r="B17" s="149">
        <v>88</v>
      </c>
      <c r="C17" s="151">
        <v>100</v>
      </c>
      <c r="D17" s="149">
        <f>C17+B17</f>
        <v>188</v>
      </c>
      <c r="E17" s="69"/>
      <c r="F17" s="154">
        <v>30</v>
      </c>
      <c r="G17" s="154">
        <v>4</v>
      </c>
      <c r="H17" s="151">
        <v>2</v>
      </c>
      <c r="I17" s="154">
        <v>0</v>
      </c>
      <c r="J17" s="151">
        <f t="shared" ref="J17" si="3">SUM(F17:I18)</f>
        <v>36</v>
      </c>
      <c r="K17" s="164">
        <f>D17-J17</f>
        <v>152</v>
      </c>
      <c r="L17" s="173"/>
    </row>
    <row r="18" spans="1:12" ht="16.5" customHeight="1" thickBot="1" x14ac:dyDescent="0.3">
      <c r="A18" s="148"/>
      <c r="B18" s="150"/>
      <c r="C18" s="152"/>
      <c r="D18" s="153"/>
      <c r="E18" s="73"/>
      <c r="F18" s="150"/>
      <c r="G18" s="150"/>
      <c r="H18" s="152"/>
      <c r="I18" s="150"/>
      <c r="J18" s="152"/>
      <c r="K18" s="165"/>
      <c r="L18" s="174"/>
    </row>
    <row r="19" spans="1:12" ht="15" customHeight="1" x14ac:dyDescent="0.25">
      <c r="A19" s="156" t="s">
        <v>20</v>
      </c>
      <c r="B19" s="162">
        <v>152</v>
      </c>
      <c r="C19" s="160">
        <v>100</v>
      </c>
      <c r="D19" s="162">
        <f>C19+B19</f>
        <v>252</v>
      </c>
      <c r="E19" s="58"/>
      <c r="F19" s="158">
        <v>22</v>
      </c>
      <c r="G19" s="158">
        <v>21</v>
      </c>
      <c r="H19" s="160">
        <v>10</v>
      </c>
      <c r="I19" s="154">
        <v>0</v>
      </c>
      <c r="J19" s="160">
        <f t="shared" ref="J19" si="4">SUM(F19:I20)</f>
        <v>53</v>
      </c>
      <c r="K19" s="164">
        <f>D19-J19</f>
        <v>199</v>
      </c>
      <c r="L19" s="170"/>
    </row>
    <row r="20" spans="1:12" ht="15.75" customHeight="1" thickBot="1" x14ac:dyDescent="0.3">
      <c r="A20" s="169"/>
      <c r="B20" s="155"/>
      <c r="C20" s="161"/>
      <c r="D20" s="163"/>
      <c r="E20" s="71"/>
      <c r="F20" s="155"/>
      <c r="G20" s="155"/>
      <c r="H20" s="161"/>
      <c r="I20" s="150"/>
      <c r="J20" s="161"/>
      <c r="K20" s="165"/>
      <c r="L20" s="170"/>
    </row>
    <row r="21" spans="1:12" ht="18" x14ac:dyDescent="0.25">
      <c r="A21" s="147" t="s">
        <v>21</v>
      </c>
      <c r="B21" s="149">
        <v>199</v>
      </c>
      <c r="C21" s="151">
        <v>4</v>
      </c>
      <c r="D21" s="149">
        <f>C21+B21</f>
        <v>203</v>
      </c>
      <c r="E21" s="60"/>
      <c r="F21" s="154">
        <v>21</v>
      </c>
      <c r="G21" s="154">
        <v>37</v>
      </c>
      <c r="H21" s="151">
        <v>3</v>
      </c>
      <c r="I21" s="154">
        <v>0</v>
      </c>
      <c r="J21" s="151">
        <f t="shared" ref="J21" si="5">SUM(F21:I22)</f>
        <v>61</v>
      </c>
      <c r="K21" s="164">
        <f>D21-J21</f>
        <v>142</v>
      </c>
      <c r="L21" s="54"/>
    </row>
    <row r="22" spans="1:12" ht="18.75" thickBot="1" x14ac:dyDescent="0.3">
      <c r="A22" s="148"/>
      <c r="B22" s="150"/>
      <c r="C22" s="152"/>
      <c r="D22" s="153"/>
      <c r="E22" s="65"/>
      <c r="F22" s="150"/>
      <c r="G22" s="150"/>
      <c r="H22" s="152"/>
      <c r="I22" s="150"/>
      <c r="J22" s="152"/>
      <c r="K22" s="165"/>
      <c r="L22" s="72"/>
    </row>
    <row r="23" spans="1:12" ht="15.75" customHeight="1" x14ac:dyDescent="0.25">
      <c r="A23" s="156" t="s">
        <v>22</v>
      </c>
      <c r="B23" s="162">
        <v>142</v>
      </c>
      <c r="C23" s="160">
        <v>201</v>
      </c>
      <c r="D23" s="162">
        <f>C23+B23</f>
        <v>343</v>
      </c>
      <c r="E23" s="58"/>
      <c r="F23" s="158">
        <v>35</v>
      </c>
      <c r="G23" s="158">
        <v>4</v>
      </c>
      <c r="H23" s="160">
        <v>107</v>
      </c>
      <c r="I23" s="154">
        <v>0</v>
      </c>
      <c r="J23" s="160">
        <f t="shared" ref="J23:J31" si="6">SUM(F23:I24)</f>
        <v>146</v>
      </c>
      <c r="K23" s="164">
        <f>D23-J23</f>
        <v>197</v>
      </c>
      <c r="L23" s="170"/>
    </row>
    <row r="24" spans="1:12" ht="16.5" customHeight="1" thickBot="1" x14ac:dyDescent="0.3">
      <c r="A24" s="169"/>
      <c r="B24" s="155"/>
      <c r="C24" s="161"/>
      <c r="D24" s="163"/>
      <c r="E24" s="59"/>
      <c r="F24" s="155"/>
      <c r="G24" s="155"/>
      <c r="H24" s="161"/>
      <c r="I24" s="150"/>
      <c r="J24" s="161"/>
      <c r="K24" s="165"/>
      <c r="L24" s="170"/>
    </row>
    <row r="25" spans="1:12" ht="15" customHeight="1" x14ac:dyDescent="0.25">
      <c r="A25" s="147" t="s">
        <v>23</v>
      </c>
      <c r="B25" s="149">
        <v>197</v>
      </c>
      <c r="C25" s="151">
        <v>100</v>
      </c>
      <c r="D25" s="149">
        <f>C25+B25</f>
        <v>297</v>
      </c>
      <c r="E25" s="69"/>
      <c r="F25" s="154">
        <v>31</v>
      </c>
      <c r="G25" s="154">
        <v>83</v>
      </c>
      <c r="H25" s="151">
        <v>41</v>
      </c>
      <c r="I25" s="154">
        <v>0</v>
      </c>
      <c r="J25" s="151">
        <f t="shared" si="6"/>
        <v>155</v>
      </c>
      <c r="K25" s="164">
        <f>D25-J25</f>
        <v>142</v>
      </c>
      <c r="L25" s="173"/>
    </row>
    <row r="26" spans="1:12" ht="16.5" customHeight="1" thickBot="1" x14ac:dyDescent="0.3">
      <c r="A26" s="175"/>
      <c r="B26" s="150"/>
      <c r="C26" s="152"/>
      <c r="D26" s="153"/>
      <c r="E26" s="70"/>
      <c r="F26" s="150"/>
      <c r="G26" s="150"/>
      <c r="H26" s="152"/>
      <c r="I26" s="150"/>
      <c r="J26" s="152"/>
      <c r="K26" s="165"/>
      <c r="L26" s="174"/>
    </row>
    <row r="27" spans="1:12" ht="15" customHeight="1" x14ac:dyDescent="0.25">
      <c r="A27" s="156" t="s">
        <v>24</v>
      </c>
      <c r="B27" s="162">
        <v>142</v>
      </c>
      <c r="C27" s="160">
        <v>17</v>
      </c>
      <c r="D27" s="162">
        <f>C27+B27</f>
        <v>159</v>
      </c>
      <c r="E27" s="68"/>
      <c r="F27" s="158">
        <v>28</v>
      </c>
      <c r="G27" s="158">
        <v>41</v>
      </c>
      <c r="H27" s="160">
        <v>1</v>
      </c>
      <c r="I27" s="154">
        <v>0</v>
      </c>
      <c r="J27" s="160">
        <f t="shared" si="6"/>
        <v>70</v>
      </c>
      <c r="K27" s="164">
        <f>D27-J27</f>
        <v>89</v>
      </c>
      <c r="L27" s="170"/>
    </row>
    <row r="28" spans="1:12" ht="16.5" customHeight="1" thickBot="1" x14ac:dyDescent="0.3">
      <c r="A28" s="169"/>
      <c r="B28" s="155"/>
      <c r="C28" s="161"/>
      <c r="D28" s="163"/>
      <c r="E28" s="62"/>
      <c r="F28" s="155"/>
      <c r="G28" s="155"/>
      <c r="H28" s="161"/>
      <c r="I28" s="150"/>
      <c r="J28" s="161"/>
      <c r="K28" s="165"/>
      <c r="L28" s="170"/>
    </row>
    <row r="29" spans="1:12" ht="15" customHeight="1" x14ac:dyDescent="0.25">
      <c r="A29" s="147" t="s">
        <v>25</v>
      </c>
      <c r="B29" s="149">
        <v>89</v>
      </c>
      <c r="C29" s="151">
        <v>106</v>
      </c>
      <c r="D29" s="149">
        <f>C29+B29</f>
        <v>195</v>
      </c>
      <c r="E29" s="66"/>
      <c r="F29" s="154">
        <v>13</v>
      </c>
      <c r="G29" s="154">
        <v>113</v>
      </c>
      <c r="H29" s="151">
        <v>3</v>
      </c>
      <c r="I29" s="154">
        <v>0</v>
      </c>
      <c r="J29" s="151">
        <f t="shared" si="6"/>
        <v>129</v>
      </c>
      <c r="K29" s="164">
        <f>D29-J29</f>
        <v>66</v>
      </c>
      <c r="L29" s="173"/>
    </row>
    <row r="30" spans="1:12" ht="15.75" customHeight="1" thickBot="1" x14ac:dyDescent="0.3">
      <c r="A30" s="148"/>
      <c r="B30" s="150"/>
      <c r="C30" s="152"/>
      <c r="D30" s="153"/>
      <c r="E30" s="67"/>
      <c r="F30" s="150"/>
      <c r="G30" s="150"/>
      <c r="H30" s="152"/>
      <c r="I30" s="150"/>
      <c r="J30" s="152"/>
      <c r="K30" s="165"/>
      <c r="L30" s="174"/>
    </row>
    <row r="31" spans="1:12" ht="18" customHeight="1" thickBot="1" x14ac:dyDescent="0.3">
      <c r="A31" s="147" t="s">
        <v>26</v>
      </c>
      <c r="B31" s="149">
        <v>66</v>
      </c>
      <c r="C31" s="151">
        <v>170</v>
      </c>
      <c r="D31" s="149">
        <f>C31+B31</f>
        <v>236</v>
      </c>
      <c r="E31" s="64"/>
      <c r="F31" s="154">
        <v>12</v>
      </c>
      <c r="G31" s="154">
        <v>218</v>
      </c>
      <c r="H31" s="151">
        <v>0</v>
      </c>
      <c r="I31" s="154">
        <v>6</v>
      </c>
      <c r="J31" s="151">
        <f t="shared" si="6"/>
        <v>236</v>
      </c>
      <c r="K31" s="164">
        <f>D31-J31</f>
        <v>0</v>
      </c>
      <c r="L31" s="118" t="s">
        <v>117</v>
      </c>
    </row>
    <row r="32" spans="1:12" ht="18.75" thickBot="1" x14ac:dyDescent="0.3">
      <c r="A32" s="148"/>
      <c r="B32" s="150"/>
      <c r="C32" s="152"/>
      <c r="D32" s="153"/>
      <c r="E32" s="65"/>
      <c r="F32" s="150"/>
      <c r="G32" s="150"/>
      <c r="H32" s="152"/>
      <c r="I32" s="150"/>
      <c r="J32" s="152"/>
      <c r="K32" s="165"/>
      <c r="L32" s="120" t="s">
        <v>118</v>
      </c>
    </row>
    <row r="33" spans="1:12" ht="18.75" thickBot="1" x14ac:dyDescent="0.3">
      <c r="A33" s="186" t="s">
        <v>27</v>
      </c>
      <c r="B33" s="187"/>
      <c r="C33" s="55">
        <f>SUM(C9:C32)</f>
        <v>1021</v>
      </c>
      <c r="D33" s="121"/>
      <c r="E33" s="55"/>
      <c r="F33" s="56">
        <f>SUM(F9:F32)</f>
        <v>281</v>
      </c>
      <c r="G33" s="56">
        <f>SUM(G9:G32)</f>
        <v>609</v>
      </c>
      <c r="H33" s="55">
        <f>SUM(H9:H32)</f>
        <v>190</v>
      </c>
      <c r="I33" s="56">
        <f>SUM(I9:I32)</f>
        <v>38</v>
      </c>
      <c r="J33" s="55">
        <f>SUM(J9:J32)</f>
        <v>1118</v>
      </c>
      <c r="K33" s="121">
        <f>SUM(F33:I33)-J33</f>
        <v>0</v>
      </c>
      <c r="L33" s="63"/>
    </row>
    <row r="35" spans="1:12" x14ac:dyDescent="0.25">
      <c r="A35" s="180" t="s">
        <v>28</v>
      </c>
      <c r="B35" s="180"/>
      <c r="C35" s="180"/>
      <c r="D35" s="8"/>
      <c r="E35" s="9"/>
      <c r="F35" s="9" t="s">
        <v>29</v>
      </c>
      <c r="G35" s="9"/>
      <c r="H35" s="9"/>
      <c r="I35" s="9"/>
      <c r="J35" s="9"/>
      <c r="K35" s="181" t="s">
        <v>30</v>
      </c>
      <c r="L35" s="181"/>
    </row>
  </sheetData>
  <mergeCells count="147">
    <mergeCell ref="D4:L4"/>
    <mergeCell ref="C5:J5"/>
    <mergeCell ref="A7:A8"/>
    <mergeCell ref="B7:B8"/>
    <mergeCell ref="C7:C8"/>
    <mergeCell ref="D7:D8"/>
    <mergeCell ref="F7:K7"/>
    <mergeCell ref="L7:L8"/>
    <mergeCell ref="A1:C1"/>
    <mergeCell ref="J1:L1"/>
    <mergeCell ref="A2:C2"/>
    <mergeCell ref="J2:L2"/>
    <mergeCell ref="A3:C3"/>
    <mergeCell ref="J3:L3"/>
    <mergeCell ref="A13:A14"/>
    <mergeCell ref="B13:B14"/>
    <mergeCell ref="C13:C14"/>
    <mergeCell ref="D13:D14"/>
    <mergeCell ref="F13:F14"/>
    <mergeCell ref="H9:H10"/>
    <mergeCell ref="I9:I10"/>
    <mergeCell ref="J9:J10"/>
    <mergeCell ref="K9:K10"/>
    <mergeCell ref="A11:A12"/>
    <mergeCell ref="B11:B12"/>
    <mergeCell ref="C11:C12"/>
    <mergeCell ref="D11:D12"/>
    <mergeCell ref="F11:F12"/>
    <mergeCell ref="G11:G12"/>
    <mergeCell ref="A9:A10"/>
    <mergeCell ref="B9:B10"/>
    <mergeCell ref="C9:C10"/>
    <mergeCell ref="D9:D10"/>
    <mergeCell ref="F9:F10"/>
    <mergeCell ref="G9:G10"/>
    <mergeCell ref="G13:G14"/>
    <mergeCell ref="H13:H14"/>
    <mergeCell ref="I13:I14"/>
    <mergeCell ref="J13:J14"/>
    <mergeCell ref="K13:K14"/>
    <mergeCell ref="L13:L14"/>
    <mergeCell ref="H11:H12"/>
    <mergeCell ref="I11:I12"/>
    <mergeCell ref="J11:J12"/>
    <mergeCell ref="K11:K12"/>
    <mergeCell ref="L11:L12"/>
    <mergeCell ref="A19:A20"/>
    <mergeCell ref="B19:B20"/>
    <mergeCell ref="C19:C20"/>
    <mergeCell ref="D19:D20"/>
    <mergeCell ref="H15:H16"/>
    <mergeCell ref="I15:I16"/>
    <mergeCell ref="J15:J16"/>
    <mergeCell ref="K15:K16"/>
    <mergeCell ref="A17:A18"/>
    <mergeCell ref="B17:B18"/>
    <mergeCell ref="C17:C18"/>
    <mergeCell ref="D17:D18"/>
    <mergeCell ref="F17:F18"/>
    <mergeCell ref="G17:G18"/>
    <mergeCell ref="A15:A16"/>
    <mergeCell ref="B15:B16"/>
    <mergeCell ref="C15:C16"/>
    <mergeCell ref="D15:D16"/>
    <mergeCell ref="F15:F16"/>
    <mergeCell ref="G15:G16"/>
    <mergeCell ref="F19:F20"/>
    <mergeCell ref="G19:G20"/>
    <mergeCell ref="H19:H20"/>
    <mergeCell ref="I19:I20"/>
    <mergeCell ref="J19:J20"/>
    <mergeCell ref="A21:A22"/>
    <mergeCell ref="B21:B22"/>
    <mergeCell ref="C21:C22"/>
    <mergeCell ref="D21:D22"/>
    <mergeCell ref="F21:F22"/>
    <mergeCell ref="G21:G22"/>
    <mergeCell ref="H21:H22"/>
    <mergeCell ref="I21:I22"/>
    <mergeCell ref="J21:J22"/>
    <mergeCell ref="A27:A28"/>
    <mergeCell ref="B27:B28"/>
    <mergeCell ref="C27:C28"/>
    <mergeCell ref="D27:D28"/>
    <mergeCell ref="F27:F28"/>
    <mergeCell ref="G27:G28"/>
    <mergeCell ref="H27:H28"/>
    <mergeCell ref="K23:K24"/>
    <mergeCell ref="A25:A26"/>
    <mergeCell ref="B25:B26"/>
    <mergeCell ref="C25:C26"/>
    <mergeCell ref="D25:D26"/>
    <mergeCell ref="F25:F26"/>
    <mergeCell ref="G25:G26"/>
    <mergeCell ref="H25:H26"/>
    <mergeCell ref="I25:I26"/>
    <mergeCell ref="A23:A24"/>
    <mergeCell ref="B23:B24"/>
    <mergeCell ref="C23:C24"/>
    <mergeCell ref="D23:D24"/>
    <mergeCell ref="F23:F24"/>
    <mergeCell ref="G23:G24"/>
    <mergeCell ref="H23:H24"/>
    <mergeCell ref="I23:I24"/>
    <mergeCell ref="A35:C35"/>
    <mergeCell ref="K35:L35"/>
    <mergeCell ref="H29:H30"/>
    <mergeCell ref="I29:I30"/>
    <mergeCell ref="J29:J30"/>
    <mergeCell ref="K29:K30"/>
    <mergeCell ref="A31:A32"/>
    <mergeCell ref="B31:B32"/>
    <mergeCell ref="C31:C32"/>
    <mergeCell ref="D31:D32"/>
    <mergeCell ref="F31:F32"/>
    <mergeCell ref="G31:G32"/>
    <mergeCell ref="A29:A30"/>
    <mergeCell ref="B29:B30"/>
    <mergeCell ref="C29:C30"/>
    <mergeCell ref="D29:D30"/>
    <mergeCell ref="F29:F30"/>
    <mergeCell ref="G29:G30"/>
    <mergeCell ref="A33:B33"/>
    <mergeCell ref="L9:L10"/>
    <mergeCell ref="L15:L16"/>
    <mergeCell ref="L23:L24"/>
    <mergeCell ref="L27:L28"/>
    <mergeCell ref="L29:L30"/>
    <mergeCell ref="H31:H32"/>
    <mergeCell ref="I31:I32"/>
    <mergeCell ref="J31:J32"/>
    <mergeCell ref="K31:K32"/>
    <mergeCell ref="I27:I28"/>
    <mergeCell ref="J27:J28"/>
    <mergeCell ref="K27:K28"/>
    <mergeCell ref="J25:J26"/>
    <mergeCell ref="K25:K26"/>
    <mergeCell ref="L25:L26"/>
    <mergeCell ref="K21:K22"/>
    <mergeCell ref="J23:J24"/>
    <mergeCell ref="L19:L20"/>
    <mergeCell ref="L17:L18"/>
    <mergeCell ref="K19:K20"/>
    <mergeCell ref="H17:H18"/>
    <mergeCell ref="I17:I18"/>
    <mergeCell ref="J17:J18"/>
    <mergeCell ref="K17:K18"/>
  </mergeCells>
  <pageMargins left="0.19685039370078741" right="0.19685039370078741" top="0.31496062992125984" bottom="0.47244094488188981" header="0.19685039370078741" footer="0.31496062992125984"/>
  <pageSetup scale="85" orientation="landscape" horizontalDpi="36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8"/>
  <sheetViews>
    <sheetView topLeftCell="A17" zoomScale="85" zoomScaleNormal="85" workbookViewId="0">
      <selection activeCell="K34" sqref="K34"/>
    </sheetView>
  </sheetViews>
  <sheetFormatPr baseColWidth="10" defaultColWidth="11.42578125" defaultRowHeight="15" x14ac:dyDescent="0.25"/>
  <cols>
    <col min="1" max="1" width="12.5703125" customWidth="1"/>
    <col min="2" max="2" width="13.28515625" customWidth="1"/>
    <col min="3" max="3" width="8.140625" customWidth="1"/>
    <col min="4" max="4" width="8.42578125" customWidth="1"/>
    <col min="5" max="5" width="24.42578125" customWidth="1"/>
    <col min="6" max="6" width="13.140625" customWidth="1"/>
    <col min="7" max="7" width="11.5703125" customWidth="1"/>
    <col min="8" max="8" width="7.5703125" customWidth="1"/>
    <col min="9" max="9" width="10.42578125" customWidth="1"/>
    <col min="10" max="10" width="8.28515625" customWidth="1"/>
    <col min="11" max="11" width="7.5703125" customWidth="1"/>
    <col min="12" max="12" width="29.42578125" customWidth="1"/>
  </cols>
  <sheetData>
    <row r="1" spans="1:12" ht="18" x14ac:dyDescent="0.25">
      <c r="A1" s="132" t="s">
        <v>0</v>
      </c>
      <c r="B1" s="132"/>
      <c r="C1" s="132"/>
      <c r="D1" s="1"/>
      <c r="E1" s="1"/>
      <c r="F1" s="2"/>
      <c r="G1" s="2"/>
      <c r="H1" s="2"/>
      <c r="I1" s="2"/>
      <c r="J1" s="133" t="s">
        <v>5</v>
      </c>
      <c r="K1" s="133"/>
      <c r="L1" s="133"/>
    </row>
    <row r="2" spans="1:12" ht="15.75" x14ac:dyDescent="0.25">
      <c r="A2" s="134" t="s">
        <v>1</v>
      </c>
      <c r="B2" s="134"/>
      <c r="C2" s="134"/>
      <c r="D2" s="3"/>
      <c r="E2" s="3"/>
      <c r="F2" s="2"/>
      <c r="G2" s="2"/>
      <c r="H2" s="2"/>
      <c r="I2" s="2"/>
      <c r="J2" s="134" t="s">
        <v>6</v>
      </c>
      <c r="K2" s="134"/>
      <c r="L2" s="134"/>
    </row>
    <row r="3" spans="1:12" x14ac:dyDescent="0.25">
      <c r="A3" s="133" t="s">
        <v>7</v>
      </c>
      <c r="B3" s="133"/>
      <c r="C3" s="133"/>
      <c r="D3" s="4"/>
      <c r="E3" s="4"/>
      <c r="F3" s="2"/>
      <c r="G3" s="2"/>
      <c r="H3" s="2"/>
      <c r="I3" s="2"/>
      <c r="J3" s="133" t="s">
        <v>8</v>
      </c>
      <c r="K3" s="133"/>
      <c r="L3" s="133"/>
    </row>
    <row r="4" spans="1:12" ht="18" x14ac:dyDescent="0.25">
      <c r="A4" s="1"/>
      <c r="B4" s="1"/>
      <c r="C4" s="1"/>
      <c r="D4" s="132" t="s">
        <v>9</v>
      </c>
      <c r="E4" s="132"/>
      <c r="F4" s="132"/>
      <c r="G4" s="132"/>
      <c r="H4" s="132"/>
      <c r="I4" s="132"/>
      <c r="J4" s="132"/>
      <c r="K4" s="132"/>
      <c r="L4" s="132"/>
    </row>
    <row r="5" spans="1:12" ht="18" x14ac:dyDescent="0.25">
      <c r="A5" s="1"/>
      <c r="B5" s="1"/>
      <c r="C5" s="132" t="s">
        <v>120</v>
      </c>
      <c r="D5" s="132"/>
      <c r="E5" s="132"/>
      <c r="F5" s="132"/>
      <c r="G5" s="132"/>
      <c r="H5" s="132"/>
      <c r="I5" s="132"/>
      <c r="J5" s="132"/>
      <c r="K5" s="1"/>
      <c r="L5" s="1"/>
    </row>
    <row r="6" spans="1:12" ht="15.75" thickBot="1" x14ac:dyDescent="0.3"/>
    <row r="7" spans="1:12" ht="15.75" thickBot="1" x14ac:dyDescent="0.3">
      <c r="A7" s="135" t="s">
        <v>2</v>
      </c>
      <c r="B7" s="137" t="s">
        <v>33</v>
      </c>
      <c r="C7" s="139" t="s">
        <v>10</v>
      </c>
      <c r="D7" s="141" t="s">
        <v>11</v>
      </c>
      <c r="E7" s="51" t="s">
        <v>12</v>
      </c>
      <c r="F7" s="143" t="s">
        <v>38</v>
      </c>
      <c r="G7" s="144"/>
      <c r="H7" s="144"/>
      <c r="I7" s="144"/>
      <c r="J7" s="144"/>
      <c r="K7" s="268"/>
      <c r="L7" s="141" t="s">
        <v>13</v>
      </c>
    </row>
    <row r="8" spans="1:12" ht="39.75" thickBot="1" x14ac:dyDescent="0.3">
      <c r="A8" s="136"/>
      <c r="B8" s="138"/>
      <c r="C8" s="140"/>
      <c r="D8" s="142"/>
      <c r="E8" s="74" t="s">
        <v>14</v>
      </c>
      <c r="F8" s="10" t="s">
        <v>3</v>
      </c>
      <c r="G8" s="10" t="s">
        <v>34</v>
      </c>
      <c r="H8" s="28" t="s">
        <v>4</v>
      </c>
      <c r="I8" s="10" t="s">
        <v>35</v>
      </c>
      <c r="J8" s="10" t="s">
        <v>36</v>
      </c>
      <c r="K8" s="29" t="s">
        <v>37</v>
      </c>
      <c r="L8" s="142"/>
    </row>
    <row r="9" spans="1:12" ht="15.75" x14ac:dyDescent="0.25">
      <c r="A9" s="156" t="s">
        <v>15</v>
      </c>
      <c r="B9" s="336" t="s">
        <v>121</v>
      </c>
      <c r="C9" s="160">
        <v>105</v>
      </c>
      <c r="D9" s="162">
        <f>C9+B9</f>
        <v>105</v>
      </c>
      <c r="E9" s="58"/>
      <c r="F9" s="154">
        <v>14</v>
      </c>
      <c r="G9" s="154">
        <v>34</v>
      </c>
      <c r="H9" s="160">
        <v>3</v>
      </c>
      <c r="I9" s="154">
        <v>0</v>
      </c>
      <c r="J9" s="160">
        <f>SUM(F9:I10)</f>
        <v>51</v>
      </c>
      <c r="K9" s="164">
        <f>D9-J9</f>
        <v>54</v>
      </c>
      <c r="L9" s="166"/>
    </row>
    <row r="10" spans="1:12" ht="16.5" thickBot="1" x14ac:dyDescent="0.3">
      <c r="A10" s="157"/>
      <c r="B10" s="159"/>
      <c r="C10" s="161"/>
      <c r="D10" s="163"/>
      <c r="E10" s="59"/>
      <c r="F10" s="155"/>
      <c r="G10" s="155"/>
      <c r="H10" s="161"/>
      <c r="I10" s="155"/>
      <c r="J10" s="161"/>
      <c r="K10" s="168"/>
      <c r="L10" s="167"/>
    </row>
    <row r="11" spans="1:12" ht="16.5" customHeight="1" x14ac:dyDescent="0.25">
      <c r="A11" s="147" t="s">
        <v>16</v>
      </c>
      <c r="B11" s="149">
        <v>54</v>
      </c>
      <c r="C11" s="151">
        <v>100</v>
      </c>
      <c r="D11" s="149">
        <f>C11+B11</f>
        <v>154</v>
      </c>
      <c r="E11" s="60"/>
      <c r="F11" s="154">
        <v>25</v>
      </c>
      <c r="G11" s="154">
        <v>11</v>
      </c>
      <c r="H11" s="154">
        <v>5</v>
      </c>
      <c r="I11" s="154">
        <v>0</v>
      </c>
      <c r="J11" s="151">
        <f t="shared" ref="J11" si="0">SUM(F11:I12)</f>
        <v>41</v>
      </c>
      <c r="K11" s="164">
        <f>D11-J11</f>
        <v>113</v>
      </c>
      <c r="L11" s="166"/>
    </row>
    <row r="12" spans="1:12" ht="16.5" customHeight="1" thickBot="1" x14ac:dyDescent="0.3">
      <c r="A12" s="148"/>
      <c r="B12" s="150"/>
      <c r="C12" s="152"/>
      <c r="D12" s="153"/>
      <c r="E12" s="61"/>
      <c r="F12" s="155"/>
      <c r="G12" s="155"/>
      <c r="H12" s="155"/>
      <c r="I12" s="155"/>
      <c r="J12" s="152"/>
      <c r="K12" s="165"/>
      <c r="L12" s="167"/>
    </row>
    <row r="13" spans="1:12" ht="15.75" customHeight="1" x14ac:dyDescent="0.25">
      <c r="A13" s="147" t="s">
        <v>17</v>
      </c>
      <c r="B13" s="149">
        <v>113</v>
      </c>
      <c r="C13" s="151">
        <v>181</v>
      </c>
      <c r="D13" s="149">
        <f>C13+B13</f>
        <v>294</v>
      </c>
      <c r="E13" s="69"/>
      <c r="F13" s="154">
        <v>37</v>
      </c>
      <c r="G13" s="154">
        <v>111</v>
      </c>
      <c r="H13" s="154">
        <v>72</v>
      </c>
      <c r="I13" s="154">
        <v>0</v>
      </c>
      <c r="J13" s="151">
        <f t="shared" ref="J13" si="1">SUM(F13:I14)</f>
        <v>220</v>
      </c>
      <c r="K13" s="164">
        <f>D13-J13</f>
        <v>74</v>
      </c>
      <c r="L13" s="166"/>
    </row>
    <row r="14" spans="1:12" ht="16.5" customHeight="1" thickBot="1" x14ac:dyDescent="0.3">
      <c r="A14" s="148"/>
      <c r="B14" s="150"/>
      <c r="C14" s="152"/>
      <c r="D14" s="153"/>
      <c r="E14" s="73"/>
      <c r="F14" s="155"/>
      <c r="G14" s="155"/>
      <c r="H14" s="155"/>
      <c r="I14" s="155"/>
      <c r="J14" s="152"/>
      <c r="K14" s="165"/>
      <c r="L14" s="167"/>
    </row>
    <row r="15" spans="1:12" ht="15.75" customHeight="1" x14ac:dyDescent="0.25">
      <c r="A15" s="156" t="s">
        <v>18</v>
      </c>
      <c r="B15" s="149">
        <v>74</v>
      </c>
      <c r="C15" s="151">
        <v>108</v>
      </c>
      <c r="D15" s="162">
        <f>C15+B15</f>
        <v>182</v>
      </c>
      <c r="E15" s="58"/>
      <c r="F15" s="154">
        <v>21</v>
      </c>
      <c r="G15" s="154">
        <v>71</v>
      </c>
      <c r="H15" s="154">
        <v>1</v>
      </c>
      <c r="I15" s="154">
        <v>0</v>
      </c>
      <c r="J15" s="160">
        <f t="shared" ref="J15" si="2">SUM(F15:I16)</f>
        <v>93</v>
      </c>
      <c r="K15" s="164">
        <f>D15-J15</f>
        <v>89</v>
      </c>
      <c r="L15" s="170"/>
    </row>
    <row r="16" spans="1:12" ht="16.5" customHeight="1" thickBot="1" x14ac:dyDescent="0.3">
      <c r="A16" s="169"/>
      <c r="B16" s="150"/>
      <c r="C16" s="152"/>
      <c r="D16" s="163"/>
      <c r="E16" s="71"/>
      <c r="F16" s="155"/>
      <c r="G16" s="155"/>
      <c r="H16" s="155"/>
      <c r="I16" s="155"/>
      <c r="J16" s="161"/>
      <c r="K16" s="165"/>
      <c r="L16" s="170"/>
    </row>
    <row r="17" spans="1:12" ht="15.75" customHeight="1" x14ac:dyDescent="0.25">
      <c r="A17" s="147" t="s">
        <v>19</v>
      </c>
      <c r="B17" s="149">
        <v>89</v>
      </c>
      <c r="C17" s="151">
        <v>0</v>
      </c>
      <c r="D17" s="149">
        <f>C17+B17</f>
        <v>89</v>
      </c>
      <c r="E17" s="69"/>
      <c r="F17" s="154">
        <v>16</v>
      </c>
      <c r="G17" s="154">
        <v>17</v>
      </c>
      <c r="H17" s="154">
        <v>14</v>
      </c>
      <c r="I17" s="154">
        <v>0</v>
      </c>
      <c r="J17" s="151">
        <f t="shared" ref="J17" si="3">SUM(F17:I18)</f>
        <v>47</v>
      </c>
      <c r="K17" s="164">
        <f>D17-J17</f>
        <v>42</v>
      </c>
      <c r="L17" s="173"/>
    </row>
    <row r="18" spans="1:12" ht="16.5" customHeight="1" thickBot="1" x14ac:dyDescent="0.3">
      <c r="A18" s="148"/>
      <c r="B18" s="150"/>
      <c r="C18" s="152"/>
      <c r="D18" s="153"/>
      <c r="E18" s="73"/>
      <c r="F18" s="155"/>
      <c r="G18" s="155"/>
      <c r="H18" s="155"/>
      <c r="I18" s="155"/>
      <c r="J18" s="152"/>
      <c r="K18" s="165"/>
      <c r="L18" s="174"/>
    </row>
    <row r="19" spans="1:12" ht="15" customHeight="1" x14ac:dyDescent="0.25">
      <c r="A19" s="156" t="s">
        <v>20</v>
      </c>
      <c r="B19" s="149">
        <v>42</v>
      </c>
      <c r="C19" s="151">
        <v>205</v>
      </c>
      <c r="D19" s="162">
        <f>C19+B19</f>
        <v>247</v>
      </c>
      <c r="E19" s="58"/>
      <c r="F19" s="154">
        <v>8</v>
      </c>
      <c r="G19" s="154">
        <v>33</v>
      </c>
      <c r="H19" s="154">
        <v>3</v>
      </c>
      <c r="I19" s="154">
        <v>0</v>
      </c>
      <c r="J19" s="160">
        <f t="shared" ref="J19" si="4">SUM(F19:I20)</f>
        <v>44</v>
      </c>
      <c r="K19" s="164">
        <f>D19-J19</f>
        <v>203</v>
      </c>
      <c r="L19" s="170"/>
    </row>
    <row r="20" spans="1:12" ht="15.75" customHeight="1" thickBot="1" x14ac:dyDescent="0.3">
      <c r="A20" s="169"/>
      <c r="B20" s="150"/>
      <c r="C20" s="152"/>
      <c r="D20" s="163"/>
      <c r="E20" s="71"/>
      <c r="F20" s="155"/>
      <c r="G20" s="155"/>
      <c r="H20" s="155"/>
      <c r="I20" s="155"/>
      <c r="J20" s="161"/>
      <c r="K20" s="165"/>
      <c r="L20" s="170"/>
    </row>
    <row r="21" spans="1:12" ht="18" x14ac:dyDescent="0.25">
      <c r="A21" s="147" t="s">
        <v>21</v>
      </c>
      <c r="B21" s="149">
        <v>203</v>
      </c>
      <c r="C21" s="151">
        <v>1</v>
      </c>
      <c r="D21" s="149">
        <f>C21+B21</f>
        <v>204</v>
      </c>
      <c r="E21" s="60"/>
      <c r="F21" s="154">
        <v>8</v>
      </c>
      <c r="G21" s="154">
        <v>67</v>
      </c>
      <c r="H21" s="154">
        <v>1</v>
      </c>
      <c r="I21" s="154">
        <v>0</v>
      </c>
      <c r="J21" s="151">
        <f t="shared" ref="J21" si="5">SUM(F21:I22)</f>
        <v>76</v>
      </c>
      <c r="K21" s="164">
        <f>D21-J21</f>
        <v>128</v>
      </c>
      <c r="L21" s="54"/>
    </row>
    <row r="22" spans="1:12" ht="18.75" thickBot="1" x14ac:dyDescent="0.3">
      <c r="A22" s="148"/>
      <c r="B22" s="150"/>
      <c r="C22" s="152"/>
      <c r="D22" s="153"/>
      <c r="E22" s="65"/>
      <c r="F22" s="155"/>
      <c r="G22" s="155"/>
      <c r="H22" s="155"/>
      <c r="I22" s="155"/>
      <c r="J22" s="152"/>
      <c r="K22" s="165"/>
      <c r="L22" s="72"/>
    </row>
    <row r="23" spans="1:12" ht="15.75" customHeight="1" x14ac:dyDescent="0.25">
      <c r="A23" s="156" t="s">
        <v>22</v>
      </c>
      <c r="B23" s="149">
        <v>128</v>
      </c>
      <c r="C23" s="151">
        <v>0</v>
      </c>
      <c r="D23" s="162">
        <f>C23+B23</f>
        <v>128</v>
      </c>
      <c r="E23" s="58"/>
      <c r="F23" s="154">
        <v>14</v>
      </c>
      <c r="G23" s="154">
        <v>13</v>
      </c>
      <c r="H23" s="154">
        <v>0</v>
      </c>
      <c r="I23" s="154">
        <v>10</v>
      </c>
      <c r="J23" s="160">
        <f t="shared" ref="J23:J29" si="6">SUM(F23:I24)</f>
        <v>37</v>
      </c>
      <c r="K23" s="164">
        <f>D23-J23</f>
        <v>91</v>
      </c>
      <c r="L23" s="170" t="s">
        <v>122</v>
      </c>
    </row>
    <row r="24" spans="1:12" ht="16.5" customHeight="1" thickBot="1" x14ac:dyDescent="0.3">
      <c r="A24" s="169"/>
      <c r="B24" s="150"/>
      <c r="C24" s="152"/>
      <c r="D24" s="163"/>
      <c r="E24" s="59"/>
      <c r="F24" s="155"/>
      <c r="G24" s="155"/>
      <c r="H24" s="155"/>
      <c r="I24" s="155"/>
      <c r="J24" s="161"/>
      <c r="K24" s="165"/>
      <c r="L24" s="170"/>
    </row>
    <row r="25" spans="1:12" ht="15" customHeight="1" x14ac:dyDescent="0.25">
      <c r="A25" s="147" t="s">
        <v>23</v>
      </c>
      <c r="B25" s="149">
        <v>91</v>
      </c>
      <c r="C25" s="151">
        <v>0</v>
      </c>
      <c r="D25" s="149">
        <f>C25+B25</f>
        <v>91</v>
      </c>
      <c r="E25" s="69"/>
      <c r="F25" s="154">
        <v>13</v>
      </c>
      <c r="G25" s="154">
        <v>36</v>
      </c>
      <c r="H25" s="154">
        <v>30</v>
      </c>
      <c r="I25" s="154">
        <v>0</v>
      </c>
      <c r="J25" s="151">
        <f t="shared" si="6"/>
        <v>79</v>
      </c>
      <c r="K25" s="164">
        <f>D25-J25</f>
        <v>12</v>
      </c>
      <c r="L25" s="173"/>
    </row>
    <row r="26" spans="1:12" ht="16.5" customHeight="1" thickBot="1" x14ac:dyDescent="0.3">
      <c r="A26" s="175"/>
      <c r="B26" s="150"/>
      <c r="C26" s="152"/>
      <c r="D26" s="153"/>
      <c r="E26" s="70"/>
      <c r="F26" s="155"/>
      <c r="G26" s="155"/>
      <c r="H26" s="155"/>
      <c r="I26" s="155"/>
      <c r="J26" s="152"/>
      <c r="K26" s="165"/>
      <c r="L26" s="174"/>
    </row>
    <row r="27" spans="1:12" ht="15" customHeight="1" x14ac:dyDescent="0.25">
      <c r="A27" s="156" t="s">
        <v>24</v>
      </c>
      <c r="B27" s="149">
        <v>12</v>
      </c>
      <c r="C27" s="151">
        <v>200</v>
      </c>
      <c r="D27" s="162">
        <f>C27+B27</f>
        <v>212</v>
      </c>
      <c r="E27" s="68"/>
      <c r="F27" s="154">
        <v>32</v>
      </c>
      <c r="G27" s="154">
        <v>34</v>
      </c>
      <c r="H27" s="154">
        <v>15</v>
      </c>
      <c r="I27" s="154">
        <v>0</v>
      </c>
      <c r="J27" s="160">
        <f t="shared" si="6"/>
        <v>81</v>
      </c>
      <c r="K27" s="164">
        <f>D27-J27</f>
        <v>131</v>
      </c>
      <c r="L27" s="170"/>
    </row>
    <row r="28" spans="1:12" ht="16.5" customHeight="1" thickBot="1" x14ac:dyDescent="0.3">
      <c r="A28" s="169"/>
      <c r="B28" s="150"/>
      <c r="C28" s="152"/>
      <c r="D28" s="163"/>
      <c r="E28" s="62"/>
      <c r="F28" s="155"/>
      <c r="G28" s="155"/>
      <c r="H28" s="155"/>
      <c r="I28" s="155"/>
      <c r="J28" s="161"/>
      <c r="K28" s="165"/>
      <c r="L28" s="170"/>
    </row>
    <row r="29" spans="1:12" ht="15" customHeight="1" x14ac:dyDescent="0.25">
      <c r="A29" s="147" t="s">
        <v>25</v>
      </c>
      <c r="B29" s="149">
        <v>131</v>
      </c>
      <c r="C29" s="151">
        <v>20</v>
      </c>
      <c r="D29" s="149">
        <f>C29+B29</f>
        <v>151</v>
      </c>
      <c r="E29" s="66"/>
      <c r="F29" s="154">
        <v>34</v>
      </c>
      <c r="G29" s="154">
        <v>62</v>
      </c>
      <c r="H29" s="154">
        <v>3</v>
      </c>
      <c r="I29" s="154">
        <v>0</v>
      </c>
      <c r="J29" s="151">
        <f t="shared" si="6"/>
        <v>99</v>
      </c>
      <c r="K29" s="164">
        <f>D29-J29</f>
        <v>52</v>
      </c>
      <c r="L29" s="173"/>
    </row>
    <row r="30" spans="1:12" ht="15.75" customHeight="1" thickBot="1" x14ac:dyDescent="0.3">
      <c r="A30" s="148"/>
      <c r="B30" s="155"/>
      <c r="C30" s="161"/>
      <c r="D30" s="163"/>
      <c r="E30" s="62"/>
      <c r="F30" s="155"/>
      <c r="G30" s="155"/>
      <c r="H30" s="155"/>
      <c r="I30" s="155"/>
      <c r="J30" s="161"/>
      <c r="K30" s="168"/>
      <c r="L30" s="174"/>
    </row>
    <row r="31" spans="1:12" ht="15.75" customHeight="1" thickBot="1" x14ac:dyDescent="0.3">
      <c r="A31" s="141" t="s">
        <v>26</v>
      </c>
      <c r="B31" s="182">
        <v>52</v>
      </c>
      <c r="C31" s="190">
        <v>0</v>
      </c>
      <c r="D31" s="182">
        <f>C31+B31</f>
        <v>52</v>
      </c>
      <c r="E31" s="122"/>
      <c r="F31" s="182">
        <v>13</v>
      </c>
      <c r="G31" s="182">
        <v>21</v>
      </c>
      <c r="H31" s="182">
        <v>0</v>
      </c>
      <c r="I31" s="182">
        <v>8</v>
      </c>
      <c r="J31" s="182">
        <f>SUM(F31:I33)</f>
        <v>42</v>
      </c>
      <c r="K31" s="184">
        <f>D31-J31</f>
        <v>10</v>
      </c>
      <c r="L31" s="118" t="s">
        <v>123</v>
      </c>
    </row>
    <row r="32" spans="1:12" ht="18" customHeight="1" thickBot="1" x14ac:dyDescent="0.3">
      <c r="A32" s="337"/>
      <c r="B32" s="183"/>
      <c r="C32" s="191"/>
      <c r="D32" s="183"/>
      <c r="E32" s="123"/>
      <c r="F32" s="183"/>
      <c r="G32" s="183"/>
      <c r="H32" s="183"/>
      <c r="I32" s="183"/>
      <c r="J32" s="183"/>
      <c r="K32" s="185"/>
      <c r="L32" s="118" t="s">
        <v>124</v>
      </c>
    </row>
    <row r="33" spans="1:12" ht="18.75" thickBot="1" x14ac:dyDescent="0.3">
      <c r="A33" s="142"/>
      <c r="B33" s="321"/>
      <c r="C33" s="322"/>
      <c r="D33" s="321"/>
      <c r="E33" s="124"/>
      <c r="F33" s="321"/>
      <c r="G33" s="321"/>
      <c r="H33" s="321"/>
      <c r="I33" s="321"/>
      <c r="J33" s="321"/>
      <c r="K33" s="338"/>
      <c r="L33" s="120" t="s">
        <v>125</v>
      </c>
    </row>
    <row r="34" spans="1:12" ht="18.75" thickBot="1" x14ac:dyDescent="0.3">
      <c r="A34" s="186" t="s">
        <v>27</v>
      </c>
      <c r="B34" s="187"/>
      <c r="C34" s="55">
        <f>SUM(C9:C33)</f>
        <v>920</v>
      </c>
      <c r="D34" s="121"/>
      <c r="E34" s="55"/>
      <c r="F34" s="56">
        <f>SUM(F9:F33)</f>
        <v>235</v>
      </c>
      <c r="G34" s="56">
        <f>SUM(G9:G33)</f>
        <v>510</v>
      </c>
      <c r="H34" s="55">
        <f>SUM(H9:H33)</f>
        <v>147</v>
      </c>
      <c r="I34" s="56">
        <f>SUM(I9:I33)</f>
        <v>18</v>
      </c>
      <c r="J34" s="55">
        <f>SUM(J9:J33)</f>
        <v>910</v>
      </c>
      <c r="K34" s="121">
        <f>SUM(F34:I34)-J34</f>
        <v>0</v>
      </c>
      <c r="L34" s="63"/>
    </row>
    <row r="36" spans="1:12" x14ac:dyDescent="0.25">
      <c r="A36" s="180" t="s">
        <v>28</v>
      </c>
      <c r="B36" s="180"/>
      <c r="C36" s="180"/>
      <c r="D36" s="8"/>
      <c r="E36" s="9"/>
      <c r="F36" s="9" t="s">
        <v>29</v>
      </c>
      <c r="G36" s="9"/>
      <c r="H36" s="9"/>
      <c r="I36" s="9"/>
      <c r="J36" s="9"/>
      <c r="K36" s="181" t="s">
        <v>30</v>
      </c>
      <c r="L36" s="181"/>
    </row>
    <row r="38" spans="1:12" x14ac:dyDescent="0.25">
      <c r="K38" s="129"/>
    </row>
  </sheetData>
  <mergeCells count="147">
    <mergeCell ref="L27:L28"/>
    <mergeCell ref="G27:G28"/>
    <mergeCell ref="J25:J26"/>
    <mergeCell ref="K25:K26"/>
    <mergeCell ref="L25:L26"/>
    <mergeCell ref="A34:B34"/>
    <mergeCell ref="A36:C36"/>
    <mergeCell ref="K36:L36"/>
    <mergeCell ref="A31:A33"/>
    <mergeCell ref="D25:D26"/>
    <mergeCell ref="F25:F26"/>
    <mergeCell ref="G25:G26"/>
    <mergeCell ref="H25:H26"/>
    <mergeCell ref="I25:I26"/>
    <mergeCell ref="B31:B33"/>
    <mergeCell ref="C31:C33"/>
    <mergeCell ref="D31:D33"/>
    <mergeCell ref="F31:F33"/>
    <mergeCell ref="G31:G33"/>
    <mergeCell ref="H31:H33"/>
    <mergeCell ref="I31:I33"/>
    <mergeCell ref="J31:J33"/>
    <mergeCell ref="K31:K33"/>
    <mergeCell ref="L23:L24"/>
    <mergeCell ref="A29:A30"/>
    <mergeCell ref="B29:B30"/>
    <mergeCell ref="C29:C30"/>
    <mergeCell ref="D29:D30"/>
    <mergeCell ref="F29:F30"/>
    <mergeCell ref="A27:A28"/>
    <mergeCell ref="B27:B28"/>
    <mergeCell ref="C27:C28"/>
    <mergeCell ref="D27:D28"/>
    <mergeCell ref="F27:F28"/>
    <mergeCell ref="G29:G30"/>
    <mergeCell ref="H29:H30"/>
    <mergeCell ref="I29:I30"/>
    <mergeCell ref="J29:J30"/>
    <mergeCell ref="K29:K30"/>
    <mergeCell ref="L29:L30"/>
    <mergeCell ref="A25:A26"/>
    <mergeCell ref="B25:B26"/>
    <mergeCell ref="C25:C26"/>
    <mergeCell ref="H27:H28"/>
    <mergeCell ref="I27:I28"/>
    <mergeCell ref="J27:J28"/>
    <mergeCell ref="K27:K28"/>
    <mergeCell ref="H21:H22"/>
    <mergeCell ref="I21:I22"/>
    <mergeCell ref="J21:J22"/>
    <mergeCell ref="K21:K22"/>
    <mergeCell ref="A23:A24"/>
    <mergeCell ref="B23:B24"/>
    <mergeCell ref="C23:C24"/>
    <mergeCell ref="D23:D24"/>
    <mergeCell ref="F23:F24"/>
    <mergeCell ref="G23:G24"/>
    <mergeCell ref="A21:A22"/>
    <mergeCell ref="B21:B22"/>
    <mergeCell ref="C21:C22"/>
    <mergeCell ref="D21:D22"/>
    <mergeCell ref="F21:F22"/>
    <mergeCell ref="G21:G22"/>
    <mergeCell ref="H23:H24"/>
    <mergeCell ref="I23:I24"/>
    <mergeCell ref="J23:J24"/>
    <mergeCell ref="K23:K24"/>
    <mergeCell ref="G19:G20"/>
    <mergeCell ref="H19:H20"/>
    <mergeCell ref="I19:I20"/>
    <mergeCell ref="J19:J20"/>
    <mergeCell ref="K19:K20"/>
    <mergeCell ref="L19:L20"/>
    <mergeCell ref="H17:H18"/>
    <mergeCell ref="I17:I18"/>
    <mergeCell ref="J17:J18"/>
    <mergeCell ref="K17:K18"/>
    <mergeCell ref="L17:L18"/>
    <mergeCell ref="G17:G18"/>
    <mergeCell ref="A19:A20"/>
    <mergeCell ref="B19:B20"/>
    <mergeCell ref="C19:C20"/>
    <mergeCell ref="D19:D20"/>
    <mergeCell ref="F19:F20"/>
    <mergeCell ref="A17:A18"/>
    <mergeCell ref="B17:B18"/>
    <mergeCell ref="C17:C18"/>
    <mergeCell ref="D17:D18"/>
    <mergeCell ref="F17:F18"/>
    <mergeCell ref="G15:G16"/>
    <mergeCell ref="H15:H16"/>
    <mergeCell ref="I15:I16"/>
    <mergeCell ref="J15:J16"/>
    <mergeCell ref="K15:K16"/>
    <mergeCell ref="L15:L16"/>
    <mergeCell ref="H13:H14"/>
    <mergeCell ref="I13:I14"/>
    <mergeCell ref="J13:J14"/>
    <mergeCell ref="K13:K14"/>
    <mergeCell ref="L13:L14"/>
    <mergeCell ref="G13:G14"/>
    <mergeCell ref="A15:A16"/>
    <mergeCell ref="B15:B16"/>
    <mergeCell ref="C15:C16"/>
    <mergeCell ref="D15:D16"/>
    <mergeCell ref="F15:F16"/>
    <mergeCell ref="A13:A14"/>
    <mergeCell ref="B13:B14"/>
    <mergeCell ref="C13:C14"/>
    <mergeCell ref="D13:D14"/>
    <mergeCell ref="F13:F14"/>
    <mergeCell ref="G11:G12"/>
    <mergeCell ref="H11:H12"/>
    <mergeCell ref="I11:I12"/>
    <mergeCell ref="J11:J12"/>
    <mergeCell ref="K11:K12"/>
    <mergeCell ref="L11:L12"/>
    <mergeCell ref="H9:H10"/>
    <mergeCell ref="I9:I10"/>
    <mergeCell ref="J9:J10"/>
    <mergeCell ref="K9:K10"/>
    <mergeCell ref="L9:L10"/>
    <mergeCell ref="G9:G10"/>
    <mergeCell ref="A11:A12"/>
    <mergeCell ref="B11:B12"/>
    <mergeCell ref="C11:C12"/>
    <mergeCell ref="D11:D12"/>
    <mergeCell ref="F11:F12"/>
    <mergeCell ref="A9:A10"/>
    <mergeCell ref="B9:B10"/>
    <mergeCell ref="C9:C10"/>
    <mergeCell ref="D9:D10"/>
    <mergeCell ref="F9:F10"/>
    <mergeCell ref="D4:L4"/>
    <mergeCell ref="C5:J5"/>
    <mergeCell ref="A7:A8"/>
    <mergeCell ref="B7:B8"/>
    <mergeCell ref="C7:C8"/>
    <mergeCell ref="D7:D8"/>
    <mergeCell ref="F7:K7"/>
    <mergeCell ref="L7:L8"/>
    <mergeCell ref="A1:C1"/>
    <mergeCell ref="J1:L1"/>
    <mergeCell ref="A2:C2"/>
    <mergeCell ref="J2:L2"/>
    <mergeCell ref="A3:C3"/>
    <mergeCell ref="J3:L3"/>
  </mergeCells>
  <pageMargins left="0.19685039370078741" right="0.19685039370078741" top="0.31496062992125984" bottom="0.47244094488188981" header="0.19685039370078741" footer="0.31496062992125984"/>
  <pageSetup scale="85" orientation="landscape" horizontalDpi="36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5"/>
  <sheetViews>
    <sheetView topLeftCell="A7" zoomScale="85" zoomScaleNormal="85" workbookViewId="0">
      <selection activeCell="J2" sqref="J2:L2"/>
    </sheetView>
  </sheetViews>
  <sheetFormatPr baseColWidth="10" defaultColWidth="11.42578125" defaultRowHeight="15" x14ac:dyDescent="0.25"/>
  <cols>
    <col min="1" max="1" width="12.5703125" customWidth="1"/>
    <col min="2" max="2" width="13.28515625" customWidth="1"/>
    <col min="3" max="3" width="8.140625" customWidth="1"/>
    <col min="4" max="4" width="8.42578125" customWidth="1"/>
    <col min="5" max="5" width="24.42578125" customWidth="1"/>
    <col min="6" max="6" width="13.140625" customWidth="1"/>
    <col min="7" max="7" width="11.5703125" customWidth="1"/>
    <col min="8" max="8" width="7.5703125" customWidth="1"/>
    <col min="9" max="9" width="10.42578125" customWidth="1"/>
    <col min="10" max="10" width="8.28515625" customWidth="1"/>
    <col min="11" max="11" width="7.5703125" customWidth="1"/>
    <col min="12" max="12" width="29.42578125" customWidth="1"/>
  </cols>
  <sheetData>
    <row r="1" spans="1:12" ht="18" x14ac:dyDescent="0.25">
      <c r="A1" s="132" t="s">
        <v>0</v>
      </c>
      <c r="B1" s="132"/>
      <c r="C1" s="132"/>
      <c r="D1" s="1"/>
      <c r="E1" s="1"/>
      <c r="F1" s="2"/>
      <c r="G1" s="2"/>
      <c r="H1" s="2"/>
      <c r="I1" s="2"/>
      <c r="J1" s="133" t="s">
        <v>129</v>
      </c>
      <c r="K1" s="133"/>
      <c r="L1" s="133"/>
    </row>
    <row r="2" spans="1:12" ht="15.75" x14ac:dyDescent="0.25">
      <c r="A2" s="134" t="s">
        <v>1</v>
      </c>
      <c r="B2" s="134"/>
      <c r="C2" s="134"/>
      <c r="D2" s="3"/>
      <c r="E2" s="3"/>
      <c r="F2" s="2"/>
      <c r="G2" s="2"/>
      <c r="H2" s="2"/>
      <c r="I2" s="2"/>
      <c r="J2" s="134" t="s">
        <v>6</v>
      </c>
      <c r="K2" s="134"/>
      <c r="L2" s="134"/>
    </row>
    <row r="3" spans="1:12" x14ac:dyDescent="0.25">
      <c r="A3" s="133" t="s">
        <v>7</v>
      </c>
      <c r="B3" s="133"/>
      <c r="C3" s="133"/>
      <c r="D3" s="4"/>
      <c r="E3" s="4"/>
      <c r="F3" s="2"/>
      <c r="G3" s="2"/>
      <c r="H3" s="2"/>
      <c r="I3" s="2"/>
      <c r="J3" s="133" t="s">
        <v>8</v>
      </c>
      <c r="K3" s="133"/>
      <c r="L3" s="133"/>
    </row>
    <row r="4" spans="1:12" ht="18" x14ac:dyDescent="0.25">
      <c r="A4" s="1"/>
      <c r="B4" s="1"/>
      <c r="C4" s="1"/>
      <c r="D4" s="132" t="s">
        <v>9</v>
      </c>
      <c r="E4" s="132"/>
      <c r="F4" s="132"/>
      <c r="G4" s="132"/>
      <c r="H4" s="132"/>
      <c r="I4" s="132"/>
      <c r="J4" s="132"/>
      <c r="K4" s="132"/>
      <c r="L4" s="132"/>
    </row>
    <row r="5" spans="1:12" ht="18" x14ac:dyDescent="0.25">
      <c r="A5" s="1"/>
      <c r="B5" s="1"/>
      <c r="C5" s="132" t="s">
        <v>126</v>
      </c>
      <c r="D5" s="132"/>
      <c r="E5" s="132"/>
      <c r="F5" s="132"/>
      <c r="G5" s="132"/>
      <c r="H5" s="132"/>
      <c r="I5" s="132"/>
      <c r="J5" s="132"/>
      <c r="K5" s="1"/>
      <c r="L5" s="1"/>
    </row>
    <row r="6" spans="1:12" ht="15.75" thickBot="1" x14ac:dyDescent="0.3"/>
    <row r="7" spans="1:12" ht="15.75" thickBot="1" x14ac:dyDescent="0.3">
      <c r="A7" s="135" t="s">
        <v>2</v>
      </c>
      <c r="B7" s="137" t="s">
        <v>33</v>
      </c>
      <c r="C7" s="139" t="s">
        <v>10</v>
      </c>
      <c r="D7" s="141" t="s">
        <v>11</v>
      </c>
      <c r="E7" s="51" t="s">
        <v>12</v>
      </c>
      <c r="F7" s="143" t="s">
        <v>38</v>
      </c>
      <c r="G7" s="144"/>
      <c r="H7" s="144"/>
      <c r="I7" s="144"/>
      <c r="J7" s="144"/>
      <c r="K7" s="268"/>
      <c r="L7" s="141" t="s">
        <v>13</v>
      </c>
    </row>
    <row r="8" spans="1:12" ht="39.75" thickBot="1" x14ac:dyDescent="0.3">
      <c r="A8" s="136"/>
      <c r="B8" s="138"/>
      <c r="C8" s="140"/>
      <c r="D8" s="142"/>
      <c r="E8" s="74" t="s">
        <v>14</v>
      </c>
      <c r="F8" s="10" t="s">
        <v>3</v>
      </c>
      <c r="G8" s="10" t="s">
        <v>34</v>
      </c>
      <c r="H8" s="28" t="s">
        <v>4</v>
      </c>
      <c r="I8" s="10" t="s">
        <v>35</v>
      </c>
      <c r="J8" s="10" t="s">
        <v>36</v>
      </c>
      <c r="K8" s="29" t="s">
        <v>37</v>
      </c>
      <c r="L8" s="142"/>
    </row>
    <row r="9" spans="1:12" ht="15.75" x14ac:dyDescent="0.25">
      <c r="A9" s="156" t="s">
        <v>15</v>
      </c>
      <c r="B9" s="336" t="s">
        <v>127</v>
      </c>
      <c r="C9" s="160">
        <v>207</v>
      </c>
      <c r="D9" s="162">
        <f>C9+B9</f>
        <v>217</v>
      </c>
      <c r="E9" s="58"/>
      <c r="F9" s="154">
        <v>16</v>
      </c>
      <c r="G9" s="154">
        <v>14</v>
      </c>
      <c r="H9" s="160">
        <v>3</v>
      </c>
      <c r="I9" s="154">
        <v>0</v>
      </c>
      <c r="J9" s="160">
        <f>SUM(F9:I10)</f>
        <v>33</v>
      </c>
      <c r="K9" s="164">
        <f>D9-J9</f>
        <v>184</v>
      </c>
      <c r="L9" s="166"/>
    </row>
    <row r="10" spans="1:12" ht="16.5" thickBot="1" x14ac:dyDescent="0.3">
      <c r="A10" s="157"/>
      <c r="B10" s="159"/>
      <c r="C10" s="161"/>
      <c r="D10" s="163"/>
      <c r="E10" s="59"/>
      <c r="F10" s="155"/>
      <c r="G10" s="155"/>
      <c r="H10" s="161"/>
      <c r="I10" s="155"/>
      <c r="J10" s="161"/>
      <c r="K10" s="168"/>
      <c r="L10" s="167"/>
    </row>
    <row r="11" spans="1:12" ht="16.5" customHeight="1" x14ac:dyDescent="0.25">
      <c r="A11" s="147" t="s">
        <v>16</v>
      </c>
      <c r="B11" s="149">
        <v>184</v>
      </c>
      <c r="C11" s="151">
        <v>1</v>
      </c>
      <c r="D11" s="149">
        <f>C11+B11</f>
        <v>185</v>
      </c>
      <c r="E11" s="60"/>
      <c r="F11" s="154">
        <v>27</v>
      </c>
      <c r="G11" s="154">
        <v>125</v>
      </c>
      <c r="H11" s="154">
        <v>1</v>
      </c>
      <c r="I11" s="154">
        <v>0</v>
      </c>
      <c r="J11" s="151">
        <f t="shared" ref="J11" si="0">SUM(F11:I12)</f>
        <v>153</v>
      </c>
      <c r="K11" s="164">
        <f>D11-J11</f>
        <v>32</v>
      </c>
      <c r="L11" s="166"/>
    </row>
    <row r="12" spans="1:12" ht="16.5" customHeight="1" thickBot="1" x14ac:dyDescent="0.3">
      <c r="A12" s="148"/>
      <c r="B12" s="150"/>
      <c r="C12" s="152"/>
      <c r="D12" s="153"/>
      <c r="E12" s="61"/>
      <c r="F12" s="155"/>
      <c r="G12" s="155"/>
      <c r="H12" s="155"/>
      <c r="I12" s="155"/>
      <c r="J12" s="152"/>
      <c r="K12" s="165"/>
      <c r="L12" s="167"/>
    </row>
    <row r="13" spans="1:12" ht="15.75" customHeight="1" x14ac:dyDescent="0.25">
      <c r="A13" s="147" t="s">
        <v>17</v>
      </c>
      <c r="B13" s="149">
        <v>32</v>
      </c>
      <c r="C13" s="151">
        <v>260</v>
      </c>
      <c r="D13" s="149">
        <f>C13+B13</f>
        <v>292</v>
      </c>
      <c r="E13" s="69"/>
      <c r="F13" s="154">
        <v>26</v>
      </c>
      <c r="G13" s="154">
        <v>115</v>
      </c>
      <c r="H13" s="154">
        <v>133</v>
      </c>
      <c r="I13" s="154">
        <v>0</v>
      </c>
      <c r="J13" s="151">
        <f t="shared" ref="J13" si="1">SUM(F13:I14)</f>
        <v>274</v>
      </c>
      <c r="K13" s="164">
        <f>D13-J13</f>
        <v>18</v>
      </c>
      <c r="L13" s="166"/>
    </row>
    <row r="14" spans="1:12" ht="16.5" customHeight="1" thickBot="1" x14ac:dyDescent="0.3">
      <c r="A14" s="148"/>
      <c r="B14" s="150"/>
      <c r="C14" s="152"/>
      <c r="D14" s="153"/>
      <c r="E14" s="73"/>
      <c r="F14" s="155"/>
      <c r="G14" s="155"/>
      <c r="H14" s="155"/>
      <c r="I14" s="155"/>
      <c r="J14" s="152"/>
      <c r="K14" s="165"/>
      <c r="L14" s="167"/>
    </row>
    <row r="15" spans="1:12" ht="15.75" customHeight="1" x14ac:dyDescent="0.25">
      <c r="A15" s="156" t="s">
        <v>18</v>
      </c>
      <c r="B15" s="149">
        <v>18</v>
      </c>
      <c r="C15" s="151">
        <v>11</v>
      </c>
      <c r="D15" s="162">
        <f>C15+B15</f>
        <v>29</v>
      </c>
      <c r="E15" s="58"/>
      <c r="F15" s="154">
        <v>11</v>
      </c>
      <c r="G15" s="154">
        <v>12</v>
      </c>
      <c r="H15" s="154">
        <v>0</v>
      </c>
      <c r="I15" s="154">
        <v>0</v>
      </c>
      <c r="J15" s="160">
        <f t="shared" ref="J15" si="2">SUM(F15:I16)</f>
        <v>23</v>
      </c>
      <c r="K15" s="164">
        <f>D15-J15</f>
        <v>6</v>
      </c>
      <c r="L15" s="170"/>
    </row>
    <row r="16" spans="1:12" ht="16.5" customHeight="1" thickBot="1" x14ac:dyDescent="0.3">
      <c r="A16" s="169"/>
      <c r="B16" s="150"/>
      <c r="C16" s="152"/>
      <c r="D16" s="163"/>
      <c r="E16" s="71"/>
      <c r="F16" s="155"/>
      <c r="G16" s="155"/>
      <c r="H16" s="155"/>
      <c r="I16" s="155"/>
      <c r="J16" s="161"/>
      <c r="K16" s="165"/>
      <c r="L16" s="170"/>
    </row>
    <row r="17" spans="1:12" ht="15.75" customHeight="1" x14ac:dyDescent="0.25">
      <c r="A17" s="147" t="s">
        <v>19</v>
      </c>
      <c r="B17" s="149">
        <v>6</v>
      </c>
      <c r="C17" s="151">
        <v>20</v>
      </c>
      <c r="D17" s="149">
        <f>C17+B17</f>
        <v>26</v>
      </c>
      <c r="E17" s="69"/>
      <c r="F17" s="154">
        <v>8</v>
      </c>
      <c r="G17" s="154">
        <v>2</v>
      </c>
      <c r="H17" s="154">
        <v>0</v>
      </c>
      <c r="I17" s="154">
        <v>0</v>
      </c>
      <c r="J17" s="151">
        <f t="shared" ref="J17" si="3">SUM(F17:I18)</f>
        <v>10</v>
      </c>
      <c r="K17" s="164">
        <f>D17-J17</f>
        <v>16</v>
      </c>
      <c r="L17" s="173"/>
    </row>
    <row r="18" spans="1:12" ht="16.5" customHeight="1" thickBot="1" x14ac:dyDescent="0.3">
      <c r="A18" s="148"/>
      <c r="B18" s="150"/>
      <c r="C18" s="152"/>
      <c r="D18" s="153"/>
      <c r="E18" s="73"/>
      <c r="F18" s="155"/>
      <c r="G18" s="155"/>
      <c r="H18" s="155"/>
      <c r="I18" s="155"/>
      <c r="J18" s="152"/>
      <c r="K18" s="165"/>
      <c r="L18" s="174"/>
    </row>
    <row r="19" spans="1:12" ht="15" customHeight="1" x14ac:dyDescent="0.25">
      <c r="A19" s="156" t="s">
        <v>20</v>
      </c>
      <c r="B19" s="149">
        <v>16</v>
      </c>
      <c r="C19" s="151">
        <v>0</v>
      </c>
      <c r="D19" s="162">
        <f>C19+B19</f>
        <v>16</v>
      </c>
      <c r="E19" s="58"/>
      <c r="F19" s="154">
        <v>8</v>
      </c>
      <c r="G19" s="154">
        <v>4</v>
      </c>
      <c r="H19" s="154">
        <v>0</v>
      </c>
      <c r="I19" s="154">
        <v>0</v>
      </c>
      <c r="J19" s="160">
        <f t="shared" ref="J19" si="4">SUM(F19:I20)</f>
        <v>12</v>
      </c>
      <c r="K19" s="164">
        <f>D19-J19</f>
        <v>4</v>
      </c>
      <c r="L19" s="170"/>
    </row>
    <row r="20" spans="1:12" ht="15.75" customHeight="1" thickBot="1" x14ac:dyDescent="0.3">
      <c r="A20" s="169"/>
      <c r="B20" s="150"/>
      <c r="C20" s="152"/>
      <c r="D20" s="163"/>
      <c r="E20" s="71"/>
      <c r="F20" s="155"/>
      <c r="G20" s="155"/>
      <c r="H20" s="155"/>
      <c r="I20" s="155"/>
      <c r="J20" s="161"/>
      <c r="K20" s="165"/>
      <c r="L20" s="170"/>
    </row>
    <row r="21" spans="1:12" ht="18" x14ac:dyDescent="0.25">
      <c r="A21" s="147" t="s">
        <v>21</v>
      </c>
      <c r="B21" s="149">
        <v>4</v>
      </c>
      <c r="C21" s="151">
        <v>10</v>
      </c>
      <c r="D21" s="149">
        <f>C21+B21</f>
        <v>14</v>
      </c>
      <c r="E21" s="60"/>
      <c r="F21" s="154">
        <v>0</v>
      </c>
      <c r="G21" s="154">
        <v>0</v>
      </c>
      <c r="H21" s="154">
        <v>0</v>
      </c>
      <c r="I21" s="154">
        <v>0</v>
      </c>
      <c r="J21" s="151">
        <f t="shared" ref="J21" si="5">SUM(F21:I22)</f>
        <v>0</v>
      </c>
      <c r="K21" s="164">
        <f>D21-J21</f>
        <v>14</v>
      </c>
      <c r="L21" s="54"/>
    </row>
    <row r="22" spans="1:12" ht="18.75" thickBot="1" x14ac:dyDescent="0.3">
      <c r="A22" s="148"/>
      <c r="B22" s="150"/>
      <c r="C22" s="152"/>
      <c r="D22" s="153"/>
      <c r="E22" s="65"/>
      <c r="F22" s="155"/>
      <c r="G22" s="155"/>
      <c r="H22" s="155"/>
      <c r="I22" s="155"/>
      <c r="J22" s="152"/>
      <c r="K22" s="165"/>
      <c r="L22" s="72"/>
    </row>
    <row r="23" spans="1:12" ht="15.75" customHeight="1" x14ac:dyDescent="0.25">
      <c r="A23" s="156" t="s">
        <v>22</v>
      </c>
      <c r="B23" s="149">
        <v>14</v>
      </c>
      <c r="C23" s="151">
        <v>50</v>
      </c>
      <c r="D23" s="162">
        <f>C23+B23</f>
        <v>64</v>
      </c>
      <c r="E23" s="58"/>
      <c r="F23" s="154">
        <v>1</v>
      </c>
      <c r="G23" s="154">
        <v>0</v>
      </c>
      <c r="H23" s="154">
        <v>49</v>
      </c>
      <c r="I23" s="154">
        <v>0</v>
      </c>
      <c r="J23" s="160">
        <f t="shared" ref="J23:J29" si="6">SUM(F23:I24)</f>
        <v>50</v>
      </c>
      <c r="K23" s="164">
        <f>D23-J23</f>
        <v>14</v>
      </c>
      <c r="L23" s="170"/>
    </row>
    <row r="24" spans="1:12" ht="16.5" customHeight="1" thickBot="1" x14ac:dyDescent="0.3">
      <c r="A24" s="169"/>
      <c r="B24" s="150"/>
      <c r="C24" s="152"/>
      <c r="D24" s="163"/>
      <c r="E24" s="59"/>
      <c r="F24" s="155"/>
      <c r="G24" s="155"/>
      <c r="H24" s="155"/>
      <c r="I24" s="155"/>
      <c r="J24" s="161"/>
      <c r="K24" s="165"/>
      <c r="L24" s="170"/>
    </row>
    <row r="25" spans="1:12" ht="15" customHeight="1" x14ac:dyDescent="0.25">
      <c r="A25" s="147" t="s">
        <v>23</v>
      </c>
      <c r="B25" s="149">
        <v>14</v>
      </c>
      <c r="C25" s="151">
        <v>0</v>
      </c>
      <c r="D25" s="149">
        <f>C25+B25</f>
        <v>14</v>
      </c>
      <c r="E25" s="69"/>
      <c r="F25" s="154">
        <v>1</v>
      </c>
      <c r="G25" s="154">
        <v>0</v>
      </c>
      <c r="H25" s="154">
        <v>0</v>
      </c>
      <c r="I25" s="154">
        <v>0</v>
      </c>
      <c r="J25" s="151">
        <f t="shared" si="6"/>
        <v>1</v>
      </c>
      <c r="K25" s="164">
        <f>D25-J25</f>
        <v>13</v>
      </c>
      <c r="L25" s="173"/>
    </row>
    <row r="26" spans="1:12" ht="16.5" customHeight="1" thickBot="1" x14ac:dyDescent="0.3">
      <c r="A26" s="175"/>
      <c r="B26" s="150"/>
      <c r="C26" s="152"/>
      <c r="D26" s="153"/>
      <c r="E26" s="70"/>
      <c r="F26" s="155"/>
      <c r="G26" s="155"/>
      <c r="H26" s="155"/>
      <c r="I26" s="155"/>
      <c r="J26" s="152"/>
      <c r="K26" s="165"/>
      <c r="L26" s="174"/>
    </row>
    <row r="27" spans="1:12" ht="15" customHeight="1" x14ac:dyDescent="0.25">
      <c r="A27" s="156" t="s">
        <v>24</v>
      </c>
      <c r="B27" s="149">
        <v>13</v>
      </c>
      <c r="C27" s="151">
        <v>139</v>
      </c>
      <c r="D27" s="162">
        <f>C27+B27</f>
        <v>152</v>
      </c>
      <c r="E27" s="68"/>
      <c r="F27" s="154">
        <v>30</v>
      </c>
      <c r="G27" s="154">
        <v>5</v>
      </c>
      <c r="H27" s="154">
        <v>74</v>
      </c>
      <c r="I27" s="154">
        <v>0</v>
      </c>
      <c r="J27" s="160">
        <f t="shared" si="6"/>
        <v>109</v>
      </c>
      <c r="K27" s="164">
        <f>D27-J27</f>
        <v>43</v>
      </c>
      <c r="L27" s="170"/>
    </row>
    <row r="28" spans="1:12" ht="16.5" customHeight="1" thickBot="1" x14ac:dyDescent="0.3">
      <c r="A28" s="169"/>
      <c r="B28" s="150"/>
      <c r="C28" s="152"/>
      <c r="D28" s="163"/>
      <c r="E28" s="62"/>
      <c r="F28" s="155"/>
      <c r="G28" s="155"/>
      <c r="H28" s="155"/>
      <c r="I28" s="155"/>
      <c r="J28" s="161"/>
      <c r="K28" s="165"/>
      <c r="L28" s="170"/>
    </row>
    <row r="29" spans="1:12" ht="15" customHeight="1" x14ac:dyDescent="0.25">
      <c r="A29" s="147" t="s">
        <v>25</v>
      </c>
      <c r="B29" s="149">
        <v>43</v>
      </c>
      <c r="C29" s="151">
        <v>0</v>
      </c>
      <c r="D29" s="149">
        <f>C29+B29</f>
        <v>43</v>
      </c>
      <c r="E29" s="66"/>
      <c r="F29" s="154">
        <v>22</v>
      </c>
      <c r="G29" s="154">
        <v>6</v>
      </c>
      <c r="H29" s="154">
        <v>0</v>
      </c>
      <c r="I29" s="154">
        <v>0</v>
      </c>
      <c r="J29" s="151">
        <f t="shared" si="6"/>
        <v>28</v>
      </c>
      <c r="K29" s="164">
        <f>D29-J29</f>
        <v>15</v>
      </c>
      <c r="L29" s="312"/>
    </row>
    <row r="30" spans="1:12" ht="15.75" customHeight="1" thickBot="1" x14ac:dyDescent="0.3">
      <c r="A30" s="148"/>
      <c r="B30" s="155"/>
      <c r="C30" s="161"/>
      <c r="D30" s="163"/>
      <c r="E30" s="62"/>
      <c r="F30" s="155"/>
      <c r="G30" s="155"/>
      <c r="H30" s="155"/>
      <c r="I30" s="155"/>
      <c r="J30" s="161"/>
      <c r="K30" s="168"/>
      <c r="L30" s="313"/>
    </row>
    <row r="31" spans="1:12" ht="15.75" customHeight="1" x14ac:dyDescent="0.25">
      <c r="A31" s="141" t="s">
        <v>26</v>
      </c>
      <c r="B31" s="182">
        <v>15</v>
      </c>
      <c r="C31" s="190">
        <v>501</v>
      </c>
      <c r="D31" s="192">
        <f>C31+B31</f>
        <v>516</v>
      </c>
      <c r="E31" s="122"/>
      <c r="F31" s="194">
        <v>35</v>
      </c>
      <c r="G31" s="182">
        <v>473</v>
      </c>
      <c r="H31" s="182">
        <v>0</v>
      </c>
      <c r="I31" s="182">
        <v>1</v>
      </c>
      <c r="J31" s="182">
        <f>SUM(F31:I32)</f>
        <v>509</v>
      </c>
      <c r="K31" s="184">
        <f>D31-J31</f>
        <v>7</v>
      </c>
      <c r="L31" s="171" t="s">
        <v>128</v>
      </c>
    </row>
    <row r="32" spans="1:12" ht="18" customHeight="1" thickBot="1" x14ac:dyDescent="0.3">
      <c r="A32" s="337"/>
      <c r="B32" s="183"/>
      <c r="C32" s="191"/>
      <c r="D32" s="193"/>
      <c r="E32" s="125"/>
      <c r="F32" s="195"/>
      <c r="G32" s="183"/>
      <c r="H32" s="183"/>
      <c r="I32" s="183"/>
      <c r="J32" s="183"/>
      <c r="K32" s="185"/>
      <c r="L32" s="172"/>
    </row>
    <row r="33" spans="1:12" ht="18.75" thickBot="1" x14ac:dyDescent="0.3">
      <c r="A33" s="186" t="s">
        <v>27</v>
      </c>
      <c r="B33" s="187"/>
      <c r="C33" s="126">
        <f>SUM(C9:C32)</f>
        <v>1199</v>
      </c>
      <c r="D33" s="127"/>
      <c r="E33" s="126"/>
      <c r="F33" s="128">
        <f>SUM(F9:F32)</f>
        <v>185</v>
      </c>
      <c r="G33" s="128">
        <f>SUM(G9:G32)</f>
        <v>756</v>
      </c>
      <c r="H33" s="126">
        <f>SUM(H9:H32)</f>
        <v>260</v>
      </c>
      <c r="I33" s="128">
        <f>SUM(I9:I32)</f>
        <v>1</v>
      </c>
      <c r="J33" s="126">
        <f>SUM(J9:J32)</f>
        <v>1202</v>
      </c>
      <c r="K33" s="127">
        <f>SUM(F33:I33)-J33</f>
        <v>0</v>
      </c>
      <c r="L33" s="7"/>
    </row>
    <row r="35" spans="1:12" x14ac:dyDescent="0.25">
      <c r="A35" s="180" t="s">
        <v>28</v>
      </c>
      <c r="B35" s="180"/>
      <c r="C35" s="180"/>
      <c r="D35" s="8"/>
      <c r="E35" s="9"/>
      <c r="F35" s="9" t="s">
        <v>29</v>
      </c>
      <c r="G35" s="9"/>
      <c r="H35" s="9"/>
      <c r="I35" s="9"/>
      <c r="J35" s="9"/>
      <c r="K35" s="181" t="s">
        <v>30</v>
      </c>
      <c r="L35" s="181"/>
    </row>
  </sheetData>
  <mergeCells count="148">
    <mergeCell ref="A33:B33"/>
    <mergeCell ref="A35:C35"/>
    <mergeCell ref="K35:L35"/>
    <mergeCell ref="A31:A32"/>
    <mergeCell ref="B31:B32"/>
    <mergeCell ref="C31:C32"/>
    <mergeCell ref="D31:D32"/>
    <mergeCell ref="F31:F32"/>
    <mergeCell ref="G31:G32"/>
    <mergeCell ref="H27:H28"/>
    <mergeCell ref="I27:I28"/>
    <mergeCell ref="J27:J28"/>
    <mergeCell ref="K27:K28"/>
    <mergeCell ref="L27:L28"/>
    <mergeCell ref="G27:G28"/>
    <mergeCell ref="H31:H32"/>
    <mergeCell ref="I31:I32"/>
    <mergeCell ref="J31:J32"/>
    <mergeCell ref="K31:K32"/>
    <mergeCell ref="L31:L32"/>
    <mergeCell ref="J25:J26"/>
    <mergeCell ref="K25:K26"/>
    <mergeCell ref="L25:L26"/>
    <mergeCell ref="H23:H24"/>
    <mergeCell ref="I23:I24"/>
    <mergeCell ref="J23:J24"/>
    <mergeCell ref="K23:K24"/>
    <mergeCell ref="L23:L24"/>
    <mergeCell ref="A29:A30"/>
    <mergeCell ref="B29:B30"/>
    <mergeCell ref="C29:C30"/>
    <mergeCell ref="D29:D30"/>
    <mergeCell ref="F29:F30"/>
    <mergeCell ref="A27:A28"/>
    <mergeCell ref="B27:B28"/>
    <mergeCell ref="C27:C28"/>
    <mergeCell ref="D27:D28"/>
    <mergeCell ref="F27:F28"/>
    <mergeCell ref="G29:G30"/>
    <mergeCell ref="H29:H30"/>
    <mergeCell ref="I29:I30"/>
    <mergeCell ref="J29:J30"/>
    <mergeCell ref="K29:K30"/>
    <mergeCell ref="L29:L30"/>
    <mergeCell ref="A25:A26"/>
    <mergeCell ref="B25:B26"/>
    <mergeCell ref="C25:C26"/>
    <mergeCell ref="D25:D26"/>
    <mergeCell ref="F25:F26"/>
    <mergeCell ref="H21:H22"/>
    <mergeCell ref="I21:I22"/>
    <mergeCell ref="J21:J22"/>
    <mergeCell ref="K21:K22"/>
    <mergeCell ref="A23:A24"/>
    <mergeCell ref="B23:B24"/>
    <mergeCell ref="C23:C24"/>
    <mergeCell ref="D23:D24"/>
    <mergeCell ref="F23:F24"/>
    <mergeCell ref="G23:G24"/>
    <mergeCell ref="A21:A22"/>
    <mergeCell ref="B21:B22"/>
    <mergeCell ref="C21:C22"/>
    <mergeCell ref="D21:D22"/>
    <mergeCell ref="F21:F22"/>
    <mergeCell ref="G21:G22"/>
    <mergeCell ref="G25:G26"/>
    <mergeCell ref="H25:H26"/>
    <mergeCell ref="I25:I26"/>
    <mergeCell ref="G19:G20"/>
    <mergeCell ref="H19:H20"/>
    <mergeCell ref="I19:I20"/>
    <mergeCell ref="J19:J20"/>
    <mergeCell ref="K19:K20"/>
    <mergeCell ref="L19:L20"/>
    <mergeCell ref="H17:H18"/>
    <mergeCell ref="I17:I18"/>
    <mergeCell ref="J17:J18"/>
    <mergeCell ref="K17:K18"/>
    <mergeCell ref="L17:L18"/>
    <mergeCell ref="G17:G18"/>
    <mergeCell ref="A19:A20"/>
    <mergeCell ref="B19:B20"/>
    <mergeCell ref="C19:C20"/>
    <mergeCell ref="D19:D20"/>
    <mergeCell ref="F19:F20"/>
    <mergeCell ref="A17:A18"/>
    <mergeCell ref="B17:B18"/>
    <mergeCell ref="C17:C18"/>
    <mergeCell ref="D17:D18"/>
    <mergeCell ref="F17:F18"/>
    <mergeCell ref="G15:G16"/>
    <mergeCell ref="H15:H16"/>
    <mergeCell ref="I15:I16"/>
    <mergeCell ref="J15:J16"/>
    <mergeCell ref="K15:K16"/>
    <mergeCell ref="L15:L16"/>
    <mergeCell ref="H13:H14"/>
    <mergeCell ref="I13:I14"/>
    <mergeCell ref="J13:J14"/>
    <mergeCell ref="K13:K14"/>
    <mergeCell ref="L13:L14"/>
    <mergeCell ref="G13:G14"/>
    <mergeCell ref="A15:A16"/>
    <mergeCell ref="B15:B16"/>
    <mergeCell ref="C15:C16"/>
    <mergeCell ref="D15:D16"/>
    <mergeCell ref="F15:F16"/>
    <mergeCell ref="A13:A14"/>
    <mergeCell ref="B13:B14"/>
    <mergeCell ref="C13:C14"/>
    <mergeCell ref="D13:D14"/>
    <mergeCell ref="F13:F14"/>
    <mergeCell ref="G11:G12"/>
    <mergeCell ref="H11:H12"/>
    <mergeCell ref="I11:I12"/>
    <mergeCell ref="J11:J12"/>
    <mergeCell ref="K11:K12"/>
    <mergeCell ref="L11:L12"/>
    <mergeCell ref="H9:H10"/>
    <mergeCell ref="I9:I10"/>
    <mergeCell ref="J9:J10"/>
    <mergeCell ref="K9:K10"/>
    <mergeCell ref="L9:L10"/>
    <mergeCell ref="G9:G10"/>
    <mergeCell ref="A11:A12"/>
    <mergeCell ref="B11:B12"/>
    <mergeCell ref="C11:C12"/>
    <mergeCell ref="D11:D12"/>
    <mergeCell ref="F11:F12"/>
    <mergeCell ref="A9:A10"/>
    <mergeCell ref="B9:B10"/>
    <mergeCell ref="C9:C10"/>
    <mergeCell ref="D9:D10"/>
    <mergeCell ref="F9:F10"/>
    <mergeCell ref="D4:L4"/>
    <mergeCell ref="C5:J5"/>
    <mergeCell ref="A7:A8"/>
    <mergeCell ref="B7:B8"/>
    <mergeCell ref="C7:C8"/>
    <mergeCell ref="D7:D8"/>
    <mergeCell ref="F7:K7"/>
    <mergeCell ref="L7:L8"/>
    <mergeCell ref="A1:C1"/>
    <mergeCell ref="J1:L1"/>
    <mergeCell ref="A2:C2"/>
    <mergeCell ref="J2:L2"/>
    <mergeCell ref="A3:C3"/>
    <mergeCell ref="J3:L3"/>
  </mergeCells>
  <pageMargins left="0.19685039370078741" right="0.19685039370078741" top="0.31496062992125984" bottom="0.47244094488188981" header="0.19685039370078741" footer="0.31496062992125984"/>
  <pageSetup scale="85" orientation="landscape" horizontalDpi="36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5"/>
  <sheetViews>
    <sheetView topLeftCell="A18" zoomScale="85" zoomScaleNormal="85" workbookViewId="0">
      <selection activeCell="J31" sqref="J31:J32"/>
    </sheetView>
  </sheetViews>
  <sheetFormatPr baseColWidth="10" defaultColWidth="11.42578125" defaultRowHeight="15" x14ac:dyDescent="0.25"/>
  <cols>
    <col min="1" max="1" width="12.5703125" customWidth="1"/>
    <col min="2" max="2" width="13.28515625" customWidth="1"/>
    <col min="3" max="3" width="8.140625" customWidth="1"/>
    <col min="4" max="4" width="8.42578125" customWidth="1"/>
    <col min="5" max="5" width="24.42578125" customWidth="1"/>
    <col min="6" max="6" width="13.140625" customWidth="1"/>
    <col min="7" max="7" width="11.5703125" customWidth="1"/>
    <col min="8" max="8" width="7.5703125" customWidth="1"/>
    <col min="9" max="9" width="10.42578125" customWidth="1"/>
    <col min="10" max="10" width="8.28515625" customWidth="1"/>
    <col min="11" max="11" width="7.5703125" customWidth="1"/>
    <col min="12" max="12" width="34.140625" customWidth="1"/>
  </cols>
  <sheetData>
    <row r="1" spans="1:12" ht="18" x14ac:dyDescent="0.25">
      <c r="A1" s="132" t="s">
        <v>0</v>
      </c>
      <c r="B1" s="132"/>
      <c r="C1" s="132"/>
      <c r="D1" s="1"/>
      <c r="E1" s="1"/>
      <c r="F1" s="2"/>
      <c r="G1" s="2"/>
      <c r="H1" s="2"/>
      <c r="I1" s="2"/>
      <c r="J1" s="133" t="s">
        <v>129</v>
      </c>
      <c r="K1" s="133"/>
      <c r="L1" s="133"/>
    </row>
    <row r="2" spans="1:12" ht="15.75" x14ac:dyDescent="0.25">
      <c r="A2" s="134" t="s">
        <v>1</v>
      </c>
      <c r="B2" s="134"/>
      <c r="C2" s="134"/>
      <c r="D2" s="3"/>
      <c r="E2" s="3"/>
      <c r="F2" s="2"/>
      <c r="G2" s="2"/>
      <c r="H2" s="2"/>
      <c r="I2" s="2"/>
      <c r="J2" s="134" t="s">
        <v>6</v>
      </c>
      <c r="K2" s="134"/>
      <c r="L2" s="134"/>
    </row>
    <row r="3" spans="1:12" x14ac:dyDescent="0.25">
      <c r="A3" s="133" t="s">
        <v>7</v>
      </c>
      <c r="B3" s="133"/>
      <c r="C3" s="133"/>
      <c r="D3" s="4"/>
      <c r="E3" s="4"/>
      <c r="F3" s="2"/>
      <c r="G3" s="2"/>
      <c r="H3" s="2"/>
      <c r="I3" s="2"/>
      <c r="J3" s="133" t="s">
        <v>8</v>
      </c>
      <c r="K3" s="133"/>
      <c r="L3" s="133"/>
    </row>
    <row r="4" spans="1:12" ht="18" x14ac:dyDescent="0.25">
      <c r="A4" s="1"/>
      <c r="B4" s="1"/>
      <c r="C4" s="1"/>
      <c r="D4" s="132" t="s">
        <v>9</v>
      </c>
      <c r="E4" s="132"/>
      <c r="F4" s="132"/>
      <c r="G4" s="132"/>
      <c r="H4" s="132"/>
      <c r="I4" s="132"/>
      <c r="J4" s="132"/>
      <c r="K4" s="132"/>
      <c r="L4" s="132"/>
    </row>
    <row r="5" spans="1:12" ht="18" x14ac:dyDescent="0.25">
      <c r="A5" s="1"/>
      <c r="B5" s="1"/>
      <c r="C5" s="132" t="s">
        <v>130</v>
      </c>
      <c r="D5" s="132"/>
      <c r="E5" s="132"/>
      <c r="F5" s="132"/>
      <c r="G5" s="132"/>
      <c r="H5" s="132"/>
      <c r="I5" s="132"/>
      <c r="J5" s="132"/>
      <c r="K5" s="1"/>
      <c r="L5" s="1"/>
    </row>
    <row r="6" spans="1:12" ht="15.75" thickBot="1" x14ac:dyDescent="0.3"/>
    <row r="7" spans="1:12" ht="15.75" thickBot="1" x14ac:dyDescent="0.3">
      <c r="A7" s="135" t="s">
        <v>2</v>
      </c>
      <c r="B7" s="137" t="s">
        <v>33</v>
      </c>
      <c r="C7" s="139" t="s">
        <v>10</v>
      </c>
      <c r="D7" s="141" t="s">
        <v>11</v>
      </c>
      <c r="E7" s="51" t="s">
        <v>12</v>
      </c>
      <c r="F7" s="143" t="s">
        <v>38</v>
      </c>
      <c r="G7" s="144"/>
      <c r="H7" s="144"/>
      <c r="I7" s="144"/>
      <c r="J7" s="144"/>
      <c r="K7" s="268"/>
      <c r="L7" s="141" t="s">
        <v>13</v>
      </c>
    </row>
    <row r="8" spans="1:12" ht="39.75" thickBot="1" x14ac:dyDescent="0.3">
      <c r="A8" s="136"/>
      <c r="B8" s="138"/>
      <c r="C8" s="140"/>
      <c r="D8" s="142"/>
      <c r="E8" s="74" t="s">
        <v>14</v>
      </c>
      <c r="F8" s="10" t="s">
        <v>3</v>
      </c>
      <c r="G8" s="10" t="s">
        <v>34</v>
      </c>
      <c r="H8" s="28" t="s">
        <v>4</v>
      </c>
      <c r="I8" s="10" t="s">
        <v>35</v>
      </c>
      <c r="J8" s="10" t="s">
        <v>36</v>
      </c>
      <c r="K8" s="29" t="s">
        <v>37</v>
      </c>
      <c r="L8" s="142"/>
    </row>
    <row r="9" spans="1:12" ht="15.75" x14ac:dyDescent="0.25">
      <c r="A9" s="156" t="s">
        <v>15</v>
      </c>
      <c r="B9" s="336" t="s">
        <v>131</v>
      </c>
      <c r="C9" s="160">
        <v>1</v>
      </c>
      <c r="D9" s="162">
        <f>C9+B9</f>
        <v>8</v>
      </c>
      <c r="E9" s="58"/>
      <c r="F9" s="154">
        <v>1</v>
      </c>
      <c r="G9" s="154">
        <v>1</v>
      </c>
      <c r="H9" s="160">
        <v>0</v>
      </c>
      <c r="I9" s="154">
        <v>0</v>
      </c>
      <c r="J9" s="160">
        <f>SUM(F9:I10)</f>
        <v>2</v>
      </c>
      <c r="K9" s="164">
        <f>D9-J9</f>
        <v>6</v>
      </c>
      <c r="L9" s="166"/>
    </row>
    <row r="10" spans="1:12" ht="16.5" thickBot="1" x14ac:dyDescent="0.3">
      <c r="A10" s="157"/>
      <c r="B10" s="159"/>
      <c r="C10" s="161"/>
      <c r="D10" s="163"/>
      <c r="E10" s="59"/>
      <c r="F10" s="155"/>
      <c r="G10" s="155"/>
      <c r="H10" s="161"/>
      <c r="I10" s="155"/>
      <c r="J10" s="161"/>
      <c r="K10" s="168"/>
      <c r="L10" s="167"/>
    </row>
    <row r="11" spans="1:12" ht="16.5" customHeight="1" x14ac:dyDescent="0.25">
      <c r="A11" s="147" t="s">
        <v>16</v>
      </c>
      <c r="B11" s="149">
        <v>6</v>
      </c>
      <c r="C11" s="151">
        <v>200</v>
      </c>
      <c r="D11" s="149">
        <f>C11+B11</f>
        <v>206</v>
      </c>
      <c r="E11" s="60"/>
      <c r="F11" s="154">
        <v>21</v>
      </c>
      <c r="G11" s="154">
        <v>140</v>
      </c>
      <c r="H11" s="154">
        <v>0</v>
      </c>
      <c r="I11" s="154">
        <v>0</v>
      </c>
      <c r="J11" s="151">
        <f t="shared" ref="J11" si="0">SUM(F11:I12)</f>
        <v>161</v>
      </c>
      <c r="K11" s="164">
        <f>D11-J11</f>
        <v>45</v>
      </c>
      <c r="L11" s="166"/>
    </row>
    <row r="12" spans="1:12" ht="16.5" customHeight="1" thickBot="1" x14ac:dyDescent="0.3">
      <c r="A12" s="148"/>
      <c r="B12" s="150"/>
      <c r="C12" s="152"/>
      <c r="D12" s="153"/>
      <c r="E12" s="61"/>
      <c r="F12" s="155"/>
      <c r="G12" s="155"/>
      <c r="H12" s="155"/>
      <c r="I12" s="155"/>
      <c r="J12" s="152"/>
      <c r="K12" s="165"/>
      <c r="L12" s="167"/>
    </row>
    <row r="13" spans="1:12" ht="15.75" customHeight="1" x14ac:dyDescent="0.25">
      <c r="A13" s="147" t="s">
        <v>17</v>
      </c>
      <c r="B13" s="149">
        <v>45</v>
      </c>
      <c r="C13" s="151">
        <v>0</v>
      </c>
      <c r="D13" s="149">
        <f>C13+B13</f>
        <v>45</v>
      </c>
      <c r="E13" s="69"/>
      <c r="F13" s="154">
        <v>19</v>
      </c>
      <c r="G13" s="154">
        <v>18</v>
      </c>
      <c r="H13" s="154">
        <v>1</v>
      </c>
      <c r="I13" s="154">
        <v>1</v>
      </c>
      <c r="J13" s="151">
        <f t="shared" ref="J13" si="1">SUM(F13:I14)</f>
        <v>39</v>
      </c>
      <c r="K13" s="164">
        <f>D13-J13</f>
        <v>6</v>
      </c>
      <c r="L13" s="171" t="s">
        <v>128</v>
      </c>
    </row>
    <row r="14" spans="1:12" ht="16.5" customHeight="1" thickBot="1" x14ac:dyDescent="0.3">
      <c r="A14" s="148"/>
      <c r="B14" s="150"/>
      <c r="C14" s="152"/>
      <c r="D14" s="153"/>
      <c r="E14" s="73"/>
      <c r="F14" s="155"/>
      <c r="G14" s="155"/>
      <c r="H14" s="155"/>
      <c r="I14" s="155"/>
      <c r="J14" s="152"/>
      <c r="K14" s="165"/>
      <c r="L14" s="172"/>
    </row>
    <row r="15" spans="1:12" ht="15.75" customHeight="1" x14ac:dyDescent="0.25">
      <c r="A15" s="156" t="s">
        <v>18</v>
      </c>
      <c r="B15" s="149">
        <v>6</v>
      </c>
      <c r="C15" s="151">
        <v>0</v>
      </c>
      <c r="D15" s="149">
        <f>C15+B15</f>
        <v>6</v>
      </c>
      <c r="E15" s="58"/>
      <c r="F15" s="154">
        <v>1</v>
      </c>
      <c r="G15" s="154">
        <v>1</v>
      </c>
      <c r="H15" s="154">
        <v>0</v>
      </c>
      <c r="I15" s="154">
        <v>0</v>
      </c>
      <c r="J15" s="160">
        <f t="shared" ref="J15" si="2">SUM(F15:I16)</f>
        <v>2</v>
      </c>
      <c r="K15" s="164">
        <f>D15-J15</f>
        <v>4</v>
      </c>
      <c r="L15" s="170"/>
    </row>
    <row r="16" spans="1:12" ht="16.5" customHeight="1" thickBot="1" x14ac:dyDescent="0.3">
      <c r="A16" s="169"/>
      <c r="B16" s="150"/>
      <c r="C16" s="152"/>
      <c r="D16" s="153"/>
      <c r="E16" s="71"/>
      <c r="F16" s="155"/>
      <c r="G16" s="155"/>
      <c r="H16" s="155"/>
      <c r="I16" s="155"/>
      <c r="J16" s="161"/>
      <c r="K16" s="165"/>
      <c r="L16" s="170"/>
    </row>
    <row r="17" spans="1:12" ht="15.75" customHeight="1" x14ac:dyDescent="0.25">
      <c r="A17" s="147" t="s">
        <v>19</v>
      </c>
      <c r="B17" s="149">
        <v>4</v>
      </c>
      <c r="C17" s="151">
        <v>0</v>
      </c>
      <c r="D17" s="149">
        <f>C17+B17</f>
        <v>4</v>
      </c>
      <c r="E17" s="69"/>
      <c r="F17" s="154">
        <v>0</v>
      </c>
      <c r="G17" s="154">
        <v>0</v>
      </c>
      <c r="H17" s="154">
        <v>0</v>
      </c>
      <c r="I17" s="154">
        <v>0</v>
      </c>
      <c r="J17" s="151">
        <f t="shared" ref="J17" si="3">SUM(F17:I18)</f>
        <v>0</v>
      </c>
      <c r="K17" s="164">
        <f>D17-J17</f>
        <v>4</v>
      </c>
      <c r="L17" s="173"/>
    </row>
    <row r="18" spans="1:12" ht="16.5" customHeight="1" thickBot="1" x14ac:dyDescent="0.3">
      <c r="A18" s="148"/>
      <c r="B18" s="150"/>
      <c r="C18" s="152"/>
      <c r="D18" s="153"/>
      <c r="E18" s="73"/>
      <c r="F18" s="155"/>
      <c r="G18" s="155"/>
      <c r="H18" s="155"/>
      <c r="I18" s="155"/>
      <c r="J18" s="152"/>
      <c r="K18" s="165"/>
      <c r="L18" s="174"/>
    </row>
    <row r="19" spans="1:12" ht="15" customHeight="1" x14ac:dyDescent="0.25">
      <c r="A19" s="156" t="s">
        <v>20</v>
      </c>
      <c r="B19" s="149">
        <v>4</v>
      </c>
      <c r="C19" s="151">
        <v>0</v>
      </c>
      <c r="D19" s="162">
        <f>C19+B19</f>
        <v>4</v>
      </c>
      <c r="E19" s="58"/>
      <c r="F19" s="154">
        <v>0</v>
      </c>
      <c r="G19" s="154">
        <v>0</v>
      </c>
      <c r="H19" s="154">
        <v>1</v>
      </c>
      <c r="I19" s="154">
        <v>0</v>
      </c>
      <c r="J19" s="160">
        <f t="shared" ref="J19" si="4">SUM(F19:I20)</f>
        <v>1</v>
      </c>
      <c r="K19" s="164">
        <f>D19-J19</f>
        <v>3</v>
      </c>
      <c r="L19" s="170"/>
    </row>
    <row r="20" spans="1:12" ht="15.75" customHeight="1" thickBot="1" x14ac:dyDescent="0.3">
      <c r="A20" s="169"/>
      <c r="B20" s="150"/>
      <c r="C20" s="152"/>
      <c r="D20" s="163"/>
      <c r="E20" s="71"/>
      <c r="F20" s="155"/>
      <c r="G20" s="155"/>
      <c r="H20" s="155"/>
      <c r="I20" s="155"/>
      <c r="J20" s="161"/>
      <c r="K20" s="165"/>
      <c r="L20" s="170"/>
    </row>
    <row r="21" spans="1:12" ht="18" x14ac:dyDescent="0.25">
      <c r="A21" s="147" t="s">
        <v>21</v>
      </c>
      <c r="B21" s="149">
        <v>3</v>
      </c>
      <c r="C21" s="151">
        <v>50</v>
      </c>
      <c r="D21" s="149">
        <f>C21+B21</f>
        <v>53</v>
      </c>
      <c r="E21" s="60"/>
      <c r="F21" s="154">
        <v>15</v>
      </c>
      <c r="G21" s="154">
        <v>2</v>
      </c>
      <c r="H21" s="154">
        <v>0</v>
      </c>
      <c r="I21" s="154">
        <v>0</v>
      </c>
      <c r="J21" s="151">
        <f t="shared" ref="J21" si="5">SUM(F21:I22)</f>
        <v>17</v>
      </c>
      <c r="K21" s="164">
        <f>D21-J21</f>
        <v>36</v>
      </c>
      <c r="L21" s="54"/>
    </row>
    <row r="22" spans="1:12" ht="18.75" thickBot="1" x14ac:dyDescent="0.3">
      <c r="A22" s="148"/>
      <c r="B22" s="150"/>
      <c r="C22" s="152"/>
      <c r="D22" s="153"/>
      <c r="E22" s="65"/>
      <c r="F22" s="155"/>
      <c r="G22" s="155"/>
      <c r="H22" s="155"/>
      <c r="I22" s="155"/>
      <c r="J22" s="152"/>
      <c r="K22" s="165"/>
      <c r="L22" s="72"/>
    </row>
    <row r="23" spans="1:12" ht="15.75" customHeight="1" x14ac:dyDescent="0.25">
      <c r="A23" s="156" t="s">
        <v>22</v>
      </c>
      <c r="B23" s="149">
        <v>36</v>
      </c>
      <c r="C23" s="151">
        <v>51</v>
      </c>
      <c r="D23" s="162">
        <f>C23+B23</f>
        <v>87</v>
      </c>
      <c r="E23" s="58"/>
      <c r="F23" s="154">
        <v>10</v>
      </c>
      <c r="G23" s="154">
        <v>55</v>
      </c>
      <c r="H23" s="154">
        <v>0</v>
      </c>
      <c r="I23" s="154">
        <v>0</v>
      </c>
      <c r="J23" s="160">
        <f t="shared" ref="J23:J29" si="6">SUM(F23:I24)</f>
        <v>65</v>
      </c>
      <c r="K23" s="164">
        <f>D23-J23</f>
        <v>22</v>
      </c>
      <c r="L23" s="170"/>
    </row>
    <row r="24" spans="1:12" ht="16.5" customHeight="1" thickBot="1" x14ac:dyDescent="0.3">
      <c r="A24" s="169"/>
      <c r="B24" s="150"/>
      <c r="C24" s="152"/>
      <c r="D24" s="163"/>
      <c r="E24" s="59"/>
      <c r="F24" s="155"/>
      <c r="G24" s="155"/>
      <c r="H24" s="155"/>
      <c r="I24" s="155"/>
      <c r="J24" s="161"/>
      <c r="K24" s="165"/>
      <c r="L24" s="170"/>
    </row>
    <row r="25" spans="1:12" ht="15" customHeight="1" thickBot="1" x14ac:dyDescent="0.3">
      <c r="A25" s="147" t="s">
        <v>23</v>
      </c>
      <c r="B25" s="149">
        <v>22</v>
      </c>
      <c r="C25" s="151">
        <v>1</v>
      </c>
      <c r="D25" s="149">
        <f>C25+B25</f>
        <v>23</v>
      </c>
      <c r="E25" s="69"/>
      <c r="F25" s="154">
        <v>2</v>
      </c>
      <c r="G25" s="154">
        <v>11</v>
      </c>
      <c r="H25" s="154">
        <v>0</v>
      </c>
      <c r="I25" s="154">
        <v>2</v>
      </c>
      <c r="J25" s="151">
        <f t="shared" si="6"/>
        <v>15</v>
      </c>
      <c r="K25" s="164">
        <f>D25-J25</f>
        <v>8</v>
      </c>
      <c r="L25" s="130" t="s">
        <v>128</v>
      </c>
    </row>
    <row r="26" spans="1:12" ht="16.5" customHeight="1" thickBot="1" x14ac:dyDescent="0.3">
      <c r="A26" s="175"/>
      <c r="B26" s="150"/>
      <c r="C26" s="152"/>
      <c r="D26" s="153"/>
      <c r="E26" s="70"/>
      <c r="F26" s="155"/>
      <c r="G26" s="155"/>
      <c r="H26" s="155"/>
      <c r="I26" s="155"/>
      <c r="J26" s="152"/>
      <c r="K26" s="165"/>
      <c r="L26" s="130" t="s">
        <v>132</v>
      </c>
    </row>
    <row r="27" spans="1:12" ht="15" customHeight="1" x14ac:dyDescent="0.25">
      <c r="A27" s="156" t="s">
        <v>24</v>
      </c>
      <c r="B27" s="149">
        <v>8</v>
      </c>
      <c r="C27" s="151">
        <v>6</v>
      </c>
      <c r="D27" s="162">
        <f>C27+B27</f>
        <v>14</v>
      </c>
      <c r="E27" s="68"/>
      <c r="F27" s="154">
        <v>1</v>
      </c>
      <c r="G27" s="154">
        <v>5</v>
      </c>
      <c r="H27" s="154">
        <v>1</v>
      </c>
      <c r="I27" s="154">
        <v>0</v>
      </c>
      <c r="J27" s="160">
        <f t="shared" si="6"/>
        <v>7</v>
      </c>
      <c r="K27" s="164">
        <f>D27-J27</f>
        <v>7</v>
      </c>
      <c r="L27" s="170"/>
    </row>
    <row r="28" spans="1:12" ht="16.5" customHeight="1" thickBot="1" x14ac:dyDescent="0.3">
      <c r="A28" s="169"/>
      <c r="B28" s="150"/>
      <c r="C28" s="152"/>
      <c r="D28" s="163"/>
      <c r="E28" s="62"/>
      <c r="F28" s="155"/>
      <c r="G28" s="155"/>
      <c r="H28" s="155"/>
      <c r="I28" s="155"/>
      <c r="J28" s="161"/>
      <c r="K28" s="165"/>
      <c r="L28" s="170"/>
    </row>
    <row r="29" spans="1:12" ht="15" customHeight="1" x14ac:dyDescent="0.25">
      <c r="A29" s="147" t="s">
        <v>25</v>
      </c>
      <c r="B29" s="149">
        <v>7</v>
      </c>
      <c r="C29" s="151">
        <v>102</v>
      </c>
      <c r="D29" s="149">
        <f>C29+B29</f>
        <v>109</v>
      </c>
      <c r="E29" s="66"/>
      <c r="F29" s="154">
        <v>1</v>
      </c>
      <c r="G29" s="154">
        <v>39</v>
      </c>
      <c r="H29" s="154">
        <v>0</v>
      </c>
      <c r="I29" s="154">
        <v>1</v>
      </c>
      <c r="J29" s="151">
        <f t="shared" si="6"/>
        <v>41</v>
      </c>
      <c r="K29" s="164">
        <f>D29-J29</f>
        <v>68</v>
      </c>
      <c r="L29" s="171" t="s">
        <v>128</v>
      </c>
    </row>
    <row r="30" spans="1:12" ht="15.75" customHeight="1" thickBot="1" x14ac:dyDescent="0.3">
      <c r="A30" s="148"/>
      <c r="B30" s="155"/>
      <c r="C30" s="161"/>
      <c r="D30" s="163"/>
      <c r="E30" s="62"/>
      <c r="F30" s="155"/>
      <c r="G30" s="155"/>
      <c r="H30" s="155"/>
      <c r="I30" s="155"/>
      <c r="J30" s="161"/>
      <c r="K30" s="168"/>
      <c r="L30" s="172"/>
    </row>
    <row r="31" spans="1:12" ht="15.75" customHeight="1" x14ac:dyDescent="0.25">
      <c r="A31" s="188" t="s">
        <v>26</v>
      </c>
      <c r="B31" s="182">
        <v>68</v>
      </c>
      <c r="C31" s="190">
        <v>0</v>
      </c>
      <c r="D31" s="192">
        <f>C31+B31</f>
        <v>68</v>
      </c>
      <c r="E31" s="122"/>
      <c r="F31" s="194">
        <v>2</v>
      </c>
      <c r="G31" s="182">
        <v>48</v>
      </c>
      <c r="H31" s="182">
        <v>10</v>
      </c>
      <c r="I31" s="182">
        <v>0</v>
      </c>
      <c r="J31" s="182">
        <f>SUM(F31:I32)</f>
        <v>60</v>
      </c>
      <c r="K31" s="184">
        <f>D31-J31</f>
        <v>8</v>
      </c>
      <c r="L31" s="171"/>
    </row>
    <row r="32" spans="1:12" ht="18" customHeight="1" thickBot="1" x14ac:dyDescent="0.3">
      <c r="A32" s="189"/>
      <c r="B32" s="183"/>
      <c r="C32" s="191"/>
      <c r="D32" s="193"/>
      <c r="E32" s="125"/>
      <c r="F32" s="195"/>
      <c r="G32" s="183"/>
      <c r="H32" s="183"/>
      <c r="I32" s="183"/>
      <c r="J32" s="183"/>
      <c r="K32" s="185"/>
      <c r="L32" s="172"/>
    </row>
    <row r="33" spans="1:12" ht="18.75" thickBot="1" x14ac:dyDescent="0.3">
      <c r="A33" s="186" t="s">
        <v>27</v>
      </c>
      <c r="B33" s="187"/>
      <c r="C33" s="126">
        <f>SUM(C9:C32)</f>
        <v>411</v>
      </c>
      <c r="D33" s="127"/>
      <c r="E33" s="126"/>
      <c r="F33" s="128">
        <f>SUM(F9:F32)</f>
        <v>73</v>
      </c>
      <c r="G33" s="128">
        <f>SUM(G9:G32)</f>
        <v>320</v>
      </c>
      <c r="H33" s="126">
        <f>SUM(H9:H32)</f>
        <v>13</v>
      </c>
      <c r="I33" s="128">
        <f>SUM(I9:I32)</f>
        <v>4</v>
      </c>
      <c r="J33" s="126">
        <f>SUM(J9:J32)</f>
        <v>410</v>
      </c>
      <c r="K33" s="127">
        <f>SUM(F33:I33)-J33</f>
        <v>0</v>
      </c>
      <c r="L33" s="7"/>
    </row>
    <row r="35" spans="1:12" x14ac:dyDescent="0.25">
      <c r="A35" s="180" t="s">
        <v>28</v>
      </c>
      <c r="B35" s="180"/>
      <c r="C35" s="180"/>
      <c r="D35" s="8"/>
      <c r="E35" s="9"/>
      <c r="F35" s="9" t="s">
        <v>29</v>
      </c>
      <c r="G35" s="9"/>
      <c r="H35" s="9"/>
      <c r="I35" s="9"/>
      <c r="J35" s="9"/>
      <c r="K35" s="181" t="s">
        <v>30</v>
      </c>
      <c r="L35" s="181"/>
    </row>
  </sheetData>
  <mergeCells count="147">
    <mergeCell ref="L29:L30"/>
    <mergeCell ref="H27:H28"/>
    <mergeCell ref="I27:I28"/>
    <mergeCell ref="J27:J28"/>
    <mergeCell ref="K27:K28"/>
    <mergeCell ref="L27:L28"/>
    <mergeCell ref="G27:G28"/>
    <mergeCell ref="A35:C35"/>
    <mergeCell ref="K35:L35"/>
    <mergeCell ref="H31:H32"/>
    <mergeCell ref="I31:I32"/>
    <mergeCell ref="J31:J32"/>
    <mergeCell ref="K31:K32"/>
    <mergeCell ref="L31:L32"/>
    <mergeCell ref="A33:B33"/>
    <mergeCell ref="A31:A32"/>
    <mergeCell ref="B31:B32"/>
    <mergeCell ref="C31:C32"/>
    <mergeCell ref="D31:D32"/>
    <mergeCell ref="F31:F32"/>
    <mergeCell ref="G31:G32"/>
    <mergeCell ref="I25:I26"/>
    <mergeCell ref="J25:J26"/>
    <mergeCell ref="K25:K26"/>
    <mergeCell ref="H23:H24"/>
    <mergeCell ref="I23:I24"/>
    <mergeCell ref="J23:J24"/>
    <mergeCell ref="K23:K24"/>
    <mergeCell ref="A29:A30"/>
    <mergeCell ref="B29:B30"/>
    <mergeCell ref="C29:C30"/>
    <mergeCell ref="D29:D30"/>
    <mergeCell ref="F29:F30"/>
    <mergeCell ref="A27:A28"/>
    <mergeCell ref="B27:B28"/>
    <mergeCell ref="C27:C28"/>
    <mergeCell ref="D27:D28"/>
    <mergeCell ref="F27:F28"/>
    <mergeCell ref="G29:G30"/>
    <mergeCell ref="H29:H30"/>
    <mergeCell ref="I29:I30"/>
    <mergeCell ref="J29:J30"/>
    <mergeCell ref="K29:K30"/>
    <mergeCell ref="L23:L24"/>
    <mergeCell ref="A25:A26"/>
    <mergeCell ref="B25:B26"/>
    <mergeCell ref="C25:C26"/>
    <mergeCell ref="D25:D26"/>
    <mergeCell ref="F25:F26"/>
    <mergeCell ref="H21:H22"/>
    <mergeCell ref="I21:I22"/>
    <mergeCell ref="J21:J22"/>
    <mergeCell ref="K21:K22"/>
    <mergeCell ref="A23:A24"/>
    <mergeCell ref="B23:B24"/>
    <mergeCell ref="C23:C24"/>
    <mergeCell ref="D23:D24"/>
    <mergeCell ref="F23:F24"/>
    <mergeCell ref="G23:G24"/>
    <mergeCell ref="A21:A22"/>
    <mergeCell ref="B21:B22"/>
    <mergeCell ref="C21:C22"/>
    <mergeCell ref="D21:D22"/>
    <mergeCell ref="F21:F22"/>
    <mergeCell ref="G21:G22"/>
    <mergeCell ref="G25:G26"/>
    <mergeCell ref="H25:H26"/>
    <mergeCell ref="G19:G20"/>
    <mergeCell ref="H19:H20"/>
    <mergeCell ref="I19:I20"/>
    <mergeCell ref="J19:J20"/>
    <mergeCell ref="K19:K20"/>
    <mergeCell ref="L19:L20"/>
    <mergeCell ref="H17:H18"/>
    <mergeCell ref="I17:I18"/>
    <mergeCell ref="J17:J18"/>
    <mergeCell ref="K17:K18"/>
    <mergeCell ref="L17:L18"/>
    <mergeCell ref="G17:G18"/>
    <mergeCell ref="A19:A20"/>
    <mergeCell ref="B19:B20"/>
    <mergeCell ref="C19:C20"/>
    <mergeCell ref="D19:D20"/>
    <mergeCell ref="F19:F20"/>
    <mergeCell ref="A17:A18"/>
    <mergeCell ref="B17:B18"/>
    <mergeCell ref="C17:C18"/>
    <mergeCell ref="D17:D18"/>
    <mergeCell ref="F17:F18"/>
    <mergeCell ref="G15:G16"/>
    <mergeCell ref="H15:H16"/>
    <mergeCell ref="I15:I16"/>
    <mergeCell ref="J15:J16"/>
    <mergeCell ref="K15:K16"/>
    <mergeCell ref="L15:L16"/>
    <mergeCell ref="H13:H14"/>
    <mergeCell ref="I13:I14"/>
    <mergeCell ref="J13:J14"/>
    <mergeCell ref="K13:K14"/>
    <mergeCell ref="L13:L14"/>
    <mergeCell ref="G13:G14"/>
    <mergeCell ref="A15:A16"/>
    <mergeCell ref="B15:B16"/>
    <mergeCell ref="C15:C16"/>
    <mergeCell ref="D15:D16"/>
    <mergeCell ref="F15:F16"/>
    <mergeCell ref="A13:A14"/>
    <mergeCell ref="B13:B14"/>
    <mergeCell ref="C13:C14"/>
    <mergeCell ref="D13:D14"/>
    <mergeCell ref="F13:F14"/>
    <mergeCell ref="G11:G12"/>
    <mergeCell ref="H11:H12"/>
    <mergeCell ref="I11:I12"/>
    <mergeCell ref="J11:J12"/>
    <mergeCell ref="K11:K12"/>
    <mergeCell ref="L11:L12"/>
    <mergeCell ref="H9:H10"/>
    <mergeCell ref="I9:I10"/>
    <mergeCell ref="J9:J10"/>
    <mergeCell ref="K9:K10"/>
    <mergeCell ref="L9:L10"/>
    <mergeCell ref="G9:G10"/>
    <mergeCell ref="A11:A12"/>
    <mergeCell ref="B11:B12"/>
    <mergeCell ref="C11:C12"/>
    <mergeCell ref="D11:D12"/>
    <mergeCell ref="F11:F12"/>
    <mergeCell ref="A9:A10"/>
    <mergeCell ref="B9:B10"/>
    <mergeCell ref="C9:C10"/>
    <mergeCell ref="D9:D10"/>
    <mergeCell ref="F9:F10"/>
    <mergeCell ref="D4:L4"/>
    <mergeCell ref="C5:J5"/>
    <mergeCell ref="A7:A8"/>
    <mergeCell ref="B7:B8"/>
    <mergeCell ref="C7:C8"/>
    <mergeCell ref="D7:D8"/>
    <mergeCell ref="F7:K7"/>
    <mergeCell ref="L7:L8"/>
    <mergeCell ref="A1:C1"/>
    <mergeCell ref="J1:L1"/>
    <mergeCell ref="A2:C2"/>
    <mergeCell ref="J2:L2"/>
    <mergeCell ref="A3:C3"/>
    <mergeCell ref="J3:L3"/>
  </mergeCells>
  <pageMargins left="0.19685039370078741" right="0.19685039370078741" top="0.31496062992125984" bottom="0.47244094488188981" header="0.19685039370078741" footer="0.31496062992125984"/>
  <pageSetup scale="85" orientation="landscape" horizontalDpi="36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5"/>
  <sheetViews>
    <sheetView topLeftCell="A11" zoomScale="85" zoomScaleNormal="85" workbookViewId="0">
      <selection activeCell="L27" sqref="L27:L28"/>
    </sheetView>
  </sheetViews>
  <sheetFormatPr baseColWidth="10" defaultColWidth="11.42578125" defaultRowHeight="15" x14ac:dyDescent="0.25"/>
  <cols>
    <col min="1" max="1" width="12.5703125" customWidth="1"/>
    <col min="2" max="2" width="13.28515625" customWidth="1"/>
    <col min="3" max="3" width="8.140625" customWidth="1"/>
    <col min="4" max="4" width="8.42578125" customWidth="1"/>
    <col min="5" max="5" width="24.42578125" customWidth="1"/>
    <col min="6" max="6" width="13.140625" customWidth="1"/>
    <col min="7" max="7" width="11.5703125" customWidth="1"/>
    <col min="8" max="8" width="7.5703125" customWidth="1"/>
    <col min="9" max="9" width="10.42578125" customWidth="1"/>
    <col min="10" max="10" width="8.28515625" customWidth="1"/>
    <col min="11" max="11" width="7.5703125" customWidth="1"/>
    <col min="12" max="12" width="34.140625" customWidth="1"/>
  </cols>
  <sheetData>
    <row r="1" spans="1:12" ht="18" x14ac:dyDescent="0.25">
      <c r="A1" s="132" t="s">
        <v>0</v>
      </c>
      <c r="B1" s="132"/>
      <c r="C1" s="132"/>
      <c r="D1" s="1"/>
      <c r="E1" s="1"/>
      <c r="F1" s="2"/>
      <c r="G1" s="2"/>
      <c r="H1" s="2"/>
      <c r="I1" s="2"/>
      <c r="J1" s="133" t="s">
        <v>134</v>
      </c>
      <c r="K1" s="133"/>
      <c r="L1" s="133"/>
    </row>
    <row r="2" spans="1:12" ht="15.75" x14ac:dyDescent="0.25">
      <c r="A2" s="134" t="s">
        <v>1</v>
      </c>
      <c r="B2" s="134"/>
      <c r="C2" s="134"/>
      <c r="D2" s="3"/>
      <c r="E2" s="3"/>
      <c r="F2" s="2"/>
      <c r="G2" s="2"/>
      <c r="H2" s="2"/>
      <c r="I2" s="2"/>
      <c r="J2" s="134" t="s">
        <v>6</v>
      </c>
      <c r="K2" s="134"/>
      <c r="L2" s="134"/>
    </row>
    <row r="3" spans="1:12" x14ac:dyDescent="0.25">
      <c r="A3" s="133" t="s">
        <v>7</v>
      </c>
      <c r="B3" s="133"/>
      <c r="C3" s="133"/>
      <c r="D3" s="4"/>
      <c r="E3" s="4"/>
      <c r="F3" s="2"/>
      <c r="G3" s="2"/>
      <c r="H3" s="2"/>
      <c r="I3" s="2"/>
      <c r="J3" s="133" t="s">
        <v>8</v>
      </c>
      <c r="K3" s="133"/>
      <c r="L3" s="133"/>
    </row>
    <row r="4" spans="1:12" ht="18" x14ac:dyDescent="0.25">
      <c r="A4" s="1"/>
      <c r="B4" s="1"/>
      <c r="C4" s="1"/>
      <c r="D4" s="132" t="s">
        <v>9</v>
      </c>
      <c r="E4" s="132"/>
      <c r="F4" s="132"/>
      <c r="G4" s="132"/>
      <c r="H4" s="132"/>
      <c r="I4" s="132"/>
      <c r="J4" s="132"/>
      <c r="K4" s="132"/>
      <c r="L4" s="132"/>
    </row>
    <row r="5" spans="1:12" ht="18" x14ac:dyDescent="0.25">
      <c r="A5" s="1"/>
      <c r="B5" s="1"/>
      <c r="C5" s="132" t="s">
        <v>133</v>
      </c>
      <c r="D5" s="132"/>
      <c r="E5" s="132"/>
      <c r="F5" s="132"/>
      <c r="G5" s="132"/>
      <c r="H5" s="132"/>
      <c r="I5" s="132"/>
      <c r="J5" s="132"/>
      <c r="K5" s="1"/>
      <c r="L5" s="1"/>
    </row>
    <row r="6" spans="1:12" ht="15.75" thickBot="1" x14ac:dyDescent="0.3"/>
    <row r="7" spans="1:12" ht="15.75" thickBot="1" x14ac:dyDescent="0.3">
      <c r="A7" s="135" t="s">
        <v>2</v>
      </c>
      <c r="B7" s="137" t="s">
        <v>33</v>
      </c>
      <c r="C7" s="139" t="s">
        <v>10</v>
      </c>
      <c r="D7" s="141" t="s">
        <v>11</v>
      </c>
      <c r="E7" s="51" t="s">
        <v>12</v>
      </c>
      <c r="F7" s="143" t="s">
        <v>38</v>
      </c>
      <c r="G7" s="144"/>
      <c r="H7" s="144"/>
      <c r="I7" s="144"/>
      <c r="J7" s="144"/>
      <c r="K7" s="268"/>
      <c r="L7" s="141" t="s">
        <v>13</v>
      </c>
    </row>
    <row r="8" spans="1:12" ht="39.75" thickBot="1" x14ac:dyDescent="0.3">
      <c r="A8" s="136"/>
      <c r="B8" s="138"/>
      <c r="C8" s="140"/>
      <c r="D8" s="142"/>
      <c r="E8" s="74" t="s">
        <v>14</v>
      </c>
      <c r="F8" s="10" t="s">
        <v>3</v>
      </c>
      <c r="G8" s="10" t="s">
        <v>34</v>
      </c>
      <c r="H8" s="28" t="s">
        <v>4</v>
      </c>
      <c r="I8" s="10" t="s">
        <v>35</v>
      </c>
      <c r="J8" s="10" t="s">
        <v>36</v>
      </c>
      <c r="K8" s="29" t="s">
        <v>37</v>
      </c>
      <c r="L8" s="142"/>
    </row>
    <row r="9" spans="1:12" ht="15.75" x14ac:dyDescent="0.25">
      <c r="A9" s="156" t="s">
        <v>15</v>
      </c>
      <c r="B9" s="336" t="s">
        <v>135</v>
      </c>
      <c r="C9" s="160">
        <v>30</v>
      </c>
      <c r="D9" s="162">
        <f>C9+B9</f>
        <v>38</v>
      </c>
      <c r="E9" s="58"/>
      <c r="F9" s="154">
        <v>5</v>
      </c>
      <c r="G9" s="154">
        <v>11</v>
      </c>
      <c r="H9" s="160">
        <v>0</v>
      </c>
      <c r="I9" s="154">
        <v>0</v>
      </c>
      <c r="J9" s="160">
        <f>SUM(F9:I10)</f>
        <v>16</v>
      </c>
      <c r="K9" s="164">
        <f>D9-J9</f>
        <v>22</v>
      </c>
      <c r="L9" s="166"/>
    </row>
    <row r="10" spans="1:12" ht="16.5" thickBot="1" x14ac:dyDescent="0.3">
      <c r="A10" s="157"/>
      <c r="B10" s="159"/>
      <c r="C10" s="161"/>
      <c r="D10" s="163"/>
      <c r="E10" s="59"/>
      <c r="F10" s="155"/>
      <c r="G10" s="155"/>
      <c r="H10" s="161"/>
      <c r="I10" s="155"/>
      <c r="J10" s="161"/>
      <c r="K10" s="168"/>
      <c r="L10" s="167"/>
    </row>
    <row r="11" spans="1:12" ht="16.5" customHeight="1" x14ac:dyDescent="0.25">
      <c r="A11" s="147" t="s">
        <v>16</v>
      </c>
      <c r="B11" s="149">
        <v>22</v>
      </c>
      <c r="C11" s="151">
        <v>30</v>
      </c>
      <c r="D11" s="149">
        <f>C11+B11</f>
        <v>52</v>
      </c>
      <c r="E11" s="60"/>
      <c r="F11" s="154">
        <v>8</v>
      </c>
      <c r="G11" s="154">
        <v>12</v>
      </c>
      <c r="H11" s="154">
        <v>11</v>
      </c>
      <c r="I11" s="154">
        <v>0</v>
      </c>
      <c r="J11" s="151">
        <f t="shared" ref="J11" si="0">SUM(F11:I12)</f>
        <v>31</v>
      </c>
      <c r="K11" s="164">
        <f>D11-J11</f>
        <v>21</v>
      </c>
      <c r="L11" s="166"/>
    </row>
    <row r="12" spans="1:12" ht="16.5" customHeight="1" thickBot="1" x14ac:dyDescent="0.3">
      <c r="A12" s="148"/>
      <c r="B12" s="150"/>
      <c r="C12" s="152"/>
      <c r="D12" s="153"/>
      <c r="E12" s="61"/>
      <c r="F12" s="155"/>
      <c r="G12" s="155"/>
      <c r="H12" s="155"/>
      <c r="I12" s="155"/>
      <c r="J12" s="152"/>
      <c r="K12" s="165"/>
      <c r="L12" s="167"/>
    </row>
    <row r="13" spans="1:12" ht="15.75" customHeight="1" x14ac:dyDescent="0.25">
      <c r="A13" s="147" t="s">
        <v>17</v>
      </c>
      <c r="B13" s="149">
        <v>21</v>
      </c>
      <c r="C13" s="151">
        <v>0</v>
      </c>
      <c r="D13" s="149">
        <f>C13+B13</f>
        <v>21</v>
      </c>
      <c r="E13" s="69"/>
      <c r="F13" s="154">
        <v>9</v>
      </c>
      <c r="G13" s="154">
        <v>1</v>
      </c>
      <c r="H13" s="154">
        <v>0</v>
      </c>
      <c r="I13" s="154">
        <v>0</v>
      </c>
      <c r="J13" s="151">
        <f t="shared" ref="J13" si="1">SUM(F13:I14)</f>
        <v>10</v>
      </c>
      <c r="K13" s="164">
        <f>D13-J13</f>
        <v>11</v>
      </c>
      <c r="L13" s="171"/>
    </row>
    <row r="14" spans="1:12" ht="16.5" customHeight="1" thickBot="1" x14ac:dyDescent="0.3">
      <c r="A14" s="148"/>
      <c r="B14" s="150"/>
      <c r="C14" s="152"/>
      <c r="D14" s="153"/>
      <c r="E14" s="73"/>
      <c r="F14" s="155"/>
      <c r="G14" s="155"/>
      <c r="H14" s="155"/>
      <c r="I14" s="155"/>
      <c r="J14" s="152"/>
      <c r="K14" s="165"/>
      <c r="L14" s="172"/>
    </row>
    <row r="15" spans="1:12" ht="15.75" customHeight="1" x14ac:dyDescent="0.25">
      <c r="A15" s="156" t="s">
        <v>18</v>
      </c>
      <c r="B15" s="149">
        <v>11</v>
      </c>
      <c r="C15" s="151">
        <v>112</v>
      </c>
      <c r="D15" s="149">
        <f>C15+B15</f>
        <v>123</v>
      </c>
      <c r="E15" s="58"/>
      <c r="F15" s="154">
        <v>24</v>
      </c>
      <c r="G15" s="154">
        <v>19</v>
      </c>
      <c r="H15" s="154">
        <v>0</v>
      </c>
      <c r="I15" s="154">
        <v>0</v>
      </c>
      <c r="J15" s="160">
        <f t="shared" ref="J15" si="2">SUM(F15:I16)</f>
        <v>43</v>
      </c>
      <c r="K15" s="164">
        <f>D15-J15</f>
        <v>80</v>
      </c>
      <c r="L15" s="170"/>
    </row>
    <row r="16" spans="1:12" ht="16.5" customHeight="1" thickBot="1" x14ac:dyDescent="0.3">
      <c r="A16" s="169"/>
      <c r="B16" s="150"/>
      <c r="C16" s="152"/>
      <c r="D16" s="153"/>
      <c r="E16" s="71"/>
      <c r="F16" s="155"/>
      <c r="G16" s="155"/>
      <c r="H16" s="155"/>
      <c r="I16" s="155"/>
      <c r="J16" s="161"/>
      <c r="K16" s="165"/>
      <c r="L16" s="170"/>
    </row>
    <row r="17" spans="1:12" ht="15.75" customHeight="1" x14ac:dyDescent="0.25">
      <c r="A17" s="147" t="s">
        <v>19</v>
      </c>
      <c r="B17" s="149">
        <v>80</v>
      </c>
      <c r="C17" s="151">
        <v>0</v>
      </c>
      <c r="D17" s="149">
        <f>C17+B17</f>
        <v>80</v>
      </c>
      <c r="E17" s="69"/>
      <c r="F17" s="154">
        <v>16</v>
      </c>
      <c r="G17" s="154">
        <v>9</v>
      </c>
      <c r="H17" s="154">
        <v>0</v>
      </c>
      <c r="I17" s="154">
        <v>0</v>
      </c>
      <c r="J17" s="151">
        <f t="shared" ref="J17" si="3">SUM(F17:I18)</f>
        <v>25</v>
      </c>
      <c r="K17" s="164">
        <f>D17-J17</f>
        <v>55</v>
      </c>
      <c r="L17" s="173"/>
    </row>
    <row r="18" spans="1:12" ht="16.5" customHeight="1" thickBot="1" x14ac:dyDescent="0.3">
      <c r="A18" s="148"/>
      <c r="B18" s="150"/>
      <c r="C18" s="152"/>
      <c r="D18" s="153"/>
      <c r="E18" s="73"/>
      <c r="F18" s="155"/>
      <c r="G18" s="155"/>
      <c r="H18" s="155"/>
      <c r="I18" s="155"/>
      <c r="J18" s="152"/>
      <c r="K18" s="165"/>
      <c r="L18" s="174"/>
    </row>
    <row r="19" spans="1:12" ht="15" customHeight="1" x14ac:dyDescent="0.25">
      <c r="A19" s="156" t="s">
        <v>20</v>
      </c>
      <c r="B19" s="149">
        <v>55</v>
      </c>
      <c r="C19" s="151">
        <v>0</v>
      </c>
      <c r="D19" s="162">
        <f>C19+B19</f>
        <v>55</v>
      </c>
      <c r="E19" s="58"/>
      <c r="F19" s="154">
        <v>9</v>
      </c>
      <c r="G19" s="154">
        <v>43</v>
      </c>
      <c r="H19" s="154">
        <v>0</v>
      </c>
      <c r="I19" s="154">
        <v>0</v>
      </c>
      <c r="J19" s="160">
        <f t="shared" ref="J19" si="4">SUM(F19:I20)</f>
        <v>52</v>
      </c>
      <c r="K19" s="164">
        <f>D19-J19</f>
        <v>3</v>
      </c>
      <c r="L19" s="170"/>
    </row>
    <row r="20" spans="1:12" ht="15.75" customHeight="1" thickBot="1" x14ac:dyDescent="0.3">
      <c r="A20" s="169"/>
      <c r="B20" s="150"/>
      <c r="C20" s="152"/>
      <c r="D20" s="163"/>
      <c r="E20" s="71"/>
      <c r="F20" s="155"/>
      <c r="G20" s="155"/>
      <c r="H20" s="155"/>
      <c r="I20" s="155"/>
      <c r="J20" s="161"/>
      <c r="K20" s="165"/>
      <c r="L20" s="170"/>
    </row>
    <row r="21" spans="1:12" ht="18" x14ac:dyDescent="0.25">
      <c r="A21" s="147" t="s">
        <v>21</v>
      </c>
      <c r="B21" s="149">
        <v>3</v>
      </c>
      <c r="C21" s="151">
        <v>161</v>
      </c>
      <c r="D21" s="149">
        <f>C21+B21</f>
        <v>164</v>
      </c>
      <c r="E21" s="60"/>
      <c r="F21" s="154">
        <v>9</v>
      </c>
      <c r="G21" s="154">
        <v>72</v>
      </c>
      <c r="H21" s="154">
        <v>0</v>
      </c>
      <c r="I21" s="154">
        <v>0</v>
      </c>
      <c r="J21" s="151">
        <f t="shared" ref="J21" si="5">SUM(F21:I22)</f>
        <v>81</v>
      </c>
      <c r="K21" s="164">
        <f>D21-J21</f>
        <v>83</v>
      </c>
      <c r="L21" s="54"/>
    </row>
    <row r="22" spans="1:12" ht="18.75" thickBot="1" x14ac:dyDescent="0.3">
      <c r="A22" s="148"/>
      <c r="B22" s="150"/>
      <c r="C22" s="152"/>
      <c r="D22" s="153"/>
      <c r="E22" s="65"/>
      <c r="F22" s="155"/>
      <c r="G22" s="155"/>
      <c r="H22" s="155"/>
      <c r="I22" s="155"/>
      <c r="J22" s="152"/>
      <c r="K22" s="165"/>
      <c r="L22" s="72"/>
    </row>
    <row r="23" spans="1:12" ht="15.75" customHeight="1" x14ac:dyDescent="0.25">
      <c r="A23" s="156" t="s">
        <v>22</v>
      </c>
      <c r="B23" s="149">
        <v>83</v>
      </c>
      <c r="C23" s="151">
        <v>20</v>
      </c>
      <c r="D23" s="162">
        <f>C23+B23</f>
        <v>103</v>
      </c>
      <c r="E23" s="58"/>
      <c r="F23" s="154">
        <v>29</v>
      </c>
      <c r="G23" s="154">
        <v>41</v>
      </c>
      <c r="H23" s="154">
        <v>0</v>
      </c>
      <c r="I23" s="154">
        <v>0</v>
      </c>
      <c r="J23" s="160">
        <f t="shared" ref="J23:J29" si="6">SUM(F23:I24)</f>
        <v>70</v>
      </c>
      <c r="K23" s="164">
        <f>D23-J23</f>
        <v>33</v>
      </c>
      <c r="L23" s="170"/>
    </row>
    <row r="24" spans="1:12" ht="16.5" customHeight="1" thickBot="1" x14ac:dyDescent="0.3">
      <c r="A24" s="169"/>
      <c r="B24" s="150"/>
      <c r="C24" s="152"/>
      <c r="D24" s="163"/>
      <c r="E24" s="59"/>
      <c r="F24" s="155"/>
      <c r="G24" s="155"/>
      <c r="H24" s="155"/>
      <c r="I24" s="155"/>
      <c r="J24" s="161"/>
      <c r="K24" s="165"/>
      <c r="L24" s="170"/>
    </row>
    <row r="25" spans="1:12" ht="15" customHeight="1" x14ac:dyDescent="0.25">
      <c r="A25" s="147" t="s">
        <v>23</v>
      </c>
      <c r="B25" s="149">
        <v>33</v>
      </c>
      <c r="C25" s="151">
        <v>80</v>
      </c>
      <c r="D25" s="149">
        <f>C25+B25</f>
        <v>113</v>
      </c>
      <c r="E25" s="69"/>
      <c r="F25" s="154">
        <v>25</v>
      </c>
      <c r="G25" s="154">
        <v>3</v>
      </c>
      <c r="H25" s="154">
        <v>0</v>
      </c>
      <c r="I25" s="154">
        <v>0</v>
      </c>
      <c r="J25" s="151">
        <f t="shared" si="6"/>
        <v>28</v>
      </c>
      <c r="K25" s="176">
        <f>D25-J25</f>
        <v>85</v>
      </c>
      <c r="L25" s="178"/>
    </row>
    <row r="26" spans="1:12" ht="16.5" customHeight="1" thickBot="1" x14ac:dyDescent="0.3">
      <c r="A26" s="175"/>
      <c r="B26" s="150"/>
      <c r="C26" s="152"/>
      <c r="D26" s="153"/>
      <c r="E26" s="70"/>
      <c r="F26" s="155"/>
      <c r="G26" s="155"/>
      <c r="H26" s="155"/>
      <c r="I26" s="155"/>
      <c r="J26" s="152"/>
      <c r="K26" s="177"/>
      <c r="L26" s="179"/>
    </row>
    <row r="27" spans="1:12" ht="15" customHeight="1" x14ac:dyDescent="0.25">
      <c r="A27" s="156" t="s">
        <v>24</v>
      </c>
      <c r="B27" s="149">
        <v>85</v>
      </c>
      <c r="C27" s="151">
        <v>0</v>
      </c>
      <c r="D27" s="162">
        <f>C27+B27</f>
        <v>85</v>
      </c>
      <c r="E27" s="68"/>
      <c r="F27" s="154">
        <v>34</v>
      </c>
      <c r="G27" s="154">
        <v>4</v>
      </c>
      <c r="H27" s="154">
        <v>0</v>
      </c>
      <c r="I27" s="154">
        <v>1</v>
      </c>
      <c r="J27" s="160">
        <f t="shared" si="6"/>
        <v>39</v>
      </c>
      <c r="K27" s="164">
        <f>D27-J27</f>
        <v>46</v>
      </c>
      <c r="L27" s="170" t="s">
        <v>136</v>
      </c>
    </row>
    <row r="28" spans="1:12" ht="16.5" customHeight="1" thickBot="1" x14ac:dyDescent="0.3">
      <c r="A28" s="169"/>
      <c r="B28" s="150"/>
      <c r="C28" s="152"/>
      <c r="D28" s="163"/>
      <c r="E28" s="62"/>
      <c r="F28" s="155"/>
      <c r="G28" s="155"/>
      <c r="H28" s="155"/>
      <c r="I28" s="155"/>
      <c r="J28" s="161"/>
      <c r="K28" s="165"/>
      <c r="L28" s="170"/>
    </row>
    <row r="29" spans="1:12" ht="15" customHeight="1" x14ac:dyDescent="0.25">
      <c r="A29" s="147" t="s">
        <v>25</v>
      </c>
      <c r="B29" s="149">
        <v>46</v>
      </c>
      <c r="C29" s="151">
        <v>0</v>
      </c>
      <c r="D29" s="149">
        <f>C29+B29</f>
        <v>46</v>
      </c>
      <c r="E29" s="66"/>
      <c r="F29" s="154">
        <v>34</v>
      </c>
      <c r="G29" s="154">
        <v>0</v>
      </c>
      <c r="H29" s="154">
        <v>2</v>
      </c>
      <c r="I29" s="154">
        <v>0</v>
      </c>
      <c r="J29" s="151">
        <f t="shared" si="6"/>
        <v>36</v>
      </c>
      <c r="K29" s="164">
        <f>D29-J29</f>
        <v>10</v>
      </c>
      <c r="L29" s="171"/>
    </row>
    <row r="30" spans="1:12" ht="15.75" customHeight="1" thickBot="1" x14ac:dyDescent="0.3">
      <c r="A30" s="148"/>
      <c r="B30" s="155"/>
      <c r="C30" s="161"/>
      <c r="D30" s="163"/>
      <c r="E30" s="62"/>
      <c r="F30" s="155"/>
      <c r="G30" s="155"/>
      <c r="H30" s="155"/>
      <c r="I30" s="155"/>
      <c r="J30" s="161"/>
      <c r="K30" s="168"/>
      <c r="L30" s="172"/>
    </row>
    <row r="31" spans="1:12" ht="15.75" customHeight="1" x14ac:dyDescent="0.25">
      <c r="A31" s="188" t="s">
        <v>26</v>
      </c>
      <c r="B31" s="182">
        <v>10</v>
      </c>
      <c r="C31" s="190">
        <v>20</v>
      </c>
      <c r="D31" s="192">
        <f>C31+B31</f>
        <v>30</v>
      </c>
      <c r="E31" s="122"/>
      <c r="F31" s="194">
        <v>21</v>
      </c>
      <c r="G31" s="182">
        <v>9</v>
      </c>
      <c r="H31" s="182">
        <v>0</v>
      </c>
      <c r="I31" s="182">
        <v>0</v>
      </c>
      <c r="J31" s="182">
        <f>SUM(F31:I32)</f>
        <v>30</v>
      </c>
      <c r="K31" s="184">
        <f>D31-J31</f>
        <v>0</v>
      </c>
      <c r="L31" s="171"/>
    </row>
    <row r="32" spans="1:12" ht="18" customHeight="1" thickBot="1" x14ac:dyDescent="0.3">
      <c r="A32" s="189"/>
      <c r="B32" s="183"/>
      <c r="C32" s="191"/>
      <c r="D32" s="193"/>
      <c r="E32" s="125"/>
      <c r="F32" s="195"/>
      <c r="G32" s="183"/>
      <c r="H32" s="183"/>
      <c r="I32" s="183"/>
      <c r="J32" s="183"/>
      <c r="K32" s="185"/>
      <c r="L32" s="172"/>
    </row>
    <row r="33" spans="1:12" ht="18.75" thickBot="1" x14ac:dyDescent="0.3">
      <c r="A33" s="186" t="s">
        <v>27</v>
      </c>
      <c r="B33" s="187"/>
      <c r="C33" s="126">
        <f>SUM(C9:C32)</f>
        <v>453</v>
      </c>
      <c r="D33" s="127"/>
      <c r="E33" s="126"/>
      <c r="F33" s="128">
        <f>SUM(F9:F32)</f>
        <v>223</v>
      </c>
      <c r="G33" s="128">
        <f>SUM(G9:G32)</f>
        <v>224</v>
      </c>
      <c r="H33" s="126">
        <f>SUM(H9:H32)</f>
        <v>13</v>
      </c>
      <c r="I33" s="128">
        <f>SUM(I9:I32)</f>
        <v>1</v>
      </c>
      <c r="J33" s="126">
        <f>SUM(J9:J32)</f>
        <v>461</v>
      </c>
      <c r="K33" s="127">
        <f>SUM(F33:I33)-J33</f>
        <v>0</v>
      </c>
      <c r="L33" s="7"/>
    </row>
    <row r="35" spans="1:12" x14ac:dyDescent="0.25">
      <c r="A35" s="180" t="s">
        <v>28</v>
      </c>
      <c r="B35" s="180"/>
      <c r="C35" s="180"/>
      <c r="D35" s="8"/>
      <c r="E35" s="9"/>
      <c r="F35" s="9" t="s">
        <v>29</v>
      </c>
      <c r="G35" s="9"/>
      <c r="H35" s="9"/>
      <c r="I35" s="9"/>
      <c r="J35" s="9"/>
      <c r="K35" s="181" t="s">
        <v>30</v>
      </c>
      <c r="L35" s="181"/>
    </row>
  </sheetData>
  <mergeCells count="148">
    <mergeCell ref="A33:B33"/>
    <mergeCell ref="A35:C35"/>
    <mergeCell ref="K35:L35"/>
    <mergeCell ref="L25:L26"/>
    <mergeCell ref="G31:G32"/>
    <mergeCell ref="H31:H32"/>
    <mergeCell ref="I31:I32"/>
    <mergeCell ref="J31:J32"/>
    <mergeCell ref="K31:K32"/>
    <mergeCell ref="L31:L32"/>
    <mergeCell ref="H29:H30"/>
    <mergeCell ref="I29:I30"/>
    <mergeCell ref="J29:J30"/>
    <mergeCell ref="K29:K30"/>
    <mergeCell ref="L29:L30"/>
    <mergeCell ref="A31:A32"/>
    <mergeCell ref="B31:B32"/>
    <mergeCell ref="C31:C32"/>
    <mergeCell ref="D31:D32"/>
    <mergeCell ref="F31:F32"/>
    <mergeCell ref="A29:A30"/>
    <mergeCell ref="B29:B30"/>
    <mergeCell ref="C29:C30"/>
    <mergeCell ref="D29:D30"/>
    <mergeCell ref="F29:F30"/>
    <mergeCell ref="G29:G30"/>
    <mergeCell ref="G27:G28"/>
    <mergeCell ref="H27:H28"/>
    <mergeCell ref="I27:I28"/>
    <mergeCell ref="J27:J28"/>
    <mergeCell ref="K27:K28"/>
    <mergeCell ref="L27:L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F27:F28"/>
    <mergeCell ref="H23:H24"/>
    <mergeCell ref="I23:I24"/>
    <mergeCell ref="J23:J24"/>
    <mergeCell ref="K23:K24"/>
    <mergeCell ref="L23:L24"/>
    <mergeCell ref="A25:A26"/>
    <mergeCell ref="B25:B26"/>
    <mergeCell ref="C25:C26"/>
    <mergeCell ref="D25:D26"/>
    <mergeCell ref="F25:F26"/>
    <mergeCell ref="H21:H22"/>
    <mergeCell ref="I21:I22"/>
    <mergeCell ref="J21:J22"/>
    <mergeCell ref="K21:K22"/>
    <mergeCell ref="A23:A24"/>
    <mergeCell ref="B23:B24"/>
    <mergeCell ref="C23:C24"/>
    <mergeCell ref="D23:D24"/>
    <mergeCell ref="F23:F24"/>
    <mergeCell ref="G23:G24"/>
    <mergeCell ref="A21:A22"/>
    <mergeCell ref="B21:B22"/>
    <mergeCell ref="C21:C22"/>
    <mergeCell ref="D21:D22"/>
    <mergeCell ref="F21:F22"/>
    <mergeCell ref="G21:G22"/>
    <mergeCell ref="G19:G20"/>
    <mergeCell ref="H19:H20"/>
    <mergeCell ref="I19:I20"/>
    <mergeCell ref="J19:J20"/>
    <mergeCell ref="K19:K20"/>
    <mergeCell ref="L19:L20"/>
    <mergeCell ref="H17:H18"/>
    <mergeCell ref="I17:I18"/>
    <mergeCell ref="J17:J18"/>
    <mergeCell ref="K17:K18"/>
    <mergeCell ref="L17:L18"/>
    <mergeCell ref="G17:G18"/>
    <mergeCell ref="A19:A20"/>
    <mergeCell ref="B19:B20"/>
    <mergeCell ref="C19:C20"/>
    <mergeCell ref="D19:D20"/>
    <mergeCell ref="F19:F20"/>
    <mergeCell ref="A17:A18"/>
    <mergeCell ref="B17:B18"/>
    <mergeCell ref="C17:C18"/>
    <mergeCell ref="D17:D18"/>
    <mergeCell ref="F17:F18"/>
    <mergeCell ref="G15:G16"/>
    <mergeCell ref="H15:H16"/>
    <mergeCell ref="I15:I16"/>
    <mergeCell ref="J15:J16"/>
    <mergeCell ref="K15:K16"/>
    <mergeCell ref="L15:L16"/>
    <mergeCell ref="H13:H14"/>
    <mergeCell ref="I13:I14"/>
    <mergeCell ref="J13:J14"/>
    <mergeCell ref="K13:K14"/>
    <mergeCell ref="L13:L14"/>
    <mergeCell ref="G13:G14"/>
    <mergeCell ref="A15:A16"/>
    <mergeCell ref="B15:B16"/>
    <mergeCell ref="C15:C16"/>
    <mergeCell ref="D15:D16"/>
    <mergeCell ref="F15:F16"/>
    <mergeCell ref="A13:A14"/>
    <mergeCell ref="B13:B14"/>
    <mergeCell ref="C13:C14"/>
    <mergeCell ref="D13:D14"/>
    <mergeCell ref="F13:F14"/>
    <mergeCell ref="G11:G12"/>
    <mergeCell ref="H11:H12"/>
    <mergeCell ref="I11:I12"/>
    <mergeCell ref="J11:J12"/>
    <mergeCell ref="K11:K12"/>
    <mergeCell ref="L11:L12"/>
    <mergeCell ref="H9:H10"/>
    <mergeCell ref="I9:I10"/>
    <mergeCell ref="J9:J10"/>
    <mergeCell ref="K9:K10"/>
    <mergeCell ref="L9:L10"/>
    <mergeCell ref="G9:G10"/>
    <mergeCell ref="A11:A12"/>
    <mergeCell ref="B11:B12"/>
    <mergeCell ref="C11:C12"/>
    <mergeCell ref="D11:D12"/>
    <mergeCell ref="F11:F12"/>
    <mergeCell ref="A9:A10"/>
    <mergeCell ref="B9:B10"/>
    <mergeCell ref="C9:C10"/>
    <mergeCell ref="D9:D10"/>
    <mergeCell ref="F9:F10"/>
    <mergeCell ref="D4:L4"/>
    <mergeCell ref="C5:J5"/>
    <mergeCell ref="A7:A8"/>
    <mergeCell ref="B7:B8"/>
    <mergeCell ref="C7:C8"/>
    <mergeCell ref="D7:D8"/>
    <mergeCell ref="F7:K7"/>
    <mergeCell ref="L7:L8"/>
    <mergeCell ref="A1:C1"/>
    <mergeCell ref="J1:L1"/>
    <mergeCell ref="A2:C2"/>
    <mergeCell ref="J2:L2"/>
    <mergeCell ref="A3:C3"/>
    <mergeCell ref="J3:L3"/>
  </mergeCells>
  <pageMargins left="0.19685039370078741" right="0.19685039370078741" top="0.31496062992125984" bottom="0.47244094488188981" header="0.19685039370078741" footer="0.31496062992125984"/>
  <pageSetup scale="85" orientation="landscape" horizontalDpi="36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5"/>
  <sheetViews>
    <sheetView topLeftCell="A14" zoomScale="85" zoomScaleNormal="85" workbookViewId="0">
      <selection activeCell="J33" sqref="J33"/>
    </sheetView>
  </sheetViews>
  <sheetFormatPr baseColWidth="10" defaultColWidth="11.42578125" defaultRowHeight="15" x14ac:dyDescent="0.25"/>
  <cols>
    <col min="1" max="1" width="12.5703125" customWidth="1"/>
    <col min="2" max="2" width="13.28515625" customWidth="1"/>
    <col min="3" max="3" width="8.140625" customWidth="1"/>
    <col min="4" max="4" width="8.42578125" customWidth="1"/>
    <col min="5" max="5" width="24.42578125" customWidth="1"/>
    <col min="6" max="6" width="13.140625" customWidth="1"/>
    <col min="7" max="7" width="11.5703125" customWidth="1"/>
    <col min="8" max="8" width="7.5703125" customWidth="1"/>
    <col min="9" max="9" width="10.42578125" customWidth="1"/>
    <col min="10" max="10" width="8.28515625" customWidth="1"/>
    <col min="11" max="11" width="7.5703125" customWidth="1"/>
    <col min="12" max="12" width="34.140625" customWidth="1"/>
  </cols>
  <sheetData>
    <row r="1" spans="1:12" ht="18" x14ac:dyDescent="0.25">
      <c r="A1" s="132" t="s">
        <v>0</v>
      </c>
      <c r="B1" s="132"/>
      <c r="C1" s="132"/>
      <c r="D1" s="1"/>
      <c r="E1" s="1"/>
      <c r="F1" s="2"/>
      <c r="G1" s="2"/>
      <c r="H1" s="2"/>
      <c r="I1" s="2"/>
      <c r="J1" s="133" t="s">
        <v>134</v>
      </c>
      <c r="K1" s="133"/>
      <c r="L1" s="133"/>
    </row>
    <row r="2" spans="1:12" ht="15.75" x14ac:dyDescent="0.25">
      <c r="A2" s="134" t="s">
        <v>1</v>
      </c>
      <c r="B2" s="134"/>
      <c r="C2" s="134"/>
      <c r="D2" s="3"/>
      <c r="E2" s="3"/>
      <c r="F2" s="2"/>
      <c r="G2" s="2"/>
      <c r="H2" s="2"/>
      <c r="I2" s="2"/>
      <c r="J2" s="134" t="s">
        <v>6</v>
      </c>
      <c r="K2" s="134"/>
      <c r="L2" s="134"/>
    </row>
    <row r="3" spans="1:12" x14ac:dyDescent="0.25">
      <c r="A3" s="133" t="s">
        <v>7</v>
      </c>
      <c r="B3" s="133"/>
      <c r="C3" s="133"/>
      <c r="D3" s="4"/>
      <c r="E3" s="4"/>
      <c r="F3" s="2"/>
      <c r="G3" s="2"/>
      <c r="H3" s="2"/>
      <c r="I3" s="2"/>
      <c r="J3" s="133" t="s">
        <v>8</v>
      </c>
      <c r="K3" s="133"/>
      <c r="L3" s="133"/>
    </row>
    <row r="4" spans="1:12" ht="18" x14ac:dyDescent="0.25">
      <c r="A4" s="1"/>
      <c r="B4" s="1"/>
      <c r="C4" s="1"/>
      <c r="D4" s="132" t="s">
        <v>9</v>
      </c>
      <c r="E4" s="132"/>
      <c r="F4" s="132"/>
      <c r="G4" s="132"/>
      <c r="H4" s="132"/>
      <c r="I4" s="132"/>
      <c r="J4" s="132"/>
      <c r="K4" s="132"/>
      <c r="L4" s="132"/>
    </row>
    <row r="5" spans="1:12" ht="18" x14ac:dyDescent="0.25">
      <c r="A5" s="1"/>
      <c r="B5" s="1"/>
      <c r="C5" s="132" t="s">
        <v>137</v>
      </c>
      <c r="D5" s="132"/>
      <c r="E5" s="132"/>
      <c r="F5" s="132"/>
      <c r="G5" s="132"/>
      <c r="H5" s="132"/>
      <c r="I5" s="132"/>
      <c r="J5" s="132"/>
      <c r="K5" s="1"/>
      <c r="L5" s="1"/>
    </row>
    <row r="6" spans="1:12" ht="15.75" thickBot="1" x14ac:dyDescent="0.3"/>
    <row r="7" spans="1:12" ht="15.75" thickBot="1" x14ac:dyDescent="0.3">
      <c r="A7" s="135" t="s">
        <v>2</v>
      </c>
      <c r="B7" s="137" t="s">
        <v>33</v>
      </c>
      <c r="C7" s="139" t="s">
        <v>10</v>
      </c>
      <c r="D7" s="141" t="s">
        <v>11</v>
      </c>
      <c r="E7" s="51" t="s">
        <v>12</v>
      </c>
      <c r="F7" s="143" t="s">
        <v>38</v>
      </c>
      <c r="G7" s="144"/>
      <c r="H7" s="144"/>
      <c r="I7" s="144"/>
      <c r="J7" s="144"/>
      <c r="K7" s="145" t="s">
        <v>37</v>
      </c>
      <c r="L7" s="141" t="s">
        <v>13</v>
      </c>
    </row>
    <row r="8" spans="1:12" ht="39" thickBot="1" x14ac:dyDescent="0.3">
      <c r="A8" s="136"/>
      <c r="B8" s="138"/>
      <c r="C8" s="140"/>
      <c r="D8" s="142"/>
      <c r="E8" s="74" t="s">
        <v>14</v>
      </c>
      <c r="F8" s="10" t="s">
        <v>3</v>
      </c>
      <c r="G8" s="10" t="s">
        <v>34</v>
      </c>
      <c r="H8" s="28" t="s">
        <v>4</v>
      </c>
      <c r="I8" s="10" t="s">
        <v>35</v>
      </c>
      <c r="J8" s="131" t="s">
        <v>36</v>
      </c>
      <c r="K8" s="146"/>
      <c r="L8" s="142"/>
    </row>
    <row r="9" spans="1:12" ht="15.75" x14ac:dyDescent="0.25">
      <c r="A9" s="156" t="s">
        <v>15</v>
      </c>
      <c r="B9" s="158">
        <v>0</v>
      </c>
      <c r="C9" s="160">
        <v>98</v>
      </c>
      <c r="D9" s="162">
        <f>C9+B9</f>
        <v>98</v>
      </c>
      <c r="E9" s="58"/>
      <c r="F9" s="154">
        <v>42</v>
      </c>
      <c r="G9" s="154">
        <v>6</v>
      </c>
      <c r="H9" s="160">
        <v>0</v>
      </c>
      <c r="I9" s="154">
        <v>0</v>
      </c>
      <c r="J9" s="160">
        <f>SUM(F9:I10)</f>
        <v>48</v>
      </c>
      <c r="K9" s="164">
        <f>D9-J9</f>
        <v>50</v>
      </c>
      <c r="L9" s="166"/>
    </row>
    <row r="10" spans="1:12" ht="16.5" thickBot="1" x14ac:dyDescent="0.3">
      <c r="A10" s="157"/>
      <c r="B10" s="159"/>
      <c r="C10" s="161"/>
      <c r="D10" s="163"/>
      <c r="E10" s="59"/>
      <c r="F10" s="155"/>
      <c r="G10" s="155"/>
      <c r="H10" s="161"/>
      <c r="I10" s="155"/>
      <c r="J10" s="161"/>
      <c r="K10" s="168"/>
      <c r="L10" s="167"/>
    </row>
    <row r="11" spans="1:12" ht="16.5" customHeight="1" x14ac:dyDescent="0.25">
      <c r="A11" s="147" t="s">
        <v>16</v>
      </c>
      <c r="B11" s="149">
        <v>50</v>
      </c>
      <c r="C11" s="151">
        <v>0</v>
      </c>
      <c r="D11" s="149">
        <f>C11+B11</f>
        <v>50</v>
      </c>
      <c r="E11" s="60"/>
      <c r="F11" s="154">
        <v>17</v>
      </c>
      <c r="G11" s="154">
        <v>1</v>
      </c>
      <c r="H11" s="154">
        <v>0</v>
      </c>
      <c r="I11" s="154">
        <v>0</v>
      </c>
      <c r="J11" s="151">
        <f t="shared" ref="J11" si="0">SUM(F11:I12)</f>
        <v>18</v>
      </c>
      <c r="K11" s="164">
        <f>D11-J11</f>
        <v>32</v>
      </c>
      <c r="L11" s="166"/>
    </row>
    <row r="12" spans="1:12" ht="16.5" customHeight="1" thickBot="1" x14ac:dyDescent="0.3">
      <c r="A12" s="148"/>
      <c r="B12" s="150"/>
      <c r="C12" s="152"/>
      <c r="D12" s="153"/>
      <c r="E12" s="61"/>
      <c r="F12" s="155"/>
      <c r="G12" s="155"/>
      <c r="H12" s="155"/>
      <c r="I12" s="155"/>
      <c r="J12" s="152"/>
      <c r="K12" s="165"/>
      <c r="L12" s="167"/>
    </row>
    <row r="13" spans="1:12" ht="15.75" customHeight="1" x14ac:dyDescent="0.25">
      <c r="A13" s="147" t="s">
        <v>17</v>
      </c>
      <c r="B13" s="149">
        <v>32</v>
      </c>
      <c r="C13" s="151">
        <v>264</v>
      </c>
      <c r="D13" s="149">
        <f>C13+B13</f>
        <v>296</v>
      </c>
      <c r="E13" s="69"/>
      <c r="F13" s="154">
        <v>163</v>
      </c>
      <c r="G13" s="154">
        <v>28</v>
      </c>
      <c r="H13" s="154">
        <v>0</v>
      </c>
      <c r="I13" s="154">
        <v>0</v>
      </c>
      <c r="J13" s="151">
        <f t="shared" ref="J13" si="1">SUM(F13:I14)</f>
        <v>191</v>
      </c>
      <c r="K13" s="164">
        <f>D13-J13</f>
        <v>105</v>
      </c>
      <c r="L13" s="171"/>
    </row>
    <row r="14" spans="1:12" ht="16.5" customHeight="1" thickBot="1" x14ac:dyDescent="0.3">
      <c r="A14" s="148"/>
      <c r="B14" s="150"/>
      <c r="C14" s="152"/>
      <c r="D14" s="153"/>
      <c r="E14" s="73"/>
      <c r="F14" s="155"/>
      <c r="G14" s="155"/>
      <c r="H14" s="155"/>
      <c r="I14" s="155"/>
      <c r="J14" s="152"/>
      <c r="K14" s="165"/>
      <c r="L14" s="172"/>
    </row>
    <row r="15" spans="1:12" ht="15.75" customHeight="1" x14ac:dyDescent="0.25">
      <c r="A15" s="156" t="s">
        <v>18</v>
      </c>
      <c r="B15" s="149">
        <v>105</v>
      </c>
      <c r="C15" s="151">
        <v>106</v>
      </c>
      <c r="D15" s="149">
        <f>C15+B15</f>
        <v>211</v>
      </c>
      <c r="E15" s="58"/>
      <c r="F15" s="154">
        <v>113</v>
      </c>
      <c r="G15" s="154">
        <v>23</v>
      </c>
      <c r="H15" s="154">
        <v>0</v>
      </c>
      <c r="I15" s="154">
        <v>0</v>
      </c>
      <c r="J15" s="160">
        <f t="shared" ref="J15" si="2">SUM(F15:I16)</f>
        <v>136</v>
      </c>
      <c r="K15" s="164">
        <f>D15-J15</f>
        <v>75</v>
      </c>
      <c r="L15" s="170"/>
    </row>
    <row r="16" spans="1:12" ht="16.5" customHeight="1" thickBot="1" x14ac:dyDescent="0.3">
      <c r="A16" s="169"/>
      <c r="B16" s="150"/>
      <c r="C16" s="152"/>
      <c r="D16" s="153"/>
      <c r="E16" s="71"/>
      <c r="F16" s="155"/>
      <c r="G16" s="155"/>
      <c r="H16" s="155"/>
      <c r="I16" s="155"/>
      <c r="J16" s="161"/>
      <c r="K16" s="165"/>
      <c r="L16" s="170"/>
    </row>
    <row r="17" spans="1:12" ht="15.75" customHeight="1" x14ac:dyDescent="0.25">
      <c r="A17" s="147" t="s">
        <v>19</v>
      </c>
      <c r="B17" s="149">
        <v>75</v>
      </c>
      <c r="C17" s="151">
        <v>80</v>
      </c>
      <c r="D17" s="149">
        <f>C17+B17</f>
        <v>155</v>
      </c>
      <c r="E17" s="69"/>
      <c r="F17" s="154">
        <v>80</v>
      </c>
      <c r="G17" s="154">
        <v>41</v>
      </c>
      <c r="H17" s="154">
        <v>0</v>
      </c>
      <c r="I17" s="154">
        <v>0</v>
      </c>
      <c r="J17" s="151">
        <f t="shared" ref="J17" si="3">SUM(F17:I18)</f>
        <v>121</v>
      </c>
      <c r="K17" s="164">
        <f>D17-J17</f>
        <v>34</v>
      </c>
      <c r="L17" s="173"/>
    </row>
    <row r="18" spans="1:12" ht="16.5" customHeight="1" thickBot="1" x14ac:dyDescent="0.3">
      <c r="A18" s="148"/>
      <c r="B18" s="150"/>
      <c r="C18" s="152"/>
      <c r="D18" s="153"/>
      <c r="E18" s="73"/>
      <c r="F18" s="155"/>
      <c r="G18" s="155"/>
      <c r="H18" s="155"/>
      <c r="I18" s="155"/>
      <c r="J18" s="152"/>
      <c r="K18" s="165"/>
      <c r="L18" s="174"/>
    </row>
    <row r="19" spans="1:12" ht="15" customHeight="1" x14ac:dyDescent="0.25">
      <c r="A19" s="156" t="s">
        <v>20</v>
      </c>
      <c r="B19" s="149">
        <v>34</v>
      </c>
      <c r="C19" s="151">
        <v>16</v>
      </c>
      <c r="D19" s="162">
        <f>C19+B19</f>
        <v>50</v>
      </c>
      <c r="E19" s="58"/>
      <c r="F19" s="154">
        <v>32</v>
      </c>
      <c r="G19" s="154">
        <v>1</v>
      </c>
      <c r="H19" s="154">
        <v>0</v>
      </c>
      <c r="I19" s="154">
        <v>0</v>
      </c>
      <c r="J19" s="160">
        <f t="shared" ref="J19" si="4">SUM(F19:I20)</f>
        <v>33</v>
      </c>
      <c r="K19" s="164">
        <f>D19-J19</f>
        <v>17</v>
      </c>
      <c r="L19" s="170"/>
    </row>
    <row r="20" spans="1:12" ht="15.75" customHeight="1" thickBot="1" x14ac:dyDescent="0.3">
      <c r="A20" s="169"/>
      <c r="B20" s="150"/>
      <c r="C20" s="152"/>
      <c r="D20" s="163"/>
      <c r="E20" s="71"/>
      <c r="F20" s="155"/>
      <c r="G20" s="155"/>
      <c r="H20" s="155"/>
      <c r="I20" s="155"/>
      <c r="J20" s="161"/>
      <c r="K20" s="165"/>
      <c r="L20" s="170"/>
    </row>
    <row r="21" spans="1:12" ht="18" x14ac:dyDescent="0.25">
      <c r="A21" s="147" t="s">
        <v>21</v>
      </c>
      <c r="B21" s="149">
        <v>17</v>
      </c>
      <c r="C21" s="151">
        <v>0</v>
      </c>
      <c r="D21" s="149">
        <f>C21+B21</f>
        <v>17</v>
      </c>
      <c r="E21" s="60"/>
      <c r="F21" s="154">
        <v>2</v>
      </c>
      <c r="G21" s="154">
        <v>0</v>
      </c>
      <c r="H21" s="154">
        <v>0</v>
      </c>
      <c r="I21" s="154">
        <v>0</v>
      </c>
      <c r="J21" s="151">
        <f t="shared" ref="J21" si="5">SUM(F21:I22)</f>
        <v>2</v>
      </c>
      <c r="K21" s="164">
        <f>D21-J21</f>
        <v>15</v>
      </c>
      <c r="L21" s="54"/>
    </row>
    <row r="22" spans="1:12" ht="18.75" thickBot="1" x14ac:dyDescent="0.3">
      <c r="A22" s="148"/>
      <c r="B22" s="150"/>
      <c r="C22" s="152"/>
      <c r="D22" s="153"/>
      <c r="E22" s="65"/>
      <c r="F22" s="155"/>
      <c r="G22" s="155"/>
      <c r="H22" s="155"/>
      <c r="I22" s="155"/>
      <c r="J22" s="152"/>
      <c r="K22" s="165"/>
      <c r="L22" s="72"/>
    </row>
    <row r="23" spans="1:12" ht="15.75" customHeight="1" x14ac:dyDescent="0.25">
      <c r="A23" s="156" t="s">
        <v>22</v>
      </c>
      <c r="B23" s="149">
        <v>15</v>
      </c>
      <c r="C23" s="151">
        <v>10</v>
      </c>
      <c r="D23" s="162">
        <f>C23+B23</f>
        <v>25</v>
      </c>
      <c r="E23" s="58"/>
      <c r="F23" s="154">
        <v>3</v>
      </c>
      <c r="G23" s="154">
        <v>3</v>
      </c>
      <c r="H23" s="154">
        <v>0</v>
      </c>
      <c r="I23" s="154">
        <v>1</v>
      </c>
      <c r="J23" s="160">
        <f t="shared" ref="J23:J29" si="6">SUM(F23:I24)</f>
        <v>7</v>
      </c>
      <c r="K23" s="164">
        <f>D23-J23</f>
        <v>18</v>
      </c>
      <c r="L23" s="170" t="s">
        <v>138</v>
      </c>
    </row>
    <row r="24" spans="1:12" ht="16.5" customHeight="1" thickBot="1" x14ac:dyDescent="0.3">
      <c r="A24" s="169"/>
      <c r="B24" s="150"/>
      <c r="C24" s="152"/>
      <c r="D24" s="163"/>
      <c r="E24" s="59"/>
      <c r="F24" s="155"/>
      <c r="G24" s="155"/>
      <c r="H24" s="155"/>
      <c r="I24" s="155"/>
      <c r="J24" s="161"/>
      <c r="K24" s="165"/>
      <c r="L24" s="170"/>
    </row>
    <row r="25" spans="1:12" ht="15" customHeight="1" x14ac:dyDescent="0.25">
      <c r="A25" s="147" t="s">
        <v>23</v>
      </c>
      <c r="B25" s="149">
        <v>18</v>
      </c>
      <c r="C25" s="151">
        <v>1</v>
      </c>
      <c r="D25" s="149">
        <f>C25+B25</f>
        <v>19</v>
      </c>
      <c r="E25" s="69"/>
      <c r="F25" s="154">
        <v>3</v>
      </c>
      <c r="G25" s="154">
        <v>1</v>
      </c>
      <c r="H25" s="154">
        <v>0</v>
      </c>
      <c r="I25" s="154">
        <v>0</v>
      </c>
      <c r="J25" s="151">
        <f t="shared" si="6"/>
        <v>4</v>
      </c>
      <c r="K25" s="176">
        <f>D25-J25</f>
        <v>15</v>
      </c>
      <c r="L25" s="178"/>
    </row>
    <row r="26" spans="1:12" ht="16.5" customHeight="1" thickBot="1" x14ac:dyDescent="0.3">
      <c r="A26" s="175"/>
      <c r="B26" s="150"/>
      <c r="C26" s="152"/>
      <c r="D26" s="153"/>
      <c r="E26" s="70"/>
      <c r="F26" s="155"/>
      <c r="G26" s="155"/>
      <c r="H26" s="155"/>
      <c r="I26" s="155"/>
      <c r="J26" s="152"/>
      <c r="K26" s="177"/>
      <c r="L26" s="179"/>
    </row>
    <row r="27" spans="1:12" ht="15" customHeight="1" x14ac:dyDescent="0.25">
      <c r="A27" s="156" t="s">
        <v>24</v>
      </c>
      <c r="B27" s="149">
        <v>15</v>
      </c>
      <c r="C27" s="151">
        <v>0</v>
      </c>
      <c r="D27" s="162">
        <f>C27+B27</f>
        <v>15</v>
      </c>
      <c r="E27" s="68"/>
      <c r="F27" s="154">
        <v>0</v>
      </c>
      <c r="G27" s="154">
        <v>0</v>
      </c>
      <c r="H27" s="154">
        <v>0</v>
      </c>
      <c r="I27" s="154">
        <v>0</v>
      </c>
      <c r="J27" s="160">
        <f t="shared" si="6"/>
        <v>0</v>
      </c>
      <c r="K27" s="164">
        <f>D27-J27</f>
        <v>15</v>
      </c>
      <c r="L27" s="170"/>
    </row>
    <row r="28" spans="1:12" ht="16.5" customHeight="1" thickBot="1" x14ac:dyDescent="0.3">
      <c r="A28" s="169"/>
      <c r="B28" s="150"/>
      <c r="C28" s="152"/>
      <c r="D28" s="163"/>
      <c r="E28" s="62"/>
      <c r="F28" s="155"/>
      <c r="G28" s="155"/>
      <c r="H28" s="155"/>
      <c r="I28" s="155"/>
      <c r="J28" s="161"/>
      <c r="K28" s="165"/>
      <c r="L28" s="170"/>
    </row>
    <row r="29" spans="1:12" ht="15" customHeight="1" x14ac:dyDescent="0.25">
      <c r="A29" s="147" t="s">
        <v>25</v>
      </c>
      <c r="B29" s="149">
        <v>15</v>
      </c>
      <c r="C29" s="151">
        <v>0</v>
      </c>
      <c r="D29" s="149">
        <f>C29+B29</f>
        <v>15</v>
      </c>
      <c r="E29" s="66"/>
      <c r="F29" s="154">
        <v>1</v>
      </c>
      <c r="G29" s="154">
        <v>0</v>
      </c>
      <c r="H29" s="154">
        <v>0</v>
      </c>
      <c r="I29" s="154">
        <v>0</v>
      </c>
      <c r="J29" s="151">
        <f t="shared" si="6"/>
        <v>1</v>
      </c>
      <c r="K29" s="164">
        <f>D29-J29</f>
        <v>14</v>
      </c>
      <c r="L29" s="171"/>
    </row>
    <row r="30" spans="1:12" ht="15.75" customHeight="1" thickBot="1" x14ac:dyDescent="0.3">
      <c r="A30" s="148"/>
      <c r="B30" s="155"/>
      <c r="C30" s="161"/>
      <c r="D30" s="163"/>
      <c r="E30" s="62"/>
      <c r="F30" s="155"/>
      <c r="G30" s="155"/>
      <c r="H30" s="155"/>
      <c r="I30" s="155"/>
      <c r="J30" s="161"/>
      <c r="K30" s="168"/>
      <c r="L30" s="172"/>
    </row>
    <row r="31" spans="1:12" ht="15.75" customHeight="1" x14ac:dyDescent="0.25">
      <c r="A31" s="188" t="s">
        <v>26</v>
      </c>
      <c r="B31" s="182">
        <v>14</v>
      </c>
      <c r="C31" s="190">
        <v>1</v>
      </c>
      <c r="D31" s="192">
        <f>C31+B31</f>
        <v>15</v>
      </c>
      <c r="E31" s="122"/>
      <c r="F31" s="194">
        <v>0</v>
      </c>
      <c r="G31" s="182">
        <v>3</v>
      </c>
      <c r="H31" s="182">
        <v>0</v>
      </c>
      <c r="I31" s="182">
        <v>0</v>
      </c>
      <c r="J31" s="182">
        <f>SUM(F31:I32)</f>
        <v>3</v>
      </c>
      <c r="K31" s="184">
        <f>D31-J31</f>
        <v>12</v>
      </c>
      <c r="L31" s="171"/>
    </row>
    <row r="32" spans="1:12" ht="18" customHeight="1" thickBot="1" x14ac:dyDescent="0.3">
      <c r="A32" s="189"/>
      <c r="B32" s="183"/>
      <c r="C32" s="191"/>
      <c r="D32" s="193"/>
      <c r="E32" s="125"/>
      <c r="F32" s="195"/>
      <c r="G32" s="183"/>
      <c r="H32" s="183"/>
      <c r="I32" s="183"/>
      <c r="J32" s="183"/>
      <c r="K32" s="185"/>
      <c r="L32" s="172"/>
    </row>
    <row r="33" spans="1:12" ht="18.75" thickBot="1" x14ac:dyDescent="0.3">
      <c r="A33" s="186" t="s">
        <v>27</v>
      </c>
      <c r="B33" s="187"/>
      <c r="C33" s="126">
        <f>SUM(C9:C32)</f>
        <v>576</v>
      </c>
      <c r="D33" s="127"/>
      <c r="E33" s="126"/>
      <c r="F33" s="128">
        <f>SUM(F9:F32)</f>
        <v>456</v>
      </c>
      <c r="G33" s="128">
        <f>SUM(G9:G32)</f>
        <v>107</v>
      </c>
      <c r="H33" s="126">
        <f>SUM(H9:H32)</f>
        <v>0</v>
      </c>
      <c r="I33" s="128">
        <f>SUM(I9:I32)</f>
        <v>1</v>
      </c>
      <c r="J33" s="126">
        <f>SUM(J9:J32)</f>
        <v>564</v>
      </c>
      <c r="K33" s="127">
        <f>SUM(F33:I33)-J33</f>
        <v>0</v>
      </c>
      <c r="L33" s="7"/>
    </row>
    <row r="35" spans="1:12" x14ac:dyDescent="0.25">
      <c r="A35" s="180" t="s">
        <v>28</v>
      </c>
      <c r="B35" s="180"/>
      <c r="C35" s="180"/>
      <c r="D35" s="8"/>
      <c r="E35" s="9"/>
      <c r="F35" s="9" t="s">
        <v>29</v>
      </c>
      <c r="G35" s="9"/>
      <c r="H35" s="9"/>
      <c r="I35" s="9"/>
      <c r="J35" s="9"/>
      <c r="K35" s="181" t="s">
        <v>30</v>
      </c>
      <c r="L35" s="181"/>
    </row>
  </sheetData>
  <mergeCells count="149">
    <mergeCell ref="D4:L4"/>
    <mergeCell ref="C5:J5"/>
    <mergeCell ref="A7:A8"/>
    <mergeCell ref="B7:B8"/>
    <mergeCell ref="C7:C8"/>
    <mergeCell ref="D7:D8"/>
    <mergeCell ref="L7:L8"/>
    <mergeCell ref="A1:C1"/>
    <mergeCell ref="J1:L1"/>
    <mergeCell ref="A2:C2"/>
    <mergeCell ref="J2:L2"/>
    <mergeCell ref="A3:C3"/>
    <mergeCell ref="J3:L3"/>
    <mergeCell ref="F7:J7"/>
    <mergeCell ref="K7:K8"/>
    <mergeCell ref="A11:A12"/>
    <mergeCell ref="B11:B12"/>
    <mergeCell ref="C11:C12"/>
    <mergeCell ref="D11:D12"/>
    <mergeCell ref="F11:F12"/>
    <mergeCell ref="A9:A10"/>
    <mergeCell ref="B9:B10"/>
    <mergeCell ref="C9:C10"/>
    <mergeCell ref="D9:D10"/>
    <mergeCell ref="F9:F10"/>
    <mergeCell ref="G11:G12"/>
    <mergeCell ref="H11:H12"/>
    <mergeCell ref="I11:I12"/>
    <mergeCell ref="J11:J12"/>
    <mergeCell ref="K11:K12"/>
    <mergeCell ref="L11:L12"/>
    <mergeCell ref="H9:H10"/>
    <mergeCell ref="I9:I10"/>
    <mergeCell ref="J9:J10"/>
    <mergeCell ref="K9:K10"/>
    <mergeCell ref="L9:L10"/>
    <mergeCell ref="G9:G10"/>
    <mergeCell ref="A15:A16"/>
    <mergeCell ref="B15:B16"/>
    <mergeCell ref="C15:C16"/>
    <mergeCell ref="D15:D16"/>
    <mergeCell ref="F15:F16"/>
    <mergeCell ref="A13:A14"/>
    <mergeCell ref="B13:B14"/>
    <mergeCell ref="C13:C14"/>
    <mergeCell ref="D13:D14"/>
    <mergeCell ref="F13:F14"/>
    <mergeCell ref="G15:G16"/>
    <mergeCell ref="H15:H16"/>
    <mergeCell ref="I15:I16"/>
    <mergeCell ref="J15:J16"/>
    <mergeCell ref="K15:K16"/>
    <mergeCell ref="L15:L16"/>
    <mergeCell ref="H13:H14"/>
    <mergeCell ref="I13:I14"/>
    <mergeCell ref="J13:J14"/>
    <mergeCell ref="K13:K14"/>
    <mergeCell ref="L13:L14"/>
    <mergeCell ref="G13:G14"/>
    <mergeCell ref="A19:A20"/>
    <mergeCell ref="B19:B20"/>
    <mergeCell ref="C19:C20"/>
    <mergeCell ref="D19:D20"/>
    <mergeCell ref="F19:F20"/>
    <mergeCell ref="A17:A18"/>
    <mergeCell ref="B17:B18"/>
    <mergeCell ref="C17:C18"/>
    <mergeCell ref="D17:D18"/>
    <mergeCell ref="F17:F18"/>
    <mergeCell ref="G19:G20"/>
    <mergeCell ref="H19:H20"/>
    <mergeCell ref="I19:I20"/>
    <mergeCell ref="J19:J20"/>
    <mergeCell ref="K19:K20"/>
    <mergeCell ref="L19:L20"/>
    <mergeCell ref="H17:H18"/>
    <mergeCell ref="I17:I18"/>
    <mergeCell ref="J17:J18"/>
    <mergeCell ref="K17:K18"/>
    <mergeCell ref="L17:L18"/>
    <mergeCell ref="G17:G18"/>
    <mergeCell ref="A25:A26"/>
    <mergeCell ref="B25:B26"/>
    <mergeCell ref="C25:C26"/>
    <mergeCell ref="D25:D26"/>
    <mergeCell ref="F25:F26"/>
    <mergeCell ref="H21:H22"/>
    <mergeCell ref="I21:I22"/>
    <mergeCell ref="J21:J22"/>
    <mergeCell ref="K21:K22"/>
    <mergeCell ref="A23:A24"/>
    <mergeCell ref="B23:B24"/>
    <mergeCell ref="C23:C24"/>
    <mergeCell ref="D23:D24"/>
    <mergeCell ref="F23:F24"/>
    <mergeCell ref="G23:G24"/>
    <mergeCell ref="A21:A22"/>
    <mergeCell ref="B21:B22"/>
    <mergeCell ref="C21:C22"/>
    <mergeCell ref="D21:D22"/>
    <mergeCell ref="F21:F22"/>
    <mergeCell ref="G21:G22"/>
    <mergeCell ref="G25:G26"/>
    <mergeCell ref="H25:H26"/>
    <mergeCell ref="I25:I26"/>
    <mergeCell ref="J25:J26"/>
    <mergeCell ref="K25:K26"/>
    <mergeCell ref="L25:L26"/>
    <mergeCell ref="H23:H24"/>
    <mergeCell ref="I23:I24"/>
    <mergeCell ref="J23:J24"/>
    <mergeCell ref="K23:K24"/>
    <mergeCell ref="L23:L24"/>
    <mergeCell ref="A29:A30"/>
    <mergeCell ref="B29:B30"/>
    <mergeCell ref="C29:C30"/>
    <mergeCell ref="D29:D30"/>
    <mergeCell ref="F29:F30"/>
    <mergeCell ref="A27:A28"/>
    <mergeCell ref="B27:B28"/>
    <mergeCell ref="C27:C28"/>
    <mergeCell ref="D27:D28"/>
    <mergeCell ref="F27:F28"/>
    <mergeCell ref="G29:G30"/>
    <mergeCell ref="H29:H30"/>
    <mergeCell ref="I29:I30"/>
    <mergeCell ref="J29:J30"/>
    <mergeCell ref="K29:K30"/>
    <mergeCell ref="L29:L30"/>
    <mergeCell ref="H27:H28"/>
    <mergeCell ref="I27:I28"/>
    <mergeCell ref="J27:J28"/>
    <mergeCell ref="K27:K28"/>
    <mergeCell ref="L27:L28"/>
    <mergeCell ref="G27:G28"/>
    <mergeCell ref="A35:C35"/>
    <mergeCell ref="K35:L35"/>
    <mergeCell ref="H31:H32"/>
    <mergeCell ref="I31:I32"/>
    <mergeCell ref="J31:J32"/>
    <mergeCell ref="K31:K32"/>
    <mergeCell ref="L31:L32"/>
    <mergeCell ref="A33:B33"/>
    <mergeCell ref="A31:A32"/>
    <mergeCell ref="B31:B32"/>
    <mergeCell ref="C31:C32"/>
    <mergeCell ref="D31:D32"/>
    <mergeCell ref="F31:F32"/>
    <mergeCell ref="G31:G32"/>
  </mergeCells>
  <pageMargins left="0.19685039370078741" right="0.19685039370078741" top="0.31496062992125984" bottom="0.47244094488188981" header="0.19685039370078741" footer="0.31496062992125984"/>
  <pageSetup scale="85" orientation="landscape" horizontalDpi="36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35"/>
  <sheetViews>
    <sheetView topLeftCell="A19" zoomScale="85" zoomScaleNormal="85" workbookViewId="0">
      <selection activeCell="L37" sqref="L37"/>
    </sheetView>
  </sheetViews>
  <sheetFormatPr baseColWidth="10" defaultColWidth="11.42578125" defaultRowHeight="15" x14ac:dyDescent="0.25"/>
  <cols>
    <col min="1" max="1" width="12.5703125" customWidth="1"/>
    <col min="2" max="2" width="13.28515625" customWidth="1"/>
    <col min="3" max="3" width="8.140625" customWidth="1"/>
    <col min="4" max="4" width="8.42578125" customWidth="1"/>
    <col min="5" max="5" width="20.5703125" customWidth="1"/>
    <col min="6" max="6" width="13.140625" customWidth="1"/>
    <col min="7" max="7" width="11.5703125" customWidth="1"/>
    <col min="8" max="8" width="7.5703125" customWidth="1"/>
    <col min="9" max="9" width="10.42578125" customWidth="1"/>
    <col min="10" max="10" width="8.28515625" customWidth="1"/>
    <col min="11" max="11" width="7.5703125" customWidth="1"/>
    <col min="12" max="12" width="34.140625" customWidth="1"/>
  </cols>
  <sheetData>
    <row r="1" spans="1:12" ht="18" x14ac:dyDescent="0.25">
      <c r="A1" s="132" t="s">
        <v>0</v>
      </c>
      <c r="B1" s="132"/>
      <c r="C1" s="132"/>
      <c r="D1" s="1"/>
      <c r="E1" s="1"/>
      <c r="F1" s="2"/>
      <c r="G1" s="2"/>
      <c r="H1" s="2"/>
      <c r="I1" s="2"/>
      <c r="J1" s="133" t="s">
        <v>134</v>
      </c>
      <c r="K1" s="133"/>
      <c r="L1" s="133"/>
    </row>
    <row r="2" spans="1:12" ht="15.75" x14ac:dyDescent="0.25">
      <c r="A2" s="134" t="s">
        <v>1</v>
      </c>
      <c r="B2" s="134"/>
      <c r="C2" s="134"/>
      <c r="D2" s="3"/>
      <c r="E2" s="3"/>
      <c r="F2" s="2"/>
      <c r="G2" s="2"/>
      <c r="H2" s="2"/>
      <c r="I2" s="2"/>
      <c r="J2" s="134" t="s">
        <v>6</v>
      </c>
      <c r="K2" s="134"/>
      <c r="L2" s="134"/>
    </row>
    <row r="3" spans="1:12" x14ac:dyDescent="0.25">
      <c r="A3" s="133" t="s">
        <v>7</v>
      </c>
      <c r="B3" s="133"/>
      <c r="C3" s="133"/>
      <c r="D3" s="4"/>
      <c r="E3" s="4"/>
      <c r="F3" s="2"/>
      <c r="G3" s="2"/>
      <c r="H3" s="2"/>
      <c r="I3" s="2"/>
      <c r="J3" s="133" t="s">
        <v>8</v>
      </c>
      <c r="K3" s="133"/>
      <c r="L3" s="133"/>
    </row>
    <row r="4" spans="1:12" ht="18" x14ac:dyDescent="0.25">
      <c r="A4" s="1"/>
      <c r="B4" s="1"/>
      <c r="C4" s="1"/>
      <c r="D4" s="132" t="s">
        <v>9</v>
      </c>
      <c r="E4" s="132"/>
      <c r="F4" s="132"/>
      <c r="G4" s="132"/>
      <c r="H4" s="132"/>
      <c r="I4" s="132"/>
      <c r="J4" s="132"/>
      <c r="K4" s="132"/>
      <c r="L4" s="132"/>
    </row>
    <row r="5" spans="1:12" ht="18" x14ac:dyDescent="0.25">
      <c r="A5" s="1"/>
      <c r="B5" s="1"/>
      <c r="C5" s="132" t="s">
        <v>139</v>
      </c>
      <c r="D5" s="132"/>
      <c r="E5" s="132"/>
      <c r="F5" s="132"/>
      <c r="G5" s="132"/>
      <c r="H5" s="132"/>
      <c r="I5" s="132"/>
      <c r="J5" s="132"/>
      <c r="K5" s="1"/>
      <c r="L5" s="1"/>
    </row>
    <row r="6" spans="1:12" ht="15.75" thickBot="1" x14ac:dyDescent="0.3"/>
    <row r="7" spans="1:12" ht="15.75" thickBot="1" x14ac:dyDescent="0.3">
      <c r="A7" s="135" t="s">
        <v>2</v>
      </c>
      <c r="B7" s="137" t="s">
        <v>33</v>
      </c>
      <c r="C7" s="139" t="s">
        <v>10</v>
      </c>
      <c r="D7" s="141" t="s">
        <v>11</v>
      </c>
      <c r="E7" s="51" t="s">
        <v>12</v>
      </c>
      <c r="F7" s="143" t="s">
        <v>38</v>
      </c>
      <c r="G7" s="144"/>
      <c r="H7" s="144"/>
      <c r="I7" s="144"/>
      <c r="J7" s="144"/>
      <c r="K7" s="145" t="s">
        <v>37</v>
      </c>
      <c r="L7" s="141" t="s">
        <v>13</v>
      </c>
    </row>
    <row r="8" spans="1:12" ht="39" thickBot="1" x14ac:dyDescent="0.3">
      <c r="A8" s="136"/>
      <c r="B8" s="138"/>
      <c r="C8" s="140"/>
      <c r="D8" s="142"/>
      <c r="E8" s="74" t="s">
        <v>14</v>
      </c>
      <c r="F8" s="10" t="s">
        <v>3</v>
      </c>
      <c r="G8" s="10" t="s">
        <v>34</v>
      </c>
      <c r="H8" s="28" t="s">
        <v>4</v>
      </c>
      <c r="I8" s="10" t="s">
        <v>35</v>
      </c>
      <c r="J8" s="131" t="s">
        <v>36</v>
      </c>
      <c r="K8" s="146"/>
      <c r="L8" s="142"/>
    </row>
    <row r="9" spans="1:12" ht="15.75" x14ac:dyDescent="0.25">
      <c r="A9" s="156" t="s">
        <v>15</v>
      </c>
      <c r="B9" s="158">
        <v>12</v>
      </c>
      <c r="C9" s="160">
        <v>0</v>
      </c>
      <c r="D9" s="162">
        <f>C9+B9</f>
        <v>12</v>
      </c>
      <c r="E9" s="58"/>
      <c r="F9" s="154">
        <v>2</v>
      </c>
      <c r="G9" s="154">
        <v>0</v>
      </c>
      <c r="H9" s="160">
        <v>0</v>
      </c>
      <c r="I9" s="154">
        <v>0</v>
      </c>
      <c r="J9" s="160">
        <f>SUM(F9:I10)</f>
        <v>2</v>
      </c>
      <c r="K9" s="164">
        <f>D9-J9</f>
        <v>10</v>
      </c>
      <c r="L9" s="166"/>
    </row>
    <row r="10" spans="1:12" ht="16.5" thickBot="1" x14ac:dyDescent="0.3">
      <c r="A10" s="157"/>
      <c r="B10" s="159"/>
      <c r="C10" s="161"/>
      <c r="D10" s="163"/>
      <c r="E10" s="59"/>
      <c r="F10" s="155"/>
      <c r="G10" s="155"/>
      <c r="H10" s="161"/>
      <c r="I10" s="155"/>
      <c r="J10" s="161"/>
      <c r="K10" s="168"/>
      <c r="L10" s="167"/>
    </row>
    <row r="11" spans="1:12" ht="16.5" customHeight="1" x14ac:dyDescent="0.25">
      <c r="A11" s="147" t="s">
        <v>16</v>
      </c>
      <c r="B11" s="149">
        <v>10</v>
      </c>
      <c r="C11" s="151">
        <v>101</v>
      </c>
      <c r="D11" s="149">
        <f>C11+B11</f>
        <v>111</v>
      </c>
      <c r="E11" s="60"/>
      <c r="F11" s="154">
        <v>65</v>
      </c>
      <c r="G11" s="154">
        <v>1</v>
      </c>
      <c r="H11" s="154">
        <v>0</v>
      </c>
      <c r="I11" s="154">
        <v>0</v>
      </c>
      <c r="J11" s="151">
        <f t="shared" ref="J11" si="0">SUM(F11:I12)</f>
        <v>66</v>
      </c>
      <c r="K11" s="164">
        <f>D11-J11</f>
        <v>45</v>
      </c>
      <c r="L11" s="166"/>
    </row>
    <row r="12" spans="1:12" ht="16.5" customHeight="1" thickBot="1" x14ac:dyDescent="0.3">
      <c r="A12" s="148"/>
      <c r="B12" s="150"/>
      <c r="C12" s="152"/>
      <c r="D12" s="153"/>
      <c r="E12" s="61"/>
      <c r="F12" s="155"/>
      <c r="G12" s="155"/>
      <c r="H12" s="155"/>
      <c r="I12" s="155"/>
      <c r="J12" s="152"/>
      <c r="K12" s="165"/>
      <c r="L12" s="167"/>
    </row>
    <row r="13" spans="1:12" ht="15.75" customHeight="1" x14ac:dyDescent="0.25">
      <c r="A13" s="147" t="s">
        <v>17</v>
      </c>
      <c r="B13" s="149">
        <v>45</v>
      </c>
      <c r="C13" s="151">
        <v>400</v>
      </c>
      <c r="D13" s="149">
        <f>C13+B13</f>
        <v>445</v>
      </c>
      <c r="E13" s="69"/>
      <c r="F13" s="154">
        <v>349</v>
      </c>
      <c r="G13" s="154">
        <v>1</v>
      </c>
      <c r="H13" s="154">
        <v>0</v>
      </c>
      <c r="I13" s="154">
        <v>0</v>
      </c>
      <c r="J13" s="151">
        <f t="shared" ref="J13" si="1">SUM(F13:I14)</f>
        <v>350</v>
      </c>
      <c r="K13" s="164">
        <f>D13-J13</f>
        <v>95</v>
      </c>
      <c r="L13" s="171"/>
    </row>
    <row r="14" spans="1:12" ht="16.5" customHeight="1" thickBot="1" x14ac:dyDescent="0.3">
      <c r="A14" s="148"/>
      <c r="B14" s="150"/>
      <c r="C14" s="152"/>
      <c r="D14" s="153"/>
      <c r="E14" s="73"/>
      <c r="F14" s="155"/>
      <c r="G14" s="155"/>
      <c r="H14" s="155"/>
      <c r="I14" s="155"/>
      <c r="J14" s="152"/>
      <c r="K14" s="165"/>
      <c r="L14" s="172"/>
    </row>
    <row r="15" spans="1:12" ht="15.75" customHeight="1" x14ac:dyDescent="0.25">
      <c r="A15" s="156" t="s">
        <v>18</v>
      </c>
      <c r="B15" s="149">
        <v>95</v>
      </c>
      <c r="C15" s="151">
        <v>101</v>
      </c>
      <c r="D15" s="149">
        <f>C15+B15</f>
        <v>196</v>
      </c>
      <c r="E15" s="58"/>
      <c r="F15" s="154">
        <v>80</v>
      </c>
      <c r="G15" s="154">
        <v>19</v>
      </c>
      <c r="H15" s="154">
        <v>0</v>
      </c>
      <c r="I15" s="154">
        <v>0</v>
      </c>
      <c r="J15" s="160">
        <f t="shared" ref="J15" si="2">SUM(F15:I16)</f>
        <v>99</v>
      </c>
      <c r="K15" s="164">
        <f>D15-J15</f>
        <v>97</v>
      </c>
      <c r="L15" s="170"/>
    </row>
    <row r="16" spans="1:12" ht="16.5" customHeight="1" thickBot="1" x14ac:dyDescent="0.3">
      <c r="A16" s="169"/>
      <c r="B16" s="150"/>
      <c r="C16" s="152"/>
      <c r="D16" s="153"/>
      <c r="E16" s="71"/>
      <c r="F16" s="155"/>
      <c r="G16" s="155"/>
      <c r="H16" s="155"/>
      <c r="I16" s="155"/>
      <c r="J16" s="161"/>
      <c r="K16" s="165"/>
      <c r="L16" s="170"/>
    </row>
    <row r="17" spans="1:12" ht="15.75" customHeight="1" x14ac:dyDescent="0.25">
      <c r="A17" s="147" t="s">
        <v>19</v>
      </c>
      <c r="B17" s="149">
        <v>97</v>
      </c>
      <c r="C17" s="151">
        <v>18</v>
      </c>
      <c r="D17" s="149">
        <f>C17+B17</f>
        <v>115</v>
      </c>
      <c r="E17" s="69"/>
      <c r="F17" s="154">
        <v>62</v>
      </c>
      <c r="G17" s="154">
        <v>28</v>
      </c>
      <c r="H17" s="154">
        <v>0</v>
      </c>
      <c r="I17" s="154">
        <v>0</v>
      </c>
      <c r="J17" s="151">
        <f t="shared" ref="J17" si="3">SUM(F17:I18)</f>
        <v>90</v>
      </c>
      <c r="K17" s="164">
        <f>D17-J17</f>
        <v>25</v>
      </c>
      <c r="L17" s="173"/>
    </row>
    <row r="18" spans="1:12" ht="16.5" customHeight="1" thickBot="1" x14ac:dyDescent="0.3">
      <c r="A18" s="148"/>
      <c r="B18" s="150"/>
      <c r="C18" s="152"/>
      <c r="D18" s="153"/>
      <c r="E18" s="73"/>
      <c r="F18" s="155"/>
      <c r="G18" s="155"/>
      <c r="H18" s="155"/>
      <c r="I18" s="155"/>
      <c r="J18" s="152"/>
      <c r="K18" s="165"/>
      <c r="L18" s="174"/>
    </row>
    <row r="19" spans="1:12" ht="15" customHeight="1" x14ac:dyDescent="0.25">
      <c r="A19" s="156" t="s">
        <v>20</v>
      </c>
      <c r="B19" s="149">
        <v>25</v>
      </c>
      <c r="C19" s="151">
        <v>51</v>
      </c>
      <c r="D19" s="162">
        <f>C19+B19</f>
        <v>76</v>
      </c>
      <c r="E19" s="58"/>
      <c r="F19" s="154">
        <v>10</v>
      </c>
      <c r="G19" s="154">
        <v>8</v>
      </c>
      <c r="H19" s="154">
        <v>0</v>
      </c>
      <c r="I19" s="154">
        <v>0</v>
      </c>
      <c r="J19" s="160">
        <f t="shared" ref="J19" si="4">SUM(F19:I20)</f>
        <v>18</v>
      </c>
      <c r="K19" s="164">
        <f>D19-J19</f>
        <v>58</v>
      </c>
      <c r="L19" s="170"/>
    </row>
    <row r="20" spans="1:12" ht="15.75" customHeight="1" thickBot="1" x14ac:dyDescent="0.3">
      <c r="A20" s="169"/>
      <c r="B20" s="150"/>
      <c r="C20" s="152"/>
      <c r="D20" s="163"/>
      <c r="E20" s="71"/>
      <c r="F20" s="155"/>
      <c r="G20" s="155"/>
      <c r="H20" s="155"/>
      <c r="I20" s="155"/>
      <c r="J20" s="161"/>
      <c r="K20" s="165"/>
      <c r="L20" s="170"/>
    </row>
    <row r="21" spans="1:12" ht="18" x14ac:dyDescent="0.25">
      <c r="A21" s="147" t="s">
        <v>21</v>
      </c>
      <c r="B21" s="149">
        <v>58</v>
      </c>
      <c r="C21" s="151">
        <v>0</v>
      </c>
      <c r="D21" s="149">
        <f>C21+B21</f>
        <v>58</v>
      </c>
      <c r="E21" s="60"/>
      <c r="F21" s="154">
        <v>30</v>
      </c>
      <c r="G21" s="154">
        <v>8</v>
      </c>
      <c r="H21" s="154">
        <v>0</v>
      </c>
      <c r="I21" s="154">
        <v>0</v>
      </c>
      <c r="J21" s="151">
        <f t="shared" ref="J21" si="5">SUM(F21:I22)</f>
        <v>38</v>
      </c>
      <c r="K21" s="164">
        <f>D21-J21</f>
        <v>20</v>
      </c>
      <c r="L21" s="54"/>
    </row>
    <row r="22" spans="1:12" ht="18.75" thickBot="1" x14ac:dyDescent="0.3">
      <c r="A22" s="148"/>
      <c r="B22" s="150"/>
      <c r="C22" s="152"/>
      <c r="D22" s="153"/>
      <c r="E22" s="65"/>
      <c r="F22" s="155"/>
      <c r="G22" s="155"/>
      <c r="H22" s="155"/>
      <c r="I22" s="155"/>
      <c r="J22" s="152"/>
      <c r="K22" s="165"/>
      <c r="L22" s="72"/>
    </row>
    <row r="23" spans="1:12" ht="15.75" customHeight="1" x14ac:dyDescent="0.25">
      <c r="A23" s="156" t="s">
        <v>22</v>
      </c>
      <c r="B23" s="149">
        <v>20</v>
      </c>
      <c r="C23" s="151">
        <v>200</v>
      </c>
      <c r="D23" s="162">
        <f>C23+B23</f>
        <v>220</v>
      </c>
      <c r="E23" s="58"/>
      <c r="F23" s="154">
        <v>90</v>
      </c>
      <c r="G23" s="154">
        <v>8</v>
      </c>
      <c r="H23" s="154">
        <v>0</v>
      </c>
      <c r="I23" s="154">
        <v>0</v>
      </c>
      <c r="J23" s="160">
        <f t="shared" ref="J23:J29" si="6">SUM(F23:I24)</f>
        <v>98</v>
      </c>
      <c r="K23" s="164">
        <f>D23-J23</f>
        <v>122</v>
      </c>
      <c r="L23" s="170"/>
    </row>
    <row r="24" spans="1:12" ht="16.5" customHeight="1" thickBot="1" x14ac:dyDescent="0.3">
      <c r="A24" s="169"/>
      <c r="B24" s="150"/>
      <c r="C24" s="152"/>
      <c r="D24" s="163"/>
      <c r="E24" s="59"/>
      <c r="F24" s="155"/>
      <c r="G24" s="155"/>
      <c r="H24" s="155"/>
      <c r="I24" s="155"/>
      <c r="J24" s="161"/>
      <c r="K24" s="165"/>
      <c r="L24" s="170"/>
    </row>
    <row r="25" spans="1:12" ht="15" customHeight="1" x14ac:dyDescent="0.25">
      <c r="A25" s="147" t="s">
        <v>23</v>
      </c>
      <c r="B25" s="149">
        <v>122</v>
      </c>
      <c r="C25" s="151">
        <v>104</v>
      </c>
      <c r="D25" s="149">
        <f>C25+B25</f>
        <v>226</v>
      </c>
      <c r="E25" s="69"/>
      <c r="F25" s="154">
        <v>84</v>
      </c>
      <c r="G25" s="154">
        <v>60</v>
      </c>
      <c r="H25" s="154">
        <v>0</v>
      </c>
      <c r="I25" s="154">
        <v>0</v>
      </c>
      <c r="J25" s="151">
        <f t="shared" si="6"/>
        <v>144</v>
      </c>
      <c r="K25" s="176">
        <f>D25-J25</f>
        <v>82</v>
      </c>
      <c r="L25" s="178"/>
    </row>
    <row r="26" spans="1:12" ht="16.5" customHeight="1" thickBot="1" x14ac:dyDescent="0.3">
      <c r="A26" s="175"/>
      <c r="B26" s="150"/>
      <c r="C26" s="152"/>
      <c r="D26" s="153"/>
      <c r="E26" s="70"/>
      <c r="F26" s="155"/>
      <c r="G26" s="155"/>
      <c r="H26" s="155"/>
      <c r="I26" s="155"/>
      <c r="J26" s="152"/>
      <c r="K26" s="177"/>
      <c r="L26" s="179"/>
    </row>
    <row r="27" spans="1:12" ht="15" customHeight="1" x14ac:dyDescent="0.25">
      <c r="A27" s="156" t="s">
        <v>24</v>
      </c>
      <c r="B27" s="149">
        <v>82</v>
      </c>
      <c r="C27" s="151">
        <v>12</v>
      </c>
      <c r="D27" s="162">
        <f>C27+B27</f>
        <v>94</v>
      </c>
      <c r="E27" s="68"/>
      <c r="F27" s="154">
        <v>19</v>
      </c>
      <c r="G27" s="154">
        <v>64</v>
      </c>
      <c r="H27" s="154">
        <v>0</v>
      </c>
      <c r="I27" s="154">
        <v>0</v>
      </c>
      <c r="J27" s="160">
        <f t="shared" si="6"/>
        <v>83</v>
      </c>
      <c r="K27" s="164">
        <f>D27-J27</f>
        <v>11</v>
      </c>
      <c r="L27" s="170"/>
    </row>
    <row r="28" spans="1:12" ht="16.5" customHeight="1" thickBot="1" x14ac:dyDescent="0.3">
      <c r="A28" s="169"/>
      <c r="B28" s="150"/>
      <c r="C28" s="152"/>
      <c r="D28" s="163"/>
      <c r="E28" s="62"/>
      <c r="F28" s="155"/>
      <c r="G28" s="155"/>
      <c r="H28" s="155"/>
      <c r="I28" s="155"/>
      <c r="J28" s="161"/>
      <c r="K28" s="165"/>
      <c r="L28" s="170"/>
    </row>
    <row r="29" spans="1:12" ht="15" customHeight="1" x14ac:dyDescent="0.25">
      <c r="A29" s="147" t="s">
        <v>25</v>
      </c>
      <c r="B29" s="149">
        <v>11</v>
      </c>
      <c r="C29" s="151">
        <v>214</v>
      </c>
      <c r="D29" s="149">
        <f>C29+B29</f>
        <v>225</v>
      </c>
      <c r="E29" s="66"/>
      <c r="F29" s="154">
        <v>93</v>
      </c>
      <c r="G29" s="154">
        <v>48</v>
      </c>
      <c r="H29" s="154">
        <v>0</v>
      </c>
      <c r="I29" s="154">
        <v>0</v>
      </c>
      <c r="J29" s="151">
        <f t="shared" si="6"/>
        <v>141</v>
      </c>
      <c r="K29" s="164">
        <f>D29-J29</f>
        <v>84</v>
      </c>
      <c r="L29" s="171"/>
    </row>
    <row r="30" spans="1:12" ht="15.75" customHeight="1" thickBot="1" x14ac:dyDescent="0.3">
      <c r="A30" s="148"/>
      <c r="B30" s="155"/>
      <c r="C30" s="161"/>
      <c r="D30" s="163"/>
      <c r="E30" s="62"/>
      <c r="F30" s="155"/>
      <c r="G30" s="155"/>
      <c r="H30" s="155"/>
      <c r="I30" s="155"/>
      <c r="J30" s="161"/>
      <c r="K30" s="168"/>
      <c r="L30" s="172"/>
    </row>
    <row r="31" spans="1:12" ht="15.75" customHeight="1" x14ac:dyDescent="0.25">
      <c r="A31" s="188" t="s">
        <v>26</v>
      </c>
      <c r="B31" s="182">
        <v>84</v>
      </c>
      <c r="C31" s="190">
        <v>102</v>
      </c>
      <c r="D31" s="192">
        <f>C31+B31</f>
        <v>186</v>
      </c>
      <c r="E31" s="122"/>
      <c r="F31" s="194">
        <v>127</v>
      </c>
      <c r="G31" s="182">
        <v>28</v>
      </c>
      <c r="H31" s="182">
        <v>0</v>
      </c>
      <c r="I31" s="182">
        <v>0</v>
      </c>
      <c r="J31" s="182">
        <f>SUM(F31:I32)</f>
        <v>155</v>
      </c>
      <c r="K31" s="184">
        <f>D31-J31</f>
        <v>31</v>
      </c>
      <c r="L31" s="171"/>
    </row>
    <row r="32" spans="1:12" ht="18" customHeight="1" thickBot="1" x14ac:dyDescent="0.3">
      <c r="A32" s="189"/>
      <c r="B32" s="183"/>
      <c r="C32" s="191"/>
      <c r="D32" s="193"/>
      <c r="E32" s="125"/>
      <c r="F32" s="195"/>
      <c r="G32" s="183"/>
      <c r="H32" s="183"/>
      <c r="I32" s="183"/>
      <c r="J32" s="183"/>
      <c r="K32" s="185"/>
      <c r="L32" s="172"/>
    </row>
    <row r="33" spans="1:12" ht="18.75" thickBot="1" x14ac:dyDescent="0.3">
      <c r="A33" s="186" t="s">
        <v>27</v>
      </c>
      <c r="B33" s="187"/>
      <c r="C33" s="126">
        <f>SUM(C9:C32)</f>
        <v>1303</v>
      </c>
      <c r="D33" s="127"/>
      <c r="E33" s="126"/>
      <c r="F33" s="128">
        <f>SUM(F9:F32)</f>
        <v>1011</v>
      </c>
      <c r="G33" s="128">
        <f>SUM(G9:G32)</f>
        <v>273</v>
      </c>
      <c r="H33" s="126">
        <f>SUM(H9:H32)</f>
        <v>0</v>
      </c>
      <c r="I33" s="128">
        <f>SUM(I9:I32)</f>
        <v>0</v>
      </c>
      <c r="J33" s="126">
        <f>SUM(J9:J32)</f>
        <v>1284</v>
      </c>
      <c r="K33" s="127">
        <f>SUM(F33:I33)-J33</f>
        <v>0</v>
      </c>
      <c r="L33" s="7"/>
    </row>
    <row r="35" spans="1:12" x14ac:dyDescent="0.25">
      <c r="A35" s="180" t="s">
        <v>28</v>
      </c>
      <c r="B35" s="180"/>
      <c r="C35" s="180"/>
      <c r="D35" s="8"/>
      <c r="E35" s="9"/>
      <c r="F35" s="9" t="s">
        <v>29</v>
      </c>
      <c r="G35" s="9"/>
      <c r="H35" s="9"/>
      <c r="I35" s="9"/>
      <c r="J35" s="9"/>
      <c r="K35" s="181" t="s">
        <v>30</v>
      </c>
      <c r="L35" s="181"/>
    </row>
  </sheetData>
  <mergeCells count="149">
    <mergeCell ref="H27:H28"/>
    <mergeCell ref="I27:I28"/>
    <mergeCell ref="J27:J28"/>
    <mergeCell ref="K27:K28"/>
    <mergeCell ref="L27:L28"/>
    <mergeCell ref="G27:G28"/>
    <mergeCell ref="A35:C35"/>
    <mergeCell ref="K35:L35"/>
    <mergeCell ref="H31:H32"/>
    <mergeCell ref="I31:I32"/>
    <mergeCell ref="J31:J32"/>
    <mergeCell ref="K31:K32"/>
    <mergeCell ref="L31:L32"/>
    <mergeCell ref="A33:B33"/>
    <mergeCell ref="A31:A32"/>
    <mergeCell ref="B31:B32"/>
    <mergeCell ref="C31:C32"/>
    <mergeCell ref="D31:D32"/>
    <mergeCell ref="F31:F32"/>
    <mergeCell ref="G31:G32"/>
    <mergeCell ref="J25:J26"/>
    <mergeCell ref="K25:K26"/>
    <mergeCell ref="L25:L26"/>
    <mergeCell ref="H23:H24"/>
    <mergeCell ref="I23:I24"/>
    <mergeCell ref="J23:J24"/>
    <mergeCell ref="K23:K24"/>
    <mergeCell ref="L23:L24"/>
    <mergeCell ref="A29:A30"/>
    <mergeCell ref="B29:B30"/>
    <mergeCell ref="C29:C30"/>
    <mergeCell ref="D29:D30"/>
    <mergeCell ref="F29:F30"/>
    <mergeCell ref="A27:A28"/>
    <mergeCell ref="B27:B28"/>
    <mergeCell ref="C27:C28"/>
    <mergeCell ref="D27:D28"/>
    <mergeCell ref="F27:F28"/>
    <mergeCell ref="G29:G30"/>
    <mergeCell ref="H29:H30"/>
    <mergeCell ref="I29:I30"/>
    <mergeCell ref="J29:J30"/>
    <mergeCell ref="K29:K30"/>
    <mergeCell ref="L29:L30"/>
    <mergeCell ref="A25:A26"/>
    <mergeCell ref="B25:B26"/>
    <mergeCell ref="C25:C26"/>
    <mergeCell ref="D25:D26"/>
    <mergeCell ref="F25:F26"/>
    <mergeCell ref="H21:H22"/>
    <mergeCell ref="I21:I22"/>
    <mergeCell ref="J21:J22"/>
    <mergeCell ref="K21:K22"/>
    <mergeCell ref="A23:A24"/>
    <mergeCell ref="B23:B24"/>
    <mergeCell ref="C23:C24"/>
    <mergeCell ref="D23:D24"/>
    <mergeCell ref="F23:F24"/>
    <mergeCell ref="G23:G24"/>
    <mergeCell ref="A21:A22"/>
    <mergeCell ref="B21:B22"/>
    <mergeCell ref="C21:C22"/>
    <mergeCell ref="D21:D22"/>
    <mergeCell ref="F21:F22"/>
    <mergeCell ref="G21:G22"/>
    <mergeCell ref="G25:G26"/>
    <mergeCell ref="H25:H26"/>
    <mergeCell ref="I25:I26"/>
    <mergeCell ref="G19:G20"/>
    <mergeCell ref="H19:H20"/>
    <mergeCell ref="I19:I20"/>
    <mergeCell ref="J19:J20"/>
    <mergeCell ref="K19:K20"/>
    <mergeCell ref="L19:L20"/>
    <mergeCell ref="H17:H18"/>
    <mergeCell ref="I17:I18"/>
    <mergeCell ref="J17:J18"/>
    <mergeCell ref="K17:K18"/>
    <mergeCell ref="L17:L18"/>
    <mergeCell ref="G17:G18"/>
    <mergeCell ref="A19:A20"/>
    <mergeCell ref="B19:B20"/>
    <mergeCell ref="C19:C20"/>
    <mergeCell ref="D19:D20"/>
    <mergeCell ref="F19:F20"/>
    <mergeCell ref="A17:A18"/>
    <mergeCell ref="B17:B18"/>
    <mergeCell ref="C17:C18"/>
    <mergeCell ref="D17:D18"/>
    <mergeCell ref="F17:F18"/>
    <mergeCell ref="G15:G16"/>
    <mergeCell ref="H15:H16"/>
    <mergeCell ref="I15:I16"/>
    <mergeCell ref="J15:J16"/>
    <mergeCell ref="K15:K16"/>
    <mergeCell ref="L15:L16"/>
    <mergeCell ref="H13:H14"/>
    <mergeCell ref="I13:I14"/>
    <mergeCell ref="J13:J14"/>
    <mergeCell ref="K13:K14"/>
    <mergeCell ref="L13:L14"/>
    <mergeCell ref="G13:G14"/>
    <mergeCell ref="A15:A16"/>
    <mergeCell ref="B15:B16"/>
    <mergeCell ref="C15:C16"/>
    <mergeCell ref="D15:D16"/>
    <mergeCell ref="F15:F16"/>
    <mergeCell ref="A13:A14"/>
    <mergeCell ref="B13:B14"/>
    <mergeCell ref="C13:C14"/>
    <mergeCell ref="D13:D14"/>
    <mergeCell ref="F13:F14"/>
    <mergeCell ref="G11:G12"/>
    <mergeCell ref="H11:H12"/>
    <mergeCell ref="I11:I12"/>
    <mergeCell ref="J11:J12"/>
    <mergeCell ref="K11:K12"/>
    <mergeCell ref="L11:L12"/>
    <mergeCell ref="H9:H10"/>
    <mergeCell ref="I9:I10"/>
    <mergeCell ref="J9:J10"/>
    <mergeCell ref="K9:K10"/>
    <mergeCell ref="L9:L10"/>
    <mergeCell ref="G9:G10"/>
    <mergeCell ref="A11:A12"/>
    <mergeCell ref="B11:B12"/>
    <mergeCell ref="C11:C12"/>
    <mergeCell ref="D11:D12"/>
    <mergeCell ref="F11:F12"/>
    <mergeCell ref="A9:A10"/>
    <mergeCell ref="B9:B10"/>
    <mergeCell ref="C9:C10"/>
    <mergeCell ref="D9:D10"/>
    <mergeCell ref="F9:F10"/>
    <mergeCell ref="A1:C1"/>
    <mergeCell ref="J1:L1"/>
    <mergeCell ref="A2:C2"/>
    <mergeCell ref="J2:L2"/>
    <mergeCell ref="A3:C3"/>
    <mergeCell ref="J3:L3"/>
    <mergeCell ref="D4:L4"/>
    <mergeCell ref="C5:J5"/>
    <mergeCell ref="A7:A8"/>
    <mergeCell ref="B7:B8"/>
    <mergeCell ref="C7:C8"/>
    <mergeCell ref="D7:D8"/>
    <mergeCell ref="F7:J7"/>
    <mergeCell ref="K7:K8"/>
    <mergeCell ref="L7:L8"/>
  </mergeCells>
  <pageMargins left="0.19685039370078741" right="0.19685039370078741" top="0.31496062992125984" bottom="0.47244094488188981" header="0.19685039370078741" footer="0.31496062992125984"/>
  <pageSetup scale="85" orientation="landscape" horizontalDpi="36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35"/>
  <sheetViews>
    <sheetView topLeftCell="A3" zoomScale="85" zoomScaleNormal="85" workbookViewId="0">
      <selection activeCell="J33" sqref="J33"/>
    </sheetView>
  </sheetViews>
  <sheetFormatPr baseColWidth="10" defaultColWidth="11.42578125" defaultRowHeight="15" x14ac:dyDescent="0.25"/>
  <cols>
    <col min="1" max="1" width="12.5703125" customWidth="1"/>
    <col min="2" max="2" width="13.28515625" customWidth="1"/>
    <col min="3" max="3" width="8.140625" customWidth="1"/>
    <col min="4" max="4" width="8.42578125" customWidth="1"/>
    <col min="5" max="5" width="20.5703125" customWidth="1"/>
    <col min="6" max="6" width="13.140625" customWidth="1"/>
    <col min="7" max="7" width="11.5703125" customWidth="1"/>
    <col min="8" max="8" width="7.5703125" customWidth="1"/>
    <col min="9" max="9" width="10.42578125" customWidth="1"/>
    <col min="10" max="10" width="8.28515625" customWidth="1"/>
    <col min="11" max="11" width="7.5703125" customWidth="1"/>
    <col min="12" max="12" width="34.140625" customWidth="1"/>
  </cols>
  <sheetData>
    <row r="1" spans="1:12" ht="18" x14ac:dyDescent="0.25">
      <c r="A1" s="132" t="s">
        <v>0</v>
      </c>
      <c r="B1" s="132"/>
      <c r="C1" s="132"/>
      <c r="D1" s="1"/>
      <c r="E1" s="1"/>
      <c r="F1" s="2"/>
      <c r="G1" s="2"/>
      <c r="H1" s="2"/>
      <c r="I1" s="2"/>
      <c r="J1" s="133" t="s">
        <v>134</v>
      </c>
      <c r="K1" s="133"/>
      <c r="L1" s="133"/>
    </row>
    <row r="2" spans="1:12" ht="15.75" x14ac:dyDescent="0.25">
      <c r="A2" s="134" t="s">
        <v>1</v>
      </c>
      <c r="B2" s="134"/>
      <c r="C2" s="134"/>
      <c r="D2" s="3"/>
      <c r="E2" s="3"/>
      <c r="F2" s="2"/>
      <c r="G2" s="2"/>
      <c r="H2" s="2"/>
      <c r="I2" s="2"/>
      <c r="J2" s="134" t="s">
        <v>6</v>
      </c>
      <c r="K2" s="134"/>
      <c r="L2" s="134"/>
    </row>
    <row r="3" spans="1:12" x14ac:dyDescent="0.25">
      <c r="A3" s="133" t="s">
        <v>7</v>
      </c>
      <c r="B3" s="133"/>
      <c r="C3" s="133"/>
      <c r="D3" s="4"/>
      <c r="E3" s="4"/>
      <c r="F3" s="2"/>
      <c r="G3" s="2"/>
      <c r="H3" s="2"/>
      <c r="I3" s="2"/>
      <c r="J3" s="133" t="s">
        <v>8</v>
      </c>
      <c r="K3" s="133"/>
      <c r="L3" s="133"/>
    </row>
    <row r="4" spans="1:12" ht="18" x14ac:dyDescent="0.25">
      <c r="A4" s="1"/>
      <c r="B4" s="1"/>
      <c r="C4" s="1"/>
      <c r="D4" s="132" t="s">
        <v>9</v>
      </c>
      <c r="E4" s="132"/>
      <c r="F4" s="132"/>
      <c r="G4" s="132"/>
      <c r="H4" s="132"/>
      <c r="I4" s="132"/>
      <c r="J4" s="132"/>
      <c r="K4" s="132"/>
      <c r="L4" s="132"/>
    </row>
    <row r="5" spans="1:12" ht="18" x14ac:dyDescent="0.25">
      <c r="A5" s="1"/>
      <c r="B5" s="1"/>
      <c r="C5" s="132" t="s">
        <v>140</v>
      </c>
      <c r="D5" s="132"/>
      <c r="E5" s="132"/>
      <c r="F5" s="132"/>
      <c r="G5" s="132"/>
      <c r="H5" s="132"/>
      <c r="I5" s="132"/>
      <c r="J5" s="132"/>
      <c r="K5" s="1"/>
      <c r="L5" s="1"/>
    </row>
    <row r="6" spans="1:12" ht="15.75" thickBot="1" x14ac:dyDescent="0.3"/>
    <row r="7" spans="1:12" ht="15.75" thickBot="1" x14ac:dyDescent="0.3">
      <c r="A7" s="135" t="s">
        <v>2</v>
      </c>
      <c r="B7" s="137" t="s">
        <v>33</v>
      </c>
      <c r="C7" s="139" t="s">
        <v>10</v>
      </c>
      <c r="D7" s="141" t="s">
        <v>11</v>
      </c>
      <c r="E7" s="51" t="s">
        <v>12</v>
      </c>
      <c r="F7" s="143" t="s">
        <v>38</v>
      </c>
      <c r="G7" s="144"/>
      <c r="H7" s="144"/>
      <c r="I7" s="144"/>
      <c r="J7" s="144"/>
      <c r="K7" s="145" t="s">
        <v>37</v>
      </c>
      <c r="L7" s="141" t="s">
        <v>13</v>
      </c>
    </row>
    <row r="8" spans="1:12" ht="39" thickBot="1" x14ac:dyDescent="0.3">
      <c r="A8" s="136"/>
      <c r="B8" s="138"/>
      <c r="C8" s="140"/>
      <c r="D8" s="142"/>
      <c r="E8" s="74" t="s">
        <v>14</v>
      </c>
      <c r="F8" s="10" t="s">
        <v>3</v>
      </c>
      <c r="G8" s="10" t="s">
        <v>34</v>
      </c>
      <c r="H8" s="28" t="s">
        <v>4</v>
      </c>
      <c r="I8" s="10" t="s">
        <v>35</v>
      </c>
      <c r="J8" s="131" t="s">
        <v>36</v>
      </c>
      <c r="K8" s="146"/>
      <c r="L8" s="142"/>
    </row>
    <row r="9" spans="1:12" ht="15.75" x14ac:dyDescent="0.25">
      <c r="A9" s="156" t="s">
        <v>15</v>
      </c>
      <c r="B9" s="158">
        <v>31</v>
      </c>
      <c r="C9" s="160">
        <v>101</v>
      </c>
      <c r="D9" s="162">
        <f>C9+B9</f>
        <v>132</v>
      </c>
      <c r="E9" s="58"/>
      <c r="F9" s="154">
        <v>40</v>
      </c>
      <c r="G9" s="154">
        <v>82</v>
      </c>
      <c r="H9" s="160">
        <v>0</v>
      </c>
      <c r="I9" s="154">
        <v>0</v>
      </c>
      <c r="J9" s="160">
        <f>SUM(F9:I10)</f>
        <v>122</v>
      </c>
      <c r="K9" s="164">
        <f>D9-J9</f>
        <v>10</v>
      </c>
      <c r="L9" s="166"/>
    </row>
    <row r="10" spans="1:12" ht="16.5" thickBot="1" x14ac:dyDescent="0.3">
      <c r="A10" s="157"/>
      <c r="B10" s="159"/>
      <c r="C10" s="161"/>
      <c r="D10" s="163"/>
      <c r="E10" s="59"/>
      <c r="F10" s="155"/>
      <c r="G10" s="155"/>
      <c r="H10" s="161"/>
      <c r="I10" s="155"/>
      <c r="J10" s="161"/>
      <c r="K10" s="168"/>
      <c r="L10" s="167"/>
    </row>
    <row r="11" spans="1:12" ht="16.5" customHeight="1" x14ac:dyDescent="0.25">
      <c r="A11" s="147" t="s">
        <v>16</v>
      </c>
      <c r="B11" s="149">
        <f>K9</f>
        <v>10</v>
      </c>
      <c r="C11" s="151">
        <v>100</v>
      </c>
      <c r="D11" s="149">
        <f>C11+B11</f>
        <v>110</v>
      </c>
      <c r="E11" s="60"/>
      <c r="F11" s="154">
        <v>9</v>
      </c>
      <c r="G11" s="154">
        <v>1</v>
      </c>
      <c r="H11" s="154">
        <v>0</v>
      </c>
      <c r="I11" s="154">
        <v>0</v>
      </c>
      <c r="J11" s="151">
        <f t="shared" ref="J11" si="0">SUM(F11:I12)</f>
        <v>10</v>
      </c>
      <c r="K11" s="164">
        <f>D11-J11</f>
        <v>100</v>
      </c>
      <c r="L11" s="166"/>
    </row>
    <row r="12" spans="1:12" ht="16.5" customHeight="1" thickBot="1" x14ac:dyDescent="0.3">
      <c r="A12" s="148"/>
      <c r="B12" s="150"/>
      <c r="C12" s="152"/>
      <c r="D12" s="153"/>
      <c r="E12" s="61"/>
      <c r="F12" s="155"/>
      <c r="G12" s="155"/>
      <c r="H12" s="155"/>
      <c r="I12" s="155"/>
      <c r="J12" s="152"/>
      <c r="K12" s="165"/>
      <c r="L12" s="167"/>
    </row>
    <row r="13" spans="1:12" ht="15.75" customHeight="1" x14ac:dyDescent="0.25">
      <c r="A13" s="147" t="s">
        <v>17</v>
      </c>
      <c r="B13" s="149">
        <f>K11</f>
        <v>100</v>
      </c>
      <c r="C13" s="151">
        <v>50</v>
      </c>
      <c r="D13" s="149">
        <f>C13+B13</f>
        <v>150</v>
      </c>
      <c r="E13" s="69"/>
      <c r="F13" s="154">
        <v>111</v>
      </c>
      <c r="G13" s="154">
        <v>10</v>
      </c>
      <c r="H13" s="154">
        <v>0</v>
      </c>
      <c r="I13" s="154">
        <v>0</v>
      </c>
      <c r="J13" s="151">
        <f t="shared" ref="J13" si="1">SUM(F13:I14)</f>
        <v>121</v>
      </c>
      <c r="K13" s="164">
        <f>D13-J13</f>
        <v>29</v>
      </c>
      <c r="L13" s="171"/>
    </row>
    <row r="14" spans="1:12" ht="16.5" customHeight="1" thickBot="1" x14ac:dyDescent="0.3">
      <c r="A14" s="148"/>
      <c r="B14" s="150"/>
      <c r="C14" s="152"/>
      <c r="D14" s="153"/>
      <c r="E14" s="73"/>
      <c r="F14" s="155"/>
      <c r="G14" s="155"/>
      <c r="H14" s="155"/>
      <c r="I14" s="155"/>
      <c r="J14" s="152"/>
      <c r="K14" s="165"/>
      <c r="L14" s="172"/>
    </row>
    <row r="15" spans="1:12" ht="15.75" customHeight="1" x14ac:dyDescent="0.25">
      <c r="A15" s="156" t="s">
        <v>18</v>
      </c>
      <c r="B15" s="149">
        <f t="shared" ref="B15" si="2">K13</f>
        <v>29</v>
      </c>
      <c r="C15" s="151">
        <v>101</v>
      </c>
      <c r="D15" s="149">
        <f>C15+B15</f>
        <v>130</v>
      </c>
      <c r="E15" s="58"/>
      <c r="F15" s="154">
        <v>36</v>
      </c>
      <c r="G15" s="154">
        <v>11</v>
      </c>
      <c r="H15" s="154">
        <v>0</v>
      </c>
      <c r="I15" s="154">
        <v>0</v>
      </c>
      <c r="J15" s="160">
        <f t="shared" ref="J15" si="3">SUM(F15:I16)</f>
        <v>47</v>
      </c>
      <c r="K15" s="164">
        <f>D15-J15</f>
        <v>83</v>
      </c>
      <c r="L15" s="170"/>
    </row>
    <row r="16" spans="1:12" ht="16.5" customHeight="1" thickBot="1" x14ac:dyDescent="0.3">
      <c r="A16" s="169"/>
      <c r="B16" s="150"/>
      <c r="C16" s="152"/>
      <c r="D16" s="153"/>
      <c r="E16" s="71"/>
      <c r="F16" s="155"/>
      <c r="G16" s="155"/>
      <c r="H16" s="155"/>
      <c r="I16" s="155"/>
      <c r="J16" s="161"/>
      <c r="K16" s="165"/>
      <c r="L16" s="170"/>
    </row>
    <row r="17" spans="1:12" ht="15.75" customHeight="1" x14ac:dyDescent="0.25">
      <c r="A17" s="147" t="s">
        <v>19</v>
      </c>
      <c r="B17" s="149">
        <f t="shared" ref="B17" si="4">K15</f>
        <v>83</v>
      </c>
      <c r="C17" s="151">
        <v>201</v>
      </c>
      <c r="D17" s="149">
        <f>C17+B17</f>
        <v>284</v>
      </c>
      <c r="E17" s="69"/>
      <c r="F17" s="154">
        <v>105</v>
      </c>
      <c r="G17" s="154">
        <v>82</v>
      </c>
      <c r="H17" s="154">
        <v>0</v>
      </c>
      <c r="I17" s="154">
        <v>0</v>
      </c>
      <c r="J17" s="151">
        <f t="shared" ref="J17" si="5">SUM(F17:I18)</f>
        <v>187</v>
      </c>
      <c r="K17" s="164">
        <f>D17-J17</f>
        <v>97</v>
      </c>
      <c r="L17" s="173"/>
    </row>
    <row r="18" spans="1:12" ht="16.5" customHeight="1" thickBot="1" x14ac:dyDescent="0.3">
      <c r="A18" s="148"/>
      <c r="B18" s="150"/>
      <c r="C18" s="152"/>
      <c r="D18" s="153"/>
      <c r="E18" s="73"/>
      <c r="F18" s="155"/>
      <c r="G18" s="155"/>
      <c r="H18" s="155"/>
      <c r="I18" s="155"/>
      <c r="J18" s="152"/>
      <c r="K18" s="165"/>
      <c r="L18" s="174"/>
    </row>
    <row r="19" spans="1:12" ht="15" customHeight="1" x14ac:dyDescent="0.25">
      <c r="A19" s="156" t="s">
        <v>20</v>
      </c>
      <c r="B19" s="149">
        <f t="shared" ref="B19" si="6">K17</f>
        <v>97</v>
      </c>
      <c r="C19" s="151">
        <v>111</v>
      </c>
      <c r="D19" s="162">
        <f>C19+B19</f>
        <v>208</v>
      </c>
      <c r="E19" s="58"/>
      <c r="F19" s="154">
        <v>55</v>
      </c>
      <c r="G19" s="154">
        <v>51</v>
      </c>
      <c r="H19" s="154">
        <v>0</v>
      </c>
      <c r="I19" s="154">
        <v>0</v>
      </c>
      <c r="J19" s="160">
        <f t="shared" ref="J19" si="7">SUM(F19:I20)</f>
        <v>106</v>
      </c>
      <c r="K19" s="164">
        <f>D19-J19</f>
        <v>102</v>
      </c>
      <c r="L19" s="170"/>
    </row>
    <row r="20" spans="1:12" ht="15.75" customHeight="1" thickBot="1" x14ac:dyDescent="0.3">
      <c r="A20" s="169"/>
      <c r="B20" s="150"/>
      <c r="C20" s="152"/>
      <c r="D20" s="163"/>
      <c r="E20" s="71"/>
      <c r="F20" s="155"/>
      <c r="G20" s="155"/>
      <c r="H20" s="155"/>
      <c r="I20" s="155"/>
      <c r="J20" s="161"/>
      <c r="K20" s="165"/>
      <c r="L20" s="170"/>
    </row>
    <row r="21" spans="1:12" ht="18" x14ac:dyDescent="0.25">
      <c r="A21" s="147" t="s">
        <v>21</v>
      </c>
      <c r="B21" s="149">
        <f t="shared" ref="B21" si="8">K19</f>
        <v>102</v>
      </c>
      <c r="C21" s="151">
        <v>100</v>
      </c>
      <c r="D21" s="149">
        <f>C21+B21</f>
        <v>202</v>
      </c>
      <c r="E21" s="60"/>
      <c r="F21" s="154">
        <v>72</v>
      </c>
      <c r="G21" s="154">
        <v>10</v>
      </c>
      <c r="H21" s="154">
        <v>0</v>
      </c>
      <c r="I21" s="154">
        <v>0</v>
      </c>
      <c r="J21" s="151">
        <f t="shared" ref="J21" si="9">SUM(F21:I22)</f>
        <v>82</v>
      </c>
      <c r="K21" s="164">
        <f>D21-J21</f>
        <v>120</v>
      </c>
      <c r="L21" s="54"/>
    </row>
    <row r="22" spans="1:12" ht="18.75" thickBot="1" x14ac:dyDescent="0.3">
      <c r="A22" s="148"/>
      <c r="B22" s="150"/>
      <c r="C22" s="152"/>
      <c r="D22" s="153"/>
      <c r="E22" s="65"/>
      <c r="F22" s="155"/>
      <c r="G22" s="155"/>
      <c r="H22" s="155"/>
      <c r="I22" s="155"/>
      <c r="J22" s="152"/>
      <c r="K22" s="165"/>
      <c r="L22" s="72"/>
    </row>
    <row r="23" spans="1:12" ht="15.75" customHeight="1" x14ac:dyDescent="0.25">
      <c r="A23" s="156" t="s">
        <v>22</v>
      </c>
      <c r="B23" s="149">
        <f t="shared" ref="B23" si="10">K21</f>
        <v>120</v>
      </c>
      <c r="C23" s="151">
        <v>2</v>
      </c>
      <c r="D23" s="162">
        <f>C23+B23</f>
        <v>122</v>
      </c>
      <c r="E23" s="58"/>
      <c r="F23" s="154">
        <v>70</v>
      </c>
      <c r="G23" s="154">
        <v>19</v>
      </c>
      <c r="H23" s="154">
        <v>0</v>
      </c>
      <c r="I23" s="154">
        <v>0</v>
      </c>
      <c r="J23" s="160">
        <f t="shared" ref="J23:J29" si="11">SUM(F23:I24)</f>
        <v>89</v>
      </c>
      <c r="K23" s="164">
        <f>D23-J23</f>
        <v>33</v>
      </c>
      <c r="L23" s="170"/>
    </row>
    <row r="24" spans="1:12" ht="16.5" customHeight="1" thickBot="1" x14ac:dyDescent="0.3">
      <c r="A24" s="169"/>
      <c r="B24" s="150"/>
      <c r="C24" s="152"/>
      <c r="D24" s="163"/>
      <c r="E24" s="59"/>
      <c r="F24" s="155"/>
      <c r="G24" s="155"/>
      <c r="H24" s="155"/>
      <c r="I24" s="155"/>
      <c r="J24" s="161"/>
      <c r="K24" s="165"/>
      <c r="L24" s="170"/>
    </row>
    <row r="25" spans="1:12" ht="15" customHeight="1" x14ac:dyDescent="0.25">
      <c r="A25" s="147" t="s">
        <v>23</v>
      </c>
      <c r="B25" s="149">
        <f t="shared" ref="B25" si="12">K23</f>
        <v>33</v>
      </c>
      <c r="C25" s="151">
        <v>201</v>
      </c>
      <c r="D25" s="149">
        <f>C25+B25</f>
        <v>234</v>
      </c>
      <c r="E25" s="69"/>
      <c r="F25" s="154">
        <v>62</v>
      </c>
      <c r="G25" s="154">
        <v>114</v>
      </c>
      <c r="H25" s="154">
        <v>0</v>
      </c>
      <c r="I25" s="154">
        <v>0</v>
      </c>
      <c r="J25" s="151">
        <f t="shared" si="11"/>
        <v>176</v>
      </c>
      <c r="K25" s="176">
        <f>D25-J25</f>
        <v>58</v>
      </c>
      <c r="L25" s="178"/>
    </row>
    <row r="26" spans="1:12" ht="16.5" customHeight="1" thickBot="1" x14ac:dyDescent="0.3">
      <c r="A26" s="175"/>
      <c r="B26" s="150"/>
      <c r="C26" s="152"/>
      <c r="D26" s="153"/>
      <c r="E26" s="70"/>
      <c r="F26" s="155"/>
      <c r="G26" s="155"/>
      <c r="H26" s="155"/>
      <c r="I26" s="155"/>
      <c r="J26" s="152"/>
      <c r="K26" s="177"/>
      <c r="L26" s="179"/>
    </row>
    <row r="27" spans="1:12" ht="15" customHeight="1" x14ac:dyDescent="0.25">
      <c r="A27" s="156" t="s">
        <v>24</v>
      </c>
      <c r="B27" s="149">
        <f>K25</f>
        <v>58</v>
      </c>
      <c r="C27" s="151">
        <v>200</v>
      </c>
      <c r="D27" s="162">
        <f>C27+B27</f>
        <v>258</v>
      </c>
      <c r="E27" s="68"/>
      <c r="F27" s="154">
        <v>44</v>
      </c>
      <c r="G27" s="154">
        <v>185</v>
      </c>
      <c r="H27" s="154">
        <v>0</v>
      </c>
      <c r="I27" s="154">
        <v>0</v>
      </c>
      <c r="J27" s="160">
        <f t="shared" si="11"/>
        <v>229</v>
      </c>
      <c r="K27" s="164">
        <f>D27-J27</f>
        <v>29</v>
      </c>
      <c r="L27" s="170"/>
    </row>
    <row r="28" spans="1:12" ht="16.5" customHeight="1" thickBot="1" x14ac:dyDescent="0.3">
      <c r="A28" s="169"/>
      <c r="B28" s="150"/>
      <c r="C28" s="152"/>
      <c r="D28" s="163"/>
      <c r="E28" s="62"/>
      <c r="F28" s="155"/>
      <c r="G28" s="155"/>
      <c r="H28" s="155"/>
      <c r="I28" s="155"/>
      <c r="J28" s="161"/>
      <c r="K28" s="165"/>
      <c r="L28" s="170"/>
    </row>
    <row r="29" spans="1:12" ht="15" customHeight="1" x14ac:dyDescent="0.25">
      <c r="A29" s="147" t="s">
        <v>25</v>
      </c>
      <c r="B29" s="149">
        <f>K27</f>
        <v>29</v>
      </c>
      <c r="C29" s="151">
        <v>400</v>
      </c>
      <c r="D29" s="149">
        <f>C29+B29</f>
        <v>429</v>
      </c>
      <c r="E29" s="66"/>
      <c r="F29" s="154">
        <v>29</v>
      </c>
      <c r="G29" s="154">
        <v>306</v>
      </c>
      <c r="H29" s="154">
        <v>0</v>
      </c>
      <c r="I29" s="154">
        <v>0</v>
      </c>
      <c r="J29" s="151">
        <f t="shared" si="11"/>
        <v>335</v>
      </c>
      <c r="K29" s="164">
        <f>D29-J29</f>
        <v>94</v>
      </c>
      <c r="L29" s="171"/>
    </row>
    <row r="30" spans="1:12" ht="15.75" customHeight="1" thickBot="1" x14ac:dyDescent="0.3">
      <c r="A30" s="148"/>
      <c r="B30" s="150"/>
      <c r="C30" s="161"/>
      <c r="D30" s="163"/>
      <c r="E30" s="62"/>
      <c r="F30" s="155"/>
      <c r="G30" s="155"/>
      <c r="H30" s="155"/>
      <c r="I30" s="155"/>
      <c r="J30" s="161"/>
      <c r="K30" s="168"/>
      <c r="L30" s="172"/>
    </row>
    <row r="31" spans="1:12" ht="15.75" customHeight="1" x14ac:dyDescent="0.25">
      <c r="A31" s="188" t="s">
        <v>26</v>
      </c>
      <c r="B31" s="149">
        <f t="shared" ref="B31" si="13">K29</f>
        <v>94</v>
      </c>
      <c r="C31" s="190">
        <v>250</v>
      </c>
      <c r="D31" s="192">
        <f>C31+B31</f>
        <v>344</v>
      </c>
      <c r="E31" s="122"/>
      <c r="F31" s="194">
        <v>38</v>
      </c>
      <c r="G31" s="182">
        <v>306</v>
      </c>
      <c r="H31" s="182">
        <v>0</v>
      </c>
      <c r="I31" s="182">
        <v>0</v>
      </c>
      <c r="J31" s="182">
        <f>SUM(F31:I32)</f>
        <v>344</v>
      </c>
      <c r="K31" s="184">
        <f>D31-J31</f>
        <v>0</v>
      </c>
      <c r="L31" s="171"/>
    </row>
    <row r="32" spans="1:12" ht="18" customHeight="1" thickBot="1" x14ac:dyDescent="0.3">
      <c r="A32" s="189"/>
      <c r="B32" s="150"/>
      <c r="C32" s="191"/>
      <c r="D32" s="193"/>
      <c r="E32" s="125"/>
      <c r="F32" s="195"/>
      <c r="G32" s="183"/>
      <c r="H32" s="183"/>
      <c r="I32" s="183"/>
      <c r="J32" s="183"/>
      <c r="K32" s="185"/>
      <c r="L32" s="172"/>
    </row>
    <row r="33" spans="1:12" ht="18.75" thickBot="1" x14ac:dyDescent="0.3">
      <c r="A33" s="186" t="s">
        <v>27</v>
      </c>
      <c r="B33" s="187"/>
      <c r="C33" s="126">
        <f>SUM(C9:C32)</f>
        <v>1817</v>
      </c>
      <c r="D33" s="127"/>
      <c r="E33" s="126"/>
      <c r="F33" s="128">
        <f>SUM(F9:F32)</f>
        <v>671</v>
      </c>
      <c r="G33" s="128">
        <f>SUM(G9:G32)</f>
        <v>1177</v>
      </c>
      <c r="H33" s="126">
        <f>SUM(H9:H32)</f>
        <v>0</v>
      </c>
      <c r="I33" s="128">
        <f>SUM(I9:I32)</f>
        <v>0</v>
      </c>
      <c r="J33" s="126">
        <f>SUM(J9:J32)</f>
        <v>1848</v>
      </c>
      <c r="K33" s="127">
        <f>SUM(F33:I33)-J33</f>
        <v>0</v>
      </c>
      <c r="L33" s="7"/>
    </row>
    <row r="35" spans="1:12" x14ac:dyDescent="0.25">
      <c r="A35" s="180" t="s">
        <v>28</v>
      </c>
      <c r="B35" s="180"/>
      <c r="C35" s="180"/>
      <c r="D35" s="8"/>
      <c r="E35" s="9"/>
      <c r="F35" s="9" t="s">
        <v>29</v>
      </c>
      <c r="G35" s="9"/>
      <c r="H35" s="9"/>
      <c r="I35" s="9"/>
      <c r="J35" s="9"/>
      <c r="K35" s="181" t="s">
        <v>30</v>
      </c>
      <c r="L35" s="181"/>
    </row>
  </sheetData>
  <mergeCells count="149">
    <mergeCell ref="A1:C1"/>
    <mergeCell ref="J1:L1"/>
    <mergeCell ref="A2:C2"/>
    <mergeCell ref="J2:L2"/>
    <mergeCell ref="A3:C3"/>
    <mergeCell ref="J3:L3"/>
    <mergeCell ref="D4:L4"/>
    <mergeCell ref="C5:J5"/>
    <mergeCell ref="A7:A8"/>
    <mergeCell ref="B7:B8"/>
    <mergeCell ref="C7:C8"/>
    <mergeCell ref="D7:D8"/>
    <mergeCell ref="F7:J7"/>
    <mergeCell ref="K7:K8"/>
    <mergeCell ref="L7:L8"/>
    <mergeCell ref="A11:A12"/>
    <mergeCell ref="B11:B12"/>
    <mergeCell ref="C11:C12"/>
    <mergeCell ref="D11:D12"/>
    <mergeCell ref="F11:F12"/>
    <mergeCell ref="A9:A10"/>
    <mergeCell ref="B9:B10"/>
    <mergeCell ref="C9:C10"/>
    <mergeCell ref="D9:D10"/>
    <mergeCell ref="F9:F10"/>
    <mergeCell ref="G11:G12"/>
    <mergeCell ref="H11:H12"/>
    <mergeCell ref="I11:I12"/>
    <mergeCell ref="J11:J12"/>
    <mergeCell ref="K11:K12"/>
    <mergeCell ref="L11:L12"/>
    <mergeCell ref="H9:H10"/>
    <mergeCell ref="I9:I10"/>
    <mergeCell ref="J9:J10"/>
    <mergeCell ref="K9:K10"/>
    <mergeCell ref="L9:L10"/>
    <mergeCell ref="G9:G10"/>
    <mergeCell ref="A15:A16"/>
    <mergeCell ref="B15:B16"/>
    <mergeCell ref="C15:C16"/>
    <mergeCell ref="D15:D16"/>
    <mergeCell ref="F15:F16"/>
    <mergeCell ref="A13:A14"/>
    <mergeCell ref="B13:B14"/>
    <mergeCell ref="C13:C14"/>
    <mergeCell ref="D13:D14"/>
    <mergeCell ref="F13:F14"/>
    <mergeCell ref="G15:G16"/>
    <mergeCell ref="H15:H16"/>
    <mergeCell ref="I15:I16"/>
    <mergeCell ref="J15:J16"/>
    <mergeCell ref="K15:K16"/>
    <mergeCell ref="L15:L16"/>
    <mergeCell ref="H13:H14"/>
    <mergeCell ref="I13:I14"/>
    <mergeCell ref="J13:J14"/>
    <mergeCell ref="K13:K14"/>
    <mergeCell ref="L13:L14"/>
    <mergeCell ref="G13:G14"/>
    <mergeCell ref="A19:A20"/>
    <mergeCell ref="B19:B20"/>
    <mergeCell ref="C19:C20"/>
    <mergeCell ref="D19:D20"/>
    <mergeCell ref="F19:F20"/>
    <mergeCell ref="A17:A18"/>
    <mergeCell ref="B17:B18"/>
    <mergeCell ref="C17:C18"/>
    <mergeCell ref="D17:D18"/>
    <mergeCell ref="F17:F18"/>
    <mergeCell ref="G19:G20"/>
    <mergeCell ref="H19:H20"/>
    <mergeCell ref="I19:I20"/>
    <mergeCell ref="J19:J20"/>
    <mergeCell ref="K19:K20"/>
    <mergeCell ref="L19:L20"/>
    <mergeCell ref="H17:H18"/>
    <mergeCell ref="I17:I18"/>
    <mergeCell ref="J17:J18"/>
    <mergeCell ref="K17:K18"/>
    <mergeCell ref="L17:L18"/>
    <mergeCell ref="G17:G18"/>
    <mergeCell ref="A25:A26"/>
    <mergeCell ref="B25:B26"/>
    <mergeCell ref="C25:C26"/>
    <mergeCell ref="D25:D26"/>
    <mergeCell ref="F25:F26"/>
    <mergeCell ref="H21:H22"/>
    <mergeCell ref="I21:I22"/>
    <mergeCell ref="J21:J22"/>
    <mergeCell ref="K21:K22"/>
    <mergeCell ref="A23:A24"/>
    <mergeCell ref="B23:B24"/>
    <mergeCell ref="C23:C24"/>
    <mergeCell ref="D23:D24"/>
    <mergeCell ref="F23:F24"/>
    <mergeCell ref="G23:G24"/>
    <mergeCell ref="A21:A22"/>
    <mergeCell ref="B21:B22"/>
    <mergeCell ref="C21:C22"/>
    <mergeCell ref="D21:D22"/>
    <mergeCell ref="F21:F22"/>
    <mergeCell ref="G21:G22"/>
    <mergeCell ref="G25:G26"/>
    <mergeCell ref="H25:H26"/>
    <mergeCell ref="I25:I26"/>
    <mergeCell ref="J25:J26"/>
    <mergeCell ref="K25:K26"/>
    <mergeCell ref="L25:L26"/>
    <mergeCell ref="H23:H24"/>
    <mergeCell ref="I23:I24"/>
    <mergeCell ref="J23:J24"/>
    <mergeCell ref="K23:K24"/>
    <mergeCell ref="L23:L24"/>
    <mergeCell ref="A29:A30"/>
    <mergeCell ref="B29:B30"/>
    <mergeCell ref="C29:C30"/>
    <mergeCell ref="D29:D30"/>
    <mergeCell ref="F29:F30"/>
    <mergeCell ref="A27:A28"/>
    <mergeCell ref="B27:B28"/>
    <mergeCell ref="C27:C28"/>
    <mergeCell ref="D27:D28"/>
    <mergeCell ref="F27:F28"/>
    <mergeCell ref="G29:G30"/>
    <mergeCell ref="H29:H30"/>
    <mergeCell ref="I29:I30"/>
    <mergeCell ref="J29:J30"/>
    <mergeCell ref="K29:K30"/>
    <mergeCell ref="L29:L30"/>
    <mergeCell ref="H27:H28"/>
    <mergeCell ref="I27:I28"/>
    <mergeCell ref="J27:J28"/>
    <mergeCell ref="K27:K28"/>
    <mergeCell ref="L27:L28"/>
    <mergeCell ref="G27:G28"/>
    <mergeCell ref="A35:C35"/>
    <mergeCell ref="K35:L35"/>
    <mergeCell ref="H31:H32"/>
    <mergeCell ref="I31:I32"/>
    <mergeCell ref="J31:J32"/>
    <mergeCell ref="K31:K32"/>
    <mergeCell ref="L31:L32"/>
    <mergeCell ref="A33:B33"/>
    <mergeCell ref="A31:A32"/>
    <mergeCell ref="B31:B32"/>
    <mergeCell ref="C31:C32"/>
    <mergeCell ref="D31:D32"/>
    <mergeCell ref="F31:F32"/>
    <mergeCell ref="G31:G32"/>
  </mergeCells>
  <pageMargins left="0.19685039370078741" right="0.19685039370078741" top="0.31496062992125984" bottom="0.47244094488188981" header="0.19685039370078741" footer="0.31496062992125984"/>
  <pageSetup scale="85" orientation="landscape" horizontalDpi="36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35"/>
  <sheetViews>
    <sheetView zoomScale="85" zoomScaleNormal="85" workbookViewId="0">
      <selection activeCell="K33" sqref="K33"/>
    </sheetView>
  </sheetViews>
  <sheetFormatPr baseColWidth="10" defaultColWidth="11.42578125" defaultRowHeight="15" x14ac:dyDescent="0.25"/>
  <cols>
    <col min="1" max="1" width="12.5703125" customWidth="1"/>
    <col min="2" max="2" width="13.28515625" customWidth="1"/>
    <col min="3" max="3" width="8.140625" customWidth="1"/>
    <col min="4" max="4" width="8.42578125" customWidth="1"/>
    <col min="5" max="5" width="20.5703125" customWidth="1"/>
    <col min="6" max="6" width="13.140625" customWidth="1"/>
    <col min="7" max="7" width="11.5703125" customWidth="1"/>
    <col min="8" max="8" width="7.5703125" customWidth="1"/>
    <col min="9" max="9" width="10.42578125" customWidth="1"/>
    <col min="10" max="10" width="8.28515625" customWidth="1"/>
    <col min="11" max="11" width="7.5703125" customWidth="1"/>
    <col min="12" max="12" width="34.140625" customWidth="1"/>
  </cols>
  <sheetData>
    <row r="1" spans="1:12" ht="18" x14ac:dyDescent="0.25">
      <c r="A1" s="132" t="s">
        <v>0</v>
      </c>
      <c r="B1" s="132"/>
      <c r="C1" s="132"/>
      <c r="D1" s="1"/>
      <c r="E1" s="1"/>
      <c r="F1" s="2"/>
      <c r="G1" s="2"/>
      <c r="H1" s="2"/>
      <c r="I1" s="2"/>
      <c r="J1" s="133" t="s">
        <v>134</v>
      </c>
      <c r="K1" s="133"/>
      <c r="L1" s="133"/>
    </row>
    <row r="2" spans="1:12" ht="15.75" x14ac:dyDescent="0.25">
      <c r="A2" s="134" t="s">
        <v>1</v>
      </c>
      <c r="B2" s="134"/>
      <c r="C2" s="134"/>
      <c r="D2" s="3"/>
      <c r="E2" s="3"/>
      <c r="F2" s="2"/>
      <c r="G2" s="2"/>
      <c r="H2" s="2"/>
      <c r="I2" s="2"/>
      <c r="J2" s="134" t="s">
        <v>6</v>
      </c>
      <c r="K2" s="134"/>
      <c r="L2" s="134"/>
    </row>
    <row r="3" spans="1:12" x14ac:dyDescent="0.25">
      <c r="A3" s="133" t="s">
        <v>7</v>
      </c>
      <c r="B3" s="133"/>
      <c r="C3" s="133"/>
      <c r="D3" s="4"/>
      <c r="E3" s="4"/>
      <c r="F3" s="2"/>
      <c r="G3" s="2"/>
      <c r="H3" s="2"/>
      <c r="I3" s="2"/>
      <c r="J3" s="133" t="s">
        <v>8</v>
      </c>
      <c r="K3" s="133"/>
      <c r="L3" s="133"/>
    </row>
    <row r="4" spans="1:12" ht="18" x14ac:dyDescent="0.25">
      <c r="A4" s="1"/>
      <c r="B4" s="1"/>
      <c r="C4" s="1"/>
      <c r="D4" s="132" t="s">
        <v>9</v>
      </c>
      <c r="E4" s="132"/>
      <c r="F4" s="132"/>
      <c r="G4" s="132"/>
      <c r="H4" s="132"/>
      <c r="I4" s="132"/>
      <c r="J4" s="132"/>
      <c r="K4" s="132"/>
      <c r="L4" s="132"/>
    </row>
    <row r="5" spans="1:12" ht="18" x14ac:dyDescent="0.25">
      <c r="A5" s="1"/>
      <c r="B5" s="1"/>
      <c r="C5" s="132" t="s">
        <v>141</v>
      </c>
      <c r="D5" s="132"/>
      <c r="E5" s="132"/>
      <c r="F5" s="132"/>
      <c r="G5" s="132"/>
      <c r="H5" s="132"/>
      <c r="I5" s="132"/>
      <c r="J5" s="132"/>
      <c r="K5" s="1"/>
      <c r="L5" s="1"/>
    </row>
    <row r="6" spans="1:12" ht="15.75" thickBot="1" x14ac:dyDescent="0.3"/>
    <row r="7" spans="1:12" ht="15.75" thickBot="1" x14ac:dyDescent="0.3">
      <c r="A7" s="135" t="s">
        <v>2</v>
      </c>
      <c r="B7" s="137" t="s">
        <v>33</v>
      </c>
      <c r="C7" s="139" t="s">
        <v>10</v>
      </c>
      <c r="D7" s="141" t="s">
        <v>11</v>
      </c>
      <c r="E7" s="51" t="s">
        <v>12</v>
      </c>
      <c r="F7" s="143" t="s">
        <v>38</v>
      </c>
      <c r="G7" s="144"/>
      <c r="H7" s="144"/>
      <c r="I7" s="144"/>
      <c r="J7" s="144"/>
      <c r="K7" s="145" t="s">
        <v>37</v>
      </c>
      <c r="L7" s="141" t="s">
        <v>13</v>
      </c>
    </row>
    <row r="8" spans="1:12" ht="39" thickBot="1" x14ac:dyDescent="0.3">
      <c r="A8" s="136"/>
      <c r="B8" s="138"/>
      <c r="C8" s="140"/>
      <c r="D8" s="142"/>
      <c r="E8" s="74" t="s">
        <v>14</v>
      </c>
      <c r="F8" s="10" t="s">
        <v>3</v>
      </c>
      <c r="G8" s="10" t="s">
        <v>34</v>
      </c>
      <c r="H8" s="28" t="s">
        <v>4</v>
      </c>
      <c r="I8" s="10" t="s">
        <v>35</v>
      </c>
      <c r="J8" s="131" t="s">
        <v>36</v>
      </c>
      <c r="K8" s="146"/>
      <c r="L8" s="142"/>
    </row>
    <row r="9" spans="1:12" ht="15.75" x14ac:dyDescent="0.25">
      <c r="A9" s="156" t="s">
        <v>15</v>
      </c>
      <c r="B9" s="158">
        <v>0</v>
      </c>
      <c r="C9" s="160">
        <v>100</v>
      </c>
      <c r="D9" s="162">
        <f>C9+B9</f>
        <v>100</v>
      </c>
      <c r="E9" s="58"/>
      <c r="F9" s="154">
        <v>8</v>
      </c>
      <c r="G9" s="154">
        <v>5</v>
      </c>
      <c r="H9" s="160">
        <v>0</v>
      </c>
      <c r="I9" s="154">
        <v>0</v>
      </c>
      <c r="J9" s="160">
        <f>SUM(F9:I10)</f>
        <v>13</v>
      </c>
      <c r="K9" s="164">
        <f>D9-J9</f>
        <v>87</v>
      </c>
      <c r="L9" s="166"/>
    </row>
    <row r="10" spans="1:12" ht="16.5" thickBot="1" x14ac:dyDescent="0.3">
      <c r="A10" s="157"/>
      <c r="B10" s="159"/>
      <c r="C10" s="161"/>
      <c r="D10" s="163"/>
      <c r="E10" s="59"/>
      <c r="F10" s="155"/>
      <c r="G10" s="155"/>
      <c r="H10" s="161"/>
      <c r="I10" s="155"/>
      <c r="J10" s="161"/>
      <c r="K10" s="168"/>
      <c r="L10" s="167"/>
    </row>
    <row r="11" spans="1:12" ht="16.5" customHeight="1" x14ac:dyDescent="0.25">
      <c r="A11" s="147" t="s">
        <v>16</v>
      </c>
      <c r="B11" s="149">
        <f>K9</f>
        <v>87</v>
      </c>
      <c r="C11" s="151">
        <v>0</v>
      </c>
      <c r="D11" s="149">
        <f>C11+B11</f>
        <v>87</v>
      </c>
      <c r="E11" s="60"/>
      <c r="F11" s="154">
        <v>20</v>
      </c>
      <c r="G11" s="154">
        <v>3</v>
      </c>
      <c r="H11" s="154">
        <v>0</v>
      </c>
      <c r="I11" s="154">
        <v>0</v>
      </c>
      <c r="J11" s="151">
        <f t="shared" ref="J11" si="0">SUM(F11:I12)</f>
        <v>23</v>
      </c>
      <c r="K11" s="164">
        <f>D11-J11</f>
        <v>64</v>
      </c>
      <c r="L11" s="166"/>
    </row>
    <row r="12" spans="1:12" ht="16.5" customHeight="1" thickBot="1" x14ac:dyDescent="0.3">
      <c r="A12" s="148"/>
      <c r="B12" s="150"/>
      <c r="C12" s="152"/>
      <c r="D12" s="153"/>
      <c r="E12" s="61"/>
      <c r="F12" s="155"/>
      <c r="G12" s="155"/>
      <c r="H12" s="155"/>
      <c r="I12" s="155"/>
      <c r="J12" s="152"/>
      <c r="K12" s="165"/>
      <c r="L12" s="167"/>
    </row>
    <row r="13" spans="1:12" ht="15.75" customHeight="1" x14ac:dyDescent="0.25">
      <c r="A13" s="147" t="s">
        <v>17</v>
      </c>
      <c r="B13" s="149">
        <f>K11</f>
        <v>64</v>
      </c>
      <c r="C13" s="151">
        <v>5</v>
      </c>
      <c r="D13" s="149">
        <f>C13+B13</f>
        <v>69</v>
      </c>
      <c r="E13" s="69"/>
      <c r="F13" s="154">
        <v>15</v>
      </c>
      <c r="G13" s="154">
        <v>48</v>
      </c>
      <c r="H13" s="154">
        <v>0</v>
      </c>
      <c r="I13" s="154">
        <v>0</v>
      </c>
      <c r="J13" s="151">
        <f t="shared" ref="J13" si="1">SUM(F13:I14)</f>
        <v>63</v>
      </c>
      <c r="K13" s="164">
        <f>D13-J13</f>
        <v>6</v>
      </c>
      <c r="L13" s="171"/>
    </row>
    <row r="14" spans="1:12" ht="16.5" customHeight="1" thickBot="1" x14ac:dyDescent="0.3">
      <c r="A14" s="148"/>
      <c r="B14" s="150"/>
      <c r="C14" s="152"/>
      <c r="D14" s="153"/>
      <c r="E14" s="73"/>
      <c r="F14" s="155"/>
      <c r="G14" s="155"/>
      <c r="H14" s="155"/>
      <c r="I14" s="155"/>
      <c r="J14" s="152"/>
      <c r="K14" s="165"/>
      <c r="L14" s="172"/>
    </row>
    <row r="15" spans="1:12" ht="15.75" customHeight="1" x14ac:dyDescent="0.25">
      <c r="A15" s="156" t="s">
        <v>18</v>
      </c>
      <c r="B15" s="149">
        <f t="shared" ref="B15" si="2">K13</f>
        <v>6</v>
      </c>
      <c r="C15" s="151">
        <v>110</v>
      </c>
      <c r="D15" s="149">
        <f>C15+B15</f>
        <v>116</v>
      </c>
      <c r="E15" s="58"/>
      <c r="F15" s="154">
        <v>9</v>
      </c>
      <c r="G15" s="154">
        <v>40</v>
      </c>
      <c r="H15" s="154">
        <v>0</v>
      </c>
      <c r="I15" s="154">
        <v>0</v>
      </c>
      <c r="J15" s="160">
        <f t="shared" ref="J15" si="3">SUM(F15:I16)</f>
        <v>49</v>
      </c>
      <c r="K15" s="164">
        <f>D15-J15</f>
        <v>67</v>
      </c>
      <c r="L15" s="170"/>
    </row>
    <row r="16" spans="1:12" ht="16.5" customHeight="1" thickBot="1" x14ac:dyDescent="0.3">
      <c r="A16" s="169"/>
      <c r="B16" s="150"/>
      <c r="C16" s="152"/>
      <c r="D16" s="153"/>
      <c r="E16" s="71"/>
      <c r="F16" s="155"/>
      <c r="G16" s="155"/>
      <c r="H16" s="155"/>
      <c r="I16" s="155"/>
      <c r="J16" s="161"/>
      <c r="K16" s="165"/>
      <c r="L16" s="170"/>
    </row>
    <row r="17" spans="1:12" ht="15.75" customHeight="1" x14ac:dyDescent="0.25">
      <c r="A17" s="147" t="s">
        <v>19</v>
      </c>
      <c r="B17" s="149">
        <f t="shared" ref="B17" si="4">K15</f>
        <v>67</v>
      </c>
      <c r="C17" s="151">
        <v>120</v>
      </c>
      <c r="D17" s="149">
        <f>C17+B17</f>
        <v>187</v>
      </c>
      <c r="E17" s="69"/>
      <c r="F17" s="154">
        <v>25</v>
      </c>
      <c r="G17" s="154">
        <v>133</v>
      </c>
      <c r="H17" s="154">
        <v>0</v>
      </c>
      <c r="I17" s="154">
        <v>0</v>
      </c>
      <c r="J17" s="151">
        <f t="shared" ref="J17" si="5">SUM(F17:I18)</f>
        <v>158</v>
      </c>
      <c r="K17" s="164">
        <f>D17-J17</f>
        <v>29</v>
      </c>
      <c r="L17" s="173"/>
    </row>
    <row r="18" spans="1:12" ht="16.5" customHeight="1" thickBot="1" x14ac:dyDescent="0.3">
      <c r="A18" s="148"/>
      <c r="B18" s="150"/>
      <c r="C18" s="152"/>
      <c r="D18" s="153"/>
      <c r="E18" s="73"/>
      <c r="F18" s="155"/>
      <c r="G18" s="155"/>
      <c r="H18" s="155"/>
      <c r="I18" s="155"/>
      <c r="J18" s="152"/>
      <c r="K18" s="165"/>
      <c r="L18" s="174"/>
    </row>
    <row r="19" spans="1:12" ht="15" customHeight="1" x14ac:dyDescent="0.25">
      <c r="A19" s="156" t="s">
        <v>20</v>
      </c>
      <c r="B19" s="149">
        <f t="shared" ref="B19" si="6">K17</f>
        <v>29</v>
      </c>
      <c r="C19" s="151">
        <v>100</v>
      </c>
      <c r="D19" s="162">
        <f>C19+B19</f>
        <v>129</v>
      </c>
      <c r="E19" s="58"/>
      <c r="F19" s="154">
        <v>32</v>
      </c>
      <c r="G19" s="154">
        <v>65</v>
      </c>
      <c r="H19" s="154">
        <v>0</v>
      </c>
      <c r="I19" s="154">
        <v>0</v>
      </c>
      <c r="J19" s="160">
        <f t="shared" ref="J19" si="7">SUM(F19:I20)</f>
        <v>97</v>
      </c>
      <c r="K19" s="164">
        <f>D19-J19</f>
        <v>32</v>
      </c>
      <c r="L19" s="170"/>
    </row>
    <row r="20" spans="1:12" ht="15.75" customHeight="1" thickBot="1" x14ac:dyDescent="0.3">
      <c r="A20" s="169"/>
      <c r="B20" s="150"/>
      <c r="C20" s="152"/>
      <c r="D20" s="163"/>
      <c r="E20" s="71"/>
      <c r="F20" s="155"/>
      <c r="G20" s="155"/>
      <c r="H20" s="155"/>
      <c r="I20" s="155"/>
      <c r="J20" s="161"/>
      <c r="K20" s="165"/>
      <c r="L20" s="170"/>
    </row>
    <row r="21" spans="1:12" ht="18" x14ac:dyDescent="0.25">
      <c r="A21" s="147" t="s">
        <v>21</v>
      </c>
      <c r="B21" s="149">
        <f t="shared" ref="B21" si="8">K19</f>
        <v>32</v>
      </c>
      <c r="C21" s="151">
        <v>100</v>
      </c>
      <c r="D21" s="149">
        <f>C21+B21</f>
        <v>132</v>
      </c>
      <c r="E21" s="60"/>
      <c r="F21" s="154">
        <v>44</v>
      </c>
      <c r="G21" s="154">
        <v>16</v>
      </c>
      <c r="H21" s="154">
        <v>0</v>
      </c>
      <c r="I21" s="154">
        <v>0</v>
      </c>
      <c r="J21" s="151">
        <f t="shared" ref="J21" si="9">SUM(F21:I22)</f>
        <v>60</v>
      </c>
      <c r="K21" s="164">
        <f>D21-J21</f>
        <v>72</v>
      </c>
      <c r="L21" s="54"/>
    </row>
    <row r="22" spans="1:12" ht="18.75" thickBot="1" x14ac:dyDescent="0.3">
      <c r="A22" s="148"/>
      <c r="B22" s="150"/>
      <c r="C22" s="152"/>
      <c r="D22" s="153"/>
      <c r="E22" s="65"/>
      <c r="F22" s="155"/>
      <c r="G22" s="155"/>
      <c r="H22" s="155"/>
      <c r="I22" s="155"/>
      <c r="J22" s="152"/>
      <c r="K22" s="165"/>
      <c r="L22" s="72"/>
    </row>
    <row r="23" spans="1:12" ht="15.75" customHeight="1" x14ac:dyDescent="0.25">
      <c r="A23" s="156" t="s">
        <v>22</v>
      </c>
      <c r="B23" s="149">
        <f t="shared" ref="B23" si="10">K21</f>
        <v>72</v>
      </c>
      <c r="C23" s="151">
        <v>354</v>
      </c>
      <c r="D23" s="162">
        <f>C23+B23</f>
        <v>426</v>
      </c>
      <c r="E23" s="58"/>
      <c r="F23" s="154">
        <v>44</v>
      </c>
      <c r="G23" s="154">
        <v>63</v>
      </c>
      <c r="H23" s="154">
        <v>0</v>
      </c>
      <c r="I23" s="154">
        <v>0</v>
      </c>
      <c r="J23" s="160">
        <f t="shared" ref="J23:J29" si="11">SUM(F23:I24)</f>
        <v>107</v>
      </c>
      <c r="K23" s="164">
        <f>D23-J23</f>
        <v>319</v>
      </c>
      <c r="L23" s="170"/>
    </row>
    <row r="24" spans="1:12" ht="16.5" customHeight="1" thickBot="1" x14ac:dyDescent="0.3">
      <c r="A24" s="169"/>
      <c r="B24" s="150"/>
      <c r="C24" s="152"/>
      <c r="D24" s="163"/>
      <c r="E24" s="59"/>
      <c r="F24" s="155"/>
      <c r="G24" s="155"/>
      <c r="H24" s="155"/>
      <c r="I24" s="155"/>
      <c r="J24" s="161"/>
      <c r="K24" s="165"/>
      <c r="L24" s="170"/>
    </row>
    <row r="25" spans="1:12" ht="15" customHeight="1" x14ac:dyDescent="0.25">
      <c r="A25" s="147" t="s">
        <v>23</v>
      </c>
      <c r="B25" s="149">
        <f t="shared" ref="B25" si="12">K23</f>
        <v>319</v>
      </c>
      <c r="C25" s="151">
        <v>0</v>
      </c>
      <c r="D25" s="149">
        <f>C25+B25</f>
        <v>319</v>
      </c>
      <c r="E25" s="69"/>
      <c r="F25" s="154">
        <v>51</v>
      </c>
      <c r="G25" s="154">
        <v>137</v>
      </c>
      <c r="H25" s="154">
        <v>0</v>
      </c>
      <c r="I25" s="154">
        <v>0</v>
      </c>
      <c r="J25" s="151">
        <f t="shared" si="11"/>
        <v>188</v>
      </c>
      <c r="K25" s="176">
        <f>D25-J25</f>
        <v>131</v>
      </c>
      <c r="L25" s="178"/>
    </row>
    <row r="26" spans="1:12" ht="16.5" customHeight="1" thickBot="1" x14ac:dyDescent="0.3">
      <c r="A26" s="175"/>
      <c r="B26" s="150"/>
      <c r="C26" s="152"/>
      <c r="D26" s="153"/>
      <c r="E26" s="70"/>
      <c r="F26" s="155"/>
      <c r="G26" s="155"/>
      <c r="H26" s="155"/>
      <c r="I26" s="155"/>
      <c r="J26" s="152"/>
      <c r="K26" s="177"/>
      <c r="L26" s="179"/>
    </row>
    <row r="27" spans="1:12" ht="15" customHeight="1" x14ac:dyDescent="0.25">
      <c r="A27" s="156" t="s">
        <v>24</v>
      </c>
      <c r="B27" s="149">
        <f>K25</f>
        <v>131</v>
      </c>
      <c r="C27" s="151">
        <v>300</v>
      </c>
      <c r="D27" s="162">
        <f>C27+B27</f>
        <v>431</v>
      </c>
      <c r="E27" s="68"/>
      <c r="F27" s="154">
        <v>41</v>
      </c>
      <c r="G27" s="154">
        <v>180</v>
      </c>
      <c r="H27" s="154">
        <v>0</v>
      </c>
      <c r="I27" s="154">
        <v>0</v>
      </c>
      <c r="J27" s="160">
        <f t="shared" si="11"/>
        <v>221</v>
      </c>
      <c r="K27" s="164">
        <f>D27-J27</f>
        <v>210</v>
      </c>
      <c r="L27" s="170"/>
    </row>
    <row r="28" spans="1:12" ht="16.5" customHeight="1" thickBot="1" x14ac:dyDescent="0.3">
      <c r="A28" s="169"/>
      <c r="B28" s="150"/>
      <c r="C28" s="152"/>
      <c r="D28" s="163"/>
      <c r="E28" s="62"/>
      <c r="F28" s="155"/>
      <c r="G28" s="155"/>
      <c r="H28" s="155"/>
      <c r="I28" s="155"/>
      <c r="J28" s="161"/>
      <c r="K28" s="165"/>
      <c r="L28" s="170"/>
    </row>
    <row r="29" spans="1:12" ht="15" customHeight="1" x14ac:dyDescent="0.25">
      <c r="A29" s="147" t="s">
        <v>25</v>
      </c>
      <c r="B29" s="149">
        <f>K27</f>
        <v>210</v>
      </c>
      <c r="C29" s="151">
        <v>500</v>
      </c>
      <c r="D29" s="149">
        <f>C29+B29</f>
        <v>710</v>
      </c>
      <c r="E29" s="66"/>
      <c r="F29" s="154">
        <v>142</v>
      </c>
      <c r="G29" s="154">
        <v>26</v>
      </c>
      <c r="H29" s="154">
        <v>0</v>
      </c>
      <c r="I29" s="154">
        <v>0</v>
      </c>
      <c r="J29" s="151">
        <f t="shared" si="11"/>
        <v>168</v>
      </c>
      <c r="K29" s="164">
        <f>D29-J29</f>
        <v>542</v>
      </c>
      <c r="L29" s="171"/>
    </row>
    <row r="30" spans="1:12" ht="15.75" customHeight="1" thickBot="1" x14ac:dyDescent="0.3">
      <c r="A30" s="148"/>
      <c r="B30" s="150"/>
      <c r="C30" s="161"/>
      <c r="D30" s="163"/>
      <c r="E30" s="62"/>
      <c r="F30" s="155"/>
      <c r="G30" s="155"/>
      <c r="H30" s="155"/>
      <c r="I30" s="155"/>
      <c r="J30" s="161"/>
      <c r="K30" s="168"/>
      <c r="L30" s="172"/>
    </row>
    <row r="31" spans="1:12" ht="15.75" customHeight="1" x14ac:dyDescent="0.25">
      <c r="A31" s="188" t="s">
        <v>26</v>
      </c>
      <c r="B31" s="149">
        <f t="shared" ref="B31" si="13">K29</f>
        <v>542</v>
      </c>
      <c r="C31" s="190">
        <v>0</v>
      </c>
      <c r="D31" s="192">
        <f>C31+B31</f>
        <v>542</v>
      </c>
      <c r="E31" s="122"/>
      <c r="F31" s="194">
        <v>87</v>
      </c>
      <c r="G31" s="182">
        <v>7</v>
      </c>
      <c r="H31" s="182">
        <v>0</v>
      </c>
      <c r="I31" s="182">
        <v>1</v>
      </c>
      <c r="J31" s="182">
        <f>SUM(F31:I32)</f>
        <v>95</v>
      </c>
      <c r="K31" s="184">
        <f>D31-J31</f>
        <v>447</v>
      </c>
      <c r="L31" s="339" t="s">
        <v>142</v>
      </c>
    </row>
    <row r="32" spans="1:12" ht="18" customHeight="1" thickBot="1" x14ac:dyDescent="0.3">
      <c r="A32" s="189"/>
      <c r="B32" s="150"/>
      <c r="C32" s="191"/>
      <c r="D32" s="193"/>
      <c r="E32" s="125"/>
      <c r="F32" s="195"/>
      <c r="G32" s="183"/>
      <c r="H32" s="183"/>
      <c r="I32" s="183"/>
      <c r="J32" s="183"/>
      <c r="K32" s="185"/>
      <c r="L32" s="340"/>
    </row>
    <row r="33" spans="1:12" ht="18.75" thickBot="1" x14ac:dyDescent="0.3">
      <c r="A33" s="186" t="s">
        <v>27</v>
      </c>
      <c r="B33" s="187"/>
      <c r="C33" s="126">
        <f>SUM(C9:C32)</f>
        <v>1689</v>
      </c>
      <c r="D33" s="127"/>
      <c r="E33" s="126"/>
      <c r="F33" s="128">
        <f>SUM(F9:F32)</f>
        <v>518</v>
      </c>
      <c r="G33" s="128">
        <f>SUM(G9:G32)</f>
        <v>723</v>
      </c>
      <c r="H33" s="126">
        <f>SUM(H9:H32)</f>
        <v>0</v>
      </c>
      <c r="I33" s="128">
        <f>SUM(I9:I32)</f>
        <v>1</v>
      </c>
      <c r="J33" s="126">
        <f>SUM(J9:J32)</f>
        <v>1242</v>
      </c>
      <c r="K33" s="127">
        <f>(B9+C33)-SUM(J9:J32)</f>
        <v>447</v>
      </c>
      <c r="L33" s="7"/>
    </row>
    <row r="35" spans="1:12" x14ac:dyDescent="0.25">
      <c r="A35" s="180" t="s">
        <v>28</v>
      </c>
      <c r="B35" s="180"/>
      <c r="C35" s="180"/>
      <c r="D35" s="8"/>
      <c r="E35" s="9"/>
      <c r="F35" s="9" t="s">
        <v>29</v>
      </c>
      <c r="G35" s="9"/>
      <c r="H35" s="9"/>
      <c r="I35" s="9"/>
      <c r="J35" s="9"/>
      <c r="K35" s="181" t="s">
        <v>30</v>
      </c>
      <c r="L35" s="181"/>
    </row>
  </sheetData>
  <mergeCells count="149">
    <mergeCell ref="H27:H28"/>
    <mergeCell ref="I27:I28"/>
    <mergeCell ref="J27:J28"/>
    <mergeCell ref="K27:K28"/>
    <mergeCell ref="L27:L28"/>
    <mergeCell ref="G27:G28"/>
    <mergeCell ref="A35:C35"/>
    <mergeCell ref="K35:L35"/>
    <mergeCell ref="H31:H32"/>
    <mergeCell ref="I31:I32"/>
    <mergeCell ref="J31:J32"/>
    <mergeCell ref="K31:K32"/>
    <mergeCell ref="L31:L32"/>
    <mergeCell ref="A33:B33"/>
    <mergeCell ref="A31:A32"/>
    <mergeCell ref="B31:B32"/>
    <mergeCell ref="C31:C32"/>
    <mergeCell ref="D31:D32"/>
    <mergeCell ref="F31:F32"/>
    <mergeCell ref="G31:G32"/>
    <mergeCell ref="J25:J26"/>
    <mergeCell ref="K25:K26"/>
    <mergeCell ref="L25:L26"/>
    <mergeCell ref="H23:H24"/>
    <mergeCell ref="I23:I24"/>
    <mergeCell ref="J23:J24"/>
    <mergeCell ref="K23:K24"/>
    <mergeCell ref="L23:L24"/>
    <mergeCell ref="A29:A30"/>
    <mergeCell ref="B29:B30"/>
    <mergeCell ref="C29:C30"/>
    <mergeCell ref="D29:D30"/>
    <mergeCell ref="F29:F30"/>
    <mergeCell ref="A27:A28"/>
    <mergeCell ref="B27:B28"/>
    <mergeCell ref="C27:C28"/>
    <mergeCell ref="D27:D28"/>
    <mergeCell ref="F27:F28"/>
    <mergeCell ref="G29:G30"/>
    <mergeCell ref="H29:H30"/>
    <mergeCell ref="I29:I30"/>
    <mergeCell ref="J29:J30"/>
    <mergeCell ref="K29:K30"/>
    <mergeCell ref="L29:L30"/>
    <mergeCell ref="A25:A26"/>
    <mergeCell ref="B25:B26"/>
    <mergeCell ref="C25:C26"/>
    <mergeCell ref="D25:D26"/>
    <mergeCell ref="F25:F26"/>
    <mergeCell ref="H21:H22"/>
    <mergeCell ref="I21:I22"/>
    <mergeCell ref="J21:J22"/>
    <mergeCell ref="K21:K22"/>
    <mergeCell ref="A23:A24"/>
    <mergeCell ref="B23:B24"/>
    <mergeCell ref="C23:C24"/>
    <mergeCell ref="D23:D24"/>
    <mergeCell ref="F23:F24"/>
    <mergeCell ref="G23:G24"/>
    <mergeCell ref="A21:A22"/>
    <mergeCell ref="B21:B22"/>
    <mergeCell ref="C21:C22"/>
    <mergeCell ref="D21:D22"/>
    <mergeCell ref="F21:F22"/>
    <mergeCell ref="G21:G22"/>
    <mergeCell ref="G25:G26"/>
    <mergeCell ref="H25:H26"/>
    <mergeCell ref="I25:I26"/>
    <mergeCell ref="G19:G20"/>
    <mergeCell ref="H19:H20"/>
    <mergeCell ref="I19:I20"/>
    <mergeCell ref="J19:J20"/>
    <mergeCell ref="K19:K20"/>
    <mergeCell ref="L19:L20"/>
    <mergeCell ref="H17:H18"/>
    <mergeCell ref="I17:I18"/>
    <mergeCell ref="J17:J18"/>
    <mergeCell ref="K17:K18"/>
    <mergeCell ref="L17:L18"/>
    <mergeCell ref="G17:G18"/>
    <mergeCell ref="A19:A20"/>
    <mergeCell ref="B19:B20"/>
    <mergeCell ref="C19:C20"/>
    <mergeCell ref="D19:D20"/>
    <mergeCell ref="F19:F20"/>
    <mergeCell ref="A17:A18"/>
    <mergeCell ref="B17:B18"/>
    <mergeCell ref="C17:C18"/>
    <mergeCell ref="D17:D18"/>
    <mergeCell ref="F17:F18"/>
    <mergeCell ref="G15:G16"/>
    <mergeCell ref="H15:H16"/>
    <mergeCell ref="I15:I16"/>
    <mergeCell ref="J15:J16"/>
    <mergeCell ref="K15:K16"/>
    <mergeCell ref="L15:L16"/>
    <mergeCell ref="H13:H14"/>
    <mergeCell ref="I13:I14"/>
    <mergeCell ref="J13:J14"/>
    <mergeCell ref="K13:K14"/>
    <mergeCell ref="L13:L14"/>
    <mergeCell ref="G13:G14"/>
    <mergeCell ref="A15:A16"/>
    <mergeCell ref="B15:B16"/>
    <mergeCell ref="C15:C16"/>
    <mergeCell ref="D15:D16"/>
    <mergeCell ref="F15:F16"/>
    <mergeCell ref="A13:A14"/>
    <mergeCell ref="B13:B14"/>
    <mergeCell ref="C13:C14"/>
    <mergeCell ref="D13:D14"/>
    <mergeCell ref="F13:F14"/>
    <mergeCell ref="G11:G12"/>
    <mergeCell ref="H11:H12"/>
    <mergeCell ref="I11:I12"/>
    <mergeCell ref="J11:J12"/>
    <mergeCell ref="K11:K12"/>
    <mergeCell ref="L11:L12"/>
    <mergeCell ref="H9:H10"/>
    <mergeCell ref="I9:I10"/>
    <mergeCell ref="J9:J10"/>
    <mergeCell ref="K9:K10"/>
    <mergeCell ref="L9:L10"/>
    <mergeCell ref="G9:G10"/>
    <mergeCell ref="A11:A12"/>
    <mergeCell ref="B11:B12"/>
    <mergeCell ref="C11:C12"/>
    <mergeCell ref="D11:D12"/>
    <mergeCell ref="F11:F12"/>
    <mergeCell ref="A9:A10"/>
    <mergeCell ref="B9:B10"/>
    <mergeCell ref="C9:C10"/>
    <mergeCell ref="D9:D10"/>
    <mergeCell ref="F9:F10"/>
    <mergeCell ref="A1:C1"/>
    <mergeCell ref="J1:L1"/>
    <mergeCell ref="A2:C2"/>
    <mergeCell ref="J2:L2"/>
    <mergeCell ref="A3:C3"/>
    <mergeCell ref="J3:L3"/>
    <mergeCell ref="D4:L4"/>
    <mergeCell ref="C5:J5"/>
    <mergeCell ref="A7:A8"/>
    <mergeCell ref="B7:B8"/>
    <mergeCell ref="C7:C8"/>
    <mergeCell ref="D7:D8"/>
    <mergeCell ref="F7:J7"/>
    <mergeCell ref="K7:K8"/>
    <mergeCell ref="L7:L8"/>
  </mergeCells>
  <pageMargins left="0.19685039370078741" right="0.19685039370078741" top="0.31496062992125984" bottom="0.47244094488188981" header="0.19685039370078741" footer="0.31496062992125984"/>
  <pageSetup scale="85" orientation="landscape" horizontalDpi="36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465E6-3184-4EDA-A952-D862C98EECB6}">
  <dimension ref="A1:L35"/>
  <sheetViews>
    <sheetView tabSelected="1" zoomScale="85" zoomScaleNormal="85" workbookViewId="0">
      <selection activeCell="K33" sqref="K33"/>
    </sheetView>
  </sheetViews>
  <sheetFormatPr baseColWidth="10" defaultColWidth="11.42578125" defaultRowHeight="15" x14ac:dyDescent="0.25"/>
  <cols>
    <col min="1" max="1" width="12.5703125" customWidth="1"/>
    <col min="2" max="2" width="13.28515625" customWidth="1"/>
    <col min="3" max="3" width="8.140625" customWidth="1"/>
    <col min="4" max="4" width="8.42578125" customWidth="1"/>
    <col min="5" max="5" width="20.5703125" customWidth="1"/>
    <col min="6" max="6" width="13.140625" customWidth="1"/>
    <col min="7" max="7" width="11.5703125" customWidth="1"/>
    <col min="8" max="8" width="7.5703125" customWidth="1"/>
    <col min="9" max="9" width="10.42578125" customWidth="1"/>
    <col min="10" max="10" width="8.28515625" customWidth="1"/>
    <col min="11" max="11" width="7.5703125" customWidth="1"/>
    <col min="12" max="12" width="34.140625" customWidth="1"/>
  </cols>
  <sheetData>
    <row r="1" spans="1:12" ht="18" x14ac:dyDescent="0.25">
      <c r="A1" s="132" t="s">
        <v>0</v>
      </c>
      <c r="B1" s="132"/>
      <c r="C1" s="132"/>
      <c r="D1" s="1"/>
      <c r="E1" s="1"/>
      <c r="F1" s="2"/>
      <c r="G1" s="2"/>
      <c r="H1" s="2"/>
      <c r="I1" s="2"/>
      <c r="J1" s="133" t="s">
        <v>134</v>
      </c>
      <c r="K1" s="133"/>
      <c r="L1" s="133"/>
    </row>
    <row r="2" spans="1:12" ht="15.75" x14ac:dyDescent="0.25">
      <c r="A2" s="134" t="s">
        <v>1</v>
      </c>
      <c r="B2" s="134"/>
      <c r="C2" s="134"/>
      <c r="D2" s="3"/>
      <c r="E2" s="3"/>
      <c r="F2" s="2"/>
      <c r="G2" s="2"/>
      <c r="H2" s="2"/>
      <c r="I2" s="2"/>
      <c r="J2" s="134" t="s">
        <v>6</v>
      </c>
      <c r="K2" s="134"/>
      <c r="L2" s="134"/>
    </row>
    <row r="3" spans="1:12" x14ac:dyDescent="0.25">
      <c r="A3" s="133" t="s">
        <v>7</v>
      </c>
      <c r="B3" s="133"/>
      <c r="C3" s="133"/>
      <c r="D3" s="4"/>
      <c r="E3" s="4"/>
      <c r="F3" s="2"/>
      <c r="G3" s="2"/>
      <c r="H3" s="2"/>
      <c r="I3" s="2"/>
      <c r="J3" s="133" t="s">
        <v>8</v>
      </c>
      <c r="K3" s="133"/>
      <c r="L3" s="133"/>
    </row>
    <row r="4" spans="1:12" ht="18" x14ac:dyDescent="0.25">
      <c r="A4" s="1"/>
      <c r="B4" s="1"/>
      <c r="C4" s="1"/>
      <c r="D4" s="132" t="s">
        <v>9</v>
      </c>
      <c r="E4" s="132"/>
      <c r="F4" s="132"/>
      <c r="G4" s="132"/>
      <c r="H4" s="132"/>
      <c r="I4" s="132"/>
      <c r="J4" s="132"/>
      <c r="K4" s="132"/>
      <c r="L4" s="132"/>
    </row>
    <row r="5" spans="1:12" ht="18" x14ac:dyDescent="0.25">
      <c r="A5" s="1"/>
      <c r="B5" s="1"/>
      <c r="C5" s="132" t="s">
        <v>145</v>
      </c>
      <c r="D5" s="132"/>
      <c r="E5" s="132"/>
      <c r="F5" s="132"/>
      <c r="G5" s="132"/>
      <c r="H5" s="132"/>
      <c r="I5" s="132"/>
      <c r="J5" s="132"/>
      <c r="K5" s="1"/>
      <c r="L5" s="1"/>
    </row>
    <row r="6" spans="1:12" ht="15.75" thickBot="1" x14ac:dyDescent="0.3"/>
    <row r="7" spans="1:12" ht="15.75" thickBot="1" x14ac:dyDescent="0.3">
      <c r="A7" s="135" t="s">
        <v>2</v>
      </c>
      <c r="B7" s="137" t="s">
        <v>33</v>
      </c>
      <c r="C7" s="139" t="s">
        <v>10</v>
      </c>
      <c r="D7" s="141" t="s">
        <v>11</v>
      </c>
      <c r="E7" s="51" t="s">
        <v>12</v>
      </c>
      <c r="F7" s="143" t="s">
        <v>38</v>
      </c>
      <c r="G7" s="144"/>
      <c r="H7" s="144"/>
      <c r="I7" s="144"/>
      <c r="J7" s="144"/>
      <c r="K7" s="145" t="s">
        <v>37</v>
      </c>
      <c r="L7" s="141" t="s">
        <v>13</v>
      </c>
    </row>
    <row r="8" spans="1:12" ht="39" thickBot="1" x14ac:dyDescent="0.3">
      <c r="A8" s="136"/>
      <c r="B8" s="138"/>
      <c r="C8" s="140"/>
      <c r="D8" s="142"/>
      <c r="E8" s="74" t="s">
        <v>14</v>
      </c>
      <c r="F8" s="10" t="s">
        <v>3</v>
      </c>
      <c r="G8" s="10" t="s">
        <v>34</v>
      </c>
      <c r="H8" s="28" t="s">
        <v>4</v>
      </c>
      <c r="I8" s="10" t="s">
        <v>35</v>
      </c>
      <c r="J8" s="131" t="s">
        <v>36</v>
      </c>
      <c r="K8" s="146"/>
      <c r="L8" s="142"/>
    </row>
    <row r="9" spans="1:12" ht="15.75" x14ac:dyDescent="0.25">
      <c r="A9" s="156" t="s">
        <v>15</v>
      </c>
      <c r="B9" s="158">
        <v>447</v>
      </c>
      <c r="C9" s="160">
        <v>0</v>
      </c>
      <c r="D9" s="162">
        <f>C9+B9</f>
        <v>447</v>
      </c>
      <c r="E9" s="58"/>
      <c r="F9" s="154">
        <v>81</v>
      </c>
      <c r="G9" s="154">
        <v>35</v>
      </c>
      <c r="H9" s="160">
        <v>0</v>
      </c>
      <c r="I9" s="154">
        <v>10</v>
      </c>
      <c r="J9" s="160">
        <f>SUM(F9:I10)</f>
        <v>126</v>
      </c>
      <c r="K9" s="164">
        <f>D9-J9</f>
        <v>321</v>
      </c>
      <c r="L9" s="317" t="s">
        <v>144</v>
      </c>
    </row>
    <row r="10" spans="1:12" ht="16.5" thickBot="1" x14ac:dyDescent="0.3">
      <c r="A10" s="157"/>
      <c r="B10" s="159"/>
      <c r="C10" s="161"/>
      <c r="D10" s="163"/>
      <c r="E10" s="59"/>
      <c r="F10" s="155"/>
      <c r="G10" s="155"/>
      <c r="H10" s="161"/>
      <c r="I10" s="155"/>
      <c r="J10" s="161"/>
      <c r="K10" s="168"/>
      <c r="L10" s="318"/>
    </row>
    <row r="11" spans="1:12" ht="16.5" customHeight="1" x14ac:dyDescent="0.25">
      <c r="A11" s="147" t="s">
        <v>16</v>
      </c>
      <c r="B11" s="149">
        <f>K9</f>
        <v>321</v>
      </c>
      <c r="C11" s="151">
        <v>0</v>
      </c>
      <c r="D11" s="149">
        <f>C11+B11</f>
        <v>321</v>
      </c>
      <c r="E11" s="60"/>
      <c r="F11" s="154">
        <v>36</v>
      </c>
      <c r="G11" s="154">
        <v>71</v>
      </c>
      <c r="H11" s="154">
        <v>0</v>
      </c>
      <c r="I11" s="154">
        <v>0</v>
      </c>
      <c r="J11" s="151">
        <f t="shared" ref="J11" si="0">SUM(F11:I12)</f>
        <v>107</v>
      </c>
      <c r="K11" s="164">
        <f>D11-J11</f>
        <v>214</v>
      </c>
      <c r="L11" s="166"/>
    </row>
    <row r="12" spans="1:12" ht="16.5" customHeight="1" thickBot="1" x14ac:dyDescent="0.3">
      <c r="A12" s="148"/>
      <c r="B12" s="150"/>
      <c r="C12" s="152"/>
      <c r="D12" s="153"/>
      <c r="E12" s="61"/>
      <c r="F12" s="155"/>
      <c r="G12" s="155"/>
      <c r="H12" s="155"/>
      <c r="I12" s="155"/>
      <c r="J12" s="152"/>
      <c r="K12" s="165"/>
      <c r="L12" s="167"/>
    </row>
    <row r="13" spans="1:12" ht="15.75" customHeight="1" x14ac:dyDescent="0.25">
      <c r="A13" s="147" t="s">
        <v>17</v>
      </c>
      <c r="B13" s="149">
        <f>K11</f>
        <v>214</v>
      </c>
      <c r="C13" s="151">
        <v>0</v>
      </c>
      <c r="D13" s="149">
        <f>C13+B13</f>
        <v>214</v>
      </c>
      <c r="E13" s="69"/>
      <c r="F13" s="154">
        <v>34</v>
      </c>
      <c r="G13" s="154">
        <v>11</v>
      </c>
      <c r="H13" s="154">
        <v>0</v>
      </c>
      <c r="I13" s="154">
        <v>0</v>
      </c>
      <c r="J13" s="151">
        <f t="shared" ref="J13" si="1">SUM(F13:I14)</f>
        <v>45</v>
      </c>
      <c r="K13" s="164">
        <f>D13-J13</f>
        <v>169</v>
      </c>
      <c r="L13" s="171"/>
    </row>
    <row r="14" spans="1:12" ht="16.5" customHeight="1" thickBot="1" x14ac:dyDescent="0.3">
      <c r="A14" s="148"/>
      <c r="B14" s="150"/>
      <c r="C14" s="152"/>
      <c r="D14" s="153"/>
      <c r="E14" s="73"/>
      <c r="F14" s="155"/>
      <c r="G14" s="155"/>
      <c r="H14" s="155"/>
      <c r="I14" s="155"/>
      <c r="J14" s="152"/>
      <c r="K14" s="165"/>
      <c r="L14" s="172"/>
    </row>
    <row r="15" spans="1:12" ht="15.75" customHeight="1" x14ac:dyDescent="0.25">
      <c r="A15" s="156" t="s">
        <v>18</v>
      </c>
      <c r="B15" s="149">
        <f t="shared" ref="B15" si="2">K13</f>
        <v>169</v>
      </c>
      <c r="C15" s="151">
        <v>1</v>
      </c>
      <c r="D15" s="149">
        <f>C15+B15</f>
        <v>170</v>
      </c>
      <c r="E15" s="58"/>
      <c r="F15" s="154">
        <v>39</v>
      </c>
      <c r="G15" s="154">
        <v>52</v>
      </c>
      <c r="H15" s="154">
        <v>0</v>
      </c>
      <c r="I15" s="154">
        <v>1</v>
      </c>
      <c r="J15" s="160">
        <f t="shared" ref="J15" si="3">SUM(F15:I16)</f>
        <v>92</v>
      </c>
      <c r="K15" s="164">
        <f>D15-J15</f>
        <v>78</v>
      </c>
      <c r="L15" s="317" t="s">
        <v>143</v>
      </c>
    </row>
    <row r="16" spans="1:12" ht="16.5" customHeight="1" thickBot="1" x14ac:dyDescent="0.3">
      <c r="A16" s="169"/>
      <c r="B16" s="150"/>
      <c r="C16" s="152"/>
      <c r="D16" s="153"/>
      <c r="E16" s="71"/>
      <c r="F16" s="155"/>
      <c r="G16" s="155"/>
      <c r="H16" s="155"/>
      <c r="I16" s="155"/>
      <c r="J16" s="161"/>
      <c r="K16" s="165"/>
      <c r="L16" s="318"/>
    </row>
    <row r="17" spans="1:12" ht="15.75" customHeight="1" x14ac:dyDescent="0.25">
      <c r="A17" s="147" t="s">
        <v>19</v>
      </c>
      <c r="B17" s="149">
        <f t="shared" ref="B17" si="4">K15</f>
        <v>78</v>
      </c>
      <c r="C17" s="151">
        <v>35</v>
      </c>
      <c r="D17" s="149">
        <f>C17+B17</f>
        <v>113</v>
      </c>
      <c r="E17" s="69"/>
      <c r="F17" s="154">
        <v>35</v>
      </c>
      <c r="G17" s="154">
        <v>17</v>
      </c>
      <c r="H17" s="154">
        <v>0</v>
      </c>
      <c r="I17" s="154">
        <v>0</v>
      </c>
      <c r="J17" s="151">
        <f t="shared" ref="J17" si="5">SUM(F17:I18)</f>
        <v>52</v>
      </c>
      <c r="K17" s="164">
        <f>D17-J17</f>
        <v>61</v>
      </c>
      <c r="L17" s="173"/>
    </row>
    <row r="18" spans="1:12" ht="16.5" customHeight="1" thickBot="1" x14ac:dyDescent="0.3">
      <c r="A18" s="148"/>
      <c r="B18" s="150"/>
      <c r="C18" s="152"/>
      <c r="D18" s="153"/>
      <c r="E18" s="73"/>
      <c r="F18" s="155"/>
      <c r="G18" s="155"/>
      <c r="H18" s="155"/>
      <c r="I18" s="155"/>
      <c r="J18" s="152"/>
      <c r="K18" s="165"/>
      <c r="L18" s="174"/>
    </row>
    <row r="19" spans="1:12" ht="15" customHeight="1" x14ac:dyDescent="0.25">
      <c r="A19" s="156" t="s">
        <v>20</v>
      </c>
      <c r="B19" s="149">
        <f t="shared" ref="B19" si="6">K17</f>
        <v>61</v>
      </c>
      <c r="C19" s="151">
        <v>104</v>
      </c>
      <c r="D19" s="162">
        <f>C19+B19</f>
        <v>165</v>
      </c>
      <c r="E19" s="58"/>
      <c r="F19" s="154">
        <v>19</v>
      </c>
      <c r="G19" s="154">
        <v>10</v>
      </c>
      <c r="H19" s="154">
        <v>0</v>
      </c>
      <c r="I19" s="154">
        <v>0</v>
      </c>
      <c r="J19" s="160">
        <f t="shared" ref="J19" si="7">SUM(F19:I20)</f>
        <v>29</v>
      </c>
      <c r="K19" s="164">
        <f>D19-J19</f>
        <v>136</v>
      </c>
      <c r="L19" s="170"/>
    </row>
    <row r="20" spans="1:12" ht="15.75" customHeight="1" thickBot="1" x14ac:dyDescent="0.3">
      <c r="A20" s="169"/>
      <c r="B20" s="150"/>
      <c r="C20" s="152"/>
      <c r="D20" s="163"/>
      <c r="E20" s="71"/>
      <c r="F20" s="155"/>
      <c r="G20" s="155"/>
      <c r="H20" s="155"/>
      <c r="I20" s="155"/>
      <c r="J20" s="161"/>
      <c r="K20" s="165"/>
      <c r="L20" s="170"/>
    </row>
    <row r="21" spans="1:12" ht="18" x14ac:dyDescent="0.25">
      <c r="A21" s="147" t="s">
        <v>21</v>
      </c>
      <c r="B21" s="149">
        <f t="shared" ref="B21" si="8">K19</f>
        <v>136</v>
      </c>
      <c r="C21" s="151">
        <v>0</v>
      </c>
      <c r="D21" s="149">
        <f>C21+B21</f>
        <v>136</v>
      </c>
      <c r="E21" s="60"/>
      <c r="F21" s="154">
        <v>49</v>
      </c>
      <c r="G21" s="154">
        <v>0</v>
      </c>
      <c r="H21" s="154">
        <v>0</v>
      </c>
      <c r="I21" s="154">
        <v>0</v>
      </c>
      <c r="J21" s="151">
        <f t="shared" ref="J21" si="9">SUM(F21:I22)</f>
        <v>49</v>
      </c>
      <c r="K21" s="164">
        <f>D21-J21</f>
        <v>87</v>
      </c>
      <c r="L21" s="54"/>
    </row>
    <row r="22" spans="1:12" ht="18.75" thickBot="1" x14ac:dyDescent="0.3">
      <c r="A22" s="148"/>
      <c r="B22" s="150"/>
      <c r="C22" s="152"/>
      <c r="D22" s="153"/>
      <c r="E22" s="65"/>
      <c r="F22" s="155"/>
      <c r="G22" s="155"/>
      <c r="H22" s="155"/>
      <c r="I22" s="155"/>
      <c r="J22" s="152"/>
      <c r="K22" s="165"/>
      <c r="L22" s="72"/>
    </row>
    <row r="23" spans="1:12" ht="15.75" customHeight="1" x14ac:dyDescent="0.25">
      <c r="A23" s="156" t="s">
        <v>22</v>
      </c>
      <c r="B23" s="149">
        <f t="shared" ref="B23" si="10">K21</f>
        <v>87</v>
      </c>
      <c r="C23" s="151">
        <v>250</v>
      </c>
      <c r="D23" s="162">
        <f>C23+B23</f>
        <v>337</v>
      </c>
      <c r="E23" s="58"/>
      <c r="F23" s="154">
        <v>136</v>
      </c>
      <c r="G23" s="154">
        <v>2</v>
      </c>
      <c r="H23" s="154">
        <v>0</v>
      </c>
      <c r="I23" s="154">
        <v>0</v>
      </c>
      <c r="J23" s="160">
        <f t="shared" ref="J23:J29" si="11">SUM(F23:I24)</f>
        <v>138</v>
      </c>
      <c r="K23" s="164">
        <f>D23-J23</f>
        <v>199</v>
      </c>
      <c r="L23" s="170"/>
    </row>
    <row r="24" spans="1:12" ht="16.5" customHeight="1" thickBot="1" x14ac:dyDescent="0.3">
      <c r="A24" s="169"/>
      <c r="B24" s="150"/>
      <c r="C24" s="152"/>
      <c r="D24" s="163"/>
      <c r="E24" s="59"/>
      <c r="F24" s="155"/>
      <c r="G24" s="155"/>
      <c r="H24" s="155"/>
      <c r="I24" s="155"/>
      <c r="J24" s="161"/>
      <c r="K24" s="165"/>
      <c r="L24" s="170"/>
    </row>
    <row r="25" spans="1:12" ht="15" customHeight="1" x14ac:dyDescent="0.25">
      <c r="A25" s="147" t="s">
        <v>23</v>
      </c>
      <c r="B25" s="149">
        <f t="shared" ref="B25" si="12">K23</f>
        <v>199</v>
      </c>
      <c r="C25" s="151">
        <v>0</v>
      </c>
      <c r="D25" s="149">
        <f>C25+B25</f>
        <v>199</v>
      </c>
      <c r="E25" s="69"/>
      <c r="F25" s="154">
        <v>70</v>
      </c>
      <c r="G25" s="154">
        <v>5</v>
      </c>
      <c r="H25" s="154">
        <v>0</v>
      </c>
      <c r="I25" s="154">
        <v>10</v>
      </c>
      <c r="J25" s="151">
        <f t="shared" si="11"/>
        <v>85</v>
      </c>
      <c r="K25" s="176">
        <f>D25-J25</f>
        <v>114</v>
      </c>
      <c r="L25" s="317" t="s">
        <v>144</v>
      </c>
    </row>
    <row r="26" spans="1:12" ht="16.5" customHeight="1" thickBot="1" x14ac:dyDescent="0.3">
      <c r="A26" s="175"/>
      <c r="B26" s="150"/>
      <c r="C26" s="152"/>
      <c r="D26" s="153"/>
      <c r="E26" s="70"/>
      <c r="F26" s="155"/>
      <c r="G26" s="155"/>
      <c r="H26" s="155"/>
      <c r="I26" s="155"/>
      <c r="J26" s="152"/>
      <c r="K26" s="177"/>
      <c r="L26" s="318"/>
    </row>
    <row r="27" spans="1:12" ht="15" customHeight="1" x14ac:dyDescent="0.25">
      <c r="A27" s="156" t="s">
        <v>24</v>
      </c>
      <c r="B27" s="149">
        <f>K25</f>
        <v>114</v>
      </c>
      <c r="C27" s="151"/>
      <c r="D27" s="162">
        <f>C27+B27</f>
        <v>114</v>
      </c>
      <c r="E27" s="68"/>
      <c r="F27" s="154"/>
      <c r="G27" s="154"/>
      <c r="H27" s="154"/>
      <c r="I27" s="154"/>
      <c r="J27" s="160">
        <f t="shared" si="11"/>
        <v>0</v>
      </c>
      <c r="K27" s="164">
        <f>D27-J27</f>
        <v>114</v>
      </c>
      <c r="L27" s="170"/>
    </row>
    <row r="28" spans="1:12" ht="16.5" customHeight="1" thickBot="1" x14ac:dyDescent="0.3">
      <c r="A28" s="169"/>
      <c r="B28" s="150"/>
      <c r="C28" s="152"/>
      <c r="D28" s="163"/>
      <c r="E28" s="62"/>
      <c r="F28" s="155"/>
      <c r="G28" s="155"/>
      <c r="H28" s="155"/>
      <c r="I28" s="155"/>
      <c r="J28" s="161"/>
      <c r="K28" s="165"/>
      <c r="L28" s="170"/>
    </row>
    <row r="29" spans="1:12" ht="15" customHeight="1" x14ac:dyDescent="0.25">
      <c r="A29" s="147" t="s">
        <v>25</v>
      </c>
      <c r="B29" s="149">
        <f>K27</f>
        <v>114</v>
      </c>
      <c r="C29" s="151"/>
      <c r="D29" s="149">
        <f>C29+B29</f>
        <v>114</v>
      </c>
      <c r="E29" s="66"/>
      <c r="F29" s="154"/>
      <c r="G29" s="154"/>
      <c r="H29" s="154"/>
      <c r="I29" s="154"/>
      <c r="J29" s="151">
        <f t="shared" si="11"/>
        <v>0</v>
      </c>
      <c r="K29" s="164">
        <f>D29-J29</f>
        <v>114</v>
      </c>
      <c r="L29" s="171"/>
    </row>
    <row r="30" spans="1:12" ht="15.75" customHeight="1" thickBot="1" x14ac:dyDescent="0.3">
      <c r="A30" s="148"/>
      <c r="B30" s="150"/>
      <c r="C30" s="161"/>
      <c r="D30" s="163"/>
      <c r="E30" s="62"/>
      <c r="F30" s="155"/>
      <c r="G30" s="155"/>
      <c r="H30" s="155"/>
      <c r="I30" s="155"/>
      <c r="J30" s="161"/>
      <c r="K30" s="168"/>
      <c r="L30" s="172"/>
    </row>
    <row r="31" spans="1:12" ht="15.75" customHeight="1" x14ac:dyDescent="0.25">
      <c r="A31" s="188" t="s">
        <v>26</v>
      </c>
      <c r="B31" s="149">
        <f t="shared" ref="B31" si="13">K29</f>
        <v>114</v>
      </c>
      <c r="C31" s="190"/>
      <c r="D31" s="192">
        <f>C31+B31</f>
        <v>114</v>
      </c>
      <c r="E31" s="122"/>
      <c r="F31" s="194"/>
      <c r="G31" s="182"/>
      <c r="H31" s="182"/>
      <c r="I31" s="182"/>
      <c r="J31" s="182">
        <f>SUM(F31:I32)</f>
        <v>0</v>
      </c>
      <c r="K31" s="184">
        <f>D31-J31</f>
        <v>114</v>
      </c>
      <c r="L31" s="171"/>
    </row>
    <row r="32" spans="1:12" ht="18" customHeight="1" thickBot="1" x14ac:dyDescent="0.3">
      <c r="A32" s="189"/>
      <c r="B32" s="150"/>
      <c r="C32" s="191"/>
      <c r="D32" s="193"/>
      <c r="E32" s="125"/>
      <c r="F32" s="195"/>
      <c r="G32" s="183"/>
      <c r="H32" s="183"/>
      <c r="I32" s="183"/>
      <c r="J32" s="183"/>
      <c r="K32" s="185"/>
      <c r="L32" s="172"/>
    </row>
    <row r="33" spans="1:12" ht="18.75" thickBot="1" x14ac:dyDescent="0.3">
      <c r="A33" s="186" t="s">
        <v>27</v>
      </c>
      <c r="B33" s="187"/>
      <c r="C33" s="126">
        <f>SUM(C9:C32)</f>
        <v>390</v>
      </c>
      <c r="D33" s="127"/>
      <c r="E33" s="126"/>
      <c r="F33" s="128">
        <f>SUM(F9:F32)</f>
        <v>499</v>
      </c>
      <c r="G33" s="128">
        <f>SUM(G9:G32)</f>
        <v>203</v>
      </c>
      <c r="H33" s="126">
        <f>SUM(H9:H32)</f>
        <v>0</v>
      </c>
      <c r="I33" s="128">
        <f>SUM(I9:I32)</f>
        <v>21</v>
      </c>
      <c r="J33" s="126">
        <f>SUM(J9:J32)</f>
        <v>723</v>
      </c>
      <c r="K33" s="127">
        <f>(B9+C33)-SUM(J9:J32)</f>
        <v>114</v>
      </c>
      <c r="L33" s="7"/>
    </row>
    <row r="35" spans="1:12" x14ac:dyDescent="0.25">
      <c r="A35" s="180" t="s">
        <v>28</v>
      </c>
      <c r="B35" s="180"/>
      <c r="C35" s="180"/>
      <c r="D35" s="8"/>
      <c r="E35" s="9"/>
      <c r="F35" s="9" t="s">
        <v>29</v>
      </c>
      <c r="G35" s="9"/>
      <c r="H35" s="9"/>
      <c r="I35" s="9"/>
      <c r="J35" s="9"/>
      <c r="K35" s="181" t="s">
        <v>30</v>
      </c>
      <c r="L35" s="181"/>
    </row>
  </sheetData>
  <mergeCells count="149">
    <mergeCell ref="A35:C35"/>
    <mergeCell ref="K35:L35"/>
    <mergeCell ref="H31:H32"/>
    <mergeCell ref="I31:I32"/>
    <mergeCell ref="J31:J32"/>
    <mergeCell ref="K31:K32"/>
    <mergeCell ref="L31:L32"/>
    <mergeCell ref="A33:B33"/>
    <mergeCell ref="A31:A32"/>
    <mergeCell ref="B31:B32"/>
    <mergeCell ref="C31:C32"/>
    <mergeCell ref="D31:D32"/>
    <mergeCell ref="F31:F32"/>
    <mergeCell ref="G31:G32"/>
    <mergeCell ref="G29:G30"/>
    <mergeCell ref="H29:H30"/>
    <mergeCell ref="I29:I30"/>
    <mergeCell ref="J29:J30"/>
    <mergeCell ref="K29:K30"/>
    <mergeCell ref="L29:L30"/>
    <mergeCell ref="H27:H28"/>
    <mergeCell ref="I27:I28"/>
    <mergeCell ref="J27:J28"/>
    <mergeCell ref="K27:K28"/>
    <mergeCell ref="L27:L28"/>
    <mergeCell ref="A29:A30"/>
    <mergeCell ref="B29:B30"/>
    <mergeCell ref="C29:C30"/>
    <mergeCell ref="D29:D30"/>
    <mergeCell ref="F29:F30"/>
    <mergeCell ref="A27:A28"/>
    <mergeCell ref="B27:B28"/>
    <mergeCell ref="C27:C28"/>
    <mergeCell ref="D27:D28"/>
    <mergeCell ref="F27:F28"/>
    <mergeCell ref="G27:G28"/>
    <mergeCell ref="G25:G26"/>
    <mergeCell ref="H25:H26"/>
    <mergeCell ref="I25:I26"/>
    <mergeCell ref="J25:J26"/>
    <mergeCell ref="K25:K26"/>
    <mergeCell ref="L25:L26"/>
    <mergeCell ref="H23:H24"/>
    <mergeCell ref="I23:I24"/>
    <mergeCell ref="J23:J24"/>
    <mergeCell ref="K23:K24"/>
    <mergeCell ref="L23:L24"/>
    <mergeCell ref="A25:A26"/>
    <mergeCell ref="B25:B26"/>
    <mergeCell ref="C25:C26"/>
    <mergeCell ref="D25:D26"/>
    <mergeCell ref="F25:F26"/>
    <mergeCell ref="H21:H22"/>
    <mergeCell ref="I21:I22"/>
    <mergeCell ref="J21:J22"/>
    <mergeCell ref="K21:K22"/>
    <mergeCell ref="A23:A24"/>
    <mergeCell ref="B23:B24"/>
    <mergeCell ref="C23:C24"/>
    <mergeCell ref="D23:D24"/>
    <mergeCell ref="F23:F24"/>
    <mergeCell ref="G23:G24"/>
    <mergeCell ref="A21:A22"/>
    <mergeCell ref="B21:B22"/>
    <mergeCell ref="C21:C22"/>
    <mergeCell ref="D21:D22"/>
    <mergeCell ref="F21:F22"/>
    <mergeCell ref="G21:G22"/>
    <mergeCell ref="G19:G20"/>
    <mergeCell ref="H19:H20"/>
    <mergeCell ref="I19:I20"/>
    <mergeCell ref="J19:J20"/>
    <mergeCell ref="K19:K20"/>
    <mergeCell ref="L19:L20"/>
    <mergeCell ref="H17:H18"/>
    <mergeCell ref="I17:I18"/>
    <mergeCell ref="J17:J18"/>
    <mergeCell ref="K17:K18"/>
    <mergeCell ref="L17:L18"/>
    <mergeCell ref="A19:A20"/>
    <mergeCell ref="B19:B20"/>
    <mergeCell ref="C19:C20"/>
    <mergeCell ref="D19:D20"/>
    <mergeCell ref="F19:F20"/>
    <mergeCell ref="A17:A18"/>
    <mergeCell ref="B17:B18"/>
    <mergeCell ref="C17:C18"/>
    <mergeCell ref="D17:D18"/>
    <mergeCell ref="F17:F18"/>
    <mergeCell ref="G17:G18"/>
    <mergeCell ref="G15:G16"/>
    <mergeCell ref="H15:H16"/>
    <mergeCell ref="I15:I16"/>
    <mergeCell ref="J15:J16"/>
    <mergeCell ref="K15:K16"/>
    <mergeCell ref="L15:L16"/>
    <mergeCell ref="H13:H14"/>
    <mergeCell ref="I13:I14"/>
    <mergeCell ref="J13:J14"/>
    <mergeCell ref="K13:K14"/>
    <mergeCell ref="L13:L14"/>
    <mergeCell ref="A15:A16"/>
    <mergeCell ref="B15:B16"/>
    <mergeCell ref="C15:C16"/>
    <mergeCell ref="D15:D16"/>
    <mergeCell ref="F15:F16"/>
    <mergeCell ref="A13:A14"/>
    <mergeCell ref="B13:B14"/>
    <mergeCell ref="C13:C14"/>
    <mergeCell ref="D13:D14"/>
    <mergeCell ref="F13:F14"/>
    <mergeCell ref="G13:G14"/>
    <mergeCell ref="G11:G12"/>
    <mergeCell ref="H11:H12"/>
    <mergeCell ref="I11:I12"/>
    <mergeCell ref="J11:J12"/>
    <mergeCell ref="K11:K12"/>
    <mergeCell ref="L11:L12"/>
    <mergeCell ref="H9:H10"/>
    <mergeCell ref="I9:I10"/>
    <mergeCell ref="J9:J10"/>
    <mergeCell ref="K9:K10"/>
    <mergeCell ref="L9:L10"/>
    <mergeCell ref="A11:A12"/>
    <mergeCell ref="B11:B12"/>
    <mergeCell ref="C11:C12"/>
    <mergeCell ref="D11:D12"/>
    <mergeCell ref="F11:F12"/>
    <mergeCell ref="A9:A10"/>
    <mergeCell ref="B9:B10"/>
    <mergeCell ref="C9:C10"/>
    <mergeCell ref="D9:D10"/>
    <mergeCell ref="F9:F10"/>
    <mergeCell ref="G9:G10"/>
    <mergeCell ref="D4:L4"/>
    <mergeCell ref="C5:J5"/>
    <mergeCell ref="A7:A8"/>
    <mergeCell ref="B7:B8"/>
    <mergeCell ref="C7:C8"/>
    <mergeCell ref="D7:D8"/>
    <mergeCell ref="F7:J7"/>
    <mergeCell ref="K7:K8"/>
    <mergeCell ref="L7:L8"/>
    <mergeCell ref="A1:C1"/>
    <mergeCell ref="J1:L1"/>
    <mergeCell ref="A2:C2"/>
    <mergeCell ref="J2:L2"/>
    <mergeCell ref="A3:C3"/>
    <mergeCell ref="J3:L3"/>
  </mergeCells>
  <pageMargins left="0.19685039370078741" right="0.19685039370078741" top="0.31496062992125984" bottom="0.47244094488188981" header="0.19685039370078741" footer="0.31496062992125984"/>
  <pageSetup scale="85" orientation="landscape" horizontalDpi="36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2014</vt:lpstr>
      <vt:lpstr>2015</vt:lpstr>
      <vt:lpstr>2015 GLOBALE</vt:lpstr>
      <vt:lpstr>2014 N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HP</cp:lastModifiedBy>
  <cp:lastPrinted>2025-10-14T13:06:32Z</cp:lastPrinted>
  <dcterms:created xsi:type="dcterms:W3CDTF">2014-12-14T11:11:12Z</dcterms:created>
  <dcterms:modified xsi:type="dcterms:W3CDTF">2026-10-01T10:37:12Z</dcterms:modified>
</cp:coreProperties>
</file>