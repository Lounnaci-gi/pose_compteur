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Seghouane\"/>
    </mc:Choice>
  </mc:AlternateContent>
  <bookViews>
    <workbookView xWindow="315" yWindow="195" windowWidth="6900" windowHeight="2025" firstSheet="6" activeTab="9"/>
  </bookViews>
  <sheets>
    <sheet name="Janvier 2017" sheetId="1" r:id="rId1"/>
    <sheet name="Février 2017" sheetId="2" r:id="rId2"/>
    <sheet name="Mars 2017" sheetId="3" r:id="rId3"/>
    <sheet name="Avril 2017" sheetId="4" r:id="rId4"/>
    <sheet name="Mai 2017" sheetId="5" r:id="rId5"/>
    <sheet name="Juin 2017" sheetId="6" r:id="rId6"/>
    <sheet name="Juillet 2017" sheetId="7" r:id="rId7"/>
    <sheet name="Aout 2017" sheetId="8" r:id="rId8"/>
    <sheet name="Septembre 2017" sheetId="9" r:id="rId9"/>
    <sheet name="Octobre 2017" sheetId="10" r:id="rId10"/>
    <sheet name="Novembre 2017" sheetId="11" r:id="rId11"/>
    <sheet name="Decembre 2017" sheetId="12" r:id="rId12"/>
  </sheets>
  <definedNames>
    <definedName name="_xlnm.Print_Titles" localSheetId="7">'Aout 2017'!$1:$6</definedName>
    <definedName name="_xlnm.Print_Titles" localSheetId="3">'Avril 2017'!$1:$6</definedName>
    <definedName name="_xlnm.Print_Titles" localSheetId="11">'Decembre 2017'!$1:$6</definedName>
    <definedName name="_xlnm.Print_Titles" localSheetId="1">'Février 2017'!$1:$6</definedName>
    <definedName name="_xlnm.Print_Titles" localSheetId="0">'Janvier 2017'!$1:$6</definedName>
    <definedName name="_xlnm.Print_Titles" localSheetId="6">'Juillet 2017'!$1:$6</definedName>
    <definedName name="_xlnm.Print_Titles" localSheetId="5">'Juin 2017'!$1:$6</definedName>
    <definedName name="_xlnm.Print_Titles" localSheetId="4">'Mai 2017'!$1:$6</definedName>
    <definedName name="_xlnm.Print_Titles" localSheetId="2">'Mars 2017'!$1:$6</definedName>
    <definedName name="_xlnm.Print_Titles" localSheetId="10">'Novembre 2017'!$1:$6</definedName>
    <definedName name="_xlnm.Print_Titles" localSheetId="9">'Octobre 2017'!$1:$6</definedName>
    <definedName name="_xlnm.Print_Titles" localSheetId="8">'Septembre 2017'!$1:$6</definedName>
  </definedNames>
  <calcPr calcId="152511"/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K4" i="12"/>
  <c r="K3" i="12"/>
  <c r="K2" i="12"/>
  <c r="K5" i="12" l="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8" i="11"/>
  <c r="K4" i="11"/>
  <c r="K3" i="11"/>
  <c r="K2" i="11"/>
  <c r="K5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K4" i="10"/>
  <c r="K3" i="10"/>
  <c r="K2" i="10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K4" i="9"/>
  <c r="K3" i="9"/>
  <c r="K2" i="9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K4" i="7"/>
  <c r="K3" i="7"/>
  <c r="K2" i="7"/>
  <c r="K3" i="6"/>
  <c r="K2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K4" i="6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K4" i="5"/>
  <c r="K3" i="5"/>
  <c r="K2" i="5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K4" i="4"/>
  <c r="K3" i="4"/>
  <c r="K2" i="4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8" i="3"/>
  <c r="K4" i="3"/>
  <c r="K3" i="3"/>
  <c r="K2" i="3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K4" i="2"/>
  <c r="K3" i="2"/>
  <c r="K2" i="2"/>
  <c r="A8" i="1"/>
  <c r="K5" i="10" l="1"/>
  <c r="K5" i="9"/>
  <c r="K5" i="8"/>
  <c r="K5" i="7"/>
  <c r="K5" i="6"/>
  <c r="K5" i="5"/>
  <c r="K5" i="4"/>
  <c r="K5" i="3"/>
  <c r="K5" i="2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K4" i="1" l="1"/>
  <c r="K3" i="1"/>
  <c r="K2" i="1" l="1"/>
  <c r="K5" i="1" s="1"/>
</calcChain>
</file>

<file path=xl/sharedStrings.xml><?xml version="1.0" encoding="utf-8"?>
<sst xmlns="http://schemas.openxmlformats.org/spreadsheetml/2006/main" count="641" uniqueCount="257">
  <si>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</si>
  <si>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</si>
  <si>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</si>
  <si>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</si>
  <si>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</si>
  <si>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</si>
  <si>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</si>
  <si>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</si>
  <si>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</si>
  <si>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</si>
  <si>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</si>
  <si>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</si>
  <si>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</si>
  <si>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</si>
  <si>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</si>
  <si>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</si>
  <si>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: Seghouane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</si>
  <si>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</si>
  <si>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</si>
  <si>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HA</t>
  </si>
  <si>
    <t>15/21</t>
  </si>
  <si>
    <t>NB(Korbane selmia)</t>
  </si>
  <si>
    <t>279171</t>
  </si>
  <si>
    <t>279172</t>
  </si>
  <si>
    <t>NB(Debah habara)</t>
  </si>
  <si>
    <t>279173</t>
  </si>
  <si>
    <t>NB(Boukhada hamid)</t>
  </si>
  <si>
    <t>279174</t>
  </si>
  <si>
    <t>NB(Chergui kaddour)</t>
  </si>
  <si>
    <t>279175</t>
  </si>
  <si>
    <t>279177</t>
  </si>
  <si>
    <t>279178</t>
  </si>
  <si>
    <t>279179</t>
  </si>
  <si>
    <t>NB(Chergui hamza)</t>
  </si>
  <si>
    <t>NB(Nessissa mihoub)</t>
  </si>
  <si>
    <t>NB(Ayouh lakhdar)</t>
  </si>
  <si>
    <t>NB(Ould ali aek)</t>
  </si>
  <si>
    <t>13035505-2013</t>
  </si>
  <si>
    <t>Elimination de Forfait</t>
  </si>
  <si>
    <t>279176</t>
  </si>
  <si>
    <t>NB(Fouci med)</t>
  </si>
  <si>
    <t>H2 0007</t>
  </si>
  <si>
    <t>20/27</t>
  </si>
  <si>
    <t>005768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</si>
  <si>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</si>
  <si>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</si>
  <si>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B5 0061</t>
  </si>
  <si>
    <t>279262</t>
  </si>
  <si>
    <t>279261</t>
  </si>
  <si>
    <t>279180</t>
  </si>
  <si>
    <t>NB(Sofrani benaouda)</t>
  </si>
  <si>
    <t>NB(Meftah mokhtar)</t>
  </si>
  <si>
    <t>NB(Kelilib samir)</t>
  </si>
  <si>
    <t>2016279265</t>
  </si>
  <si>
    <t>NB(Bouhambal ahmed)</t>
  </si>
  <si>
    <t>2016279264</t>
  </si>
  <si>
    <t>NB(Meftah hakim)</t>
  </si>
  <si>
    <t>2016279263</t>
  </si>
  <si>
    <t>NB(Becherirat laid)</t>
  </si>
  <si>
    <t>2016279266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</si>
  <si>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</si>
  <si>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NB(Dilmi med)</t>
  </si>
  <si>
    <t>2016279268</t>
  </si>
  <si>
    <t>NB(Mosbah fatima)</t>
  </si>
  <si>
    <t>2016279267</t>
  </si>
  <si>
    <t>NB(Belkheir ahmed)</t>
  </si>
  <si>
    <t>2016279269</t>
  </si>
  <si>
    <t>NB(Menad kamel)</t>
  </si>
  <si>
    <t>NB(Shab n/eddine)</t>
  </si>
  <si>
    <t>2016277808</t>
  </si>
  <si>
    <t>NB(Demiche louzdad)</t>
  </si>
  <si>
    <t>2016279270</t>
  </si>
  <si>
    <t>HA 0042</t>
  </si>
  <si>
    <t>2016277802</t>
  </si>
  <si>
    <t>HA 0040</t>
  </si>
  <si>
    <t>2016277803</t>
  </si>
  <si>
    <t>HA 0224</t>
  </si>
  <si>
    <t>2016277804</t>
  </si>
  <si>
    <t>HA 0139</t>
  </si>
  <si>
    <t>2016277805</t>
  </si>
  <si>
    <t>HA 0132</t>
  </si>
  <si>
    <t>2016277806</t>
  </si>
  <si>
    <t>HA 0130</t>
  </si>
  <si>
    <t>2016277807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</si>
  <si>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</si>
  <si>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2016277801</t>
  </si>
  <si>
    <t>NB(Yamani soufiane)</t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</si>
  <si>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</si>
  <si>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</si>
  <si>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2016277809</t>
  </si>
  <si>
    <t>NB(Marchi med)</t>
  </si>
  <si>
    <t>2867861-91</t>
  </si>
  <si>
    <t>Fraction menanda</t>
  </si>
  <si>
    <t>2016277810</t>
  </si>
  <si>
    <t>Bouamra aek</t>
  </si>
  <si>
    <t>2016320001</t>
  </si>
  <si>
    <t>NB(N°225/2017)</t>
  </si>
  <si>
    <t>NB(N°226/2017)</t>
  </si>
  <si>
    <t>NB(N°201BIS/2017)</t>
  </si>
  <si>
    <t>2016320002</t>
  </si>
  <si>
    <t>Aouad cherif</t>
  </si>
  <si>
    <t>Rebih aissa</t>
  </si>
  <si>
    <t>NB(N°224/2017)</t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</si>
  <si>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</si>
  <si>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005770</t>
  </si>
  <si>
    <t>H2</t>
  </si>
  <si>
    <t>NB (Dilmi said)</t>
  </si>
  <si>
    <t>NB (Sofrani cherif)</t>
  </si>
  <si>
    <t>NB (ECOLE PÖLE)</t>
  </si>
  <si>
    <t>2016320003</t>
  </si>
  <si>
    <t>2016320004</t>
  </si>
  <si>
    <t>320005</t>
  </si>
  <si>
    <t>Coiff d'amme zarouta</t>
  </si>
  <si>
    <t>NB (N°251/2017)</t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</si>
  <si>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</si>
  <si>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HA 0444</t>
  </si>
  <si>
    <t>320006</t>
  </si>
  <si>
    <t>HA 0514</t>
  </si>
  <si>
    <t>320008</t>
  </si>
  <si>
    <t>HA 0618</t>
  </si>
  <si>
    <t>320007</t>
  </si>
  <si>
    <t>H2 0003</t>
  </si>
  <si>
    <t>320009</t>
  </si>
  <si>
    <t>HA 0009</t>
  </si>
  <si>
    <t>015024</t>
  </si>
  <si>
    <t>HA 0025</t>
  </si>
  <si>
    <t>015021</t>
  </si>
  <si>
    <t>HA 0027</t>
  </si>
  <si>
    <t>320010</t>
  </si>
  <si>
    <t>HA 0338</t>
  </si>
  <si>
    <t>015023</t>
  </si>
  <si>
    <t>HA 0518</t>
  </si>
  <si>
    <t>015022</t>
  </si>
  <si>
    <t>HA 0050</t>
  </si>
  <si>
    <t>015025</t>
  </si>
  <si>
    <t>HA 0133</t>
  </si>
  <si>
    <t>015027</t>
  </si>
  <si>
    <t>CC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</si>
  <si>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</si>
  <si>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HA 0103</t>
  </si>
  <si>
    <t>015026</t>
  </si>
  <si>
    <t>HA 0292</t>
  </si>
  <si>
    <t>015028</t>
  </si>
  <si>
    <t>HA 0098</t>
  </si>
  <si>
    <t>015029</t>
  </si>
  <si>
    <t>HA 0272</t>
  </si>
  <si>
    <t>015030</t>
  </si>
  <si>
    <t>HA 0228</t>
  </si>
  <si>
    <t>015792</t>
  </si>
  <si>
    <t>HA 0243</t>
  </si>
  <si>
    <t>015794</t>
  </si>
  <si>
    <t>HA 0267</t>
  </si>
  <si>
    <t>015800</t>
  </si>
  <si>
    <t>HA 0287</t>
  </si>
  <si>
    <t>015791</t>
  </si>
  <si>
    <t>HA 0304</t>
  </si>
  <si>
    <t>015793</t>
  </si>
  <si>
    <t>HA 0758</t>
  </si>
  <si>
    <t>015796</t>
  </si>
  <si>
    <t>HA 0761</t>
  </si>
  <si>
    <t>015797</t>
  </si>
  <si>
    <t>HA 0766</t>
  </si>
  <si>
    <t>015798</t>
  </si>
  <si>
    <t>HA 0768</t>
  </si>
  <si>
    <t>015527</t>
  </si>
  <si>
    <t>HA 0770</t>
  </si>
  <si>
    <t>015528</t>
  </si>
  <si>
    <t>HA 0773</t>
  </si>
  <si>
    <t>015529</t>
  </si>
  <si>
    <t>HA 0778</t>
  </si>
  <si>
    <t>015525</t>
  </si>
  <si>
    <t>HA 0779</t>
  </si>
  <si>
    <t>015524</t>
  </si>
  <si>
    <t>HA 0783</t>
  </si>
  <si>
    <t>015526</t>
  </si>
  <si>
    <t>HA 0784</t>
  </si>
  <si>
    <t>015530</t>
  </si>
  <si>
    <t>H2 0016</t>
  </si>
  <si>
    <t>015523</t>
  </si>
  <si>
    <t>HA 0194</t>
  </si>
  <si>
    <t>015522</t>
  </si>
  <si>
    <t>015541</t>
  </si>
  <si>
    <t>HA 0236</t>
  </si>
  <si>
    <t>015542</t>
  </si>
  <si>
    <t>HA 0283</t>
  </si>
  <si>
    <t>015521</t>
  </si>
  <si>
    <t>HA 0281</t>
  </si>
  <si>
    <t>015544</t>
  </si>
  <si>
    <t>HA 0299</t>
  </si>
  <si>
    <t>015543</t>
  </si>
  <si>
    <t>H2 0031</t>
  </si>
  <si>
    <t>HA 0757</t>
  </si>
  <si>
    <t>015598</t>
  </si>
  <si>
    <t>HA 0759</t>
  </si>
  <si>
    <t>015595</t>
  </si>
  <si>
    <t>HA 0760</t>
  </si>
  <si>
    <t>015596</t>
  </si>
  <si>
    <t>HA 0762</t>
  </si>
  <si>
    <t>015600</t>
  </si>
  <si>
    <t>HA 0763</t>
  </si>
  <si>
    <t>015599</t>
  </si>
  <si>
    <t>HA 0764</t>
  </si>
  <si>
    <t>015597</t>
  </si>
  <si>
    <t>HA 0765</t>
  </si>
  <si>
    <t>015591</t>
  </si>
  <si>
    <t>HA 0767</t>
  </si>
  <si>
    <t>015594</t>
  </si>
  <si>
    <t>HA 0769</t>
  </si>
  <si>
    <t>015593</t>
  </si>
  <si>
    <t>HA 0771</t>
  </si>
  <si>
    <t>015404</t>
  </si>
  <si>
    <t>HA 0772</t>
  </si>
  <si>
    <t>015592</t>
  </si>
  <si>
    <t>HA 0774</t>
  </si>
  <si>
    <t>015403</t>
  </si>
  <si>
    <t>HA 0775</t>
  </si>
  <si>
    <t>015401</t>
  </si>
  <si>
    <t>HA 0776</t>
  </si>
  <si>
    <t>015405</t>
  </si>
  <si>
    <t>HA 0777</t>
  </si>
  <si>
    <t>015402</t>
  </si>
  <si>
    <t>HA 0780</t>
  </si>
  <si>
    <t>015407</t>
  </si>
  <si>
    <t>HA 0781</t>
  </si>
  <si>
    <t>015406</t>
  </si>
  <si>
    <t>HA 0782</t>
  </si>
  <si>
    <t>015408</t>
  </si>
  <si>
    <t>HA 0785</t>
  </si>
  <si>
    <t>015409</t>
  </si>
  <si>
    <t>015795</t>
  </si>
  <si>
    <t>HA 0464</t>
  </si>
  <si>
    <t>000703</t>
  </si>
  <si>
    <t>HA 0100</t>
  </si>
  <si>
    <t>015548</t>
  </si>
  <si>
    <t>HA 0185</t>
  </si>
  <si>
    <t>015545</t>
  </si>
  <si>
    <t>HA 0566</t>
  </si>
  <si>
    <t>015547</t>
  </si>
  <si>
    <t>HA 0644</t>
  </si>
  <si>
    <t>015550</t>
  </si>
  <si>
    <t>HA 0627</t>
  </si>
  <si>
    <t>015549</t>
  </si>
  <si>
    <t>HA 0035</t>
  </si>
  <si>
    <t>015410</t>
  </si>
  <si>
    <t>015799</t>
  </si>
  <si>
    <t>HA 0043</t>
  </si>
  <si>
    <t>015546</t>
  </si>
  <si>
    <t>15/22</t>
  </si>
  <si>
    <t>15/23</t>
  </si>
  <si>
    <t>15/24</t>
  </si>
  <si>
    <t>15/25</t>
  </si>
  <si>
    <t>15/26</t>
  </si>
  <si>
    <t>15/27</t>
  </si>
  <si>
    <t>15/28</t>
  </si>
  <si>
    <t>15/29</t>
  </si>
  <si>
    <r>
      <t>Mois de Décembre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</si>
  <si>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H3 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</si>
</sst>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5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6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 wrapText="1"/>
    </xf>
    <xf numFmtId="49" fontId="1" fillId="0" borderId="0" xfId="1" applyNumberFormat="1" applyFont="1" applyAlignment="1">
      <alignment vertical="center" wrapText="1"/>
    </xf>
    <xf numFmtId="0" fontId="1" fillId="0" borderId="5" xfId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6</xdr:row>
      <xdr:rowOff>9524</xdr:rowOff>
    </xdr:from>
    <xdr:to>
      <xdr:col>6</xdr:col>
      <xdr:colOff>0</xdr:colOff>
      <xdr:row>28</xdr:row>
      <xdr:rowOff>180975</xdr:rowOff>
    </xdr:to>
    <xdr:cxnSp macro="">
      <xdr:nvCxnSpPr>
        <xdr:cNvPr id="3" name="Straight Connector 2"/>
        <xdr:cNvCxnSpPr/>
      </xdr:nvCxnSpPr>
      <xdr:spPr>
        <a:xfrm flipH="1">
          <a:off x="390525" y="1323974"/>
          <a:ext cx="4048125" cy="4362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390526</xdr:colOff>
      <xdr:row>9</xdr:row>
      <xdr:rowOff>171450</xdr:rowOff>
    </xdr:from>
    <xdr:to>
      <xdr:col>5</xdr:col>
      <xdr:colOff>1076325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390526" y="2057400"/>
          <a:ext cx="4019549" cy="3629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390527</xdr:colOff>
      <xdr:row>12</xdr:row>
      <xdr:rowOff>28575</xdr:rowOff>
    </xdr:from>
    <xdr:to>
      <xdr:col>6</xdr:col>
      <xdr:colOff>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390527" y="2486025"/>
          <a:ext cx="4362448" cy="3200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390528</xdr:colOff>
      <xdr:row>10</xdr:row>
      <xdr:rowOff>57150</xdr:rowOff>
    </xdr:from>
    <xdr:to>
      <xdr:col>5</xdr:col>
      <xdr:colOff>1076325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390528" y="2133600"/>
          <a:ext cx="4333872" cy="3552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9525</xdr:rowOff>
    </xdr:from>
    <xdr:to>
      <xdr:col>5</xdr:col>
      <xdr:colOff>1276350</xdr:colOff>
      <xdr:row>29</xdr:row>
      <xdr:rowOff>9525</xdr:rowOff>
    </xdr:to>
    <xdr:cxnSp macro="">
      <xdr:nvCxnSpPr>
        <xdr:cNvPr id="3" name="Straight Connector 2"/>
        <xdr:cNvCxnSpPr/>
      </xdr:nvCxnSpPr>
      <xdr:spPr>
        <a:xfrm flipH="1">
          <a:off x="419100" y="2085975"/>
          <a:ext cx="4505325" cy="361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18</xdr:row>
      <xdr:rowOff>28575</xdr:rowOff>
    </xdr:from>
    <xdr:to>
      <xdr:col>5</xdr:col>
      <xdr:colOff>1466850</xdr:colOff>
      <xdr:row>30</xdr:row>
      <xdr:rowOff>9525</xdr:rowOff>
    </xdr:to>
    <xdr:cxnSp macro="">
      <xdr:nvCxnSpPr>
        <xdr:cNvPr id="2" name="Straight Connector 1"/>
        <xdr:cNvCxnSpPr/>
      </xdr:nvCxnSpPr>
      <xdr:spPr>
        <a:xfrm flipH="1">
          <a:off x="419103" y="3629025"/>
          <a:ext cx="4695822" cy="2266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6</xdr:row>
      <xdr:rowOff>28575</xdr:rowOff>
    </xdr:from>
    <xdr:to>
      <xdr:col>5</xdr:col>
      <xdr:colOff>1466850</xdr:colOff>
      <xdr:row>30</xdr:row>
      <xdr:rowOff>9525</xdr:rowOff>
    </xdr:to>
    <xdr:cxnSp macro="">
      <xdr:nvCxnSpPr>
        <xdr:cNvPr id="2" name="Straight Connector 1"/>
        <xdr:cNvCxnSpPr/>
      </xdr:nvCxnSpPr>
      <xdr:spPr>
        <a:xfrm flipH="1">
          <a:off x="419103" y="1343025"/>
          <a:ext cx="4695822" cy="4552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9531</xdr:colOff>
      <xdr:row>11</xdr:row>
      <xdr:rowOff>9525</xdr:rowOff>
    </xdr:from>
    <xdr:to>
      <xdr:col>5</xdr:col>
      <xdr:colOff>1457325</xdr:colOff>
      <xdr:row>30</xdr:row>
      <xdr:rowOff>9525</xdr:rowOff>
    </xdr:to>
    <xdr:cxnSp macro="">
      <xdr:nvCxnSpPr>
        <xdr:cNvPr id="2" name="Straight Connector 1"/>
        <xdr:cNvCxnSpPr/>
      </xdr:nvCxnSpPr>
      <xdr:spPr>
        <a:xfrm flipH="1">
          <a:off x="419106" y="2276475"/>
          <a:ext cx="4686294" cy="361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9531</xdr:colOff>
      <xdr:row>8</xdr:row>
      <xdr:rowOff>161925</xdr:rowOff>
    </xdr:from>
    <xdr:to>
      <xdr:col>7</xdr:col>
      <xdr:colOff>19050</xdr:colOff>
      <xdr:row>30</xdr:row>
      <xdr:rowOff>9525</xdr:rowOff>
    </xdr:to>
    <xdr:cxnSp macro="">
      <xdr:nvCxnSpPr>
        <xdr:cNvPr id="2" name="Straight Connector 1"/>
        <xdr:cNvCxnSpPr/>
      </xdr:nvCxnSpPr>
      <xdr:spPr>
        <a:xfrm flipH="1">
          <a:off x="419106" y="1857375"/>
          <a:ext cx="4733919" cy="4038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142882</xdr:colOff>
      <xdr:row>18</xdr:row>
      <xdr:rowOff>9525</xdr:rowOff>
    </xdr:from>
    <xdr:to>
      <xdr:col>5</xdr:col>
      <xdr:colOff>1476375</xdr:colOff>
      <xdr:row>29</xdr:row>
      <xdr:rowOff>47625</xdr:rowOff>
    </xdr:to>
    <xdr:cxnSp macro="">
      <xdr:nvCxnSpPr>
        <xdr:cNvPr id="2" name="Straight Connector 1"/>
        <xdr:cNvCxnSpPr/>
      </xdr:nvCxnSpPr>
      <xdr:spPr>
        <a:xfrm flipH="1">
          <a:off x="552457" y="3609975"/>
          <a:ext cx="4571993" cy="2133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28575</xdr:rowOff>
    </xdr:from>
    <xdr:to>
      <xdr:col>5</xdr:col>
      <xdr:colOff>1466850</xdr:colOff>
      <xdr:row>29</xdr:row>
      <xdr:rowOff>171450</xdr:rowOff>
    </xdr:to>
    <xdr:cxnSp macro="">
      <xdr:nvCxnSpPr>
        <xdr:cNvPr id="2" name="Straight Connector 1"/>
        <xdr:cNvCxnSpPr/>
      </xdr:nvCxnSpPr>
      <xdr:spPr>
        <a:xfrm flipH="1">
          <a:off x="409575" y="3057525"/>
          <a:ext cx="4705350" cy="280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C24" sqref="C24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SUMIF(F7:F133,"Elimination*",G7:G83)</f>
        <v>0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SUMIF(F7:F133,"NB*",G7:G83)</f>
        <v>0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SUMIF(F7:F133,"Ve*",G7:G83)</f>
        <v>0</v>
      </c>
    </row>
    <row r="5" spans="1:11" ht="15.75" x14ac:dyDescent="0.25">
      <c r="A5" s="51" t="s">
        <v>17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sortState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D10" sqref="D10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SUMIF(F7:F133,"Elimination*",G7:G83)</f>
        <v>0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SUMIF(F7:F133,"NB*",G7:G83)</f>
        <v>4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SUMIF(F7:F133,"Ve*",G7:G83)</f>
        <v>0</v>
      </c>
    </row>
    <row r="5" spans="1:11" ht="15.75" x14ac:dyDescent="0.25">
      <c r="A5" s="51" t="s">
        <v>18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4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19</v>
      </c>
      <c r="C7" s="11" t="s">
        <v>20</v>
      </c>
      <c r="D7" s="9" t="s">
        <v>22</v>
      </c>
      <c r="E7" s="14">
        <v>42772</v>
      </c>
      <c r="F7" s="22" t="s">
        <v>21</v>
      </c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5" t="s">
        <v>19</v>
      </c>
      <c r="C8" s="11" t="s">
        <v>20</v>
      </c>
      <c r="D8" s="9" t="s">
        <v>23</v>
      </c>
      <c r="E8" s="14">
        <v>42772</v>
      </c>
      <c r="F8" s="22" t="s">
        <v>24</v>
      </c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15" t="s">
        <v>19</v>
      </c>
      <c r="C9" s="11" t="s">
        <v>20</v>
      </c>
      <c r="D9" s="9" t="s">
        <v>25</v>
      </c>
      <c r="E9" s="14">
        <v>42772</v>
      </c>
      <c r="F9" s="22" t="s">
        <v>26</v>
      </c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5" t="s">
        <v>19</v>
      </c>
      <c r="C10" s="11" t="s">
        <v>20</v>
      </c>
      <c r="D10" s="9" t="s">
        <v>27</v>
      </c>
      <c r="E10" s="14">
        <v>42782</v>
      </c>
      <c r="F10" s="22" t="s">
        <v>28</v>
      </c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F16" sqref="F16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SUMIF(F7:F133,"Elimination*",G7:G83)</f>
        <v>1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SUMIF(F7:F133,"NB*",G7:G83)</f>
        <v>5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SUMIF(F7:F133,"Ve*",G7:G83)</f>
        <v>0</v>
      </c>
    </row>
    <row r="5" spans="1:11" ht="15.75" x14ac:dyDescent="0.25">
      <c r="A5" s="51" t="s">
        <v>45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6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19</v>
      </c>
      <c r="C7" s="11" t="s">
        <v>20</v>
      </c>
      <c r="D7" s="9" t="s">
        <v>29</v>
      </c>
      <c r="E7" s="14">
        <v>42796</v>
      </c>
      <c r="F7" s="22" t="s">
        <v>33</v>
      </c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5" t="s">
        <v>19</v>
      </c>
      <c r="C8" s="11" t="s">
        <v>20</v>
      </c>
      <c r="D8" s="9" t="s">
        <v>39</v>
      </c>
      <c r="E8" s="14">
        <v>42800</v>
      </c>
      <c r="F8" s="22" t="s">
        <v>40</v>
      </c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15" t="s">
        <v>19</v>
      </c>
      <c r="C9" s="11" t="s">
        <v>20</v>
      </c>
      <c r="D9" s="9" t="s">
        <v>30</v>
      </c>
      <c r="E9" s="14">
        <v>42801</v>
      </c>
      <c r="F9" s="22" t="s">
        <v>34</v>
      </c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5" t="s">
        <v>19</v>
      </c>
      <c r="C10" s="11" t="s">
        <v>20</v>
      </c>
      <c r="D10" s="9" t="s">
        <v>31</v>
      </c>
      <c r="E10" s="14">
        <v>42802</v>
      </c>
      <c r="F10" s="22" t="s">
        <v>35</v>
      </c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5" t="s">
        <v>19</v>
      </c>
      <c r="C11" s="11" t="s">
        <v>20</v>
      </c>
      <c r="D11" s="9" t="s">
        <v>32</v>
      </c>
      <c r="E11" s="14">
        <v>42809</v>
      </c>
      <c r="F11" s="22" t="s">
        <v>36</v>
      </c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 t="s">
        <v>46</v>
      </c>
      <c r="C12" s="11">
        <v>65</v>
      </c>
      <c r="D12" s="9" t="s">
        <v>37</v>
      </c>
      <c r="E12" s="14">
        <v>42810</v>
      </c>
      <c r="F12" s="22" t="s">
        <v>38</v>
      </c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D9" sqref="D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SUMIF(F7:F133,"Elimination*",G7:G83)</f>
        <v>1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SUMIF(F7:F133,"NB*",G7:G83)</f>
        <v>3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SUMIF(F7:F133,"Ve*",G7:G83)</f>
        <v>0</v>
      </c>
    </row>
    <row r="5" spans="1:11" ht="15.75" x14ac:dyDescent="0.25">
      <c r="A5" s="51" t="s">
        <v>44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4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19</v>
      </c>
      <c r="C7" s="11" t="s">
        <v>20</v>
      </c>
      <c r="D7" s="9" t="s">
        <v>49</v>
      </c>
      <c r="E7" s="14">
        <v>42829</v>
      </c>
      <c r="F7" s="22" t="s">
        <v>50</v>
      </c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5" t="s">
        <v>41</v>
      </c>
      <c r="C8" s="11" t="s">
        <v>42</v>
      </c>
      <c r="D8" s="9" t="s">
        <v>43</v>
      </c>
      <c r="E8" s="14">
        <v>42841</v>
      </c>
      <c r="F8" s="22" t="s">
        <v>38</v>
      </c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15" t="s">
        <v>19</v>
      </c>
      <c r="C9" s="11" t="s">
        <v>20</v>
      </c>
      <c r="D9" s="9" t="s">
        <v>48</v>
      </c>
      <c r="E9" s="14">
        <v>42842</v>
      </c>
      <c r="F9" s="22" t="s">
        <v>51</v>
      </c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5" t="s">
        <v>19</v>
      </c>
      <c r="C10" s="11" t="s">
        <v>20</v>
      </c>
      <c r="D10" s="9" t="s">
        <v>47</v>
      </c>
      <c r="E10" s="14">
        <v>42845</v>
      </c>
      <c r="F10" s="22" t="s">
        <v>52</v>
      </c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5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sortState ref="B7:F10">
    <sortCondition ref="E7:E1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B12" sqref="B12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19.5703125" customWidth="1"/>
    <col min="7" max="7" width="3.4257812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SUMIF(F7:F133,"Elimination*",G7:G83)</f>
        <v>0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SUMIF(F7:F133,"NB*",G7:G83)</f>
        <v>4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SUMIF(F7:F133,"Ve*",G7:G83)</f>
        <v>0</v>
      </c>
    </row>
    <row r="5" spans="1:11" ht="15.75" x14ac:dyDescent="0.25">
      <c r="A5" s="51" t="s">
        <v>60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4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19</v>
      </c>
      <c r="C7" s="11" t="s">
        <v>20</v>
      </c>
      <c r="D7" s="9" t="s">
        <v>57</v>
      </c>
      <c r="E7" s="14">
        <v>42862</v>
      </c>
      <c r="F7" s="22" t="s">
        <v>58</v>
      </c>
      <c r="G7" s="12">
        <v>1</v>
      </c>
      <c r="H7" s="13"/>
      <c r="I7" s="2"/>
      <c r="J7" s="2"/>
    </row>
    <row r="8" spans="1:11" ht="15" customHeight="1" x14ac:dyDescent="0.25">
      <c r="A8" s="17">
        <f>+A7+1</f>
        <v>2</v>
      </c>
      <c r="B8" s="15" t="s">
        <v>19</v>
      </c>
      <c r="C8" s="11" t="s">
        <v>20</v>
      </c>
      <c r="D8" s="9" t="s">
        <v>55</v>
      </c>
      <c r="E8" s="14">
        <v>42871</v>
      </c>
      <c r="F8" s="22" t="s">
        <v>56</v>
      </c>
      <c r="G8" s="12">
        <v>1</v>
      </c>
      <c r="H8" s="13"/>
      <c r="I8" s="2"/>
      <c r="J8" s="2"/>
    </row>
    <row r="9" spans="1:11" ht="15" customHeight="1" x14ac:dyDescent="0.25">
      <c r="A9" s="17">
        <f t="shared" ref="A9:A29" si="0">+A8+1</f>
        <v>3</v>
      </c>
      <c r="B9" s="15" t="s">
        <v>19</v>
      </c>
      <c r="C9" s="11" t="s">
        <v>20</v>
      </c>
      <c r="D9" s="9" t="s">
        <v>53</v>
      </c>
      <c r="E9" s="14">
        <v>42871</v>
      </c>
      <c r="F9" s="22" t="s">
        <v>54</v>
      </c>
      <c r="G9" s="12">
        <v>1</v>
      </c>
      <c r="H9" s="13"/>
      <c r="I9" s="2"/>
      <c r="J9" s="2"/>
    </row>
    <row r="10" spans="1:11" ht="15" customHeight="1" x14ac:dyDescent="0.25">
      <c r="A10" s="17">
        <f t="shared" si="0"/>
        <v>4</v>
      </c>
      <c r="B10" s="15" t="s">
        <v>19</v>
      </c>
      <c r="C10" s="11" t="s">
        <v>20</v>
      </c>
      <c r="D10" s="9" t="s">
        <v>59</v>
      </c>
      <c r="E10" s="14">
        <v>42877</v>
      </c>
      <c r="F10" s="22" t="s">
        <v>61</v>
      </c>
      <c r="G10" s="12">
        <v>1</v>
      </c>
      <c r="H10" s="1"/>
      <c r="I10" s="1"/>
      <c r="J10" s="1"/>
    </row>
    <row r="11" spans="1:11" ht="15" customHeight="1" x14ac:dyDescent="0.25">
      <c r="A11" s="17">
        <f t="shared" si="0"/>
        <v>5</v>
      </c>
      <c r="B11" s="15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24"/>
      <c r="B30" s="25"/>
      <c r="C30" s="26"/>
      <c r="D30" s="27"/>
      <c r="E30" s="28"/>
      <c r="F30" s="29"/>
      <c r="G30" s="23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E32" s="44"/>
      <c r="F32" s="29"/>
      <c r="G32" s="23">
        <v>1</v>
      </c>
    </row>
    <row r="33" spans="1:7" ht="15" customHeight="1" x14ac:dyDescent="0.25">
      <c r="A33" s="24"/>
      <c r="B33" s="25"/>
      <c r="C33" s="26"/>
      <c r="D33" s="27"/>
      <c r="E33" s="28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30"/>
      <c r="D43" s="31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26"/>
      <c r="D51" s="27"/>
      <c r="E51" s="28"/>
      <c r="F51" s="29"/>
      <c r="G51" s="23">
        <v>1</v>
      </c>
    </row>
    <row r="52" spans="1:7" ht="15" customHeight="1" x14ac:dyDescent="0.25">
      <c r="A52" s="24"/>
      <c r="B52" s="32"/>
      <c r="C52" s="32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33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34"/>
      <c r="F55" s="35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2"/>
      <c r="E57" s="34"/>
      <c r="F57" s="35"/>
      <c r="G57" s="23">
        <v>1</v>
      </c>
    </row>
    <row r="58" spans="1:7" ht="15" customHeight="1" x14ac:dyDescent="0.25">
      <c r="A58" s="24"/>
      <c r="B58" s="25"/>
      <c r="C58" s="30"/>
      <c r="D58" s="31"/>
      <c r="E58" s="25"/>
      <c r="F58" s="36"/>
      <c r="G58" s="23">
        <v>1</v>
      </c>
    </row>
    <row r="59" spans="1:7" ht="15" customHeight="1" x14ac:dyDescent="0.25">
      <c r="A59" s="24"/>
      <c r="B59" s="37"/>
      <c r="C59" s="37"/>
      <c r="D59" s="38"/>
      <c r="E59" s="25"/>
      <c r="F59" s="36"/>
      <c r="G59" s="23">
        <v>1</v>
      </c>
    </row>
    <row r="60" spans="1:7" ht="15" customHeight="1" x14ac:dyDescent="0.25">
      <c r="A60" s="24"/>
      <c r="B60" s="39"/>
      <c r="C60" s="40"/>
      <c r="D60" s="41"/>
      <c r="E60" s="39"/>
      <c r="F60" s="42"/>
      <c r="G60" s="23">
        <v>1</v>
      </c>
    </row>
    <row r="61" spans="1:7" ht="15" customHeight="1" x14ac:dyDescent="0.25">
      <c r="A61" s="24"/>
      <c r="B61" s="37"/>
      <c r="C61" s="37"/>
      <c r="D61" s="38"/>
      <c r="E61" s="25"/>
      <c r="F61" s="43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36"/>
      <c r="G62" s="23">
        <v>1</v>
      </c>
    </row>
    <row r="63" spans="1:7" ht="15" customHeight="1" x14ac:dyDescent="0.25">
      <c r="A63" s="24"/>
      <c r="B63" s="32"/>
      <c r="C63" s="32"/>
      <c r="D63" s="33"/>
      <c r="E63" s="34"/>
      <c r="F63" s="35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</sheetData>
  <sortState ref="B7:F9">
    <sortCondition ref="E7:E9"/>
    <sortCondition ref="D7:D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opLeftCell="A4" workbookViewId="0">
      <selection activeCell="F15" sqref="F15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22.28515625" customWidth="1"/>
    <col min="7" max="7" width="2.710937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SUMIF(F7:F134,"Elimination*",G7:G84)</f>
        <v>6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SUMIF(F7:F134,"NB*",G7:G84)</f>
        <v>6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SUMIF(F8:F134,"Ve*",G8:G84)</f>
        <v>0</v>
      </c>
    </row>
    <row r="5" spans="1:11" ht="15.75" x14ac:dyDescent="0.25">
      <c r="A5" s="51" t="s">
        <v>84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12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19</v>
      </c>
      <c r="C7" s="11" t="s">
        <v>20</v>
      </c>
      <c r="D7" s="9" t="s">
        <v>85</v>
      </c>
      <c r="E7" s="14">
        <v>42887</v>
      </c>
      <c r="F7" s="22" t="s">
        <v>86</v>
      </c>
      <c r="G7" s="8">
        <v>1</v>
      </c>
      <c r="H7" s="3"/>
      <c r="I7" s="3"/>
      <c r="J7" s="3"/>
      <c r="K7" s="1"/>
    </row>
    <row r="8" spans="1:11" ht="15" customHeight="1" x14ac:dyDescent="0.25">
      <c r="A8" s="17">
        <f>A7+1</f>
        <v>2</v>
      </c>
      <c r="B8" s="15" t="s">
        <v>19</v>
      </c>
      <c r="C8" s="11" t="s">
        <v>20</v>
      </c>
      <c r="D8" s="9" t="s">
        <v>71</v>
      </c>
      <c r="E8" s="14">
        <v>42889</v>
      </c>
      <c r="F8" s="22" t="s">
        <v>70</v>
      </c>
      <c r="G8" s="12">
        <v>1</v>
      </c>
      <c r="H8" s="13"/>
      <c r="I8" s="2"/>
      <c r="J8" s="2"/>
    </row>
    <row r="9" spans="1:11" ht="15" customHeight="1" x14ac:dyDescent="0.25">
      <c r="A9" s="17">
        <f>+A8+1</f>
        <v>3</v>
      </c>
      <c r="B9" s="15" t="s">
        <v>19</v>
      </c>
      <c r="C9" s="11" t="s">
        <v>20</v>
      </c>
      <c r="D9" s="9" t="s">
        <v>64</v>
      </c>
      <c r="E9" s="14">
        <v>42892</v>
      </c>
      <c r="F9" s="22" t="s">
        <v>65</v>
      </c>
      <c r="G9" s="12">
        <v>1</v>
      </c>
      <c r="H9" s="13"/>
      <c r="I9" s="2"/>
      <c r="J9" s="2"/>
    </row>
    <row r="10" spans="1:11" ht="15" customHeight="1" x14ac:dyDescent="0.25">
      <c r="A10" s="17">
        <f t="shared" ref="A10:A30" si="0">+A9+1</f>
        <v>4</v>
      </c>
      <c r="B10" s="15" t="s">
        <v>19</v>
      </c>
      <c r="C10" s="11" t="s">
        <v>20</v>
      </c>
      <c r="D10" s="9" t="s">
        <v>62</v>
      </c>
      <c r="E10" s="14">
        <v>42892</v>
      </c>
      <c r="F10" s="22" t="s">
        <v>63</v>
      </c>
      <c r="G10" s="12">
        <v>1</v>
      </c>
      <c r="H10" s="13"/>
      <c r="I10" s="2"/>
      <c r="J10" s="2"/>
    </row>
    <row r="11" spans="1:11" ht="15" customHeight="1" x14ac:dyDescent="0.25">
      <c r="A11" s="17">
        <f t="shared" si="0"/>
        <v>5</v>
      </c>
      <c r="B11" s="15" t="s">
        <v>19</v>
      </c>
      <c r="C11" s="11" t="s">
        <v>20</v>
      </c>
      <c r="D11" s="9" t="s">
        <v>66</v>
      </c>
      <c r="E11" s="14">
        <v>42893</v>
      </c>
      <c r="F11" s="22" t="s">
        <v>67</v>
      </c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 t="s">
        <v>72</v>
      </c>
      <c r="C12" s="11" t="s">
        <v>20</v>
      </c>
      <c r="D12" s="9" t="s">
        <v>73</v>
      </c>
      <c r="E12" s="14">
        <v>42902</v>
      </c>
      <c r="F12" s="22" t="s">
        <v>38</v>
      </c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 t="s">
        <v>74</v>
      </c>
      <c r="C13" s="11" t="s">
        <v>20</v>
      </c>
      <c r="D13" s="9" t="s">
        <v>75</v>
      </c>
      <c r="E13" s="14">
        <v>42905</v>
      </c>
      <c r="F13" s="22" t="s">
        <v>38</v>
      </c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 t="s">
        <v>76</v>
      </c>
      <c r="C14" s="11" t="s">
        <v>20</v>
      </c>
      <c r="D14" s="9" t="s">
        <v>77</v>
      </c>
      <c r="E14" s="14">
        <v>42905</v>
      </c>
      <c r="F14" s="22" t="s">
        <v>38</v>
      </c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 t="s">
        <v>78</v>
      </c>
      <c r="C15" s="11" t="s">
        <v>20</v>
      </c>
      <c r="D15" s="9" t="s">
        <v>79</v>
      </c>
      <c r="E15" s="14">
        <v>42905</v>
      </c>
      <c r="F15" s="22" t="s">
        <v>38</v>
      </c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 t="s">
        <v>80</v>
      </c>
      <c r="C16" s="11" t="s">
        <v>20</v>
      </c>
      <c r="D16" s="9" t="s">
        <v>81</v>
      </c>
      <c r="E16" s="14">
        <v>42905</v>
      </c>
      <c r="F16" s="22" t="s">
        <v>38</v>
      </c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 t="s">
        <v>82</v>
      </c>
      <c r="C17" s="11" t="s">
        <v>20</v>
      </c>
      <c r="D17" s="9" t="s">
        <v>83</v>
      </c>
      <c r="E17" s="14">
        <v>42905</v>
      </c>
      <c r="F17" s="22" t="s">
        <v>38</v>
      </c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 t="s">
        <v>19</v>
      </c>
      <c r="C18" s="11" t="s">
        <v>20</v>
      </c>
      <c r="D18" s="9" t="s">
        <v>69</v>
      </c>
      <c r="E18" s="14">
        <v>42913</v>
      </c>
      <c r="F18" s="22" t="s">
        <v>68</v>
      </c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  <c r="H25" s="1"/>
      <c r="I25" s="1"/>
      <c r="J25" s="1"/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17">
        <f t="shared" si="0"/>
        <v>24</v>
      </c>
      <c r="B30" s="14"/>
      <c r="C30" s="11"/>
      <c r="D30" s="9"/>
      <c r="E30" s="10"/>
      <c r="F30" s="22"/>
      <c r="G30" s="12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26"/>
      <c r="E33" s="44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26"/>
      <c r="D43" s="27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30"/>
      <c r="D51" s="31"/>
      <c r="E51" s="28"/>
      <c r="F51" s="29"/>
      <c r="G51" s="23">
        <v>1</v>
      </c>
    </row>
    <row r="52" spans="1:7" ht="15" customHeight="1" x14ac:dyDescent="0.25">
      <c r="A52" s="24"/>
      <c r="B52" s="25"/>
      <c r="C52" s="26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27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28"/>
      <c r="F55" s="29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3"/>
      <c r="E57" s="34"/>
      <c r="F57" s="35"/>
      <c r="G57" s="23">
        <v>1</v>
      </c>
    </row>
    <row r="58" spans="1:7" ht="15" customHeight="1" x14ac:dyDescent="0.25">
      <c r="A58" s="24"/>
      <c r="B58" s="32"/>
      <c r="C58" s="32"/>
      <c r="D58" s="32"/>
      <c r="E58" s="34"/>
      <c r="F58" s="35"/>
      <c r="G58" s="23">
        <v>1</v>
      </c>
    </row>
    <row r="59" spans="1:7" ht="15" customHeight="1" x14ac:dyDescent="0.25">
      <c r="A59" s="24"/>
      <c r="B59" s="25"/>
      <c r="C59" s="30"/>
      <c r="D59" s="31"/>
      <c r="E59" s="25"/>
      <c r="F59" s="36"/>
      <c r="G59" s="23">
        <v>1</v>
      </c>
    </row>
    <row r="60" spans="1:7" ht="15" customHeight="1" x14ac:dyDescent="0.25">
      <c r="A60" s="24"/>
      <c r="B60" s="37"/>
      <c r="C60" s="37"/>
      <c r="D60" s="38"/>
      <c r="E60" s="25"/>
      <c r="F60" s="36"/>
      <c r="G60" s="23">
        <v>1</v>
      </c>
    </row>
    <row r="61" spans="1:7" ht="15" customHeight="1" x14ac:dyDescent="0.25">
      <c r="A61" s="24"/>
      <c r="B61" s="39"/>
      <c r="C61" s="40"/>
      <c r="D61" s="41"/>
      <c r="E61" s="39"/>
      <c r="F61" s="42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43"/>
      <c r="G62" s="23">
        <v>1</v>
      </c>
    </row>
    <row r="63" spans="1:7" ht="15" customHeight="1" x14ac:dyDescent="0.25">
      <c r="A63" s="24"/>
      <c r="B63" s="37"/>
      <c r="C63" s="37"/>
      <c r="D63" s="38"/>
      <c r="E63" s="25"/>
      <c r="F63" s="36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  <row r="66" spans="1:7" ht="15" customHeight="1" x14ac:dyDescent="0.25">
      <c r="A66" s="24"/>
      <c r="B66" s="32"/>
      <c r="C66" s="32"/>
      <c r="D66" s="33"/>
      <c r="E66" s="34"/>
      <c r="F66" s="35"/>
      <c r="G66" s="23">
        <v>1</v>
      </c>
    </row>
  </sheetData>
  <sortState ref="B7:F17">
    <sortCondition ref="E7:E1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selection activeCell="F18" sqref="F18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22.28515625" customWidth="1"/>
    <col min="7" max="7" width="2.710937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SUMIF(F7:F134,"Elimination*",G7:G84)</f>
        <v>0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SUMIF(F7:F134,"NB*",G7:G84)</f>
        <v>0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SUMIF(F8:F134,"Ve*",G8:G84)</f>
        <v>0</v>
      </c>
    </row>
    <row r="5" spans="1:11" ht="15.75" x14ac:dyDescent="0.25">
      <c r="A5" s="51" t="s">
        <v>87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0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/>
      <c r="C7" s="11"/>
      <c r="D7" s="9"/>
      <c r="E7" s="14"/>
      <c r="F7" s="22"/>
      <c r="G7" s="8">
        <v>1</v>
      </c>
      <c r="H7" s="3"/>
      <c r="I7" s="3"/>
      <c r="J7" s="3"/>
      <c r="K7" s="1"/>
    </row>
    <row r="8" spans="1:11" ht="15" customHeight="1" x14ac:dyDescent="0.25">
      <c r="A8" s="17">
        <f>A7+1</f>
        <v>2</v>
      </c>
      <c r="B8" s="15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 x14ac:dyDescent="0.25">
      <c r="A9" s="17">
        <f>+A8+1</f>
        <v>3</v>
      </c>
      <c r="B9" s="15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 x14ac:dyDescent="0.25">
      <c r="A10" s="17">
        <f t="shared" ref="A10:A30" si="0">+A9+1</f>
        <v>4</v>
      </c>
      <c r="B10" s="15"/>
      <c r="C10" s="11"/>
      <c r="D10" s="9"/>
      <c r="E10" s="14"/>
      <c r="F10" s="22"/>
      <c r="G10" s="12">
        <v>1</v>
      </c>
      <c r="H10" s="13"/>
      <c r="I10" s="2"/>
      <c r="J10" s="2"/>
    </row>
    <row r="11" spans="1:11" ht="15" customHeight="1" x14ac:dyDescent="0.25">
      <c r="A11" s="17">
        <f t="shared" si="0"/>
        <v>5</v>
      </c>
      <c r="B11" s="15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4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/>
      <c r="C18" s="11"/>
      <c r="D18" s="9"/>
      <c r="E18" s="14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  <c r="H25" s="1"/>
      <c r="I25" s="1"/>
      <c r="J25" s="1"/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17">
        <f t="shared" si="0"/>
        <v>24</v>
      </c>
      <c r="B30" s="14"/>
      <c r="C30" s="11"/>
      <c r="D30" s="9"/>
      <c r="E30" s="10"/>
      <c r="F30" s="22"/>
      <c r="G30" s="12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26"/>
      <c r="E33" s="44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26"/>
      <c r="D43" s="27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30"/>
      <c r="D51" s="31"/>
      <c r="E51" s="28"/>
      <c r="F51" s="29"/>
      <c r="G51" s="23">
        <v>1</v>
      </c>
    </row>
    <row r="52" spans="1:7" ht="15" customHeight="1" x14ac:dyDescent="0.25">
      <c r="A52" s="24"/>
      <c r="B52" s="25"/>
      <c r="C52" s="26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27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28"/>
      <c r="F55" s="29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3"/>
      <c r="E57" s="34"/>
      <c r="F57" s="35"/>
      <c r="G57" s="23">
        <v>1</v>
      </c>
    </row>
    <row r="58" spans="1:7" ht="15" customHeight="1" x14ac:dyDescent="0.25">
      <c r="A58" s="24"/>
      <c r="B58" s="32"/>
      <c r="C58" s="32"/>
      <c r="D58" s="32"/>
      <c r="E58" s="34"/>
      <c r="F58" s="35"/>
      <c r="G58" s="23">
        <v>1</v>
      </c>
    </row>
    <row r="59" spans="1:7" ht="15" customHeight="1" x14ac:dyDescent="0.25">
      <c r="A59" s="24"/>
      <c r="B59" s="25"/>
      <c r="C59" s="30"/>
      <c r="D59" s="31"/>
      <c r="E59" s="25"/>
      <c r="F59" s="36"/>
      <c r="G59" s="23">
        <v>1</v>
      </c>
    </row>
    <row r="60" spans="1:7" ht="15" customHeight="1" x14ac:dyDescent="0.25">
      <c r="A60" s="24"/>
      <c r="B60" s="37"/>
      <c r="C60" s="37"/>
      <c r="D60" s="38"/>
      <c r="E60" s="25"/>
      <c r="F60" s="36"/>
      <c r="G60" s="23">
        <v>1</v>
      </c>
    </row>
    <row r="61" spans="1:7" ht="15" customHeight="1" x14ac:dyDescent="0.25">
      <c r="A61" s="24"/>
      <c r="B61" s="39"/>
      <c r="C61" s="40"/>
      <c r="D61" s="41"/>
      <c r="E61" s="39"/>
      <c r="F61" s="42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43"/>
      <c r="G62" s="23">
        <v>1</v>
      </c>
    </row>
    <row r="63" spans="1:7" ht="15" customHeight="1" x14ac:dyDescent="0.25">
      <c r="A63" s="24"/>
      <c r="B63" s="37"/>
      <c r="C63" s="37"/>
      <c r="D63" s="38"/>
      <c r="E63" s="25"/>
      <c r="F63" s="36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  <row r="66" spans="1:7" ht="15" customHeight="1" x14ac:dyDescent="0.25">
      <c r="A66" s="24"/>
      <c r="B66" s="32"/>
      <c r="C66" s="32"/>
      <c r="D66" s="33"/>
      <c r="E66" s="34"/>
      <c r="F66" s="35"/>
      <c r="G66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selection activeCell="F19" sqref="F1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22.28515625" customWidth="1"/>
    <col min="7" max="7" width="1.710937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SUMIF(F7:F134,"Elimination*",G7:G84)</f>
        <v>0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SUMIF(F7:F134,"NB*",G7:G84)</f>
        <v>5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SUMIF(F8:F134,"Ve*",G8:G84)</f>
        <v>0</v>
      </c>
    </row>
    <row r="5" spans="1:11" ht="15.75" x14ac:dyDescent="0.25">
      <c r="A5" s="51" t="s">
        <v>88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5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19</v>
      </c>
      <c r="C7" s="11" t="s">
        <v>20</v>
      </c>
      <c r="D7" s="9" t="s">
        <v>89</v>
      </c>
      <c r="E7" s="14">
        <v>42948</v>
      </c>
      <c r="F7" s="22" t="s">
        <v>90</v>
      </c>
      <c r="G7" s="8">
        <v>1</v>
      </c>
      <c r="H7" s="45">
        <v>42883</v>
      </c>
      <c r="I7" s="3"/>
      <c r="J7" s="3"/>
      <c r="K7" s="1"/>
    </row>
    <row r="8" spans="1:11" ht="15" customHeight="1" x14ac:dyDescent="0.25">
      <c r="A8" s="17">
        <f>A7+1</f>
        <v>2</v>
      </c>
      <c r="B8" s="15" t="s">
        <v>19</v>
      </c>
      <c r="C8" s="11">
        <v>100</v>
      </c>
      <c r="D8" s="9" t="s">
        <v>91</v>
      </c>
      <c r="E8" s="14">
        <v>42960</v>
      </c>
      <c r="F8" s="22" t="s">
        <v>98</v>
      </c>
      <c r="G8" s="12">
        <v>1</v>
      </c>
      <c r="H8" s="46" t="s">
        <v>92</v>
      </c>
      <c r="I8" s="2"/>
      <c r="J8" s="2"/>
    </row>
    <row r="9" spans="1:11" ht="15" customHeight="1" x14ac:dyDescent="0.25">
      <c r="A9" s="17">
        <f>+A8+1</f>
        <v>3</v>
      </c>
      <c r="B9" s="15" t="s">
        <v>19</v>
      </c>
      <c r="C9" s="11" t="s">
        <v>20</v>
      </c>
      <c r="D9" s="9" t="s">
        <v>93</v>
      </c>
      <c r="E9" s="14">
        <v>42964</v>
      </c>
      <c r="F9" s="22" t="s">
        <v>97</v>
      </c>
      <c r="G9" s="12">
        <v>1</v>
      </c>
      <c r="H9" s="46" t="s">
        <v>94</v>
      </c>
      <c r="I9" s="2"/>
      <c r="J9" s="2"/>
    </row>
    <row r="10" spans="1:11" ht="15" customHeight="1" x14ac:dyDescent="0.25">
      <c r="A10" s="17">
        <f t="shared" ref="A10:A30" si="0">+A9+1</f>
        <v>4</v>
      </c>
      <c r="B10" s="15" t="s">
        <v>19</v>
      </c>
      <c r="C10" s="11" t="s">
        <v>20</v>
      </c>
      <c r="D10" s="9" t="s">
        <v>95</v>
      </c>
      <c r="E10" s="14">
        <v>42968</v>
      </c>
      <c r="F10" s="22" t="s">
        <v>96</v>
      </c>
      <c r="G10" s="12">
        <v>1</v>
      </c>
      <c r="H10" s="46" t="s">
        <v>101</v>
      </c>
      <c r="I10" s="2"/>
      <c r="J10" s="2"/>
    </row>
    <row r="11" spans="1:11" ht="15" customHeight="1" x14ac:dyDescent="0.25">
      <c r="A11" s="17">
        <f t="shared" si="0"/>
        <v>5</v>
      </c>
      <c r="B11" s="15" t="s">
        <v>19</v>
      </c>
      <c r="C11" s="11" t="s">
        <v>20</v>
      </c>
      <c r="D11" s="9" t="s">
        <v>99</v>
      </c>
      <c r="E11" s="14">
        <v>42971</v>
      </c>
      <c r="F11" s="22" t="s">
        <v>102</v>
      </c>
      <c r="G11" s="12">
        <v>1</v>
      </c>
      <c r="H11" s="1" t="s">
        <v>100</v>
      </c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4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/>
      <c r="C18" s="11"/>
      <c r="D18" s="9"/>
      <c r="E18" s="14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  <c r="H25" s="1"/>
      <c r="I25" s="1"/>
      <c r="J25" s="1"/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17">
        <f t="shared" si="0"/>
        <v>24</v>
      </c>
      <c r="B30" s="14"/>
      <c r="C30" s="11"/>
      <c r="D30" s="9"/>
      <c r="E30" s="10"/>
      <c r="F30" s="22"/>
      <c r="G30" s="12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26"/>
      <c r="E33" s="44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26"/>
      <c r="D43" s="27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30"/>
      <c r="D51" s="31"/>
      <c r="E51" s="28"/>
      <c r="F51" s="29"/>
      <c r="G51" s="23">
        <v>1</v>
      </c>
    </row>
    <row r="52" spans="1:7" ht="15" customHeight="1" x14ac:dyDescent="0.25">
      <c r="A52" s="24"/>
      <c r="B52" s="25"/>
      <c r="C52" s="26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27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28"/>
      <c r="F55" s="29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3"/>
      <c r="E57" s="34"/>
      <c r="F57" s="35"/>
      <c r="G57" s="23">
        <v>1</v>
      </c>
    </row>
    <row r="58" spans="1:7" ht="15" customHeight="1" x14ac:dyDescent="0.25">
      <c r="A58" s="24"/>
      <c r="B58" s="32"/>
      <c r="C58" s="32"/>
      <c r="D58" s="32"/>
      <c r="E58" s="34"/>
      <c r="F58" s="35"/>
      <c r="G58" s="23">
        <v>1</v>
      </c>
    </row>
    <row r="59" spans="1:7" ht="15" customHeight="1" x14ac:dyDescent="0.25">
      <c r="A59" s="24"/>
      <c r="B59" s="25"/>
      <c r="C59" s="30"/>
      <c r="D59" s="31"/>
      <c r="E59" s="25"/>
      <c r="F59" s="36"/>
      <c r="G59" s="23">
        <v>1</v>
      </c>
    </row>
    <row r="60" spans="1:7" ht="15" customHeight="1" x14ac:dyDescent="0.25">
      <c r="A60" s="24"/>
      <c r="B60" s="37"/>
      <c r="C60" s="37"/>
      <c r="D60" s="38"/>
      <c r="E60" s="25"/>
      <c r="F60" s="36"/>
      <c r="G60" s="23">
        <v>1</v>
      </c>
    </row>
    <row r="61" spans="1:7" ht="15" customHeight="1" x14ac:dyDescent="0.25">
      <c r="A61" s="24"/>
      <c r="B61" s="39"/>
      <c r="C61" s="40"/>
      <c r="D61" s="41"/>
      <c r="E61" s="39"/>
      <c r="F61" s="42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43"/>
      <c r="G62" s="23">
        <v>1</v>
      </c>
    </row>
    <row r="63" spans="1:7" ht="15" customHeight="1" x14ac:dyDescent="0.25">
      <c r="A63" s="24"/>
      <c r="B63" s="37"/>
      <c r="C63" s="37"/>
      <c r="D63" s="38"/>
      <c r="E63" s="25"/>
      <c r="F63" s="36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  <row r="66" spans="1:7" ht="15" customHeight="1" x14ac:dyDescent="0.25">
      <c r="A66" s="24"/>
      <c r="B66" s="32"/>
      <c r="C66" s="32"/>
      <c r="D66" s="33"/>
      <c r="E66" s="34"/>
      <c r="F66" s="35"/>
      <c r="G66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22.28515625" customWidth="1"/>
    <col min="7" max="7" width="1.710937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SUMIF(F7:F134,"Elimination*",G7:G84)</f>
        <v>0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SUMIF(F7:F134,"NB*",G7:G84)</f>
        <v>3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SUMIF(F8:F134,"Ve*",G8:G84)</f>
        <v>0</v>
      </c>
    </row>
    <row r="5" spans="1:11" ht="15.75" x14ac:dyDescent="0.25">
      <c r="A5" s="51" t="s">
        <v>103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3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105</v>
      </c>
      <c r="C7" s="11" t="s">
        <v>42</v>
      </c>
      <c r="D7" s="9" t="s">
        <v>104</v>
      </c>
      <c r="E7" s="14">
        <v>42992</v>
      </c>
      <c r="F7" s="22" t="s">
        <v>108</v>
      </c>
      <c r="G7" s="8">
        <v>1</v>
      </c>
      <c r="H7" s="45"/>
      <c r="I7" s="3"/>
      <c r="J7" s="3"/>
      <c r="K7" s="1"/>
    </row>
    <row r="8" spans="1:11" ht="15" customHeight="1" x14ac:dyDescent="0.25">
      <c r="A8" s="17">
        <f>A7+1</f>
        <v>2</v>
      </c>
      <c r="B8" s="15" t="s">
        <v>19</v>
      </c>
      <c r="C8" s="11" t="s">
        <v>20</v>
      </c>
      <c r="D8" s="9" t="s">
        <v>109</v>
      </c>
      <c r="E8" s="14">
        <v>42992</v>
      </c>
      <c r="F8" s="22" t="s">
        <v>106</v>
      </c>
      <c r="G8" s="12">
        <v>1</v>
      </c>
      <c r="H8" s="46"/>
      <c r="I8" s="2"/>
      <c r="J8" s="2"/>
    </row>
    <row r="9" spans="1:11" ht="15" customHeight="1" x14ac:dyDescent="0.25">
      <c r="A9" s="17">
        <f>+A8+1</f>
        <v>3</v>
      </c>
      <c r="B9" s="15" t="s">
        <v>19</v>
      </c>
      <c r="C9" s="11" t="s">
        <v>20</v>
      </c>
      <c r="D9" s="9" t="s">
        <v>110</v>
      </c>
      <c r="E9" s="14">
        <v>42996</v>
      </c>
      <c r="F9" s="22" t="s">
        <v>107</v>
      </c>
      <c r="G9" s="12">
        <v>1</v>
      </c>
      <c r="H9" s="46"/>
      <c r="I9" s="2"/>
      <c r="J9" s="2"/>
    </row>
    <row r="10" spans="1:11" ht="15" customHeight="1" x14ac:dyDescent="0.25">
      <c r="A10" s="17">
        <f t="shared" ref="A10:A30" si="0">+A9+1</f>
        <v>4</v>
      </c>
      <c r="B10" s="15"/>
      <c r="C10" s="11"/>
      <c r="D10" s="9"/>
      <c r="E10" s="14"/>
      <c r="F10" s="22"/>
      <c r="G10" s="12">
        <v>1</v>
      </c>
      <c r="H10" s="46"/>
      <c r="I10" s="2"/>
      <c r="J10" s="2"/>
    </row>
    <row r="11" spans="1:11" ht="15" customHeight="1" x14ac:dyDescent="0.25">
      <c r="A11" s="17">
        <f t="shared" si="0"/>
        <v>5</v>
      </c>
      <c r="B11" s="15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4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/>
      <c r="C18" s="11"/>
      <c r="D18" s="9"/>
      <c r="E18" s="14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  <c r="H25" s="1"/>
      <c r="I25" s="1"/>
      <c r="J25" s="1"/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17">
        <f t="shared" si="0"/>
        <v>24</v>
      </c>
      <c r="B30" s="14"/>
      <c r="C30" s="11"/>
      <c r="D30" s="9"/>
      <c r="E30" s="10"/>
      <c r="F30" s="22"/>
      <c r="G30" s="12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26"/>
      <c r="E33" s="44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26"/>
      <c r="D43" s="27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30"/>
      <c r="D51" s="31"/>
      <c r="E51" s="28"/>
      <c r="F51" s="29"/>
      <c r="G51" s="23">
        <v>1</v>
      </c>
    </row>
    <row r="52" spans="1:7" ht="15" customHeight="1" x14ac:dyDescent="0.25">
      <c r="A52" s="24"/>
      <c r="B52" s="25"/>
      <c r="C52" s="26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27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28"/>
      <c r="F55" s="29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3"/>
      <c r="E57" s="34"/>
      <c r="F57" s="35"/>
      <c r="G57" s="23">
        <v>1</v>
      </c>
    </row>
    <row r="58" spans="1:7" ht="15" customHeight="1" x14ac:dyDescent="0.25">
      <c r="A58" s="24"/>
      <c r="B58" s="32"/>
      <c r="C58" s="32"/>
      <c r="D58" s="32"/>
      <c r="E58" s="34"/>
      <c r="F58" s="35"/>
      <c r="G58" s="23">
        <v>1</v>
      </c>
    </row>
    <row r="59" spans="1:7" ht="15" customHeight="1" x14ac:dyDescent="0.25">
      <c r="A59" s="24"/>
      <c r="B59" s="25"/>
      <c r="C59" s="30"/>
      <c r="D59" s="31"/>
      <c r="E59" s="25"/>
      <c r="F59" s="36"/>
      <c r="G59" s="23">
        <v>1</v>
      </c>
    </row>
    <row r="60" spans="1:7" ht="15" customHeight="1" x14ac:dyDescent="0.25">
      <c r="A60" s="24"/>
      <c r="B60" s="37"/>
      <c r="C60" s="37"/>
      <c r="D60" s="38"/>
      <c r="E60" s="25"/>
      <c r="F60" s="36"/>
      <c r="G60" s="23">
        <v>1</v>
      </c>
    </row>
    <row r="61" spans="1:7" ht="15" customHeight="1" x14ac:dyDescent="0.25">
      <c r="A61" s="24"/>
      <c r="B61" s="39"/>
      <c r="C61" s="40"/>
      <c r="D61" s="41"/>
      <c r="E61" s="39"/>
      <c r="F61" s="42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43"/>
      <c r="G62" s="23">
        <v>1</v>
      </c>
    </row>
    <row r="63" spans="1:7" ht="15" customHeight="1" x14ac:dyDescent="0.25">
      <c r="A63" s="24"/>
      <c r="B63" s="37"/>
      <c r="C63" s="37"/>
      <c r="D63" s="38"/>
      <c r="E63" s="25"/>
      <c r="F63" s="36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  <row r="66" spans="1:7" ht="15" customHeight="1" x14ac:dyDescent="0.25">
      <c r="A66" s="24"/>
      <c r="B66" s="32"/>
      <c r="C66" s="32"/>
      <c r="D66" s="33"/>
      <c r="E66" s="34"/>
      <c r="F66" s="35"/>
      <c r="G66" s="23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workbookViewId="0">
      <selection activeCell="B11" sqref="B11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22.28515625" customWidth="1"/>
    <col min="7" max="7" width="1.710937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SUMIF(F7:F134,"Elimination*",G7:G84)</f>
        <v>11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SUMIF(F7:F134,"NB*",G7:G84)</f>
        <v>1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SUMIF(F8:F134,"Ve*",G8:G84)</f>
        <v>0</v>
      </c>
    </row>
    <row r="5" spans="1:11" ht="15.75" x14ac:dyDescent="0.25">
      <c r="A5" s="51" t="s">
        <v>114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12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 t="s">
        <v>137</v>
      </c>
      <c r="I6" s="3"/>
      <c r="J6" s="3"/>
      <c r="K6" s="1"/>
    </row>
    <row r="7" spans="1:11" ht="15" customHeight="1" x14ac:dyDescent="0.25">
      <c r="A7" s="17">
        <v>1</v>
      </c>
      <c r="B7" s="15" t="s">
        <v>115</v>
      </c>
      <c r="C7" s="11" t="s">
        <v>20</v>
      </c>
      <c r="D7" s="9" t="s">
        <v>116</v>
      </c>
      <c r="E7" s="14">
        <v>43027</v>
      </c>
      <c r="F7" s="22" t="s">
        <v>38</v>
      </c>
      <c r="G7" s="47">
        <v>1</v>
      </c>
      <c r="H7" s="46"/>
      <c r="I7" s="3"/>
      <c r="J7" s="3"/>
      <c r="K7" s="1"/>
    </row>
    <row r="8" spans="1:11" ht="15" customHeight="1" x14ac:dyDescent="0.25">
      <c r="A8" s="17">
        <f>A7+1</f>
        <v>2</v>
      </c>
      <c r="B8" s="15" t="s">
        <v>119</v>
      </c>
      <c r="C8" s="11" t="s">
        <v>20</v>
      </c>
      <c r="D8" s="9" t="s">
        <v>120</v>
      </c>
      <c r="E8" s="14">
        <v>43027</v>
      </c>
      <c r="F8" s="22" t="s">
        <v>38</v>
      </c>
      <c r="G8" s="12">
        <v>1</v>
      </c>
      <c r="H8" s="46"/>
      <c r="I8" s="2"/>
      <c r="J8" s="2"/>
    </row>
    <row r="9" spans="1:11" ht="15" customHeight="1" x14ac:dyDescent="0.25">
      <c r="A9" s="17">
        <f>+A8+1</f>
        <v>3</v>
      </c>
      <c r="B9" s="15" t="s">
        <v>117</v>
      </c>
      <c r="C9" s="11" t="s">
        <v>20</v>
      </c>
      <c r="D9" s="9" t="s">
        <v>118</v>
      </c>
      <c r="E9" s="14">
        <v>43027</v>
      </c>
      <c r="F9" s="22" t="s">
        <v>38</v>
      </c>
      <c r="G9" s="12">
        <v>1</v>
      </c>
      <c r="H9" s="46"/>
      <c r="I9" s="2"/>
      <c r="J9" s="2"/>
    </row>
    <row r="10" spans="1:11" ht="15" customHeight="1" x14ac:dyDescent="0.25">
      <c r="A10" s="17">
        <f t="shared" ref="A10:A30" si="0">+A9+1</f>
        <v>4</v>
      </c>
      <c r="B10" s="15" t="s">
        <v>256</v>
      </c>
      <c r="C10" s="11" t="s">
        <v>20</v>
      </c>
      <c r="D10" s="9" t="s">
        <v>111</v>
      </c>
      <c r="E10" s="14">
        <v>43032</v>
      </c>
      <c r="F10" s="22" t="s">
        <v>113</v>
      </c>
      <c r="G10" s="8">
        <v>1</v>
      </c>
      <c r="H10" s="25" t="s">
        <v>112</v>
      </c>
      <c r="I10" s="2"/>
      <c r="J10" s="2"/>
    </row>
    <row r="11" spans="1:11" ht="15" customHeight="1" x14ac:dyDescent="0.25">
      <c r="A11" s="17">
        <f t="shared" si="0"/>
        <v>5</v>
      </c>
      <c r="B11" s="14" t="s">
        <v>125</v>
      </c>
      <c r="C11" s="11" t="s">
        <v>20</v>
      </c>
      <c r="D11" s="9" t="s">
        <v>126</v>
      </c>
      <c r="E11" s="14">
        <v>43037</v>
      </c>
      <c r="F11" s="22" t="s">
        <v>38</v>
      </c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 t="s">
        <v>131</v>
      </c>
      <c r="C12" s="11" t="s">
        <v>20</v>
      </c>
      <c r="D12" s="9" t="s">
        <v>132</v>
      </c>
      <c r="E12" s="14">
        <v>43037</v>
      </c>
      <c r="F12" s="22" t="s">
        <v>38</v>
      </c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 t="s">
        <v>129</v>
      </c>
      <c r="C13" s="11" t="s">
        <v>20</v>
      </c>
      <c r="D13" s="9" t="s">
        <v>130</v>
      </c>
      <c r="E13" s="14">
        <v>43037</v>
      </c>
      <c r="F13" s="22" t="s">
        <v>38</v>
      </c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 t="s">
        <v>123</v>
      </c>
      <c r="C14" s="11" t="s">
        <v>20</v>
      </c>
      <c r="D14" s="9" t="s">
        <v>124</v>
      </c>
      <c r="E14" s="14">
        <v>43037</v>
      </c>
      <c r="F14" s="22" t="s">
        <v>38</v>
      </c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5" t="s">
        <v>121</v>
      </c>
      <c r="C15" s="11" t="s">
        <v>20</v>
      </c>
      <c r="D15" s="9" t="s">
        <v>122</v>
      </c>
      <c r="E15" s="14">
        <v>43037</v>
      </c>
      <c r="F15" s="22" t="s">
        <v>38</v>
      </c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 t="s">
        <v>127</v>
      </c>
      <c r="C16" s="11" t="s">
        <v>20</v>
      </c>
      <c r="D16" s="9" t="s">
        <v>128</v>
      </c>
      <c r="E16" s="14">
        <v>43037</v>
      </c>
      <c r="F16" s="22" t="s">
        <v>38</v>
      </c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 t="s">
        <v>133</v>
      </c>
      <c r="C17" s="11" t="s">
        <v>20</v>
      </c>
      <c r="D17" s="9" t="s">
        <v>134</v>
      </c>
      <c r="E17" s="14">
        <v>43038</v>
      </c>
      <c r="F17" s="22" t="s">
        <v>38</v>
      </c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 t="s">
        <v>135</v>
      </c>
      <c r="C18" s="11" t="s">
        <v>20</v>
      </c>
      <c r="D18" s="9" t="s">
        <v>136</v>
      </c>
      <c r="E18" s="14">
        <v>43038</v>
      </c>
      <c r="F18" s="22" t="s">
        <v>38</v>
      </c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  <c r="H25" s="1"/>
      <c r="I25" s="1"/>
      <c r="J25" s="1"/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17">
        <f t="shared" si="0"/>
        <v>24</v>
      </c>
      <c r="B30" s="14"/>
      <c r="C30" s="11"/>
      <c r="D30" s="9"/>
      <c r="E30" s="10"/>
      <c r="F30" s="22"/>
      <c r="G30" s="12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26"/>
      <c r="E33" s="44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26"/>
      <c r="D43" s="27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30"/>
      <c r="D51" s="31"/>
      <c r="E51" s="28"/>
      <c r="F51" s="29"/>
      <c r="G51" s="23">
        <v>1</v>
      </c>
    </row>
    <row r="52" spans="1:7" ht="15" customHeight="1" x14ac:dyDescent="0.25">
      <c r="A52" s="24"/>
      <c r="B52" s="25"/>
      <c r="C52" s="26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27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28"/>
      <c r="F55" s="29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3"/>
      <c r="E57" s="34"/>
      <c r="F57" s="35"/>
      <c r="G57" s="23">
        <v>1</v>
      </c>
    </row>
    <row r="58" spans="1:7" ht="15" customHeight="1" x14ac:dyDescent="0.25">
      <c r="A58" s="24"/>
      <c r="B58" s="32"/>
      <c r="C58" s="32"/>
      <c r="D58" s="32"/>
      <c r="E58" s="34"/>
      <c r="F58" s="35"/>
      <c r="G58" s="23">
        <v>1</v>
      </c>
    </row>
    <row r="59" spans="1:7" ht="15" customHeight="1" x14ac:dyDescent="0.25">
      <c r="A59" s="24"/>
      <c r="B59" s="25"/>
      <c r="C59" s="30"/>
      <c r="D59" s="31"/>
      <c r="E59" s="25"/>
      <c r="F59" s="36"/>
      <c r="G59" s="23">
        <v>1</v>
      </c>
    </row>
    <row r="60" spans="1:7" ht="15" customHeight="1" x14ac:dyDescent="0.25">
      <c r="A60" s="24"/>
      <c r="B60" s="37"/>
      <c r="C60" s="37"/>
      <c r="D60" s="38"/>
      <c r="E60" s="25"/>
      <c r="F60" s="36"/>
      <c r="G60" s="23">
        <v>1</v>
      </c>
    </row>
    <row r="61" spans="1:7" ht="15" customHeight="1" x14ac:dyDescent="0.25">
      <c r="A61" s="24"/>
      <c r="B61" s="39"/>
      <c r="C61" s="40"/>
      <c r="D61" s="41"/>
      <c r="E61" s="39"/>
      <c r="F61" s="42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43"/>
      <c r="G62" s="23">
        <v>1</v>
      </c>
    </row>
    <row r="63" spans="1:7" ht="15" customHeight="1" x14ac:dyDescent="0.25">
      <c r="A63" s="24"/>
      <c r="B63" s="37"/>
      <c r="C63" s="37"/>
      <c r="D63" s="38"/>
      <c r="E63" s="25"/>
      <c r="F63" s="36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  <row r="66" spans="1:7" ht="15" customHeight="1" x14ac:dyDescent="0.25">
      <c r="A66" s="24"/>
      <c r="B66" s="32"/>
      <c r="C66" s="32"/>
      <c r="D66" s="33"/>
      <c r="E66" s="34"/>
      <c r="F66" s="35"/>
      <c r="G66" s="23">
        <v>1</v>
      </c>
    </row>
  </sheetData>
  <sortState ref="B7:H18">
    <sortCondition ref="E7:E18"/>
    <sortCondition ref="D7:D1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workbookViewId="0">
      <selection activeCell="D14" sqref="D14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22.28515625" customWidth="1"/>
    <col min="7" max="7" width="1.710937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SUMIF(F7:F134,"Elimination*",G7:G84)</f>
        <v>9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SUMIF(F7:F134,"NB*",G7:G84)</f>
        <v>0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SUMIF(F8:F134,"Ve*",G8:G84)</f>
        <v>0</v>
      </c>
    </row>
    <row r="5" spans="1:11" ht="15.75" x14ac:dyDescent="0.25">
      <c r="A5" s="51" t="s">
        <v>138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9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 t="s">
        <v>137</v>
      </c>
      <c r="I6" s="3"/>
      <c r="J6" s="3"/>
      <c r="K6" s="1"/>
    </row>
    <row r="7" spans="1:11" ht="15" customHeight="1" x14ac:dyDescent="0.25">
      <c r="A7" s="17">
        <v>1</v>
      </c>
      <c r="B7" s="15" t="s">
        <v>139</v>
      </c>
      <c r="C7" s="11" t="s">
        <v>20</v>
      </c>
      <c r="D7" s="9" t="s">
        <v>140</v>
      </c>
      <c r="E7" s="14">
        <v>43044</v>
      </c>
      <c r="F7" s="22" t="s">
        <v>38</v>
      </c>
      <c r="G7" s="47">
        <v>1</v>
      </c>
      <c r="H7" s="46"/>
      <c r="I7" s="3"/>
      <c r="J7" s="3"/>
      <c r="K7" s="1"/>
    </row>
    <row r="8" spans="1:11" ht="15" customHeight="1" x14ac:dyDescent="0.25">
      <c r="A8" s="17">
        <f>A7+1</f>
        <v>2</v>
      </c>
      <c r="B8" s="15" t="s">
        <v>141</v>
      </c>
      <c r="C8" s="11" t="s">
        <v>20</v>
      </c>
      <c r="D8" s="9" t="s">
        <v>142</v>
      </c>
      <c r="E8" s="14">
        <v>43044</v>
      </c>
      <c r="F8" s="22" t="s">
        <v>38</v>
      </c>
      <c r="G8" s="12">
        <v>1</v>
      </c>
      <c r="H8" s="46"/>
      <c r="I8" s="2"/>
      <c r="J8" s="2"/>
    </row>
    <row r="9" spans="1:11" ht="15" customHeight="1" x14ac:dyDescent="0.25">
      <c r="A9" s="17">
        <f>+A8+1</f>
        <v>3</v>
      </c>
      <c r="B9" s="15" t="s">
        <v>143</v>
      </c>
      <c r="C9" s="11" t="s">
        <v>20</v>
      </c>
      <c r="D9" s="9" t="s">
        <v>144</v>
      </c>
      <c r="E9" s="14">
        <v>43044</v>
      </c>
      <c r="F9" s="22" t="s">
        <v>38</v>
      </c>
      <c r="G9" s="12">
        <v>1</v>
      </c>
      <c r="H9" s="46"/>
      <c r="I9" s="2"/>
      <c r="J9" s="2"/>
    </row>
    <row r="10" spans="1:11" ht="15" customHeight="1" x14ac:dyDescent="0.25">
      <c r="A10" s="17">
        <f t="shared" ref="A10:A30" si="0">+A9+1</f>
        <v>4</v>
      </c>
      <c r="B10" s="15" t="s">
        <v>145</v>
      </c>
      <c r="C10" s="11" t="s">
        <v>20</v>
      </c>
      <c r="D10" s="9" t="s">
        <v>146</v>
      </c>
      <c r="E10" s="14">
        <v>43044</v>
      </c>
      <c r="F10" s="22" t="s">
        <v>38</v>
      </c>
      <c r="G10" s="8">
        <v>1</v>
      </c>
      <c r="H10" s="25"/>
      <c r="I10" s="2"/>
      <c r="J10" s="2"/>
    </row>
    <row r="11" spans="1:11" ht="15" customHeight="1" x14ac:dyDescent="0.25">
      <c r="A11" s="17">
        <f t="shared" si="0"/>
        <v>5</v>
      </c>
      <c r="B11" s="14" t="s">
        <v>153</v>
      </c>
      <c r="C11" s="11" t="s">
        <v>20</v>
      </c>
      <c r="D11" s="9" t="s">
        <v>154</v>
      </c>
      <c r="E11" s="14">
        <v>43056</v>
      </c>
      <c r="F11" s="22" t="s">
        <v>38</v>
      </c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 t="s">
        <v>147</v>
      </c>
      <c r="C12" s="11" t="s">
        <v>20</v>
      </c>
      <c r="D12" s="9" t="s">
        <v>148</v>
      </c>
      <c r="E12" s="14">
        <v>43056</v>
      </c>
      <c r="F12" s="22" t="s">
        <v>38</v>
      </c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5" t="s">
        <v>155</v>
      </c>
      <c r="C13" s="11" t="s">
        <v>20</v>
      </c>
      <c r="D13" s="9" t="s">
        <v>156</v>
      </c>
      <c r="E13" s="14">
        <v>43056</v>
      </c>
      <c r="F13" s="22" t="s">
        <v>38</v>
      </c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 t="s">
        <v>149</v>
      </c>
      <c r="C14" s="11" t="s">
        <v>20</v>
      </c>
      <c r="D14" s="9" t="s">
        <v>150</v>
      </c>
      <c r="E14" s="14">
        <v>43056</v>
      </c>
      <c r="F14" s="22" t="s">
        <v>38</v>
      </c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4" t="s">
        <v>151</v>
      </c>
      <c r="C15" s="11" t="s">
        <v>20</v>
      </c>
      <c r="D15" s="9" t="s">
        <v>152</v>
      </c>
      <c r="E15" s="14">
        <v>43056</v>
      </c>
      <c r="F15" s="22" t="s">
        <v>38</v>
      </c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4"/>
      <c r="C17" s="11"/>
      <c r="D17" s="9"/>
      <c r="E17" s="14"/>
      <c r="F17" s="22"/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5"/>
      <c r="C18" s="11"/>
      <c r="D18" s="9"/>
      <c r="E18" s="14"/>
      <c r="F18" s="22"/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/>
      <c r="C25" s="11"/>
      <c r="D25" s="9"/>
      <c r="E25" s="10"/>
      <c r="F25" s="22"/>
      <c r="G25" s="12">
        <v>1</v>
      </c>
      <c r="H25" s="1"/>
      <c r="I25" s="1"/>
      <c r="J25" s="1"/>
    </row>
    <row r="26" spans="1:10" ht="15" customHeight="1" x14ac:dyDescent="0.25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 x14ac:dyDescent="0.25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 x14ac:dyDescent="0.25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 x14ac:dyDescent="0.25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 x14ac:dyDescent="0.25">
      <c r="A30" s="17">
        <f t="shared" si="0"/>
        <v>24</v>
      </c>
      <c r="B30" s="14"/>
      <c r="C30" s="11"/>
      <c r="D30" s="9"/>
      <c r="E30" s="10"/>
      <c r="F30" s="22"/>
      <c r="G30" s="12">
        <v>1</v>
      </c>
    </row>
    <row r="31" spans="1:10" ht="15" customHeight="1" x14ac:dyDescent="0.25">
      <c r="A31" s="24"/>
      <c r="B31" s="25"/>
      <c r="C31" s="26"/>
      <c r="D31" s="27"/>
      <c r="E31" s="28"/>
      <c r="F31" s="29"/>
      <c r="G31" s="23">
        <v>1</v>
      </c>
    </row>
    <row r="32" spans="1:10" ht="15" customHeight="1" x14ac:dyDescent="0.25">
      <c r="A32" s="24"/>
      <c r="B32" s="25"/>
      <c r="C32" s="26"/>
      <c r="D32" s="27"/>
      <c r="E32" s="28"/>
      <c r="F32" s="29"/>
      <c r="G32" s="23">
        <v>1</v>
      </c>
    </row>
    <row r="33" spans="1:7" ht="15" customHeight="1" x14ac:dyDescent="0.25">
      <c r="A33" s="24"/>
      <c r="B33" s="25"/>
      <c r="C33" s="26"/>
      <c r="E33" s="44"/>
      <c r="F33" s="29"/>
      <c r="G33" s="23">
        <v>1</v>
      </c>
    </row>
    <row r="34" spans="1:7" ht="15" customHeight="1" x14ac:dyDescent="0.25">
      <c r="A34" s="24"/>
      <c r="B34" s="25"/>
      <c r="C34" s="26"/>
      <c r="D34" s="27"/>
      <c r="E34" s="28"/>
      <c r="F34" s="29"/>
      <c r="G34" s="23">
        <v>1</v>
      </c>
    </row>
    <row r="35" spans="1:7" ht="15" customHeight="1" x14ac:dyDescent="0.25">
      <c r="A35" s="24"/>
      <c r="B35" s="25"/>
      <c r="C35" s="26"/>
      <c r="D35" s="27"/>
      <c r="E35" s="28"/>
      <c r="F35" s="29"/>
      <c r="G35" s="23">
        <v>1</v>
      </c>
    </row>
    <row r="36" spans="1:7" ht="15" customHeight="1" x14ac:dyDescent="0.25">
      <c r="A36" s="24"/>
      <c r="B36" s="25"/>
      <c r="C36" s="26"/>
      <c r="D36" s="27"/>
      <c r="E36" s="28"/>
      <c r="F36" s="29"/>
      <c r="G36" s="23">
        <v>1</v>
      </c>
    </row>
    <row r="37" spans="1:7" ht="15" customHeight="1" x14ac:dyDescent="0.25">
      <c r="A37" s="24"/>
      <c r="B37" s="25"/>
      <c r="C37" s="26"/>
      <c r="D37" s="27"/>
      <c r="E37" s="28"/>
      <c r="F37" s="29"/>
      <c r="G37" s="23">
        <v>1</v>
      </c>
    </row>
    <row r="38" spans="1:7" ht="15" customHeight="1" x14ac:dyDescent="0.25">
      <c r="A38" s="24"/>
      <c r="B38" s="25"/>
      <c r="C38" s="26"/>
      <c r="D38" s="27"/>
      <c r="E38" s="28"/>
      <c r="F38" s="29"/>
      <c r="G38" s="23">
        <v>1</v>
      </c>
    </row>
    <row r="39" spans="1:7" ht="15" customHeight="1" x14ac:dyDescent="0.25">
      <c r="A39" s="24"/>
      <c r="B39" s="25"/>
      <c r="C39" s="26"/>
      <c r="D39" s="27"/>
      <c r="E39" s="28"/>
      <c r="F39" s="29"/>
      <c r="G39" s="23">
        <v>1</v>
      </c>
    </row>
    <row r="40" spans="1:7" ht="15" customHeight="1" x14ac:dyDescent="0.25">
      <c r="A40" s="24"/>
      <c r="B40" s="25"/>
      <c r="C40" s="26"/>
      <c r="D40" s="27"/>
      <c r="E40" s="28"/>
      <c r="F40" s="29"/>
      <c r="G40" s="23">
        <v>1</v>
      </c>
    </row>
    <row r="41" spans="1:7" ht="15" customHeight="1" x14ac:dyDescent="0.25">
      <c r="A41" s="24"/>
      <c r="B41" s="25"/>
      <c r="C41" s="26"/>
      <c r="D41" s="27"/>
      <c r="E41" s="28"/>
      <c r="F41" s="29"/>
      <c r="G41" s="23">
        <v>1</v>
      </c>
    </row>
    <row r="42" spans="1:7" ht="15" customHeight="1" x14ac:dyDescent="0.25">
      <c r="A42" s="24"/>
      <c r="B42" s="25"/>
      <c r="C42" s="26"/>
      <c r="D42" s="27"/>
      <c r="E42" s="28"/>
      <c r="F42" s="29"/>
      <c r="G42" s="23">
        <v>1</v>
      </c>
    </row>
    <row r="43" spans="1:7" ht="15" customHeight="1" x14ac:dyDescent="0.25">
      <c r="A43" s="24"/>
      <c r="B43" s="25"/>
      <c r="C43" s="26"/>
      <c r="D43" s="27"/>
      <c r="E43" s="28"/>
      <c r="F43" s="29"/>
      <c r="G43" s="23">
        <v>1</v>
      </c>
    </row>
    <row r="44" spans="1:7" ht="15" customHeight="1" x14ac:dyDescent="0.25">
      <c r="A44" s="24"/>
      <c r="B44" s="25"/>
      <c r="C44" s="30"/>
      <c r="D44" s="31"/>
      <c r="E44" s="28"/>
      <c r="F44" s="29"/>
      <c r="G44" s="23">
        <v>1</v>
      </c>
    </row>
    <row r="45" spans="1:7" ht="15" customHeight="1" x14ac:dyDescent="0.25">
      <c r="A45" s="24"/>
      <c r="B45" s="25"/>
      <c r="C45" s="30"/>
      <c r="D45" s="31"/>
      <c r="E45" s="28"/>
      <c r="F45" s="29"/>
      <c r="G45" s="23">
        <v>1</v>
      </c>
    </row>
    <row r="46" spans="1:7" ht="15" customHeight="1" x14ac:dyDescent="0.25">
      <c r="A46" s="24"/>
      <c r="B46" s="25"/>
      <c r="C46" s="30"/>
      <c r="D46" s="31"/>
      <c r="E46" s="28"/>
      <c r="F46" s="29"/>
      <c r="G46" s="23">
        <v>1</v>
      </c>
    </row>
    <row r="47" spans="1:7" ht="15" customHeight="1" x14ac:dyDescent="0.25">
      <c r="A47" s="24"/>
      <c r="B47" s="25"/>
      <c r="C47" s="30"/>
      <c r="D47" s="31"/>
      <c r="E47" s="28"/>
      <c r="F47" s="29"/>
      <c r="G47" s="23">
        <v>1</v>
      </c>
    </row>
    <row r="48" spans="1:7" ht="15" customHeight="1" x14ac:dyDescent="0.25">
      <c r="A48" s="24"/>
      <c r="B48" s="25"/>
      <c r="C48" s="30"/>
      <c r="D48" s="31"/>
      <c r="E48" s="28"/>
      <c r="F48" s="29"/>
      <c r="G48" s="23">
        <v>1</v>
      </c>
    </row>
    <row r="49" spans="1:7" ht="15" customHeight="1" x14ac:dyDescent="0.25">
      <c r="A49" s="24"/>
      <c r="B49" s="25"/>
      <c r="C49" s="30"/>
      <c r="D49" s="31"/>
      <c r="E49" s="28"/>
      <c r="F49" s="29"/>
      <c r="G49" s="23">
        <v>1</v>
      </c>
    </row>
    <row r="50" spans="1:7" ht="15" customHeight="1" x14ac:dyDescent="0.25">
      <c r="A50" s="24"/>
      <c r="B50" s="25"/>
      <c r="C50" s="30"/>
      <c r="D50" s="31"/>
      <c r="E50" s="28"/>
      <c r="F50" s="29"/>
      <c r="G50" s="23">
        <v>1</v>
      </c>
    </row>
    <row r="51" spans="1:7" ht="15" customHeight="1" x14ac:dyDescent="0.25">
      <c r="A51" s="24"/>
      <c r="B51" s="25"/>
      <c r="C51" s="30"/>
      <c r="D51" s="31"/>
      <c r="E51" s="28"/>
      <c r="F51" s="29"/>
      <c r="G51" s="23">
        <v>1</v>
      </c>
    </row>
    <row r="52" spans="1:7" ht="15" customHeight="1" x14ac:dyDescent="0.25">
      <c r="A52" s="24"/>
      <c r="B52" s="25"/>
      <c r="C52" s="26"/>
      <c r="D52" s="27"/>
      <c r="E52" s="28"/>
      <c r="F52" s="29"/>
      <c r="G52" s="23">
        <v>1</v>
      </c>
    </row>
    <row r="53" spans="1:7" ht="15" customHeight="1" x14ac:dyDescent="0.25">
      <c r="A53" s="24"/>
      <c r="B53" s="32"/>
      <c r="C53" s="32"/>
      <c r="D53" s="27"/>
      <c r="E53" s="28"/>
      <c r="F53" s="29"/>
      <c r="G53" s="23">
        <v>1</v>
      </c>
    </row>
    <row r="54" spans="1:7" ht="15" customHeight="1" x14ac:dyDescent="0.25">
      <c r="A54" s="24"/>
      <c r="B54" s="32"/>
      <c r="C54" s="32"/>
      <c r="D54" s="33"/>
      <c r="E54" s="28"/>
      <c r="F54" s="29"/>
      <c r="G54" s="23">
        <v>1</v>
      </c>
    </row>
    <row r="55" spans="1:7" ht="15" customHeight="1" x14ac:dyDescent="0.25">
      <c r="A55" s="24"/>
      <c r="B55" s="32"/>
      <c r="C55" s="32"/>
      <c r="D55" s="33"/>
      <c r="E55" s="28"/>
      <c r="F55" s="29"/>
      <c r="G55" s="23">
        <v>1</v>
      </c>
    </row>
    <row r="56" spans="1:7" ht="15" customHeight="1" x14ac:dyDescent="0.25">
      <c r="A56" s="24"/>
      <c r="B56" s="32"/>
      <c r="C56" s="32"/>
      <c r="D56" s="33"/>
      <c r="E56" s="34"/>
      <c r="F56" s="35"/>
      <c r="G56" s="23">
        <v>1</v>
      </c>
    </row>
    <row r="57" spans="1:7" ht="15" customHeight="1" x14ac:dyDescent="0.25">
      <c r="A57" s="24"/>
      <c r="B57" s="32"/>
      <c r="C57" s="32"/>
      <c r="D57" s="33"/>
      <c r="E57" s="34"/>
      <c r="F57" s="35"/>
      <c r="G57" s="23">
        <v>1</v>
      </c>
    </row>
    <row r="58" spans="1:7" ht="15" customHeight="1" x14ac:dyDescent="0.25">
      <c r="A58" s="24"/>
      <c r="B58" s="32"/>
      <c r="C58" s="32"/>
      <c r="D58" s="32"/>
      <c r="E58" s="34"/>
      <c r="F58" s="35"/>
      <c r="G58" s="23">
        <v>1</v>
      </c>
    </row>
    <row r="59" spans="1:7" ht="15" customHeight="1" x14ac:dyDescent="0.25">
      <c r="A59" s="24"/>
      <c r="B59" s="25"/>
      <c r="C59" s="30"/>
      <c r="D59" s="31"/>
      <c r="E59" s="25"/>
      <c r="F59" s="36"/>
      <c r="G59" s="23">
        <v>1</v>
      </c>
    </row>
    <row r="60" spans="1:7" ht="15" customHeight="1" x14ac:dyDescent="0.25">
      <c r="A60" s="24"/>
      <c r="B60" s="37"/>
      <c r="C60" s="37"/>
      <c r="D60" s="38"/>
      <c r="E60" s="25"/>
      <c r="F60" s="36"/>
      <c r="G60" s="23">
        <v>1</v>
      </c>
    </row>
    <row r="61" spans="1:7" ht="15" customHeight="1" x14ac:dyDescent="0.25">
      <c r="A61" s="24"/>
      <c r="B61" s="39"/>
      <c r="C61" s="40"/>
      <c r="D61" s="41"/>
      <c r="E61" s="39"/>
      <c r="F61" s="42"/>
      <c r="G61" s="23">
        <v>1</v>
      </c>
    </row>
    <row r="62" spans="1:7" ht="15" customHeight="1" x14ac:dyDescent="0.25">
      <c r="A62" s="24"/>
      <c r="B62" s="37"/>
      <c r="C62" s="37"/>
      <c r="D62" s="38"/>
      <c r="E62" s="25"/>
      <c r="F62" s="43"/>
      <c r="G62" s="23">
        <v>1</v>
      </c>
    </row>
    <row r="63" spans="1:7" ht="15" customHeight="1" x14ac:dyDescent="0.25">
      <c r="A63" s="24"/>
      <c r="B63" s="37"/>
      <c r="C63" s="37"/>
      <c r="D63" s="38"/>
      <c r="E63" s="25"/>
      <c r="F63" s="36"/>
      <c r="G63" s="23">
        <v>1</v>
      </c>
    </row>
    <row r="64" spans="1:7" ht="15" customHeight="1" x14ac:dyDescent="0.25">
      <c r="A64" s="24"/>
      <c r="B64" s="32"/>
      <c r="C64" s="32"/>
      <c r="D64" s="33"/>
      <c r="E64" s="34"/>
      <c r="F64" s="35"/>
      <c r="G64" s="23">
        <v>1</v>
      </c>
    </row>
    <row r="65" spans="1:7" ht="15" customHeight="1" x14ac:dyDescent="0.25">
      <c r="A65" s="24"/>
      <c r="B65" s="32"/>
      <c r="C65" s="32"/>
      <c r="D65" s="33"/>
      <c r="E65" s="34"/>
      <c r="F65" s="35"/>
      <c r="G65" s="23">
        <v>1</v>
      </c>
    </row>
    <row r="66" spans="1:7" ht="15" customHeight="1" x14ac:dyDescent="0.25">
      <c r="A66" s="24"/>
      <c r="B66" s="32"/>
      <c r="C66" s="32"/>
      <c r="D66" s="33"/>
      <c r="E66" s="34"/>
      <c r="F66" s="35"/>
      <c r="G66" s="23">
        <v>1</v>
      </c>
    </row>
  </sheetData>
  <sortState ref="B7:H15">
    <sortCondition ref="E7:E15"/>
    <sortCondition ref="D7:D1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34" workbookViewId="0">
      <selection activeCell="F52" sqref="A1:F52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4" max="4" width="16.140625" customWidth="1"/>
    <col min="6" max="6" width="22.28515625" customWidth="1"/>
    <col min="7" max="7" width="3.140625" hidden="1" customWidth="1"/>
    <col min="8" max="8" width="29.85546875" customWidth="1"/>
  </cols>
  <sheetData>
    <row r="1" spans="1:11" ht="18" x14ac:dyDescent="0.25">
      <c r="A1" s="48" t="s">
        <v>0</v>
      </c>
      <c r="B1" s="48"/>
      <c r="C1" s="4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2" t="s">
        <v>2</v>
      </c>
      <c r="B2" s="52"/>
      <c r="C2" s="52"/>
      <c r="D2" s="6"/>
      <c r="E2" s="5" t="s">
        <v>3</v>
      </c>
      <c r="F2" s="5"/>
      <c r="G2" s="4"/>
      <c r="H2" s="4"/>
      <c r="I2" s="49" t="s">
        <v>4</v>
      </c>
      <c r="J2" s="50"/>
      <c r="K2" s="18">
        <f ca="1">SUMIF(F7:F118,"Elimination*",G7:G68)</f>
        <v>46</v>
      </c>
    </row>
    <row r="3" spans="1:11" x14ac:dyDescent="0.25">
      <c r="A3" s="53" t="s">
        <v>5</v>
      </c>
      <c r="B3" s="53"/>
      <c r="C3" s="53"/>
      <c r="D3" s="5"/>
      <c r="E3" s="5" t="s">
        <v>16</v>
      </c>
      <c r="F3" s="4"/>
      <c r="G3" s="4"/>
      <c r="H3" s="4"/>
      <c r="I3" s="49" t="s">
        <v>6</v>
      </c>
      <c r="J3" s="50"/>
      <c r="K3" s="18">
        <f ca="1">SUMIF(F7:F118,"NB*",G7:G68)</f>
        <v>0</v>
      </c>
    </row>
    <row r="4" spans="1:11" ht="18" x14ac:dyDescent="0.25">
      <c r="A4" s="48" t="s">
        <v>7</v>
      </c>
      <c r="B4" s="48"/>
      <c r="C4" s="48"/>
      <c r="D4" s="48"/>
      <c r="E4" s="48"/>
      <c r="F4" s="48"/>
      <c r="G4" s="4"/>
      <c r="H4" s="4"/>
      <c r="I4" s="49" t="s">
        <v>8</v>
      </c>
      <c r="J4" s="50"/>
      <c r="K4" s="18">
        <f ca="1">SUMIF(F8:F118,"Ve*",G8:G68)</f>
        <v>0</v>
      </c>
    </row>
    <row r="5" spans="1:11" ht="15.75" x14ac:dyDescent="0.25">
      <c r="A5" s="51" t="s">
        <v>255</v>
      </c>
      <c r="B5" s="51"/>
      <c r="C5" s="51"/>
      <c r="D5" s="51"/>
      <c r="E5" s="51"/>
      <c r="F5" s="51"/>
      <c r="G5" s="19"/>
      <c r="H5" s="19"/>
      <c r="I5" s="49" t="s">
        <v>9</v>
      </c>
      <c r="J5" s="50"/>
      <c r="K5" s="20">
        <f ca="1">SUM(K2:K4)</f>
        <v>46</v>
      </c>
    </row>
    <row r="6" spans="1:11" ht="21.6" customHeight="1" x14ac:dyDescent="0.2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 t="s">
        <v>137</v>
      </c>
      <c r="I6" s="3"/>
      <c r="J6" s="3"/>
      <c r="K6" s="1"/>
    </row>
    <row r="7" spans="1:11" ht="15" customHeight="1" x14ac:dyDescent="0.25">
      <c r="A7" s="17">
        <v>1</v>
      </c>
      <c r="B7" s="14" t="s">
        <v>177</v>
      </c>
      <c r="C7" s="11" t="s">
        <v>20</v>
      </c>
      <c r="D7" s="9" t="s">
        <v>178</v>
      </c>
      <c r="E7" s="14">
        <v>43087</v>
      </c>
      <c r="F7" s="22" t="s">
        <v>38</v>
      </c>
      <c r="G7" s="47">
        <v>1</v>
      </c>
      <c r="H7" s="46"/>
      <c r="I7" s="3"/>
      <c r="J7" s="3"/>
      <c r="K7" s="1"/>
    </row>
    <row r="8" spans="1:11" ht="15" customHeight="1" x14ac:dyDescent="0.25">
      <c r="A8" s="17">
        <f>A7+1</f>
        <v>2</v>
      </c>
      <c r="B8" s="14" t="s">
        <v>171</v>
      </c>
      <c r="C8" s="11" t="s">
        <v>20</v>
      </c>
      <c r="D8" s="9" t="s">
        <v>172</v>
      </c>
      <c r="E8" s="14">
        <v>43087</v>
      </c>
      <c r="F8" s="22" t="s">
        <v>38</v>
      </c>
      <c r="G8" s="12">
        <v>1</v>
      </c>
      <c r="H8" s="46"/>
      <c r="I8" s="2"/>
      <c r="J8" s="2"/>
    </row>
    <row r="9" spans="1:11" ht="15" customHeight="1" x14ac:dyDescent="0.25">
      <c r="A9" s="17">
        <f>+A8+1</f>
        <v>3</v>
      </c>
      <c r="B9" s="15" t="s">
        <v>169</v>
      </c>
      <c r="C9" s="11" t="s">
        <v>20</v>
      </c>
      <c r="D9" s="9" t="s">
        <v>170</v>
      </c>
      <c r="E9" s="14">
        <v>43087</v>
      </c>
      <c r="F9" s="22" t="s">
        <v>38</v>
      </c>
      <c r="G9" s="12">
        <v>1</v>
      </c>
      <c r="H9" s="46"/>
      <c r="I9" s="2"/>
      <c r="J9" s="2"/>
    </row>
    <row r="10" spans="1:11" ht="15" customHeight="1" x14ac:dyDescent="0.25">
      <c r="A10" s="17">
        <f t="shared" ref="A10:A52" si="0">+A9+1</f>
        <v>4</v>
      </c>
      <c r="B10" s="14" t="s">
        <v>173</v>
      </c>
      <c r="C10" s="11" t="s">
        <v>20</v>
      </c>
      <c r="D10" s="9" t="s">
        <v>174</v>
      </c>
      <c r="E10" s="14">
        <v>43087</v>
      </c>
      <c r="F10" s="22" t="s">
        <v>38</v>
      </c>
      <c r="G10" s="8">
        <v>1</v>
      </c>
      <c r="H10" s="25"/>
      <c r="I10" s="2"/>
      <c r="J10" s="2"/>
    </row>
    <row r="11" spans="1:11" ht="15" customHeight="1" x14ac:dyDescent="0.25">
      <c r="A11" s="17">
        <f t="shared" si="0"/>
        <v>5</v>
      </c>
      <c r="B11" s="15" t="s">
        <v>163</v>
      </c>
      <c r="C11" s="11" t="s">
        <v>20</v>
      </c>
      <c r="D11" s="9" t="s">
        <v>164</v>
      </c>
      <c r="E11" s="14">
        <v>43087</v>
      </c>
      <c r="F11" s="22" t="s">
        <v>38</v>
      </c>
      <c r="G11" s="12">
        <v>1</v>
      </c>
      <c r="H11" s="1"/>
      <c r="I11" s="1"/>
      <c r="J11" s="1"/>
    </row>
    <row r="12" spans="1:11" ht="15" customHeight="1" x14ac:dyDescent="0.25">
      <c r="A12" s="17">
        <f t="shared" si="0"/>
        <v>6</v>
      </c>
      <c r="B12" s="14" t="s">
        <v>165</v>
      </c>
      <c r="C12" s="11" t="s">
        <v>20</v>
      </c>
      <c r="D12" s="9" t="s">
        <v>166</v>
      </c>
      <c r="E12" s="14">
        <v>43087</v>
      </c>
      <c r="F12" s="22" t="s">
        <v>38</v>
      </c>
      <c r="G12" s="12">
        <v>1</v>
      </c>
      <c r="H12" s="1"/>
      <c r="I12" s="1"/>
      <c r="J12" s="1"/>
    </row>
    <row r="13" spans="1:11" ht="15" customHeight="1" x14ac:dyDescent="0.25">
      <c r="A13" s="17">
        <f t="shared" si="0"/>
        <v>7</v>
      </c>
      <c r="B13" s="14" t="s">
        <v>167</v>
      </c>
      <c r="C13" s="11" t="s">
        <v>20</v>
      </c>
      <c r="D13" s="9" t="s">
        <v>168</v>
      </c>
      <c r="E13" s="14">
        <v>43087</v>
      </c>
      <c r="F13" s="22" t="s">
        <v>38</v>
      </c>
      <c r="G13" s="12">
        <v>1</v>
      </c>
      <c r="H13" s="1"/>
      <c r="I13" s="1"/>
      <c r="J13" s="1"/>
    </row>
    <row r="14" spans="1:11" ht="15" customHeight="1" x14ac:dyDescent="0.25">
      <c r="A14" s="17">
        <f t="shared" si="0"/>
        <v>8</v>
      </c>
      <c r="B14" s="14" t="s">
        <v>175</v>
      </c>
      <c r="C14" s="11" t="s">
        <v>20</v>
      </c>
      <c r="D14" s="9" t="s">
        <v>176</v>
      </c>
      <c r="E14" s="14">
        <v>43087</v>
      </c>
      <c r="F14" s="22" t="s">
        <v>38</v>
      </c>
      <c r="G14" s="12">
        <v>1</v>
      </c>
      <c r="H14" s="1"/>
      <c r="I14" s="1"/>
      <c r="J14" s="1"/>
    </row>
    <row r="15" spans="1:11" ht="15" customHeight="1" x14ac:dyDescent="0.25">
      <c r="A15" s="17">
        <f t="shared" si="0"/>
        <v>9</v>
      </c>
      <c r="B15" s="15" t="s">
        <v>157</v>
      </c>
      <c r="C15" s="11" t="s">
        <v>20</v>
      </c>
      <c r="D15" s="9" t="s">
        <v>158</v>
      </c>
      <c r="E15" s="14">
        <v>43087</v>
      </c>
      <c r="F15" s="22" t="s">
        <v>38</v>
      </c>
      <c r="G15" s="12">
        <v>1</v>
      </c>
      <c r="H15" s="1"/>
      <c r="I15" s="1"/>
      <c r="J15" s="1"/>
    </row>
    <row r="16" spans="1:11" ht="15" customHeight="1" x14ac:dyDescent="0.25">
      <c r="A16" s="17">
        <f t="shared" si="0"/>
        <v>10</v>
      </c>
      <c r="B16" s="15" t="s">
        <v>159</v>
      </c>
      <c r="C16" s="11" t="s">
        <v>20</v>
      </c>
      <c r="D16" s="9" t="s">
        <v>160</v>
      </c>
      <c r="E16" s="14">
        <v>43087</v>
      </c>
      <c r="F16" s="22" t="s">
        <v>38</v>
      </c>
      <c r="G16" s="12">
        <v>1</v>
      </c>
      <c r="H16" s="1"/>
      <c r="I16" s="1"/>
      <c r="J16" s="1"/>
    </row>
    <row r="17" spans="1:10" ht="15" customHeight="1" x14ac:dyDescent="0.25">
      <c r="A17" s="17">
        <f t="shared" si="0"/>
        <v>11</v>
      </c>
      <c r="B17" s="15" t="s">
        <v>161</v>
      </c>
      <c r="C17" s="11" t="s">
        <v>20</v>
      </c>
      <c r="D17" s="9" t="s">
        <v>162</v>
      </c>
      <c r="E17" s="14">
        <v>43087</v>
      </c>
      <c r="F17" s="22" t="s">
        <v>38</v>
      </c>
      <c r="G17" s="12">
        <v>1</v>
      </c>
      <c r="H17" s="1"/>
      <c r="I17" s="1"/>
      <c r="J17" s="1"/>
    </row>
    <row r="18" spans="1:10" ht="15" customHeight="1" x14ac:dyDescent="0.25">
      <c r="A18" s="17">
        <f t="shared" si="0"/>
        <v>12</v>
      </c>
      <c r="B18" s="14" t="s">
        <v>190</v>
      </c>
      <c r="C18" s="11">
        <v>30</v>
      </c>
      <c r="D18" s="9" t="s">
        <v>231</v>
      </c>
      <c r="E18" s="14">
        <v>43095</v>
      </c>
      <c r="F18" s="22" t="s">
        <v>38</v>
      </c>
      <c r="G18" s="12">
        <v>1</v>
      </c>
      <c r="H18" s="1"/>
      <c r="I18" s="1"/>
      <c r="J18" s="1"/>
    </row>
    <row r="19" spans="1:10" ht="15" customHeight="1" x14ac:dyDescent="0.25">
      <c r="A19" s="17">
        <f t="shared" si="0"/>
        <v>13</v>
      </c>
      <c r="B19" s="14" t="s">
        <v>184</v>
      </c>
      <c r="C19" s="11" t="s">
        <v>20</v>
      </c>
      <c r="D19" s="9" t="s">
        <v>185</v>
      </c>
      <c r="E19" s="14">
        <v>43095</v>
      </c>
      <c r="F19" s="22" t="s">
        <v>38</v>
      </c>
      <c r="G19" s="12">
        <v>1</v>
      </c>
      <c r="H19" s="1"/>
      <c r="I19" s="1"/>
      <c r="J19" s="1"/>
    </row>
    <row r="20" spans="1:10" ht="15" customHeight="1" x14ac:dyDescent="0.25">
      <c r="A20" s="17">
        <f t="shared" si="0"/>
        <v>14</v>
      </c>
      <c r="B20" s="15" t="s">
        <v>179</v>
      </c>
      <c r="C20" s="11" t="s">
        <v>20</v>
      </c>
      <c r="D20" s="9" t="s">
        <v>180</v>
      </c>
      <c r="E20" s="14">
        <v>43095</v>
      </c>
      <c r="F20" s="22" t="s">
        <v>38</v>
      </c>
      <c r="G20" s="12">
        <v>1</v>
      </c>
      <c r="H20" s="1"/>
      <c r="I20" s="1"/>
      <c r="J20" s="1"/>
    </row>
    <row r="21" spans="1:10" ht="15" customHeight="1" x14ac:dyDescent="0.25">
      <c r="A21" s="17">
        <f t="shared" si="0"/>
        <v>15</v>
      </c>
      <c r="B21" s="14" t="s">
        <v>76</v>
      </c>
      <c r="C21" s="11" t="s">
        <v>20</v>
      </c>
      <c r="D21" s="9" t="s">
        <v>181</v>
      </c>
      <c r="E21" s="14">
        <v>43095</v>
      </c>
      <c r="F21" s="22" t="s">
        <v>38</v>
      </c>
      <c r="G21" s="12">
        <v>1</v>
      </c>
      <c r="H21" s="1"/>
      <c r="I21" s="1"/>
      <c r="J21" s="1"/>
    </row>
    <row r="22" spans="1:10" ht="15" customHeight="1" x14ac:dyDescent="0.25">
      <c r="A22" s="17">
        <f t="shared" si="0"/>
        <v>16</v>
      </c>
      <c r="B22" s="14" t="s">
        <v>182</v>
      </c>
      <c r="C22" s="11" t="s">
        <v>20</v>
      </c>
      <c r="D22" s="9" t="s">
        <v>183</v>
      </c>
      <c r="E22" s="14">
        <v>43095</v>
      </c>
      <c r="F22" s="22" t="s">
        <v>38</v>
      </c>
      <c r="G22" s="12">
        <v>1</v>
      </c>
      <c r="H22" s="1"/>
      <c r="I22" s="1"/>
      <c r="J22" s="1"/>
    </row>
    <row r="23" spans="1:10" ht="15" customHeight="1" x14ac:dyDescent="0.25">
      <c r="A23" s="17">
        <f t="shared" si="0"/>
        <v>17</v>
      </c>
      <c r="B23" s="14" t="s">
        <v>188</v>
      </c>
      <c r="C23" s="11" t="s">
        <v>20</v>
      </c>
      <c r="D23" s="9" t="s">
        <v>189</v>
      </c>
      <c r="E23" s="14">
        <v>43095</v>
      </c>
      <c r="F23" s="22" t="s">
        <v>38</v>
      </c>
      <c r="G23" s="12">
        <v>1</v>
      </c>
      <c r="H23" s="1"/>
      <c r="I23" s="1"/>
      <c r="J23" s="1"/>
    </row>
    <row r="24" spans="1:10" ht="15" customHeight="1" x14ac:dyDescent="0.25">
      <c r="A24" s="17">
        <f t="shared" si="0"/>
        <v>18</v>
      </c>
      <c r="B24" s="14" t="s">
        <v>186</v>
      </c>
      <c r="C24" s="11" t="s">
        <v>20</v>
      </c>
      <c r="D24" s="9" t="s">
        <v>187</v>
      </c>
      <c r="E24" s="14">
        <v>43095</v>
      </c>
      <c r="F24" s="22" t="s">
        <v>38</v>
      </c>
      <c r="G24" s="12">
        <v>1</v>
      </c>
      <c r="H24" s="1"/>
      <c r="I24" s="1"/>
      <c r="J24" s="1"/>
    </row>
    <row r="25" spans="1:10" ht="15" customHeight="1" x14ac:dyDescent="0.25">
      <c r="A25" s="17">
        <f t="shared" si="0"/>
        <v>19</v>
      </c>
      <c r="B25" s="14" t="s">
        <v>215</v>
      </c>
      <c r="C25" s="11" t="s">
        <v>20</v>
      </c>
      <c r="D25" s="9" t="s">
        <v>216</v>
      </c>
      <c r="E25" s="10">
        <v>43096</v>
      </c>
      <c r="F25" s="22" t="s">
        <v>38</v>
      </c>
      <c r="G25" s="12">
        <v>1</v>
      </c>
      <c r="H25" s="1"/>
      <c r="I25" s="1"/>
      <c r="J25" s="1"/>
    </row>
    <row r="26" spans="1:10" ht="15" customHeight="1" x14ac:dyDescent="0.25">
      <c r="A26" s="17">
        <f t="shared" si="0"/>
        <v>20</v>
      </c>
      <c r="B26" s="14" t="s">
        <v>219</v>
      </c>
      <c r="C26" s="11" t="s">
        <v>20</v>
      </c>
      <c r="D26" s="9" t="s">
        <v>220</v>
      </c>
      <c r="E26" s="10">
        <v>43096</v>
      </c>
      <c r="F26" s="22" t="s">
        <v>38</v>
      </c>
      <c r="G26" s="12">
        <v>1</v>
      </c>
    </row>
    <row r="27" spans="1:10" ht="15" customHeight="1" x14ac:dyDescent="0.25">
      <c r="A27" s="17">
        <f t="shared" si="0"/>
        <v>21</v>
      </c>
      <c r="B27" s="14" t="s">
        <v>213</v>
      </c>
      <c r="C27" s="11" t="s">
        <v>20</v>
      </c>
      <c r="D27" s="9" t="s">
        <v>214</v>
      </c>
      <c r="E27" s="10">
        <v>43096</v>
      </c>
      <c r="F27" s="22" t="s">
        <v>38</v>
      </c>
      <c r="G27" s="12">
        <v>1</v>
      </c>
    </row>
    <row r="28" spans="1:10" ht="15" customHeight="1" x14ac:dyDescent="0.25">
      <c r="A28" s="17">
        <f t="shared" si="0"/>
        <v>22</v>
      </c>
      <c r="B28" s="14" t="s">
        <v>209</v>
      </c>
      <c r="C28" s="11" t="s">
        <v>20</v>
      </c>
      <c r="D28" s="9" t="s">
        <v>210</v>
      </c>
      <c r="E28" s="10">
        <v>43096</v>
      </c>
      <c r="F28" s="22" t="s">
        <v>38</v>
      </c>
      <c r="G28" s="12">
        <v>1</v>
      </c>
    </row>
    <row r="29" spans="1:10" ht="15" customHeight="1" x14ac:dyDescent="0.25">
      <c r="A29" s="17">
        <f t="shared" si="0"/>
        <v>23</v>
      </c>
      <c r="B29" s="14" t="s">
        <v>217</v>
      </c>
      <c r="C29" s="11" t="s">
        <v>20</v>
      </c>
      <c r="D29" s="9" t="s">
        <v>218</v>
      </c>
      <c r="E29" s="10">
        <v>43096</v>
      </c>
      <c r="F29" s="22" t="s">
        <v>38</v>
      </c>
      <c r="G29" s="12">
        <v>1</v>
      </c>
    </row>
    <row r="30" spans="1:10" ht="15" customHeight="1" x14ac:dyDescent="0.25">
      <c r="A30" s="17">
        <f t="shared" si="0"/>
        <v>24</v>
      </c>
      <c r="B30" s="14" t="s">
        <v>223</v>
      </c>
      <c r="C30" s="11" t="s">
        <v>20</v>
      </c>
      <c r="D30" s="9" t="s">
        <v>224</v>
      </c>
      <c r="E30" s="10">
        <v>43096</v>
      </c>
      <c r="F30" s="22" t="s">
        <v>38</v>
      </c>
      <c r="G30" s="12">
        <v>1</v>
      </c>
    </row>
    <row r="31" spans="1:10" ht="15" customHeight="1" x14ac:dyDescent="0.25">
      <c r="A31" s="17">
        <f t="shared" si="0"/>
        <v>25</v>
      </c>
      <c r="B31" s="14" t="s">
        <v>221</v>
      </c>
      <c r="C31" s="11" t="s">
        <v>20</v>
      </c>
      <c r="D31" s="9" t="s">
        <v>222</v>
      </c>
      <c r="E31" s="10">
        <v>43096</v>
      </c>
      <c r="F31" s="22" t="s">
        <v>38</v>
      </c>
      <c r="G31" s="23">
        <v>1</v>
      </c>
    </row>
    <row r="32" spans="1:10" ht="15" customHeight="1" x14ac:dyDescent="0.25">
      <c r="A32" s="17">
        <f t="shared" si="0"/>
        <v>26</v>
      </c>
      <c r="B32" s="14" t="s">
        <v>225</v>
      </c>
      <c r="C32" s="11" t="s">
        <v>20</v>
      </c>
      <c r="D32" s="9" t="s">
        <v>226</v>
      </c>
      <c r="E32" s="10">
        <v>43096</v>
      </c>
      <c r="F32" s="22" t="s">
        <v>38</v>
      </c>
      <c r="G32" s="23">
        <v>1</v>
      </c>
    </row>
    <row r="33" spans="1:7" ht="15" customHeight="1" x14ac:dyDescent="0.25">
      <c r="A33" s="17">
        <f t="shared" si="0"/>
        <v>27</v>
      </c>
      <c r="B33" s="14" t="s">
        <v>227</v>
      </c>
      <c r="C33" s="11" t="s">
        <v>20</v>
      </c>
      <c r="D33" s="9" t="s">
        <v>228</v>
      </c>
      <c r="E33" s="10">
        <v>43096</v>
      </c>
      <c r="F33" s="22" t="s">
        <v>38</v>
      </c>
      <c r="G33" s="23">
        <v>1</v>
      </c>
    </row>
    <row r="34" spans="1:7" ht="15" customHeight="1" x14ac:dyDescent="0.25">
      <c r="A34" s="17">
        <f t="shared" si="0"/>
        <v>28</v>
      </c>
      <c r="B34" s="14" t="s">
        <v>203</v>
      </c>
      <c r="C34" s="11" t="s">
        <v>20</v>
      </c>
      <c r="D34" s="9" t="s">
        <v>204</v>
      </c>
      <c r="E34" s="10">
        <v>43096</v>
      </c>
      <c r="F34" s="22" t="s">
        <v>38</v>
      </c>
      <c r="G34" s="23">
        <v>1</v>
      </c>
    </row>
    <row r="35" spans="1:7" ht="15" customHeight="1" x14ac:dyDescent="0.25">
      <c r="A35" s="17">
        <f t="shared" si="0"/>
        <v>29</v>
      </c>
      <c r="B35" s="14" t="s">
        <v>211</v>
      </c>
      <c r="C35" s="11" t="s">
        <v>20</v>
      </c>
      <c r="D35" s="9" t="s">
        <v>212</v>
      </c>
      <c r="E35" s="10">
        <v>43096</v>
      </c>
      <c r="F35" s="22" t="s">
        <v>38</v>
      </c>
      <c r="G35" s="23">
        <v>1</v>
      </c>
    </row>
    <row r="36" spans="1:7" ht="15" customHeight="1" x14ac:dyDescent="0.25">
      <c r="A36" s="17">
        <f t="shared" si="0"/>
        <v>30</v>
      </c>
      <c r="B36" s="14" t="s">
        <v>207</v>
      </c>
      <c r="C36" s="11" t="s">
        <v>20</v>
      </c>
      <c r="D36" s="9" t="s">
        <v>208</v>
      </c>
      <c r="E36" s="10">
        <v>43096</v>
      </c>
      <c r="F36" s="22" t="s">
        <v>38</v>
      </c>
      <c r="G36" s="23">
        <v>1</v>
      </c>
    </row>
    <row r="37" spans="1:7" ht="15" customHeight="1" x14ac:dyDescent="0.25">
      <c r="A37" s="17">
        <f t="shared" si="0"/>
        <v>31</v>
      </c>
      <c r="B37" s="14" t="s">
        <v>205</v>
      </c>
      <c r="C37" s="11" t="s">
        <v>20</v>
      </c>
      <c r="D37" s="9" t="s">
        <v>206</v>
      </c>
      <c r="E37" s="10">
        <v>43096</v>
      </c>
      <c r="F37" s="22" t="s">
        <v>38</v>
      </c>
      <c r="G37" s="23">
        <v>1</v>
      </c>
    </row>
    <row r="38" spans="1:7" ht="15" customHeight="1" x14ac:dyDescent="0.25">
      <c r="A38" s="17">
        <f t="shared" si="0"/>
        <v>32</v>
      </c>
      <c r="B38" s="14" t="s">
        <v>193</v>
      </c>
      <c r="C38" s="11" t="s">
        <v>20</v>
      </c>
      <c r="D38" s="9" t="s">
        <v>194</v>
      </c>
      <c r="E38" s="10">
        <v>43096</v>
      </c>
      <c r="F38" s="22" t="s">
        <v>38</v>
      </c>
      <c r="G38" s="23">
        <v>1</v>
      </c>
    </row>
    <row r="39" spans="1:7" ht="15" customHeight="1" x14ac:dyDescent="0.25">
      <c r="A39" s="17">
        <f t="shared" si="0"/>
        <v>33</v>
      </c>
      <c r="B39" s="14" t="s">
        <v>195</v>
      </c>
      <c r="C39" s="11" t="s">
        <v>20</v>
      </c>
      <c r="D39" s="9" t="s">
        <v>196</v>
      </c>
      <c r="E39" s="10">
        <v>43096</v>
      </c>
      <c r="F39" s="22" t="s">
        <v>38</v>
      </c>
      <c r="G39" s="23">
        <v>1</v>
      </c>
    </row>
    <row r="40" spans="1:7" ht="15" customHeight="1" x14ac:dyDescent="0.25">
      <c r="A40" s="17">
        <f t="shared" si="0"/>
        <v>34</v>
      </c>
      <c r="B40" s="14" t="s">
        <v>201</v>
      </c>
      <c r="C40" s="11" t="s">
        <v>20</v>
      </c>
      <c r="D40" s="9" t="s">
        <v>202</v>
      </c>
      <c r="E40" s="10">
        <v>43096</v>
      </c>
      <c r="F40" s="22" t="s">
        <v>38</v>
      </c>
      <c r="G40" s="23">
        <v>1</v>
      </c>
    </row>
    <row r="41" spans="1:7" ht="15" customHeight="1" x14ac:dyDescent="0.25">
      <c r="A41" s="17">
        <f t="shared" si="0"/>
        <v>35</v>
      </c>
      <c r="B41" s="14" t="s">
        <v>191</v>
      </c>
      <c r="C41" s="11" t="s">
        <v>20</v>
      </c>
      <c r="D41" s="9" t="s">
        <v>192</v>
      </c>
      <c r="E41" s="10">
        <v>43096</v>
      </c>
      <c r="F41" s="22" t="s">
        <v>38</v>
      </c>
      <c r="G41" s="23">
        <v>1</v>
      </c>
    </row>
    <row r="42" spans="1:7" ht="15" customHeight="1" x14ac:dyDescent="0.25">
      <c r="A42" s="17">
        <f t="shared" si="0"/>
        <v>36</v>
      </c>
      <c r="B42" s="14" t="s">
        <v>199</v>
      </c>
      <c r="C42" s="11" t="s">
        <v>20</v>
      </c>
      <c r="D42" s="9" t="s">
        <v>200</v>
      </c>
      <c r="E42" s="10">
        <v>43096</v>
      </c>
      <c r="F42" s="22" t="s">
        <v>38</v>
      </c>
      <c r="G42" s="23">
        <v>1</v>
      </c>
    </row>
    <row r="43" spans="1:7" ht="15" customHeight="1" x14ac:dyDescent="0.25">
      <c r="A43" s="17">
        <f t="shared" si="0"/>
        <v>37</v>
      </c>
      <c r="B43" s="14" t="s">
        <v>197</v>
      </c>
      <c r="C43" s="11" t="s">
        <v>20</v>
      </c>
      <c r="D43" s="9" t="s">
        <v>198</v>
      </c>
      <c r="E43" s="10">
        <v>43096</v>
      </c>
      <c r="F43" s="22" t="s">
        <v>38</v>
      </c>
      <c r="G43" s="23">
        <v>1</v>
      </c>
    </row>
    <row r="44" spans="1:7" ht="15" customHeight="1" x14ac:dyDescent="0.25">
      <c r="A44" s="17">
        <f t="shared" si="0"/>
        <v>38</v>
      </c>
      <c r="B44" s="14" t="s">
        <v>230</v>
      </c>
      <c r="C44" s="11" t="s">
        <v>20</v>
      </c>
      <c r="D44" s="9" t="s">
        <v>229</v>
      </c>
      <c r="E44" s="10">
        <v>43096</v>
      </c>
      <c r="F44" s="22" t="s">
        <v>38</v>
      </c>
      <c r="G44" s="23">
        <v>1</v>
      </c>
    </row>
    <row r="45" spans="1:7" ht="15" customHeight="1" x14ac:dyDescent="0.25">
      <c r="A45" s="17">
        <f t="shared" si="0"/>
        <v>39</v>
      </c>
      <c r="B45" s="14" t="s">
        <v>242</v>
      </c>
      <c r="C45" s="11" t="s">
        <v>252</v>
      </c>
      <c r="D45" s="9" t="s">
        <v>243</v>
      </c>
      <c r="E45" s="10">
        <v>43097</v>
      </c>
      <c r="F45" s="22" t="s">
        <v>38</v>
      </c>
      <c r="G45" s="23">
        <v>1</v>
      </c>
    </row>
    <row r="46" spans="1:7" ht="15" customHeight="1" x14ac:dyDescent="0.25">
      <c r="A46" s="17">
        <f t="shared" si="0"/>
        <v>40</v>
      </c>
      <c r="B46" s="14" t="s">
        <v>234</v>
      </c>
      <c r="C46" s="11" t="s">
        <v>248</v>
      </c>
      <c r="D46" s="9" t="s">
        <v>235</v>
      </c>
      <c r="E46" s="10">
        <v>43097</v>
      </c>
      <c r="F46" s="22" t="s">
        <v>38</v>
      </c>
      <c r="G46" s="23">
        <v>1</v>
      </c>
    </row>
    <row r="47" spans="1:7" ht="15" customHeight="1" x14ac:dyDescent="0.25">
      <c r="A47" s="17">
        <f t="shared" si="0"/>
        <v>41</v>
      </c>
      <c r="B47" s="14" t="s">
        <v>245</v>
      </c>
      <c r="C47" s="11" t="s">
        <v>254</v>
      </c>
      <c r="D47" s="9" t="s">
        <v>246</v>
      </c>
      <c r="E47" s="10">
        <v>43097</v>
      </c>
      <c r="F47" s="22" t="s">
        <v>38</v>
      </c>
      <c r="G47" s="23">
        <v>1</v>
      </c>
    </row>
    <row r="48" spans="1:7" ht="15" customHeight="1" x14ac:dyDescent="0.25">
      <c r="A48" s="17">
        <f t="shared" si="0"/>
        <v>42</v>
      </c>
      <c r="B48" s="14" t="s">
        <v>236</v>
      </c>
      <c r="C48" s="11" t="s">
        <v>249</v>
      </c>
      <c r="D48" s="9" t="s">
        <v>237</v>
      </c>
      <c r="E48" s="10">
        <v>43097</v>
      </c>
      <c r="F48" s="22" t="s">
        <v>38</v>
      </c>
      <c r="G48" s="23">
        <v>1</v>
      </c>
    </row>
    <row r="49" spans="1:7" ht="15" customHeight="1" x14ac:dyDescent="0.25">
      <c r="A49" s="17">
        <f t="shared" si="0"/>
        <v>43</v>
      </c>
      <c r="B49" s="14" t="s">
        <v>232</v>
      </c>
      <c r="C49" s="11" t="s">
        <v>247</v>
      </c>
      <c r="D49" s="9" t="s">
        <v>233</v>
      </c>
      <c r="E49" s="10">
        <v>43097</v>
      </c>
      <c r="F49" s="22" t="s">
        <v>38</v>
      </c>
      <c r="G49" s="23">
        <v>1</v>
      </c>
    </row>
    <row r="50" spans="1:7" ht="15" customHeight="1" x14ac:dyDescent="0.25">
      <c r="A50" s="17">
        <f t="shared" si="0"/>
        <v>44</v>
      </c>
      <c r="B50" s="14" t="s">
        <v>240</v>
      </c>
      <c r="C50" s="11" t="s">
        <v>251</v>
      </c>
      <c r="D50" s="9" t="s">
        <v>241</v>
      </c>
      <c r="E50" s="10">
        <v>43097</v>
      </c>
      <c r="F50" s="22" t="s">
        <v>38</v>
      </c>
      <c r="G50" s="23">
        <v>1</v>
      </c>
    </row>
    <row r="51" spans="1:7" ht="15" customHeight="1" x14ac:dyDescent="0.25">
      <c r="A51" s="17">
        <f t="shared" si="0"/>
        <v>45</v>
      </c>
      <c r="B51" s="14" t="s">
        <v>238</v>
      </c>
      <c r="C51" s="11" t="s">
        <v>250</v>
      </c>
      <c r="D51" s="9" t="s">
        <v>239</v>
      </c>
      <c r="E51" s="10">
        <v>43097</v>
      </c>
      <c r="F51" s="22" t="s">
        <v>38</v>
      </c>
      <c r="G51" s="23">
        <v>1</v>
      </c>
    </row>
    <row r="52" spans="1:7" ht="15" customHeight="1" x14ac:dyDescent="0.25">
      <c r="A52" s="17">
        <f t="shared" si="0"/>
        <v>46</v>
      </c>
      <c r="B52" s="14" t="s">
        <v>72</v>
      </c>
      <c r="C52" s="11" t="s">
        <v>253</v>
      </c>
      <c r="D52" s="9" t="s">
        <v>244</v>
      </c>
      <c r="E52" s="10">
        <v>43097</v>
      </c>
      <c r="F52" s="22" t="s">
        <v>38</v>
      </c>
      <c r="G52" s="23">
        <v>1</v>
      </c>
    </row>
  </sheetData>
  <sortState ref="B7:F52">
    <sortCondition ref="E7:E52"/>
    <sortCondition ref="D7:D5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2017</vt:lpstr>
      <vt:lpstr>Février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  <vt:lpstr>'Aout 2017'!Impression_des_titres</vt:lpstr>
      <vt:lpstr>'Avril 2017'!Impression_des_titres</vt:lpstr>
      <vt:lpstr>'Decembre 2017'!Impression_des_titres</vt:lpstr>
      <vt:lpstr>'Février 2017'!Impression_des_titres</vt:lpstr>
      <vt:lpstr>'Janvier 2017'!Impression_des_titres</vt:lpstr>
      <vt:lpstr>'Juillet 2017'!Impression_des_titres</vt:lpstr>
      <vt:lpstr>'Juin 2017'!Impression_des_titres</vt:lpstr>
      <vt:lpstr>'Mai 2017'!Impression_des_titres</vt:lpstr>
      <vt:lpstr>'Mars 2017'!Impression_des_titres</vt:lpstr>
      <vt:lpstr>'Novembre 2017'!Impression_des_titres</vt:lpstr>
      <vt:lpstr>'Octobre 2017'!Impression_des_titres</vt:lpstr>
      <vt:lpstr>'Septembre 2017'!Impression_des_titres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2018-01-03T08:22:42Z</cp:lastPrinted>
  <dcterms:created xsi:type="dcterms:W3CDTF">2014-12-31T15:00:30Z</dcterms:created>
  <dcterms:modified xsi:type="dcterms:W3CDTF">2019-05-28T08:34:28Z</dcterms:modified>
</cp:coreProperties>
</file>