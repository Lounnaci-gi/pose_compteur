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17\Gestion de Stock Berrouaghia\"/>
    </mc:Choice>
  </mc:AlternateContent>
  <bookViews>
    <workbookView xWindow="555" yWindow="75" windowWidth="11700" windowHeight="6825" firstSheet="7" activeTab="11"/>
  </bookViews>
  <sheets>
    <sheet name="JANVIER 2017" sheetId="1" r:id="rId1"/>
    <sheet name="FEVRIER 2017" sheetId="3" r:id="rId2"/>
    <sheet name="MARS 2017" sheetId="4" r:id="rId3"/>
    <sheet name="AVRIL 2017" sheetId="5" r:id="rId4"/>
    <sheet name="MAI 2017" sheetId="6" r:id="rId5"/>
    <sheet name="JUIN 2017" sheetId="7" r:id="rId6"/>
    <sheet name="JUILLET 2017" sheetId="8" r:id="rId7"/>
    <sheet name="AOUT 2017" sheetId="9" r:id="rId8"/>
    <sheet name="SEPTEMBRE 2017" sheetId="10" r:id="rId9"/>
    <sheet name="OCTOBRE 2017" sheetId="11" r:id="rId10"/>
    <sheet name="NOVEMBRE 2017" sheetId="12" r:id="rId11"/>
    <sheet name="DECEMBRE 2017" sheetId="13" r:id="rId12"/>
  </sheets>
  <calcPr calcId="162913"/>
</workbook>
</file>

<file path=xl/calcChain.xml><?xml version="1.0" encoding="utf-8"?>
<calcChain xmlns="http://schemas.openxmlformats.org/spreadsheetml/2006/main">
  <c r="J40" i="13" l="1"/>
  <c r="I40" i="13"/>
  <c r="H40" i="13"/>
  <c r="G40" i="13"/>
  <c r="E40" i="13"/>
  <c r="D40" i="13"/>
  <c r="C40" i="13"/>
  <c r="B40" i="13"/>
  <c r="K39" i="13"/>
  <c r="F39" i="13"/>
  <c r="L39" i="13" s="1"/>
  <c r="K38" i="13"/>
  <c r="F38" i="13"/>
  <c r="L38" i="13" s="1"/>
  <c r="K37" i="13"/>
  <c r="F37" i="13"/>
  <c r="L37" i="13" s="1"/>
  <c r="K36" i="13"/>
  <c r="F36" i="13"/>
  <c r="K35" i="13"/>
  <c r="F35" i="13"/>
  <c r="L35" i="13" s="1"/>
  <c r="K34" i="13"/>
  <c r="F34" i="13"/>
  <c r="L34" i="13" s="1"/>
  <c r="K33" i="13"/>
  <c r="F33" i="13"/>
  <c r="K32" i="13"/>
  <c r="F32" i="13"/>
  <c r="L32" i="13" s="1"/>
  <c r="K31" i="13"/>
  <c r="F31" i="13"/>
  <c r="L31" i="13" s="1"/>
  <c r="K30" i="13"/>
  <c r="F30" i="13"/>
  <c r="L30" i="13" s="1"/>
  <c r="K29" i="13"/>
  <c r="F29" i="13"/>
  <c r="L29" i="13" s="1"/>
  <c r="K28" i="13"/>
  <c r="F28" i="13"/>
  <c r="L28" i="13" s="1"/>
  <c r="K27" i="13"/>
  <c r="F27" i="13"/>
  <c r="L27" i="13" s="1"/>
  <c r="K26" i="13"/>
  <c r="F26" i="13"/>
  <c r="L26" i="13" s="1"/>
  <c r="K25" i="13"/>
  <c r="F25" i="13"/>
  <c r="L25" i="13" s="1"/>
  <c r="K24" i="13"/>
  <c r="F24" i="13"/>
  <c r="L24" i="13" s="1"/>
  <c r="K23" i="13"/>
  <c r="F23" i="13"/>
  <c r="L23" i="13" s="1"/>
  <c r="K22" i="13"/>
  <c r="F22" i="13"/>
  <c r="L22" i="13" s="1"/>
  <c r="K21" i="13"/>
  <c r="F21" i="13"/>
  <c r="L21" i="13" s="1"/>
  <c r="K20" i="13"/>
  <c r="F20" i="13"/>
  <c r="L20" i="13" s="1"/>
  <c r="K19" i="13"/>
  <c r="F19" i="13"/>
  <c r="L19" i="13" s="1"/>
  <c r="K18" i="13"/>
  <c r="F18" i="13"/>
  <c r="L18" i="13" s="1"/>
  <c r="K17" i="13"/>
  <c r="F17" i="13"/>
  <c r="L17" i="13" s="1"/>
  <c r="K16" i="13"/>
  <c r="F16" i="13"/>
  <c r="L16" i="13" s="1"/>
  <c r="K15" i="13"/>
  <c r="F15" i="13"/>
  <c r="L15" i="13" s="1"/>
  <c r="K14" i="13"/>
  <c r="F14" i="13"/>
  <c r="L14" i="13" s="1"/>
  <c r="K13" i="13"/>
  <c r="F13" i="13"/>
  <c r="K12" i="13"/>
  <c r="F12" i="13"/>
  <c r="L12" i="13" s="1"/>
  <c r="K11" i="13"/>
  <c r="F11" i="13"/>
  <c r="L11" i="13" s="1"/>
  <c r="K10" i="13"/>
  <c r="F10" i="13"/>
  <c r="L10" i="13" s="1"/>
  <c r="K9" i="13"/>
  <c r="K40" i="13" s="1"/>
  <c r="F9" i="13"/>
  <c r="L9" i="13" s="1"/>
  <c r="L36" i="13" l="1"/>
  <c r="L33" i="13"/>
  <c r="L13" i="13"/>
  <c r="L40" i="13" s="1"/>
  <c r="G46" i="13" s="1"/>
  <c r="G47" i="13" s="1"/>
  <c r="G49" i="13" s="1"/>
  <c r="F40" i="13"/>
  <c r="J40" i="12" l="1"/>
  <c r="I40" i="12"/>
  <c r="H40" i="12"/>
  <c r="G40" i="12"/>
  <c r="E40" i="12"/>
  <c r="D40" i="12"/>
  <c r="C40" i="12"/>
  <c r="B40" i="12"/>
  <c r="K39" i="12"/>
  <c r="F39" i="12"/>
  <c r="K38" i="12"/>
  <c r="F38" i="12"/>
  <c r="K37" i="12"/>
  <c r="F37" i="12"/>
  <c r="K36" i="12"/>
  <c r="F36" i="12"/>
  <c r="K35" i="12"/>
  <c r="F35" i="12"/>
  <c r="K34" i="12"/>
  <c r="F34" i="12"/>
  <c r="K33" i="12"/>
  <c r="F33" i="12"/>
  <c r="K32" i="12"/>
  <c r="F32" i="12"/>
  <c r="K31" i="12"/>
  <c r="F31" i="12"/>
  <c r="K30" i="12"/>
  <c r="F30" i="12"/>
  <c r="K29" i="12"/>
  <c r="F29" i="12"/>
  <c r="K28" i="12"/>
  <c r="F28" i="12"/>
  <c r="K27" i="12"/>
  <c r="F27" i="12"/>
  <c r="K26" i="12"/>
  <c r="F26" i="12"/>
  <c r="K25" i="12"/>
  <c r="F25" i="12"/>
  <c r="K24" i="12"/>
  <c r="F24" i="12"/>
  <c r="K23" i="12"/>
  <c r="F23" i="12"/>
  <c r="K22" i="12"/>
  <c r="F22" i="12"/>
  <c r="K21" i="12"/>
  <c r="F21" i="12"/>
  <c r="K20" i="12"/>
  <c r="F20" i="12"/>
  <c r="K19" i="12"/>
  <c r="F19" i="12"/>
  <c r="K18" i="12"/>
  <c r="F18" i="12"/>
  <c r="K17" i="12"/>
  <c r="F17" i="12"/>
  <c r="K16" i="12"/>
  <c r="F16" i="12"/>
  <c r="K15" i="12"/>
  <c r="F15" i="12"/>
  <c r="K14" i="12"/>
  <c r="F14" i="12"/>
  <c r="K13" i="12"/>
  <c r="F13" i="12"/>
  <c r="K12" i="12"/>
  <c r="F12" i="12"/>
  <c r="K11" i="12"/>
  <c r="F11" i="12"/>
  <c r="K10" i="12"/>
  <c r="F10" i="12"/>
  <c r="K9" i="12"/>
  <c r="K40" i="12" s="1"/>
  <c r="F9" i="12"/>
  <c r="L9" i="12" s="1"/>
  <c r="L10" i="12" l="1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F40" i="12"/>
  <c r="J40" i="11"/>
  <c r="I40" i="11"/>
  <c r="H40" i="11"/>
  <c r="G40" i="11"/>
  <c r="E40" i="11"/>
  <c r="D40" i="11"/>
  <c r="C40" i="11"/>
  <c r="B40" i="11"/>
  <c r="K39" i="11"/>
  <c r="F39" i="11"/>
  <c r="L39" i="11" s="1"/>
  <c r="K38" i="11"/>
  <c r="F38" i="11"/>
  <c r="K37" i="11"/>
  <c r="F37" i="11"/>
  <c r="K36" i="11"/>
  <c r="F36" i="11"/>
  <c r="K35" i="11"/>
  <c r="F35" i="11"/>
  <c r="K34" i="11"/>
  <c r="F34" i="11"/>
  <c r="K33" i="11"/>
  <c r="F33" i="11"/>
  <c r="K32" i="11"/>
  <c r="F32" i="11"/>
  <c r="L32" i="11" s="1"/>
  <c r="K31" i="11"/>
  <c r="F31" i="11"/>
  <c r="L31" i="11" s="1"/>
  <c r="K30" i="11"/>
  <c r="F30" i="11"/>
  <c r="L30" i="11" s="1"/>
  <c r="K29" i="11"/>
  <c r="F29" i="11"/>
  <c r="L29" i="11" s="1"/>
  <c r="K28" i="11"/>
  <c r="F28" i="11"/>
  <c r="L28" i="11" s="1"/>
  <c r="K27" i="11"/>
  <c r="F27" i="11"/>
  <c r="L27" i="11" s="1"/>
  <c r="K26" i="11"/>
  <c r="F26" i="11"/>
  <c r="L26" i="11" s="1"/>
  <c r="K25" i="11"/>
  <c r="F25" i="11"/>
  <c r="K24" i="11"/>
  <c r="F24" i="11"/>
  <c r="L24" i="11" s="1"/>
  <c r="K23" i="11"/>
  <c r="F23" i="11"/>
  <c r="L23" i="11" s="1"/>
  <c r="K22" i="11"/>
  <c r="F22" i="11"/>
  <c r="L22" i="11" s="1"/>
  <c r="K21" i="11"/>
  <c r="F21" i="11"/>
  <c r="L21" i="11" s="1"/>
  <c r="K20" i="11"/>
  <c r="F20" i="11"/>
  <c r="L20" i="11" s="1"/>
  <c r="K19" i="11"/>
  <c r="F19" i="11"/>
  <c r="L19" i="11" s="1"/>
  <c r="K18" i="11"/>
  <c r="F18" i="11"/>
  <c r="L18" i="11" s="1"/>
  <c r="K17" i="11"/>
  <c r="F17" i="11"/>
  <c r="L17" i="11" s="1"/>
  <c r="K16" i="11"/>
  <c r="F16" i="11"/>
  <c r="K15" i="11"/>
  <c r="F15" i="11"/>
  <c r="L15" i="11" s="1"/>
  <c r="K14" i="11"/>
  <c r="F14" i="11"/>
  <c r="L14" i="11" s="1"/>
  <c r="K13" i="11"/>
  <c r="F13" i="11"/>
  <c r="L13" i="11" s="1"/>
  <c r="K12" i="11"/>
  <c r="F12" i="11"/>
  <c r="K11" i="11"/>
  <c r="F11" i="11"/>
  <c r="L11" i="11" s="1"/>
  <c r="K10" i="11"/>
  <c r="F10" i="11"/>
  <c r="K9" i="11"/>
  <c r="K40" i="11" s="1"/>
  <c r="F9" i="11"/>
  <c r="F40" i="11" s="1"/>
  <c r="J40" i="10"/>
  <c r="I40" i="10"/>
  <c r="H40" i="10"/>
  <c r="G40" i="10"/>
  <c r="E40" i="10"/>
  <c r="D40" i="10"/>
  <c r="C40" i="10"/>
  <c r="B40" i="10"/>
  <c r="K39" i="10"/>
  <c r="F39" i="10"/>
  <c r="L39" i="10" s="1"/>
  <c r="K38" i="10"/>
  <c r="F38" i="10"/>
  <c r="L38" i="10" s="1"/>
  <c r="K37" i="10"/>
  <c r="F37" i="10"/>
  <c r="L37" i="10" s="1"/>
  <c r="K36" i="10"/>
  <c r="F36" i="10"/>
  <c r="K35" i="10"/>
  <c r="F35" i="10"/>
  <c r="K34" i="10"/>
  <c r="F34" i="10"/>
  <c r="L34" i="10" s="1"/>
  <c r="K33" i="10"/>
  <c r="F33" i="10"/>
  <c r="L33" i="10" s="1"/>
  <c r="K32" i="10"/>
  <c r="F32" i="10"/>
  <c r="L32" i="10" s="1"/>
  <c r="K31" i="10"/>
  <c r="F31" i="10"/>
  <c r="L31" i="10" s="1"/>
  <c r="K30" i="10"/>
  <c r="F30" i="10"/>
  <c r="L30" i="10" s="1"/>
  <c r="K29" i="10"/>
  <c r="F29" i="10"/>
  <c r="L29" i="10" s="1"/>
  <c r="K28" i="10"/>
  <c r="F28" i="10"/>
  <c r="L28" i="10" s="1"/>
  <c r="K27" i="10"/>
  <c r="F27" i="10"/>
  <c r="K26" i="10"/>
  <c r="F26" i="10"/>
  <c r="K25" i="10"/>
  <c r="F25" i="10"/>
  <c r="K24" i="10"/>
  <c r="F24" i="10"/>
  <c r="L24" i="10" s="1"/>
  <c r="K23" i="10"/>
  <c r="F23" i="10"/>
  <c r="L23" i="10" s="1"/>
  <c r="K22" i="10"/>
  <c r="F22" i="10"/>
  <c r="K21" i="10"/>
  <c r="F21" i="10"/>
  <c r="L21" i="10" s="1"/>
  <c r="K20" i="10"/>
  <c r="F20" i="10"/>
  <c r="L20" i="10" s="1"/>
  <c r="K19" i="10"/>
  <c r="F19" i="10"/>
  <c r="L19" i="10" s="1"/>
  <c r="K18" i="10"/>
  <c r="F18" i="10"/>
  <c r="L18" i="10" s="1"/>
  <c r="K17" i="10"/>
  <c r="F17" i="10"/>
  <c r="L17" i="10" s="1"/>
  <c r="K16" i="10"/>
  <c r="F16" i="10"/>
  <c r="L16" i="10" s="1"/>
  <c r="K15" i="10"/>
  <c r="F15" i="10"/>
  <c r="L15" i="10" s="1"/>
  <c r="K14" i="10"/>
  <c r="F14" i="10"/>
  <c r="K13" i="10"/>
  <c r="F13" i="10"/>
  <c r="L13" i="10" s="1"/>
  <c r="K12" i="10"/>
  <c r="F12" i="10"/>
  <c r="K11" i="10"/>
  <c r="F11" i="10"/>
  <c r="L11" i="10" s="1"/>
  <c r="K10" i="10"/>
  <c r="F10" i="10"/>
  <c r="L10" i="10" s="1"/>
  <c r="K9" i="10"/>
  <c r="K40" i="10" s="1"/>
  <c r="F9" i="10"/>
  <c r="F40" i="10" s="1"/>
  <c r="J40" i="9"/>
  <c r="I40" i="9"/>
  <c r="H40" i="9"/>
  <c r="G40" i="9"/>
  <c r="E40" i="9"/>
  <c r="D40" i="9"/>
  <c r="C40" i="9"/>
  <c r="B40" i="9"/>
  <c r="K39" i="9"/>
  <c r="F39" i="9"/>
  <c r="L39" i="9" s="1"/>
  <c r="K38" i="9"/>
  <c r="F38" i="9"/>
  <c r="L38" i="9" s="1"/>
  <c r="K37" i="9"/>
  <c r="F37" i="9"/>
  <c r="L37" i="9" s="1"/>
  <c r="K36" i="9"/>
  <c r="F36" i="9"/>
  <c r="L36" i="9" s="1"/>
  <c r="K35" i="9"/>
  <c r="F35" i="9"/>
  <c r="K34" i="9"/>
  <c r="F34" i="9"/>
  <c r="L34" i="9" s="1"/>
  <c r="K33" i="9"/>
  <c r="F33" i="9"/>
  <c r="L33" i="9" s="1"/>
  <c r="K32" i="9"/>
  <c r="F32" i="9"/>
  <c r="L32" i="9" s="1"/>
  <c r="K31" i="9"/>
  <c r="F31" i="9"/>
  <c r="L31" i="9" s="1"/>
  <c r="K30" i="9"/>
  <c r="F30" i="9"/>
  <c r="L30" i="9" s="1"/>
  <c r="K29" i="9"/>
  <c r="F29" i="9"/>
  <c r="L29" i="9" s="1"/>
  <c r="K28" i="9"/>
  <c r="F28" i="9"/>
  <c r="L28" i="9" s="1"/>
  <c r="K27" i="9"/>
  <c r="F27" i="9"/>
  <c r="L27" i="9" s="1"/>
  <c r="K26" i="9"/>
  <c r="F26" i="9"/>
  <c r="L26" i="9" s="1"/>
  <c r="K25" i="9"/>
  <c r="F25" i="9"/>
  <c r="L25" i="9" s="1"/>
  <c r="K24" i="9"/>
  <c r="F24" i="9"/>
  <c r="L24" i="9" s="1"/>
  <c r="K23" i="9"/>
  <c r="F23" i="9"/>
  <c r="L23" i="9" s="1"/>
  <c r="K22" i="9"/>
  <c r="F22" i="9"/>
  <c r="L22" i="9" s="1"/>
  <c r="K21" i="9"/>
  <c r="F21" i="9"/>
  <c r="L21" i="9" s="1"/>
  <c r="K20" i="9"/>
  <c r="F20" i="9"/>
  <c r="L20" i="9" s="1"/>
  <c r="K19" i="9"/>
  <c r="F19" i="9"/>
  <c r="L19" i="9" s="1"/>
  <c r="K18" i="9"/>
  <c r="F18" i="9"/>
  <c r="L18" i="9" s="1"/>
  <c r="K17" i="9"/>
  <c r="F17" i="9"/>
  <c r="L17" i="9" s="1"/>
  <c r="K16" i="9"/>
  <c r="F16" i="9"/>
  <c r="L16" i="9" s="1"/>
  <c r="K15" i="9"/>
  <c r="F15" i="9"/>
  <c r="L15" i="9" s="1"/>
  <c r="K14" i="9"/>
  <c r="F14" i="9"/>
  <c r="L14" i="9" s="1"/>
  <c r="K13" i="9"/>
  <c r="F13" i="9"/>
  <c r="L13" i="9" s="1"/>
  <c r="K12" i="9"/>
  <c r="F12" i="9"/>
  <c r="L12" i="9" s="1"/>
  <c r="K11" i="9"/>
  <c r="F11" i="9"/>
  <c r="L11" i="9" s="1"/>
  <c r="K10" i="9"/>
  <c r="F10" i="9"/>
  <c r="L10" i="9" s="1"/>
  <c r="K9" i="9"/>
  <c r="K40" i="9" s="1"/>
  <c r="F9" i="9"/>
  <c r="F40" i="9" s="1"/>
  <c r="J40" i="8"/>
  <c r="I40" i="8"/>
  <c r="H40" i="8"/>
  <c r="G40" i="8"/>
  <c r="E40" i="8"/>
  <c r="D40" i="8"/>
  <c r="C40" i="8"/>
  <c r="B40" i="8"/>
  <c r="K39" i="8"/>
  <c r="F39" i="8"/>
  <c r="L39" i="8" s="1"/>
  <c r="K38" i="8"/>
  <c r="F38" i="8"/>
  <c r="L38" i="8" s="1"/>
  <c r="K37" i="8"/>
  <c r="F37" i="8"/>
  <c r="L37" i="8" s="1"/>
  <c r="K36" i="8"/>
  <c r="F36" i="8"/>
  <c r="L36" i="8" s="1"/>
  <c r="K35" i="8"/>
  <c r="F35" i="8"/>
  <c r="K34" i="8"/>
  <c r="F34" i="8"/>
  <c r="K33" i="8"/>
  <c r="F33" i="8"/>
  <c r="L33" i="8" s="1"/>
  <c r="K32" i="8"/>
  <c r="F32" i="8"/>
  <c r="L32" i="8" s="1"/>
  <c r="K31" i="8"/>
  <c r="F31" i="8"/>
  <c r="K30" i="8"/>
  <c r="F30" i="8"/>
  <c r="L30" i="8" s="1"/>
  <c r="K29" i="8"/>
  <c r="F29" i="8"/>
  <c r="L29" i="8" s="1"/>
  <c r="K28" i="8"/>
  <c r="F28" i="8"/>
  <c r="K27" i="8"/>
  <c r="F27" i="8"/>
  <c r="L27" i="8" s="1"/>
  <c r="K26" i="8"/>
  <c r="F26" i="8"/>
  <c r="L26" i="8" s="1"/>
  <c r="K25" i="8"/>
  <c r="F25" i="8"/>
  <c r="L25" i="8" s="1"/>
  <c r="K24" i="8"/>
  <c r="F24" i="8"/>
  <c r="L24" i="8" s="1"/>
  <c r="K23" i="8"/>
  <c r="F23" i="8"/>
  <c r="L23" i="8" s="1"/>
  <c r="K22" i="8"/>
  <c r="F22" i="8"/>
  <c r="L22" i="8" s="1"/>
  <c r="K21" i="8"/>
  <c r="F21" i="8"/>
  <c r="K20" i="8"/>
  <c r="F20" i="8"/>
  <c r="L20" i="8" s="1"/>
  <c r="K19" i="8"/>
  <c r="F19" i="8"/>
  <c r="K18" i="8"/>
  <c r="F18" i="8"/>
  <c r="L18" i="8" s="1"/>
  <c r="K17" i="8"/>
  <c r="F17" i="8"/>
  <c r="L17" i="8" s="1"/>
  <c r="K16" i="8"/>
  <c r="F16" i="8"/>
  <c r="L16" i="8" s="1"/>
  <c r="K15" i="8"/>
  <c r="F15" i="8"/>
  <c r="L15" i="8" s="1"/>
  <c r="K14" i="8"/>
  <c r="F14" i="8"/>
  <c r="K13" i="8"/>
  <c r="F13" i="8"/>
  <c r="L13" i="8" s="1"/>
  <c r="K12" i="8"/>
  <c r="F12" i="8"/>
  <c r="L12" i="8" s="1"/>
  <c r="K11" i="8"/>
  <c r="F11" i="8"/>
  <c r="L11" i="8" s="1"/>
  <c r="K10" i="8"/>
  <c r="F10" i="8"/>
  <c r="L10" i="8" s="1"/>
  <c r="K9" i="8"/>
  <c r="K40" i="8" s="1"/>
  <c r="F9" i="8"/>
  <c r="J40" i="7"/>
  <c r="I40" i="7"/>
  <c r="H40" i="7"/>
  <c r="G40" i="7"/>
  <c r="E40" i="7"/>
  <c r="D40" i="7"/>
  <c r="C40" i="7"/>
  <c r="B40" i="7"/>
  <c r="K39" i="7"/>
  <c r="F39" i="7"/>
  <c r="L39" i="7" s="1"/>
  <c r="K38" i="7"/>
  <c r="F38" i="7"/>
  <c r="L38" i="7" s="1"/>
  <c r="K37" i="7"/>
  <c r="F37" i="7"/>
  <c r="L37" i="7" s="1"/>
  <c r="K36" i="7"/>
  <c r="F36" i="7"/>
  <c r="L36" i="7" s="1"/>
  <c r="K35" i="7"/>
  <c r="F35" i="7"/>
  <c r="L35" i="7" s="1"/>
  <c r="K34" i="7"/>
  <c r="F34" i="7"/>
  <c r="L34" i="7" s="1"/>
  <c r="K33" i="7"/>
  <c r="F33" i="7"/>
  <c r="L33" i="7" s="1"/>
  <c r="K32" i="7"/>
  <c r="F32" i="7"/>
  <c r="L32" i="7" s="1"/>
  <c r="K31" i="7"/>
  <c r="F31" i="7"/>
  <c r="L31" i="7" s="1"/>
  <c r="K30" i="7"/>
  <c r="F30" i="7"/>
  <c r="L30" i="7" s="1"/>
  <c r="K29" i="7"/>
  <c r="F29" i="7"/>
  <c r="L29" i="7" s="1"/>
  <c r="K28" i="7"/>
  <c r="F28" i="7"/>
  <c r="L28" i="7" s="1"/>
  <c r="K27" i="7"/>
  <c r="F27" i="7"/>
  <c r="L27" i="7" s="1"/>
  <c r="K26" i="7"/>
  <c r="F26" i="7"/>
  <c r="L26" i="7" s="1"/>
  <c r="K25" i="7"/>
  <c r="F25" i="7"/>
  <c r="L25" i="7" s="1"/>
  <c r="K24" i="7"/>
  <c r="F24" i="7"/>
  <c r="L24" i="7" s="1"/>
  <c r="K23" i="7"/>
  <c r="F23" i="7"/>
  <c r="L23" i="7" s="1"/>
  <c r="K22" i="7"/>
  <c r="F22" i="7"/>
  <c r="L22" i="7" s="1"/>
  <c r="K21" i="7"/>
  <c r="F21" i="7"/>
  <c r="L21" i="7" s="1"/>
  <c r="K20" i="7"/>
  <c r="F20" i="7"/>
  <c r="L20" i="7" s="1"/>
  <c r="K19" i="7"/>
  <c r="F19" i="7"/>
  <c r="L19" i="7" s="1"/>
  <c r="K18" i="7"/>
  <c r="F18" i="7"/>
  <c r="L18" i="7" s="1"/>
  <c r="K17" i="7"/>
  <c r="F17" i="7"/>
  <c r="L17" i="7" s="1"/>
  <c r="K16" i="7"/>
  <c r="F16" i="7"/>
  <c r="L16" i="7" s="1"/>
  <c r="K15" i="7"/>
  <c r="F15" i="7"/>
  <c r="K14" i="7"/>
  <c r="F14" i="7"/>
  <c r="L14" i="7" s="1"/>
  <c r="K13" i="7"/>
  <c r="F13" i="7"/>
  <c r="L13" i="7" s="1"/>
  <c r="K12" i="7"/>
  <c r="F12" i="7"/>
  <c r="L12" i="7" s="1"/>
  <c r="K11" i="7"/>
  <c r="F11" i="7"/>
  <c r="L11" i="7" s="1"/>
  <c r="K10" i="7"/>
  <c r="F10" i="7"/>
  <c r="L10" i="7" s="1"/>
  <c r="K9" i="7"/>
  <c r="K40" i="7" s="1"/>
  <c r="F9" i="7"/>
  <c r="J40" i="6"/>
  <c r="I40" i="6"/>
  <c r="H40" i="6"/>
  <c r="G40" i="6"/>
  <c r="E40" i="6"/>
  <c r="D40" i="6"/>
  <c r="C40" i="6"/>
  <c r="B40" i="6"/>
  <c r="K39" i="6"/>
  <c r="F39" i="6"/>
  <c r="L39" i="6" s="1"/>
  <c r="K38" i="6"/>
  <c r="F38" i="6"/>
  <c r="L38" i="6" s="1"/>
  <c r="K37" i="6"/>
  <c r="F37" i="6"/>
  <c r="L37" i="6" s="1"/>
  <c r="K36" i="6"/>
  <c r="F36" i="6"/>
  <c r="L36" i="6" s="1"/>
  <c r="K35" i="6"/>
  <c r="F35" i="6"/>
  <c r="L35" i="6" s="1"/>
  <c r="K34" i="6"/>
  <c r="F34" i="6"/>
  <c r="K33" i="6"/>
  <c r="F33" i="6"/>
  <c r="L33" i="6" s="1"/>
  <c r="K32" i="6"/>
  <c r="F32" i="6"/>
  <c r="L32" i="6" s="1"/>
  <c r="K31" i="6"/>
  <c r="F31" i="6"/>
  <c r="L31" i="6" s="1"/>
  <c r="K30" i="6"/>
  <c r="F30" i="6"/>
  <c r="L30" i="6" s="1"/>
  <c r="K29" i="6"/>
  <c r="F29" i="6"/>
  <c r="L29" i="6" s="1"/>
  <c r="K28" i="6"/>
  <c r="F28" i="6"/>
  <c r="L28" i="6" s="1"/>
  <c r="K27" i="6"/>
  <c r="F27" i="6"/>
  <c r="L27" i="6" s="1"/>
  <c r="K26" i="6"/>
  <c r="F26" i="6"/>
  <c r="L26" i="6" s="1"/>
  <c r="K25" i="6"/>
  <c r="F25" i="6"/>
  <c r="L25" i="6" s="1"/>
  <c r="K24" i="6"/>
  <c r="F24" i="6"/>
  <c r="L24" i="6" s="1"/>
  <c r="K23" i="6"/>
  <c r="F23" i="6"/>
  <c r="L23" i="6" s="1"/>
  <c r="K22" i="6"/>
  <c r="F22" i="6"/>
  <c r="L22" i="6" s="1"/>
  <c r="K21" i="6"/>
  <c r="F21" i="6"/>
  <c r="L21" i="6" s="1"/>
  <c r="K20" i="6"/>
  <c r="F20" i="6"/>
  <c r="L20" i="6" s="1"/>
  <c r="K19" i="6"/>
  <c r="F19" i="6"/>
  <c r="L19" i="6" s="1"/>
  <c r="K18" i="6"/>
  <c r="F18" i="6"/>
  <c r="L18" i="6" s="1"/>
  <c r="K17" i="6"/>
  <c r="F17" i="6"/>
  <c r="L17" i="6" s="1"/>
  <c r="K16" i="6"/>
  <c r="F16" i="6"/>
  <c r="L16" i="6" s="1"/>
  <c r="K15" i="6"/>
  <c r="F15" i="6"/>
  <c r="K14" i="6"/>
  <c r="F14" i="6"/>
  <c r="L14" i="6" s="1"/>
  <c r="K13" i="6"/>
  <c r="F13" i="6"/>
  <c r="L13" i="6" s="1"/>
  <c r="K12" i="6"/>
  <c r="F12" i="6"/>
  <c r="L12" i="6" s="1"/>
  <c r="K11" i="6"/>
  <c r="F11" i="6"/>
  <c r="L11" i="6" s="1"/>
  <c r="K10" i="6"/>
  <c r="F10" i="6"/>
  <c r="L10" i="6" s="1"/>
  <c r="K9" i="6"/>
  <c r="K40" i="6" s="1"/>
  <c r="F9" i="6"/>
  <c r="L40" i="12" l="1"/>
  <c r="G46" i="12" s="1"/>
  <c r="G47" i="12" s="1"/>
  <c r="G49" i="12" s="1"/>
  <c r="L25" i="11"/>
  <c r="L10" i="11"/>
  <c r="L33" i="11"/>
  <c r="L34" i="11"/>
  <c r="L35" i="11"/>
  <c r="L36" i="11"/>
  <c r="L37" i="11"/>
  <c r="L38" i="11"/>
  <c r="L12" i="11"/>
  <c r="L16" i="11"/>
  <c r="L9" i="11"/>
  <c r="L36" i="10"/>
  <c r="L35" i="10"/>
  <c r="L27" i="10"/>
  <c r="L26" i="10"/>
  <c r="L25" i="10"/>
  <c r="L22" i="10"/>
  <c r="L14" i="10"/>
  <c r="L12" i="10"/>
  <c r="L9" i="10"/>
  <c r="L35" i="9"/>
  <c r="L9" i="9"/>
  <c r="L35" i="8"/>
  <c r="L34" i="8"/>
  <c r="F40" i="8"/>
  <c r="L31" i="8"/>
  <c r="L21" i="8"/>
  <c r="L28" i="8"/>
  <c r="L14" i="8"/>
  <c r="L19" i="8"/>
  <c r="L9" i="8"/>
  <c r="F40" i="7"/>
  <c r="L15" i="7"/>
  <c r="L9" i="7"/>
  <c r="F40" i="6"/>
  <c r="L15" i="6"/>
  <c r="L34" i="6"/>
  <c r="L9" i="6"/>
  <c r="L40" i="6" s="1"/>
  <c r="G47" i="6" l="1"/>
  <c r="G49" i="6" s="1"/>
  <c r="G46" i="6"/>
  <c r="L40" i="11"/>
  <c r="G46" i="11" s="1"/>
  <c r="G47" i="11" s="1"/>
  <c r="G49" i="11" s="1"/>
  <c r="L40" i="10"/>
  <c r="G46" i="10" s="1"/>
  <c r="G47" i="10" s="1"/>
  <c r="G49" i="10" s="1"/>
  <c r="L40" i="9"/>
  <c r="G46" i="9" s="1"/>
  <c r="G47" i="9" s="1"/>
  <c r="G49" i="9" s="1"/>
  <c r="L40" i="8"/>
  <c r="G46" i="8" s="1"/>
  <c r="G47" i="8" s="1"/>
  <c r="G49" i="8" s="1"/>
  <c r="L40" i="7"/>
  <c r="J40" i="5"/>
  <c r="I40" i="5"/>
  <c r="H40" i="5"/>
  <c r="G40" i="5"/>
  <c r="E40" i="5"/>
  <c r="D40" i="5"/>
  <c r="C40" i="5"/>
  <c r="B40" i="5"/>
  <c r="K39" i="5"/>
  <c r="F39" i="5"/>
  <c r="L39" i="5" s="1"/>
  <c r="K38" i="5"/>
  <c r="F38" i="5"/>
  <c r="L38" i="5" s="1"/>
  <c r="K37" i="5"/>
  <c r="F37" i="5"/>
  <c r="L37" i="5" s="1"/>
  <c r="K36" i="5"/>
  <c r="F36" i="5"/>
  <c r="L36" i="5" s="1"/>
  <c r="K35" i="5"/>
  <c r="F35" i="5"/>
  <c r="L35" i="5" s="1"/>
  <c r="K34" i="5"/>
  <c r="F34" i="5"/>
  <c r="L34" i="5" s="1"/>
  <c r="K33" i="5"/>
  <c r="F33" i="5"/>
  <c r="K32" i="5"/>
  <c r="F32" i="5"/>
  <c r="L32" i="5" s="1"/>
  <c r="K31" i="5"/>
  <c r="F31" i="5"/>
  <c r="L31" i="5" s="1"/>
  <c r="K30" i="5"/>
  <c r="F30" i="5"/>
  <c r="L30" i="5" s="1"/>
  <c r="K29" i="5"/>
  <c r="F29" i="5"/>
  <c r="L29" i="5" s="1"/>
  <c r="K28" i="5"/>
  <c r="F28" i="5"/>
  <c r="L28" i="5" s="1"/>
  <c r="K27" i="5"/>
  <c r="F27" i="5"/>
  <c r="L27" i="5" s="1"/>
  <c r="K26" i="5"/>
  <c r="F26" i="5"/>
  <c r="L26" i="5" s="1"/>
  <c r="K25" i="5"/>
  <c r="F25" i="5"/>
  <c r="L25" i="5" s="1"/>
  <c r="K24" i="5"/>
  <c r="F24" i="5"/>
  <c r="L24" i="5" s="1"/>
  <c r="K23" i="5"/>
  <c r="F23" i="5"/>
  <c r="L23" i="5" s="1"/>
  <c r="K22" i="5"/>
  <c r="F22" i="5"/>
  <c r="L22" i="5" s="1"/>
  <c r="K21" i="5"/>
  <c r="F21" i="5"/>
  <c r="L21" i="5" s="1"/>
  <c r="K20" i="5"/>
  <c r="F20" i="5"/>
  <c r="L20" i="5" s="1"/>
  <c r="K19" i="5"/>
  <c r="F19" i="5"/>
  <c r="L19" i="5" s="1"/>
  <c r="K18" i="5"/>
  <c r="F18" i="5"/>
  <c r="K17" i="5"/>
  <c r="F17" i="5"/>
  <c r="L17" i="5" s="1"/>
  <c r="K16" i="5"/>
  <c r="F16" i="5"/>
  <c r="L16" i="5" s="1"/>
  <c r="K15" i="5"/>
  <c r="F15" i="5"/>
  <c r="L15" i="5" s="1"/>
  <c r="K14" i="5"/>
  <c r="F14" i="5"/>
  <c r="L14" i="5" s="1"/>
  <c r="K13" i="5"/>
  <c r="F13" i="5"/>
  <c r="L13" i="5" s="1"/>
  <c r="K12" i="5"/>
  <c r="F12" i="5"/>
  <c r="L12" i="5" s="1"/>
  <c r="K11" i="5"/>
  <c r="F11" i="5"/>
  <c r="L11" i="5" s="1"/>
  <c r="K10" i="5"/>
  <c r="F10" i="5"/>
  <c r="L10" i="5" s="1"/>
  <c r="K9" i="5"/>
  <c r="K40" i="5" s="1"/>
  <c r="F9" i="5"/>
  <c r="J40" i="4"/>
  <c r="I40" i="4"/>
  <c r="H40" i="4"/>
  <c r="G40" i="4"/>
  <c r="E40" i="4"/>
  <c r="D40" i="4"/>
  <c r="C40" i="4"/>
  <c r="B40" i="4"/>
  <c r="K39" i="4"/>
  <c r="F39" i="4"/>
  <c r="L39" i="4" s="1"/>
  <c r="K38" i="4"/>
  <c r="F38" i="4"/>
  <c r="L38" i="4" s="1"/>
  <c r="K37" i="4"/>
  <c r="F37" i="4"/>
  <c r="L37" i="4" s="1"/>
  <c r="K36" i="4"/>
  <c r="F36" i="4"/>
  <c r="L36" i="4" s="1"/>
  <c r="K35" i="4"/>
  <c r="F35" i="4"/>
  <c r="L35" i="4" s="1"/>
  <c r="K34" i="4"/>
  <c r="F34" i="4"/>
  <c r="L34" i="4" s="1"/>
  <c r="K33" i="4"/>
  <c r="F33" i="4"/>
  <c r="L33" i="4" s="1"/>
  <c r="K32" i="4"/>
  <c r="F32" i="4"/>
  <c r="L32" i="4" s="1"/>
  <c r="K31" i="4"/>
  <c r="F31" i="4"/>
  <c r="L31" i="4" s="1"/>
  <c r="K30" i="4"/>
  <c r="F30" i="4"/>
  <c r="K29" i="4"/>
  <c r="F29" i="4"/>
  <c r="L29" i="4" s="1"/>
  <c r="K28" i="4"/>
  <c r="F28" i="4"/>
  <c r="L28" i="4" s="1"/>
  <c r="K27" i="4"/>
  <c r="F27" i="4"/>
  <c r="L27" i="4" s="1"/>
  <c r="K26" i="4"/>
  <c r="F26" i="4"/>
  <c r="L26" i="4" s="1"/>
  <c r="K25" i="4"/>
  <c r="F25" i="4"/>
  <c r="L25" i="4" s="1"/>
  <c r="K24" i="4"/>
  <c r="F24" i="4"/>
  <c r="L24" i="4" s="1"/>
  <c r="K23" i="4"/>
  <c r="F23" i="4"/>
  <c r="L23" i="4" s="1"/>
  <c r="K22" i="4"/>
  <c r="F22" i="4"/>
  <c r="L22" i="4" s="1"/>
  <c r="K21" i="4"/>
  <c r="F21" i="4"/>
  <c r="K20" i="4"/>
  <c r="F20" i="4"/>
  <c r="K19" i="4"/>
  <c r="F19" i="4"/>
  <c r="L19" i="4" s="1"/>
  <c r="K18" i="4"/>
  <c r="F18" i="4"/>
  <c r="L18" i="4" s="1"/>
  <c r="K17" i="4"/>
  <c r="F17" i="4"/>
  <c r="L17" i="4" s="1"/>
  <c r="K16" i="4"/>
  <c r="F16" i="4"/>
  <c r="L16" i="4" s="1"/>
  <c r="K15" i="4"/>
  <c r="F15" i="4"/>
  <c r="K14" i="4"/>
  <c r="F14" i="4"/>
  <c r="K13" i="4"/>
  <c r="F13" i="4"/>
  <c r="L13" i="4" s="1"/>
  <c r="K12" i="4"/>
  <c r="F12" i="4"/>
  <c r="L12" i="4" s="1"/>
  <c r="K11" i="4"/>
  <c r="F11" i="4"/>
  <c r="L11" i="4" s="1"/>
  <c r="K10" i="4"/>
  <c r="F10" i="4"/>
  <c r="L10" i="4" s="1"/>
  <c r="K9" i="4"/>
  <c r="F9" i="4"/>
  <c r="F40" i="4" s="1"/>
  <c r="J40" i="3"/>
  <c r="I40" i="3"/>
  <c r="H40" i="3"/>
  <c r="G40" i="3"/>
  <c r="E40" i="3"/>
  <c r="D40" i="3"/>
  <c r="C40" i="3"/>
  <c r="B40" i="3"/>
  <c r="K39" i="3"/>
  <c r="F39" i="3"/>
  <c r="L39" i="3" s="1"/>
  <c r="K38" i="3"/>
  <c r="F38" i="3"/>
  <c r="L38" i="3" s="1"/>
  <c r="K37" i="3"/>
  <c r="F37" i="3"/>
  <c r="L37" i="3" s="1"/>
  <c r="K36" i="3"/>
  <c r="F36" i="3"/>
  <c r="L36" i="3" s="1"/>
  <c r="K35" i="3"/>
  <c r="F35" i="3"/>
  <c r="L35" i="3" s="1"/>
  <c r="K34" i="3"/>
  <c r="F34" i="3"/>
  <c r="L34" i="3" s="1"/>
  <c r="K33" i="3"/>
  <c r="F33" i="3"/>
  <c r="L33" i="3" s="1"/>
  <c r="K32" i="3"/>
  <c r="F32" i="3"/>
  <c r="L32" i="3" s="1"/>
  <c r="K31" i="3"/>
  <c r="F31" i="3"/>
  <c r="L31" i="3" s="1"/>
  <c r="K30" i="3"/>
  <c r="F30" i="3"/>
  <c r="L30" i="3" s="1"/>
  <c r="K29" i="3"/>
  <c r="F29" i="3"/>
  <c r="L29" i="3" s="1"/>
  <c r="K28" i="3"/>
  <c r="F28" i="3"/>
  <c r="K27" i="3"/>
  <c r="F27" i="3"/>
  <c r="L27" i="3" s="1"/>
  <c r="K26" i="3"/>
  <c r="F26" i="3"/>
  <c r="L26" i="3" s="1"/>
  <c r="K25" i="3"/>
  <c r="F25" i="3"/>
  <c r="L25" i="3" s="1"/>
  <c r="K24" i="3"/>
  <c r="F24" i="3"/>
  <c r="L24" i="3" s="1"/>
  <c r="K23" i="3"/>
  <c r="F23" i="3"/>
  <c r="L23" i="3" s="1"/>
  <c r="K22" i="3"/>
  <c r="F22" i="3"/>
  <c r="L22" i="3" s="1"/>
  <c r="K21" i="3"/>
  <c r="F21" i="3"/>
  <c r="L21" i="3" s="1"/>
  <c r="K20" i="3"/>
  <c r="F20" i="3"/>
  <c r="L20" i="3" s="1"/>
  <c r="K19" i="3"/>
  <c r="F19" i="3"/>
  <c r="L19" i="3" s="1"/>
  <c r="K18" i="3"/>
  <c r="F18" i="3"/>
  <c r="L18" i="3" s="1"/>
  <c r="K17" i="3"/>
  <c r="F17" i="3"/>
  <c r="L17" i="3" s="1"/>
  <c r="K16" i="3"/>
  <c r="F16" i="3"/>
  <c r="K15" i="3"/>
  <c r="F15" i="3"/>
  <c r="K14" i="3"/>
  <c r="F14" i="3"/>
  <c r="L14" i="3" s="1"/>
  <c r="K13" i="3"/>
  <c r="F13" i="3"/>
  <c r="L13" i="3" s="1"/>
  <c r="K12" i="3"/>
  <c r="F12" i="3"/>
  <c r="L12" i="3" s="1"/>
  <c r="K11" i="3"/>
  <c r="F11" i="3"/>
  <c r="L11" i="3" s="1"/>
  <c r="K10" i="3"/>
  <c r="F10" i="3"/>
  <c r="L10" i="3" s="1"/>
  <c r="K9" i="3"/>
  <c r="F9" i="3"/>
  <c r="G46" i="7" l="1"/>
  <c r="G47" i="7" s="1"/>
  <c r="G49" i="7" s="1"/>
  <c r="L33" i="5"/>
  <c r="L18" i="5"/>
  <c r="F40" i="5"/>
  <c r="L9" i="5"/>
  <c r="L14" i="4"/>
  <c r="L20" i="4"/>
  <c r="L30" i="4"/>
  <c r="L21" i="4"/>
  <c r="L15" i="4"/>
  <c r="K40" i="4"/>
  <c r="L9" i="4"/>
  <c r="F40" i="3"/>
  <c r="K40" i="3"/>
  <c r="L16" i="3"/>
  <c r="L15" i="3"/>
  <c r="L28" i="3"/>
  <c r="L9" i="3"/>
  <c r="L40" i="5" l="1"/>
  <c r="G46" i="5" s="1"/>
  <c r="G47" i="5" s="1"/>
  <c r="G49" i="5" s="1"/>
  <c r="L40" i="4"/>
  <c r="G46" i="4" s="1"/>
  <c r="G47" i="4" s="1"/>
  <c r="G49" i="4" s="1"/>
  <c r="L40" i="3"/>
  <c r="G46" i="3" s="1"/>
  <c r="G47" i="3" s="1"/>
  <c r="G49" i="3" s="1"/>
  <c r="H40" i="1"/>
  <c r="I40" i="1"/>
  <c r="J40" i="1"/>
  <c r="G40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9" i="1"/>
  <c r="C40" i="1"/>
  <c r="D40" i="1"/>
  <c r="E40" i="1"/>
  <c r="B40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L37" i="1" s="1"/>
  <c r="F38" i="1"/>
  <c r="F39" i="1"/>
  <c r="L39" i="1" s="1"/>
  <c r="F9" i="1"/>
  <c r="L35" i="1" l="1"/>
  <c r="L31" i="1"/>
  <c r="L25" i="1"/>
  <c r="L23" i="1"/>
  <c r="L17" i="1"/>
  <c r="L11" i="1"/>
  <c r="L9" i="1"/>
  <c r="L38" i="1"/>
  <c r="L34" i="1"/>
  <c r="L32" i="1"/>
  <c r="L30" i="1"/>
  <c r="L26" i="1"/>
  <c r="L22" i="1"/>
  <c r="L18" i="1"/>
  <c r="L10" i="1"/>
  <c r="L20" i="1"/>
  <c r="L16" i="1"/>
  <c r="L28" i="1"/>
  <c r="L36" i="1"/>
  <c r="L24" i="1"/>
  <c r="L12" i="1"/>
  <c r="L15" i="1"/>
  <c r="L14" i="1"/>
  <c r="L29" i="1"/>
  <c r="L13" i="1"/>
  <c r="L33" i="1"/>
  <c r="L27" i="1"/>
  <c r="F40" i="1"/>
  <c r="L21" i="1"/>
  <c r="L19" i="1"/>
  <c r="K40" i="1"/>
  <c r="L40" i="1" l="1"/>
  <c r="G46" i="1" s="1"/>
  <c r="G47" i="1" s="1"/>
  <c r="G49" i="1" s="1"/>
</calcChain>
</file>

<file path=xl/sharedStrings.xml><?xml version="1.0" encoding="utf-8"?>
<sst xmlns="http://schemas.openxmlformats.org/spreadsheetml/2006/main" count="420" uniqueCount="62">
  <si>
    <t>Algérienne des Eaux</t>
  </si>
  <si>
    <r>
      <t xml:space="preserve">Centre de : </t>
    </r>
    <r>
      <rPr>
        <sz val="12"/>
        <rFont val="Arial"/>
        <family val="2"/>
      </rPr>
      <t>BERROUAGHIA</t>
    </r>
  </si>
  <si>
    <t>Zone d'Alger</t>
  </si>
  <si>
    <r>
      <t>Agence de</t>
    </r>
    <r>
      <rPr>
        <sz val="10"/>
        <rFont val="Arial"/>
        <family val="2"/>
      </rPr>
      <t xml:space="preserve"> : BERROUAGHIA</t>
    </r>
  </si>
  <si>
    <t>Unité de Médéa</t>
  </si>
  <si>
    <t>Suivi Pose Compteurs</t>
  </si>
  <si>
    <t xml:space="preserve"> </t>
  </si>
  <si>
    <t>Date</t>
  </si>
  <si>
    <t>Nouveaux branchements</t>
  </si>
  <si>
    <t>Elimination du forfait</t>
  </si>
  <si>
    <t>Total (1+2)</t>
  </si>
  <si>
    <t>I</t>
  </si>
  <si>
    <t>II</t>
  </si>
  <si>
    <t>III</t>
  </si>
  <si>
    <t>IV</t>
  </si>
  <si>
    <t>Total (1)</t>
  </si>
  <si>
    <t>Total (2)</t>
  </si>
  <si>
    <t>Neufs</t>
  </si>
  <si>
    <t>Rénovés</t>
  </si>
  <si>
    <t>Stocks début du mois (A)</t>
  </si>
  <si>
    <t>Entrées du mois (B)</t>
  </si>
  <si>
    <t>Vente Compt ( C )</t>
  </si>
  <si>
    <t>Sorties du mois  D = total (1+2)+C</t>
  </si>
  <si>
    <t>Stock fin de mois E = A + B -C</t>
  </si>
  <si>
    <t xml:space="preserve">Stock réel </t>
  </si>
  <si>
    <t>Ecart</t>
  </si>
  <si>
    <t>Visa de l'agent chargé du suivi de pose compteurs.</t>
  </si>
  <si>
    <t>Visa du Chef d'Agence</t>
  </si>
  <si>
    <r>
      <t>Mois de JANVIER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2017</t>
    </r>
  </si>
  <si>
    <t>01 Compteur DN 20/27 Réintégrer Antenne Oumaria</t>
  </si>
  <si>
    <r>
      <t>Mois de FEVRIER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2017</t>
    </r>
  </si>
  <si>
    <t>10 Compteurs DN 15/21 + 01 Compteur DN 20/27 Réintégré Antenne Robaia</t>
  </si>
  <si>
    <t>30 Compteurs DN 15/21 Réintégré Oumaria</t>
  </si>
  <si>
    <r>
      <t>Mois de MARS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2017</t>
    </r>
  </si>
  <si>
    <t>10 Compteurs DN 15/21 Réintégré Antenne Ouled dheid</t>
  </si>
  <si>
    <t>01 Compteurs DN 65 Réintégré Antenne Seghouane</t>
  </si>
  <si>
    <t>01 Compteurs DN 40 Réintégré Centre KEB</t>
  </si>
  <si>
    <r>
      <t>Mois D'AVRIL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2017</t>
    </r>
  </si>
  <si>
    <t>20 Compteurs DN 15/21 Réintégré Antenne Seghouane</t>
  </si>
  <si>
    <t>20 Compteurs DN 15/21 Réintégré Antenne Robeia</t>
  </si>
  <si>
    <t>50 Compteurs DN 15/21 Réintégré Antenne Zoubiria</t>
  </si>
  <si>
    <r>
      <t>Mois MAI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2017</t>
    </r>
  </si>
  <si>
    <t>01 Compteurs DN 40 Réintégré Antenne Zoubiria</t>
  </si>
  <si>
    <r>
      <t>Mois JUIN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2017</t>
    </r>
  </si>
  <si>
    <t>10 Compteurs DN 15/21 Réintégré Ouled dheid</t>
  </si>
  <si>
    <r>
      <t>Mois AOUT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2017</t>
    </r>
  </si>
  <si>
    <r>
      <t>Mois JUILLET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2017</t>
    </r>
  </si>
  <si>
    <t>10 Compteurs DN 15/21 Réintégré Seghouane</t>
  </si>
  <si>
    <t>01 Compteur DN 100 Réintégré Seghouane</t>
  </si>
  <si>
    <r>
      <t>Mois SEPTEMBRE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2017</t>
    </r>
  </si>
  <si>
    <r>
      <t>Mois OCTOBRE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2017</t>
    </r>
  </si>
  <si>
    <t>10 Compteurs DN 15/21 Réintégré Ouled dhied</t>
  </si>
  <si>
    <r>
      <t>Mois NOVEMBRE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2017</t>
    </r>
  </si>
  <si>
    <t>11 Compteurs DN 15/21 Réintégré Zoubiria</t>
  </si>
  <si>
    <t>06 Compteurs DN 15/21 Réintégré Ouled dheid</t>
  </si>
  <si>
    <r>
      <t>Mois DECEMBRE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2017</t>
    </r>
  </si>
  <si>
    <t>01 Compteur DN 30 Réintégré Zoubiria</t>
  </si>
  <si>
    <t>04 Compteurs DN 15/21 Réintégré Zoubiria</t>
  </si>
  <si>
    <t>01 Compteurs DN 40/49 Réintégré Agence Tahtouh</t>
  </si>
  <si>
    <t>40 Compteurs DN 15/21 &amp; 01 Compteur DN 30 Réintégré Seghouane</t>
  </si>
  <si>
    <t>02 Compteurs DN 15/21 &amp; 01 Compteurs DN 20/27 Réintégré Ouled dheid</t>
  </si>
  <si>
    <t>05 Compteurs Réintégré Unité Médéa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</si>
</sst>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* #,##0.00\ &quot;€&quot;_-;\-* #,##0.00\ &quot;€&quot;_-;_-* &quot;-&quot;??\ &quot;€&quot;_-;_-@_-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i/>
      <u/>
      <sz val="10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sz val="10"/>
      <color indexed="63"/>
      <name val="Arial"/>
      <family val="2"/>
    </font>
    <font>
      <sz val="10"/>
      <color theme="1"/>
      <name val="Arial"/>
      <family val="2"/>
    </font>
    <font>
      <sz val="10"/>
      <color rgb="FF92D050"/>
      <name val="Arial"/>
      <family val="2"/>
    </font>
    <font>
      <sz val="10"/>
      <color rgb="FFFF0000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/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/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/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7" fillId="0" borderId="0"/>
  </cellStyleXfs>
  <cellXfs count="105">
    <xf numFmtId="0" fontId="0" fillId="0" borderId="0" xfId="0"/>
    <xf numFmtId="0" fontId="12" fillId="0" borderId="0" xfId="3" applyFont="1" applyAlignment="1">
      <alignment horizontal="center" vertical="center"/>
    </xf>
    <xf numFmtId="0" fontId="7" fillId="0" borderId="0" xfId="3" applyAlignment="1">
      <alignment horizontal="center" vertical="center" wrapText="1"/>
    </xf>
    <xf numFmtId="0" fontId="12" fillId="0" borderId="0" xfId="3" applyFont="1" applyAlignment="1">
      <alignment horizontal="center" vertical="center" wrapText="1"/>
    </xf>
    <xf numFmtId="0" fontId="7" fillId="0" borderId="5" xfId="3" applyBorder="1" applyAlignment="1">
      <alignment vertical="center" wrapText="1"/>
    </xf>
    <xf numFmtId="0" fontId="8" fillId="0" borderId="0" xfId="3" applyFont="1" applyAlignment="1">
      <alignment horizontal="left" vertical="center"/>
    </xf>
    <xf numFmtId="0" fontId="7" fillId="2" borderId="8" xfId="3" applyFill="1" applyBorder="1" applyAlignment="1">
      <alignment horizontal="center" vertical="center" wrapText="1"/>
    </xf>
    <xf numFmtId="1" fontId="12" fillId="2" borderId="11" xfId="3" applyNumberFormat="1" applyFont="1" applyFill="1" applyBorder="1" applyAlignment="1">
      <alignment horizontal="center" vertical="center" wrapText="1"/>
    </xf>
    <xf numFmtId="0" fontId="7" fillId="2" borderId="12" xfId="3" applyFill="1" applyBorder="1" applyAlignment="1">
      <alignment horizontal="center" vertical="center" wrapText="1"/>
    </xf>
    <xf numFmtId="0" fontId="7" fillId="2" borderId="14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0" xfId="3" applyFill="1" applyAlignment="1">
      <alignment horizontal="center" vertical="center" wrapText="1"/>
    </xf>
    <xf numFmtId="0" fontId="7" fillId="2" borderId="0" xfId="3" applyFill="1" applyAlignment="1">
      <alignment vertical="center" wrapText="1"/>
    </xf>
    <xf numFmtId="0" fontId="12" fillId="2" borderId="0" xfId="3" applyFont="1" applyFill="1" applyAlignment="1">
      <alignment horizontal="center" vertical="center" wrapText="1"/>
    </xf>
    <xf numFmtId="0" fontId="7" fillId="2" borderId="5" xfId="3" applyFill="1" applyBorder="1" applyAlignment="1">
      <alignment vertical="center" wrapText="1"/>
    </xf>
    <xf numFmtId="0" fontId="7" fillId="2" borderId="18" xfId="3" applyFill="1" applyBorder="1" applyAlignment="1">
      <alignment horizontal="center" vertical="center" wrapText="1"/>
    </xf>
    <xf numFmtId="1" fontId="7" fillId="2" borderId="20" xfId="3" applyNumberFormat="1" applyFont="1" applyFill="1" applyBorder="1" applyAlignment="1">
      <alignment horizontal="center" vertical="center" wrapText="1"/>
    </xf>
    <xf numFmtId="1" fontId="7" fillId="2" borderId="25" xfId="3" applyNumberFormat="1" applyFill="1" applyBorder="1" applyAlignment="1">
      <alignment horizontal="center" vertical="center" wrapText="1"/>
    </xf>
    <xf numFmtId="0" fontId="7" fillId="2" borderId="11" xfId="3" applyFont="1" applyFill="1" applyBorder="1" applyAlignment="1">
      <alignment horizontal="center" vertical="center" wrapText="1"/>
    </xf>
    <xf numFmtId="0" fontId="7" fillId="2" borderId="9" xfId="3" applyFill="1" applyBorder="1" applyAlignment="1" applyProtection="1">
      <alignment horizontal="center" vertical="center" wrapText="1"/>
      <protection locked="0"/>
    </xf>
    <xf numFmtId="0" fontId="7" fillId="2" borderId="10" xfId="3" applyFill="1" applyBorder="1" applyAlignment="1" applyProtection="1">
      <alignment vertical="center" wrapText="1"/>
      <protection locked="0"/>
    </xf>
    <xf numFmtId="0" fontId="7" fillId="2" borderId="22" xfId="3" applyFill="1" applyBorder="1" applyAlignment="1" applyProtection="1">
      <alignment vertical="center" wrapText="1"/>
      <protection locked="0"/>
    </xf>
    <xf numFmtId="0" fontId="7" fillId="2" borderId="6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horizontal="center" vertical="center" wrapText="1"/>
      <protection locked="0"/>
    </xf>
    <xf numFmtId="0" fontId="7" fillId="2" borderId="15" xfId="3" applyFill="1" applyBorder="1" applyAlignment="1" applyProtection="1">
      <alignment horizontal="center" vertical="center" wrapText="1"/>
      <protection locked="0"/>
    </xf>
    <xf numFmtId="0" fontId="7" fillId="2" borderId="16" xfId="3" applyFill="1" applyBorder="1" applyAlignment="1" applyProtection="1">
      <alignment vertical="center" wrapText="1"/>
      <protection locked="0"/>
    </xf>
    <xf numFmtId="0" fontId="7" fillId="2" borderId="23" xfId="3" applyFill="1" applyBorder="1" applyAlignment="1" applyProtection="1">
      <alignment vertical="center" wrapText="1"/>
      <protection locked="0"/>
    </xf>
    <xf numFmtId="0" fontId="7" fillId="2" borderId="19" xfId="3" applyFill="1" applyBorder="1" applyAlignment="1" applyProtection="1">
      <alignment vertical="center" wrapText="1"/>
      <protection locked="0"/>
    </xf>
    <xf numFmtId="1" fontId="7" fillId="2" borderId="13" xfId="3" applyNumberFormat="1" applyFill="1" applyBorder="1" applyAlignment="1" applyProtection="1">
      <alignment horizontal="center" vertical="center" wrapText="1"/>
      <protection locked="0"/>
    </xf>
    <xf numFmtId="1" fontId="7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13" xfId="3" applyNumberFormat="1" applyFill="1" applyBorder="1" applyAlignment="1" applyProtection="1">
      <alignment horizontal="center" vertical="center" wrapText="1"/>
      <protection locked="0"/>
    </xf>
    <xf numFmtId="0" fontId="11" fillId="2" borderId="7" xfId="3" applyFont="1" applyFill="1" applyBorder="1" applyAlignment="1" applyProtection="1">
      <alignment vertical="center" wrapText="1"/>
      <protection locked="0"/>
    </xf>
    <xf numFmtId="1" fontId="12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0" xfId="3" applyFill="1" applyAlignment="1">
      <alignment vertical="center"/>
    </xf>
    <xf numFmtId="0" fontId="7" fillId="2" borderId="0" xfId="3" applyFill="1" applyAlignment="1">
      <alignment horizontal="center" vertical="center"/>
    </xf>
    <xf numFmtId="15" fontId="7" fillId="2" borderId="0" xfId="3" applyNumberFormat="1" applyFill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wrapText="1"/>
    </xf>
    <xf numFmtId="0" fontId="6" fillId="2" borderId="4" xfId="3" applyFont="1" applyFill="1" applyBorder="1" applyAlignment="1">
      <alignment horizontal="center" vertical="center" wrapText="1"/>
    </xf>
    <xf numFmtId="0" fontId="7" fillId="2" borderId="0" xfId="3" applyFill="1" applyAlignment="1">
      <alignment horizontal="left" vertical="center"/>
    </xf>
    <xf numFmtId="0" fontId="8" fillId="2" borderId="0" xfId="3" applyFont="1" applyFill="1" applyAlignment="1">
      <alignment horizontal="left" vertical="center"/>
    </xf>
    <xf numFmtId="0" fontId="13" fillId="2" borderId="6" xfId="3" applyFont="1" applyFill="1" applyBorder="1" applyAlignment="1" applyProtection="1">
      <alignment horizontal="center" vertical="center" wrapText="1"/>
      <protection locked="0"/>
    </xf>
    <xf numFmtId="1" fontId="7" fillId="0" borderId="13" xfId="3" applyNumberFormat="1" applyFill="1" applyBorder="1" applyAlignment="1" applyProtection="1">
      <alignment horizontal="center" vertical="center" wrapText="1"/>
      <protection locked="0"/>
    </xf>
    <xf numFmtId="1" fontId="7" fillId="0" borderId="24" xfId="3" applyNumberFormat="1" applyFill="1" applyBorder="1" applyAlignment="1" applyProtection="1">
      <alignment horizontal="center" vertical="center" wrapText="1"/>
      <protection locked="0"/>
    </xf>
    <xf numFmtId="0" fontId="14" fillId="2" borderId="7" xfId="3" applyFont="1" applyFill="1" applyBorder="1" applyAlignment="1" applyProtection="1">
      <alignment vertical="center" wrapText="1"/>
      <protection locked="0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2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7" fillId="0" borderId="0" xfId="3" applyAlignment="1">
      <alignment horizontal="center" vertical="center"/>
    </xf>
    <xf numFmtId="15" fontId="7" fillId="2" borderId="41" xfId="3" applyNumberFormat="1" applyFill="1" applyBorder="1" applyAlignment="1">
      <alignment horizontal="center" vertical="center" wrapText="1"/>
    </xf>
    <xf numFmtId="0" fontId="6" fillId="0" borderId="33" xfId="3" applyFont="1" applyBorder="1" applyAlignment="1">
      <alignment horizontal="center" vertical="center" wrapText="1"/>
    </xf>
    <xf numFmtId="0" fontId="6" fillId="0" borderId="34" xfId="3" applyFont="1" applyBorder="1" applyAlignment="1">
      <alignment horizontal="center" vertical="center" wrapText="1"/>
    </xf>
    <xf numFmtId="0" fontId="6" fillId="2" borderId="35" xfId="3" applyFont="1" applyFill="1" applyBorder="1" applyAlignment="1">
      <alignment horizontal="center" vertical="center" wrapText="1"/>
    </xf>
    <xf numFmtId="0" fontId="6" fillId="2" borderId="36" xfId="3" applyFont="1" applyFill="1" applyBorder="1" applyAlignment="1">
      <alignment horizontal="center" vertical="center" wrapText="1"/>
    </xf>
    <xf numFmtId="0" fontId="6" fillId="2" borderId="37" xfId="3" applyFont="1" applyFill="1" applyBorder="1" applyAlignment="1">
      <alignment horizontal="center" vertical="center" wrapText="1"/>
    </xf>
    <xf numFmtId="0" fontId="6" fillId="2" borderId="38" xfId="3" applyFont="1" applyFill="1" applyBorder="1" applyAlignment="1">
      <alignment horizontal="center" vertical="center" wrapText="1"/>
    </xf>
    <xf numFmtId="0" fontId="15" fillId="0" borderId="33" xfId="3" applyFont="1" applyBorder="1" applyAlignment="1">
      <alignment horizontal="center" vertical="center" wrapText="1"/>
    </xf>
    <xf numFmtId="0" fontId="15" fillId="0" borderId="34" xfId="3" applyFont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39" xfId="3" applyFill="1" applyBorder="1" applyAlignment="1">
      <alignment horizontal="center" vertical="center" wrapText="1"/>
    </xf>
    <xf numFmtId="0" fontId="7" fillId="2" borderId="40" xfId="3" applyFill="1" applyBorder="1" applyAlignment="1">
      <alignment horizontal="center" vertical="center" wrapText="1"/>
    </xf>
    <xf numFmtId="0" fontId="7" fillId="2" borderId="26" xfId="3" applyFill="1" applyBorder="1" applyAlignment="1">
      <alignment horizontal="left" vertical="center" wrapText="1"/>
    </xf>
    <xf numFmtId="0" fontId="7" fillId="2" borderId="18" xfId="3" applyFill="1" applyBorder="1" applyAlignment="1">
      <alignment horizontal="left" vertical="center" wrapText="1"/>
    </xf>
    <xf numFmtId="0" fontId="7" fillId="2" borderId="30" xfId="3" applyFill="1" applyBorder="1" applyAlignment="1">
      <alignment horizontal="center" vertical="center" wrapText="1"/>
    </xf>
    <xf numFmtId="0" fontId="7" fillId="2" borderId="13" xfId="3" applyFill="1" applyBorder="1" applyAlignment="1">
      <alignment horizontal="center" vertical="center" wrapText="1"/>
    </xf>
    <xf numFmtId="0" fontId="7" fillId="2" borderId="9" xfId="3" applyFont="1" applyFill="1" applyBorder="1" applyAlignment="1">
      <alignment horizontal="center" vertical="center" wrapText="1"/>
    </xf>
    <xf numFmtId="0" fontId="7" fillId="2" borderId="32" xfId="3" applyFill="1" applyBorder="1" applyAlignment="1">
      <alignment horizontal="center" vertical="center" wrapText="1"/>
    </xf>
    <xf numFmtId="0" fontId="7" fillId="2" borderId="6" xfId="3" applyFill="1" applyBorder="1" applyAlignment="1">
      <alignment horizontal="center" vertical="center" wrapText="1"/>
    </xf>
    <xf numFmtId="0" fontId="7" fillId="2" borderId="28" xfId="3" applyFill="1" applyBorder="1" applyAlignment="1">
      <alignment horizontal="center" vertical="center" wrapText="1"/>
    </xf>
    <xf numFmtId="0" fontId="7" fillId="2" borderId="29" xfId="3" applyFill="1" applyBorder="1" applyAlignment="1">
      <alignment horizontal="left" vertical="center" wrapText="1"/>
    </xf>
    <xf numFmtId="0" fontId="7" fillId="2" borderId="30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>
      <alignment horizontal="center" vertical="center" wrapText="1"/>
    </xf>
    <xf numFmtId="1" fontId="7" fillId="2" borderId="6" xfId="3" applyNumberFormat="1" applyFill="1" applyBorder="1" applyAlignment="1">
      <alignment horizontal="center" vertical="center" wrapText="1"/>
    </xf>
    <xf numFmtId="1" fontId="7" fillId="2" borderId="15" xfId="3" applyNumberFormat="1" applyFill="1" applyBorder="1" applyAlignment="1">
      <alignment horizontal="center" vertical="center" wrapText="1"/>
    </xf>
    <xf numFmtId="0" fontId="7" fillId="2" borderId="27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</cellXfs>
  <cellStyles count="4">
    <cellStyle name="Euro" xfId="2"/>
    <cellStyle name="Normal" xfId="0" builtinId="0"/>
    <cellStyle name="Normal 2" xfId="3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6963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22007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A13" workbookViewId="0">
      <selection activeCell="L52" sqref="A1:L52"/>
    </sheetView>
  </sheetViews>
  <sheetFormatPr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7"/>
      <c r="F1" s="38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7"/>
      <c r="F2" s="38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7"/>
      <c r="F3" s="38"/>
      <c r="G3" s="38"/>
      <c r="H3" s="37"/>
      <c r="I3" s="37"/>
      <c r="J3" s="37"/>
      <c r="K3" s="38"/>
      <c r="L3" s="1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28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</row>
    <row r="6" spans="1:12" ht="3.75" customHeight="1" thickBot="1" x14ac:dyDescent="0.3">
      <c r="A6" s="2" t="s">
        <v>6</v>
      </c>
      <c r="B6" s="12"/>
      <c r="C6" s="13"/>
      <c r="D6" s="13"/>
      <c r="E6" s="13"/>
      <c r="F6" s="12"/>
      <c r="G6" s="12"/>
      <c r="H6" s="76"/>
      <c r="I6" s="76"/>
      <c r="J6" s="13"/>
      <c r="K6" s="39"/>
      <c r="L6" s="3"/>
    </row>
    <row r="7" spans="1:12" x14ac:dyDescent="0.25">
      <c r="A7" s="77" t="s">
        <v>7</v>
      </c>
      <c r="B7" s="79" t="s">
        <v>8</v>
      </c>
      <c r="C7" s="80"/>
      <c r="D7" s="80"/>
      <c r="E7" s="80"/>
      <c r="F7" s="81"/>
      <c r="G7" s="82" t="s">
        <v>9</v>
      </c>
      <c r="H7" s="80"/>
      <c r="I7" s="80"/>
      <c r="J7" s="80"/>
      <c r="K7" s="81"/>
      <c r="L7" s="83" t="s">
        <v>10</v>
      </c>
    </row>
    <row r="8" spans="1:12" ht="15.75" thickBot="1" x14ac:dyDescent="0.3">
      <c r="A8" s="78"/>
      <c r="B8" s="40" t="s">
        <v>11</v>
      </c>
      <c r="C8" s="41" t="s">
        <v>12</v>
      </c>
      <c r="D8" s="41" t="s">
        <v>13</v>
      </c>
      <c r="E8" s="41" t="s">
        <v>14</v>
      </c>
      <c r="F8" s="42" t="s">
        <v>15</v>
      </c>
      <c r="G8" s="43" t="s">
        <v>11</v>
      </c>
      <c r="H8" s="41" t="s">
        <v>12</v>
      </c>
      <c r="I8" s="41" t="s">
        <v>13</v>
      </c>
      <c r="J8" s="41" t="s">
        <v>14</v>
      </c>
      <c r="K8" s="42" t="s">
        <v>16</v>
      </c>
      <c r="L8" s="84"/>
    </row>
    <row r="9" spans="1:12" ht="15.75" thickBot="1" x14ac:dyDescent="0.3">
      <c r="A9" s="6">
        <v>1</v>
      </c>
      <c r="B9" s="20"/>
      <c r="C9" s="21"/>
      <c r="D9" s="21"/>
      <c r="E9" s="22"/>
      <c r="F9" s="19">
        <f>SUM(B9:E9)</f>
        <v>0</v>
      </c>
      <c r="G9" s="48"/>
      <c r="H9" s="31"/>
      <c r="I9" s="31"/>
      <c r="J9" s="31"/>
      <c r="K9" s="17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3"/>
      <c r="C10" s="24"/>
      <c r="D10" s="24"/>
      <c r="E10" s="25"/>
      <c r="F10" s="19">
        <f t="shared" ref="F10:F39" si="0">SUM(B10:E10)</f>
        <v>0</v>
      </c>
      <c r="G10" s="32"/>
      <c r="H10" s="24"/>
      <c r="I10" s="24">
        <v>1</v>
      </c>
      <c r="J10" s="24"/>
      <c r="K10" s="17">
        <f t="shared" ref="K10:K39" si="1">SUM(G10:J10)</f>
        <v>1</v>
      </c>
      <c r="L10" s="7">
        <f t="shared" ref="L10:L39" si="2">SUM(F10+K10)</f>
        <v>1</v>
      </c>
    </row>
    <row r="11" spans="1:12" ht="15.75" thickBot="1" x14ac:dyDescent="0.3">
      <c r="A11" s="8">
        <v>3</v>
      </c>
      <c r="B11" s="23"/>
      <c r="C11" s="24"/>
      <c r="D11" s="24"/>
      <c r="E11" s="26"/>
      <c r="F11" s="19">
        <f t="shared" si="0"/>
        <v>0</v>
      </c>
      <c r="G11" s="32"/>
      <c r="H11" s="24"/>
      <c r="I11" s="24"/>
      <c r="J11" s="24"/>
      <c r="K11" s="17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3"/>
      <c r="C12" s="24"/>
      <c r="D12" s="24">
        <v>1</v>
      </c>
      <c r="E12" s="25"/>
      <c r="F12" s="19">
        <f t="shared" si="0"/>
        <v>1</v>
      </c>
      <c r="G12" s="33"/>
      <c r="H12" s="24"/>
      <c r="I12" s="24"/>
      <c r="J12" s="24"/>
      <c r="K12" s="17">
        <f t="shared" si="1"/>
        <v>0</v>
      </c>
      <c r="L12" s="7">
        <f t="shared" si="2"/>
        <v>1</v>
      </c>
    </row>
    <row r="13" spans="1:12" ht="15.75" thickBot="1" x14ac:dyDescent="0.3">
      <c r="A13" s="8">
        <v>5</v>
      </c>
      <c r="B13" s="23"/>
      <c r="C13" s="24"/>
      <c r="D13" s="24">
        <v>2</v>
      </c>
      <c r="E13" s="25"/>
      <c r="F13" s="19">
        <f t="shared" si="0"/>
        <v>2</v>
      </c>
      <c r="G13" s="32">
        <v>2</v>
      </c>
      <c r="H13" s="24"/>
      <c r="I13" s="24"/>
      <c r="J13" s="24"/>
      <c r="K13" s="17">
        <f t="shared" si="1"/>
        <v>2</v>
      </c>
      <c r="L13" s="7">
        <f t="shared" si="2"/>
        <v>4</v>
      </c>
    </row>
    <row r="14" spans="1:12" ht="15.75" thickBot="1" x14ac:dyDescent="0.3">
      <c r="A14" s="8">
        <v>6</v>
      </c>
      <c r="B14" s="23"/>
      <c r="C14" s="24"/>
      <c r="D14" s="24"/>
      <c r="E14" s="25"/>
      <c r="F14" s="19">
        <f t="shared" si="0"/>
        <v>0</v>
      </c>
      <c r="G14" s="32"/>
      <c r="H14" s="24"/>
      <c r="I14" s="24"/>
      <c r="J14" s="24"/>
      <c r="K14" s="17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3"/>
      <c r="C15" s="24"/>
      <c r="D15" s="24"/>
      <c r="E15" s="25"/>
      <c r="F15" s="19">
        <f t="shared" si="0"/>
        <v>0</v>
      </c>
      <c r="G15" s="32"/>
      <c r="H15" s="24"/>
      <c r="I15" s="24"/>
      <c r="J15" s="24"/>
      <c r="K15" s="17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3">
        <v>3</v>
      </c>
      <c r="C16" s="24"/>
      <c r="D16" s="24"/>
      <c r="E16" s="25"/>
      <c r="F16" s="19">
        <f t="shared" si="0"/>
        <v>3</v>
      </c>
      <c r="G16" s="32">
        <v>1</v>
      </c>
      <c r="H16" s="24"/>
      <c r="I16" s="24"/>
      <c r="J16" s="24"/>
      <c r="K16" s="17">
        <f t="shared" si="1"/>
        <v>1</v>
      </c>
      <c r="L16" s="7">
        <f t="shared" si="2"/>
        <v>4</v>
      </c>
    </row>
    <row r="17" spans="1:12" ht="15.75" thickBot="1" x14ac:dyDescent="0.3">
      <c r="A17" s="8">
        <v>9</v>
      </c>
      <c r="B17" s="23"/>
      <c r="C17" s="24"/>
      <c r="D17" s="24"/>
      <c r="E17" s="25"/>
      <c r="F17" s="19">
        <f t="shared" si="0"/>
        <v>0</v>
      </c>
      <c r="G17" s="32">
        <v>1</v>
      </c>
      <c r="H17" s="24"/>
      <c r="I17" s="24"/>
      <c r="J17" s="24"/>
      <c r="K17" s="17">
        <f t="shared" si="1"/>
        <v>1</v>
      </c>
      <c r="L17" s="7">
        <f t="shared" si="2"/>
        <v>1</v>
      </c>
    </row>
    <row r="18" spans="1:12" ht="15.75" thickBot="1" x14ac:dyDescent="0.3">
      <c r="A18" s="8">
        <v>10</v>
      </c>
      <c r="B18" s="23">
        <v>1</v>
      </c>
      <c r="C18" s="24">
        <v>1</v>
      </c>
      <c r="D18" s="24"/>
      <c r="E18" s="25"/>
      <c r="F18" s="19">
        <f t="shared" si="0"/>
        <v>2</v>
      </c>
      <c r="G18" s="34">
        <v>1</v>
      </c>
      <c r="H18" s="24"/>
      <c r="I18" s="24"/>
      <c r="J18" s="24"/>
      <c r="K18" s="17">
        <f t="shared" si="1"/>
        <v>1</v>
      </c>
      <c r="L18" s="7">
        <f t="shared" si="2"/>
        <v>3</v>
      </c>
    </row>
    <row r="19" spans="1:12" ht="15.75" thickBot="1" x14ac:dyDescent="0.3">
      <c r="A19" s="8">
        <v>11</v>
      </c>
      <c r="B19" s="23"/>
      <c r="C19" s="24"/>
      <c r="D19" s="24"/>
      <c r="E19" s="25"/>
      <c r="F19" s="19">
        <f t="shared" si="0"/>
        <v>0</v>
      </c>
      <c r="G19" s="32"/>
      <c r="H19" s="24"/>
      <c r="I19" s="24"/>
      <c r="J19" s="24"/>
      <c r="K19" s="17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3"/>
      <c r="C20" s="24"/>
      <c r="D20" s="24"/>
      <c r="E20" s="25"/>
      <c r="F20" s="19">
        <f t="shared" si="0"/>
        <v>0</v>
      </c>
      <c r="G20" s="32"/>
      <c r="H20" s="35"/>
      <c r="I20" s="35"/>
      <c r="J20" s="35"/>
      <c r="K20" s="17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3"/>
      <c r="C21" s="24"/>
      <c r="D21" s="24"/>
      <c r="E21" s="25"/>
      <c r="F21" s="19">
        <f t="shared" si="0"/>
        <v>0</v>
      </c>
      <c r="G21" s="36"/>
      <c r="H21" s="24"/>
      <c r="I21" s="24"/>
      <c r="J21" s="24"/>
      <c r="K21" s="17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3"/>
      <c r="C22" s="24"/>
      <c r="D22" s="24"/>
      <c r="E22" s="25"/>
      <c r="F22" s="19">
        <f t="shared" si="0"/>
        <v>0</v>
      </c>
      <c r="G22" s="36"/>
      <c r="H22" s="24"/>
      <c r="I22" s="24"/>
      <c r="J22" s="24"/>
      <c r="K22" s="17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3"/>
      <c r="C23" s="24"/>
      <c r="D23" s="24"/>
      <c r="E23" s="25"/>
      <c r="F23" s="19">
        <f t="shared" si="0"/>
        <v>0</v>
      </c>
      <c r="G23" s="32"/>
      <c r="H23" s="24"/>
      <c r="I23" s="24"/>
      <c r="J23" s="24"/>
      <c r="K23" s="17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3"/>
      <c r="C24" s="24"/>
      <c r="D24" s="24"/>
      <c r="E24" s="25"/>
      <c r="F24" s="19">
        <f t="shared" si="0"/>
        <v>0</v>
      </c>
      <c r="G24" s="32"/>
      <c r="H24" s="24"/>
      <c r="I24" s="24"/>
      <c r="J24" s="24"/>
      <c r="K24" s="17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3"/>
      <c r="C25" s="49"/>
      <c r="D25" s="27"/>
      <c r="E25" s="25"/>
      <c r="F25" s="19">
        <f t="shared" si="0"/>
        <v>0</v>
      </c>
      <c r="G25" s="32"/>
      <c r="H25" s="24"/>
      <c r="I25" s="24"/>
      <c r="J25" s="24"/>
      <c r="K25" s="17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3"/>
      <c r="C26" s="24"/>
      <c r="D26" s="24"/>
      <c r="E26" s="25"/>
      <c r="F26" s="19">
        <f t="shared" si="0"/>
        <v>0</v>
      </c>
      <c r="G26" s="32"/>
      <c r="H26" s="24"/>
      <c r="I26" s="24"/>
      <c r="J26" s="24"/>
      <c r="K26" s="17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3"/>
      <c r="C27" s="24"/>
      <c r="D27" s="24"/>
      <c r="E27" s="25"/>
      <c r="F27" s="19">
        <f t="shared" si="0"/>
        <v>0</v>
      </c>
      <c r="G27" s="32">
        <v>1</v>
      </c>
      <c r="H27" s="24"/>
      <c r="I27" s="24"/>
      <c r="J27" s="24"/>
      <c r="K27" s="17">
        <f t="shared" si="1"/>
        <v>1</v>
      </c>
      <c r="L27" s="7">
        <f t="shared" si="2"/>
        <v>1</v>
      </c>
    </row>
    <row r="28" spans="1:12" ht="15.75" thickBot="1" x14ac:dyDescent="0.3">
      <c r="A28" s="8">
        <v>20</v>
      </c>
      <c r="B28" s="23"/>
      <c r="C28" s="24"/>
      <c r="D28" s="24"/>
      <c r="E28" s="25"/>
      <c r="F28" s="19">
        <f t="shared" si="0"/>
        <v>0</v>
      </c>
      <c r="G28" s="32"/>
      <c r="H28" s="24"/>
      <c r="I28" s="24"/>
      <c r="J28" s="24"/>
      <c r="K28" s="17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3"/>
      <c r="C29" s="24"/>
      <c r="D29" s="24"/>
      <c r="E29" s="25"/>
      <c r="F29" s="19">
        <f t="shared" si="0"/>
        <v>0</v>
      </c>
      <c r="G29" s="32"/>
      <c r="H29" s="24"/>
      <c r="I29" s="24"/>
      <c r="J29" s="24"/>
      <c r="K29" s="17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3"/>
      <c r="C30" s="24"/>
      <c r="D30" s="24"/>
      <c r="E30" s="25"/>
      <c r="F30" s="19">
        <f t="shared" si="0"/>
        <v>0</v>
      </c>
      <c r="G30" s="32"/>
      <c r="H30" s="24"/>
      <c r="I30" s="24"/>
      <c r="J30" s="24"/>
      <c r="K30" s="17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3"/>
      <c r="C31" s="24"/>
      <c r="D31" s="24"/>
      <c r="E31" s="25"/>
      <c r="F31" s="19">
        <f t="shared" si="0"/>
        <v>0</v>
      </c>
      <c r="G31" s="32">
        <v>5</v>
      </c>
      <c r="H31" s="24"/>
      <c r="I31" s="24"/>
      <c r="J31" s="24"/>
      <c r="K31" s="17">
        <f t="shared" si="1"/>
        <v>5</v>
      </c>
      <c r="L31" s="7">
        <f t="shared" si="2"/>
        <v>5</v>
      </c>
    </row>
    <row r="32" spans="1:12" ht="15.75" thickBot="1" x14ac:dyDescent="0.3">
      <c r="A32" s="8">
        <v>24</v>
      </c>
      <c r="B32" s="23"/>
      <c r="C32" s="24"/>
      <c r="D32" s="24"/>
      <c r="E32" s="25"/>
      <c r="F32" s="19">
        <f t="shared" si="0"/>
        <v>0</v>
      </c>
      <c r="G32" s="32"/>
      <c r="H32" s="24"/>
      <c r="I32" s="24"/>
      <c r="J32" s="24"/>
      <c r="K32" s="17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3"/>
      <c r="C33" s="24"/>
      <c r="D33" s="24"/>
      <c r="E33" s="25"/>
      <c r="F33" s="19">
        <f t="shared" si="0"/>
        <v>0</v>
      </c>
      <c r="G33" s="32"/>
      <c r="H33" s="24"/>
      <c r="I33" s="24"/>
      <c r="J33" s="24"/>
      <c r="K33" s="17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3"/>
      <c r="C34" s="24"/>
      <c r="D34" s="24"/>
      <c r="E34" s="25"/>
      <c r="F34" s="19">
        <f t="shared" si="0"/>
        <v>0</v>
      </c>
      <c r="G34" s="32">
        <v>1</v>
      </c>
      <c r="H34" s="24"/>
      <c r="I34" s="24"/>
      <c r="J34" s="24"/>
      <c r="K34" s="17">
        <f t="shared" si="1"/>
        <v>1</v>
      </c>
      <c r="L34" s="7">
        <f t="shared" si="2"/>
        <v>1</v>
      </c>
    </row>
    <row r="35" spans="1:12" ht="15.75" thickBot="1" x14ac:dyDescent="0.3">
      <c r="A35" s="8">
        <v>27</v>
      </c>
      <c r="B35" s="46"/>
      <c r="C35" s="24"/>
      <c r="D35" s="24"/>
      <c r="E35" s="25"/>
      <c r="F35" s="19">
        <f t="shared" si="0"/>
        <v>0</v>
      </c>
      <c r="G35" s="47"/>
      <c r="H35" s="24"/>
      <c r="I35" s="24"/>
      <c r="J35" s="24"/>
      <c r="K35" s="17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3"/>
      <c r="C36" s="24"/>
      <c r="D36" s="24"/>
      <c r="E36" s="25"/>
      <c r="F36" s="19">
        <f t="shared" si="0"/>
        <v>0</v>
      </c>
      <c r="G36" s="32"/>
      <c r="H36" s="24"/>
      <c r="I36" s="24"/>
      <c r="J36" s="24"/>
      <c r="K36" s="17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3"/>
      <c r="C37" s="24"/>
      <c r="D37" s="24"/>
      <c r="E37" s="25"/>
      <c r="F37" s="19">
        <f t="shared" si="0"/>
        <v>0</v>
      </c>
      <c r="G37" s="32">
        <v>5</v>
      </c>
      <c r="H37" s="24"/>
      <c r="I37" s="24"/>
      <c r="J37" s="24"/>
      <c r="K37" s="17">
        <f t="shared" si="1"/>
        <v>5</v>
      </c>
      <c r="L37" s="7">
        <f t="shared" si="2"/>
        <v>5</v>
      </c>
    </row>
    <row r="38" spans="1:12" ht="15.75" thickBot="1" x14ac:dyDescent="0.3">
      <c r="A38" s="8">
        <v>30</v>
      </c>
      <c r="B38" s="23"/>
      <c r="C38" s="24"/>
      <c r="D38" s="24"/>
      <c r="E38" s="25"/>
      <c r="F38" s="19">
        <f t="shared" si="0"/>
        <v>0</v>
      </c>
      <c r="G38" s="32"/>
      <c r="H38" s="24"/>
      <c r="I38" s="24"/>
      <c r="J38" s="24"/>
      <c r="K38" s="17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8"/>
      <c r="C39" s="29"/>
      <c r="D39" s="29"/>
      <c r="E39" s="30"/>
      <c r="F39" s="19">
        <f t="shared" si="0"/>
        <v>0</v>
      </c>
      <c r="G39" s="32"/>
      <c r="H39" s="24"/>
      <c r="I39" s="24"/>
      <c r="J39" s="24"/>
      <c r="K39" s="17">
        <f t="shared" si="1"/>
        <v>0</v>
      </c>
      <c r="L39" s="7">
        <f t="shared" si="2"/>
        <v>0</v>
      </c>
    </row>
    <row r="40" spans="1:12" ht="15.75" thickBot="1" x14ac:dyDescent="0.3">
      <c r="A40" s="10"/>
      <c r="B40" s="11">
        <f>SUM(B9:B39)</f>
        <v>4</v>
      </c>
      <c r="C40" s="11">
        <f t="shared" ref="C40:E40" si="3">SUM(C9:C39)</f>
        <v>1</v>
      </c>
      <c r="D40" s="11">
        <f t="shared" si="3"/>
        <v>3</v>
      </c>
      <c r="E40" s="11">
        <f t="shared" si="3"/>
        <v>0</v>
      </c>
      <c r="F40" s="16">
        <f>SUM(F9:F39)</f>
        <v>8</v>
      </c>
      <c r="G40" s="18">
        <f>SUM(G9:G39)</f>
        <v>17</v>
      </c>
      <c r="H40" s="18">
        <f t="shared" ref="H40:L40" si="4">SUM(H9:H39)</f>
        <v>0</v>
      </c>
      <c r="I40" s="18">
        <f t="shared" si="4"/>
        <v>1</v>
      </c>
      <c r="J40" s="18">
        <f t="shared" si="4"/>
        <v>0</v>
      </c>
      <c r="K40" s="18">
        <f t="shared" si="4"/>
        <v>18</v>
      </c>
      <c r="L40" s="18">
        <f t="shared" si="4"/>
        <v>26</v>
      </c>
    </row>
    <row r="41" spans="1:12" ht="15.75" thickBot="1" x14ac:dyDescent="0.3">
      <c r="A41" s="12"/>
      <c r="B41" s="12"/>
      <c r="C41" s="13"/>
      <c r="D41" s="13"/>
      <c r="E41" s="13"/>
      <c r="F41" s="12"/>
      <c r="G41" s="12"/>
      <c r="H41" s="13"/>
      <c r="I41" s="13"/>
      <c r="J41" s="13"/>
      <c r="K41" s="12"/>
      <c r="L41" s="14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2"/>
      <c r="L42" s="14"/>
    </row>
    <row r="43" spans="1:12" ht="15.75" thickBot="1" x14ac:dyDescent="0.3">
      <c r="A43" s="15"/>
      <c r="B43" s="89" t="s">
        <v>19</v>
      </c>
      <c r="C43" s="90"/>
      <c r="D43" s="90"/>
      <c r="E43" s="90"/>
      <c r="F43" s="90"/>
      <c r="G43" s="91">
        <v>66</v>
      </c>
      <c r="H43" s="92"/>
      <c r="I43" s="93"/>
      <c r="J43" s="94"/>
      <c r="K43" s="12"/>
      <c r="L43" s="14"/>
    </row>
    <row r="44" spans="1:12" ht="15.75" thickBot="1" x14ac:dyDescent="0.3">
      <c r="A44" s="15"/>
      <c r="B44" s="89" t="s">
        <v>20</v>
      </c>
      <c r="C44" s="90"/>
      <c r="D44" s="90"/>
      <c r="E44" s="90"/>
      <c r="F44" s="90"/>
      <c r="G44" s="95">
        <v>10</v>
      </c>
      <c r="H44" s="96"/>
      <c r="I44" s="95"/>
      <c r="J44" s="96"/>
      <c r="K44" s="12"/>
      <c r="L44" s="14"/>
    </row>
    <row r="45" spans="1:12" ht="15.75" thickBot="1" x14ac:dyDescent="0.3">
      <c r="A45" s="15"/>
      <c r="B45" s="97" t="s">
        <v>21</v>
      </c>
      <c r="C45" s="97"/>
      <c r="D45" s="97"/>
      <c r="E45" s="97"/>
      <c r="F45" s="89"/>
      <c r="G45" s="98">
        <v>6</v>
      </c>
      <c r="H45" s="99"/>
      <c r="I45" s="91"/>
      <c r="J45" s="100"/>
      <c r="K45" s="12"/>
      <c r="L45" s="14"/>
    </row>
    <row r="46" spans="1:12" ht="15.75" thickBot="1" x14ac:dyDescent="0.3">
      <c r="A46" s="15"/>
      <c r="B46" s="89" t="s">
        <v>22</v>
      </c>
      <c r="C46" s="90"/>
      <c r="D46" s="90"/>
      <c r="E46" s="90"/>
      <c r="F46" s="90"/>
      <c r="G46" s="101">
        <f>L40+G45</f>
        <v>32</v>
      </c>
      <c r="H46" s="96"/>
      <c r="I46" s="95"/>
      <c r="J46" s="96"/>
      <c r="K46" s="12"/>
      <c r="L46" s="14"/>
    </row>
    <row r="47" spans="1:12" ht="15.75" thickBot="1" x14ac:dyDescent="0.3">
      <c r="A47" s="4"/>
      <c r="B47" s="89" t="s">
        <v>23</v>
      </c>
      <c r="C47" s="90"/>
      <c r="D47" s="90"/>
      <c r="E47" s="90"/>
      <c r="F47" s="90"/>
      <c r="G47" s="101">
        <f>G43+G44-G46</f>
        <v>44</v>
      </c>
      <c r="H47" s="96"/>
      <c r="I47" s="95"/>
      <c r="J47" s="96"/>
      <c r="K47" s="12"/>
      <c r="L47" s="3"/>
    </row>
    <row r="48" spans="1:12" ht="15.75" thickBot="1" x14ac:dyDescent="0.3">
      <c r="A48" s="4"/>
      <c r="B48" s="89" t="s">
        <v>24</v>
      </c>
      <c r="C48" s="90"/>
      <c r="D48" s="90"/>
      <c r="E48" s="90"/>
      <c r="F48" s="90"/>
      <c r="G48" s="95">
        <v>43</v>
      </c>
      <c r="H48" s="96"/>
      <c r="I48" s="95"/>
      <c r="J48" s="96"/>
      <c r="K48" s="12"/>
      <c r="L48" s="3"/>
    </row>
    <row r="49" spans="1:12" ht="15.75" thickBot="1" x14ac:dyDescent="0.3">
      <c r="A49" s="4"/>
      <c r="B49" s="89" t="s">
        <v>25</v>
      </c>
      <c r="C49" s="90"/>
      <c r="D49" s="90"/>
      <c r="E49" s="90"/>
      <c r="F49" s="90"/>
      <c r="G49" s="102">
        <f>G47-G48</f>
        <v>1</v>
      </c>
      <c r="H49" s="103"/>
      <c r="I49" s="104"/>
      <c r="J49" s="103"/>
      <c r="K49" s="12"/>
      <c r="L49" s="3"/>
    </row>
    <row r="50" spans="1:12" x14ac:dyDescent="0.25">
      <c r="A50" s="5" t="s">
        <v>26</v>
      </c>
      <c r="B50" s="38"/>
      <c r="C50" s="44"/>
      <c r="D50" s="44"/>
      <c r="E50" s="44"/>
      <c r="F50" s="38"/>
      <c r="G50" s="38"/>
      <c r="H50" s="44"/>
      <c r="I50" s="45" t="s">
        <v>27</v>
      </c>
      <c r="J50" s="44"/>
      <c r="K50" s="38"/>
      <c r="L50" s="1"/>
    </row>
    <row r="52" spans="1:12" x14ac:dyDescent="0.25">
      <c r="B52" t="s">
        <v>29</v>
      </c>
    </row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workbookViewId="0">
      <selection activeCell="L53" sqref="A1:L53"/>
    </sheetView>
  </sheetViews>
  <sheetFormatPr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7"/>
      <c r="F1" s="38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7"/>
      <c r="F2" s="38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7"/>
      <c r="F3" s="38"/>
      <c r="G3" s="38"/>
      <c r="H3" s="37"/>
      <c r="I3" s="37"/>
      <c r="J3" s="37"/>
      <c r="K3" s="38"/>
      <c r="L3" s="1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30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</row>
    <row r="6" spans="1:12" ht="3.75" customHeight="1" thickBot="1" x14ac:dyDescent="0.3">
      <c r="A6" s="2" t="s">
        <v>6</v>
      </c>
      <c r="B6" s="12"/>
      <c r="C6" s="13"/>
      <c r="D6" s="13"/>
      <c r="E6" s="13"/>
      <c r="F6" s="12"/>
      <c r="G6" s="12"/>
      <c r="H6" s="76"/>
      <c r="I6" s="76"/>
      <c r="J6" s="13"/>
      <c r="K6" s="39"/>
      <c r="L6" s="3"/>
    </row>
    <row r="7" spans="1:12" x14ac:dyDescent="0.25">
      <c r="A7" s="77" t="s">
        <v>7</v>
      </c>
      <c r="B7" s="79" t="s">
        <v>8</v>
      </c>
      <c r="C7" s="80"/>
      <c r="D7" s="80"/>
      <c r="E7" s="80"/>
      <c r="F7" s="81"/>
      <c r="G7" s="82" t="s">
        <v>9</v>
      </c>
      <c r="H7" s="80"/>
      <c r="I7" s="80"/>
      <c r="J7" s="80"/>
      <c r="K7" s="81"/>
      <c r="L7" s="83" t="s">
        <v>10</v>
      </c>
    </row>
    <row r="8" spans="1:12" ht="15.75" thickBot="1" x14ac:dyDescent="0.3">
      <c r="A8" s="78"/>
      <c r="B8" s="40" t="s">
        <v>11</v>
      </c>
      <c r="C8" s="41" t="s">
        <v>12</v>
      </c>
      <c r="D8" s="41" t="s">
        <v>13</v>
      </c>
      <c r="E8" s="41" t="s">
        <v>14</v>
      </c>
      <c r="F8" s="42" t="s">
        <v>15</v>
      </c>
      <c r="G8" s="43" t="s">
        <v>11</v>
      </c>
      <c r="H8" s="41" t="s">
        <v>12</v>
      </c>
      <c r="I8" s="41" t="s">
        <v>13</v>
      </c>
      <c r="J8" s="41" t="s">
        <v>14</v>
      </c>
      <c r="K8" s="42" t="s">
        <v>16</v>
      </c>
      <c r="L8" s="84"/>
    </row>
    <row r="9" spans="1:12" ht="15.75" thickBot="1" x14ac:dyDescent="0.3">
      <c r="A9" s="6">
        <v>1</v>
      </c>
      <c r="B9" s="20"/>
      <c r="C9" s="21"/>
      <c r="D9" s="21"/>
      <c r="E9" s="22"/>
      <c r="F9" s="19">
        <f>SUM(B9:E9)</f>
        <v>0</v>
      </c>
      <c r="G9" s="48">
        <v>1</v>
      </c>
      <c r="H9" s="31"/>
      <c r="I9" s="31"/>
      <c r="J9" s="31"/>
      <c r="K9" s="17">
        <f>SUM(G9:J9)</f>
        <v>1</v>
      </c>
      <c r="L9" s="7">
        <f>SUM(F9+K9)</f>
        <v>1</v>
      </c>
    </row>
    <row r="10" spans="1:12" ht="15.75" thickBot="1" x14ac:dyDescent="0.3">
      <c r="A10" s="8">
        <v>2</v>
      </c>
      <c r="B10" s="23"/>
      <c r="C10" s="24"/>
      <c r="D10" s="24"/>
      <c r="E10" s="25"/>
      <c r="F10" s="19">
        <f t="shared" ref="F10:F39" si="0">SUM(B10:E10)</f>
        <v>0</v>
      </c>
      <c r="G10" s="32"/>
      <c r="H10" s="24"/>
      <c r="I10" s="24"/>
      <c r="J10" s="24"/>
      <c r="K10" s="17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3"/>
      <c r="C11" s="24"/>
      <c r="D11" s="24"/>
      <c r="E11" s="26"/>
      <c r="F11" s="19">
        <f t="shared" si="0"/>
        <v>0</v>
      </c>
      <c r="G11" s="32"/>
      <c r="H11" s="24"/>
      <c r="I11" s="24"/>
      <c r="J11" s="24"/>
      <c r="K11" s="17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3"/>
      <c r="C12" s="24"/>
      <c r="D12" s="24"/>
      <c r="E12" s="25"/>
      <c r="F12" s="19">
        <f t="shared" si="0"/>
        <v>0</v>
      </c>
      <c r="G12" s="33"/>
      <c r="H12" s="24"/>
      <c r="I12" s="24"/>
      <c r="J12" s="24"/>
      <c r="K12" s="17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3"/>
      <c r="C13" s="24"/>
      <c r="D13" s="24"/>
      <c r="E13" s="25"/>
      <c r="F13" s="19">
        <f t="shared" si="0"/>
        <v>0</v>
      </c>
      <c r="G13" s="32"/>
      <c r="H13" s="24"/>
      <c r="I13" s="24"/>
      <c r="J13" s="24"/>
      <c r="K13" s="17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3"/>
      <c r="C14" s="24"/>
      <c r="D14" s="24"/>
      <c r="E14" s="25"/>
      <c r="F14" s="19">
        <f t="shared" si="0"/>
        <v>0</v>
      </c>
      <c r="G14" s="32"/>
      <c r="H14" s="24"/>
      <c r="I14" s="24"/>
      <c r="J14" s="24"/>
      <c r="K14" s="17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3"/>
      <c r="C15" s="24"/>
      <c r="D15" s="24"/>
      <c r="E15" s="25"/>
      <c r="F15" s="19">
        <f t="shared" si="0"/>
        <v>0</v>
      </c>
      <c r="G15" s="32"/>
      <c r="H15" s="24"/>
      <c r="I15" s="24"/>
      <c r="J15" s="24">
        <v>1</v>
      </c>
      <c r="K15" s="17">
        <f t="shared" si="1"/>
        <v>1</v>
      </c>
      <c r="L15" s="7">
        <f t="shared" si="2"/>
        <v>1</v>
      </c>
    </row>
    <row r="16" spans="1:12" ht="15.75" thickBot="1" x14ac:dyDescent="0.3">
      <c r="A16" s="8">
        <v>8</v>
      </c>
      <c r="B16" s="23"/>
      <c r="C16" s="24"/>
      <c r="D16" s="24"/>
      <c r="E16" s="25"/>
      <c r="F16" s="19">
        <f t="shared" si="0"/>
        <v>0</v>
      </c>
      <c r="G16" s="32"/>
      <c r="H16" s="24"/>
      <c r="I16" s="24"/>
      <c r="J16" s="24"/>
      <c r="K16" s="17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3"/>
      <c r="C17" s="24"/>
      <c r="D17" s="24"/>
      <c r="E17" s="25"/>
      <c r="F17" s="19">
        <f t="shared" si="0"/>
        <v>0</v>
      </c>
      <c r="G17" s="32"/>
      <c r="H17" s="24"/>
      <c r="I17" s="24"/>
      <c r="J17" s="24"/>
      <c r="K17" s="17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3"/>
      <c r="C18" s="24"/>
      <c r="D18" s="24"/>
      <c r="E18" s="25"/>
      <c r="F18" s="19">
        <f t="shared" si="0"/>
        <v>0</v>
      </c>
      <c r="G18" s="34"/>
      <c r="H18" s="24"/>
      <c r="I18" s="24"/>
      <c r="J18" s="24"/>
      <c r="K18" s="17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3"/>
      <c r="C19" s="24"/>
      <c r="D19" s="24"/>
      <c r="E19" s="25"/>
      <c r="F19" s="19">
        <f t="shared" si="0"/>
        <v>0</v>
      </c>
      <c r="G19" s="32"/>
      <c r="H19" s="24"/>
      <c r="I19" s="24"/>
      <c r="J19" s="24"/>
      <c r="K19" s="17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3"/>
      <c r="C20" s="24"/>
      <c r="D20" s="24"/>
      <c r="E20" s="25"/>
      <c r="F20" s="19">
        <f t="shared" si="0"/>
        <v>0</v>
      </c>
      <c r="G20" s="32"/>
      <c r="H20" s="35"/>
      <c r="I20" s="35"/>
      <c r="J20" s="35"/>
      <c r="K20" s="17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3"/>
      <c r="C21" s="24"/>
      <c r="D21" s="24"/>
      <c r="E21" s="25"/>
      <c r="F21" s="19">
        <f t="shared" si="0"/>
        <v>0</v>
      </c>
      <c r="G21" s="36"/>
      <c r="H21" s="24"/>
      <c r="I21" s="24"/>
      <c r="J21" s="24"/>
      <c r="K21" s="17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3">
        <v>1</v>
      </c>
      <c r="C22" s="24"/>
      <c r="D22" s="24"/>
      <c r="E22" s="25"/>
      <c r="F22" s="19">
        <f t="shared" si="0"/>
        <v>1</v>
      </c>
      <c r="G22" s="36"/>
      <c r="H22" s="24"/>
      <c r="I22" s="24"/>
      <c r="J22" s="24"/>
      <c r="K22" s="17">
        <f t="shared" si="1"/>
        <v>0</v>
      </c>
      <c r="L22" s="7">
        <f t="shared" si="2"/>
        <v>1</v>
      </c>
    </row>
    <row r="23" spans="1:12" ht="15.75" thickBot="1" x14ac:dyDescent="0.3">
      <c r="A23" s="8">
        <v>15</v>
      </c>
      <c r="B23" s="23">
        <v>1</v>
      </c>
      <c r="C23" s="24"/>
      <c r="D23" s="24"/>
      <c r="E23" s="25"/>
      <c r="F23" s="19">
        <f t="shared" si="0"/>
        <v>1</v>
      </c>
      <c r="G23" s="32"/>
      <c r="H23" s="24"/>
      <c r="I23" s="24"/>
      <c r="J23" s="24"/>
      <c r="K23" s="17">
        <f t="shared" si="1"/>
        <v>0</v>
      </c>
      <c r="L23" s="7">
        <f t="shared" si="2"/>
        <v>1</v>
      </c>
    </row>
    <row r="24" spans="1:12" ht="15.75" thickBot="1" x14ac:dyDescent="0.3">
      <c r="A24" s="8">
        <v>16</v>
      </c>
      <c r="B24" s="23"/>
      <c r="C24" s="24"/>
      <c r="D24" s="24"/>
      <c r="E24" s="25"/>
      <c r="F24" s="19">
        <f t="shared" si="0"/>
        <v>0</v>
      </c>
      <c r="G24" s="32"/>
      <c r="H24" s="24"/>
      <c r="I24" s="24"/>
      <c r="J24" s="24"/>
      <c r="K24" s="17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3"/>
      <c r="C25" s="49"/>
      <c r="D25" s="27"/>
      <c r="E25" s="25"/>
      <c r="F25" s="19">
        <f t="shared" si="0"/>
        <v>0</v>
      </c>
      <c r="G25" s="32"/>
      <c r="H25" s="24"/>
      <c r="I25" s="24"/>
      <c r="J25" s="24"/>
      <c r="K25" s="17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3"/>
      <c r="C26" s="24"/>
      <c r="D26" s="24"/>
      <c r="E26" s="25"/>
      <c r="F26" s="19">
        <f t="shared" si="0"/>
        <v>0</v>
      </c>
      <c r="G26" s="32"/>
      <c r="H26" s="24"/>
      <c r="I26" s="24"/>
      <c r="J26" s="24"/>
      <c r="K26" s="17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3"/>
      <c r="C27" s="24"/>
      <c r="D27" s="24"/>
      <c r="E27" s="25"/>
      <c r="F27" s="19">
        <f t="shared" si="0"/>
        <v>0</v>
      </c>
      <c r="G27" s="32"/>
      <c r="H27" s="24"/>
      <c r="I27" s="24"/>
      <c r="J27" s="24"/>
      <c r="K27" s="17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3">
        <v>2</v>
      </c>
      <c r="C28" s="24"/>
      <c r="D28" s="24"/>
      <c r="E28" s="25"/>
      <c r="F28" s="19">
        <f t="shared" si="0"/>
        <v>2</v>
      </c>
      <c r="G28" s="32"/>
      <c r="H28" s="24"/>
      <c r="I28" s="24"/>
      <c r="J28" s="24"/>
      <c r="K28" s="17">
        <f t="shared" si="1"/>
        <v>0</v>
      </c>
      <c r="L28" s="7">
        <f t="shared" si="2"/>
        <v>2</v>
      </c>
    </row>
    <row r="29" spans="1:12" ht="15.75" thickBot="1" x14ac:dyDescent="0.3">
      <c r="A29" s="8">
        <v>21</v>
      </c>
      <c r="B29" s="23"/>
      <c r="C29" s="24"/>
      <c r="D29" s="24"/>
      <c r="E29" s="25"/>
      <c r="F29" s="19">
        <f t="shared" si="0"/>
        <v>0</v>
      </c>
      <c r="G29" s="32"/>
      <c r="H29" s="24"/>
      <c r="I29" s="24"/>
      <c r="J29" s="24"/>
      <c r="K29" s="17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3">
        <v>2</v>
      </c>
      <c r="C30" s="24"/>
      <c r="D30" s="24"/>
      <c r="E30" s="25"/>
      <c r="F30" s="19">
        <f t="shared" si="0"/>
        <v>2</v>
      </c>
      <c r="G30" s="32">
        <v>1</v>
      </c>
      <c r="H30" s="24">
        <v>1</v>
      </c>
      <c r="I30" s="24"/>
      <c r="J30" s="24"/>
      <c r="K30" s="17">
        <f t="shared" si="1"/>
        <v>2</v>
      </c>
      <c r="L30" s="7">
        <f t="shared" si="2"/>
        <v>4</v>
      </c>
    </row>
    <row r="31" spans="1:12" ht="15.75" thickBot="1" x14ac:dyDescent="0.3">
      <c r="A31" s="8">
        <v>23</v>
      </c>
      <c r="B31" s="23"/>
      <c r="C31" s="24"/>
      <c r="D31" s="24"/>
      <c r="E31" s="25"/>
      <c r="F31" s="19">
        <f t="shared" si="0"/>
        <v>0</v>
      </c>
      <c r="G31" s="32"/>
      <c r="H31" s="24"/>
      <c r="I31" s="24"/>
      <c r="J31" s="24"/>
      <c r="K31" s="17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3"/>
      <c r="C32" s="24"/>
      <c r="D32" s="24"/>
      <c r="E32" s="25"/>
      <c r="F32" s="19">
        <f t="shared" si="0"/>
        <v>0</v>
      </c>
      <c r="G32" s="32"/>
      <c r="H32" s="24"/>
      <c r="I32" s="24"/>
      <c r="J32" s="24"/>
      <c r="K32" s="17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3"/>
      <c r="C33" s="24"/>
      <c r="D33" s="24"/>
      <c r="E33" s="25"/>
      <c r="F33" s="19">
        <f t="shared" si="0"/>
        <v>0</v>
      </c>
      <c r="G33" s="32"/>
      <c r="H33" s="24"/>
      <c r="I33" s="24"/>
      <c r="J33" s="24"/>
      <c r="K33" s="17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3"/>
      <c r="C34" s="24"/>
      <c r="D34" s="24"/>
      <c r="E34" s="25"/>
      <c r="F34" s="19">
        <f t="shared" si="0"/>
        <v>0</v>
      </c>
      <c r="G34" s="32">
        <v>1</v>
      </c>
      <c r="H34" s="24"/>
      <c r="I34" s="24"/>
      <c r="J34" s="24"/>
      <c r="K34" s="17">
        <f t="shared" si="1"/>
        <v>1</v>
      </c>
      <c r="L34" s="7">
        <f t="shared" si="2"/>
        <v>1</v>
      </c>
    </row>
    <row r="35" spans="1:12" ht="15.75" thickBot="1" x14ac:dyDescent="0.3">
      <c r="A35" s="8">
        <v>27</v>
      </c>
      <c r="B35" s="46"/>
      <c r="C35" s="24"/>
      <c r="D35" s="24"/>
      <c r="E35" s="25"/>
      <c r="F35" s="19">
        <f t="shared" si="0"/>
        <v>0</v>
      </c>
      <c r="G35" s="47">
        <v>1</v>
      </c>
      <c r="H35" s="24"/>
      <c r="I35" s="24"/>
      <c r="J35" s="24"/>
      <c r="K35" s="17">
        <f t="shared" si="1"/>
        <v>1</v>
      </c>
      <c r="L35" s="7">
        <f t="shared" si="2"/>
        <v>1</v>
      </c>
    </row>
    <row r="36" spans="1:12" ht="15.75" thickBot="1" x14ac:dyDescent="0.3">
      <c r="A36" s="8">
        <v>28</v>
      </c>
      <c r="B36" s="23">
        <v>3</v>
      </c>
      <c r="C36" s="24"/>
      <c r="D36" s="24"/>
      <c r="E36" s="25"/>
      <c r="F36" s="19">
        <f t="shared" si="0"/>
        <v>3</v>
      </c>
      <c r="G36" s="32">
        <v>11</v>
      </c>
      <c r="H36" s="24"/>
      <c r="I36" s="24"/>
      <c r="J36" s="24"/>
      <c r="K36" s="17">
        <f t="shared" si="1"/>
        <v>11</v>
      </c>
      <c r="L36" s="7">
        <f t="shared" si="2"/>
        <v>14</v>
      </c>
    </row>
    <row r="37" spans="1:12" ht="15.75" thickBot="1" x14ac:dyDescent="0.3">
      <c r="A37" s="8">
        <v>29</v>
      </c>
      <c r="B37" s="23"/>
      <c r="C37" s="24"/>
      <c r="D37" s="24"/>
      <c r="E37" s="25"/>
      <c r="F37" s="19">
        <f t="shared" si="0"/>
        <v>0</v>
      </c>
      <c r="G37" s="32"/>
      <c r="H37" s="24"/>
      <c r="I37" s="24"/>
      <c r="J37" s="24"/>
      <c r="K37" s="17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3"/>
      <c r="C38" s="24"/>
      <c r="D38" s="24"/>
      <c r="E38" s="25"/>
      <c r="F38" s="19">
        <f t="shared" si="0"/>
        <v>0</v>
      </c>
      <c r="G38" s="32"/>
      <c r="H38" s="24"/>
      <c r="I38" s="24"/>
      <c r="J38" s="24"/>
      <c r="K38" s="17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8"/>
      <c r="C39" s="29"/>
      <c r="D39" s="29"/>
      <c r="E39" s="30"/>
      <c r="F39" s="19">
        <f t="shared" si="0"/>
        <v>0</v>
      </c>
      <c r="G39" s="32"/>
      <c r="H39" s="24"/>
      <c r="I39" s="24"/>
      <c r="J39" s="24"/>
      <c r="K39" s="17">
        <f t="shared" si="1"/>
        <v>0</v>
      </c>
      <c r="L39" s="7">
        <f t="shared" si="2"/>
        <v>0</v>
      </c>
    </row>
    <row r="40" spans="1:12" ht="15.75" thickBot="1" x14ac:dyDescent="0.3">
      <c r="A40" s="10"/>
      <c r="B40" s="51">
        <f>SUM(B9:B39)</f>
        <v>9</v>
      </c>
      <c r="C40" s="51">
        <f t="shared" ref="C40:E40" si="3">SUM(C9:C39)</f>
        <v>0</v>
      </c>
      <c r="D40" s="51">
        <f t="shared" si="3"/>
        <v>0</v>
      </c>
      <c r="E40" s="51">
        <f t="shared" si="3"/>
        <v>0</v>
      </c>
      <c r="F40" s="50">
        <f>SUM(F9:F39)</f>
        <v>9</v>
      </c>
      <c r="G40" s="18">
        <f>SUM(G9:G39)</f>
        <v>15</v>
      </c>
      <c r="H40" s="18">
        <f t="shared" ref="H40:L40" si="4">SUM(H9:H39)</f>
        <v>1</v>
      </c>
      <c r="I40" s="18">
        <f t="shared" si="4"/>
        <v>0</v>
      </c>
      <c r="J40" s="18">
        <f t="shared" si="4"/>
        <v>1</v>
      </c>
      <c r="K40" s="18">
        <f t="shared" si="4"/>
        <v>17</v>
      </c>
      <c r="L40" s="18">
        <f t="shared" si="4"/>
        <v>26</v>
      </c>
    </row>
    <row r="41" spans="1:12" ht="15.75" thickBot="1" x14ac:dyDescent="0.3">
      <c r="A41" s="12"/>
      <c r="B41" s="12"/>
      <c r="C41" s="13"/>
      <c r="D41" s="13"/>
      <c r="E41" s="13"/>
      <c r="F41" s="12"/>
      <c r="G41" s="12"/>
      <c r="H41" s="13"/>
      <c r="I41" s="13"/>
      <c r="J41" s="13"/>
      <c r="K41" s="12"/>
      <c r="L41" s="14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2"/>
      <c r="L42" s="14"/>
    </row>
    <row r="43" spans="1:12" ht="15.75" thickBot="1" x14ac:dyDescent="0.3">
      <c r="A43" s="15"/>
      <c r="B43" s="89" t="s">
        <v>19</v>
      </c>
      <c r="C43" s="90"/>
      <c r="D43" s="90"/>
      <c r="E43" s="90"/>
      <c r="F43" s="90"/>
      <c r="G43" s="91">
        <v>43</v>
      </c>
      <c r="H43" s="92"/>
      <c r="I43" s="93"/>
      <c r="J43" s="94"/>
      <c r="K43" s="12"/>
      <c r="L43" s="14"/>
    </row>
    <row r="44" spans="1:12" ht="15.75" thickBot="1" x14ac:dyDescent="0.3">
      <c r="A44" s="15"/>
      <c r="B44" s="89" t="s">
        <v>20</v>
      </c>
      <c r="C44" s="90"/>
      <c r="D44" s="90"/>
      <c r="E44" s="90"/>
      <c r="F44" s="90"/>
      <c r="G44" s="95">
        <v>101</v>
      </c>
      <c r="H44" s="96"/>
      <c r="I44" s="95"/>
      <c r="J44" s="96"/>
      <c r="K44" s="12"/>
      <c r="L44" s="14"/>
    </row>
    <row r="45" spans="1:12" ht="15.75" thickBot="1" x14ac:dyDescent="0.3">
      <c r="A45" s="15"/>
      <c r="B45" s="97" t="s">
        <v>21</v>
      </c>
      <c r="C45" s="97"/>
      <c r="D45" s="97"/>
      <c r="E45" s="97"/>
      <c r="F45" s="89"/>
      <c r="G45" s="98">
        <v>1</v>
      </c>
      <c r="H45" s="99"/>
      <c r="I45" s="91"/>
      <c r="J45" s="100"/>
      <c r="K45" s="12"/>
      <c r="L45" s="14"/>
    </row>
    <row r="46" spans="1:12" ht="15.75" thickBot="1" x14ac:dyDescent="0.3">
      <c r="A46" s="15"/>
      <c r="B46" s="89" t="s">
        <v>22</v>
      </c>
      <c r="C46" s="90"/>
      <c r="D46" s="90"/>
      <c r="E46" s="90"/>
      <c r="F46" s="90"/>
      <c r="G46" s="101">
        <f>L40+G45</f>
        <v>27</v>
      </c>
      <c r="H46" s="96"/>
      <c r="I46" s="95"/>
      <c r="J46" s="96"/>
      <c r="K46" s="12"/>
      <c r="L46" s="14"/>
    </row>
    <row r="47" spans="1:12" ht="15.75" thickBot="1" x14ac:dyDescent="0.3">
      <c r="A47" s="4"/>
      <c r="B47" s="89" t="s">
        <v>23</v>
      </c>
      <c r="C47" s="90"/>
      <c r="D47" s="90"/>
      <c r="E47" s="90"/>
      <c r="F47" s="90"/>
      <c r="G47" s="101">
        <f>G43+G44-G46</f>
        <v>117</v>
      </c>
      <c r="H47" s="96"/>
      <c r="I47" s="95"/>
      <c r="J47" s="96"/>
      <c r="K47" s="12"/>
      <c r="L47" s="3"/>
    </row>
    <row r="48" spans="1:12" ht="15.75" thickBot="1" x14ac:dyDescent="0.3">
      <c r="A48" s="4"/>
      <c r="B48" s="89" t="s">
        <v>24</v>
      </c>
      <c r="C48" s="90"/>
      <c r="D48" s="90"/>
      <c r="E48" s="90"/>
      <c r="F48" s="90"/>
      <c r="G48" s="95">
        <v>76</v>
      </c>
      <c r="H48" s="96"/>
      <c r="I48" s="95"/>
      <c r="J48" s="96"/>
      <c r="K48" s="12"/>
      <c r="L48" s="3"/>
    </row>
    <row r="49" spans="1:12" ht="15.75" thickBot="1" x14ac:dyDescent="0.3">
      <c r="A49" s="4"/>
      <c r="B49" s="89" t="s">
        <v>25</v>
      </c>
      <c r="C49" s="90"/>
      <c r="D49" s="90"/>
      <c r="E49" s="90"/>
      <c r="F49" s="90"/>
      <c r="G49" s="102">
        <f>G47-G48</f>
        <v>41</v>
      </c>
      <c r="H49" s="103"/>
      <c r="I49" s="104"/>
      <c r="J49" s="103"/>
      <c r="K49" s="12"/>
      <c r="L49" s="3"/>
    </row>
    <row r="50" spans="1:12" x14ac:dyDescent="0.25">
      <c r="A50" s="5" t="s">
        <v>26</v>
      </c>
      <c r="B50" s="38"/>
      <c r="C50" s="44"/>
      <c r="D50" s="44"/>
      <c r="E50" s="44"/>
      <c r="F50" s="38"/>
      <c r="G50" s="38"/>
      <c r="H50" s="44"/>
      <c r="I50" s="45" t="s">
        <v>27</v>
      </c>
      <c r="J50" s="44"/>
      <c r="K50" s="38"/>
      <c r="L50" s="1"/>
    </row>
    <row r="52" spans="1:12" x14ac:dyDescent="0.25">
      <c r="B52" t="s">
        <v>31</v>
      </c>
    </row>
    <row r="53" spans="1:12" x14ac:dyDescent="0.25">
      <c r="B53" t="s">
        <v>32</v>
      </c>
    </row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H6:I6"/>
    <mergeCell ref="A7:A8"/>
    <mergeCell ref="B7:F7"/>
    <mergeCell ref="G7:K7"/>
    <mergeCell ref="L7:L8"/>
    <mergeCell ref="A4:L4"/>
    <mergeCell ref="A1:D1"/>
    <mergeCell ref="G1:L1"/>
    <mergeCell ref="A2:D2"/>
    <mergeCell ref="G2:L2"/>
    <mergeCell ref="A3:D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"/>
  <sheetViews>
    <sheetView workbookViewId="0">
      <selection activeCell="L55" sqref="A1:L55"/>
    </sheetView>
  </sheetViews>
  <sheetFormatPr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7"/>
      <c r="F1" s="38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7"/>
      <c r="F2" s="38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7"/>
      <c r="F3" s="38"/>
      <c r="G3" s="38"/>
      <c r="H3" s="37"/>
      <c r="I3" s="37"/>
      <c r="J3" s="37"/>
      <c r="K3" s="38"/>
      <c r="L3" s="1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33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</row>
    <row r="6" spans="1:12" ht="3.75" customHeight="1" thickBot="1" x14ac:dyDescent="0.3">
      <c r="A6" s="2" t="s">
        <v>6</v>
      </c>
      <c r="B6" s="12"/>
      <c r="C6" s="13"/>
      <c r="D6" s="13"/>
      <c r="E6" s="13"/>
      <c r="F6" s="12"/>
      <c r="G6" s="12"/>
      <c r="H6" s="76"/>
      <c r="I6" s="76"/>
      <c r="J6" s="13"/>
      <c r="K6" s="39"/>
      <c r="L6" s="3"/>
    </row>
    <row r="7" spans="1:12" x14ac:dyDescent="0.25">
      <c r="A7" s="77" t="s">
        <v>7</v>
      </c>
      <c r="B7" s="79" t="s">
        <v>8</v>
      </c>
      <c r="C7" s="80"/>
      <c r="D7" s="80"/>
      <c r="E7" s="80"/>
      <c r="F7" s="81"/>
      <c r="G7" s="82" t="s">
        <v>9</v>
      </c>
      <c r="H7" s="80"/>
      <c r="I7" s="80"/>
      <c r="J7" s="80"/>
      <c r="K7" s="81"/>
      <c r="L7" s="83" t="s">
        <v>10</v>
      </c>
    </row>
    <row r="8" spans="1:12" ht="15.75" thickBot="1" x14ac:dyDescent="0.3">
      <c r="A8" s="78"/>
      <c r="B8" s="40" t="s">
        <v>11</v>
      </c>
      <c r="C8" s="41" t="s">
        <v>12</v>
      </c>
      <c r="D8" s="41" t="s">
        <v>13</v>
      </c>
      <c r="E8" s="41" t="s">
        <v>14</v>
      </c>
      <c r="F8" s="42" t="s">
        <v>15</v>
      </c>
      <c r="G8" s="43" t="s">
        <v>11</v>
      </c>
      <c r="H8" s="41" t="s">
        <v>12</v>
      </c>
      <c r="I8" s="41" t="s">
        <v>13</v>
      </c>
      <c r="J8" s="41" t="s">
        <v>14</v>
      </c>
      <c r="K8" s="42" t="s">
        <v>16</v>
      </c>
      <c r="L8" s="84"/>
    </row>
    <row r="9" spans="1:12" ht="15.75" thickBot="1" x14ac:dyDescent="0.3">
      <c r="A9" s="6">
        <v>1</v>
      </c>
      <c r="B9" s="20">
        <v>1</v>
      </c>
      <c r="C9" s="21"/>
      <c r="D9" s="21"/>
      <c r="E9" s="22"/>
      <c r="F9" s="19">
        <f>SUM(B9:E9)</f>
        <v>1</v>
      </c>
      <c r="G9" s="48"/>
      <c r="H9" s="31"/>
      <c r="I9" s="31"/>
      <c r="J9" s="31"/>
      <c r="K9" s="17">
        <f>SUM(G9:J9)</f>
        <v>0</v>
      </c>
      <c r="L9" s="7">
        <f>SUM(F9+K9)</f>
        <v>1</v>
      </c>
    </row>
    <row r="10" spans="1:12" ht="15.75" thickBot="1" x14ac:dyDescent="0.3">
      <c r="A10" s="8">
        <v>2</v>
      </c>
      <c r="B10" s="23"/>
      <c r="C10" s="24"/>
      <c r="D10" s="24"/>
      <c r="E10" s="25"/>
      <c r="F10" s="19">
        <f t="shared" ref="F10:F39" si="0">SUM(B10:E10)</f>
        <v>0</v>
      </c>
      <c r="G10" s="32"/>
      <c r="H10" s="24"/>
      <c r="I10" s="24"/>
      <c r="J10" s="24"/>
      <c r="K10" s="17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3"/>
      <c r="C11" s="24"/>
      <c r="D11" s="24"/>
      <c r="E11" s="26"/>
      <c r="F11" s="19">
        <f t="shared" si="0"/>
        <v>0</v>
      </c>
      <c r="G11" s="32"/>
      <c r="H11" s="24"/>
      <c r="I11" s="24"/>
      <c r="J11" s="24"/>
      <c r="K11" s="17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3"/>
      <c r="C12" s="24"/>
      <c r="D12" s="24"/>
      <c r="E12" s="25"/>
      <c r="F12" s="19">
        <f t="shared" si="0"/>
        <v>0</v>
      </c>
      <c r="G12" s="33"/>
      <c r="H12" s="24"/>
      <c r="I12" s="24"/>
      <c r="J12" s="24"/>
      <c r="K12" s="17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3">
        <v>1</v>
      </c>
      <c r="C13" s="24"/>
      <c r="D13" s="24"/>
      <c r="E13" s="25"/>
      <c r="F13" s="19">
        <f t="shared" si="0"/>
        <v>1</v>
      </c>
      <c r="G13" s="32">
        <v>2</v>
      </c>
      <c r="H13" s="24"/>
      <c r="I13" s="24"/>
      <c r="J13" s="24"/>
      <c r="K13" s="17">
        <f t="shared" si="1"/>
        <v>2</v>
      </c>
      <c r="L13" s="7">
        <f t="shared" si="2"/>
        <v>3</v>
      </c>
    </row>
    <row r="14" spans="1:12" ht="15.75" thickBot="1" x14ac:dyDescent="0.3">
      <c r="A14" s="8">
        <v>6</v>
      </c>
      <c r="B14" s="23">
        <v>1</v>
      </c>
      <c r="C14" s="24"/>
      <c r="D14" s="24"/>
      <c r="E14" s="25"/>
      <c r="F14" s="19">
        <f t="shared" si="0"/>
        <v>1</v>
      </c>
      <c r="G14" s="32">
        <v>1</v>
      </c>
      <c r="H14" s="24"/>
      <c r="I14" s="24"/>
      <c r="J14" s="24"/>
      <c r="K14" s="17">
        <f t="shared" si="1"/>
        <v>1</v>
      </c>
      <c r="L14" s="7">
        <f t="shared" si="2"/>
        <v>2</v>
      </c>
    </row>
    <row r="15" spans="1:12" ht="15.75" thickBot="1" x14ac:dyDescent="0.3">
      <c r="A15" s="8">
        <v>7</v>
      </c>
      <c r="B15" s="23"/>
      <c r="C15" s="24"/>
      <c r="D15" s="24"/>
      <c r="E15" s="25"/>
      <c r="F15" s="19">
        <f t="shared" si="0"/>
        <v>0</v>
      </c>
      <c r="G15" s="32"/>
      <c r="H15" s="24"/>
      <c r="I15" s="24"/>
      <c r="J15" s="24"/>
      <c r="K15" s="17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3"/>
      <c r="C16" s="24"/>
      <c r="D16" s="24"/>
      <c r="E16" s="25"/>
      <c r="F16" s="19">
        <f t="shared" si="0"/>
        <v>0</v>
      </c>
      <c r="G16" s="32"/>
      <c r="H16" s="24"/>
      <c r="I16" s="24"/>
      <c r="J16" s="24"/>
      <c r="K16" s="17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3">
        <v>1</v>
      </c>
      <c r="C17" s="24"/>
      <c r="D17" s="24"/>
      <c r="E17" s="25"/>
      <c r="F17" s="19">
        <f t="shared" si="0"/>
        <v>1</v>
      </c>
      <c r="G17" s="32"/>
      <c r="H17" s="24"/>
      <c r="I17" s="24"/>
      <c r="J17" s="24"/>
      <c r="K17" s="17">
        <f t="shared" si="1"/>
        <v>0</v>
      </c>
      <c r="L17" s="7">
        <f t="shared" si="2"/>
        <v>1</v>
      </c>
    </row>
    <row r="18" spans="1:12" ht="15.75" thickBot="1" x14ac:dyDescent="0.3">
      <c r="A18" s="8">
        <v>10</v>
      </c>
      <c r="B18" s="23"/>
      <c r="C18" s="24"/>
      <c r="D18" s="24"/>
      <c r="E18" s="25"/>
      <c r="F18" s="19">
        <f t="shared" si="0"/>
        <v>0</v>
      </c>
      <c r="G18" s="34"/>
      <c r="H18" s="24"/>
      <c r="I18" s="24"/>
      <c r="J18" s="24"/>
      <c r="K18" s="17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3"/>
      <c r="C19" s="24"/>
      <c r="D19" s="24"/>
      <c r="E19" s="25"/>
      <c r="F19" s="19">
        <f t="shared" si="0"/>
        <v>0</v>
      </c>
      <c r="G19" s="32"/>
      <c r="H19" s="24"/>
      <c r="I19" s="24"/>
      <c r="J19" s="24"/>
      <c r="K19" s="17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3">
        <v>1</v>
      </c>
      <c r="C20" s="24"/>
      <c r="D20" s="24"/>
      <c r="E20" s="25"/>
      <c r="F20" s="19">
        <f t="shared" si="0"/>
        <v>1</v>
      </c>
      <c r="G20" s="32"/>
      <c r="H20" s="35"/>
      <c r="I20" s="35"/>
      <c r="J20" s="35"/>
      <c r="K20" s="17">
        <f t="shared" si="1"/>
        <v>0</v>
      </c>
      <c r="L20" s="7">
        <f t="shared" si="2"/>
        <v>1</v>
      </c>
    </row>
    <row r="21" spans="1:12" ht="15.75" thickBot="1" x14ac:dyDescent="0.3">
      <c r="A21" s="8">
        <v>13</v>
      </c>
      <c r="B21" s="23"/>
      <c r="C21" s="24"/>
      <c r="D21" s="24"/>
      <c r="E21" s="25"/>
      <c r="F21" s="19">
        <f t="shared" si="0"/>
        <v>0</v>
      </c>
      <c r="G21" s="36"/>
      <c r="H21" s="24">
        <v>1</v>
      </c>
      <c r="I21" s="24"/>
      <c r="J21" s="24"/>
      <c r="K21" s="17">
        <f t="shared" si="1"/>
        <v>1</v>
      </c>
      <c r="L21" s="7">
        <f t="shared" si="2"/>
        <v>1</v>
      </c>
    </row>
    <row r="22" spans="1:12" ht="15.75" thickBot="1" x14ac:dyDescent="0.3">
      <c r="A22" s="8">
        <v>14</v>
      </c>
      <c r="B22" s="23"/>
      <c r="C22" s="24"/>
      <c r="D22" s="24"/>
      <c r="E22" s="25"/>
      <c r="F22" s="19">
        <f t="shared" si="0"/>
        <v>0</v>
      </c>
      <c r="G22" s="36"/>
      <c r="H22" s="24"/>
      <c r="I22" s="24"/>
      <c r="J22" s="24"/>
      <c r="K22" s="17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3">
        <v>2</v>
      </c>
      <c r="C23" s="24"/>
      <c r="D23" s="24"/>
      <c r="E23" s="25"/>
      <c r="F23" s="19">
        <f t="shared" si="0"/>
        <v>2</v>
      </c>
      <c r="G23" s="32"/>
      <c r="H23" s="24"/>
      <c r="I23" s="24"/>
      <c r="J23" s="24"/>
      <c r="K23" s="17">
        <f t="shared" si="1"/>
        <v>0</v>
      </c>
      <c r="L23" s="7">
        <f t="shared" si="2"/>
        <v>2</v>
      </c>
    </row>
    <row r="24" spans="1:12" ht="15.75" thickBot="1" x14ac:dyDescent="0.3">
      <c r="A24" s="8">
        <v>16</v>
      </c>
      <c r="B24" s="23"/>
      <c r="C24" s="24"/>
      <c r="D24" s="24"/>
      <c r="E24" s="25"/>
      <c r="F24" s="19">
        <f t="shared" si="0"/>
        <v>0</v>
      </c>
      <c r="G24" s="32"/>
      <c r="H24" s="24"/>
      <c r="I24" s="24"/>
      <c r="J24" s="24"/>
      <c r="K24" s="17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3"/>
      <c r="C25" s="49"/>
      <c r="D25" s="27"/>
      <c r="E25" s="25"/>
      <c r="F25" s="19">
        <f t="shared" si="0"/>
        <v>0</v>
      </c>
      <c r="G25" s="32"/>
      <c r="H25" s="24"/>
      <c r="I25" s="24"/>
      <c r="J25" s="24"/>
      <c r="K25" s="17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3"/>
      <c r="C26" s="24"/>
      <c r="D26" s="24"/>
      <c r="E26" s="25"/>
      <c r="F26" s="19">
        <f t="shared" si="0"/>
        <v>0</v>
      </c>
      <c r="G26" s="32"/>
      <c r="H26" s="24"/>
      <c r="I26" s="24"/>
      <c r="J26" s="24"/>
      <c r="K26" s="17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3"/>
      <c r="C27" s="24"/>
      <c r="D27" s="24"/>
      <c r="E27" s="25"/>
      <c r="F27" s="19">
        <f t="shared" si="0"/>
        <v>0</v>
      </c>
      <c r="G27" s="32"/>
      <c r="H27" s="24"/>
      <c r="I27" s="24"/>
      <c r="J27" s="24"/>
      <c r="K27" s="17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3">
        <v>2</v>
      </c>
      <c r="C28" s="24"/>
      <c r="D28" s="24">
        <v>1</v>
      </c>
      <c r="E28" s="25"/>
      <c r="F28" s="19">
        <f t="shared" si="0"/>
        <v>3</v>
      </c>
      <c r="G28" s="32"/>
      <c r="H28" s="24"/>
      <c r="I28" s="24"/>
      <c r="J28" s="24"/>
      <c r="K28" s="17">
        <f t="shared" si="1"/>
        <v>0</v>
      </c>
      <c r="L28" s="7">
        <f t="shared" si="2"/>
        <v>3</v>
      </c>
    </row>
    <row r="29" spans="1:12" ht="15.75" thickBot="1" x14ac:dyDescent="0.3">
      <c r="A29" s="8">
        <v>21</v>
      </c>
      <c r="B29" s="23"/>
      <c r="C29" s="24"/>
      <c r="D29" s="24"/>
      <c r="E29" s="25"/>
      <c r="F29" s="19">
        <f t="shared" si="0"/>
        <v>0</v>
      </c>
      <c r="G29" s="32"/>
      <c r="H29" s="24"/>
      <c r="I29" s="24"/>
      <c r="J29" s="24"/>
      <c r="K29" s="17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3"/>
      <c r="C30" s="24"/>
      <c r="D30" s="24"/>
      <c r="E30" s="25"/>
      <c r="F30" s="19">
        <f t="shared" si="0"/>
        <v>0</v>
      </c>
      <c r="G30" s="32">
        <v>2</v>
      </c>
      <c r="H30" s="24"/>
      <c r="I30" s="24"/>
      <c r="J30" s="24"/>
      <c r="K30" s="17">
        <f t="shared" si="1"/>
        <v>2</v>
      </c>
      <c r="L30" s="7">
        <f t="shared" si="2"/>
        <v>2</v>
      </c>
    </row>
    <row r="31" spans="1:12" ht="15.75" thickBot="1" x14ac:dyDescent="0.3">
      <c r="A31" s="8">
        <v>23</v>
      </c>
      <c r="B31" s="23"/>
      <c r="C31" s="24"/>
      <c r="D31" s="24"/>
      <c r="E31" s="25"/>
      <c r="F31" s="19">
        <f t="shared" si="0"/>
        <v>0</v>
      </c>
      <c r="G31" s="32"/>
      <c r="H31" s="24"/>
      <c r="I31" s="24"/>
      <c r="J31" s="24"/>
      <c r="K31" s="17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3"/>
      <c r="C32" s="24"/>
      <c r="D32" s="24"/>
      <c r="E32" s="25"/>
      <c r="F32" s="19">
        <f t="shared" si="0"/>
        <v>0</v>
      </c>
      <c r="G32" s="32"/>
      <c r="H32" s="24"/>
      <c r="I32" s="24"/>
      <c r="J32" s="24"/>
      <c r="K32" s="17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3"/>
      <c r="C33" s="24"/>
      <c r="D33" s="24"/>
      <c r="E33" s="25"/>
      <c r="F33" s="19">
        <f t="shared" si="0"/>
        <v>0</v>
      </c>
      <c r="G33" s="32"/>
      <c r="H33" s="24"/>
      <c r="I33" s="24"/>
      <c r="J33" s="24"/>
      <c r="K33" s="17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3"/>
      <c r="C34" s="24"/>
      <c r="D34" s="24"/>
      <c r="E34" s="25"/>
      <c r="F34" s="19">
        <f t="shared" si="0"/>
        <v>0</v>
      </c>
      <c r="G34" s="32"/>
      <c r="H34" s="24"/>
      <c r="I34" s="24"/>
      <c r="J34" s="24"/>
      <c r="K34" s="17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3">
        <v>4</v>
      </c>
      <c r="C35" s="24"/>
      <c r="D35" s="24"/>
      <c r="E35" s="25"/>
      <c r="F35" s="19">
        <f t="shared" si="0"/>
        <v>4</v>
      </c>
      <c r="G35" s="47">
        <v>8</v>
      </c>
      <c r="H35" s="24"/>
      <c r="I35" s="24"/>
      <c r="J35" s="24"/>
      <c r="K35" s="17">
        <f t="shared" si="1"/>
        <v>8</v>
      </c>
      <c r="L35" s="7">
        <f t="shared" si="2"/>
        <v>12</v>
      </c>
    </row>
    <row r="36" spans="1:12" ht="15.75" thickBot="1" x14ac:dyDescent="0.3">
      <c r="A36" s="8">
        <v>28</v>
      </c>
      <c r="B36" s="23"/>
      <c r="C36" s="24"/>
      <c r="D36" s="24"/>
      <c r="E36" s="25"/>
      <c r="F36" s="19">
        <f t="shared" si="0"/>
        <v>0</v>
      </c>
      <c r="G36" s="32">
        <v>5</v>
      </c>
      <c r="H36" s="24"/>
      <c r="I36" s="24"/>
      <c r="J36" s="24"/>
      <c r="K36" s="17">
        <f t="shared" si="1"/>
        <v>5</v>
      </c>
      <c r="L36" s="7">
        <f t="shared" si="2"/>
        <v>5</v>
      </c>
    </row>
    <row r="37" spans="1:12" ht="15.75" thickBot="1" x14ac:dyDescent="0.3">
      <c r="A37" s="8">
        <v>29</v>
      </c>
      <c r="B37" s="23"/>
      <c r="C37" s="24"/>
      <c r="D37" s="24"/>
      <c r="E37" s="25"/>
      <c r="F37" s="19">
        <f t="shared" si="0"/>
        <v>0</v>
      </c>
      <c r="G37" s="32">
        <v>4</v>
      </c>
      <c r="H37" s="24"/>
      <c r="I37" s="24"/>
      <c r="J37" s="24"/>
      <c r="K37" s="17">
        <f t="shared" si="1"/>
        <v>4</v>
      </c>
      <c r="L37" s="7">
        <f t="shared" si="2"/>
        <v>4</v>
      </c>
    </row>
    <row r="38" spans="1:12" ht="15.75" thickBot="1" x14ac:dyDescent="0.3">
      <c r="A38" s="8">
        <v>30</v>
      </c>
      <c r="B38" s="23"/>
      <c r="C38" s="24"/>
      <c r="D38" s="24"/>
      <c r="E38" s="25"/>
      <c r="F38" s="19">
        <f t="shared" si="0"/>
        <v>0</v>
      </c>
      <c r="G38" s="32">
        <v>4</v>
      </c>
      <c r="H38" s="24"/>
      <c r="I38" s="24"/>
      <c r="J38" s="24"/>
      <c r="K38" s="17">
        <f t="shared" si="1"/>
        <v>4</v>
      </c>
      <c r="L38" s="7">
        <f t="shared" si="2"/>
        <v>4</v>
      </c>
    </row>
    <row r="39" spans="1:12" ht="15.75" thickBot="1" x14ac:dyDescent="0.3">
      <c r="A39" s="9">
        <v>31</v>
      </c>
      <c r="B39" s="28"/>
      <c r="C39" s="29"/>
      <c r="D39" s="29"/>
      <c r="E39" s="30"/>
      <c r="F39" s="19">
        <f t="shared" si="0"/>
        <v>0</v>
      </c>
      <c r="G39" s="32"/>
      <c r="H39" s="24"/>
      <c r="I39" s="24"/>
      <c r="J39" s="24"/>
      <c r="K39" s="17">
        <f t="shared" si="1"/>
        <v>0</v>
      </c>
      <c r="L39" s="7">
        <f t="shared" si="2"/>
        <v>0</v>
      </c>
    </row>
    <row r="40" spans="1:12" ht="15.75" thickBot="1" x14ac:dyDescent="0.3">
      <c r="A40" s="10"/>
      <c r="B40" s="53">
        <f>SUM(B9:B39)</f>
        <v>13</v>
      </c>
      <c r="C40" s="53">
        <f t="shared" ref="C40:E40" si="3">SUM(C9:C39)</f>
        <v>0</v>
      </c>
      <c r="D40" s="53">
        <f t="shared" si="3"/>
        <v>1</v>
      </c>
      <c r="E40" s="53">
        <f t="shared" si="3"/>
        <v>0</v>
      </c>
      <c r="F40" s="52">
        <f>SUM(F9:F39)</f>
        <v>14</v>
      </c>
      <c r="G40" s="18">
        <f>SUM(G9:G39)</f>
        <v>26</v>
      </c>
      <c r="H40" s="18">
        <f t="shared" ref="H40:L40" si="4">SUM(H9:H39)</f>
        <v>1</v>
      </c>
      <c r="I40" s="18">
        <f t="shared" si="4"/>
        <v>0</v>
      </c>
      <c r="J40" s="18">
        <f t="shared" si="4"/>
        <v>0</v>
      </c>
      <c r="K40" s="18">
        <f t="shared" si="4"/>
        <v>27</v>
      </c>
      <c r="L40" s="18">
        <f t="shared" si="4"/>
        <v>41</v>
      </c>
    </row>
    <row r="41" spans="1:12" ht="15.75" thickBot="1" x14ac:dyDescent="0.3">
      <c r="A41" s="12"/>
      <c r="B41" s="12"/>
      <c r="C41" s="13"/>
      <c r="D41" s="13"/>
      <c r="E41" s="13"/>
      <c r="F41" s="12"/>
      <c r="G41" s="12"/>
      <c r="H41" s="13"/>
      <c r="I41" s="13"/>
      <c r="J41" s="13"/>
      <c r="K41" s="12"/>
      <c r="L41" s="14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2"/>
      <c r="L42" s="14"/>
    </row>
    <row r="43" spans="1:12" ht="15.75" thickBot="1" x14ac:dyDescent="0.3">
      <c r="A43" s="15"/>
      <c r="B43" s="89" t="s">
        <v>19</v>
      </c>
      <c r="C43" s="90"/>
      <c r="D43" s="90"/>
      <c r="E43" s="90"/>
      <c r="F43" s="90"/>
      <c r="G43" s="91">
        <v>76</v>
      </c>
      <c r="H43" s="92"/>
      <c r="I43" s="93"/>
      <c r="J43" s="94"/>
      <c r="K43" s="12"/>
      <c r="L43" s="14"/>
    </row>
    <row r="44" spans="1:12" ht="15.75" thickBot="1" x14ac:dyDescent="0.3">
      <c r="A44" s="15"/>
      <c r="B44" s="89" t="s">
        <v>20</v>
      </c>
      <c r="C44" s="90"/>
      <c r="D44" s="90"/>
      <c r="E44" s="90"/>
      <c r="F44" s="90"/>
      <c r="G44" s="95">
        <v>2</v>
      </c>
      <c r="H44" s="96"/>
      <c r="I44" s="95"/>
      <c r="J44" s="96"/>
      <c r="K44" s="12"/>
      <c r="L44" s="14"/>
    </row>
    <row r="45" spans="1:12" ht="15.75" thickBot="1" x14ac:dyDescent="0.3">
      <c r="A45" s="15"/>
      <c r="B45" s="97" t="s">
        <v>21</v>
      </c>
      <c r="C45" s="97"/>
      <c r="D45" s="97"/>
      <c r="E45" s="97"/>
      <c r="F45" s="89"/>
      <c r="G45" s="98">
        <v>4</v>
      </c>
      <c r="H45" s="99"/>
      <c r="I45" s="91"/>
      <c r="J45" s="100"/>
      <c r="K45" s="12"/>
      <c r="L45" s="14"/>
    </row>
    <row r="46" spans="1:12" ht="15.75" thickBot="1" x14ac:dyDescent="0.3">
      <c r="A46" s="15"/>
      <c r="B46" s="89" t="s">
        <v>22</v>
      </c>
      <c r="C46" s="90"/>
      <c r="D46" s="90"/>
      <c r="E46" s="90"/>
      <c r="F46" s="90"/>
      <c r="G46" s="101">
        <f>L40+G45</f>
        <v>45</v>
      </c>
      <c r="H46" s="96"/>
      <c r="I46" s="95"/>
      <c r="J46" s="96"/>
      <c r="K46" s="12"/>
      <c r="L46" s="14"/>
    </row>
    <row r="47" spans="1:12" ht="15.75" thickBot="1" x14ac:dyDescent="0.3">
      <c r="A47" s="4"/>
      <c r="B47" s="89" t="s">
        <v>23</v>
      </c>
      <c r="C47" s="90"/>
      <c r="D47" s="90"/>
      <c r="E47" s="90"/>
      <c r="F47" s="90"/>
      <c r="G47" s="101">
        <f>G43+G44-G46</f>
        <v>33</v>
      </c>
      <c r="H47" s="96"/>
      <c r="I47" s="95"/>
      <c r="J47" s="96"/>
      <c r="K47" s="12"/>
      <c r="L47" s="3"/>
    </row>
    <row r="48" spans="1:12" ht="15.75" thickBot="1" x14ac:dyDescent="0.3">
      <c r="A48" s="4"/>
      <c r="B48" s="89" t="s">
        <v>24</v>
      </c>
      <c r="C48" s="90"/>
      <c r="D48" s="90"/>
      <c r="E48" s="90"/>
      <c r="F48" s="90"/>
      <c r="G48" s="95">
        <v>21</v>
      </c>
      <c r="H48" s="96"/>
      <c r="I48" s="95"/>
      <c r="J48" s="96"/>
      <c r="K48" s="12"/>
      <c r="L48" s="3"/>
    </row>
    <row r="49" spans="1:12" ht="15.75" thickBot="1" x14ac:dyDescent="0.3">
      <c r="A49" s="4"/>
      <c r="B49" s="89" t="s">
        <v>25</v>
      </c>
      <c r="C49" s="90"/>
      <c r="D49" s="90"/>
      <c r="E49" s="90"/>
      <c r="F49" s="90"/>
      <c r="G49" s="102">
        <f>G47-G48</f>
        <v>12</v>
      </c>
      <c r="H49" s="103"/>
      <c r="I49" s="104"/>
      <c r="J49" s="103"/>
      <c r="K49" s="12"/>
      <c r="L49" s="3"/>
    </row>
    <row r="50" spans="1:12" x14ac:dyDescent="0.25">
      <c r="A50" s="5" t="s">
        <v>26</v>
      </c>
      <c r="B50" s="38"/>
      <c r="C50" s="44"/>
      <c r="D50" s="44"/>
      <c r="E50" s="44"/>
      <c r="F50" s="38"/>
      <c r="G50" s="38"/>
      <c r="H50" s="44"/>
      <c r="I50" s="45" t="s">
        <v>27</v>
      </c>
      <c r="J50" s="44"/>
      <c r="K50" s="38"/>
      <c r="L50" s="1"/>
    </row>
    <row r="52" spans="1:12" x14ac:dyDescent="0.25">
      <c r="B52" t="s">
        <v>34</v>
      </c>
    </row>
    <row r="53" spans="1:12" x14ac:dyDescent="0.25">
      <c r="B53" t="s">
        <v>35</v>
      </c>
    </row>
    <row r="54" spans="1:12" x14ac:dyDescent="0.25">
      <c r="B54" t="s">
        <v>36</v>
      </c>
    </row>
  </sheetData>
  <mergeCells count="36">
    <mergeCell ref="A4:L4"/>
    <mergeCell ref="A1:D1"/>
    <mergeCell ref="G1:L1"/>
    <mergeCell ref="A2:D2"/>
    <mergeCell ref="G2:L2"/>
    <mergeCell ref="A3:D3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0" orientation="portrait" horizontalDpi="360" verticalDpi="18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topLeftCell="A34" zoomScaleNormal="100" workbookViewId="0">
      <selection activeCell="B52" sqref="B52"/>
    </sheetView>
  </sheetViews>
  <sheetFormatPr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7"/>
      <c r="F1" s="38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7"/>
      <c r="F2" s="38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7"/>
      <c r="F3" s="38"/>
      <c r="G3" s="38"/>
      <c r="H3" s="37"/>
      <c r="I3" s="37"/>
      <c r="J3" s="37"/>
      <c r="K3" s="38"/>
      <c r="L3" s="1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37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</row>
    <row r="6" spans="1:12" ht="3.75" customHeight="1" thickBot="1" x14ac:dyDescent="0.3">
      <c r="A6" s="2" t="s">
        <v>6</v>
      </c>
      <c r="B6" s="12"/>
      <c r="C6" s="13"/>
      <c r="D6" s="13"/>
      <c r="E6" s="13"/>
      <c r="F6" s="12"/>
      <c r="G6" s="12"/>
      <c r="H6" s="76"/>
      <c r="I6" s="76"/>
      <c r="J6" s="13"/>
      <c r="K6" s="39"/>
      <c r="L6" s="3"/>
    </row>
    <row r="7" spans="1:12" x14ac:dyDescent="0.25">
      <c r="A7" s="77" t="s">
        <v>7</v>
      </c>
      <c r="B7" s="79" t="s">
        <v>8</v>
      </c>
      <c r="C7" s="80"/>
      <c r="D7" s="80"/>
      <c r="E7" s="80"/>
      <c r="F7" s="81"/>
      <c r="G7" s="82" t="s">
        <v>9</v>
      </c>
      <c r="H7" s="80"/>
      <c r="I7" s="80"/>
      <c r="J7" s="80"/>
      <c r="K7" s="81"/>
      <c r="L7" s="83" t="s">
        <v>10</v>
      </c>
    </row>
    <row r="8" spans="1:12" ht="15.75" thickBot="1" x14ac:dyDescent="0.3">
      <c r="A8" s="78"/>
      <c r="B8" s="40" t="s">
        <v>11</v>
      </c>
      <c r="C8" s="41" t="s">
        <v>12</v>
      </c>
      <c r="D8" s="41" t="s">
        <v>13</v>
      </c>
      <c r="E8" s="41" t="s">
        <v>14</v>
      </c>
      <c r="F8" s="42" t="s">
        <v>15</v>
      </c>
      <c r="G8" s="43" t="s">
        <v>11</v>
      </c>
      <c r="H8" s="41" t="s">
        <v>12</v>
      </c>
      <c r="I8" s="41" t="s">
        <v>13</v>
      </c>
      <c r="J8" s="41" t="s">
        <v>14</v>
      </c>
      <c r="K8" s="42" t="s">
        <v>16</v>
      </c>
      <c r="L8" s="84"/>
    </row>
    <row r="9" spans="1:12" ht="15.75" thickBot="1" x14ac:dyDescent="0.3">
      <c r="A9" s="6">
        <v>1</v>
      </c>
      <c r="B9" s="20"/>
      <c r="C9" s="21"/>
      <c r="D9" s="21"/>
      <c r="E9" s="22"/>
      <c r="F9" s="19">
        <f>SUM(B9:E9)</f>
        <v>0</v>
      </c>
      <c r="G9" s="48"/>
      <c r="H9" s="31"/>
      <c r="I9" s="31"/>
      <c r="J9" s="31"/>
      <c r="K9" s="17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3"/>
      <c r="C10" s="24"/>
      <c r="D10" s="24"/>
      <c r="E10" s="25"/>
      <c r="F10" s="19">
        <f t="shared" ref="F10:F39" si="0">SUM(B10:E10)</f>
        <v>0</v>
      </c>
      <c r="G10" s="32">
        <v>1</v>
      </c>
      <c r="H10" s="24"/>
      <c r="I10" s="24"/>
      <c r="J10" s="24"/>
      <c r="K10" s="17">
        <f t="shared" ref="K10:K39" si="1">SUM(G10:J10)</f>
        <v>1</v>
      </c>
      <c r="L10" s="7">
        <f t="shared" ref="L10:L39" si="2">SUM(F10+K10)</f>
        <v>1</v>
      </c>
    </row>
    <row r="11" spans="1:12" ht="15.75" thickBot="1" x14ac:dyDescent="0.3">
      <c r="A11" s="8">
        <v>3</v>
      </c>
      <c r="B11" s="23"/>
      <c r="C11" s="24"/>
      <c r="D11" s="24">
        <v>1</v>
      </c>
      <c r="E11" s="26"/>
      <c r="F11" s="19">
        <f t="shared" si="0"/>
        <v>1</v>
      </c>
      <c r="G11" s="32">
        <v>1</v>
      </c>
      <c r="H11" s="24"/>
      <c r="I11" s="24"/>
      <c r="J11" s="24"/>
      <c r="K11" s="17">
        <f t="shared" si="1"/>
        <v>1</v>
      </c>
      <c r="L11" s="7">
        <f t="shared" si="2"/>
        <v>2</v>
      </c>
    </row>
    <row r="12" spans="1:12" ht="15.75" thickBot="1" x14ac:dyDescent="0.3">
      <c r="A12" s="8">
        <v>4</v>
      </c>
      <c r="B12" s="23"/>
      <c r="C12" s="24"/>
      <c r="D12" s="24"/>
      <c r="E12" s="25"/>
      <c r="F12" s="19">
        <f t="shared" si="0"/>
        <v>0</v>
      </c>
      <c r="G12" s="33">
        <v>1</v>
      </c>
      <c r="H12" s="24"/>
      <c r="I12" s="24"/>
      <c r="J12" s="24"/>
      <c r="K12" s="17">
        <f t="shared" si="1"/>
        <v>1</v>
      </c>
      <c r="L12" s="7">
        <f t="shared" si="2"/>
        <v>1</v>
      </c>
    </row>
    <row r="13" spans="1:12" ht="15.75" thickBot="1" x14ac:dyDescent="0.3">
      <c r="A13" s="8">
        <v>5</v>
      </c>
      <c r="B13" s="23"/>
      <c r="C13" s="24"/>
      <c r="D13" s="24"/>
      <c r="E13" s="25"/>
      <c r="F13" s="19">
        <f t="shared" si="0"/>
        <v>0</v>
      </c>
      <c r="G13" s="32">
        <v>1</v>
      </c>
      <c r="H13" s="24"/>
      <c r="I13" s="24"/>
      <c r="J13" s="24"/>
      <c r="K13" s="17">
        <f t="shared" si="1"/>
        <v>1</v>
      </c>
      <c r="L13" s="7">
        <f t="shared" si="2"/>
        <v>1</v>
      </c>
    </row>
    <row r="14" spans="1:12" ht="15.75" thickBot="1" x14ac:dyDescent="0.3">
      <c r="A14" s="8">
        <v>6</v>
      </c>
      <c r="B14" s="23"/>
      <c r="C14" s="24"/>
      <c r="D14" s="24"/>
      <c r="E14" s="25"/>
      <c r="F14" s="19">
        <f t="shared" si="0"/>
        <v>0</v>
      </c>
      <c r="G14" s="32">
        <v>3</v>
      </c>
      <c r="H14" s="24"/>
      <c r="I14" s="24"/>
      <c r="J14" s="24"/>
      <c r="K14" s="17">
        <f t="shared" si="1"/>
        <v>3</v>
      </c>
      <c r="L14" s="7">
        <f t="shared" si="2"/>
        <v>3</v>
      </c>
    </row>
    <row r="15" spans="1:12" ht="15.75" thickBot="1" x14ac:dyDescent="0.3">
      <c r="A15" s="8">
        <v>7</v>
      </c>
      <c r="B15" s="23"/>
      <c r="C15" s="24"/>
      <c r="D15" s="24"/>
      <c r="E15" s="25"/>
      <c r="F15" s="19">
        <f t="shared" si="0"/>
        <v>0</v>
      </c>
      <c r="G15" s="32"/>
      <c r="H15" s="24"/>
      <c r="I15" s="24"/>
      <c r="J15" s="24"/>
      <c r="K15" s="17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3"/>
      <c r="C16" s="24"/>
      <c r="D16" s="24"/>
      <c r="E16" s="25"/>
      <c r="F16" s="19">
        <f t="shared" si="0"/>
        <v>0</v>
      </c>
      <c r="G16" s="32"/>
      <c r="H16" s="24"/>
      <c r="I16" s="24"/>
      <c r="J16" s="24"/>
      <c r="K16" s="17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3">
        <v>2</v>
      </c>
      <c r="C17" s="24"/>
      <c r="D17" s="24"/>
      <c r="E17" s="25"/>
      <c r="F17" s="19">
        <f t="shared" si="0"/>
        <v>2</v>
      </c>
      <c r="G17" s="32">
        <v>2</v>
      </c>
      <c r="H17" s="24"/>
      <c r="I17" s="24"/>
      <c r="J17" s="24"/>
      <c r="K17" s="17">
        <f t="shared" si="1"/>
        <v>2</v>
      </c>
      <c r="L17" s="7">
        <f t="shared" si="2"/>
        <v>4</v>
      </c>
    </row>
    <row r="18" spans="1:12" ht="15.75" thickBot="1" x14ac:dyDescent="0.3">
      <c r="A18" s="8">
        <v>10</v>
      </c>
      <c r="B18" s="23">
        <v>3</v>
      </c>
      <c r="C18" s="24"/>
      <c r="D18" s="24">
        <v>1</v>
      </c>
      <c r="E18" s="25"/>
      <c r="F18" s="19">
        <f t="shared" si="0"/>
        <v>4</v>
      </c>
      <c r="G18" s="34">
        <v>2</v>
      </c>
      <c r="H18" s="24"/>
      <c r="I18" s="24"/>
      <c r="J18" s="24"/>
      <c r="K18" s="17">
        <f t="shared" si="1"/>
        <v>2</v>
      </c>
      <c r="L18" s="7">
        <f t="shared" si="2"/>
        <v>6</v>
      </c>
    </row>
    <row r="19" spans="1:12" ht="15.75" thickBot="1" x14ac:dyDescent="0.3">
      <c r="A19" s="8">
        <v>11</v>
      </c>
      <c r="B19" s="23">
        <v>3</v>
      </c>
      <c r="C19" s="24"/>
      <c r="D19" s="24"/>
      <c r="E19" s="25"/>
      <c r="F19" s="19">
        <f t="shared" si="0"/>
        <v>3</v>
      </c>
      <c r="G19" s="32"/>
      <c r="H19" s="24"/>
      <c r="I19" s="24"/>
      <c r="J19" s="24"/>
      <c r="K19" s="17">
        <f t="shared" si="1"/>
        <v>0</v>
      </c>
      <c r="L19" s="7">
        <f t="shared" si="2"/>
        <v>3</v>
      </c>
    </row>
    <row r="20" spans="1:12" ht="15.75" thickBot="1" x14ac:dyDescent="0.3">
      <c r="A20" s="8">
        <v>12</v>
      </c>
      <c r="B20" s="23"/>
      <c r="C20" s="24"/>
      <c r="D20" s="24"/>
      <c r="E20" s="25"/>
      <c r="F20" s="19">
        <f t="shared" si="0"/>
        <v>0</v>
      </c>
      <c r="G20" s="32"/>
      <c r="H20" s="35"/>
      <c r="I20" s="35"/>
      <c r="J20" s="35"/>
      <c r="K20" s="17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3">
        <v>4</v>
      </c>
      <c r="C21" s="24"/>
      <c r="D21" s="24"/>
      <c r="E21" s="25"/>
      <c r="F21" s="19">
        <f t="shared" si="0"/>
        <v>4</v>
      </c>
      <c r="G21" s="36"/>
      <c r="H21" s="24"/>
      <c r="I21" s="24"/>
      <c r="J21" s="24"/>
      <c r="K21" s="17">
        <f t="shared" si="1"/>
        <v>0</v>
      </c>
      <c r="L21" s="7">
        <f t="shared" si="2"/>
        <v>4</v>
      </c>
    </row>
    <row r="22" spans="1:12" ht="15.75" thickBot="1" x14ac:dyDescent="0.3">
      <c r="A22" s="8">
        <v>14</v>
      </c>
      <c r="B22" s="23"/>
      <c r="C22" s="24"/>
      <c r="D22" s="24"/>
      <c r="E22" s="25"/>
      <c r="F22" s="19">
        <f t="shared" si="0"/>
        <v>0</v>
      </c>
      <c r="G22" s="36"/>
      <c r="H22" s="24"/>
      <c r="I22" s="24"/>
      <c r="J22" s="24"/>
      <c r="K22" s="17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3"/>
      <c r="C23" s="24"/>
      <c r="D23" s="24"/>
      <c r="E23" s="25"/>
      <c r="F23" s="19">
        <f t="shared" si="0"/>
        <v>0</v>
      </c>
      <c r="G23" s="32"/>
      <c r="H23" s="24"/>
      <c r="I23" s="24"/>
      <c r="J23" s="24"/>
      <c r="K23" s="17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3"/>
      <c r="C24" s="24"/>
      <c r="D24" s="24"/>
      <c r="E24" s="25"/>
      <c r="F24" s="19">
        <f t="shared" si="0"/>
        <v>0</v>
      </c>
      <c r="G24" s="32"/>
      <c r="H24" s="24"/>
      <c r="I24" s="24"/>
      <c r="J24" s="24"/>
      <c r="K24" s="17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3">
        <v>6</v>
      </c>
      <c r="C25" s="49"/>
      <c r="D25" s="27"/>
      <c r="E25" s="25"/>
      <c r="F25" s="19">
        <f t="shared" si="0"/>
        <v>6</v>
      </c>
      <c r="G25" s="32">
        <v>1</v>
      </c>
      <c r="H25" s="24"/>
      <c r="I25" s="24"/>
      <c r="J25" s="24"/>
      <c r="K25" s="17">
        <f t="shared" si="1"/>
        <v>1</v>
      </c>
      <c r="L25" s="7">
        <f t="shared" si="2"/>
        <v>7</v>
      </c>
    </row>
    <row r="26" spans="1:12" ht="15.75" thickBot="1" x14ac:dyDescent="0.3">
      <c r="A26" s="8">
        <v>18</v>
      </c>
      <c r="B26" s="23">
        <v>3</v>
      </c>
      <c r="C26" s="24"/>
      <c r="D26" s="24">
        <v>1</v>
      </c>
      <c r="E26" s="25"/>
      <c r="F26" s="19">
        <f t="shared" si="0"/>
        <v>4</v>
      </c>
      <c r="G26" s="32"/>
      <c r="H26" s="24"/>
      <c r="I26" s="24"/>
      <c r="J26" s="24"/>
      <c r="K26" s="17">
        <f t="shared" si="1"/>
        <v>0</v>
      </c>
      <c r="L26" s="7">
        <f t="shared" si="2"/>
        <v>4</v>
      </c>
    </row>
    <row r="27" spans="1:12" ht="15.75" thickBot="1" x14ac:dyDescent="0.3">
      <c r="A27" s="8">
        <v>19</v>
      </c>
      <c r="B27" s="23">
        <v>1</v>
      </c>
      <c r="C27" s="24"/>
      <c r="D27" s="24"/>
      <c r="E27" s="25"/>
      <c r="F27" s="19">
        <f t="shared" si="0"/>
        <v>1</v>
      </c>
      <c r="G27" s="32"/>
      <c r="H27" s="24"/>
      <c r="I27" s="24"/>
      <c r="J27" s="24"/>
      <c r="K27" s="17">
        <f t="shared" si="1"/>
        <v>0</v>
      </c>
      <c r="L27" s="7">
        <f t="shared" si="2"/>
        <v>1</v>
      </c>
    </row>
    <row r="28" spans="1:12" ht="15.75" thickBot="1" x14ac:dyDescent="0.3">
      <c r="A28" s="8">
        <v>20</v>
      </c>
      <c r="B28" s="23"/>
      <c r="C28" s="24"/>
      <c r="D28" s="24"/>
      <c r="E28" s="25"/>
      <c r="F28" s="19">
        <f t="shared" si="0"/>
        <v>0</v>
      </c>
      <c r="G28" s="32"/>
      <c r="H28" s="24"/>
      <c r="I28" s="24"/>
      <c r="J28" s="24"/>
      <c r="K28" s="17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3"/>
      <c r="C29" s="24"/>
      <c r="D29" s="24"/>
      <c r="E29" s="25"/>
      <c r="F29" s="19">
        <f t="shared" si="0"/>
        <v>0</v>
      </c>
      <c r="G29" s="32"/>
      <c r="H29" s="24"/>
      <c r="I29" s="24"/>
      <c r="J29" s="24"/>
      <c r="K29" s="17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3"/>
      <c r="C30" s="24"/>
      <c r="D30" s="24"/>
      <c r="E30" s="25"/>
      <c r="F30" s="19">
        <f t="shared" si="0"/>
        <v>0</v>
      </c>
      <c r="G30" s="32"/>
      <c r="H30" s="24"/>
      <c r="I30" s="24"/>
      <c r="J30" s="24"/>
      <c r="K30" s="17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3">
        <v>1</v>
      </c>
      <c r="C31" s="24"/>
      <c r="D31" s="24">
        <v>1</v>
      </c>
      <c r="E31" s="25"/>
      <c r="F31" s="19">
        <f t="shared" si="0"/>
        <v>2</v>
      </c>
      <c r="G31" s="32"/>
      <c r="H31" s="24"/>
      <c r="I31" s="24"/>
      <c r="J31" s="24"/>
      <c r="K31" s="17">
        <f t="shared" si="1"/>
        <v>0</v>
      </c>
      <c r="L31" s="7">
        <f t="shared" si="2"/>
        <v>2</v>
      </c>
    </row>
    <row r="32" spans="1:12" ht="15.75" thickBot="1" x14ac:dyDescent="0.3">
      <c r="A32" s="8">
        <v>24</v>
      </c>
      <c r="B32" s="23"/>
      <c r="C32" s="24"/>
      <c r="D32" s="24"/>
      <c r="E32" s="25"/>
      <c r="F32" s="19">
        <f t="shared" si="0"/>
        <v>0</v>
      </c>
      <c r="G32" s="32"/>
      <c r="H32" s="24"/>
      <c r="I32" s="24"/>
      <c r="J32" s="24"/>
      <c r="K32" s="17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3">
        <v>3</v>
      </c>
      <c r="C33" s="24"/>
      <c r="D33" s="24"/>
      <c r="E33" s="25"/>
      <c r="F33" s="19">
        <f t="shared" si="0"/>
        <v>3</v>
      </c>
      <c r="G33" s="32">
        <v>3</v>
      </c>
      <c r="H33" s="24">
        <v>1</v>
      </c>
      <c r="I33" s="24"/>
      <c r="J33" s="24"/>
      <c r="K33" s="17">
        <f t="shared" si="1"/>
        <v>4</v>
      </c>
      <c r="L33" s="7">
        <f t="shared" si="2"/>
        <v>7</v>
      </c>
    </row>
    <row r="34" spans="1:12" ht="15.75" thickBot="1" x14ac:dyDescent="0.3">
      <c r="A34" s="8">
        <v>26</v>
      </c>
      <c r="B34" s="23"/>
      <c r="C34" s="24"/>
      <c r="D34" s="24"/>
      <c r="E34" s="25"/>
      <c r="F34" s="19">
        <f t="shared" si="0"/>
        <v>0</v>
      </c>
      <c r="G34" s="32">
        <v>1</v>
      </c>
      <c r="H34" s="24"/>
      <c r="I34" s="24"/>
      <c r="J34" s="24"/>
      <c r="K34" s="17">
        <f t="shared" si="1"/>
        <v>1</v>
      </c>
      <c r="L34" s="7">
        <f t="shared" si="2"/>
        <v>1</v>
      </c>
    </row>
    <row r="35" spans="1:12" ht="15.75" thickBot="1" x14ac:dyDescent="0.3">
      <c r="A35" s="8">
        <v>27</v>
      </c>
      <c r="B35" s="23">
        <v>5</v>
      </c>
      <c r="C35" s="24"/>
      <c r="D35" s="24"/>
      <c r="E35" s="25"/>
      <c r="F35" s="19">
        <f t="shared" si="0"/>
        <v>5</v>
      </c>
      <c r="G35" s="47"/>
      <c r="H35" s="24"/>
      <c r="I35" s="24"/>
      <c r="J35" s="24"/>
      <c r="K35" s="17">
        <f t="shared" si="1"/>
        <v>0</v>
      </c>
      <c r="L35" s="7">
        <f t="shared" si="2"/>
        <v>5</v>
      </c>
    </row>
    <row r="36" spans="1:12" ht="15.75" thickBot="1" x14ac:dyDescent="0.3">
      <c r="A36" s="8">
        <v>28</v>
      </c>
      <c r="B36" s="23"/>
      <c r="C36" s="24"/>
      <c r="D36" s="24"/>
      <c r="E36" s="25"/>
      <c r="F36" s="19">
        <f t="shared" si="0"/>
        <v>0</v>
      </c>
      <c r="G36" s="32"/>
      <c r="H36" s="24"/>
      <c r="I36" s="24"/>
      <c r="J36" s="24"/>
      <c r="K36" s="17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3"/>
      <c r="C37" s="24"/>
      <c r="D37" s="24"/>
      <c r="E37" s="25"/>
      <c r="F37" s="19">
        <f t="shared" si="0"/>
        <v>0</v>
      </c>
      <c r="G37" s="32"/>
      <c r="H37" s="24"/>
      <c r="I37" s="24"/>
      <c r="J37" s="24"/>
      <c r="K37" s="17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3">
        <v>2</v>
      </c>
      <c r="C38" s="24"/>
      <c r="D38" s="24"/>
      <c r="E38" s="25"/>
      <c r="F38" s="19">
        <f t="shared" si="0"/>
        <v>2</v>
      </c>
      <c r="G38" s="32"/>
      <c r="H38" s="24"/>
      <c r="I38" s="24"/>
      <c r="J38" s="24"/>
      <c r="K38" s="17">
        <f t="shared" si="1"/>
        <v>0</v>
      </c>
      <c r="L38" s="7">
        <f t="shared" si="2"/>
        <v>2</v>
      </c>
    </row>
    <row r="39" spans="1:12" ht="15.75" thickBot="1" x14ac:dyDescent="0.3">
      <c r="A39" s="9">
        <v>31</v>
      </c>
      <c r="B39" s="28"/>
      <c r="C39" s="29"/>
      <c r="D39" s="29"/>
      <c r="E39" s="30"/>
      <c r="F39" s="19">
        <f t="shared" si="0"/>
        <v>0</v>
      </c>
      <c r="G39" s="32"/>
      <c r="H39" s="24"/>
      <c r="I39" s="24"/>
      <c r="J39" s="24"/>
      <c r="K39" s="17">
        <f t="shared" si="1"/>
        <v>0</v>
      </c>
      <c r="L39" s="7">
        <f t="shared" si="2"/>
        <v>0</v>
      </c>
    </row>
    <row r="40" spans="1:12" ht="15.75" thickBot="1" x14ac:dyDescent="0.3">
      <c r="A40" s="10"/>
      <c r="B40" s="55">
        <f>SUM(B9:B39)</f>
        <v>33</v>
      </c>
      <c r="C40" s="55">
        <f t="shared" ref="C40:E40" si="3">SUM(C9:C39)</f>
        <v>0</v>
      </c>
      <c r="D40" s="55">
        <f t="shared" si="3"/>
        <v>4</v>
      </c>
      <c r="E40" s="55">
        <f t="shared" si="3"/>
        <v>0</v>
      </c>
      <c r="F40" s="54">
        <f>SUM(F9:F39)</f>
        <v>37</v>
      </c>
      <c r="G40" s="18">
        <f>SUM(G9:G39)</f>
        <v>16</v>
      </c>
      <c r="H40" s="18">
        <f t="shared" ref="H40:L40" si="4">SUM(H9:H39)</f>
        <v>1</v>
      </c>
      <c r="I40" s="18">
        <f t="shared" si="4"/>
        <v>0</v>
      </c>
      <c r="J40" s="18">
        <f t="shared" si="4"/>
        <v>0</v>
      </c>
      <c r="K40" s="18">
        <f t="shared" si="4"/>
        <v>17</v>
      </c>
      <c r="L40" s="18">
        <f t="shared" si="4"/>
        <v>54</v>
      </c>
    </row>
    <row r="41" spans="1:12" ht="15.75" thickBot="1" x14ac:dyDescent="0.3">
      <c r="A41" s="12"/>
      <c r="B41" s="12"/>
      <c r="C41" s="13"/>
      <c r="D41" s="13"/>
      <c r="E41" s="13"/>
      <c r="F41" s="12"/>
      <c r="G41" s="12"/>
      <c r="H41" s="13"/>
      <c r="I41" s="13"/>
      <c r="J41" s="13"/>
      <c r="K41" s="12"/>
      <c r="L41" s="14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2"/>
      <c r="L42" s="14"/>
    </row>
    <row r="43" spans="1:12" ht="15.75" thickBot="1" x14ac:dyDescent="0.3">
      <c r="A43" s="15"/>
      <c r="B43" s="89" t="s">
        <v>19</v>
      </c>
      <c r="C43" s="90"/>
      <c r="D43" s="90"/>
      <c r="E43" s="90"/>
      <c r="F43" s="90"/>
      <c r="G43" s="91">
        <v>21</v>
      </c>
      <c r="H43" s="92"/>
      <c r="I43" s="93"/>
      <c r="J43" s="94"/>
      <c r="K43" s="12"/>
      <c r="L43" s="14"/>
    </row>
    <row r="44" spans="1:12" ht="15.75" thickBot="1" x14ac:dyDescent="0.3">
      <c r="A44" s="15"/>
      <c r="B44" s="89" t="s">
        <v>20</v>
      </c>
      <c r="C44" s="90"/>
      <c r="D44" s="90"/>
      <c r="E44" s="90"/>
      <c r="F44" s="90"/>
      <c r="G44" s="95">
        <v>120</v>
      </c>
      <c r="H44" s="96"/>
      <c r="I44" s="95"/>
      <c r="J44" s="96"/>
      <c r="K44" s="12"/>
      <c r="L44" s="14"/>
    </row>
    <row r="45" spans="1:12" ht="15.75" thickBot="1" x14ac:dyDescent="0.3">
      <c r="A45" s="15"/>
      <c r="B45" s="97" t="s">
        <v>21</v>
      </c>
      <c r="C45" s="97"/>
      <c r="D45" s="97"/>
      <c r="E45" s="97"/>
      <c r="F45" s="89"/>
      <c r="G45" s="98">
        <v>12</v>
      </c>
      <c r="H45" s="99"/>
      <c r="I45" s="91"/>
      <c r="J45" s="100"/>
      <c r="K45" s="12"/>
      <c r="L45" s="14"/>
    </row>
    <row r="46" spans="1:12" ht="15.75" thickBot="1" x14ac:dyDescent="0.3">
      <c r="A46" s="15"/>
      <c r="B46" s="89" t="s">
        <v>22</v>
      </c>
      <c r="C46" s="90"/>
      <c r="D46" s="90"/>
      <c r="E46" s="90"/>
      <c r="F46" s="90"/>
      <c r="G46" s="101">
        <f>L40+G45</f>
        <v>66</v>
      </c>
      <c r="H46" s="96"/>
      <c r="I46" s="95"/>
      <c r="J46" s="96"/>
      <c r="K46" s="12"/>
      <c r="L46" s="14"/>
    </row>
    <row r="47" spans="1:12" ht="15.75" thickBot="1" x14ac:dyDescent="0.3">
      <c r="A47" s="4"/>
      <c r="B47" s="89" t="s">
        <v>23</v>
      </c>
      <c r="C47" s="90"/>
      <c r="D47" s="90"/>
      <c r="E47" s="90"/>
      <c r="F47" s="90"/>
      <c r="G47" s="101">
        <f>G43+G44-G46</f>
        <v>75</v>
      </c>
      <c r="H47" s="96"/>
      <c r="I47" s="95"/>
      <c r="J47" s="96"/>
      <c r="K47" s="12"/>
      <c r="L47" s="3"/>
    </row>
    <row r="48" spans="1:12" ht="15.75" thickBot="1" x14ac:dyDescent="0.3">
      <c r="A48" s="4"/>
      <c r="B48" s="89" t="s">
        <v>24</v>
      </c>
      <c r="C48" s="90"/>
      <c r="D48" s="90"/>
      <c r="E48" s="90"/>
      <c r="F48" s="90"/>
      <c r="G48" s="95">
        <v>35</v>
      </c>
      <c r="H48" s="96"/>
      <c r="I48" s="95"/>
      <c r="J48" s="96"/>
      <c r="K48" s="12"/>
      <c r="L48" s="3"/>
    </row>
    <row r="49" spans="1:12" ht="15.75" thickBot="1" x14ac:dyDescent="0.3">
      <c r="A49" s="4"/>
      <c r="B49" s="89" t="s">
        <v>25</v>
      </c>
      <c r="C49" s="90"/>
      <c r="D49" s="90"/>
      <c r="E49" s="90"/>
      <c r="F49" s="90"/>
      <c r="G49" s="102">
        <f>G47-G48</f>
        <v>40</v>
      </c>
      <c r="H49" s="103"/>
      <c r="I49" s="104"/>
      <c r="J49" s="103"/>
      <c r="K49" s="12"/>
      <c r="L49" s="3"/>
    </row>
    <row r="50" spans="1:12" x14ac:dyDescent="0.25">
      <c r="A50" s="5" t="s">
        <v>26</v>
      </c>
      <c r="B50" s="38"/>
      <c r="C50" s="44"/>
      <c r="D50" s="44"/>
      <c r="E50" s="44"/>
      <c r="F50" s="38"/>
      <c r="G50" s="38"/>
      <c r="H50" s="44"/>
      <c r="I50" s="45" t="s">
        <v>27</v>
      </c>
      <c r="J50" s="44"/>
      <c r="K50" s="38"/>
      <c r="L50" s="1"/>
    </row>
    <row r="52" spans="1:12" x14ac:dyDescent="0.25">
      <c r="B52" t="s">
        <v>38</v>
      </c>
    </row>
    <row r="53" spans="1:12" x14ac:dyDescent="0.25">
      <c r="B53" t="s">
        <v>39</v>
      </c>
    </row>
  </sheetData>
  <mergeCells count="36">
    <mergeCell ref="A4:L4"/>
    <mergeCell ref="A1:D1"/>
    <mergeCell ref="G1:L1"/>
    <mergeCell ref="A2:D2"/>
    <mergeCell ref="G2:L2"/>
    <mergeCell ref="A3:D3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topLeftCell="A31" zoomScaleNormal="100" workbookViewId="0">
      <selection activeCell="B52" sqref="B52"/>
    </sheetView>
  </sheetViews>
  <sheetFormatPr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7"/>
      <c r="F1" s="38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7"/>
      <c r="F2" s="38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7"/>
      <c r="F3" s="38"/>
      <c r="G3" s="38"/>
      <c r="H3" s="37"/>
      <c r="I3" s="37"/>
      <c r="J3" s="37"/>
      <c r="K3" s="38"/>
      <c r="L3" s="1"/>
    </row>
    <row r="4" spans="1:12" ht="17.25" customHeight="1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41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</row>
    <row r="6" spans="1:12" ht="3.75" customHeight="1" thickBot="1" x14ac:dyDescent="0.3">
      <c r="A6" s="2" t="s">
        <v>6</v>
      </c>
      <c r="B6" s="12"/>
      <c r="C6" s="13"/>
      <c r="D6" s="13"/>
      <c r="E6" s="13"/>
      <c r="F6" s="12"/>
      <c r="G6" s="12"/>
      <c r="H6" s="76"/>
      <c r="I6" s="76"/>
      <c r="J6" s="13"/>
      <c r="K6" s="39"/>
      <c r="L6" s="3"/>
    </row>
    <row r="7" spans="1:12" x14ac:dyDescent="0.25">
      <c r="A7" s="77" t="s">
        <v>7</v>
      </c>
      <c r="B7" s="79" t="s">
        <v>8</v>
      </c>
      <c r="C7" s="80"/>
      <c r="D7" s="80"/>
      <c r="E7" s="80"/>
      <c r="F7" s="81"/>
      <c r="G7" s="82" t="s">
        <v>9</v>
      </c>
      <c r="H7" s="80"/>
      <c r="I7" s="80"/>
      <c r="J7" s="80"/>
      <c r="K7" s="81"/>
      <c r="L7" s="83" t="s">
        <v>10</v>
      </c>
    </row>
    <row r="8" spans="1:12" ht="15.75" thickBot="1" x14ac:dyDescent="0.3">
      <c r="A8" s="78"/>
      <c r="B8" s="40" t="s">
        <v>11</v>
      </c>
      <c r="C8" s="41" t="s">
        <v>12</v>
      </c>
      <c r="D8" s="41" t="s">
        <v>13</v>
      </c>
      <c r="E8" s="41" t="s">
        <v>14</v>
      </c>
      <c r="F8" s="42" t="s">
        <v>15</v>
      </c>
      <c r="G8" s="43" t="s">
        <v>11</v>
      </c>
      <c r="H8" s="41" t="s">
        <v>12</v>
      </c>
      <c r="I8" s="41" t="s">
        <v>13</v>
      </c>
      <c r="J8" s="41" t="s">
        <v>14</v>
      </c>
      <c r="K8" s="42" t="s">
        <v>16</v>
      </c>
      <c r="L8" s="84"/>
    </row>
    <row r="9" spans="1:12" ht="15.75" thickBot="1" x14ac:dyDescent="0.3">
      <c r="A9" s="6">
        <v>1</v>
      </c>
      <c r="B9" s="20"/>
      <c r="C9" s="21"/>
      <c r="D9" s="21"/>
      <c r="E9" s="22"/>
      <c r="F9" s="19">
        <f>SUM(B9:E9)</f>
        <v>0</v>
      </c>
      <c r="G9" s="48"/>
      <c r="H9" s="31"/>
      <c r="I9" s="31"/>
      <c r="J9" s="31"/>
      <c r="K9" s="17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3"/>
      <c r="C10" s="24"/>
      <c r="D10" s="24"/>
      <c r="E10" s="25"/>
      <c r="F10" s="19">
        <f t="shared" ref="F10:F39" si="0">SUM(B10:E10)</f>
        <v>0</v>
      </c>
      <c r="G10" s="32"/>
      <c r="H10" s="24"/>
      <c r="I10" s="24"/>
      <c r="J10" s="24"/>
      <c r="K10" s="17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3">
        <v>3</v>
      </c>
      <c r="C11" s="24"/>
      <c r="D11" s="24"/>
      <c r="E11" s="26"/>
      <c r="F11" s="19">
        <f t="shared" si="0"/>
        <v>3</v>
      </c>
      <c r="G11" s="32"/>
      <c r="H11" s="24"/>
      <c r="I11" s="24"/>
      <c r="J11" s="24"/>
      <c r="K11" s="17">
        <f t="shared" si="1"/>
        <v>0</v>
      </c>
      <c r="L11" s="7">
        <f t="shared" si="2"/>
        <v>3</v>
      </c>
    </row>
    <row r="12" spans="1:12" ht="15.75" thickBot="1" x14ac:dyDescent="0.3">
      <c r="A12" s="8">
        <v>4</v>
      </c>
      <c r="B12" s="23"/>
      <c r="C12" s="24"/>
      <c r="D12" s="24"/>
      <c r="E12" s="25"/>
      <c r="F12" s="19">
        <f t="shared" si="0"/>
        <v>0</v>
      </c>
      <c r="G12" s="33"/>
      <c r="H12" s="24"/>
      <c r="I12" s="24"/>
      <c r="J12" s="24"/>
      <c r="K12" s="17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3"/>
      <c r="C13" s="24"/>
      <c r="D13" s="24"/>
      <c r="E13" s="25"/>
      <c r="F13" s="19">
        <f t="shared" si="0"/>
        <v>0</v>
      </c>
      <c r="G13" s="32"/>
      <c r="H13" s="24"/>
      <c r="I13" s="24"/>
      <c r="J13" s="24"/>
      <c r="K13" s="17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3"/>
      <c r="C14" s="24"/>
      <c r="D14" s="24"/>
      <c r="E14" s="25"/>
      <c r="F14" s="19">
        <f t="shared" si="0"/>
        <v>0</v>
      </c>
      <c r="G14" s="32"/>
      <c r="H14" s="24"/>
      <c r="I14" s="24"/>
      <c r="J14" s="24"/>
      <c r="K14" s="17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3"/>
      <c r="C15" s="24"/>
      <c r="D15" s="24"/>
      <c r="E15" s="25"/>
      <c r="F15" s="19">
        <f t="shared" si="0"/>
        <v>0</v>
      </c>
      <c r="G15" s="32">
        <v>1</v>
      </c>
      <c r="H15" s="24"/>
      <c r="I15" s="24"/>
      <c r="J15" s="24"/>
      <c r="K15" s="17">
        <f t="shared" si="1"/>
        <v>1</v>
      </c>
      <c r="L15" s="7">
        <f t="shared" si="2"/>
        <v>1</v>
      </c>
    </row>
    <row r="16" spans="1:12" ht="15.75" thickBot="1" x14ac:dyDescent="0.3">
      <c r="A16" s="8">
        <v>8</v>
      </c>
      <c r="B16" s="23"/>
      <c r="C16" s="24"/>
      <c r="D16" s="24"/>
      <c r="E16" s="25"/>
      <c r="F16" s="19">
        <f t="shared" si="0"/>
        <v>0</v>
      </c>
      <c r="G16" s="32"/>
      <c r="H16" s="24"/>
      <c r="I16" s="24"/>
      <c r="J16" s="24"/>
      <c r="K16" s="17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3">
        <v>1</v>
      </c>
      <c r="C17" s="24"/>
      <c r="D17" s="24"/>
      <c r="E17" s="25"/>
      <c r="F17" s="19">
        <f t="shared" si="0"/>
        <v>1</v>
      </c>
      <c r="G17" s="32"/>
      <c r="H17" s="24"/>
      <c r="I17" s="24"/>
      <c r="J17" s="24"/>
      <c r="K17" s="17">
        <f t="shared" si="1"/>
        <v>0</v>
      </c>
      <c r="L17" s="7">
        <f t="shared" si="2"/>
        <v>1</v>
      </c>
    </row>
    <row r="18" spans="1:12" ht="15.75" thickBot="1" x14ac:dyDescent="0.3">
      <c r="A18" s="8">
        <v>10</v>
      </c>
      <c r="B18" s="23"/>
      <c r="C18" s="24"/>
      <c r="D18" s="24"/>
      <c r="E18" s="25"/>
      <c r="F18" s="19">
        <f t="shared" si="0"/>
        <v>0</v>
      </c>
      <c r="G18" s="34"/>
      <c r="H18" s="24"/>
      <c r="I18" s="24"/>
      <c r="J18" s="24"/>
      <c r="K18" s="17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3">
        <v>1</v>
      </c>
      <c r="C19" s="24"/>
      <c r="D19" s="24"/>
      <c r="E19" s="25"/>
      <c r="F19" s="19">
        <f t="shared" si="0"/>
        <v>1</v>
      </c>
      <c r="G19" s="32"/>
      <c r="H19" s="24"/>
      <c r="I19" s="24"/>
      <c r="J19" s="24"/>
      <c r="K19" s="17">
        <f t="shared" si="1"/>
        <v>0</v>
      </c>
      <c r="L19" s="7">
        <f t="shared" si="2"/>
        <v>1</v>
      </c>
    </row>
    <row r="20" spans="1:12" ht="15.75" thickBot="1" x14ac:dyDescent="0.3">
      <c r="A20" s="8">
        <v>12</v>
      </c>
      <c r="B20" s="23"/>
      <c r="C20" s="24"/>
      <c r="D20" s="24"/>
      <c r="E20" s="25"/>
      <c r="F20" s="19">
        <f t="shared" si="0"/>
        <v>0</v>
      </c>
      <c r="G20" s="32"/>
      <c r="H20" s="35"/>
      <c r="I20" s="35"/>
      <c r="J20" s="35"/>
      <c r="K20" s="17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3"/>
      <c r="C21" s="24"/>
      <c r="D21" s="24"/>
      <c r="E21" s="25"/>
      <c r="F21" s="19">
        <f t="shared" si="0"/>
        <v>0</v>
      </c>
      <c r="G21" s="36"/>
      <c r="H21" s="24"/>
      <c r="I21" s="24"/>
      <c r="J21" s="24"/>
      <c r="K21" s="17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3"/>
      <c r="C22" s="24"/>
      <c r="D22" s="24">
        <v>2</v>
      </c>
      <c r="E22" s="25"/>
      <c r="F22" s="19">
        <f t="shared" si="0"/>
        <v>2</v>
      </c>
      <c r="G22" s="36"/>
      <c r="H22" s="24"/>
      <c r="I22" s="24"/>
      <c r="J22" s="24"/>
      <c r="K22" s="17">
        <f t="shared" si="1"/>
        <v>0</v>
      </c>
      <c r="L22" s="7">
        <f t="shared" si="2"/>
        <v>2</v>
      </c>
    </row>
    <row r="23" spans="1:12" ht="15.75" thickBot="1" x14ac:dyDescent="0.3">
      <c r="A23" s="8">
        <v>15</v>
      </c>
      <c r="B23" s="23">
        <v>1</v>
      </c>
      <c r="C23" s="24"/>
      <c r="D23" s="24">
        <v>1</v>
      </c>
      <c r="E23" s="25"/>
      <c r="F23" s="19">
        <f t="shared" si="0"/>
        <v>2</v>
      </c>
      <c r="G23" s="32"/>
      <c r="H23" s="24"/>
      <c r="I23" s="24"/>
      <c r="J23" s="24"/>
      <c r="K23" s="17">
        <f t="shared" si="1"/>
        <v>0</v>
      </c>
      <c r="L23" s="7">
        <f t="shared" si="2"/>
        <v>2</v>
      </c>
    </row>
    <row r="24" spans="1:12" ht="15.75" thickBot="1" x14ac:dyDescent="0.3">
      <c r="A24" s="8">
        <v>16</v>
      </c>
      <c r="B24" s="23"/>
      <c r="C24" s="24"/>
      <c r="D24" s="24"/>
      <c r="E24" s="25"/>
      <c r="F24" s="19">
        <f t="shared" si="0"/>
        <v>0</v>
      </c>
      <c r="G24" s="32"/>
      <c r="H24" s="24"/>
      <c r="I24" s="24"/>
      <c r="J24" s="24"/>
      <c r="K24" s="17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3"/>
      <c r="C25" s="49"/>
      <c r="D25" s="27"/>
      <c r="E25" s="25"/>
      <c r="F25" s="19">
        <f t="shared" si="0"/>
        <v>0</v>
      </c>
      <c r="G25" s="32"/>
      <c r="H25" s="24"/>
      <c r="I25" s="24"/>
      <c r="J25" s="24"/>
      <c r="K25" s="17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3"/>
      <c r="C26" s="24"/>
      <c r="D26" s="24"/>
      <c r="E26" s="25"/>
      <c r="F26" s="19">
        <f t="shared" si="0"/>
        <v>0</v>
      </c>
      <c r="G26" s="32"/>
      <c r="H26" s="24"/>
      <c r="I26" s="24"/>
      <c r="J26" s="24"/>
      <c r="K26" s="17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3"/>
      <c r="C27" s="24"/>
      <c r="D27" s="24"/>
      <c r="E27" s="25"/>
      <c r="F27" s="19">
        <f t="shared" si="0"/>
        <v>0</v>
      </c>
      <c r="G27" s="32"/>
      <c r="H27" s="24"/>
      <c r="I27" s="24"/>
      <c r="J27" s="24"/>
      <c r="K27" s="17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3"/>
      <c r="C28" s="24"/>
      <c r="D28" s="24"/>
      <c r="E28" s="25"/>
      <c r="F28" s="19">
        <f t="shared" si="0"/>
        <v>0</v>
      </c>
      <c r="G28" s="32"/>
      <c r="H28" s="24"/>
      <c r="I28" s="24"/>
      <c r="J28" s="24"/>
      <c r="K28" s="17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3"/>
      <c r="C29" s="24"/>
      <c r="D29" s="24"/>
      <c r="E29" s="25"/>
      <c r="F29" s="19">
        <f t="shared" si="0"/>
        <v>0</v>
      </c>
      <c r="G29" s="32"/>
      <c r="H29" s="24"/>
      <c r="I29" s="24"/>
      <c r="J29" s="24"/>
      <c r="K29" s="17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3"/>
      <c r="C30" s="24"/>
      <c r="D30" s="24"/>
      <c r="E30" s="25">
        <v>1</v>
      </c>
      <c r="F30" s="19">
        <f t="shared" si="0"/>
        <v>1</v>
      </c>
      <c r="G30" s="32"/>
      <c r="H30" s="24"/>
      <c r="I30" s="24"/>
      <c r="J30" s="24"/>
      <c r="K30" s="17">
        <f t="shared" si="1"/>
        <v>0</v>
      </c>
      <c r="L30" s="7">
        <f t="shared" si="2"/>
        <v>1</v>
      </c>
    </row>
    <row r="31" spans="1:12" ht="15.75" thickBot="1" x14ac:dyDescent="0.3">
      <c r="A31" s="8">
        <v>23</v>
      </c>
      <c r="B31" s="23">
        <v>2</v>
      </c>
      <c r="C31" s="24"/>
      <c r="D31" s="24">
        <v>1</v>
      </c>
      <c r="E31" s="25">
        <v>1</v>
      </c>
      <c r="F31" s="19">
        <f t="shared" si="0"/>
        <v>4</v>
      </c>
      <c r="G31" s="32"/>
      <c r="H31" s="24"/>
      <c r="I31" s="24"/>
      <c r="J31" s="24"/>
      <c r="K31" s="17">
        <f t="shared" si="1"/>
        <v>0</v>
      </c>
      <c r="L31" s="7">
        <f t="shared" si="2"/>
        <v>4</v>
      </c>
    </row>
    <row r="32" spans="1:12" ht="15.75" thickBot="1" x14ac:dyDescent="0.3">
      <c r="A32" s="8">
        <v>24</v>
      </c>
      <c r="B32" s="23">
        <v>3</v>
      </c>
      <c r="C32" s="24"/>
      <c r="D32" s="24">
        <v>3</v>
      </c>
      <c r="E32" s="25"/>
      <c r="F32" s="19">
        <f t="shared" si="0"/>
        <v>6</v>
      </c>
      <c r="G32" s="32">
        <v>1</v>
      </c>
      <c r="H32" s="24"/>
      <c r="I32" s="24"/>
      <c r="J32" s="24"/>
      <c r="K32" s="17">
        <f t="shared" si="1"/>
        <v>1</v>
      </c>
      <c r="L32" s="7">
        <f t="shared" si="2"/>
        <v>7</v>
      </c>
    </row>
    <row r="33" spans="1:12" ht="15.75" thickBot="1" x14ac:dyDescent="0.3">
      <c r="A33" s="8">
        <v>25</v>
      </c>
      <c r="B33" s="23">
        <v>1</v>
      </c>
      <c r="C33" s="24"/>
      <c r="D33" s="24"/>
      <c r="E33" s="25"/>
      <c r="F33" s="19">
        <f t="shared" si="0"/>
        <v>1</v>
      </c>
      <c r="G33" s="32">
        <v>2</v>
      </c>
      <c r="H33" s="24"/>
      <c r="I33" s="24"/>
      <c r="J33" s="24"/>
      <c r="K33" s="17">
        <f t="shared" si="1"/>
        <v>2</v>
      </c>
      <c r="L33" s="7">
        <f t="shared" si="2"/>
        <v>3</v>
      </c>
    </row>
    <row r="34" spans="1:12" ht="15.75" thickBot="1" x14ac:dyDescent="0.3">
      <c r="A34" s="8">
        <v>26</v>
      </c>
      <c r="B34" s="23"/>
      <c r="C34" s="24"/>
      <c r="D34" s="24"/>
      <c r="E34" s="25"/>
      <c r="F34" s="19">
        <f t="shared" si="0"/>
        <v>0</v>
      </c>
      <c r="G34" s="32"/>
      <c r="H34" s="24"/>
      <c r="I34" s="24"/>
      <c r="J34" s="24"/>
      <c r="K34" s="17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3"/>
      <c r="C35" s="24"/>
      <c r="D35" s="24"/>
      <c r="E35" s="25"/>
      <c r="F35" s="19">
        <f t="shared" si="0"/>
        <v>0</v>
      </c>
      <c r="G35" s="47"/>
      <c r="H35" s="24"/>
      <c r="I35" s="24"/>
      <c r="J35" s="24"/>
      <c r="K35" s="17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3">
        <v>1</v>
      </c>
      <c r="C36" s="24"/>
      <c r="D36" s="24"/>
      <c r="E36" s="25"/>
      <c r="F36" s="19">
        <f t="shared" si="0"/>
        <v>1</v>
      </c>
      <c r="G36" s="32"/>
      <c r="H36" s="24"/>
      <c r="I36" s="24"/>
      <c r="J36" s="24"/>
      <c r="K36" s="17">
        <f t="shared" si="1"/>
        <v>0</v>
      </c>
      <c r="L36" s="7">
        <f t="shared" si="2"/>
        <v>1</v>
      </c>
    </row>
    <row r="37" spans="1:12" ht="15.75" thickBot="1" x14ac:dyDescent="0.3">
      <c r="A37" s="8">
        <v>29</v>
      </c>
      <c r="B37" s="23">
        <v>1</v>
      </c>
      <c r="C37" s="24"/>
      <c r="D37" s="24"/>
      <c r="E37" s="25"/>
      <c r="F37" s="19">
        <f t="shared" si="0"/>
        <v>1</v>
      </c>
      <c r="G37" s="32"/>
      <c r="H37" s="24"/>
      <c r="I37" s="24"/>
      <c r="J37" s="24"/>
      <c r="K37" s="17">
        <f t="shared" si="1"/>
        <v>0</v>
      </c>
      <c r="L37" s="7">
        <f t="shared" si="2"/>
        <v>1</v>
      </c>
    </row>
    <row r="38" spans="1:12" ht="15.75" thickBot="1" x14ac:dyDescent="0.3">
      <c r="A38" s="8">
        <v>30</v>
      </c>
      <c r="B38" s="23"/>
      <c r="C38" s="24"/>
      <c r="D38" s="24"/>
      <c r="E38" s="25"/>
      <c r="F38" s="19">
        <f t="shared" si="0"/>
        <v>0</v>
      </c>
      <c r="G38" s="32"/>
      <c r="H38" s="24"/>
      <c r="I38" s="24"/>
      <c r="J38" s="24"/>
      <c r="K38" s="17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8">
        <v>1</v>
      </c>
      <c r="C39" s="29"/>
      <c r="D39" s="29"/>
      <c r="E39" s="30"/>
      <c r="F39" s="19">
        <f t="shared" si="0"/>
        <v>1</v>
      </c>
      <c r="G39" s="32"/>
      <c r="H39" s="24"/>
      <c r="I39" s="24"/>
      <c r="J39" s="24"/>
      <c r="K39" s="17">
        <f t="shared" si="1"/>
        <v>0</v>
      </c>
      <c r="L39" s="7">
        <f t="shared" si="2"/>
        <v>1</v>
      </c>
    </row>
    <row r="40" spans="1:12" ht="15.75" thickBot="1" x14ac:dyDescent="0.3">
      <c r="A40" s="10"/>
      <c r="B40" s="57">
        <f>SUM(B9:B39)</f>
        <v>15</v>
      </c>
      <c r="C40" s="57">
        <f t="shared" ref="C40:E40" si="3">SUM(C9:C39)</f>
        <v>0</v>
      </c>
      <c r="D40" s="57">
        <f t="shared" si="3"/>
        <v>7</v>
      </c>
      <c r="E40" s="57">
        <f t="shared" si="3"/>
        <v>2</v>
      </c>
      <c r="F40" s="56">
        <f>SUM(F9:F39)</f>
        <v>24</v>
      </c>
      <c r="G40" s="18">
        <f>SUM(G9:G39)</f>
        <v>4</v>
      </c>
      <c r="H40" s="18">
        <f t="shared" ref="H40:L40" si="4">SUM(H9:H39)</f>
        <v>0</v>
      </c>
      <c r="I40" s="18">
        <f t="shared" si="4"/>
        <v>0</v>
      </c>
      <c r="J40" s="18">
        <f t="shared" si="4"/>
        <v>0</v>
      </c>
      <c r="K40" s="18">
        <f t="shared" si="4"/>
        <v>4</v>
      </c>
      <c r="L40" s="18">
        <f t="shared" si="4"/>
        <v>28</v>
      </c>
    </row>
    <row r="41" spans="1:12" ht="2.25" customHeight="1" thickBot="1" x14ac:dyDescent="0.3">
      <c r="A41" s="12"/>
      <c r="B41" s="12"/>
      <c r="C41" s="13"/>
      <c r="D41" s="13"/>
      <c r="E41" s="13"/>
      <c r="F41" s="12"/>
      <c r="G41" s="12"/>
      <c r="H41" s="13"/>
      <c r="I41" s="13"/>
      <c r="J41" s="13"/>
      <c r="K41" s="12"/>
      <c r="L41" s="14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2"/>
      <c r="L42" s="14"/>
    </row>
    <row r="43" spans="1:12" ht="15.75" thickBot="1" x14ac:dyDescent="0.3">
      <c r="A43" s="15"/>
      <c r="B43" s="89" t="s">
        <v>19</v>
      </c>
      <c r="C43" s="90"/>
      <c r="D43" s="90"/>
      <c r="E43" s="90"/>
      <c r="F43" s="90"/>
      <c r="G43" s="91">
        <v>35</v>
      </c>
      <c r="H43" s="92"/>
      <c r="I43" s="93"/>
      <c r="J43" s="94"/>
      <c r="K43" s="12"/>
      <c r="L43" s="14"/>
    </row>
    <row r="44" spans="1:12" ht="15.75" thickBot="1" x14ac:dyDescent="0.3">
      <c r="A44" s="15"/>
      <c r="B44" s="89" t="s">
        <v>20</v>
      </c>
      <c r="C44" s="90"/>
      <c r="D44" s="90"/>
      <c r="E44" s="90"/>
      <c r="F44" s="90"/>
      <c r="G44" s="95">
        <v>100</v>
      </c>
      <c r="H44" s="96"/>
      <c r="I44" s="95"/>
      <c r="J44" s="96"/>
      <c r="K44" s="12"/>
      <c r="L44" s="14"/>
    </row>
    <row r="45" spans="1:12" ht="15.75" thickBot="1" x14ac:dyDescent="0.3">
      <c r="A45" s="15"/>
      <c r="B45" s="97" t="s">
        <v>21</v>
      </c>
      <c r="C45" s="97"/>
      <c r="D45" s="97"/>
      <c r="E45" s="97"/>
      <c r="F45" s="89"/>
      <c r="G45" s="98">
        <v>2</v>
      </c>
      <c r="H45" s="99"/>
      <c r="I45" s="91"/>
      <c r="J45" s="100"/>
      <c r="K45" s="12"/>
      <c r="L45" s="14"/>
    </row>
    <row r="46" spans="1:12" ht="15.75" thickBot="1" x14ac:dyDescent="0.3">
      <c r="A46" s="15"/>
      <c r="B46" s="89" t="s">
        <v>22</v>
      </c>
      <c r="C46" s="90"/>
      <c r="D46" s="90"/>
      <c r="E46" s="90"/>
      <c r="F46" s="90"/>
      <c r="G46" s="101">
        <f>L40+G45</f>
        <v>30</v>
      </c>
      <c r="H46" s="96"/>
      <c r="I46" s="95"/>
      <c r="J46" s="96"/>
      <c r="K46" s="12"/>
      <c r="L46" s="14"/>
    </row>
    <row r="47" spans="1:12" ht="15.75" thickBot="1" x14ac:dyDescent="0.3">
      <c r="A47" s="4"/>
      <c r="B47" s="89" t="s">
        <v>23</v>
      </c>
      <c r="C47" s="90"/>
      <c r="D47" s="90"/>
      <c r="E47" s="90"/>
      <c r="F47" s="90"/>
      <c r="G47" s="101">
        <f>G43+G44-G46</f>
        <v>105</v>
      </c>
      <c r="H47" s="96"/>
      <c r="I47" s="95"/>
      <c r="J47" s="96"/>
      <c r="K47" s="12"/>
      <c r="L47" s="3"/>
    </row>
    <row r="48" spans="1:12" ht="15.75" thickBot="1" x14ac:dyDescent="0.3">
      <c r="A48" s="4"/>
      <c r="B48" s="89" t="s">
        <v>24</v>
      </c>
      <c r="C48" s="90"/>
      <c r="D48" s="90"/>
      <c r="E48" s="90"/>
      <c r="F48" s="90"/>
      <c r="G48" s="95">
        <v>54</v>
      </c>
      <c r="H48" s="96"/>
      <c r="I48" s="95"/>
      <c r="J48" s="96"/>
      <c r="K48" s="12"/>
      <c r="L48" s="3"/>
    </row>
    <row r="49" spans="1:12" ht="15.75" thickBot="1" x14ac:dyDescent="0.3">
      <c r="A49" s="4"/>
      <c r="B49" s="89" t="s">
        <v>25</v>
      </c>
      <c r="C49" s="90"/>
      <c r="D49" s="90"/>
      <c r="E49" s="90"/>
      <c r="F49" s="90"/>
      <c r="G49" s="102">
        <f>G47-G48</f>
        <v>51</v>
      </c>
      <c r="H49" s="103"/>
      <c r="I49" s="104"/>
      <c r="J49" s="103"/>
      <c r="K49" s="12"/>
      <c r="L49" s="3"/>
    </row>
    <row r="50" spans="1:12" x14ac:dyDescent="0.25">
      <c r="A50" s="5" t="s">
        <v>26</v>
      </c>
      <c r="B50" s="38"/>
      <c r="C50" s="44"/>
      <c r="D50" s="44"/>
      <c r="E50" s="44"/>
      <c r="F50" s="38"/>
      <c r="G50" s="38"/>
      <c r="H50" s="44"/>
      <c r="I50" s="45" t="s">
        <v>27</v>
      </c>
      <c r="J50" s="44"/>
      <c r="K50" s="38"/>
      <c r="L50" s="1"/>
    </row>
    <row r="51" spans="1:12" ht="10.5" customHeight="1" x14ac:dyDescent="0.25"/>
    <row r="52" spans="1:12" x14ac:dyDescent="0.25">
      <c r="B52" t="s">
        <v>40</v>
      </c>
    </row>
    <row r="53" spans="1:12" x14ac:dyDescent="0.25">
      <c r="B53" t="s">
        <v>42</v>
      </c>
    </row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H6:I6"/>
    <mergeCell ref="A7:A8"/>
    <mergeCell ref="B7:F7"/>
    <mergeCell ref="G7:K7"/>
    <mergeCell ref="L7:L8"/>
    <mergeCell ref="A4:L4"/>
    <mergeCell ref="A1:D1"/>
    <mergeCell ref="G1:L1"/>
    <mergeCell ref="A2:D2"/>
    <mergeCell ref="G2:L2"/>
    <mergeCell ref="A3:D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1" zoomScaleNormal="100" workbookViewId="0">
      <selection activeCell="I54" sqref="I54"/>
    </sheetView>
  </sheetViews>
  <sheetFormatPr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7"/>
      <c r="F1" s="38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7"/>
      <c r="F2" s="38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7"/>
      <c r="F3" s="38"/>
      <c r="G3" s="38"/>
      <c r="H3" s="37"/>
      <c r="I3" s="37"/>
      <c r="J3" s="37"/>
      <c r="K3" s="38"/>
      <c r="L3" s="1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43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</row>
    <row r="6" spans="1:12" ht="3.75" customHeight="1" thickBot="1" x14ac:dyDescent="0.3">
      <c r="A6" s="2" t="s">
        <v>6</v>
      </c>
      <c r="B6" s="12"/>
      <c r="C6" s="13"/>
      <c r="D6" s="13"/>
      <c r="E6" s="13"/>
      <c r="F6" s="12"/>
      <c r="G6" s="12"/>
      <c r="H6" s="76"/>
      <c r="I6" s="76"/>
      <c r="J6" s="13"/>
      <c r="K6" s="39"/>
      <c r="L6" s="3"/>
    </row>
    <row r="7" spans="1:12" x14ac:dyDescent="0.25">
      <c r="A7" s="77" t="s">
        <v>7</v>
      </c>
      <c r="B7" s="79" t="s">
        <v>8</v>
      </c>
      <c r="C7" s="80"/>
      <c r="D7" s="80"/>
      <c r="E7" s="80"/>
      <c r="F7" s="81"/>
      <c r="G7" s="82" t="s">
        <v>9</v>
      </c>
      <c r="H7" s="80"/>
      <c r="I7" s="80"/>
      <c r="J7" s="80"/>
      <c r="K7" s="81"/>
      <c r="L7" s="83" t="s">
        <v>10</v>
      </c>
    </row>
    <row r="8" spans="1:12" ht="15.75" thickBot="1" x14ac:dyDescent="0.3">
      <c r="A8" s="78"/>
      <c r="B8" s="40" t="s">
        <v>11</v>
      </c>
      <c r="C8" s="41" t="s">
        <v>12</v>
      </c>
      <c r="D8" s="41" t="s">
        <v>13</v>
      </c>
      <c r="E8" s="41" t="s">
        <v>14</v>
      </c>
      <c r="F8" s="42" t="s">
        <v>15</v>
      </c>
      <c r="G8" s="43" t="s">
        <v>11</v>
      </c>
      <c r="H8" s="41" t="s">
        <v>12</v>
      </c>
      <c r="I8" s="41" t="s">
        <v>13</v>
      </c>
      <c r="J8" s="41" t="s">
        <v>14</v>
      </c>
      <c r="K8" s="42" t="s">
        <v>16</v>
      </c>
      <c r="L8" s="84"/>
    </row>
    <row r="9" spans="1:12" ht="15.75" thickBot="1" x14ac:dyDescent="0.3">
      <c r="A9" s="6">
        <v>1</v>
      </c>
      <c r="B9" s="20"/>
      <c r="C9" s="21"/>
      <c r="D9" s="21"/>
      <c r="E9" s="22"/>
      <c r="F9" s="19">
        <f>SUM(B9:E9)</f>
        <v>0</v>
      </c>
      <c r="G9" s="48"/>
      <c r="H9" s="31"/>
      <c r="I9" s="31"/>
      <c r="J9" s="31"/>
      <c r="K9" s="17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3"/>
      <c r="C10" s="24"/>
      <c r="D10" s="24"/>
      <c r="E10" s="25"/>
      <c r="F10" s="19">
        <f t="shared" ref="F10:F39" si="0">SUM(B10:E10)</f>
        <v>0</v>
      </c>
      <c r="G10" s="32"/>
      <c r="H10" s="24"/>
      <c r="I10" s="24"/>
      <c r="J10" s="24"/>
      <c r="K10" s="17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3"/>
      <c r="C11" s="24"/>
      <c r="D11" s="24"/>
      <c r="E11" s="26"/>
      <c r="F11" s="19">
        <f t="shared" si="0"/>
        <v>0</v>
      </c>
      <c r="G11" s="32"/>
      <c r="H11" s="24"/>
      <c r="I11" s="24"/>
      <c r="J11" s="24"/>
      <c r="K11" s="17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3"/>
      <c r="C12" s="24"/>
      <c r="D12" s="24"/>
      <c r="E12" s="25"/>
      <c r="F12" s="19">
        <f t="shared" si="0"/>
        <v>0</v>
      </c>
      <c r="G12" s="33"/>
      <c r="H12" s="24"/>
      <c r="I12" s="24"/>
      <c r="J12" s="24"/>
      <c r="K12" s="17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3">
        <v>2</v>
      </c>
      <c r="C13" s="24"/>
      <c r="D13" s="24"/>
      <c r="E13" s="25"/>
      <c r="F13" s="19">
        <f t="shared" si="0"/>
        <v>2</v>
      </c>
      <c r="G13" s="32"/>
      <c r="H13" s="24"/>
      <c r="I13" s="24"/>
      <c r="J13" s="24"/>
      <c r="K13" s="17">
        <f t="shared" si="1"/>
        <v>0</v>
      </c>
      <c r="L13" s="7">
        <f t="shared" si="2"/>
        <v>2</v>
      </c>
    </row>
    <row r="14" spans="1:12" ht="15.75" thickBot="1" x14ac:dyDescent="0.3">
      <c r="A14" s="8">
        <v>6</v>
      </c>
      <c r="B14" s="23">
        <v>1</v>
      </c>
      <c r="C14" s="24"/>
      <c r="D14" s="24"/>
      <c r="E14" s="25"/>
      <c r="F14" s="19">
        <f t="shared" si="0"/>
        <v>1</v>
      </c>
      <c r="G14" s="32"/>
      <c r="H14" s="24"/>
      <c r="I14" s="24"/>
      <c r="J14" s="24"/>
      <c r="K14" s="17">
        <f t="shared" si="1"/>
        <v>0</v>
      </c>
      <c r="L14" s="7">
        <f t="shared" si="2"/>
        <v>1</v>
      </c>
    </row>
    <row r="15" spans="1:12" ht="15.75" thickBot="1" x14ac:dyDescent="0.3">
      <c r="A15" s="8">
        <v>7</v>
      </c>
      <c r="B15" s="23"/>
      <c r="C15" s="24"/>
      <c r="D15" s="24"/>
      <c r="E15" s="25"/>
      <c r="F15" s="19">
        <f t="shared" si="0"/>
        <v>0</v>
      </c>
      <c r="G15" s="32">
        <v>1</v>
      </c>
      <c r="H15" s="24"/>
      <c r="I15" s="24"/>
      <c r="J15" s="24"/>
      <c r="K15" s="17">
        <f t="shared" si="1"/>
        <v>1</v>
      </c>
      <c r="L15" s="7">
        <f t="shared" si="2"/>
        <v>1</v>
      </c>
    </row>
    <row r="16" spans="1:12" ht="15.75" thickBot="1" x14ac:dyDescent="0.3">
      <c r="A16" s="8">
        <v>8</v>
      </c>
      <c r="B16" s="23">
        <v>1</v>
      </c>
      <c r="C16" s="24"/>
      <c r="D16" s="24"/>
      <c r="E16" s="25"/>
      <c r="F16" s="19">
        <f t="shared" si="0"/>
        <v>1</v>
      </c>
      <c r="G16" s="32"/>
      <c r="H16" s="24"/>
      <c r="I16" s="24"/>
      <c r="J16" s="24"/>
      <c r="K16" s="17">
        <f t="shared" si="1"/>
        <v>0</v>
      </c>
      <c r="L16" s="7">
        <f t="shared" si="2"/>
        <v>1</v>
      </c>
    </row>
    <row r="17" spans="1:12" ht="15.75" thickBot="1" x14ac:dyDescent="0.3">
      <c r="A17" s="8">
        <v>9</v>
      </c>
      <c r="B17" s="23"/>
      <c r="C17" s="24"/>
      <c r="D17" s="24"/>
      <c r="E17" s="25"/>
      <c r="F17" s="19">
        <f t="shared" si="0"/>
        <v>0</v>
      </c>
      <c r="G17" s="32"/>
      <c r="H17" s="24"/>
      <c r="I17" s="24"/>
      <c r="J17" s="24"/>
      <c r="K17" s="17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3"/>
      <c r="C18" s="24"/>
      <c r="D18" s="24"/>
      <c r="E18" s="25"/>
      <c r="F18" s="19">
        <f t="shared" si="0"/>
        <v>0</v>
      </c>
      <c r="G18" s="34"/>
      <c r="H18" s="24"/>
      <c r="I18" s="24"/>
      <c r="J18" s="24"/>
      <c r="K18" s="17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3"/>
      <c r="C19" s="24"/>
      <c r="D19" s="24"/>
      <c r="E19" s="25"/>
      <c r="F19" s="19">
        <f t="shared" si="0"/>
        <v>0</v>
      </c>
      <c r="G19" s="32"/>
      <c r="H19" s="24"/>
      <c r="I19" s="24"/>
      <c r="J19" s="24"/>
      <c r="K19" s="17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3"/>
      <c r="C20" s="24"/>
      <c r="D20" s="24">
        <v>1</v>
      </c>
      <c r="E20" s="25"/>
      <c r="F20" s="19">
        <f t="shared" si="0"/>
        <v>1</v>
      </c>
      <c r="G20" s="32"/>
      <c r="H20" s="35"/>
      <c r="I20" s="35"/>
      <c r="J20" s="35"/>
      <c r="K20" s="17">
        <f t="shared" si="1"/>
        <v>0</v>
      </c>
      <c r="L20" s="7">
        <f t="shared" si="2"/>
        <v>1</v>
      </c>
    </row>
    <row r="21" spans="1:12" ht="15.75" thickBot="1" x14ac:dyDescent="0.3">
      <c r="A21" s="8">
        <v>13</v>
      </c>
      <c r="B21" s="23"/>
      <c r="C21" s="24"/>
      <c r="D21" s="24"/>
      <c r="E21" s="25"/>
      <c r="F21" s="19">
        <f t="shared" si="0"/>
        <v>0</v>
      </c>
      <c r="G21" s="36"/>
      <c r="H21" s="24"/>
      <c r="I21" s="24"/>
      <c r="J21" s="24"/>
      <c r="K21" s="17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3"/>
      <c r="C22" s="24"/>
      <c r="D22" s="24">
        <v>3</v>
      </c>
      <c r="E22" s="25"/>
      <c r="F22" s="19">
        <f t="shared" si="0"/>
        <v>3</v>
      </c>
      <c r="G22" s="36"/>
      <c r="H22" s="24"/>
      <c r="I22" s="24"/>
      <c r="J22" s="24"/>
      <c r="K22" s="17">
        <f t="shared" si="1"/>
        <v>0</v>
      </c>
      <c r="L22" s="7">
        <f t="shared" si="2"/>
        <v>3</v>
      </c>
    </row>
    <row r="23" spans="1:12" ht="15.75" thickBot="1" x14ac:dyDescent="0.3">
      <c r="A23" s="8">
        <v>15</v>
      </c>
      <c r="B23" s="23"/>
      <c r="C23" s="24"/>
      <c r="D23" s="24"/>
      <c r="E23" s="25"/>
      <c r="F23" s="19">
        <f t="shared" si="0"/>
        <v>0</v>
      </c>
      <c r="G23" s="32">
        <v>8</v>
      </c>
      <c r="H23" s="24"/>
      <c r="I23" s="24"/>
      <c r="J23" s="24"/>
      <c r="K23" s="17">
        <f t="shared" si="1"/>
        <v>8</v>
      </c>
      <c r="L23" s="7">
        <f t="shared" si="2"/>
        <v>8</v>
      </c>
    </row>
    <row r="24" spans="1:12" ht="15.75" thickBot="1" x14ac:dyDescent="0.3">
      <c r="A24" s="8">
        <v>16</v>
      </c>
      <c r="B24" s="23"/>
      <c r="C24" s="24"/>
      <c r="D24" s="24"/>
      <c r="E24" s="25"/>
      <c r="F24" s="19">
        <f t="shared" si="0"/>
        <v>0</v>
      </c>
      <c r="G24" s="32"/>
      <c r="H24" s="24"/>
      <c r="I24" s="24"/>
      <c r="J24" s="24"/>
      <c r="K24" s="17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3"/>
      <c r="C25" s="49"/>
      <c r="D25" s="27"/>
      <c r="E25" s="25"/>
      <c r="F25" s="19">
        <f t="shared" si="0"/>
        <v>0</v>
      </c>
      <c r="G25" s="32"/>
      <c r="H25" s="24"/>
      <c r="I25" s="24"/>
      <c r="J25" s="24"/>
      <c r="K25" s="17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3">
        <v>2</v>
      </c>
      <c r="C26" s="24"/>
      <c r="D26" s="24"/>
      <c r="E26" s="25"/>
      <c r="F26" s="19">
        <f t="shared" si="0"/>
        <v>2</v>
      </c>
      <c r="G26" s="32"/>
      <c r="H26" s="24"/>
      <c r="I26" s="24"/>
      <c r="J26" s="24"/>
      <c r="K26" s="17">
        <f t="shared" si="1"/>
        <v>0</v>
      </c>
      <c r="L26" s="7">
        <f t="shared" si="2"/>
        <v>2</v>
      </c>
    </row>
    <row r="27" spans="1:12" ht="15.75" thickBot="1" x14ac:dyDescent="0.3">
      <c r="A27" s="8">
        <v>19</v>
      </c>
      <c r="B27" s="23">
        <v>1</v>
      </c>
      <c r="C27" s="24"/>
      <c r="D27" s="24"/>
      <c r="E27" s="25"/>
      <c r="F27" s="19">
        <f t="shared" si="0"/>
        <v>1</v>
      </c>
      <c r="G27" s="32"/>
      <c r="H27" s="24"/>
      <c r="I27" s="24"/>
      <c r="J27" s="24"/>
      <c r="K27" s="17">
        <f t="shared" si="1"/>
        <v>0</v>
      </c>
      <c r="L27" s="7">
        <f t="shared" si="2"/>
        <v>1</v>
      </c>
    </row>
    <row r="28" spans="1:12" ht="15.75" thickBot="1" x14ac:dyDescent="0.3">
      <c r="A28" s="8">
        <v>20</v>
      </c>
      <c r="B28" s="23"/>
      <c r="C28" s="24"/>
      <c r="D28" s="24"/>
      <c r="E28" s="25"/>
      <c r="F28" s="19">
        <f t="shared" si="0"/>
        <v>0</v>
      </c>
      <c r="G28" s="32"/>
      <c r="H28" s="24"/>
      <c r="I28" s="24"/>
      <c r="J28" s="24"/>
      <c r="K28" s="17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3"/>
      <c r="C29" s="24"/>
      <c r="D29" s="24"/>
      <c r="E29" s="25"/>
      <c r="F29" s="19">
        <f t="shared" si="0"/>
        <v>0</v>
      </c>
      <c r="G29" s="32"/>
      <c r="H29" s="24"/>
      <c r="I29" s="24"/>
      <c r="J29" s="24"/>
      <c r="K29" s="17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3"/>
      <c r="C30" s="24"/>
      <c r="D30" s="24"/>
      <c r="E30" s="25"/>
      <c r="F30" s="19">
        <f t="shared" si="0"/>
        <v>0</v>
      </c>
      <c r="G30" s="32">
        <v>6</v>
      </c>
      <c r="H30" s="24"/>
      <c r="I30" s="24"/>
      <c r="J30" s="24"/>
      <c r="K30" s="17">
        <f t="shared" si="1"/>
        <v>6</v>
      </c>
      <c r="L30" s="7">
        <f t="shared" si="2"/>
        <v>6</v>
      </c>
    </row>
    <row r="31" spans="1:12" ht="15.75" thickBot="1" x14ac:dyDescent="0.3">
      <c r="A31" s="8">
        <v>23</v>
      </c>
      <c r="B31" s="23"/>
      <c r="C31" s="24"/>
      <c r="D31" s="24"/>
      <c r="E31" s="25"/>
      <c r="F31" s="19">
        <f t="shared" si="0"/>
        <v>0</v>
      </c>
      <c r="G31" s="32"/>
      <c r="H31" s="24"/>
      <c r="I31" s="24"/>
      <c r="J31" s="24"/>
      <c r="K31" s="17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3"/>
      <c r="C32" s="24"/>
      <c r="D32" s="24"/>
      <c r="E32" s="25"/>
      <c r="F32" s="19">
        <f t="shared" si="0"/>
        <v>0</v>
      </c>
      <c r="G32" s="32"/>
      <c r="H32" s="24"/>
      <c r="I32" s="24"/>
      <c r="J32" s="24"/>
      <c r="K32" s="17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3"/>
      <c r="C33" s="24"/>
      <c r="D33" s="24"/>
      <c r="E33" s="25"/>
      <c r="F33" s="19">
        <f t="shared" si="0"/>
        <v>0</v>
      </c>
      <c r="G33" s="32"/>
      <c r="H33" s="24"/>
      <c r="I33" s="24"/>
      <c r="J33" s="24"/>
      <c r="K33" s="17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3"/>
      <c r="C34" s="24"/>
      <c r="D34" s="24"/>
      <c r="E34" s="25"/>
      <c r="F34" s="19">
        <f t="shared" si="0"/>
        <v>0</v>
      </c>
      <c r="G34" s="32"/>
      <c r="H34" s="24"/>
      <c r="I34" s="24"/>
      <c r="J34" s="24"/>
      <c r="K34" s="17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3">
        <v>1</v>
      </c>
      <c r="C35" s="24"/>
      <c r="D35" s="24"/>
      <c r="E35" s="25"/>
      <c r="F35" s="19">
        <f t="shared" si="0"/>
        <v>1</v>
      </c>
      <c r="G35" s="47"/>
      <c r="H35" s="24"/>
      <c r="I35" s="24"/>
      <c r="J35" s="24"/>
      <c r="K35" s="17">
        <f t="shared" si="1"/>
        <v>0</v>
      </c>
      <c r="L35" s="7">
        <f t="shared" si="2"/>
        <v>1</v>
      </c>
    </row>
    <row r="36" spans="1:12" ht="15.75" thickBot="1" x14ac:dyDescent="0.3">
      <c r="A36" s="8">
        <v>28</v>
      </c>
      <c r="B36" s="23"/>
      <c r="C36" s="24"/>
      <c r="D36" s="24"/>
      <c r="E36" s="25"/>
      <c r="F36" s="19">
        <f t="shared" si="0"/>
        <v>0</v>
      </c>
      <c r="G36" s="32"/>
      <c r="H36" s="24"/>
      <c r="I36" s="24"/>
      <c r="J36" s="24"/>
      <c r="K36" s="17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3">
        <v>1</v>
      </c>
      <c r="C37" s="24"/>
      <c r="D37" s="24"/>
      <c r="E37" s="25"/>
      <c r="F37" s="19">
        <f t="shared" si="0"/>
        <v>1</v>
      </c>
      <c r="G37" s="32"/>
      <c r="H37" s="24"/>
      <c r="I37" s="24"/>
      <c r="J37" s="24"/>
      <c r="K37" s="17">
        <f t="shared" si="1"/>
        <v>0</v>
      </c>
      <c r="L37" s="7">
        <f t="shared" si="2"/>
        <v>1</v>
      </c>
    </row>
    <row r="38" spans="1:12" ht="15.75" thickBot="1" x14ac:dyDescent="0.3">
      <c r="A38" s="8">
        <v>30</v>
      </c>
      <c r="B38" s="23"/>
      <c r="C38" s="24"/>
      <c r="D38" s="24"/>
      <c r="E38" s="25"/>
      <c r="F38" s="19">
        <f t="shared" si="0"/>
        <v>0</v>
      </c>
      <c r="G38" s="32"/>
      <c r="H38" s="24"/>
      <c r="I38" s="24"/>
      <c r="J38" s="24"/>
      <c r="K38" s="17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8"/>
      <c r="C39" s="29"/>
      <c r="D39" s="29"/>
      <c r="E39" s="30"/>
      <c r="F39" s="19">
        <f t="shared" si="0"/>
        <v>0</v>
      </c>
      <c r="G39" s="32"/>
      <c r="H39" s="24"/>
      <c r="I39" s="24"/>
      <c r="J39" s="24"/>
      <c r="K39" s="17">
        <f t="shared" si="1"/>
        <v>0</v>
      </c>
      <c r="L39" s="7">
        <f t="shared" si="2"/>
        <v>0</v>
      </c>
    </row>
    <row r="40" spans="1:12" ht="15.75" thickBot="1" x14ac:dyDescent="0.3">
      <c r="A40" s="10"/>
      <c r="B40" s="59">
        <f>SUM(B9:B39)</f>
        <v>9</v>
      </c>
      <c r="C40" s="59">
        <f t="shared" ref="C40:E40" si="3">SUM(C9:C39)</f>
        <v>0</v>
      </c>
      <c r="D40" s="59">
        <f t="shared" si="3"/>
        <v>4</v>
      </c>
      <c r="E40" s="59">
        <f t="shared" si="3"/>
        <v>0</v>
      </c>
      <c r="F40" s="58">
        <f>SUM(F9:F39)</f>
        <v>13</v>
      </c>
      <c r="G40" s="18">
        <f>SUM(G9:G39)</f>
        <v>15</v>
      </c>
      <c r="H40" s="18">
        <f t="shared" ref="H40:L40" si="4">SUM(H9:H39)</f>
        <v>0</v>
      </c>
      <c r="I40" s="18">
        <f t="shared" si="4"/>
        <v>0</v>
      </c>
      <c r="J40" s="18">
        <f t="shared" si="4"/>
        <v>0</v>
      </c>
      <c r="K40" s="18">
        <f t="shared" si="4"/>
        <v>15</v>
      </c>
      <c r="L40" s="18">
        <f t="shared" si="4"/>
        <v>28</v>
      </c>
    </row>
    <row r="41" spans="1:12" ht="15.75" thickBot="1" x14ac:dyDescent="0.3">
      <c r="A41" s="12"/>
      <c r="B41" s="12"/>
      <c r="C41" s="13"/>
      <c r="D41" s="13"/>
      <c r="E41" s="13"/>
      <c r="F41" s="12"/>
      <c r="G41" s="12"/>
      <c r="H41" s="13"/>
      <c r="I41" s="13"/>
      <c r="J41" s="13"/>
      <c r="K41" s="12"/>
      <c r="L41" s="14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2"/>
      <c r="L42" s="14"/>
    </row>
    <row r="43" spans="1:12" ht="15.75" thickBot="1" x14ac:dyDescent="0.3">
      <c r="A43" s="15"/>
      <c r="B43" s="89" t="s">
        <v>19</v>
      </c>
      <c r="C43" s="90"/>
      <c r="D43" s="90"/>
      <c r="E43" s="90"/>
      <c r="F43" s="90"/>
      <c r="G43" s="91">
        <v>54</v>
      </c>
      <c r="H43" s="92"/>
      <c r="I43" s="93"/>
      <c r="J43" s="94"/>
      <c r="K43" s="12"/>
      <c r="L43" s="14"/>
    </row>
    <row r="44" spans="1:12" ht="15.75" thickBot="1" x14ac:dyDescent="0.3">
      <c r="A44" s="15"/>
      <c r="B44" s="89" t="s">
        <v>20</v>
      </c>
      <c r="C44" s="90"/>
      <c r="D44" s="90"/>
      <c r="E44" s="90"/>
      <c r="F44" s="90"/>
      <c r="G44" s="95">
        <v>100</v>
      </c>
      <c r="H44" s="96"/>
      <c r="I44" s="95"/>
      <c r="J44" s="96"/>
      <c r="K44" s="12"/>
      <c r="L44" s="14"/>
    </row>
    <row r="45" spans="1:12" ht="15.75" thickBot="1" x14ac:dyDescent="0.3">
      <c r="A45" s="15"/>
      <c r="B45" s="97" t="s">
        <v>21</v>
      </c>
      <c r="C45" s="97"/>
      <c r="D45" s="97"/>
      <c r="E45" s="97"/>
      <c r="F45" s="89"/>
      <c r="G45" s="98">
        <v>10</v>
      </c>
      <c r="H45" s="99"/>
      <c r="I45" s="91"/>
      <c r="J45" s="100"/>
      <c r="K45" s="12"/>
      <c r="L45" s="14"/>
    </row>
    <row r="46" spans="1:12" ht="15.75" thickBot="1" x14ac:dyDescent="0.3">
      <c r="A46" s="15"/>
      <c r="B46" s="89" t="s">
        <v>22</v>
      </c>
      <c r="C46" s="90"/>
      <c r="D46" s="90"/>
      <c r="E46" s="90"/>
      <c r="F46" s="90"/>
      <c r="G46" s="101">
        <f>+L40+G45</f>
        <v>38</v>
      </c>
      <c r="H46" s="96"/>
      <c r="I46" s="95"/>
      <c r="J46" s="96"/>
      <c r="K46" s="12"/>
      <c r="L46" s="14"/>
    </row>
    <row r="47" spans="1:12" ht="15.75" thickBot="1" x14ac:dyDescent="0.3">
      <c r="A47" s="4"/>
      <c r="B47" s="89" t="s">
        <v>23</v>
      </c>
      <c r="C47" s="90"/>
      <c r="D47" s="90"/>
      <c r="E47" s="90"/>
      <c r="F47" s="90"/>
      <c r="G47" s="101">
        <f>G43+G44-G46</f>
        <v>116</v>
      </c>
      <c r="H47" s="96"/>
      <c r="I47" s="95"/>
      <c r="J47" s="96"/>
      <c r="K47" s="12"/>
      <c r="L47" s="3"/>
    </row>
    <row r="48" spans="1:12" ht="15.75" thickBot="1" x14ac:dyDescent="0.3">
      <c r="A48" s="4"/>
      <c r="B48" s="89" t="s">
        <v>24</v>
      </c>
      <c r="C48" s="90"/>
      <c r="D48" s="90"/>
      <c r="E48" s="90"/>
      <c r="F48" s="90"/>
      <c r="G48" s="95">
        <v>116</v>
      </c>
      <c r="H48" s="96"/>
      <c r="I48" s="95"/>
      <c r="J48" s="96"/>
      <c r="K48" s="12"/>
      <c r="L48" s="3"/>
    </row>
    <row r="49" spans="1:12" ht="15.75" thickBot="1" x14ac:dyDescent="0.3">
      <c r="A49" s="4"/>
      <c r="B49" s="89" t="s">
        <v>25</v>
      </c>
      <c r="C49" s="90"/>
      <c r="D49" s="90"/>
      <c r="E49" s="90"/>
      <c r="F49" s="90"/>
      <c r="G49" s="102">
        <f>G47-G48</f>
        <v>0</v>
      </c>
      <c r="H49" s="103"/>
      <c r="I49" s="104"/>
      <c r="J49" s="103"/>
      <c r="K49" s="12"/>
      <c r="L49" s="3"/>
    </row>
    <row r="50" spans="1:12" x14ac:dyDescent="0.25">
      <c r="A50" s="5" t="s">
        <v>26</v>
      </c>
      <c r="B50" s="38"/>
      <c r="C50" s="44"/>
      <c r="D50" s="44"/>
      <c r="E50" s="44"/>
      <c r="F50" s="38"/>
      <c r="G50" s="38"/>
      <c r="H50" s="44"/>
      <c r="I50" s="45" t="s">
        <v>27</v>
      </c>
      <c r="J50" s="44"/>
      <c r="K50" s="38"/>
      <c r="L50" s="1"/>
    </row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H6:I6"/>
    <mergeCell ref="A7:A8"/>
    <mergeCell ref="B7:F7"/>
    <mergeCell ref="G7:K7"/>
    <mergeCell ref="L7:L8"/>
    <mergeCell ref="A4:L4"/>
    <mergeCell ref="A1:D1"/>
    <mergeCell ref="G1:L1"/>
    <mergeCell ref="A2:D2"/>
    <mergeCell ref="G2:L2"/>
    <mergeCell ref="A3:D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opLeftCell="A34" zoomScaleNormal="100" workbookViewId="0">
      <selection activeCell="B52" sqref="B52"/>
    </sheetView>
  </sheetViews>
  <sheetFormatPr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7"/>
      <c r="F1" s="38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7"/>
      <c r="F2" s="38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7"/>
      <c r="F3" s="38"/>
      <c r="G3" s="38"/>
      <c r="H3" s="37"/>
      <c r="I3" s="37"/>
      <c r="J3" s="37"/>
      <c r="K3" s="38"/>
      <c r="L3" s="1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46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</row>
    <row r="6" spans="1:12" ht="3.75" customHeight="1" thickBot="1" x14ac:dyDescent="0.3">
      <c r="A6" s="2" t="s">
        <v>6</v>
      </c>
      <c r="B6" s="12"/>
      <c r="C6" s="13"/>
      <c r="D6" s="13"/>
      <c r="E6" s="13"/>
      <c r="F6" s="12"/>
      <c r="G6" s="12"/>
      <c r="H6" s="76"/>
      <c r="I6" s="76"/>
      <c r="J6" s="13"/>
      <c r="K6" s="39"/>
      <c r="L6" s="3"/>
    </row>
    <row r="7" spans="1:12" x14ac:dyDescent="0.25">
      <c r="A7" s="77" t="s">
        <v>7</v>
      </c>
      <c r="B7" s="79" t="s">
        <v>8</v>
      </c>
      <c r="C7" s="80"/>
      <c r="D7" s="80"/>
      <c r="E7" s="80"/>
      <c r="F7" s="81"/>
      <c r="G7" s="82" t="s">
        <v>9</v>
      </c>
      <c r="H7" s="80"/>
      <c r="I7" s="80"/>
      <c r="J7" s="80"/>
      <c r="K7" s="81"/>
      <c r="L7" s="83" t="s">
        <v>10</v>
      </c>
    </row>
    <row r="8" spans="1:12" ht="15.75" thickBot="1" x14ac:dyDescent="0.3">
      <c r="A8" s="78"/>
      <c r="B8" s="40" t="s">
        <v>11</v>
      </c>
      <c r="C8" s="41" t="s">
        <v>12</v>
      </c>
      <c r="D8" s="41" t="s">
        <v>13</v>
      </c>
      <c r="E8" s="41" t="s">
        <v>14</v>
      </c>
      <c r="F8" s="42" t="s">
        <v>15</v>
      </c>
      <c r="G8" s="43" t="s">
        <v>11</v>
      </c>
      <c r="H8" s="41" t="s">
        <v>12</v>
      </c>
      <c r="I8" s="41" t="s">
        <v>13</v>
      </c>
      <c r="J8" s="41" t="s">
        <v>14</v>
      </c>
      <c r="K8" s="42" t="s">
        <v>16</v>
      </c>
      <c r="L8" s="84"/>
    </row>
    <row r="9" spans="1:12" ht="15.75" thickBot="1" x14ac:dyDescent="0.3">
      <c r="A9" s="6">
        <v>1</v>
      </c>
      <c r="B9" s="20"/>
      <c r="C9" s="21"/>
      <c r="D9" s="21"/>
      <c r="E9" s="22"/>
      <c r="F9" s="19">
        <f>SUM(B9:E9)</f>
        <v>0</v>
      </c>
      <c r="G9" s="48"/>
      <c r="H9" s="31"/>
      <c r="I9" s="31"/>
      <c r="J9" s="31"/>
      <c r="K9" s="17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3">
        <v>1</v>
      </c>
      <c r="C10" s="24"/>
      <c r="D10" s="24"/>
      <c r="E10" s="25"/>
      <c r="F10" s="19">
        <f t="shared" ref="F10:F39" si="0">SUM(B10:E10)</f>
        <v>1</v>
      </c>
      <c r="G10" s="32"/>
      <c r="H10" s="24"/>
      <c r="I10" s="24"/>
      <c r="J10" s="24"/>
      <c r="K10" s="17">
        <f t="shared" ref="K10:K39" si="1">SUM(G10:J10)</f>
        <v>0</v>
      </c>
      <c r="L10" s="7">
        <f t="shared" ref="L10:L39" si="2">SUM(F10+K10)</f>
        <v>1</v>
      </c>
    </row>
    <row r="11" spans="1:12" ht="15.75" thickBot="1" x14ac:dyDescent="0.3">
      <c r="A11" s="8">
        <v>3</v>
      </c>
      <c r="B11" s="23">
        <v>1</v>
      </c>
      <c r="C11" s="24"/>
      <c r="D11" s="24"/>
      <c r="E11" s="26"/>
      <c r="F11" s="19">
        <f t="shared" si="0"/>
        <v>1</v>
      </c>
      <c r="G11" s="32">
        <v>1</v>
      </c>
      <c r="H11" s="24"/>
      <c r="I11" s="24"/>
      <c r="J11" s="24"/>
      <c r="K11" s="17">
        <f t="shared" si="1"/>
        <v>1</v>
      </c>
      <c r="L11" s="7">
        <f t="shared" si="2"/>
        <v>2</v>
      </c>
    </row>
    <row r="12" spans="1:12" ht="15.75" thickBot="1" x14ac:dyDescent="0.3">
      <c r="A12" s="8">
        <v>4</v>
      </c>
      <c r="B12" s="23">
        <v>1</v>
      </c>
      <c r="C12" s="24"/>
      <c r="D12" s="24"/>
      <c r="E12" s="25"/>
      <c r="F12" s="19">
        <f t="shared" si="0"/>
        <v>1</v>
      </c>
      <c r="G12" s="33"/>
      <c r="H12" s="24"/>
      <c r="I12" s="24"/>
      <c r="J12" s="24"/>
      <c r="K12" s="17">
        <f t="shared" si="1"/>
        <v>0</v>
      </c>
      <c r="L12" s="7">
        <f t="shared" si="2"/>
        <v>1</v>
      </c>
    </row>
    <row r="13" spans="1:12" ht="15.75" thickBot="1" x14ac:dyDescent="0.3">
      <c r="A13" s="8">
        <v>5</v>
      </c>
      <c r="B13" s="23"/>
      <c r="C13" s="24"/>
      <c r="D13" s="24"/>
      <c r="E13" s="25"/>
      <c r="F13" s="19">
        <f t="shared" si="0"/>
        <v>0</v>
      </c>
      <c r="G13" s="32"/>
      <c r="H13" s="24"/>
      <c r="I13" s="24"/>
      <c r="J13" s="24"/>
      <c r="K13" s="17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3">
        <v>1</v>
      </c>
      <c r="C14" s="24"/>
      <c r="D14" s="24"/>
      <c r="E14" s="25"/>
      <c r="F14" s="19">
        <f t="shared" si="0"/>
        <v>1</v>
      </c>
      <c r="G14" s="32">
        <v>1</v>
      </c>
      <c r="H14" s="24"/>
      <c r="I14" s="24"/>
      <c r="J14" s="24"/>
      <c r="K14" s="17">
        <f t="shared" si="1"/>
        <v>1</v>
      </c>
      <c r="L14" s="7">
        <f t="shared" si="2"/>
        <v>2</v>
      </c>
    </row>
    <row r="15" spans="1:12" ht="15.75" thickBot="1" x14ac:dyDescent="0.3">
      <c r="A15" s="8">
        <v>7</v>
      </c>
      <c r="B15" s="23"/>
      <c r="C15" s="24"/>
      <c r="D15" s="24"/>
      <c r="E15" s="25"/>
      <c r="F15" s="19">
        <f t="shared" si="0"/>
        <v>0</v>
      </c>
      <c r="G15" s="32"/>
      <c r="H15" s="24"/>
      <c r="I15" s="24"/>
      <c r="J15" s="24"/>
      <c r="K15" s="17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3"/>
      <c r="C16" s="24"/>
      <c r="D16" s="24"/>
      <c r="E16" s="25"/>
      <c r="F16" s="19">
        <f t="shared" si="0"/>
        <v>0</v>
      </c>
      <c r="G16" s="32"/>
      <c r="H16" s="24"/>
      <c r="I16" s="24"/>
      <c r="J16" s="24"/>
      <c r="K16" s="17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3">
        <v>1</v>
      </c>
      <c r="C17" s="24"/>
      <c r="D17" s="24"/>
      <c r="E17" s="25"/>
      <c r="F17" s="19">
        <f t="shared" si="0"/>
        <v>1</v>
      </c>
      <c r="G17" s="32"/>
      <c r="H17" s="24"/>
      <c r="I17" s="24"/>
      <c r="J17" s="24"/>
      <c r="K17" s="17">
        <f t="shared" si="1"/>
        <v>0</v>
      </c>
      <c r="L17" s="7">
        <f t="shared" si="2"/>
        <v>1</v>
      </c>
    </row>
    <row r="18" spans="1:12" ht="15.75" thickBot="1" x14ac:dyDescent="0.3">
      <c r="A18" s="8">
        <v>10</v>
      </c>
      <c r="B18" s="23"/>
      <c r="C18" s="24"/>
      <c r="D18" s="24"/>
      <c r="E18" s="25"/>
      <c r="F18" s="19">
        <f t="shared" si="0"/>
        <v>0</v>
      </c>
      <c r="G18" s="34"/>
      <c r="H18" s="24"/>
      <c r="I18" s="24"/>
      <c r="J18" s="24"/>
      <c r="K18" s="17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3"/>
      <c r="C19" s="24"/>
      <c r="D19" s="24"/>
      <c r="E19" s="25"/>
      <c r="F19" s="19">
        <f t="shared" si="0"/>
        <v>0</v>
      </c>
      <c r="G19" s="32">
        <v>1</v>
      </c>
      <c r="H19" s="24">
        <v>1</v>
      </c>
      <c r="I19" s="24"/>
      <c r="J19" s="24"/>
      <c r="K19" s="17">
        <f t="shared" si="1"/>
        <v>2</v>
      </c>
      <c r="L19" s="7">
        <f t="shared" si="2"/>
        <v>2</v>
      </c>
    </row>
    <row r="20" spans="1:12" ht="15.75" thickBot="1" x14ac:dyDescent="0.3">
      <c r="A20" s="8">
        <v>12</v>
      </c>
      <c r="B20" s="23"/>
      <c r="C20" s="24"/>
      <c r="D20" s="24"/>
      <c r="E20" s="25"/>
      <c r="F20" s="19">
        <f t="shared" si="0"/>
        <v>0</v>
      </c>
      <c r="G20" s="32">
        <v>1</v>
      </c>
      <c r="H20" s="35"/>
      <c r="I20" s="35"/>
      <c r="J20" s="35"/>
      <c r="K20" s="17">
        <f t="shared" si="1"/>
        <v>1</v>
      </c>
      <c r="L20" s="7">
        <f t="shared" si="2"/>
        <v>1</v>
      </c>
    </row>
    <row r="21" spans="1:12" ht="15.75" thickBot="1" x14ac:dyDescent="0.3">
      <c r="A21" s="8">
        <v>13</v>
      </c>
      <c r="B21" s="23">
        <v>1</v>
      </c>
      <c r="C21" s="24"/>
      <c r="D21" s="24"/>
      <c r="E21" s="25"/>
      <c r="F21" s="19">
        <f t="shared" si="0"/>
        <v>1</v>
      </c>
      <c r="G21" s="36"/>
      <c r="H21" s="24">
        <v>1</v>
      </c>
      <c r="I21" s="24"/>
      <c r="J21" s="24"/>
      <c r="K21" s="17">
        <f t="shared" si="1"/>
        <v>1</v>
      </c>
      <c r="L21" s="7">
        <f t="shared" si="2"/>
        <v>2</v>
      </c>
    </row>
    <row r="22" spans="1:12" ht="15.75" thickBot="1" x14ac:dyDescent="0.3">
      <c r="A22" s="8">
        <v>14</v>
      </c>
      <c r="B22" s="23"/>
      <c r="C22" s="24"/>
      <c r="D22" s="24"/>
      <c r="E22" s="25"/>
      <c r="F22" s="19">
        <f t="shared" si="0"/>
        <v>0</v>
      </c>
      <c r="G22" s="36"/>
      <c r="H22" s="24"/>
      <c r="I22" s="24"/>
      <c r="J22" s="24"/>
      <c r="K22" s="17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3"/>
      <c r="C23" s="24"/>
      <c r="D23" s="24"/>
      <c r="E23" s="25"/>
      <c r="F23" s="19">
        <f t="shared" si="0"/>
        <v>0</v>
      </c>
      <c r="G23" s="32"/>
      <c r="H23" s="24"/>
      <c r="I23" s="24"/>
      <c r="J23" s="24"/>
      <c r="K23" s="17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3"/>
      <c r="C24" s="24"/>
      <c r="D24" s="24"/>
      <c r="E24" s="25"/>
      <c r="F24" s="19">
        <f t="shared" si="0"/>
        <v>0</v>
      </c>
      <c r="G24" s="32"/>
      <c r="H24" s="24"/>
      <c r="I24" s="24"/>
      <c r="J24" s="24"/>
      <c r="K24" s="17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3"/>
      <c r="C25" s="49"/>
      <c r="D25" s="27"/>
      <c r="E25" s="25"/>
      <c r="F25" s="19">
        <f t="shared" si="0"/>
        <v>0</v>
      </c>
      <c r="G25" s="32"/>
      <c r="H25" s="24"/>
      <c r="I25" s="24"/>
      <c r="J25" s="24"/>
      <c r="K25" s="17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3"/>
      <c r="C26" s="24"/>
      <c r="D26" s="24"/>
      <c r="E26" s="25"/>
      <c r="F26" s="19">
        <f t="shared" si="0"/>
        <v>0</v>
      </c>
      <c r="G26" s="32"/>
      <c r="H26" s="24"/>
      <c r="I26" s="24"/>
      <c r="J26" s="24"/>
      <c r="K26" s="17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3">
        <v>2</v>
      </c>
      <c r="C27" s="24"/>
      <c r="D27" s="24">
        <v>1</v>
      </c>
      <c r="E27" s="25"/>
      <c r="F27" s="19">
        <f t="shared" si="0"/>
        <v>3</v>
      </c>
      <c r="G27" s="32"/>
      <c r="H27" s="24"/>
      <c r="I27" s="24"/>
      <c r="J27" s="24"/>
      <c r="K27" s="17">
        <f t="shared" si="1"/>
        <v>0</v>
      </c>
      <c r="L27" s="7">
        <f t="shared" si="2"/>
        <v>3</v>
      </c>
    </row>
    <row r="28" spans="1:12" ht="15.75" thickBot="1" x14ac:dyDescent="0.3">
      <c r="A28" s="8">
        <v>20</v>
      </c>
      <c r="B28" s="23">
        <v>5</v>
      </c>
      <c r="C28" s="24"/>
      <c r="D28" s="24"/>
      <c r="E28" s="25"/>
      <c r="F28" s="19">
        <f t="shared" si="0"/>
        <v>5</v>
      </c>
      <c r="G28" s="32">
        <v>11</v>
      </c>
      <c r="H28" s="24"/>
      <c r="I28" s="24"/>
      <c r="J28" s="24"/>
      <c r="K28" s="17">
        <f t="shared" si="1"/>
        <v>11</v>
      </c>
      <c r="L28" s="7">
        <f t="shared" si="2"/>
        <v>16</v>
      </c>
    </row>
    <row r="29" spans="1:12" ht="15.75" thickBot="1" x14ac:dyDescent="0.3">
      <c r="A29" s="8">
        <v>21</v>
      </c>
      <c r="B29" s="23"/>
      <c r="C29" s="24"/>
      <c r="D29" s="24"/>
      <c r="E29" s="25"/>
      <c r="F29" s="19">
        <f t="shared" si="0"/>
        <v>0</v>
      </c>
      <c r="G29" s="32"/>
      <c r="H29" s="24"/>
      <c r="I29" s="24"/>
      <c r="J29" s="24"/>
      <c r="K29" s="17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3"/>
      <c r="C30" s="24"/>
      <c r="D30" s="24"/>
      <c r="E30" s="25"/>
      <c r="F30" s="19">
        <f t="shared" si="0"/>
        <v>0</v>
      </c>
      <c r="G30" s="32"/>
      <c r="H30" s="24"/>
      <c r="I30" s="24"/>
      <c r="J30" s="24"/>
      <c r="K30" s="17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3"/>
      <c r="C31" s="24"/>
      <c r="D31" s="24"/>
      <c r="E31" s="25"/>
      <c r="F31" s="19">
        <f t="shared" si="0"/>
        <v>0</v>
      </c>
      <c r="G31" s="32"/>
      <c r="H31" s="24">
        <v>1</v>
      </c>
      <c r="I31" s="24"/>
      <c r="J31" s="24"/>
      <c r="K31" s="17">
        <f t="shared" si="1"/>
        <v>1</v>
      </c>
      <c r="L31" s="7">
        <f t="shared" si="2"/>
        <v>1</v>
      </c>
    </row>
    <row r="32" spans="1:12" ht="15.75" thickBot="1" x14ac:dyDescent="0.3">
      <c r="A32" s="8">
        <v>24</v>
      </c>
      <c r="B32" s="23">
        <v>1</v>
      </c>
      <c r="C32" s="24"/>
      <c r="D32" s="24"/>
      <c r="E32" s="25"/>
      <c r="F32" s="19">
        <f t="shared" si="0"/>
        <v>1</v>
      </c>
      <c r="G32" s="32">
        <v>3</v>
      </c>
      <c r="H32" s="24"/>
      <c r="I32" s="24"/>
      <c r="J32" s="24"/>
      <c r="K32" s="17">
        <f t="shared" si="1"/>
        <v>3</v>
      </c>
      <c r="L32" s="7">
        <f t="shared" si="2"/>
        <v>4</v>
      </c>
    </row>
    <row r="33" spans="1:12" ht="15.75" thickBot="1" x14ac:dyDescent="0.3">
      <c r="A33" s="8">
        <v>25</v>
      </c>
      <c r="B33" s="23">
        <v>1</v>
      </c>
      <c r="C33" s="24"/>
      <c r="D33" s="24"/>
      <c r="E33" s="25"/>
      <c r="F33" s="19">
        <f t="shared" si="0"/>
        <v>1</v>
      </c>
      <c r="G33" s="32">
        <v>2</v>
      </c>
      <c r="H33" s="24"/>
      <c r="I33" s="24">
        <v>1</v>
      </c>
      <c r="J33" s="24"/>
      <c r="K33" s="17">
        <f t="shared" si="1"/>
        <v>3</v>
      </c>
      <c r="L33" s="7">
        <f t="shared" si="2"/>
        <v>4</v>
      </c>
    </row>
    <row r="34" spans="1:12" ht="15.75" thickBot="1" x14ac:dyDescent="0.3">
      <c r="A34" s="8">
        <v>26</v>
      </c>
      <c r="B34" s="23">
        <v>2</v>
      </c>
      <c r="C34" s="24"/>
      <c r="D34" s="24"/>
      <c r="E34" s="25"/>
      <c r="F34" s="19">
        <f t="shared" si="0"/>
        <v>2</v>
      </c>
      <c r="G34" s="32">
        <v>4</v>
      </c>
      <c r="H34" s="24"/>
      <c r="I34" s="24"/>
      <c r="J34" s="24"/>
      <c r="K34" s="17">
        <f t="shared" si="1"/>
        <v>4</v>
      </c>
      <c r="L34" s="7">
        <f t="shared" si="2"/>
        <v>6</v>
      </c>
    </row>
    <row r="35" spans="1:12" ht="15.75" thickBot="1" x14ac:dyDescent="0.3">
      <c r="A35" s="8">
        <v>27</v>
      </c>
      <c r="B35" s="23"/>
      <c r="C35" s="24"/>
      <c r="D35" s="24"/>
      <c r="E35" s="25"/>
      <c r="F35" s="19">
        <f t="shared" si="0"/>
        <v>0</v>
      </c>
      <c r="G35" s="47">
        <v>4</v>
      </c>
      <c r="H35" s="24"/>
      <c r="I35" s="24"/>
      <c r="J35" s="24"/>
      <c r="K35" s="17">
        <f t="shared" si="1"/>
        <v>4</v>
      </c>
      <c r="L35" s="7">
        <f t="shared" si="2"/>
        <v>4</v>
      </c>
    </row>
    <row r="36" spans="1:12" ht="15.75" thickBot="1" x14ac:dyDescent="0.3">
      <c r="A36" s="8">
        <v>28</v>
      </c>
      <c r="B36" s="23"/>
      <c r="C36" s="24"/>
      <c r="D36" s="24"/>
      <c r="E36" s="25"/>
      <c r="F36" s="19">
        <f t="shared" si="0"/>
        <v>0</v>
      </c>
      <c r="G36" s="32"/>
      <c r="H36" s="24"/>
      <c r="I36" s="24"/>
      <c r="J36" s="24"/>
      <c r="K36" s="17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3"/>
      <c r="C37" s="24"/>
      <c r="D37" s="24"/>
      <c r="E37" s="25"/>
      <c r="F37" s="19">
        <f t="shared" si="0"/>
        <v>0</v>
      </c>
      <c r="G37" s="32"/>
      <c r="H37" s="24"/>
      <c r="I37" s="24"/>
      <c r="J37" s="24"/>
      <c r="K37" s="17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3">
        <v>1</v>
      </c>
      <c r="C38" s="24"/>
      <c r="D38" s="24"/>
      <c r="E38" s="25"/>
      <c r="F38" s="19">
        <f t="shared" si="0"/>
        <v>1</v>
      </c>
      <c r="G38" s="32"/>
      <c r="H38" s="24"/>
      <c r="I38" s="24"/>
      <c r="J38" s="24"/>
      <c r="K38" s="17">
        <f t="shared" si="1"/>
        <v>0</v>
      </c>
      <c r="L38" s="7">
        <f t="shared" si="2"/>
        <v>1</v>
      </c>
    </row>
    <row r="39" spans="1:12" ht="15.75" thickBot="1" x14ac:dyDescent="0.3">
      <c r="A39" s="9">
        <v>31</v>
      </c>
      <c r="B39" s="28"/>
      <c r="C39" s="29"/>
      <c r="D39" s="29"/>
      <c r="E39" s="30"/>
      <c r="F39" s="19">
        <f t="shared" si="0"/>
        <v>0</v>
      </c>
      <c r="G39" s="32"/>
      <c r="H39" s="24"/>
      <c r="I39" s="24"/>
      <c r="J39" s="24"/>
      <c r="K39" s="17">
        <f t="shared" si="1"/>
        <v>0</v>
      </c>
      <c r="L39" s="7">
        <f t="shared" si="2"/>
        <v>0</v>
      </c>
    </row>
    <row r="40" spans="1:12" ht="15.75" thickBot="1" x14ac:dyDescent="0.3">
      <c r="A40" s="10"/>
      <c r="B40" s="61">
        <f>SUM(B9:B39)</f>
        <v>18</v>
      </c>
      <c r="C40" s="61">
        <f t="shared" ref="C40:E40" si="3">SUM(C9:C39)</f>
        <v>0</v>
      </c>
      <c r="D40" s="61">
        <f t="shared" si="3"/>
        <v>1</v>
      </c>
      <c r="E40" s="61">
        <f t="shared" si="3"/>
        <v>0</v>
      </c>
      <c r="F40" s="60">
        <f>SUM(F9:F39)</f>
        <v>19</v>
      </c>
      <c r="G40" s="18">
        <f>SUM(G9:G39)</f>
        <v>28</v>
      </c>
      <c r="H40" s="18">
        <f t="shared" ref="H40:L40" si="4">SUM(H9:H39)</f>
        <v>3</v>
      </c>
      <c r="I40" s="18">
        <f t="shared" si="4"/>
        <v>1</v>
      </c>
      <c r="J40" s="18">
        <f t="shared" si="4"/>
        <v>0</v>
      </c>
      <c r="K40" s="18">
        <f t="shared" si="4"/>
        <v>32</v>
      </c>
      <c r="L40" s="18">
        <f t="shared" si="4"/>
        <v>51</v>
      </c>
    </row>
    <row r="41" spans="1:12" ht="15.75" thickBot="1" x14ac:dyDescent="0.3">
      <c r="A41" s="12"/>
      <c r="B41" s="12"/>
      <c r="C41" s="13"/>
      <c r="D41" s="13"/>
      <c r="E41" s="13"/>
      <c r="F41" s="12"/>
      <c r="G41" s="12"/>
      <c r="H41" s="13"/>
      <c r="I41" s="13"/>
      <c r="J41" s="13"/>
      <c r="K41" s="12"/>
      <c r="L41" s="14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2"/>
      <c r="L42" s="14"/>
    </row>
    <row r="43" spans="1:12" ht="15.75" thickBot="1" x14ac:dyDescent="0.3">
      <c r="A43" s="15"/>
      <c r="B43" s="89" t="s">
        <v>19</v>
      </c>
      <c r="C43" s="90"/>
      <c r="D43" s="90"/>
      <c r="E43" s="90"/>
      <c r="F43" s="90"/>
      <c r="G43" s="91">
        <v>116</v>
      </c>
      <c r="H43" s="92"/>
      <c r="I43" s="93"/>
      <c r="J43" s="94"/>
      <c r="K43" s="12"/>
      <c r="L43" s="14"/>
    </row>
    <row r="44" spans="1:12" ht="15.75" thickBot="1" x14ac:dyDescent="0.3">
      <c r="A44" s="15"/>
      <c r="B44" s="89" t="s">
        <v>20</v>
      </c>
      <c r="C44" s="90"/>
      <c r="D44" s="90"/>
      <c r="E44" s="90"/>
      <c r="F44" s="90"/>
      <c r="G44" s="95">
        <v>4</v>
      </c>
      <c r="H44" s="96"/>
      <c r="I44" s="95"/>
      <c r="J44" s="96"/>
      <c r="K44" s="12"/>
      <c r="L44" s="14"/>
    </row>
    <row r="45" spans="1:12" ht="15.75" thickBot="1" x14ac:dyDescent="0.3">
      <c r="A45" s="15"/>
      <c r="B45" s="97" t="s">
        <v>21</v>
      </c>
      <c r="C45" s="97"/>
      <c r="D45" s="97"/>
      <c r="E45" s="97"/>
      <c r="F45" s="89"/>
      <c r="G45" s="98">
        <v>3</v>
      </c>
      <c r="H45" s="99"/>
      <c r="I45" s="91"/>
      <c r="J45" s="100"/>
      <c r="K45" s="12"/>
      <c r="L45" s="14"/>
    </row>
    <row r="46" spans="1:12" ht="15.75" thickBot="1" x14ac:dyDescent="0.3">
      <c r="A46" s="15"/>
      <c r="B46" s="89" t="s">
        <v>22</v>
      </c>
      <c r="C46" s="90"/>
      <c r="D46" s="90"/>
      <c r="E46" s="90"/>
      <c r="F46" s="90"/>
      <c r="G46" s="101">
        <f>+L40+G45</f>
        <v>54</v>
      </c>
      <c r="H46" s="96"/>
      <c r="I46" s="95"/>
      <c r="J46" s="96"/>
      <c r="K46" s="12"/>
      <c r="L46" s="14"/>
    </row>
    <row r="47" spans="1:12" ht="15.75" thickBot="1" x14ac:dyDescent="0.3">
      <c r="A47" s="4"/>
      <c r="B47" s="89" t="s">
        <v>23</v>
      </c>
      <c r="C47" s="90"/>
      <c r="D47" s="90"/>
      <c r="E47" s="90"/>
      <c r="F47" s="90"/>
      <c r="G47" s="101">
        <f>G43+G44-G46</f>
        <v>66</v>
      </c>
      <c r="H47" s="96"/>
      <c r="I47" s="95"/>
      <c r="J47" s="96"/>
      <c r="K47" s="12"/>
      <c r="L47" s="3"/>
    </row>
    <row r="48" spans="1:12" ht="15.75" thickBot="1" x14ac:dyDescent="0.3">
      <c r="A48" s="4"/>
      <c r="B48" s="89" t="s">
        <v>24</v>
      </c>
      <c r="C48" s="90"/>
      <c r="D48" s="90"/>
      <c r="E48" s="90"/>
      <c r="F48" s="90"/>
      <c r="G48" s="95">
        <v>56</v>
      </c>
      <c r="H48" s="96"/>
      <c r="I48" s="95"/>
      <c r="J48" s="96"/>
      <c r="K48" s="12"/>
      <c r="L48" s="3"/>
    </row>
    <row r="49" spans="1:12" ht="15.75" thickBot="1" x14ac:dyDescent="0.3">
      <c r="A49" s="4"/>
      <c r="B49" s="89" t="s">
        <v>25</v>
      </c>
      <c r="C49" s="90"/>
      <c r="D49" s="90"/>
      <c r="E49" s="90"/>
      <c r="F49" s="90"/>
      <c r="G49" s="102">
        <f>G47-G48</f>
        <v>10</v>
      </c>
      <c r="H49" s="103"/>
      <c r="I49" s="104"/>
      <c r="J49" s="103"/>
      <c r="K49" s="12"/>
      <c r="L49" s="3"/>
    </row>
    <row r="50" spans="1:12" x14ac:dyDescent="0.25">
      <c r="A50" s="5" t="s">
        <v>26</v>
      </c>
      <c r="B50" s="38"/>
      <c r="C50" s="44"/>
      <c r="D50" s="44"/>
      <c r="E50" s="44"/>
      <c r="F50" s="38"/>
      <c r="G50" s="38"/>
      <c r="H50" s="44"/>
      <c r="I50" s="45" t="s">
        <v>27</v>
      </c>
      <c r="J50" s="44"/>
      <c r="K50" s="38"/>
      <c r="L50" s="1"/>
    </row>
    <row r="52" spans="1:12" x14ac:dyDescent="0.25">
      <c r="B52" t="s">
        <v>44</v>
      </c>
    </row>
  </sheetData>
  <mergeCells count="36">
    <mergeCell ref="A4:L4"/>
    <mergeCell ref="A1:D1"/>
    <mergeCell ref="G1:L1"/>
    <mergeCell ref="A2:D2"/>
    <mergeCell ref="G2:L2"/>
    <mergeCell ref="A3:D3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topLeftCell="A34" zoomScaleNormal="100" workbookViewId="0">
      <selection activeCell="B53" sqref="B53"/>
    </sheetView>
  </sheetViews>
  <sheetFormatPr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7"/>
      <c r="F1" s="38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7"/>
      <c r="F2" s="38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7"/>
      <c r="F3" s="38"/>
      <c r="G3" s="38"/>
      <c r="H3" s="37"/>
      <c r="I3" s="37"/>
      <c r="J3" s="37"/>
      <c r="K3" s="38"/>
      <c r="L3" s="1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45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</row>
    <row r="6" spans="1:12" ht="3.75" customHeight="1" thickBot="1" x14ac:dyDescent="0.3">
      <c r="A6" s="2" t="s">
        <v>6</v>
      </c>
      <c r="B6" s="12"/>
      <c r="C6" s="13"/>
      <c r="D6" s="13"/>
      <c r="E6" s="13"/>
      <c r="F6" s="12"/>
      <c r="G6" s="12"/>
      <c r="H6" s="76"/>
      <c r="I6" s="76"/>
      <c r="J6" s="13"/>
      <c r="K6" s="39"/>
      <c r="L6" s="3"/>
    </row>
    <row r="7" spans="1:12" x14ac:dyDescent="0.25">
      <c r="A7" s="77" t="s">
        <v>7</v>
      </c>
      <c r="B7" s="79" t="s">
        <v>8</v>
      </c>
      <c r="C7" s="80"/>
      <c r="D7" s="80"/>
      <c r="E7" s="80"/>
      <c r="F7" s="81"/>
      <c r="G7" s="82" t="s">
        <v>9</v>
      </c>
      <c r="H7" s="80"/>
      <c r="I7" s="80"/>
      <c r="J7" s="80"/>
      <c r="K7" s="81"/>
      <c r="L7" s="83" t="s">
        <v>10</v>
      </c>
    </row>
    <row r="8" spans="1:12" ht="15.75" thickBot="1" x14ac:dyDescent="0.3">
      <c r="A8" s="78"/>
      <c r="B8" s="40" t="s">
        <v>11</v>
      </c>
      <c r="C8" s="41" t="s">
        <v>12</v>
      </c>
      <c r="D8" s="41" t="s">
        <v>13</v>
      </c>
      <c r="E8" s="41" t="s">
        <v>14</v>
      </c>
      <c r="F8" s="42" t="s">
        <v>15</v>
      </c>
      <c r="G8" s="43" t="s">
        <v>11</v>
      </c>
      <c r="H8" s="41" t="s">
        <v>12</v>
      </c>
      <c r="I8" s="41" t="s">
        <v>13</v>
      </c>
      <c r="J8" s="41" t="s">
        <v>14</v>
      </c>
      <c r="K8" s="42" t="s">
        <v>16</v>
      </c>
      <c r="L8" s="84"/>
    </row>
    <row r="9" spans="1:12" ht="15.75" thickBot="1" x14ac:dyDescent="0.3">
      <c r="A9" s="6">
        <v>1</v>
      </c>
      <c r="B9" s="20">
        <v>1</v>
      </c>
      <c r="C9" s="21"/>
      <c r="D9" s="21"/>
      <c r="E9" s="22"/>
      <c r="F9" s="19">
        <f>SUM(B9:E9)</f>
        <v>1</v>
      </c>
      <c r="G9" s="48"/>
      <c r="H9" s="31"/>
      <c r="I9" s="31"/>
      <c r="J9" s="31"/>
      <c r="K9" s="17">
        <f>SUM(G9:J9)</f>
        <v>0</v>
      </c>
      <c r="L9" s="7">
        <f>SUM(F9+K9)</f>
        <v>1</v>
      </c>
    </row>
    <row r="10" spans="1:12" ht="15.75" thickBot="1" x14ac:dyDescent="0.3">
      <c r="A10" s="8">
        <v>2</v>
      </c>
      <c r="B10" s="23">
        <v>6</v>
      </c>
      <c r="C10" s="24"/>
      <c r="D10" s="24"/>
      <c r="E10" s="25"/>
      <c r="F10" s="19">
        <f t="shared" ref="F10:F39" si="0">SUM(B10:E10)</f>
        <v>6</v>
      </c>
      <c r="G10" s="32"/>
      <c r="H10" s="24"/>
      <c r="I10" s="24"/>
      <c r="J10" s="24"/>
      <c r="K10" s="17">
        <f t="shared" ref="K10:K39" si="1">SUM(G10:J10)</f>
        <v>0</v>
      </c>
      <c r="L10" s="7">
        <f t="shared" ref="L10:L39" si="2">SUM(F10+K10)</f>
        <v>6</v>
      </c>
    </row>
    <row r="11" spans="1:12" ht="15.75" thickBot="1" x14ac:dyDescent="0.3">
      <c r="A11" s="8">
        <v>3</v>
      </c>
      <c r="B11" s="23"/>
      <c r="C11" s="24"/>
      <c r="D11" s="24"/>
      <c r="E11" s="26"/>
      <c r="F11" s="19">
        <f t="shared" si="0"/>
        <v>0</v>
      </c>
      <c r="G11" s="32"/>
      <c r="H11" s="24"/>
      <c r="I11" s="24"/>
      <c r="J11" s="24"/>
      <c r="K11" s="17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3"/>
      <c r="C12" s="24"/>
      <c r="D12" s="24"/>
      <c r="E12" s="25"/>
      <c r="F12" s="19">
        <f t="shared" si="0"/>
        <v>0</v>
      </c>
      <c r="G12" s="33"/>
      <c r="H12" s="24"/>
      <c r="I12" s="24"/>
      <c r="J12" s="24"/>
      <c r="K12" s="17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3"/>
      <c r="C13" s="24"/>
      <c r="D13" s="24"/>
      <c r="E13" s="25"/>
      <c r="F13" s="19">
        <f t="shared" si="0"/>
        <v>0</v>
      </c>
      <c r="G13" s="32"/>
      <c r="H13" s="24"/>
      <c r="I13" s="24"/>
      <c r="J13" s="24"/>
      <c r="K13" s="17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3">
        <v>1</v>
      </c>
      <c r="C14" s="24"/>
      <c r="D14" s="24"/>
      <c r="E14" s="25"/>
      <c r="F14" s="19">
        <f t="shared" si="0"/>
        <v>1</v>
      </c>
      <c r="G14" s="32"/>
      <c r="H14" s="24"/>
      <c r="I14" s="24"/>
      <c r="J14" s="24"/>
      <c r="K14" s="17">
        <f t="shared" si="1"/>
        <v>0</v>
      </c>
      <c r="L14" s="7">
        <f t="shared" si="2"/>
        <v>1</v>
      </c>
    </row>
    <row r="15" spans="1:12" ht="15.75" thickBot="1" x14ac:dyDescent="0.3">
      <c r="A15" s="8">
        <v>7</v>
      </c>
      <c r="B15" s="23">
        <v>1</v>
      </c>
      <c r="C15" s="24"/>
      <c r="D15" s="24"/>
      <c r="E15" s="25"/>
      <c r="F15" s="19">
        <f t="shared" si="0"/>
        <v>1</v>
      </c>
      <c r="G15" s="32"/>
      <c r="H15" s="24"/>
      <c r="I15" s="24"/>
      <c r="J15" s="24"/>
      <c r="K15" s="17">
        <f t="shared" si="1"/>
        <v>0</v>
      </c>
      <c r="L15" s="7">
        <f t="shared" si="2"/>
        <v>1</v>
      </c>
    </row>
    <row r="16" spans="1:12" ht="15.75" thickBot="1" x14ac:dyDescent="0.3">
      <c r="A16" s="8">
        <v>8</v>
      </c>
      <c r="B16" s="23">
        <v>1</v>
      </c>
      <c r="C16" s="24"/>
      <c r="D16" s="24"/>
      <c r="E16" s="25"/>
      <c r="F16" s="19">
        <f t="shared" si="0"/>
        <v>1</v>
      </c>
      <c r="G16" s="32"/>
      <c r="H16" s="24"/>
      <c r="I16" s="24"/>
      <c r="J16" s="24"/>
      <c r="K16" s="17">
        <f t="shared" si="1"/>
        <v>0</v>
      </c>
      <c r="L16" s="7">
        <f t="shared" si="2"/>
        <v>1</v>
      </c>
    </row>
    <row r="17" spans="1:12" ht="15.75" thickBot="1" x14ac:dyDescent="0.3">
      <c r="A17" s="8">
        <v>9</v>
      </c>
      <c r="B17" s="23"/>
      <c r="C17" s="24"/>
      <c r="D17" s="24"/>
      <c r="E17" s="25"/>
      <c r="F17" s="19">
        <f t="shared" si="0"/>
        <v>0</v>
      </c>
      <c r="G17" s="32"/>
      <c r="H17" s="24"/>
      <c r="I17" s="24"/>
      <c r="J17" s="24"/>
      <c r="K17" s="17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3"/>
      <c r="C18" s="24"/>
      <c r="D18" s="24"/>
      <c r="E18" s="25"/>
      <c r="F18" s="19">
        <f t="shared" si="0"/>
        <v>0</v>
      </c>
      <c r="G18" s="34"/>
      <c r="H18" s="24"/>
      <c r="I18" s="24"/>
      <c r="J18" s="24"/>
      <c r="K18" s="17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3"/>
      <c r="C19" s="24"/>
      <c r="D19" s="24"/>
      <c r="E19" s="25"/>
      <c r="F19" s="19">
        <f t="shared" si="0"/>
        <v>0</v>
      </c>
      <c r="G19" s="32"/>
      <c r="H19" s="24"/>
      <c r="I19" s="24"/>
      <c r="J19" s="24"/>
      <c r="K19" s="17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3"/>
      <c r="C20" s="24"/>
      <c r="D20" s="24"/>
      <c r="E20" s="25"/>
      <c r="F20" s="19">
        <f t="shared" si="0"/>
        <v>0</v>
      </c>
      <c r="G20" s="32"/>
      <c r="H20" s="35"/>
      <c r="I20" s="35"/>
      <c r="J20" s="35"/>
      <c r="K20" s="17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3"/>
      <c r="C21" s="24"/>
      <c r="D21" s="24"/>
      <c r="E21" s="25"/>
      <c r="F21" s="19">
        <f t="shared" si="0"/>
        <v>0</v>
      </c>
      <c r="G21" s="36"/>
      <c r="H21" s="24"/>
      <c r="I21" s="24"/>
      <c r="J21" s="24"/>
      <c r="K21" s="17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3">
        <v>2</v>
      </c>
      <c r="C22" s="24"/>
      <c r="D22" s="24"/>
      <c r="E22" s="25"/>
      <c r="F22" s="19">
        <f t="shared" si="0"/>
        <v>2</v>
      </c>
      <c r="G22" s="36"/>
      <c r="H22" s="24"/>
      <c r="I22" s="24"/>
      <c r="J22" s="24"/>
      <c r="K22" s="17">
        <f t="shared" si="1"/>
        <v>0</v>
      </c>
      <c r="L22" s="7">
        <f t="shared" si="2"/>
        <v>2</v>
      </c>
    </row>
    <row r="23" spans="1:12" ht="15.75" thickBot="1" x14ac:dyDescent="0.3">
      <c r="A23" s="8">
        <v>15</v>
      </c>
      <c r="B23" s="23"/>
      <c r="C23" s="24"/>
      <c r="D23" s="24"/>
      <c r="E23" s="25"/>
      <c r="F23" s="19">
        <f t="shared" si="0"/>
        <v>0</v>
      </c>
      <c r="G23" s="32"/>
      <c r="H23" s="24"/>
      <c r="I23" s="24"/>
      <c r="J23" s="24"/>
      <c r="K23" s="17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3"/>
      <c r="C24" s="24"/>
      <c r="D24" s="24"/>
      <c r="E24" s="25"/>
      <c r="F24" s="19">
        <f t="shared" si="0"/>
        <v>0</v>
      </c>
      <c r="G24" s="32"/>
      <c r="H24" s="24"/>
      <c r="I24" s="24"/>
      <c r="J24" s="24"/>
      <c r="K24" s="17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3">
        <v>1</v>
      </c>
      <c r="C25" s="49"/>
      <c r="D25" s="27"/>
      <c r="E25" s="25"/>
      <c r="F25" s="19">
        <f t="shared" si="0"/>
        <v>1</v>
      </c>
      <c r="G25" s="32"/>
      <c r="H25" s="24"/>
      <c r="I25" s="24"/>
      <c r="J25" s="24"/>
      <c r="K25" s="17">
        <f t="shared" si="1"/>
        <v>0</v>
      </c>
      <c r="L25" s="7">
        <f t="shared" si="2"/>
        <v>1</v>
      </c>
    </row>
    <row r="26" spans="1:12" ht="15.75" thickBot="1" x14ac:dyDescent="0.3">
      <c r="A26" s="8">
        <v>18</v>
      </c>
      <c r="B26" s="23"/>
      <c r="C26" s="24"/>
      <c r="D26" s="24"/>
      <c r="E26" s="25"/>
      <c r="F26" s="19">
        <f t="shared" si="0"/>
        <v>0</v>
      </c>
      <c r="G26" s="32"/>
      <c r="H26" s="24"/>
      <c r="I26" s="24"/>
      <c r="J26" s="24"/>
      <c r="K26" s="17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3"/>
      <c r="C27" s="24"/>
      <c r="D27" s="24"/>
      <c r="E27" s="25"/>
      <c r="F27" s="19">
        <f t="shared" si="0"/>
        <v>0</v>
      </c>
      <c r="G27" s="32"/>
      <c r="H27" s="24"/>
      <c r="I27" s="24"/>
      <c r="J27" s="24"/>
      <c r="K27" s="17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3">
        <v>2</v>
      </c>
      <c r="C28" s="24"/>
      <c r="D28" s="24"/>
      <c r="E28" s="25"/>
      <c r="F28" s="19">
        <f t="shared" si="0"/>
        <v>2</v>
      </c>
      <c r="G28" s="32"/>
      <c r="H28" s="24"/>
      <c r="I28" s="24"/>
      <c r="J28" s="24"/>
      <c r="K28" s="17">
        <f t="shared" si="1"/>
        <v>0</v>
      </c>
      <c r="L28" s="7">
        <f t="shared" si="2"/>
        <v>2</v>
      </c>
    </row>
    <row r="29" spans="1:12" ht="15.75" thickBot="1" x14ac:dyDescent="0.3">
      <c r="A29" s="8">
        <v>21</v>
      </c>
      <c r="B29" s="23">
        <v>2</v>
      </c>
      <c r="C29" s="24"/>
      <c r="D29" s="24"/>
      <c r="E29" s="25"/>
      <c r="F29" s="19">
        <f t="shared" si="0"/>
        <v>2</v>
      </c>
      <c r="G29" s="32"/>
      <c r="H29" s="24"/>
      <c r="I29" s="24"/>
      <c r="J29" s="24"/>
      <c r="K29" s="17">
        <f t="shared" si="1"/>
        <v>0</v>
      </c>
      <c r="L29" s="7">
        <f t="shared" si="2"/>
        <v>2</v>
      </c>
    </row>
    <row r="30" spans="1:12" ht="15.75" thickBot="1" x14ac:dyDescent="0.3">
      <c r="A30" s="8">
        <v>22</v>
      </c>
      <c r="B30" s="23">
        <v>2</v>
      </c>
      <c r="C30" s="24"/>
      <c r="D30" s="24"/>
      <c r="E30" s="25"/>
      <c r="F30" s="19">
        <f t="shared" si="0"/>
        <v>2</v>
      </c>
      <c r="G30" s="32"/>
      <c r="H30" s="24"/>
      <c r="I30" s="24"/>
      <c r="J30" s="24"/>
      <c r="K30" s="17">
        <f t="shared" si="1"/>
        <v>0</v>
      </c>
      <c r="L30" s="7">
        <f t="shared" si="2"/>
        <v>2</v>
      </c>
    </row>
    <row r="31" spans="1:12" ht="15.75" thickBot="1" x14ac:dyDescent="0.3">
      <c r="A31" s="8">
        <v>23</v>
      </c>
      <c r="B31" s="23"/>
      <c r="C31" s="24"/>
      <c r="D31" s="24"/>
      <c r="E31" s="25"/>
      <c r="F31" s="19">
        <f t="shared" si="0"/>
        <v>0</v>
      </c>
      <c r="G31" s="32"/>
      <c r="H31" s="24"/>
      <c r="I31" s="24"/>
      <c r="J31" s="24"/>
      <c r="K31" s="17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3"/>
      <c r="C32" s="24"/>
      <c r="D32" s="24"/>
      <c r="E32" s="25"/>
      <c r="F32" s="19">
        <f t="shared" si="0"/>
        <v>0</v>
      </c>
      <c r="G32" s="32"/>
      <c r="H32" s="24"/>
      <c r="I32" s="24"/>
      <c r="J32" s="24"/>
      <c r="K32" s="17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3"/>
      <c r="C33" s="24"/>
      <c r="D33" s="24"/>
      <c r="E33" s="25"/>
      <c r="F33" s="19">
        <f t="shared" si="0"/>
        <v>0</v>
      </c>
      <c r="G33" s="32"/>
      <c r="H33" s="24"/>
      <c r="I33" s="24"/>
      <c r="J33" s="24"/>
      <c r="K33" s="17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3"/>
      <c r="C34" s="24"/>
      <c r="D34" s="24"/>
      <c r="E34" s="25"/>
      <c r="F34" s="19">
        <f t="shared" si="0"/>
        <v>0</v>
      </c>
      <c r="G34" s="32"/>
      <c r="H34" s="24"/>
      <c r="I34" s="24"/>
      <c r="J34" s="24"/>
      <c r="K34" s="17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3">
        <v>1</v>
      </c>
      <c r="C35" s="24"/>
      <c r="D35" s="24">
        <v>1</v>
      </c>
      <c r="E35" s="25"/>
      <c r="F35" s="19">
        <f t="shared" si="0"/>
        <v>2</v>
      </c>
      <c r="G35" s="47">
        <v>1</v>
      </c>
      <c r="H35" s="24"/>
      <c r="I35" s="24"/>
      <c r="J35" s="24"/>
      <c r="K35" s="17">
        <f t="shared" si="1"/>
        <v>1</v>
      </c>
      <c r="L35" s="7">
        <f t="shared" si="2"/>
        <v>3</v>
      </c>
    </row>
    <row r="36" spans="1:12" ht="15.75" thickBot="1" x14ac:dyDescent="0.3">
      <c r="A36" s="8">
        <v>28</v>
      </c>
      <c r="B36" s="23"/>
      <c r="C36" s="24"/>
      <c r="D36" s="24"/>
      <c r="E36" s="25"/>
      <c r="F36" s="19">
        <f t="shared" si="0"/>
        <v>0</v>
      </c>
      <c r="G36" s="32"/>
      <c r="H36" s="24"/>
      <c r="I36" s="24"/>
      <c r="J36" s="24"/>
      <c r="K36" s="17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3"/>
      <c r="C37" s="24"/>
      <c r="D37" s="24"/>
      <c r="E37" s="25"/>
      <c r="F37" s="19">
        <f t="shared" si="0"/>
        <v>0</v>
      </c>
      <c r="G37" s="32"/>
      <c r="H37" s="24"/>
      <c r="I37" s="24"/>
      <c r="J37" s="24"/>
      <c r="K37" s="17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3">
        <v>2</v>
      </c>
      <c r="C38" s="24"/>
      <c r="D38" s="24"/>
      <c r="E38" s="25"/>
      <c r="F38" s="19">
        <f t="shared" si="0"/>
        <v>2</v>
      </c>
      <c r="G38" s="32"/>
      <c r="H38" s="24"/>
      <c r="I38" s="24"/>
      <c r="J38" s="24"/>
      <c r="K38" s="17">
        <f t="shared" si="1"/>
        <v>0</v>
      </c>
      <c r="L38" s="7">
        <f t="shared" si="2"/>
        <v>2</v>
      </c>
    </row>
    <row r="39" spans="1:12" ht="15.75" thickBot="1" x14ac:dyDescent="0.3">
      <c r="A39" s="9">
        <v>31</v>
      </c>
      <c r="B39" s="28"/>
      <c r="C39" s="29"/>
      <c r="D39" s="29"/>
      <c r="E39" s="30"/>
      <c r="F39" s="19">
        <f t="shared" si="0"/>
        <v>0</v>
      </c>
      <c r="G39" s="32">
        <v>2</v>
      </c>
      <c r="H39" s="24"/>
      <c r="I39" s="24"/>
      <c r="J39" s="24"/>
      <c r="K39" s="17">
        <f t="shared" si="1"/>
        <v>2</v>
      </c>
      <c r="L39" s="7">
        <f t="shared" si="2"/>
        <v>2</v>
      </c>
    </row>
    <row r="40" spans="1:12" ht="15.75" thickBot="1" x14ac:dyDescent="0.3">
      <c r="A40" s="10"/>
      <c r="B40" s="63">
        <f>SUM(B9:B39)</f>
        <v>22</v>
      </c>
      <c r="C40" s="63">
        <f t="shared" ref="C40:E40" si="3">SUM(C9:C39)</f>
        <v>0</v>
      </c>
      <c r="D40" s="63">
        <f t="shared" si="3"/>
        <v>1</v>
      </c>
      <c r="E40" s="63">
        <f t="shared" si="3"/>
        <v>0</v>
      </c>
      <c r="F40" s="62">
        <f>SUM(F9:F39)</f>
        <v>23</v>
      </c>
      <c r="G40" s="18">
        <f>SUM(G9:G39)</f>
        <v>3</v>
      </c>
      <c r="H40" s="18">
        <f t="shared" ref="H40:L40" si="4">SUM(H9:H39)</f>
        <v>0</v>
      </c>
      <c r="I40" s="18">
        <f t="shared" si="4"/>
        <v>0</v>
      </c>
      <c r="J40" s="18">
        <f t="shared" si="4"/>
        <v>0</v>
      </c>
      <c r="K40" s="18">
        <f t="shared" si="4"/>
        <v>3</v>
      </c>
      <c r="L40" s="18">
        <f t="shared" si="4"/>
        <v>26</v>
      </c>
    </row>
    <row r="41" spans="1:12" ht="15.75" thickBot="1" x14ac:dyDescent="0.3">
      <c r="A41" s="12"/>
      <c r="B41" s="12"/>
      <c r="C41" s="13"/>
      <c r="D41" s="13"/>
      <c r="E41" s="13"/>
      <c r="F41" s="12"/>
      <c r="G41" s="12"/>
      <c r="H41" s="13"/>
      <c r="I41" s="13"/>
      <c r="J41" s="13"/>
      <c r="K41" s="12"/>
      <c r="L41" s="14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2"/>
      <c r="L42" s="14"/>
    </row>
    <row r="43" spans="1:12" ht="15.75" thickBot="1" x14ac:dyDescent="0.3">
      <c r="A43" s="15"/>
      <c r="B43" s="89" t="s">
        <v>19</v>
      </c>
      <c r="C43" s="90"/>
      <c r="D43" s="90"/>
      <c r="E43" s="90"/>
      <c r="F43" s="90"/>
      <c r="G43" s="91">
        <v>56</v>
      </c>
      <c r="H43" s="92"/>
      <c r="I43" s="93"/>
      <c r="J43" s="94"/>
      <c r="K43" s="12"/>
      <c r="L43" s="14"/>
    </row>
    <row r="44" spans="1:12" ht="15.75" thickBot="1" x14ac:dyDescent="0.3">
      <c r="A44" s="15"/>
      <c r="B44" s="89" t="s">
        <v>20</v>
      </c>
      <c r="C44" s="90"/>
      <c r="D44" s="90"/>
      <c r="E44" s="90"/>
      <c r="F44" s="90"/>
      <c r="G44" s="95">
        <v>201</v>
      </c>
      <c r="H44" s="96"/>
      <c r="I44" s="95"/>
      <c r="J44" s="96"/>
      <c r="K44" s="12"/>
      <c r="L44" s="14"/>
    </row>
    <row r="45" spans="1:12" ht="15.75" thickBot="1" x14ac:dyDescent="0.3">
      <c r="A45" s="15"/>
      <c r="B45" s="97" t="s">
        <v>21</v>
      </c>
      <c r="C45" s="97"/>
      <c r="D45" s="97"/>
      <c r="E45" s="97"/>
      <c r="F45" s="89"/>
      <c r="G45" s="98">
        <v>107</v>
      </c>
      <c r="H45" s="99"/>
      <c r="I45" s="91"/>
      <c r="J45" s="100"/>
      <c r="K45" s="12"/>
      <c r="L45" s="14"/>
    </row>
    <row r="46" spans="1:12" ht="15.75" thickBot="1" x14ac:dyDescent="0.3">
      <c r="A46" s="15"/>
      <c r="B46" s="89" t="s">
        <v>22</v>
      </c>
      <c r="C46" s="90"/>
      <c r="D46" s="90"/>
      <c r="E46" s="90"/>
      <c r="F46" s="90"/>
      <c r="G46" s="101">
        <f>+L40+G45</f>
        <v>133</v>
      </c>
      <c r="H46" s="96"/>
      <c r="I46" s="95"/>
      <c r="J46" s="96"/>
      <c r="K46" s="12"/>
      <c r="L46" s="14"/>
    </row>
    <row r="47" spans="1:12" ht="15.75" thickBot="1" x14ac:dyDescent="0.3">
      <c r="A47" s="4"/>
      <c r="B47" s="89" t="s">
        <v>23</v>
      </c>
      <c r="C47" s="90"/>
      <c r="D47" s="90"/>
      <c r="E47" s="90"/>
      <c r="F47" s="90"/>
      <c r="G47" s="101">
        <f>G43+G44-G46</f>
        <v>124</v>
      </c>
      <c r="H47" s="96"/>
      <c r="I47" s="95"/>
      <c r="J47" s="96"/>
      <c r="K47" s="12"/>
      <c r="L47" s="3"/>
    </row>
    <row r="48" spans="1:12" ht="15.75" thickBot="1" x14ac:dyDescent="0.3">
      <c r="A48" s="4"/>
      <c r="B48" s="89" t="s">
        <v>24</v>
      </c>
      <c r="C48" s="90"/>
      <c r="D48" s="90"/>
      <c r="E48" s="90"/>
      <c r="F48" s="90"/>
      <c r="G48" s="95">
        <v>113</v>
      </c>
      <c r="H48" s="96"/>
      <c r="I48" s="95"/>
      <c r="J48" s="96"/>
      <c r="K48" s="12"/>
      <c r="L48" s="3"/>
    </row>
    <row r="49" spans="1:12" ht="15.75" thickBot="1" x14ac:dyDescent="0.3">
      <c r="A49" s="4"/>
      <c r="B49" s="89" t="s">
        <v>25</v>
      </c>
      <c r="C49" s="90"/>
      <c r="D49" s="90"/>
      <c r="E49" s="90"/>
      <c r="F49" s="90"/>
      <c r="G49" s="102">
        <f>G47-G48</f>
        <v>11</v>
      </c>
      <c r="H49" s="103"/>
      <c r="I49" s="104"/>
      <c r="J49" s="103"/>
      <c r="K49" s="12"/>
      <c r="L49" s="3"/>
    </row>
    <row r="50" spans="1:12" x14ac:dyDescent="0.25">
      <c r="A50" s="5" t="s">
        <v>26</v>
      </c>
      <c r="B50" s="38"/>
      <c r="C50" s="44"/>
      <c r="D50" s="44"/>
      <c r="E50" s="44"/>
      <c r="F50" s="38"/>
      <c r="G50" s="38"/>
      <c r="H50" s="44"/>
      <c r="I50" s="45" t="s">
        <v>27</v>
      </c>
      <c r="J50" s="44"/>
      <c r="K50" s="38"/>
      <c r="L50" s="1"/>
    </row>
    <row r="52" spans="1:12" x14ac:dyDescent="0.25">
      <c r="B52" t="s">
        <v>48</v>
      </c>
    </row>
    <row r="53" spans="1:12" x14ac:dyDescent="0.25">
      <c r="B53" t="s">
        <v>47</v>
      </c>
    </row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H6:I6"/>
    <mergeCell ref="A7:A8"/>
    <mergeCell ref="B7:F7"/>
    <mergeCell ref="G7:K7"/>
    <mergeCell ref="L7:L8"/>
    <mergeCell ref="A4:L4"/>
    <mergeCell ref="A1:D1"/>
    <mergeCell ref="G1:L1"/>
    <mergeCell ref="A2:D2"/>
    <mergeCell ref="G2:L2"/>
    <mergeCell ref="A3:D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28" zoomScaleNormal="100" workbookViewId="0">
      <selection activeCell="L50" sqref="A1:L50"/>
    </sheetView>
  </sheetViews>
  <sheetFormatPr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7"/>
      <c r="F1" s="38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7"/>
      <c r="F2" s="38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7"/>
      <c r="F3" s="38"/>
      <c r="G3" s="38"/>
      <c r="H3" s="37"/>
      <c r="I3" s="37"/>
      <c r="J3" s="37"/>
      <c r="K3" s="38"/>
      <c r="L3" s="1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49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</row>
    <row r="6" spans="1:12" ht="3.75" customHeight="1" thickBot="1" x14ac:dyDescent="0.3">
      <c r="A6" s="2" t="s">
        <v>6</v>
      </c>
      <c r="B6" s="12"/>
      <c r="C6" s="13"/>
      <c r="D6" s="13"/>
      <c r="E6" s="13"/>
      <c r="F6" s="12"/>
      <c r="G6" s="12"/>
      <c r="H6" s="76"/>
      <c r="I6" s="76"/>
      <c r="J6" s="13"/>
      <c r="K6" s="39"/>
      <c r="L6" s="3"/>
    </row>
    <row r="7" spans="1:12" x14ac:dyDescent="0.25">
      <c r="A7" s="77" t="s">
        <v>7</v>
      </c>
      <c r="B7" s="79" t="s">
        <v>8</v>
      </c>
      <c r="C7" s="80"/>
      <c r="D7" s="80"/>
      <c r="E7" s="80"/>
      <c r="F7" s="81"/>
      <c r="G7" s="82" t="s">
        <v>9</v>
      </c>
      <c r="H7" s="80"/>
      <c r="I7" s="80"/>
      <c r="J7" s="80"/>
      <c r="K7" s="81"/>
      <c r="L7" s="83" t="s">
        <v>10</v>
      </c>
    </row>
    <row r="8" spans="1:12" ht="15.75" thickBot="1" x14ac:dyDescent="0.3">
      <c r="A8" s="78"/>
      <c r="B8" s="40" t="s">
        <v>11</v>
      </c>
      <c r="C8" s="41" t="s">
        <v>12</v>
      </c>
      <c r="D8" s="41" t="s">
        <v>13</v>
      </c>
      <c r="E8" s="41" t="s">
        <v>14</v>
      </c>
      <c r="F8" s="42" t="s">
        <v>15</v>
      </c>
      <c r="G8" s="43" t="s">
        <v>11</v>
      </c>
      <c r="H8" s="41" t="s">
        <v>12</v>
      </c>
      <c r="I8" s="41" t="s">
        <v>13</v>
      </c>
      <c r="J8" s="41" t="s">
        <v>14</v>
      </c>
      <c r="K8" s="42" t="s">
        <v>16</v>
      </c>
      <c r="L8" s="84"/>
    </row>
    <row r="9" spans="1:12" ht="15.75" thickBot="1" x14ac:dyDescent="0.3">
      <c r="A9" s="6">
        <v>1</v>
      </c>
      <c r="B9" s="20"/>
      <c r="C9" s="21"/>
      <c r="D9" s="21"/>
      <c r="E9" s="22"/>
      <c r="F9" s="19">
        <f>SUM(B9:E9)</f>
        <v>0</v>
      </c>
      <c r="G9" s="48"/>
      <c r="H9" s="31"/>
      <c r="I9" s="31"/>
      <c r="J9" s="31"/>
      <c r="K9" s="17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3"/>
      <c r="C10" s="24"/>
      <c r="D10" s="24"/>
      <c r="E10" s="25"/>
      <c r="F10" s="19">
        <f t="shared" ref="F10:F39" si="0">SUM(B10:E10)</f>
        <v>0</v>
      </c>
      <c r="G10" s="32"/>
      <c r="H10" s="24"/>
      <c r="I10" s="24"/>
      <c r="J10" s="24"/>
      <c r="K10" s="17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3"/>
      <c r="C11" s="24"/>
      <c r="D11" s="24"/>
      <c r="E11" s="26"/>
      <c r="F11" s="19">
        <f t="shared" si="0"/>
        <v>0</v>
      </c>
      <c r="G11" s="32"/>
      <c r="H11" s="24"/>
      <c r="I11" s="24"/>
      <c r="J11" s="24"/>
      <c r="K11" s="17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3">
        <v>1</v>
      </c>
      <c r="C12" s="24"/>
      <c r="D12" s="24"/>
      <c r="E12" s="25"/>
      <c r="F12" s="19">
        <f t="shared" si="0"/>
        <v>1</v>
      </c>
      <c r="G12" s="33"/>
      <c r="H12" s="24">
        <v>1</v>
      </c>
      <c r="I12" s="24"/>
      <c r="J12" s="24"/>
      <c r="K12" s="17">
        <f t="shared" si="1"/>
        <v>1</v>
      </c>
      <c r="L12" s="7">
        <f t="shared" si="2"/>
        <v>2</v>
      </c>
    </row>
    <row r="13" spans="1:12" ht="15.75" thickBot="1" x14ac:dyDescent="0.3">
      <c r="A13" s="8">
        <v>5</v>
      </c>
      <c r="B13" s="23"/>
      <c r="C13" s="24"/>
      <c r="D13" s="24">
        <v>1</v>
      </c>
      <c r="E13" s="25"/>
      <c r="F13" s="19">
        <f t="shared" si="0"/>
        <v>1</v>
      </c>
      <c r="G13" s="32"/>
      <c r="H13" s="24"/>
      <c r="I13" s="24"/>
      <c r="J13" s="24"/>
      <c r="K13" s="17">
        <f t="shared" si="1"/>
        <v>0</v>
      </c>
      <c r="L13" s="7">
        <f t="shared" si="2"/>
        <v>1</v>
      </c>
    </row>
    <row r="14" spans="1:12" ht="15.75" thickBot="1" x14ac:dyDescent="0.3">
      <c r="A14" s="8">
        <v>6</v>
      </c>
      <c r="B14" s="23">
        <v>2</v>
      </c>
      <c r="C14" s="24"/>
      <c r="D14" s="24"/>
      <c r="E14" s="25"/>
      <c r="F14" s="19">
        <f t="shared" si="0"/>
        <v>2</v>
      </c>
      <c r="G14" s="32">
        <v>1</v>
      </c>
      <c r="H14" s="24"/>
      <c r="I14" s="24"/>
      <c r="J14" s="24"/>
      <c r="K14" s="17">
        <f t="shared" si="1"/>
        <v>1</v>
      </c>
      <c r="L14" s="7">
        <f t="shared" si="2"/>
        <v>3</v>
      </c>
    </row>
    <row r="15" spans="1:12" ht="15.75" thickBot="1" x14ac:dyDescent="0.3">
      <c r="A15" s="8">
        <v>7</v>
      </c>
      <c r="B15" s="23">
        <v>2</v>
      </c>
      <c r="C15" s="24"/>
      <c r="D15" s="24"/>
      <c r="E15" s="25"/>
      <c r="F15" s="19">
        <f t="shared" si="0"/>
        <v>2</v>
      </c>
      <c r="G15" s="32"/>
      <c r="H15" s="24"/>
      <c r="I15" s="24"/>
      <c r="J15" s="24"/>
      <c r="K15" s="17">
        <f t="shared" si="1"/>
        <v>0</v>
      </c>
      <c r="L15" s="7">
        <f t="shared" si="2"/>
        <v>2</v>
      </c>
    </row>
    <row r="16" spans="1:12" ht="15.75" thickBot="1" x14ac:dyDescent="0.3">
      <c r="A16" s="8">
        <v>8</v>
      </c>
      <c r="B16" s="23"/>
      <c r="C16" s="24"/>
      <c r="D16" s="24"/>
      <c r="E16" s="25"/>
      <c r="F16" s="19">
        <f t="shared" si="0"/>
        <v>0</v>
      </c>
      <c r="G16" s="32"/>
      <c r="H16" s="24"/>
      <c r="I16" s="24"/>
      <c r="J16" s="24"/>
      <c r="K16" s="17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3"/>
      <c r="C17" s="24"/>
      <c r="D17" s="24"/>
      <c r="E17" s="25"/>
      <c r="F17" s="19">
        <f t="shared" si="0"/>
        <v>0</v>
      </c>
      <c r="G17" s="32"/>
      <c r="H17" s="24"/>
      <c r="I17" s="24"/>
      <c r="J17" s="24"/>
      <c r="K17" s="17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3"/>
      <c r="C18" s="24"/>
      <c r="D18" s="24"/>
      <c r="E18" s="25"/>
      <c r="F18" s="19">
        <f t="shared" si="0"/>
        <v>0</v>
      </c>
      <c r="G18" s="34"/>
      <c r="H18" s="24"/>
      <c r="I18" s="24"/>
      <c r="J18" s="24"/>
      <c r="K18" s="17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3"/>
      <c r="C19" s="24"/>
      <c r="D19" s="24"/>
      <c r="E19" s="25"/>
      <c r="F19" s="19">
        <f t="shared" si="0"/>
        <v>0</v>
      </c>
      <c r="G19" s="32"/>
      <c r="H19" s="24"/>
      <c r="I19" s="24"/>
      <c r="J19" s="24"/>
      <c r="K19" s="17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3">
        <v>1</v>
      </c>
      <c r="C20" s="24"/>
      <c r="D20" s="24"/>
      <c r="E20" s="25"/>
      <c r="F20" s="19">
        <f t="shared" si="0"/>
        <v>1</v>
      </c>
      <c r="G20" s="32"/>
      <c r="H20" s="35"/>
      <c r="I20" s="35"/>
      <c r="J20" s="35"/>
      <c r="K20" s="17">
        <f t="shared" si="1"/>
        <v>0</v>
      </c>
      <c r="L20" s="7">
        <f t="shared" si="2"/>
        <v>1</v>
      </c>
    </row>
    <row r="21" spans="1:12" ht="15.75" thickBot="1" x14ac:dyDescent="0.3">
      <c r="A21" s="8">
        <v>13</v>
      </c>
      <c r="B21" s="23">
        <v>1</v>
      </c>
      <c r="C21" s="24"/>
      <c r="D21" s="24"/>
      <c r="E21" s="25"/>
      <c r="F21" s="19">
        <f t="shared" si="0"/>
        <v>1</v>
      </c>
      <c r="G21" s="36"/>
      <c r="H21" s="24"/>
      <c r="I21" s="24"/>
      <c r="J21" s="24"/>
      <c r="K21" s="17">
        <f t="shared" si="1"/>
        <v>0</v>
      </c>
      <c r="L21" s="7">
        <f t="shared" si="2"/>
        <v>1</v>
      </c>
    </row>
    <row r="22" spans="1:12" ht="15.75" thickBot="1" x14ac:dyDescent="0.3">
      <c r="A22" s="8">
        <v>14</v>
      </c>
      <c r="B22" s="23">
        <v>1</v>
      </c>
      <c r="C22" s="24"/>
      <c r="D22" s="24"/>
      <c r="E22" s="25"/>
      <c r="F22" s="19">
        <f t="shared" si="0"/>
        <v>1</v>
      </c>
      <c r="G22" s="36">
        <v>4</v>
      </c>
      <c r="H22" s="24"/>
      <c r="I22" s="24"/>
      <c r="J22" s="24"/>
      <c r="K22" s="17">
        <f t="shared" si="1"/>
        <v>4</v>
      </c>
      <c r="L22" s="7">
        <f t="shared" si="2"/>
        <v>5</v>
      </c>
    </row>
    <row r="23" spans="1:12" ht="15.75" thickBot="1" x14ac:dyDescent="0.3">
      <c r="A23" s="8">
        <v>15</v>
      </c>
      <c r="B23" s="23"/>
      <c r="C23" s="24"/>
      <c r="D23" s="24"/>
      <c r="E23" s="25"/>
      <c r="F23" s="19">
        <f t="shared" si="0"/>
        <v>0</v>
      </c>
      <c r="G23" s="32">
        <v>3</v>
      </c>
      <c r="H23" s="24"/>
      <c r="I23" s="24"/>
      <c r="J23" s="24"/>
      <c r="K23" s="17">
        <f t="shared" si="1"/>
        <v>3</v>
      </c>
      <c r="L23" s="7">
        <f t="shared" si="2"/>
        <v>3</v>
      </c>
    </row>
    <row r="24" spans="1:12" ht="15.75" thickBot="1" x14ac:dyDescent="0.3">
      <c r="A24" s="8">
        <v>16</v>
      </c>
      <c r="B24" s="23"/>
      <c r="C24" s="24"/>
      <c r="D24" s="24"/>
      <c r="E24" s="25"/>
      <c r="F24" s="19">
        <f t="shared" si="0"/>
        <v>0</v>
      </c>
      <c r="G24" s="32"/>
      <c r="H24" s="24"/>
      <c r="I24" s="24"/>
      <c r="J24" s="24"/>
      <c r="K24" s="17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3"/>
      <c r="C25" s="49"/>
      <c r="D25" s="27"/>
      <c r="E25" s="25"/>
      <c r="F25" s="19">
        <f t="shared" si="0"/>
        <v>0</v>
      </c>
      <c r="G25" s="32">
        <v>6</v>
      </c>
      <c r="H25" s="24"/>
      <c r="I25" s="24"/>
      <c r="J25" s="24"/>
      <c r="K25" s="17">
        <f t="shared" si="1"/>
        <v>6</v>
      </c>
      <c r="L25" s="7">
        <f t="shared" si="2"/>
        <v>6</v>
      </c>
    </row>
    <row r="26" spans="1:12" ht="15.75" thickBot="1" x14ac:dyDescent="0.3">
      <c r="A26" s="8">
        <v>18</v>
      </c>
      <c r="B26" s="23">
        <v>4</v>
      </c>
      <c r="C26" s="24"/>
      <c r="D26" s="24"/>
      <c r="E26" s="25"/>
      <c r="F26" s="19">
        <f t="shared" si="0"/>
        <v>4</v>
      </c>
      <c r="G26" s="32">
        <v>7</v>
      </c>
      <c r="H26" s="24">
        <v>1</v>
      </c>
      <c r="I26" s="24"/>
      <c r="J26" s="24"/>
      <c r="K26" s="17">
        <f t="shared" si="1"/>
        <v>8</v>
      </c>
      <c r="L26" s="7">
        <f t="shared" si="2"/>
        <v>12</v>
      </c>
    </row>
    <row r="27" spans="1:12" ht="15.75" thickBot="1" x14ac:dyDescent="0.3">
      <c r="A27" s="8">
        <v>19</v>
      </c>
      <c r="B27" s="23"/>
      <c r="C27" s="24"/>
      <c r="D27" s="24"/>
      <c r="E27" s="25"/>
      <c r="F27" s="19">
        <f t="shared" si="0"/>
        <v>0</v>
      </c>
      <c r="G27" s="32">
        <v>11</v>
      </c>
      <c r="H27" s="24">
        <v>1</v>
      </c>
      <c r="I27" s="24"/>
      <c r="J27" s="24"/>
      <c r="K27" s="17">
        <f t="shared" si="1"/>
        <v>12</v>
      </c>
      <c r="L27" s="7">
        <f t="shared" si="2"/>
        <v>12</v>
      </c>
    </row>
    <row r="28" spans="1:12" ht="15.75" thickBot="1" x14ac:dyDescent="0.3">
      <c r="A28" s="8">
        <v>20</v>
      </c>
      <c r="B28" s="23">
        <v>2</v>
      </c>
      <c r="C28" s="24"/>
      <c r="D28" s="24"/>
      <c r="E28" s="25"/>
      <c r="F28" s="19">
        <f t="shared" si="0"/>
        <v>2</v>
      </c>
      <c r="G28" s="32">
        <v>7</v>
      </c>
      <c r="H28" s="24"/>
      <c r="I28" s="24"/>
      <c r="J28" s="24"/>
      <c r="K28" s="17">
        <f t="shared" si="1"/>
        <v>7</v>
      </c>
      <c r="L28" s="7">
        <f t="shared" si="2"/>
        <v>9</v>
      </c>
    </row>
    <row r="29" spans="1:12" ht="15.75" thickBot="1" x14ac:dyDescent="0.3">
      <c r="A29" s="8">
        <v>21</v>
      </c>
      <c r="B29" s="23">
        <v>2</v>
      </c>
      <c r="C29" s="24"/>
      <c r="D29" s="24"/>
      <c r="E29" s="25"/>
      <c r="F29" s="19">
        <f t="shared" si="0"/>
        <v>2</v>
      </c>
      <c r="G29" s="32">
        <v>5</v>
      </c>
      <c r="H29" s="24"/>
      <c r="I29" s="24">
        <v>1</v>
      </c>
      <c r="J29" s="24"/>
      <c r="K29" s="17">
        <f t="shared" si="1"/>
        <v>6</v>
      </c>
      <c r="L29" s="7">
        <f t="shared" si="2"/>
        <v>8</v>
      </c>
    </row>
    <row r="30" spans="1:12" ht="15.75" thickBot="1" x14ac:dyDescent="0.3">
      <c r="A30" s="8">
        <v>22</v>
      </c>
      <c r="B30" s="23"/>
      <c r="C30" s="24"/>
      <c r="D30" s="24"/>
      <c r="E30" s="25"/>
      <c r="F30" s="19">
        <f t="shared" si="0"/>
        <v>0</v>
      </c>
      <c r="G30" s="32"/>
      <c r="H30" s="24"/>
      <c r="I30" s="24"/>
      <c r="J30" s="24"/>
      <c r="K30" s="17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3"/>
      <c r="C31" s="24"/>
      <c r="D31" s="24"/>
      <c r="E31" s="25"/>
      <c r="F31" s="19">
        <f t="shared" si="0"/>
        <v>0</v>
      </c>
      <c r="G31" s="32"/>
      <c r="H31" s="24"/>
      <c r="I31" s="24"/>
      <c r="J31" s="24"/>
      <c r="K31" s="17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3"/>
      <c r="C32" s="24"/>
      <c r="D32" s="24"/>
      <c r="E32" s="25"/>
      <c r="F32" s="19">
        <f t="shared" si="0"/>
        <v>0</v>
      </c>
      <c r="G32" s="32">
        <v>1</v>
      </c>
      <c r="H32" s="24"/>
      <c r="I32" s="24"/>
      <c r="J32" s="24"/>
      <c r="K32" s="17">
        <f t="shared" si="1"/>
        <v>1</v>
      </c>
      <c r="L32" s="7">
        <f t="shared" si="2"/>
        <v>1</v>
      </c>
    </row>
    <row r="33" spans="1:12" ht="15.75" thickBot="1" x14ac:dyDescent="0.3">
      <c r="A33" s="8">
        <v>25</v>
      </c>
      <c r="B33" s="23"/>
      <c r="C33" s="24"/>
      <c r="D33" s="24"/>
      <c r="E33" s="25"/>
      <c r="F33" s="19">
        <f t="shared" si="0"/>
        <v>0</v>
      </c>
      <c r="G33" s="32"/>
      <c r="H33" s="24"/>
      <c r="I33" s="24"/>
      <c r="J33" s="24"/>
      <c r="K33" s="17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3"/>
      <c r="C34" s="24"/>
      <c r="D34" s="24"/>
      <c r="E34" s="25"/>
      <c r="F34" s="19">
        <f t="shared" si="0"/>
        <v>0</v>
      </c>
      <c r="G34" s="32"/>
      <c r="H34" s="24">
        <v>1</v>
      </c>
      <c r="I34" s="24">
        <v>1</v>
      </c>
      <c r="J34" s="24"/>
      <c r="K34" s="17">
        <f t="shared" si="1"/>
        <v>2</v>
      </c>
      <c r="L34" s="7">
        <f t="shared" si="2"/>
        <v>2</v>
      </c>
    </row>
    <row r="35" spans="1:12" ht="15.75" thickBot="1" x14ac:dyDescent="0.3">
      <c r="A35" s="8">
        <v>27</v>
      </c>
      <c r="B35" s="23"/>
      <c r="C35" s="24"/>
      <c r="D35" s="24"/>
      <c r="E35" s="25"/>
      <c r="F35" s="19">
        <f t="shared" si="0"/>
        <v>0</v>
      </c>
      <c r="G35" s="47">
        <v>2</v>
      </c>
      <c r="H35" s="24">
        <v>1</v>
      </c>
      <c r="I35" s="24"/>
      <c r="J35" s="24"/>
      <c r="K35" s="17">
        <f t="shared" si="1"/>
        <v>3</v>
      </c>
      <c r="L35" s="7">
        <f t="shared" si="2"/>
        <v>3</v>
      </c>
    </row>
    <row r="36" spans="1:12" ht="15.75" thickBot="1" x14ac:dyDescent="0.3">
      <c r="A36" s="8">
        <v>28</v>
      </c>
      <c r="B36" s="23"/>
      <c r="C36" s="24"/>
      <c r="D36" s="24"/>
      <c r="E36" s="25"/>
      <c r="F36" s="19">
        <f t="shared" si="0"/>
        <v>0</v>
      </c>
      <c r="G36" s="32">
        <v>5</v>
      </c>
      <c r="H36" s="24">
        <v>1</v>
      </c>
      <c r="I36" s="24"/>
      <c r="J36" s="24"/>
      <c r="K36" s="17">
        <f t="shared" si="1"/>
        <v>6</v>
      </c>
      <c r="L36" s="7">
        <f t="shared" si="2"/>
        <v>6</v>
      </c>
    </row>
    <row r="37" spans="1:12" ht="15.75" thickBot="1" x14ac:dyDescent="0.3">
      <c r="A37" s="8">
        <v>29</v>
      </c>
      <c r="B37" s="23"/>
      <c r="C37" s="24"/>
      <c r="D37" s="24"/>
      <c r="E37" s="25"/>
      <c r="F37" s="19">
        <f t="shared" si="0"/>
        <v>0</v>
      </c>
      <c r="G37" s="32"/>
      <c r="H37" s="24"/>
      <c r="I37" s="24"/>
      <c r="J37" s="24"/>
      <c r="K37" s="17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3"/>
      <c r="C38" s="24"/>
      <c r="D38" s="24"/>
      <c r="E38" s="25"/>
      <c r="F38" s="19">
        <f t="shared" si="0"/>
        <v>0</v>
      </c>
      <c r="G38" s="32"/>
      <c r="H38" s="24"/>
      <c r="I38" s="24"/>
      <c r="J38" s="24"/>
      <c r="K38" s="17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8"/>
      <c r="C39" s="29"/>
      <c r="D39" s="29"/>
      <c r="E39" s="30"/>
      <c r="F39" s="19">
        <f t="shared" si="0"/>
        <v>0</v>
      </c>
      <c r="G39" s="32"/>
      <c r="H39" s="24"/>
      <c r="I39" s="24"/>
      <c r="J39" s="24"/>
      <c r="K39" s="17">
        <f t="shared" si="1"/>
        <v>0</v>
      </c>
      <c r="L39" s="7">
        <f t="shared" si="2"/>
        <v>0</v>
      </c>
    </row>
    <row r="40" spans="1:12" ht="15.75" thickBot="1" x14ac:dyDescent="0.3">
      <c r="A40" s="10"/>
      <c r="B40" s="65">
        <f>SUM(B9:B39)</f>
        <v>16</v>
      </c>
      <c r="C40" s="65">
        <f t="shared" ref="C40:E40" si="3">SUM(C9:C39)</f>
        <v>0</v>
      </c>
      <c r="D40" s="65">
        <f t="shared" si="3"/>
        <v>1</v>
      </c>
      <c r="E40" s="65">
        <f t="shared" si="3"/>
        <v>0</v>
      </c>
      <c r="F40" s="64">
        <f>SUM(F9:F39)</f>
        <v>17</v>
      </c>
      <c r="G40" s="18">
        <f>SUM(G9:G39)</f>
        <v>52</v>
      </c>
      <c r="H40" s="18">
        <f t="shared" ref="H40:L40" si="4">SUM(H9:H39)</f>
        <v>6</v>
      </c>
      <c r="I40" s="18">
        <f t="shared" si="4"/>
        <v>2</v>
      </c>
      <c r="J40" s="18">
        <f t="shared" si="4"/>
        <v>0</v>
      </c>
      <c r="K40" s="18">
        <f t="shared" si="4"/>
        <v>60</v>
      </c>
      <c r="L40" s="18">
        <f t="shared" si="4"/>
        <v>77</v>
      </c>
    </row>
    <row r="41" spans="1:12" ht="15.75" thickBot="1" x14ac:dyDescent="0.3">
      <c r="A41" s="12"/>
      <c r="B41" s="12"/>
      <c r="C41" s="13"/>
      <c r="D41" s="13"/>
      <c r="E41" s="13"/>
      <c r="F41" s="12"/>
      <c r="G41" s="12"/>
      <c r="H41" s="13"/>
      <c r="I41" s="13"/>
      <c r="J41" s="13"/>
      <c r="K41" s="12"/>
      <c r="L41" s="14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2"/>
      <c r="L42" s="14"/>
    </row>
    <row r="43" spans="1:12" ht="15.75" thickBot="1" x14ac:dyDescent="0.3">
      <c r="A43" s="15"/>
      <c r="B43" s="89" t="s">
        <v>19</v>
      </c>
      <c r="C43" s="90"/>
      <c r="D43" s="90"/>
      <c r="E43" s="90"/>
      <c r="F43" s="90"/>
      <c r="G43" s="91">
        <v>113</v>
      </c>
      <c r="H43" s="92"/>
      <c r="I43" s="93"/>
      <c r="J43" s="94"/>
      <c r="K43" s="12"/>
      <c r="L43" s="14"/>
    </row>
    <row r="44" spans="1:12" ht="15.75" thickBot="1" x14ac:dyDescent="0.3">
      <c r="A44" s="15"/>
      <c r="B44" s="89" t="s">
        <v>20</v>
      </c>
      <c r="C44" s="90"/>
      <c r="D44" s="90"/>
      <c r="E44" s="90"/>
      <c r="F44" s="90"/>
      <c r="G44" s="95">
        <v>100</v>
      </c>
      <c r="H44" s="96"/>
      <c r="I44" s="95"/>
      <c r="J44" s="96"/>
      <c r="K44" s="12"/>
      <c r="L44" s="14"/>
    </row>
    <row r="45" spans="1:12" ht="15.75" thickBot="1" x14ac:dyDescent="0.3">
      <c r="A45" s="15"/>
      <c r="B45" s="97" t="s">
        <v>21</v>
      </c>
      <c r="C45" s="97"/>
      <c r="D45" s="97"/>
      <c r="E45" s="97"/>
      <c r="F45" s="89"/>
      <c r="G45" s="98">
        <v>41</v>
      </c>
      <c r="H45" s="99"/>
      <c r="I45" s="91"/>
      <c r="J45" s="100"/>
      <c r="K45" s="12"/>
      <c r="L45" s="14"/>
    </row>
    <row r="46" spans="1:12" ht="15.75" thickBot="1" x14ac:dyDescent="0.3">
      <c r="A46" s="15"/>
      <c r="B46" s="89" t="s">
        <v>22</v>
      </c>
      <c r="C46" s="90"/>
      <c r="D46" s="90"/>
      <c r="E46" s="90"/>
      <c r="F46" s="90"/>
      <c r="G46" s="101">
        <f>+L40+G45</f>
        <v>118</v>
      </c>
      <c r="H46" s="96"/>
      <c r="I46" s="95"/>
      <c r="J46" s="96"/>
      <c r="K46" s="12"/>
      <c r="L46" s="14"/>
    </row>
    <row r="47" spans="1:12" ht="15.75" thickBot="1" x14ac:dyDescent="0.3">
      <c r="A47" s="4"/>
      <c r="B47" s="89" t="s">
        <v>23</v>
      </c>
      <c r="C47" s="90"/>
      <c r="D47" s="90"/>
      <c r="E47" s="90"/>
      <c r="F47" s="90"/>
      <c r="G47" s="101">
        <f>G43+G44-G46</f>
        <v>95</v>
      </c>
      <c r="H47" s="96"/>
      <c r="I47" s="95"/>
      <c r="J47" s="96"/>
      <c r="K47" s="12"/>
      <c r="L47" s="3"/>
    </row>
    <row r="48" spans="1:12" ht="15.75" thickBot="1" x14ac:dyDescent="0.3">
      <c r="A48" s="4"/>
      <c r="B48" s="89" t="s">
        <v>24</v>
      </c>
      <c r="C48" s="90"/>
      <c r="D48" s="90"/>
      <c r="E48" s="90"/>
      <c r="F48" s="90"/>
      <c r="G48" s="95">
        <v>95</v>
      </c>
      <c r="H48" s="96"/>
      <c r="I48" s="95"/>
      <c r="J48" s="96"/>
      <c r="K48" s="12"/>
      <c r="L48" s="3"/>
    </row>
    <row r="49" spans="1:12" ht="15.75" thickBot="1" x14ac:dyDescent="0.3">
      <c r="A49" s="4"/>
      <c r="B49" s="89" t="s">
        <v>25</v>
      </c>
      <c r="C49" s="90"/>
      <c r="D49" s="90"/>
      <c r="E49" s="90"/>
      <c r="F49" s="90"/>
      <c r="G49" s="102">
        <f>G47-G48</f>
        <v>0</v>
      </c>
      <c r="H49" s="103"/>
      <c r="I49" s="104"/>
      <c r="J49" s="103"/>
      <c r="K49" s="12"/>
      <c r="L49" s="3"/>
    </row>
    <row r="50" spans="1:12" x14ac:dyDescent="0.25">
      <c r="A50" s="5" t="s">
        <v>26</v>
      </c>
      <c r="B50" s="38"/>
      <c r="C50" s="44"/>
      <c r="D50" s="44"/>
      <c r="E50" s="44"/>
      <c r="F50" s="38"/>
      <c r="G50" s="38"/>
      <c r="H50" s="44"/>
      <c r="I50" s="45" t="s">
        <v>27</v>
      </c>
      <c r="J50" s="44"/>
      <c r="K50" s="38"/>
      <c r="L50" s="1"/>
    </row>
  </sheetData>
  <mergeCells count="36">
    <mergeCell ref="A4:L4"/>
    <mergeCell ref="A1:D1"/>
    <mergeCell ref="G1:L1"/>
    <mergeCell ref="A2:D2"/>
    <mergeCell ref="G2:L2"/>
    <mergeCell ref="A3:D3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"/>
  <sheetViews>
    <sheetView topLeftCell="A37" zoomScaleNormal="100" workbookViewId="0">
      <selection activeCell="L55" sqref="A1:L55"/>
    </sheetView>
  </sheetViews>
  <sheetFormatPr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7"/>
      <c r="F1" s="38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7"/>
      <c r="F2" s="38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7"/>
      <c r="F3" s="38"/>
      <c r="G3" s="38"/>
      <c r="H3" s="37"/>
      <c r="I3" s="37"/>
      <c r="J3" s="37"/>
      <c r="K3" s="38"/>
      <c r="L3" s="1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50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</row>
    <row r="6" spans="1:12" ht="3.75" customHeight="1" thickBot="1" x14ac:dyDescent="0.3">
      <c r="A6" s="2" t="s">
        <v>6</v>
      </c>
      <c r="B6" s="12"/>
      <c r="C6" s="13"/>
      <c r="D6" s="13"/>
      <c r="E6" s="13"/>
      <c r="F6" s="12"/>
      <c r="G6" s="12"/>
      <c r="H6" s="76"/>
      <c r="I6" s="76"/>
      <c r="J6" s="13"/>
      <c r="K6" s="39"/>
      <c r="L6" s="3"/>
    </row>
    <row r="7" spans="1:12" x14ac:dyDescent="0.25">
      <c r="A7" s="77" t="s">
        <v>7</v>
      </c>
      <c r="B7" s="79" t="s">
        <v>8</v>
      </c>
      <c r="C7" s="80"/>
      <c r="D7" s="80"/>
      <c r="E7" s="80"/>
      <c r="F7" s="81"/>
      <c r="G7" s="82" t="s">
        <v>9</v>
      </c>
      <c r="H7" s="80"/>
      <c r="I7" s="80"/>
      <c r="J7" s="80"/>
      <c r="K7" s="81"/>
      <c r="L7" s="83" t="s">
        <v>10</v>
      </c>
    </row>
    <row r="8" spans="1:12" ht="15.75" thickBot="1" x14ac:dyDescent="0.3">
      <c r="A8" s="78"/>
      <c r="B8" s="40" t="s">
        <v>11</v>
      </c>
      <c r="C8" s="41" t="s">
        <v>12</v>
      </c>
      <c r="D8" s="41" t="s">
        <v>13</v>
      </c>
      <c r="E8" s="41" t="s">
        <v>14</v>
      </c>
      <c r="F8" s="42" t="s">
        <v>15</v>
      </c>
      <c r="G8" s="43" t="s">
        <v>11</v>
      </c>
      <c r="H8" s="41" t="s">
        <v>12</v>
      </c>
      <c r="I8" s="41" t="s">
        <v>13</v>
      </c>
      <c r="J8" s="41" t="s">
        <v>14</v>
      </c>
      <c r="K8" s="42" t="s">
        <v>16</v>
      </c>
      <c r="L8" s="84"/>
    </row>
    <row r="9" spans="1:12" ht="15.75" thickBot="1" x14ac:dyDescent="0.3">
      <c r="A9" s="6">
        <v>1</v>
      </c>
      <c r="B9" s="20"/>
      <c r="C9" s="21"/>
      <c r="D9" s="21"/>
      <c r="E9" s="22"/>
      <c r="F9" s="19">
        <f>SUM(B9:E9)</f>
        <v>0</v>
      </c>
      <c r="G9" s="48"/>
      <c r="H9" s="31"/>
      <c r="I9" s="31"/>
      <c r="J9" s="31"/>
      <c r="K9" s="17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3"/>
      <c r="C10" s="24"/>
      <c r="D10" s="24"/>
      <c r="E10" s="25"/>
      <c r="F10" s="19">
        <f t="shared" ref="F10:F39" si="0">SUM(B10:E10)</f>
        <v>0</v>
      </c>
      <c r="G10" s="32">
        <v>1</v>
      </c>
      <c r="H10" s="24"/>
      <c r="I10" s="24"/>
      <c r="J10" s="24"/>
      <c r="K10" s="17">
        <f t="shared" ref="K10:K39" si="1">SUM(G10:J10)</f>
        <v>1</v>
      </c>
      <c r="L10" s="7">
        <f t="shared" ref="L10:L39" si="2">SUM(F10+K10)</f>
        <v>1</v>
      </c>
    </row>
    <row r="11" spans="1:12" ht="15.75" thickBot="1" x14ac:dyDescent="0.3">
      <c r="A11" s="8">
        <v>3</v>
      </c>
      <c r="B11" s="23">
        <v>2</v>
      </c>
      <c r="C11" s="24"/>
      <c r="D11" s="24"/>
      <c r="E11" s="26"/>
      <c r="F11" s="19">
        <f t="shared" si="0"/>
        <v>2</v>
      </c>
      <c r="G11" s="32">
        <v>11</v>
      </c>
      <c r="H11" s="24"/>
      <c r="I11" s="24"/>
      <c r="J11" s="24"/>
      <c r="K11" s="17">
        <f t="shared" si="1"/>
        <v>11</v>
      </c>
      <c r="L11" s="7">
        <f t="shared" si="2"/>
        <v>13</v>
      </c>
    </row>
    <row r="12" spans="1:12" ht="15.75" thickBot="1" x14ac:dyDescent="0.3">
      <c r="A12" s="8">
        <v>4</v>
      </c>
      <c r="B12" s="23"/>
      <c r="C12" s="24"/>
      <c r="D12" s="24">
        <v>1</v>
      </c>
      <c r="E12" s="25"/>
      <c r="F12" s="19">
        <f t="shared" si="0"/>
        <v>1</v>
      </c>
      <c r="G12" s="33"/>
      <c r="H12" s="24"/>
      <c r="I12" s="24"/>
      <c r="J12" s="24"/>
      <c r="K12" s="17">
        <f t="shared" si="1"/>
        <v>0</v>
      </c>
      <c r="L12" s="7">
        <f t="shared" si="2"/>
        <v>1</v>
      </c>
    </row>
    <row r="13" spans="1:12" ht="15.75" thickBot="1" x14ac:dyDescent="0.3">
      <c r="A13" s="8">
        <v>5</v>
      </c>
      <c r="B13" s="23">
        <v>2</v>
      </c>
      <c r="C13" s="24"/>
      <c r="D13" s="24"/>
      <c r="E13" s="25"/>
      <c r="F13" s="19">
        <f t="shared" si="0"/>
        <v>2</v>
      </c>
      <c r="G13" s="32"/>
      <c r="H13" s="24"/>
      <c r="I13" s="24"/>
      <c r="J13" s="24"/>
      <c r="K13" s="17">
        <f t="shared" si="1"/>
        <v>0</v>
      </c>
      <c r="L13" s="7">
        <f t="shared" si="2"/>
        <v>2</v>
      </c>
    </row>
    <row r="14" spans="1:12" ht="15.75" thickBot="1" x14ac:dyDescent="0.3">
      <c r="A14" s="8">
        <v>6</v>
      </c>
      <c r="B14" s="23"/>
      <c r="C14" s="24"/>
      <c r="D14" s="24"/>
      <c r="E14" s="25"/>
      <c r="F14" s="19">
        <f t="shared" si="0"/>
        <v>0</v>
      </c>
      <c r="G14" s="32"/>
      <c r="H14" s="24"/>
      <c r="I14" s="24"/>
      <c r="J14" s="24"/>
      <c r="K14" s="17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3"/>
      <c r="C15" s="24"/>
      <c r="D15" s="24"/>
      <c r="E15" s="25"/>
      <c r="F15" s="19">
        <f t="shared" si="0"/>
        <v>0</v>
      </c>
      <c r="G15" s="32"/>
      <c r="H15" s="24"/>
      <c r="I15" s="24"/>
      <c r="J15" s="24"/>
      <c r="K15" s="17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3"/>
      <c r="C16" s="24"/>
      <c r="D16" s="24">
        <v>1</v>
      </c>
      <c r="E16" s="25"/>
      <c r="F16" s="19">
        <f t="shared" si="0"/>
        <v>1</v>
      </c>
      <c r="G16" s="32"/>
      <c r="H16" s="24"/>
      <c r="I16" s="24"/>
      <c r="J16" s="24"/>
      <c r="K16" s="17">
        <f t="shared" si="1"/>
        <v>0</v>
      </c>
      <c r="L16" s="7">
        <f t="shared" si="2"/>
        <v>1</v>
      </c>
    </row>
    <row r="17" spans="1:12" ht="15.75" thickBot="1" x14ac:dyDescent="0.3">
      <c r="A17" s="8">
        <v>9</v>
      </c>
      <c r="B17" s="23">
        <v>3</v>
      </c>
      <c r="C17" s="24"/>
      <c r="D17" s="24"/>
      <c r="E17" s="25"/>
      <c r="F17" s="19">
        <f t="shared" si="0"/>
        <v>3</v>
      </c>
      <c r="G17" s="32"/>
      <c r="H17" s="24"/>
      <c r="I17" s="24"/>
      <c r="J17" s="24"/>
      <c r="K17" s="17">
        <f t="shared" si="1"/>
        <v>0</v>
      </c>
      <c r="L17" s="7">
        <f t="shared" si="2"/>
        <v>3</v>
      </c>
    </row>
    <row r="18" spans="1:12" ht="15.75" thickBot="1" x14ac:dyDescent="0.3">
      <c r="A18" s="8">
        <v>10</v>
      </c>
      <c r="B18" s="23"/>
      <c r="C18" s="24"/>
      <c r="D18" s="24"/>
      <c r="E18" s="25"/>
      <c r="F18" s="19">
        <f t="shared" si="0"/>
        <v>0</v>
      </c>
      <c r="G18" s="34"/>
      <c r="H18" s="24"/>
      <c r="I18" s="24"/>
      <c r="J18" s="24"/>
      <c r="K18" s="17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3"/>
      <c r="C19" s="24"/>
      <c r="D19" s="24"/>
      <c r="E19" s="25"/>
      <c r="F19" s="19">
        <f t="shared" si="0"/>
        <v>0</v>
      </c>
      <c r="G19" s="32"/>
      <c r="H19" s="24"/>
      <c r="I19" s="24"/>
      <c r="J19" s="24"/>
      <c r="K19" s="17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3"/>
      <c r="C20" s="24"/>
      <c r="D20" s="24"/>
      <c r="E20" s="25"/>
      <c r="F20" s="19">
        <f t="shared" si="0"/>
        <v>0</v>
      </c>
      <c r="G20" s="32">
        <v>1</v>
      </c>
      <c r="H20" s="35"/>
      <c r="I20" s="35"/>
      <c r="J20" s="35"/>
      <c r="K20" s="17">
        <f t="shared" si="1"/>
        <v>1</v>
      </c>
      <c r="L20" s="7">
        <f t="shared" si="2"/>
        <v>1</v>
      </c>
    </row>
    <row r="21" spans="1:12" ht="15.75" thickBot="1" x14ac:dyDescent="0.3">
      <c r="A21" s="8">
        <v>13</v>
      </c>
      <c r="B21" s="23"/>
      <c r="C21" s="24"/>
      <c r="D21" s="24"/>
      <c r="E21" s="25"/>
      <c r="F21" s="19">
        <f t="shared" si="0"/>
        <v>0</v>
      </c>
      <c r="G21" s="36"/>
      <c r="H21" s="24"/>
      <c r="I21" s="24"/>
      <c r="J21" s="24"/>
      <c r="K21" s="17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3"/>
      <c r="C22" s="24"/>
      <c r="D22" s="24"/>
      <c r="E22" s="25"/>
      <c r="F22" s="19">
        <f t="shared" si="0"/>
        <v>0</v>
      </c>
      <c r="G22" s="36"/>
      <c r="H22" s="24"/>
      <c r="I22" s="24"/>
      <c r="J22" s="24"/>
      <c r="K22" s="17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3"/>
      <c r="C23" s="24"/>
      <c r="D23" s="24"/>
      <c r="E23" s="25"/>
      <c r="F23" s="19">
        <f t="shared" si="0"/>
        <v>0</v>
      </c>
      <c r="G23" s="32"/>
      <c r="H23" s="24"/>
      <c r="I23" s="24"/>
      <c r="J23" s="24"/>
      <c r="K23" s="17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3"/>
      <c r="C24" s="24"/>
      <c r="D24" s="24"/>
      <c r="E24" s="25"/>
      <c r="F24" s="19">
        <f t="shared" si="0"/>
        <v>0</v>
      </c>
      <c r="G24" s="32"/>
      <c r="H24" s="24"/>
      <c r="I24" s="24"/>
      <c r="J24" s="24"/>
      <c r="K24" s="17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3">
        <v>3</v>
      </c>
      <c r="C25" s="49"/>
      <c r="D25" s="27"/>
      <c r="E25" s="25"/>
      <c r="F25" s="19">
        <f t="shared" si="0"/>
        <v>3</v>
      </c>
      <c r="G25" s="32">
        <v>1</v>
      </c>
      <c r="H25" s="24"/>
      <c r="I25" s="24"/>
      <c r="J25" s="24"/>
      <c r="K25" s="17">
        <f t="shared" si="1"/>
        <v>1</v>
      </c>
      <c r="L25" s="7">
        <f t="shared" si="2"/>
        <v>4</v>
      </c>
    </row>
    <row r="26" spans="1:12" ht="15.75" thickBot="1" x14ac:dyDescent="0.3">
      <c r="A26" s="8">
        <v>18</v>
      </c>
      <c r="B26" s="23">
        <v>2</v>
      </c>
      <c r="C26" s="24"/>
      <c r="D26" s="24"/>
      <c r="E26" s="25"/>
      <c r="F26" s="19">
        <f t="shared" si="0"/>
        <v>2</v>
      </c>
      <c r="G26" s="32">
        <v>1</v>
      </c>
      <c r="H26" s="24"/>
      <c r="I26" s="24"/>
      <c r="J26" s="24"/>
      <c r="K26" s="17">
        <f t="shared" si="1"/>
        <v>1</v>
      </c>
      <c r="L26" s="7">
        <f t="shared" si="2"/>
        <v>3</v>
      </c>
    </row>
    <row r="27" spans="1:12" ht="15.75" thickBot="1" x14ac:dyDescent="0.3">
      <c r="A27" s="8">
        <v>19</v>
      </c>
      <c r="B27" s="23">
        <v>1</v>
      </c>
      <c r="C27" s="24"/>
      <c r="D27" s="24"/>
      <c r="E27" s="25"/>
      <c r="F27" s="19">
        <f t="shared" si="0"/>
        <v>1</v>
      </c>
      <c r="G27" s="32"/>
      <c r="H27" s="24"/>
      <c r="I27" s="24"/>
      <c r="J27" s="24"/>
      <c r="K27" s="17">
        <f t="shared" si="1"/>
        <v>0</v>
      </c>
      <c r="L27" s="7">
        <f t="shared" si="2"/>
        <v>1</v>
      </c>
    </row>
    <row r="28" spans="1:12" ht="15.75" thickBot="1" x14ac:dyDescent="0.3">
      <c r="A28" s="8">
        <v>20</v>
      </c>
      <c r="B28" s="23"/>
      <c r="C28" s="24"/>
      <c r="D28" s="24"/>
      <c r="E28" s="25"/>
      <c r="F28" s="19">
        <f t="shared" si="0"/>
        <v>0</v>
      </c>
      <c r="G28" s="32"/>
      <c r="H28" s="24"/>
      <c r="I28" s="24"/>
      <c r="J28" s="24"/>
      <c r="K28" s="17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3"/>
      <c r="C29" s="24"/>
      <c r="D29" s="24"/>
      <c r="E29" s="25"/>
      <c r="F29" s="19">
        <f t="shared" si="0"/>
        <v>0</v>
      </c>
      <c r="G29" s="32"/>
      <c r="H29" s="24"/>
      <c r="I29" s="24"/>
      <c r="J29" s="24"/>
      <c r="K29" s="17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3">
        <v>2</v>
      </c>
      <c r="C30" s="24"/>
      <c r="D30" s="24"/>
      <c r="E30" s="25"/>
      <c r="F30" s="19">
        <f t="shared" si="0"/>
        <v>2</v>
      </c>
      <c r="G30" s="32">
        <v>1</v>
      </c>
      <c r="H30" s="24"/>
      <c r="I30" s="24"/>
      <c r="J30" s="24"/>
      <c r="K30" s="17">
        <f t="shared" si="1"/>
        <v>1</v>
      </c>
      <c r="L30" s="7">
        <f t="shared" si="2"/>
        <v>3</v>
      </c>
    </row>
    <row r="31" spans="1:12" ht="15.75" thickBot="1" x14ac:dyDescent="0.3">
      <c r="A31" s="8">
        <v>23</v>
      </c>
      <c r="B31" s="23"/>
      <c r="C31" s="24"/>
      <c r="D31" s="24"/>
      <c r="E31" s="25"/>
      <c r="F31" s="19">
        <f t="shared" si="0"/>
        <v>0</v>
      </c>
      <c r="G31" s="32">
        <v>3</v>
      </c>
      <c r="H31" s="24"/>
      <c r="I31" s="24">
        <v>1</v>
      </c>
      <c r="J31" s="24"/>
      <c r="K31" s="17">
        <f t="shared" si="1"/>
        <v>4</v>
      </c>
      <c r="L31" s="7">
        <f t="shared" si="2"/>
        <v>4</v>
      </c>
    </row>
    <row r="32" spans="1:12" ht="15.75" thickBot="1" x14ac:dyDescent="0.3">
      <c r="A32" s="8">
        <v>24</v>
      </c>
      <c r="B32" s="23">
        <v>1</v>
      </c>
      <c r="C32" s="24"/>
      <c r="D32" s="24">
        <v>1</v>
      </c>
      <c r="E32" s="25"/>
      <c r="F32" s="19">
        <f t="shared" si="0"/>
        <v>2</v>
      </c>
      <c r="G32" s="32">
        <v>3</v>
      </c>
      <c r="H32" s="24"/>
      <c r="I32" s="24"/>
      <c r="J32" s="24"/>
      <c r="K32" s="17">
        <f t="shared" si="1"/>
        <v>3</v>
      </c>
      <c r="L32" s="7">
        <f t="shared" si="2"/>
        <v>5</v>
      </c>
    </row>
    <row r="33" spans="1:12" ht="15.75" thickBot="1" x14ac:dyDescent="0.3">
      <c r="A33" s="8">
        <v>25</v>
      </c>
      <c r="B33" s="23"/>
      <c r="C33" s="24"/>
      <c r="D33" s="24"/>
      <c r="E33" s="25"/>
      <c r="F33" s="19">
        <f t="shared" si="0"/>
        <v>0</v>
      </c>
      <c r="G33" s="32"/>
      <c r="H33" s="24"/>
      <c r="I33" s="24"/>
      <c r="J33" s="24">
        <v>1</v>
      </c>
      <c r="K33" s="17">
        <f t="shared" si="1"/>
        <v>1</v>
      </c>
      <c r="L33" s="7">
        <f t="shared" si="2"/>
        <v>1</v>
      </c>
    </row>
    <row r="34" spans="1:12" ht="15.75" thickBot="1" x14ac:dyDescent="0.3">
      <c r="A34" s="8">
        <v>26</v>
      </c>
      <c r="B34" s="23"/>
      <c r="C34" s="24"/>
      <c r="D34" s="24"/>
      <c r="E34" s="25"/>
      <c r="F34" s="19">
        <f t="shared" si="0"/>
        <v>0</v>
      </c>
      <c r="G34" s="32"/>
      <c r="H34" s="24"/>
      <c r="I34" s="24"/>
      <c r="J34" s="24"/>
      <c r="K34" s="17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23"/>
      <c r="C35" s="24"/>
      <c r="D35" s="24"/>
      <c r="E35" s="25"/>
      <c r="F35" s="19">
        <f t="shared" si="0"/>
        <v>0</v>
      </c>
      <c r="G35" s="47"/>
      <c r="H35" s="24"/>
      <c r="I35" s="24"/>
      <c r="J35" s="24"/>
      <c r="K35" s="17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3"/>
      <c r="C36" s="24"/>
      <c r="D36" s="24"/>
      <c r="E36" s="25"/>
      <c r="F36" s="19">
        <f t="shared" si="0"/>
        <v>0</v>
      </c>
      <c r="G36" s="32"/>
      <c r="H36" s="24"/>
      <c r="I36" s="24"/>
      <c r="J36" s="24"/>
      <c r="K36" s="17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3">
        <v>1</v>
      </c>
      <c r="C37" s="24"/>
      <c r="D37" s="24"/>
      <c r="E37" s="25"/>
      <c r="F37" s="19">
        <f t="shared" si="0"/>
        <v>1</v>
      </c>
      <c r="G37" s="32"/>
      <c r="H37" s="24"/>
      <c r="I37" s="24"/>
      <c r="J37" s="24"/>
      <c r="K37" s="17">
        <f t="shared" si="1"/>
        <v>0</v>
      </c>
      <c r="L37" s="7">
        <f t="shared" si="2"/>
        <v>1</v>
      </c>
    </row>
    <row r="38" spans="1:12" ht="15.75" thickBot="1" x14ac:dyDescent="0.3">
      <c r="A38" s="8">
        <v>30</v>
      </c>
      <c r="B38" s="23"/>
      <c r="C38" s="24"/>
      <c r="D38" s="24"/>
      <c r="E38" s="25"/>
      <c r="F38" s="19">
        <f t="shared" si="0"/>
        <v>0</v>
      </c>
      <c r="G38" s="32"/>
      <c r="H38" s="24"/>
      <c r="I38" s="24"/>
      <c r="J38" s="24"/>
      <c r="K38" s="17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8"/>
      <c r="C39" s="29"/>
      <c r="D39" s="29"/>
      <c r="E39" s="30"/>
      <c r="F39" s="19">
        <f t="shared" si="0"/>
        <v>0</v>
      </c>
      <c r="G39" s="32">
        <v>2</v>
      </c>
      <c r="H39" s="24"/>
      <c r="I39" s="24"/>
      <c r="J39" s="24"/>
      <c r="K39" s="17">
        <f t="shared" si="1"/>
        <v>2</v>
      </c>
      <c r="L39" s="7">
        <f t="shared" si="2"/>
        <v>2</v>
      </c>
    </row>
    <row r="40" spans="1:12" ht="15.75" thickBot="1" x14ac:dyDescent="0.3">
      <c r="A40" s="10"/>
      <c r="B40" s="67">
        <f>SUM(B9:B39)</f>
        <v>17</v>
      </c>
      <c r="C40" s="67">
        <f t="shared" ref="C40:E40" si="3">SUM(C9:C39)</f>
        <v>0</v>
      </c>
      <c r="D40" s="67">
        <f t="shared" si="3"/>
        <v>3</v>
      </c>
      <c r="E40" s="67">
        <f t="shared" si="3"/>
        <v>0</v>
      </c>
      <c r="F40" s="66">
        <f>SUM(F9:F39)</f>
        <v>20</v>
      </c>
      <c r="G40" s="18">
        <f>SUM(G9:G39)</f>
        <v>24</v>
      </c>
      <c r="H40" s="18">
        <f t="shared" ref="H40:L40" si="4">SUM(H9:H39)</f>
        <v>0</v>
      </c>
      <c r="I40" s="18">
        <f t="shared" si="4"/>
        <v>1</v>
      </c>
      <c r="J40" s="18">
        <f t="shared" si="4"/>
        <v>1</v>
      </c>
      <c r="K40" s="18">
        <f t="shared" si="4"/>
        <v>26</v>
      </c>
      <c r="L40" s="18">
        <f t="shared" si="4"/>
        <v>46</v>
      </c>
    </row>
    <row r="41" spans="1:12" ht="15.75" thickBot="1" x14ac:dyDescent="0.3">
      <c r="A41" s="12"/>
      <c r="B41" s="12"/>
      <c r="C41" s="13"/>
      <c r="D41" s="13"/>
      <c r="E41" s="13"/>
      <c r="F41" s="12"/>
      <c r="G41" s="12"/>
      <c r="H41" s="13"/>
      <c r="I41" s="13"/>
      <c r="J41" s="13"/>
      <c r="K41" s="12"/>
      <c r="L41" s="14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2"/>
      <c r="L42" s="14"/>
    </row>
    <row r="43" spans="1:12" ht="15.75" thickBot="1" x14ac:dyDescent="0.3">
      <c r="A43" s="15"/>
      <c r="B43" s="89" t="s">
        <v>19</v>
      </c>
      <c r="C43" s="90"/>
      <c r="D43" s="90"/>
      <c r="E43" s="90"/>
      <c r="F43" s="90"/>
      <c r="G43" s="91">
        <v>95</v>
      </c>
      <c r="H43" s="92"/>
      <c r="I43" s="93"/>
      <c r="J43" s="94"/>
      <c r="K43" s="12"/>
      <c r="L43" s="14"/>
    </row>
    <row r="44" spans="1:12" ht="15.75" thickBot="1" x14ac:dyDescent="0.3">
      <c r="A44" s="15"/>
      <c r="B44" s="89" t="s">
        <v>20</v>
      </c>
      <c r="C44" s="90"/>
      <c r="D44" s="90"/>
      <c r="E44" s="90"/>
      <c r="F44" s="90"/>
      <c r="G44" s="95">
        <v>17</v>
      </c>
      <c r="H44" s="96"/>
      <c r="I44" s="95"/>
      <c r="J44" s="96"/>
      <c r="K44" s="12"/>
      <c r="L44" s="14"/>
    </row>
    <row r="45" spans="1:12" ht="15.75" thickBot="1" x14ac:dyDescent="0.3">
      <c r="A45" s="15"/>
      <c r="B45" s="97" t="s">
        <v>21</v>
      </c>
      <c r="C45" s="97"/>
      <c r="D45" s="97"/>
      <c r="E45" s="97"/>
      <c r="F45" s="89"/>
      <c r="G45" s="98">
        <v>1</v>
      </c>
      <c r="H45" s="99"/>
      <c r="I45" s="91"/>
      <c r="J45" s="100"/>
      <c r="K45" s="12"/>
      <c r="L45" s="14"/>
    </row>
    <row r="46" spans="1:12" ht="15.75" thickBot="1" x14ac:dyDescent="0.3">
      <c r="A46" s="15"/>
      <c r="B46" s="89" t="s">
        <v>22</v>
      </c>
      <c r="C46" s="90"/>
      <c r="D46" s="90"/>
      <c r="E46" s="90"/>
      <c r="F46" s="90"/>
      <c r="G46" s="101">
        <f>+L40+G45</f>
        <v>47</v>
      </c>
      <c r="H46" s="96"/>
      <c r="I46" s="95"/>
      <c r="J46" s="96"/>
      <c r="K46" s="12"/>
      <c r="L46" s="14"/>
    </row>
    <row r="47" spans="1:12" ht="15.75" thickBot="1" x14ac:dyDescent="0.3">
      <c r="A47" s="4"/>
      <c r="B47" s="89" t="s">
        <v>23</v>
      </c>
      <c r="C47" s="90"/>
      <c r="D47" s="90"/>
      <c r="E47" s="90"/>
      <c r="F47" s="90"/>
      <c r="G47" s="101">
        <f>G43+G44-G46</f>
        <v>65</v>
      </c>
      <c r="H47" s="96"/>
      <c r="I47" s="95"/>
      <c r="J47" s="96"/>
      <c r="K47" s="12"/>
      <c r="L47" s="3"/>
    </row>
    <row r="48" spans="1:12" ht="15.75" thickBot="1" x14ac:dyDescent="0.3">
      <c r="A48" s="4"/>
      <c r="B48" s="89" t="s">
        <v>24</v>
      </c>
      <c r="C48" s="90"/>
      <c r="D48" s="90"/>
      <c r="E48" s="90"/>
      <c r="F48" s="90"/>
      <c r="G48" s="95">
        <v>44</v>
      </c>
      <c r="H48" s="96"/>
      <c r="I48" s="95"/>
      <c r="J48" s="96"/>
      <c r="K48" s="12"/>
      <c r="L48" s="3"/>
    </row>
    <row r="49" spans="1:12" ht="15.75" thickBot="1" x14ac:dyDescent="0.3">
      <c r="A49" s="4"/>
      <c r="B49" s="89" t="s">
        <v>25</v>
      </c>
      <c r="C49" s="90"/>
      <c r="D49" s="90"/>
      <c r="E49" s="90"/>
      <c r="F49" s="90"/>
      <c r="G49" s="102">
        <f>G47-G48</f>
        <v>21</v>
      </c>
      <c r="H49" s="103"/>
      <c r="I49" s="104"/>
      <c r="J49" s="103"/>
      <c r="K49" s="12"/>
      <c r="L49" s="3"/>
    </row>
    <row r="50" spans="1:12" x14ac:dyDescent="0.25">
      <c r="A50" s="5" t="s">
        <v>26</v>
      </c>
      <c r="B50" s="38"/>
      <c r="C50" s="44"/>
      <c r="D50" s="44"/>
      <c r="E50" s="44"/>
      <c r="F50" s="38"/>
      <c r="G50" s="38"/>
      <c r="H50" s="44"/>
      <c r="I50" s="45" t="s">
        <v>27</v>
      </c>
      <c r="J50" s="44"/>
      <c r="K50" s="38"/>
      <c r="L50" s="1"/>
    </row>
    <row r="52" spans="1:12" x14ac:dyDescent="0.25">
      <c r="B52" t="s">
        <v>51</v>
      </c>
    </row>
    <row r="53" spans="1:12" x14ac:dyDescent="0.25">
      <c r="B53" t="s">
        <v>47</v>
      </c>
    </row>
    <row r="54" spans="1:12" x14ac:dyDescent="0.25">
      <c r="B54" t="s">
        <v>56</v>
      </c>
    </row>
  </sheetData>
  <mergeCells count="36">
    <mergeCell ref="A4:L4"/>
    <mergeCell ref="A1:D1"/>
    <mergeCell ref="G1:L1"/>
    <mergeCell ref="A2:D2"/>
    <mergeCell ref="G2:L2"/>
    <mergeCell ref="A3:D3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0" orientation="portrait" horizontalDpi="360" verticalDpi="18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"/>
  <sheetViews>
    <sheetView topLeftCell="A40" zoomScaleNormal="100" workbookViewId="0">
      <selection activeCell="F55" sqref="F55"/>
    </sheetView>
  </sheetViews>
  <sheetFormatPr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7"/>
      <c r="F1" s="38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7"/>
      <c r="F2" s="38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7"/>
      <c r="F3" s="38"/>
      <c r="G3" s="38"/>
      <c r="H3" s="37"/>
      <c r="I3" s="37"/>
      <c r="J3" s="37"/>
      <c r="K3" s="38"/>
      <c r="L3" s="1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52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</row>
    <row r="6" spans="1:12" ht="3.75" customHeight="1" thickBot="1" x14ac:dyDescent="0.3">
      <c r="A6" s="2" t="s">
        <v>6</v>
      </c>
      <c r="B6" s="12"/>
      <c r="C6" s="13"/>
      <c r="D6" s="13"/>
      <c r="E6" s="13"/>
      <c r="F6" s="12"/>
      <c r="G6" s="12"/>
      <c r="H6" s="76"/>
      <c r="I6" s="76"/>
      <c r="J6" s="13"/>
      <c r="K6" s="39"/>
      <c r="L6" s="3"/>
    </row>
    <row r="7" spans="1:12" x14ac:dyDescent="0.25">
      <c r="A7" s="77" t="s">
        <v>7</v>
      </c>
      <c r="B7" s="79" t="s">
        <v>8</v>
      </c>
      <c r="C7" s="80"/>
      <c r="D7" s="80"/>
      <c r="E7" s="80"/>
      <c r="F7" s="81"/>
      <c r="G7" s="82" t="s">
        <v>9</v>
      </c>
      <c r="H7" s="80"/>
      <c r="I7" s="80"/>
      <c r="J7" s="80"/>
      <c r="K7" s="81"/>
      <c r="L7" s="83" t="s">
        <v>10</v>
      </c>
    </row>
    <row r="8" spans="1:12" ht="15.75" thickBot="1" x14ac:dyDescent="0.3">
      <c r="A8" s="78"/>
      <c r="B8" s="40" t="s">
        <v>11</v>
      </c>
      <c r="C8" s="41" t="s">
        <v>12</v>
      </c>
      <c r="D8" s="41" t="s">
        <v>13</v>
      </c>
      <c r="E8" s="41" t="s">
        <v>14</v>
      </c>
      <c r="F8" s="42" t="s">
        <v>15</v>
      </c>
      <c r="G8" s="43" t="s">
        <v>11</v>
      </c>
      <c r="H8" s="41" t="s">
        <v>12</v>
      </c>
      <c r="I8" s="41" t="s">
        <v>13</v>
      </c>
      <c r="J8" s="41" t="s">
        <v>14</v>
      </c>
      <c r="K8" s="42" t="s">
        <v>16</v>
      </c>
      <c r="L8" s="84"/>
    </row>
    <row r="9" spans="1:12" ht="15.75" thickBot="1" x14ac:dyDescent="0.3">
      <c r="A9" s="6">
        <v>1</v>
      </c>
      <c r="B9" s="20"/>
      <c r="C9" s="21"/>
      <c r="D9" s="21"/>
      <c r="E9" s="22"/>
      <c r="F9" s="19">
        <f>SUM(B9:E9)</f>
        <v>0</v>
      </c>
      <c r="G9" s="48"/>
      <c r="H9" s="31"/>
      <c r="I9" s="31"/>
      <c r="J9" s="31"/>
      <c r="K9" s="17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3">
        <v>2</v>
      </c>
      <c r="C10" s="24"/>
      <c r="D10" s="24"/>
      <c r="E10" s="25"/>
      <c r="F10" s="19">
        <f t="shared" ref="F10:F39" si="0">SUM(B10:E10)</f>
        <v>2</v>
      </c>
      <c r="G10" s="32"/>
      <c r="H10" s="24"/>
      <c r="I10" s="24"/>
      <c r="J10" s="24"/>
      <c r="K10" s="17">
        <f t="shared" ref="K10:K39" si="1">SUM(G10:J10)</f>
        <v>0</v>
      </c>
      <c r="L10" s="7">
        <f t="shared" ref="L10:L39" si="2">SUM(F10+K10)</f>
        <v>2</v>
      </c>
    </row>
    <row r="11" spans="1:12" ht="15.75" thickBot="1" x14ac:dyDescent="0.3">
      <c r="A11" s="8">
        <v>3</v>
      </c>
      <c r="B11" s="23"/>
      <c r="C11" s="24"/>
      <c r="D11" s="24"/>
      <c r="E11" s="26"/>
      <c r="F11" s="19">
        <f t="shared" si="0"/>
        <v>0</v>
      </c>
      <c r="G11" s="32"/>
      <c r="H11" s="24"/>
      <c r="I11" s="24"/>
      <c r="J11" s="24"/>
      <c r="K11" s="17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3"/>
      <c r="C12" s="24"/>
      <c r="D12" s="24"/>
      <c r="E12" s="25"/>
      <c r="F12" s="19">
        <f t="shared" si="0"/>
        <v>0</v>
      </c>
      <c r="G12" s="33"/>
      <c r="H12" s="24"/>
      <c r="I12" s="24"/>
      <c r="J12" s="24"/>
      <c r="K12" s="17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3">
        <v>1</v>
      </c>
      <c r="C13" s="24"/>
      <c r="D13" s="24"/>
      <c r="E13" s="25"/>
      <c r="F13" s="19">
        <f t="shared" si="0"/>
        <v>1</v>
      </c>
      <c r="G13" s="32"/>
      <c r="H13" s="24">
        <v>2</v>
      </c>
      <c r="I13" s="24"/>
      <c r="J13" s="24"/>
      <c r="K13" s="17">
        <f t="shared" si="1"/>
        <v>2</v>
      </c>
      <c r="L13" s="7">
        <f t="shared" si="2"/>
        <v>3</v>
      </c>
    </row>
    <row r="14" spans="1:12" ht="15.75" thickBot="1" x14ac:dyDescent="0.3">
      <c r="A14" s="8">
        <v>6</v>
      </c>
      <c r="B14" s="23">
        <v>1</v>
      </c>
      <c r="C14" s="24"/>
      <c r="D14" s="24"/>
      <c r="E14" s="25"/>
      <c r="F14" s="19">
        <f t="shared" si="0"/>
        <v>1</v>
      </c>
      <c r="G14" s="32"/>
      <c r="H14" s="24"/>
      <c r="I14" s="24"/>
      <c r="J14" s="24"/>
      <c r="K14" s="17">
        <f t="shared" si="1"/>
        <v>0</v>
      </c>
      <c r="L14" s="7">
        <f t="shared" si="2"/>
        <v>1</v>
      </c>
    </row>
    <row r="15" spans="1:12" ht="15.75" thickBot="1" x14ac:dyDescent="0.3">
      <c r="A15" s="8">
        <v>7</v>
      </c>
      <c r="B15" s="23">
        <v>1</v>
      </c>
      <c r="C15" s="24"/>
      <c r="D15" s="24"/>
      <c r="E15" s="25"/>
      <c r="F15" s="19">
        <f t="shared" si="0"/>
        <v>1</v>
      </c>
      <c r="G15" s="32">
        <v>5</v>
      </c>
      <c r="H15" s="24"/>
      <c r="I15" s="24"/>
      <c r="J15" s="24"/>
      <c r="K15" s="17">
        <f t="shared" si="1"/>
        <v>5</v>
      </c>
      <c r="L15" s="7">
        <f t="shared" si="2"/>
        <v>6</v>
      </c>
    </row>
    <row r="16" spans="1:12" ht="15.75" thickBot="1" x14ac:dyDescent="0.3">
      <c r="A16" s="8">
        <v>8</v>
      </c>
      <c r="B16" s="23"/>
      <c r="C16" s="24"/>
      <c r="D16" s="24"/>
      <c r="E16" s="25"/>
      <c r="F16" s="19">
        <f t="shared" si="0"/>
        <v>0</v>
      </c>
      <c r="G16" s="32"/>
      <c r="H16" s="24"/>
      <c r="I16" s="24"/>
      <c r="J16" s="24"/>
      <c r="K16" s="17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3">
        <v>1</v>
      </c>
      <c r="C17" s="24"/>
      <c r="D17" s="24"/>
      <c r="E17" s="25"/>
      <c r="F17" s="19">
        <f t="shared" si="0"/>
        <v>1</v>
      </c>
      <c r="G17" s="32"/>
      <c r="H17" s="24"/>
      <c r="I17" s="24"/>
      <c r="J17" s="24"/>
      <c r="K17" s="17">
        <f t="shared" si="1"/>
        <v>0</v>
      </c>
      <c r="L17" s="7">
        <f t="shared" si="2"/>
        <v>1</v>
      </c>
    </row>
    <row r="18" spans="1:12" ht="15.75" thickBot="1" x14ac:dyDescent="0.3">
      <c r="A18" s="8">
        <v>10</v>
      </c>
      <c r="B18" s="23"/>
      <c r="C18" s="24"/>
      <c r="D18" s="24"/>
      <c r="E18" s="25"/>
      <c r="F18" s="19">
        <f t="shared" si="0"/>
        <v>0</v>
      </c>
      <c r="G18" s="34"/>
      <c r="H18" s="24"/>
      <c r="I18" s="24"/>
      <c r="J18" s="24"/>
      <c r="K18" s="17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3"/>
      <c r="C19" s="24"/>
      <c r="D19" s="24"/>
      <c r="E19" s="25"/>
      <c r="F19" s="19">
        <f t="shared" si="0"/>
        <v>0</v>
      </c>
      <c r="G19" s="32"/>
      <c r="H19" s="24"/>
      <c r="I19" s="24"/>
      <c r="J19" s="24"/>
      <c r="K19" s="17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3">
        <v>3</v>
      </c>
      <c r="C20" s="24"/>
      <c r="D20" s="24"/>
      <c r="E20" s="25"/>
      <c r="F20" s="19">
        <f t="shared" si="0"/>
        <v>3</v>
      </c>
      <c r="G20" s="32"/>
      <c r="H20" s="35"/>
      <c r="I20" s="35"/>
      <c r="J20" s="35"/>
      <c r="K20" s="17">
        <f t="shared" si="1"/>
        <v>0</v>
      </c>
      <c r="L20" s="7">
        <f t="shared" si="2"/>
        <v>3</v>
      </c>
    </row>
    <row r="21" spans="1:12" ht="15.75" thickBot="1" x14ac:dyDescent="0.3">
      <c r="A21" s="8">
        <v>13</v>
      </c>
      <c r="B21" s="23"/>
      <c r="C21" s="24"/>
      <c r="D21" s="24"/>
      <c r="E21" s="25"/>
      <c r="F21" s="19">
        <f t="shared" si="0"/>
        <v>0</v>
      </c>
      <c r="G21" s="36">
        <v>1</v>
      </c>
      <c r="H21" s="24"/>
      <c r="I21" s="24"/>
      <c r="J21" s="24"/>
      <c r="K21" s="17">
        <f t="shared" si="1"/>
        <v>1</v>
      </c>
      <c r="L21" s="7">
        <f t="shared" si="2"/>
        <v>1</v>
      </c>
    </row>
    <row r="22" spans="1:12" ht="15.75" thickBot="1" x14ac:dyDescent="0.3">
      <c r="A22" s="8">
        <v>14</v>
      </c>
      <c r="B22" s="23"/>
      <c r="C22" s="24"/>
      <c r="D22" s="24"/>
      <c r="E22" s="25"/>
      <c r="F22" s="19">
        <f t="shared" si="0"/>
        <v>0</v>
      </c>
      <c r="G22" s="36"/>
      <c r="H22" s="24"/>
      <c r="I22" s="24"/>
      <c r="J22" s="24"/>
      <c r="K22" s="17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3"/>
      <c r="C23" s="24"/>
      <c r="D23" s="24"/>
      <c r="E23" s="25"/>
      <c r="F23" s="19">
        <f t="shared" si="0"/>
        <v>0</v>
      </c>
      <c r="G23" s="32">
        <v>1</v>
      </c>
      <c r="H23" s="24"/>
      <c r="I23" s="24"/>
      <c r="J23" s="24"/>
      <c r="K23" s="17">
        <f t="shared" si="1"/>
        <v>1</v>
      </c>
      <c r="L23" s="7">
        <f t="shared" si="2"/>
        <v>1</v>
      </c>
    </row>
    <row r="24" spans="1:12" ht="15.75" thickBot="1" x14ac:dyDescent="0.3">
      <c r="A24" s="8">
        <v>16</v>
      </c>
      <c r="B24" s="23"/>
      <c r="C24" s="24"/>
      <c r="D24" s="24">
        <v>1</v>
      </c>
      <c r="E24" s="25"/>
      <c r="F24" s="19">
        <f t="shared" si="0"/>
        <v>1</v>
      </c>
      <c r="G24" s="32"/>
      <c r="H24" s="24"/>
      <c r="I24" s="24"/>
      <c r="J24" s="24"/>
      <c r="K24" s="17">
        <f t="shared" si="1"/>
        <v>0</v>
      </c>
      <c r="L24" s="7">
        <f t="shared" si="2"/>
        <v>1</v>
      </c>
    </row>
    <row r="25" spans="1:12" ht="15.75" thickBot="1" x14ac:dyDescent="0.3">
      <c r="A25" s="8">
        <v>17</v>
      </c>
      <c r="B25" s="23"/>
      <c r="C25" s="49"/>
      <c r="D25" s="27"/>
      <c r="E25" s="25"/>
      <c r="F25" s="19">
        <f t="shared" si="0"/>
        <v>0</v>
      </c>
      <c r="G25" s="32"/>
      <c r="H25" s="24"/>
      <c r="I25" s="24"/>
      <c r="J25" s="24"/>
      <c r="K25" s="17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3"/>
      <c r="C26" s="24"/>
      <c r="D26" s="24"/>
      <c r="E26" s="25"/>
      <c r="F26" s="19">
        <f t="shared" si="0"/>
        <v>0</v>
      </c>
      <c r="G26" s="32"/>
      <c r="H26" s="24"/>
      <c r="I26" s="24"/>
      <c r="J26" s="24"/>
      <c r="K26" s="17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3"/>
      <c r="C27" s="24"/>
      <c r="D27" s="24"/>
      <c r="E27" s="25"/>
      <c r="F27" s="19">
        <f t="shared" si="0"/>
        <v>0</v>
      </c>
      <c r="G27" s="32"/>
      <c r="H27" s="24"/>
      <c r="I27" s="24"/>
      <c r="J27" s="24"/>
      <c r="K27" s="17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3"/>
      <c r="C28" s="24"/>
      <c r="D28" s="24"/>
      <c r="E28" s="25"/>
      <c r="F28" s="19">
        <f t="shared" si="0"/>
        <v>0</v>
      </c>
      <c r="G28" s="32">
        <v>3</v>
      </c>
      <c r="H28" s="24"/>
      <c r="I28" s="24"/>
      <c r="J28" s="24"/>
      <c r="K28" s="17">
        <f t="shared" si="1"/>
        <v>3</v>
      </c>
      <c r="L28" s="7">
        <f t="shared" si="2"/>
        <v>3</v>
      </c>
    </row>
    <row r="29" spans="1:12" ht="15.75" thickBot="1" x14ac:dyDescent="0.3">
      <c r="A29" s="8">
        <v>21</v>
      </c>
      <c r="B29" s="23"/>
      <c r="C29" s="24"/>
      <c r="D29" s="24"/>
      <c r="E29" s="25"/>
      <c r="F29" s="19">
        <f t="shared" si="0"/>
        <v>0</v>
      </c>
      <c r="G29" s="32"/>
      <c r="H29" s="24"/>
      <c r="I29" s="24"/>
      <c r="J29" s="24"/>
      <c r="K29" s="17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3">
        <v>1</v>
      </c>
      <c r="C30" s="24"/>
      <c r="D30" s="24"/>
      <c r="E30" s="25"/>
      <c r="F30" s="19">
        <f t="shared" si="0"/>
        <v>1</v>
      </c>
      <c r="G30" s="32"/>
      <c r="H30" s="24"/>
      <c r="I30" s="24"/>
      <c r="J30" s="24"/>
      <c r="K30" s="17">
        <f t="shared" si="1"/>
        <v>0</v>
      </c>
      <c r="L30" s="7">
        <f t="shared" si="2"/>
        <v>1</v>
      </c>
    </row>
    <row r="31" spans="1:12" ht="15.75" thickBot="1" x14ac:dyDescent="0.3">
      <c r="A31" s="8">
        <v>23</v>
      </c>
      <c r="B31" s="23"/>
      <c r="C31" s="24"/>
      <c r="D31" s="24"/>
      <c r="E31" s="25"/>
      <c r="F31" s="19">
        <f t="shared" si="0"/>
        <v>0</v>
      </c>
      <c r="G31" s="32"/>
      <c r="H31" s="24"/>
      <c r="I31" s="24"/>
      <c r="J31" s="24"/>
      <c r="K31" s="17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3"/>
      <c r="C32" s="24"/>
      <c r="D32" s="24"/>
      <c r="E32" s="25"/>
      <c r="F32" s="19">
        <f t="shared" si="0"/>
        <v>0</v>
      </c>
      <c r="G32" s="32"/>
      <c r="H32" s="24"/>
      <c r="I32" s="24"/>
      <c r="J32" s="24"/>
      <c r="K32" s="17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3"/>
      <c r="C33" s="24"/>
      <c r="D33" s="24"/>
      <c r="E33" s="25"/>
      <c r="F33" s="19">
        <f t="shared" si="0"/>
        <v>0</v>
      </c>
      <c r="G33" s="32"/>
      <c r="H33" s="24"/>
      <c r="I33" s="24"/>
      <c r="J33" s="24"/>
      <c r="K33" s="17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3"/>
      <c r="C34" s="24"/>
      <c r="D34" s="24"/>
      <c r="E34" s="25"/>
      <c r="F34" s="19">
        <f t="shared" si="0"/>
        <v>0</v>
      </c>
      <c r="G34" s="32">
        <v>14</v>
      </c>
      <c r="H34" s="24"/>
      <c r="I34" s="24"/>
      <c r="J34" s="24"/>
      <c r="K34" s="17">
        <f t="shared" si="1"/>
        <v>14</v>
      </c>
      <c r="L34" s="7">
        <f t="shared" si="2"/>
        <v>14</v>
      </c>
    </row>
    <row r="35" spans="1:12" ht="15.75" thickBot="1" x14ac:dyDescent="0.3">
      <c r="A35" s="8">
        <v>27</v>
      </c>
      <c r="B35" s="23"/>
      <c r="C35" s="24"/>
      <c r="D35" s="24"/>
      <c r="E35" s="25"/>
      <c r="F35" s="19">
        <f t="shared" si="0"/>
        <v>0</v>
      </c>
      <c r="G35" s="47">
        <v>8</v>
      </c>
      <c r="H35" s="24"/>
      <c r="I35" s="24"/>
      <c r="J35" s="24"/>
      <c r="K35" s="17">
        <f t="shared" si="1"/>
        <v>8</v>
      </c>
      <c r="L35" s="7">
        <f t="shared" si="2"/>
        <v>8</v>
      </c>
    </row>
    <row r="36" spans="1:12" ht="15.75" thickBot="1" x14ac:dyDescent="0.3">
      <c r="A36" s="8">
        <v>28</v>
      </c>
      <c r="B36" s="23">
        <v>1</v>
      </c>
      <c r="C36" s="24"/>
      <c r="D36" s="24"/>
      <c r="E36" s="25"/>
      <c r="F36" s="19">
        <f t="shared" si="0"/>
        <v>1</v>
      </c>
      <c r="G36" s="32">
        <v>11</v>
      </c>
      <c r="H36" s="24"/>
      <c r="I36" s="24"/>
      <c r="J36" s="24"/>
      <c r="K36" s="17">
        <f t="shared" si="1"/>
        <v>11</v>
      </c>
      <c r="L36" s="7">
        <f t="shared" si="2"/>
        <v>12</v>
      </c>
    </row>
    <row r="37" spans="1:12" ht="15.75" thickBot="1" x14ac:dyDescent="0.3">
      <c r="A37" s="8">
        <v>29</v>
      </c>
      <c r="B37" s="23">
        <v>1</v>
      </c>
      <c r="C37" s="24"/>
      <c r="D37" s="24"/>
      <c r="E37" s="25"/>
      <c r="F37" s="19">
        <f t="shared" si="0"/>
        <v>1</v>
      </c>
      <c r="G37" s="32">
        <v>16</v>
      </c>
      <c r="H37" s="24"/>
      <c r="I37" s="24"/>
      <c r="J37" s="24"/>
      <c r="K37" s="17">
        <f t="shared" si="1"/>
        <v>16</v>
      </c>
      <c r="L37" s="7">
        <f t="shared" si="2"/>
        <v>17</v>
      </c>
    </row>
    <row r="38" spans="1:12" ht="15.75" thickBot="1" x14ac:dyDescent="0.3">
      <c r="A38" s="8">
        <v>30</v>
      </c>
      <c r="B38" s="23"/>
      <c r="C38" s="24"/>
      <c r="D38" s="24"/>
      <c r="E38" s="25"/>
      <c r="F38" s="19">
        <f t="shared" si="0"/>
        <v>0</v>
      </c>
      <c r="G38" s="32">
        <v>6</v>
      </c>
      <c r="H38" s="24"/>
      <c r="I38" s="24"/>
      <c r="J38" s="24"/>
      <c r="K38" s="17">
        <f t="shared" si="1"/>
        <v>6</v>
      </c>
      <c r="L38" s="7">
        <f t="shared" si="2"/>
        <v>6</v>
      </c>
    </row>
    <row r="39" spans="1:12" ht="15.75" thickBot="1" x14ac:dyDescent="0.3">
      <c r="A39" s="9">
        <v>31</v>
      </c>
      <c r="B39" s="28"/>
      <c r="C39" s="29"/>
      <c r="D39" s="29"/>
      <c r="E39" s="30"/>
      <c r="F39" s="19">
        <f t="shared" si="0"/>
        <v>0</v>
      </c>
      <c r="G39" s="32"/>
      <c r="H39" s="24"/>
      <c r="I39" s="24"/>
      <c r="J39" s="24"/>
      <c r="K39" s="17">
        <f t="shared" si="1"/>
        <v>0</v>
      </c>
      <c r="L39" s="7">
        <f t="shared" si="2"/>
        <v>0</v>
      </c>
    </row>
    <row r="40" spans="1:12" ht="15.75" thickBot="1" x14ac:dyDescent="0.3">
      <c r="A40" s="10"/>
      <c r="B40" s="69">
        <f>SUM(B9:B39)</f>
        <v>12</v>
      </c>
      <c r="C40" s="69">
        <f t="shared" ref="C40:E40" si="3">SUM(C9:C39)</f>
        <v>0</v>
      </c>
      <c r="D40" s="69">
        <f t="shared" si="3"/>
        <v>1</v>
      </c>
      <c r="E40" s="69">
        <f t="shared" si="3"/>
        <v>0</v>
      </c>
      <c r="F40" s="68">
        <f>SUM(F9:F39)</f>
        <v>13</v>
      </c>
      <c r="G40" s="18">
        <f>SUM(G9:G39)</f>
        <v>65</v>
      </c>
      <c r="H40" s="18">
        <f t="shared" ref="H40:L40" si="4">SUM(H9:H39)</f>
        <v>2</v>
      </c>
      <c r="I40" s="18">
        <f t="shared" si="4"/>
        <v>0</v>
      </c>
      <c r="J40" s="18">
        <f t="shared" si="4"/>
        <v>0</v>
      </c>
      <c r="K40" s="18">
        <f t="shared" si="4"/>
        <v>67</v>
      </c>
      <c r="L40" s="18">
        <f t="shared" si="4"/>
        <v>80</v>
      </c>
    </row>
    <row r="41" spans="1:12" ht="5.25" customHeight="1" thickBot="1" x14ac:dyDescent="0.3">
      <c r="A41" s="12"/>
      <c r="B41" s="12"/>
      <c r="C41" s="13"/>
      <c r="D41" s="13"/>
      <c r="E41" s="13"/>
      <c r="F41" s="12"/>
      <c r="G41" s="12"/>
      <c r="H41" s="13"/>
      <c r="I41" s="13"/>
      <c r="J41" s="13"/>
      <c r="K41" s="12"/>
      <c r="L41" s="14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2"/>
      <c r="L42" s="14"/>
    </row>
    <row r="43" spans="1:12" ht="15.75" thickBot="1" x14ac:dyDescent="0.3">
      <c r="A43" s="15"/>
      <c r="B43" s="89" t="s">
        <v>19</v>
      </c>
      <c r="C43" s="90"/>
      <c r="D43" s="90"/>
      <c r="E43" s="90"/>
      <c r="F43" s="90"/>
      <c r="G43" s="91">
        <v>44</v>
      </c>
      <c r="H43" s="92"/>
      <c r="I43" s="93"/>
      <c r="J43" s="94"/>
      <c r="K43" s="12"/>
      <c r="L43" s="14"/>
    </row>
    <row r="44" spans="1:12" ht="15.75" thickBot="1" x14ac:dyDescent="0.3">
      <c r="A44" s="15"/>
      <c r="B44" s="89" t="s">
        <v>20</v>
      </c>
      <c r="C44" s="90"/>
      <c r="D44" s="90"/>
      <c r="E44" s="90"/>
      <c r="F44" s="90"/>
      <c r="G44" s="95">
        <v>106</v>
      </c>
      <c r="H44" s="96"/>
      <c r="I44" s="95"/>
      <c r="J44" s="96"/>
      <c r="K44" s="12"/>
      <c r="L44" s="14"/>
    </row>
    <row r="45" spans="1:12" ht="15.75" thickBot="1" x14ac:dyDescent="0.3">
      <c r="A45" s="15"/>
      <c r="B45" s="97" t="s">
        <v>21</v>
      </c>
      <c r="C45" s="97"/>
      <c r="D45" s="97"/>
      <c r="E45" s="97"/>
      <c r="F45" s="89"/>
      <c r="G45" s="98">
        <v>3</v>
      </c>
      <c r="H45" s="99"/>
      <c r="I45" s="91"/>
      <c r="J45" s="100"/>
      <c r="K45" s="12"/>
      <c r="L45" s="14"/>
    </row>
    <row r="46" spans="1:12" ht="15.75" thickBot="1" x14ac:dyDescent="0.3">
      <c r="A46" s="15"/>
      <c r="B46" s="89" t="s">
        <v>22</v>
      </c>
      <c r="C46" s="90"/>
      <c r="D46" s="90"/>
      <c r="E46" s="90"/>
      <c r="F46" s="90"/>
      <c r="G46" s="101">
        <f>+L40+G45</f>
        <v>83</v>
      </c>
      <c r="H46" s="96"/>
      <c r="I46" s="95"/>
      <c r="J46" s="96"/>
      <c r="K46" s="12"/>
      <c r="L46" s="14"/>
    </row>
    <row r="47" spans="1:12" ht="15.75" thickBot="1" x14ac:dyDescent="0.3">
      <c r="A47" s="4"/>
      <c r="B47" s="89" t="s">
        <v>23</v>
      </c>
      <c r="C47" s="90"/>
      <c r="D47" s="90"/>
      <c r="E47" s="90"/>
      <c r="F47" s="90"/>
      <c r="G47" s="101">
        <f>G43+G44-G46</f>
        <v>67</v>
      </c>
      <c r="H47" s="96"/>
      <c r="I47" s="95"/>
      <c r="J47" s="96"/>
      <c r="K47" s="12"/>
      <c r="L47" s="3"/>
    </row>
    <row r="48" spans="1:12" ht="15.75" thickBot="1" x14ac:dyDescent="0.3">
      <c r="A48" s="4"/>
      <c r="B48" s="89" t="s">
        <v>24</v>
      </c>
      <c r="C48" s="90"/>
      <c r="D48" s="90"/>
      <c r="E48" s="90"/>
      <c r="F48" s="90"/>
      <c r="G48" s="95">
        <v>40</v>
      </c>
      <c r="H48" s="96"/>
      <c r="I48" s="95"/>
      <c r="J48" s="96"/>
      <c r="K48" s="12"/>
      <c r="L48" s="3"/>
    </row>
    <row r="49" spans="1:12" ht="15.75" thickBot="1" x14ac:dyDescent="0.3">
      <c r="A49" s="4"/>
      <c r="B49" s="89" t="s">
        <v>25</v>
      </c>
      <c r="C49" s="90"/>
      <c r="D49" s="90"/>
      <c r="E49" s="90"/>
      <c r="F49" s="90"/>
      <c r="G49" s="102">
        <f>G47-G48</f>
        <v>27</v>
      </c>
      <c r="H49" s="103"/>
      <c r="I49" s="104"/>
      <c r="J49" s="103"/>
      <c r="K49" s="12"/>
      <c r="L49" s="3"/>
    </row>
    <row r="50" spans="1:12" x14ac:dyDescent="0.25">
      <c r="A50" s="5" t="s">
        <v>26</v>
      </c>
      <c r="B50" s="38"/>
      <c r="C50" s="44"/>
      <c r="D50" s="44"/>
      <c r="E50" s="44"/>
      <c r="F50" s="38"/>
      <c r="G50" s="38"/>
      <c r="H50" s="44"/>
      <c r="I50" s="45" t="s">
        <v>27</v>
      </c>
      <c r="J50" s="44"/>
      <c r="K50" s="38"/>
      <c r="L50" s="1"/>
    </row>
    <row r="51" spans="1:12" ht="9" customHeight="1" x14ac:dyDescent="0.25"/>
    <row r="52" spans="1:12" x14ac:dyDescent="0.25">
      <c r="B52" t="s">
        <v>47</v>
      </c>
    </row>
    <row r="53" spans="1:12" x14ac:dyDescent="0.25">
      <c r="B53" t="s">
        <v>53</v>
      </c>
    </row>
    <row r="54" spans="1:12" x14ac:dyDescent="0.25">
      <c r="B54" t="s">
        <v>54</v>
      </c>
    </row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H6:I6"/>
    <mergeCell ref="A7:A8"/>
    <mergeCell ref="B7:F7"/>
    <mergeCell ref="G7:K7"/>
    <mergeCell ref="L7:L8"/>
    <mergeCell ref="A4:L4"/>
    <mergeCell ref="A1:D1"/>
    <mergeCell ref="G1:L1"/>
    <mergeCell ref="A2:D2"/>
    <mergeCell ref="G2:L2"/>
    <mergeCell ref="A3:D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"/>
  <sheetViews>
    <sheetView tabSelected="1" topLeftCell="A31" zoomScaleNormal="100" workbookViewId="0">
      <selection activeCell="L56" sqref="A1:L56"/>
    </sheetView>
  </sheetViews>
  <sheetFormatPr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7"/>
      <c r="F1" s="38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7"/>
      <c r="F2" s="38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7"/>
      <c r="F3" s="38"/>
      <c r="G3" s="38"/>
      <c r="H3" s="37"/>
      <c r="I3" s="37"/>
      <c r="J3" s="37"/>
      <c r="K3" s="38"/>
      <c r="L3" s="1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55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</row>
    <row r="6" spans="1:12" ht="3.75" customHeight="1" thickBot="1" x14ac:dyDescent="0.3">
      <c r="A6" s="2" t="s">
        <v>6</v>
      </c>
      <c r="B6" s="12"/>
      <c r="C6" s="13"/>
      <c r="D6" s="13"/>
      <c r="E6" s="13"/>
      <c r="F6" s="12"/>
      <c r="G6" s="12"/>
      <c r="H6" s="76"/>
      <c r="I6" s="76"/>
      <c r="J6" s="13"/>
      <c r="K6" s="39"/>
      <c r="L6" s="3"/>
    </row>
    <row r="7" spans="1:12" x14ac:dyDescent="0.25">
      <c r="A7" s="77" t="s">
        <v>7</v>
      </c>
      <c r="B7" s="79" t="s">
        <v>8</v>
      </c>
      <c r="C7" s="80"/>
      <c r="D7" s="80"/>
      <c r="E7" s="80"/>
      <c r="F7" s="81"/>
      <c r="G7" s="82" t="s">
        <v>9</v>
      </c>
      <c r="H7" s="80"/>
      <c r="I7" s="80"/>
      <c r="J7" s="80"/>
      <c r="K7" s="81"/>
      <c r="L7" s="83" t="s">
        <v>10</v>
      </c>
    </row>
    <row r="8" spans="1:12" ht="15.75" thickBot="1" x14ac:dyDescent="0.3">
      <c r="A8" s="78"/>
      <c r="B8" s="40" t="s">
        <v>11</v>
      </c>
      <c r="C8" s="41" t="s">
        <v>12</v>
      </c>
      <c r="D8" s="41" t="s">
        <v>13</v>
      </c>
      <c r="E8" s="41" t="s">
        <v>14</v>
      </c>
      <c r="F8" s="42" t="s">
        <v>15</v>
      </c>
      <c r="G8" s="43" t="s">
        <v>11</v>
      </c>
      <c r="H8" s="41" t="s">
        <v>12</v>
      </c>
      <c r="I8" s="41" t="s">
        <v>13</v>
      </c>
      <c r="J8" s="41" t="s">
        <v>14</v>
      </c>
      <c r="K8" s="42" t="s">
        <v>16</v>
      </c>
      <c r="L8" s="84"/>
    </row>
    <row r="9" spans="1:12" ht="15.75" thickBot="1" x14ac:dyDescent="0.3">
      <c r="A9" s="6">
        <v>1</v>
      </c>
      <c r="B9" s="20"/>
      <c r="C9" s="21"/>
      <c r="D9" s="21"/>
      <c r="E9" s="22"/>
      <c r="F9" s="19">
        <f>SUM(B9:E9)</f>
        <v>0</v>
      </c>
      <c r="G9" s="48"/>
      <c r="H9" s="31"/>
      <c r="I9" s="31"/>
      <c r="J9" s="31"/>
      <c r="K9" s="17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3"/>
      <c r="C10" s="24"/>
      <c r="D10" s="24"/>
      <c r="E10" s="25"/>
      <c r="F10" s="19">
        <f t="shared" ref="F10:F39" si="0">SUM(B10:E10)</f>
        <v>0</v>
      </c>
      <c r="G10" s="32"/>
      <c r="H10" s="24"/>
      <c r="I10" s="24"/>
      <c r="J10" s="24"/>
      <c r="K10" s="17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3">
        <v>1</v>
      </c>
      <c r="C11" s="24"/>
      <c r="D11" s="24"/>
      <c r="E11" s="26"/>
      <c r="F11" s="19">
        <f t="shared" si="0"/>
        <v>1</v>
      </c>
      <c r="G11" s="32"/>
      <c r="H11" s="24"/>
      <c r="I11" s="24"/>
      <c r="J11" s="24"/>
      <c r="K11" s="17">
        <f t="shared" si="1"/>
        <v>0</v>
      </c>
      <c r="L11" s="7">
        <f t="shared" si="2"/>
        <v>1</v>
      </c>
    </row>
    <row r="12" spans="1:12" ht="15.75" thickBot="1" x14ac:dyDescent="0.3">
      <c r="A12" s="8">
        <v>4</v>
      </c>
      <c r="B12" s="23"/>
      <c r="C12" s="24"/>
      <c r="D12" s="24">
        <v>1</v>
      </c>
      <c r="E12" s="25"/>
      <c r="F12" s="19">
        <f t="shared" si="0"/>
        <v>1</v>
      </c>
      <c r="G12" s="33">
        <v>2</v>
      </c>
      <c r="H12" s="24"/>
      <c r="I12" s="24"/>
      <c r="J12" s="24"/>
      <c r="K12" s="17">
        <f t="shared" si="1"/>
        <v>2</v>
      </c>
      <c r="L12" s="7">
        <f t="shared" si="2"/>
        <v>3</v>
      </c>
    </row>
    <row r="13" spans="1:12" ht="15.75" thickBot="1" x14ac:dyDescent="0.3">
      <c r="A13" s="8">
        <v>5</v>
      </c>
      <c r="B13" s="23">
        <v>5</v>
      </c>
      <c r="C13" s="24"/>
      <c r="D13" s="24"/>
      <c r="E13" s="25"/>
      <c r="F13" s="19">
        <f t="shared" si="0"/>
        <v>5</v>
      </c>
      <c r="G13" s="32">
        <v>3</v>
      </c>
      <c r="H13" s="24"/>
      <c r="I13" s="24"/>
      <c r="J13" s="24"/>
      <c r="K13" s="17">
        <f t="shared" si="1"/>
        <v>3</v>
      </c>
      <c r="L13" s="7">
        <f t="shared" si="2"/>
        <v>8</v>
      </c>
    </row>
    <row r="14" spans="1:12" ht="15.75" thickBot="1" x14ac:dyDescent="0.3">
      <c r="A14" s="8">
        <v>6</v>
      </c>
      <c r="B14" s="23"/>
      <c r="C14" s="24"/>
      <c r="D14" s="24"/>
      <c r="E14" s="25"/>
      <c r="F14" s="19">
        <f t="shared" si="0"/>
        <v>0</v>
      </c>
      <c r="G14" s="32"/>
      <c r="H14" s="24"/>
      <c r="I14" s="24"/>
      <c r="J14" s="24"/>
      <c r="K14" s="17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3">
        <v>1</v>
      </c>
      <c r="C15" s="24"/>
      <c r="D15" s="24"/>
      <c r="E15" s="25"/>
      <c r="F15" s="19">
        <f t="shared" si="0"/>
        <v>1</v>
      </c>
      <c r="G15" s="32"/>
      <c r="H15" s="24"/>
      <c r="I15" s="24"/>
      <c r="J15" s="24"/>
      <c r="K15" s="17">
        <f t="shared" si="1"/>
        <v>0</v>
      </c>
      <c r="L15" s="7">
        <f t="shared" si="2"/>
        <v>1</v>
      </c>
    </row>
    <row r="16" spans="1:12" ht="15.75" thickBot="1" x14ac:dyDescent="0.3">
      <c r="A16" s="8">
        <v>8</v>
      </c>
      <c r="B16" s="23"/>
      <c r="C16" s="24"/>
      <c r="D16" s="24"/>
      <c r="E16" s="25"/>
      <c r="F16" s="19">
        <f t="shared" si="0"/>
        <v>0</v>
      </c>
      <c r="G16" s="32"/>
      <c r="H16" s="24"/>
      <c r="I16" s="24"/>
      <c r="J16" s="24"/>
      <c r="K16" s="17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3"/>
      <c r="C17" s="24"/>
      <c r="D17" s="24"/>
      <c r="E17" s="25"/>
      <c r="F17" s="19">
        <f t="shared" si="0"/>
        <v>0</v>
      </c>
      <c r="G17" s="32"/>
      <c r="H17" s="24"/>
      <c r="I17" s="24"/>
      <c r="J17" s="24"/>
      <c r="K17" s="17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3"/>
      <c r="C18" s="24"/>
      <c r="D18" s="24"/>
      <c r="E18" s="25"/>
      <c r="F18" s="19">
        <f t="shared" si="0"/>
        <v>0</v>
      </c>
      <c r="G18" s="34">
        <v>3</v>
      </c>
      <c r="H18" s="24"/>
      <c r="I18" s="24"/>
      <c r="J18" s="24"/>
      <c r="K18" s="17">
        <f t="shared" si="1"/>
        <v>3</v>
      </c>
      <c r="L18" s="7">
        <f t="shared" si="2"/>
        <v>3</v>
      </c>
    </row>
    <row r="19" spans="1:12" ht="15.75" thickBot="1" x14ac:dyDescent="0.3">
      <c r="A19" s="8">
        <v>11</v>
      </c>
      <c r="B19" s="23"/>
      <c r="C19" s="24"/>
      <c r="D19" s="24"/>
      <c r="E19" s="25"/>
      <c r="F19" s="19">
        <f t="shared" si="0"/>
        <v>0</v>
      </c>
      <c r="G19" s="32">
        <v>10</v>
      </c>
      <c r="H19" s="24"/>
      <c r="I19" s="24"/>
      <c r="J19" s="24"/>
      <c r="K19" s="17">
        <f t="shared" si="1"/>
        <v>10</v>
      </c>
      <c r="L19" s="7">
        <f t="shared" si="2"/>
        <v>10</v>
      </c>
    </row>
    <row r="20" spans="1:12" ht="15.75" thickBot="1" x14ac:dyDescent="0.3">
      <c r="A20" s="8">
        <v>12</v>
      </c>
      <c r="B20" s="23"/>
      <c r="C20" s="24"/>
      <c r="D20" s="24"/>
      <c r="E20" s="25"/>
      <c r="F20" s="19">
        <f t="shared" si="0"/>
        <v>0</v>
      </c>
      <c r="G20" s="32">
        <v>10</v>
      </c>
      <c r="H20" s="35"/>
      <c r="I20" s="35"/>
      <c r="J20" s="35"/>
      <c r="K20" s="17">
        <f t="shared" si="1"/>
        <v>10</v>
      </c>
      <c r="L20" s="7">
        <f t="shared" si="2"/>
        <v>10</v>
      </c>
    </row>
    <row r="21" spans="1:12" ht="15.75" thickBot="1" x14ac:dyDescent="0.3">
      <c r="A21" s="8">
        <v>13</v>
      </c>
      <c r="B21" s="23"/>
      <c r="C21" s="24"/>
      <c r="D21" s="24"/>
      <c r="E21" s="25"/>
      <c r="F21" s="19">
        <f t="shared" si="0"/>
        <v>0</v>
      </c>
      <c r="G21" s="36">
        <v>17</v>
      </c>
      <c r="H21" s="24">
        <v>2</v>
      </c>
      <c r="I21" s="24"/>
      <c r="J21" s="24"/>
      <c r="K21" s="17">
        <f t="shared" si="1"/>
        <v>19</v>
      </c>
      <c r="L21" s="7">
        <f t="shared" si="2"/>
        <v>19</v>
      </c>
    </row>
    <row r="22" spans="1:12" ht="15.75" thickBot="1" x14ac:dyDescent="0.3">
      <c r="A22" s="8">
        <v>14</v>
      </c>
      <c r="B22" s="23"/>
      <c r="C22" s="24"/>
      <c r="D22" s="24"/>
      <c r="E22" s="25"/>
      <c r="F22" s="19">
        <f t="shared" si="0"/>
        <v>0</v>
      </c>
      <c r="G22" s="36">
        <v>15</v>
      </c>
      <c r="H22" s="24">
        <v>1</v>
      </c>
      <c r="I22" s="24"/>
      <c r="J22" s="24">
        <v>1</v>
      </c>
      <c r="K22" s="17">
        <f t="shared" si="1"/>
        <v>17</v>
      </c>
      <c r="L22" s="7">
        <f t="shared" si="2"/>
        <v>17</v>
      </c>
    </row>
    <row r="23" spans="1:12" ht="15.75" thickBot="1" x14ac:dyDescent="0.3">
      <c r="A23" s="8">
        <v>15</v>
      </c>
      <c r="B23" s="23"/>
      <c r="C23" s="24"/>
      <c r="D23" s="24"/>
      <c r="E23" s="25"/>
      <c r="F23" s="19">
        <f t="shared" si="0"/>
        <v>0</v>
      </c>
      <c r="G23" s="32"/>
      <c r="H23" s="24"/>
      <c r="I23" s="24"/>
      <c r="J23" s="24"/>
      <c r="K23" s="17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3"/>
      <c r="C24" s="24"/>
      <c r="D24" s="24"/>
      <c r="E24" s="25"/>
      <c r="F24" s="19">
        <f t="shared" si="0"/>
        <v>0</v>
      </c>
      <c r="G24" s="32"/>
      <c r="H24" s="24"/>
      <c r="I24" s="24"/>
      <c r="J24" s="24"/>
      <c r="K24" s="17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3"/>
      <c r="C25" s="49"/>
      <c r="D25" s="27"/>
      <c r="E25" s="25"/>
      <c r="F25" s="19">
        <f t="shared" si="0"/>
        <v>0</v>
      </c>
      <c r="G25" s="32">
        <v>18</v>
      </c>
      <c r="H25" s="24"/>
      <c r="I25" s="24"/>
      <c r="J25" s="24"/>
      <c r="K25" s="17">
        <f t="shared" si="1"/>
        <v>18</v>
      </c>
      <c r="L25" s="7">
        <f t="shared" si="2"/>
        <v>18</v>
      </c>
    </row>
    <row r="26" spans="1:12" ht="15.75" thickBot="1" x14ac:dyDescent="0.3">
      <c r="A26" s="8">
        <v>18</v>
      </c>
      <c r="B26" s="23"/>
      <c r="C26" s="24"/>
      <c r="D26" s="24">
        <v>1</v>
      </c>
      <c r="E26" s="25"/>
      <c r="F26" s="19">
        <f t="shared" si="0"/>
        <v>1</v>
      </c>
      <c r="G26" s="32">
        <v>3</v>
      </c>
      <c r="H26" s="24"/>
      <c r="I26" s="24">
        <v>1</v>
      </c>
      <c r="J26" s="24"/>
      <c r="K26" s="17">
        <f t="shared" si="1"/>
        <v>4</v>
      </c>
      <c r="L26" s="7">
        <f t="shared" si="2"/>
        <v>5</v>
      </c>
    </row>
    <row r="27" spans="1:12" ht="15.75" thickBot="1" x14ac:dyDescent="0.3">
      <c r="A27" s="8">
        <v>19</v>
      </c>
      <c r="B27" s="23"/>
      <c r="C27" s="24"/>
      <c r="D27" s="24"/>
      <c r="E27" s="25"/>
      <c r="F27" s="19">
        <f t="shared" si="0"/>
        <v>0</v>
      </c>
      <c r="G27" s="32">
        <v>3</v>
      </c>
      <c r="H27" s="24"/>
      <c r="I27" s="24"/>
      <c r="J27" s="24"/>
      <c r="K27" s="17">
        <f t="shared" si="1"/>
        <v>3</v>
      </c>
      <c r="L27" s="7">
        <f t="shared" si="2"/>
        <v>3</v>
      </c>
    </row>
    <row r="28" spans="1:12" ht="15.75" thickBot="1" x14ac:dyDescent="0.3">
      <c r="A28" s="8">
        <v>20</v>
      </c>
      <c r="B28" s="23"/>
      <c r="C28" s="24"/>
      <c r="D28" s="24"/>
      <c r="E28" s="25"/>
      <c r="F28" s="19">
        <f t="shared" si="0"/>
        <v>0</v>
      </c>
      <c r="G28" s="32">
        <v>6</v>
      </c>
      <c r="H28" s="24"/>
      <c r="I28" s="24"/>
      <c r="J28" s="24"/>
      <c r="K28" s="17">
        <f t="shared" si="1"/>
        <v>6</v>
      </c>
      <c r="L28" s="7">
        <f t="shared" si="2"/>
        <v>6</v>
      </c>
    </row>
    <row r="29" spans="1:12" ht="15.75" thickBot="1" x14ac:dyDescent="0.3">
      <c r="A29" s="8">
        <v>21</v>
      </c>
      <c r="B29" s="23"/>
      <c r="C29" s="24"/>
      <c r="D29" s="24"/>
      <c r="E29" s="25"/>
      <c r="F29" s="19">
        <f t="shared" si="0"/>
        <v>0</v>
      </c>
      <c r="G29" s="32">
        <v>1</v>
      </c>
      <c r="H29" s="24"/>
      <c r="I29" s="24">
        <v>1</v>
      </c>
      <c r="J29" s="24"/>
      <c r="K29" s="17">
        <f t="shared" si="1"/>
        <v>2</v>
      </c>
      <c r="L29" s="7">
        <f t="shared" si="2"/>
        <v>2</v>
      </c>
    </row>
    <row r="30" spans="1:12" ht="15.75" thickBot="1" x14ac:dyDescent="0.3">
      <c r="A30" s="8">
        <v>22</v>
      </c>
      <c r="B30" s="23"/>
      <c r="C30" s="24"/>
      <c r="D30" s="24"/>
      <c r="E30" s="25"/>
      <c r="F30" s="19">
        <f t="shared" si="0"/>
        <v>0</v>
      </c>
      <c r="G30" s="32"/>
      <c r="H30" s="24"/>
      <c r="I30" s="24"/>
      <c r="J30" s="24"/>
      <c r="K30" s="17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3"/>
      <c r="C31" s="24"/>
      <c r="D31" s="24"/>
      <c r="E31" s="25"/>
      <c r="F31" s="19">
        <f t="shared" si="0"/>
        <v>0</v>
      </c>
      <c r="G31" s="32"/>
      <c r="H31" s="24"/>
      <c r="I31" s="24"/>
      <c r="J31" s="24"/>
      <c r="K31" s="17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3"/>
      <c r="C32" s="24"/>
      <c r="D32" s="24"/>
      <c r="E32" s="25"/>
      <c r="F32" s="19">
        <f t="shared" si="0"/>
        <v>0</v>
      </c>
      <c r="G32" s="32">
        <v>6</v>
      </c>
      <c r="H32" s="24"/>
      <c r="I32" s="24"/>
      <c r="J32" s="24"/>
      <c r="K32" s="17">
        <f t="shared" si="1"/>
        <v>6</v>
      </c>
      <c r="L32" s="7">
        <f t="shared" si="2"/>
        <v>6</v>
      </c>
    </row>
    <row r="33" spans="1:12" ht="15.75" thickBot="1" x14ac:dyDescent="0.3">
      <c r="A33" s="8">
        <v>25</v>
      </c>
      <c r="B33" s="23"/>
      <c r="C33" s="24"/>
      <c r="D33" s="24"/>
      <c r="E33" s="25"/>
      <c r="F33" s="19">
        <f t="shared" si="0"/>
        <v>0</v>
      </c>
      <c r="G33" s="32">
        <v>1</v>
      </c>
      <c r="H33" s="24"/>
      <c r="I33" s="24"/>
      <c r="J33" s="24">
        <v>1</v>
      </c>
      <c r="K33" s="17">
        <f t="shared" si="1"/>
        <v>2</v>
      </c>
      <c r="L33" s="7">
        <f t="shared" si="2"/>
        <v>2</v>
      </c>
    </row>
    <row r="34" spans="1:12" ht="15.75" thickBot="1" x14ac:dyDescent="0.3">
      <c r="A34" s="8">
        <v>26</v>
      </c>
      <c r="B34" s="23"/>
      <c r="C34" s="24"/>
      <c r="D34" s="24"/>
      <c r="E34" s="25"/>
      <c r="F34" s="19">
        <f t="shared" si="0"/>
        <v>0</v>
      </c>
      <c r="G34" s="32">
        <v>10</v>
      </c>
      <c r="H34" s="24">
        <v>2</v>
      </c>
      <c r="I34" s="24"/>
      <c r="J34" s="24"/>
      <c r="K34" s="17">
        <f t="shared" si="1"/>
        <v>12</v>
      </c>
      <c r="L34" s="7">
        <f t="shared" si="2"/>
        <v>12</v>
      </c>
    </row>
    <row r="35" spans="1:12" ht="15.75" thickBot="1" x14ac:dyDescent="0.3">
      <c r="A35" s="8">
        <v>27</v>
      </c>
      <c r="B35" s="23"/>
      <c r="C35" s="24"/>
      <c r="D35" s="24"/>
      <c r="E35" s="25"/>
      <c r="F35" s="19">
        <f t="shared" si="0"/>
        <v>0</v>
      </c>
      <c r="G35" s="47">
        <v>4</v>
      </c>
      <c r="H35" s="24"/>
      <c r="I35" s="24"/>
      <c r="J35" s="24"/>
      <c r="K35" s="17">
        <f t="shared" si="1"/>
        <v>4</v>
      </c>
      <c r="L35" s="7">
        <f t="shared" si="2"/>
        <v>4</v>
      </c>
    </row>
    <row r="36" spans="1:12" ht="15.75" thickBot="1" x14ac:dyDescent="0.3">
      <c r="A36" s="8">
        <v>28</v>
      </c>
      <c r="B36" s="23"/>
      <c r="C36" s="24"/>
      <c r="D36" s="24"/>
      <c r="E36" s="25"/>
      <c r="F36" s="19">
        <f t="shared" si="0"/>
        <v>0</v>
      </c>
      <c r="G36" s="32">
        <v>15</v>
      </c>
      <c r="H36" s="24"/>
      <c r="I36" s="24"/>
      <c r="J36" s="24"/>
      <c r="K36" s="17">
        <f t="shared" si="1"/>
        <v>15</v>
      </c>
      <c r="L36" s="7">
        <f t="shared" si="2"/>
        <v>15</v>
      </c>
    </row>
    <row r="37" spans="1:12" ht="15.75" thickBot="1" x14ac:dyDescent="0.3">
      <c r="A37" s="8">
        <v>29</v>
      </c>
      <c r="B37" s="23"/>
      <c r="C37" s="24"/>
      <c r="D37" s="24"/>
      <c r="E37" s="25"/>
      <c r="F37" s="19">
        <f t="shared" si="0"/>
        <v>0</v>
      </c>
      <c r="G37" s="32"/>
      <c r="H37" s="24"/>
      <c r="I37" s="24"/>
      <c r="J37" s="24"/>
      <c r="K37" s="17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3"/>
      <c r="C38" s="24"/>
      <c r="D38" s="24"/>
      <c r="E38" s="25"/>
      <c r="F38" s="19">
        <f t="shared" si="0"/>
        <v>0</v>
      </c>
      <c r="G38" s="32">
        <v>5</v>
      </c>
      <c r="H38" s="24"/>
      <c r="I38" s="24"/>
      <c r="J38" s="24"/>
      <c r="K38" s="17">
        <f t="shared" si="1"/>
        <v>5</v>
      </c>
      <c r="L38" s="7">
        <f t="shared" si="2"/>
        <v>5</v>
      </c>
    </row>
    <row r="39" spans="1:12" ht="15.75" thickBot="1" x14ac:dyDescent="0.3">
      <c r="A39" s="9">
        <v>31</v>
      </c>
      <c r="B39" s="28"/>
      <c r="C39" s="29"/>
      <c r="D39" s="29"/>
      <c r="E39" s="30"/>
      <c r="F39" s="19">
        <f t="shared" si="0"/>
        <v>0</v>
      </c>
      <c r="G39" s="32">
        <v>9</v>
      </c>
      <c r="H39" s="24"/>
      <c r="I39" s="24">
        <v>1</v>
      </c>
      <c r="J39" s="24"/>
      <c r="K39" s="17">
        <f t="shared" si="1"/>
        <v>10</v>
      </c>
      <c r="L39" s="7">
        <f t="shared" si="2"/>
        <v>10</v>
      </c>
    </row>
    <row r="40" spans="1:12" ht="15.75" thickBot="1" x14ac:dyDescent="0.3">
      <c r="A40" s="10"/>
      <c r="B40" s="71">
        <f>SUM(B9:B39)</f>
        <v>7</v>
      </c>
      <c r="C40" s="71">
        <f t="shared" ref="C40:E40" si="3">SUM(C9:C39)</f>
        <v>0</v>
      </c>
      <c r="D40" s="71">
        <f t="shared" si="3"/>
        <v>2</v>
      </c>
      <c r="E40" s="71">
        <f t="shared" si="3"/>
        <v>0</v>
      </c>
      <c r="F40" s="70">
        <f>SUM(F9:F39)</f>
        <v>9</v>
      </c>
      <c r="G40" s="18">
        <f>SUM(G9:G39)</f>
        <v>141</v>
      </c>
      <c r="H40" s="18">
        <f t="shared" ref="H40:L40" si="4">SUM(H9:H39)</f>
        <v>5</v>
      </c>
      <c r="I40" s="18">
        <f t="shared" si="4"/>
        <v>3</v>
      </c>
      <c r="J40" s="18">
        <f t="shared" si="4"/>
        <v>2</v>
      </c>
      <c r="K40" s="18">
        <f t="shared" si="4"/>
        <v>151</v>
      </c>
      <c r="L40" s="18">
        <f t="shared" si="4"/>
        <v>160</v>
      </c>
    </row>
    <row r="41" spans="1:12" ht="5.25" customHeight="1" thickBot="1" x14ac:dyDescent="0.3">
      <c r="A41" s="12"/>
      <c r="B41" s="12"/>
      <c r="C41" s="13"/>
      <c r="D41" s="13"/>
      <c r="E41" s="13"/>
      <c r="F41" s="12"/>
      <c r="G41" s="12"/>
      <c r="H41" s="13"/>
      <c r="I41" s="13"/>
      <c r="J41" s="13"/>
      <c r="K41" s="12"/>
      <c r="L41" s="14"/>
    </row>
    <row r="42" spans="1:12" ht="15.75" thickBot="1" x14ac:dyDescent="0.3">
      <c r="A42" s="85"/>
      <c r="B42" s="85"/>
      <c r="C42" s="85"/>
      <c r="D42" s="85"/>
      <c r="E42" s="85"/>
      <c r="F42" s="85"/>
      <c r="G42" s="86" t="s">
        <v>17</v>
      </c>
      <c r="H42" s="87"/>
      <c r="I42" s="87" t="s">
        <v>18</v>
      </c>
      <c r="J42" s="88"/>
      <c r="K42" s="12"/>
      <c r="L42" s="14"/>
    </row>
    <row r="43" spans="1:12" ht="15.75" thickBot="1" x14ac:dyDescent="0.3">
      <c r="A43" s="15"/>
      <c r="B43" s="89" t="s">
        <v>19</v>
      </c>
      <c r="C43" s="90"/>
      <c r="D43" s="90"/>
      <c r="E43" s="90"/>
      <c r="F43" s="90"/>
      <c r="G43" s="91">
        <v>40</v>
      </c>
      <c r="H43" s="92"/>
      <c r="I43" s="93"/>
      <c r="J43" s="94"/>
      <c r="K43" s="12"/>
      <c r="L43" s="14"/>
    </row>
    <row r="44" spans="1:12" ht="15.75" thickBot="1" x14ac:dyDescent="0.3">
      <c r="A44" s="15"/>
      <c r="B44" s="89" t="s">
        <v>20</v>
      </c>
      <c r="C44" s="90"/>
      <c r="D44" s="90"/>
      <c r="E44" s="90"/>
      <c r="F44" s="90"/>
      <c r="G44" s="95">
        <v>174</v>
      </c>
      <c r="H44" s="96"/>
      <c r="I44" s="95"/>
      <c r="J44" s="96"/>
      <c r="K44" s="12"/>
      <c r="L44" s="14"/>
    </row>
    <row r="45" spans="1:12" ht="15.75" thickBot="1" x14ac:dyDescent="0.3">
      <c r="A45" s="15"/>
      <c r="B45" s="97" t="s">
        <v>21</v>
      </c>
      <c r="C45" s="97"/>
      <c r="D45" s="97"/>
      <c r="E45" s="97"/>
      <c r="F45" s="89"/>
      <c r="G45" s="98">
        <v>0</v>
      </c>
      <c r="H45" s="99"/>
      <c r="I45" s="91"/>
      <c r="J45" s="100"/>
      <c r="K45" s="12"/>
      <c r="L45" s="14"/>
    </row>
    <row r="46" spans="1:12" ht="15.75" thickBot="1" x14ac:dyDescent="0.3">
      <c r="A46" s="15"/>
      <c r="B46" s="89" t="s">
        <v>22</v>
      </c>
      <c r="C46" s="90"/>
      <c r="D46" s="90"/>
      <c r="E46" s="90"/>
      <c r="F46" s="90"/>
      <c r="G46" s="101">
        <f>+L40+G45</f>
        <v>160</v>
      </c>
      <c r="H46" s="96"/>
      <c r="I46" s="95"/>
      <c r="J46" s="96"/>
      <c r="K46" s="12"/>
      <c r="L46" s="14"/>
    </row>
    <row r="47" spans="1:12" ht="15.75" thickBot="1" x14ac:dyDescent="0.3">
      <c r="A47" s="4"/>
      <c r="B47" s="89" t="s">
        <v>23</v>
      </c>
      <c r="C47" s="90"/>
      <c r="D47" s="90"/>
      <c r="E47" s="90"/>
      <c r="F47" s="90"/>
      <c r="G47" s="101">
        <f>G43+G44-G46</f>
        <v>54</v>
      </c>
      <c r="H47" s="96"/>
      <c r="I47" s="95"/>
      <c r="J47" s="96"/>
      <c r="K47" s="12"/>
      <c r="L47" s="3"/>
    </row>
    <row r="48" spans="1:12" ht="15.75" thickBot="1" x14ac:dyDescent="0.3">
      <c r="A48" s="4"/>
      <c r="B48" s="89" t="s">
        <v>24</v>
      </c>
      <c r="C48" s="90"/>
      <c r="D48" s="90"/>
      <c r="E48" s="90"/>
      <c r="F48" s="90"/>
      <c r="G48" s="95">
        <v>0</v>
      </c>
      <c r="H48" s="96"/>
      <c r="I48" s="95"/>
      <c r="J48" s="96"/>
      <c r="K48" s="12"/>
      <c r="L48" s="3"/>
    </row>
    <row r="49" spans="1:12" ht="15.75" thickBot="1" x14ac:dyDescent="0.3">
      <c r="A49" s="4"/>
      <c r="B49" s="89" t="s">
        <v>25</v>
      </c>
      <c r="C49" s="90"/>
      <c r="D49" s="90"/>
      <c r="E49" s="90"/>
      <c r="F49" s="90"/>
      <c r="G49" s="102">
        <f>G47-G48</f>
        <v>54</v>
      </c>
      <c r="H49" s="103"/>
      <c r="I49" s="104"/>
      <c r="J49" s="103"/>
      <c r="K49" s="12"/>
      <c r="L49" s="3"/>
    </row>
    <row r="50" spans="1:12" x14ac:dyDescent="0.25">
      <c r="A50" s="5" t="s">
        <v>26</v>
      </c>
      <c r="B50" s="38"/>
      <c r="C50" s="44"/>
      <c r="D50" s="44"/>
      <c r="E50" s="44"/>
      <c r="F50" s="38"/>
      <c r="G50" s="38"/>
      <c r="H50" s="44"/>
      <c r="I50" s="45" t="s">
        <v>27</v>
      </c>
      <c r="J50" s="44"/>
      <c r="K50" s="38"/>
      <c r="L50" s="1"/>
    </row>
    <row r="51" spans="1:12" ht="9" customHeight="1" x14ac:dyDescent="0.25"/>
    <row r="52" spans="1:12" x14ac:dyDescent="0.25">
      <c r="B52" t="s">
        <v>60</v>
      </c>
    </row>
    <row r="53" spans="1:12" x14ac:dyDescent="0.25">
      <c r="B53" t="s">
        <v>57</v>
      </c>
    </row>
    <row r="54" spans="1:12" x14ac:dyDescent="0.25">
      <c r="B54" t="s">
        <v>59</v>
      </c>
    </row>
    <row r="55" spans="1:12" x14ac:dyDescent="0.25">
      <c r="B55" t="s">
        <v>58</v>
      </c>
    </row>
    <row r="56" spans="1:12" x14ac:dyDescent="0.25">
      <c r="B56" t="s">
        <v>61</v>
      </c>
    </row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H6:I6"/>
    <mergeCell ref="A7:A8"/>
    <mergeCell ref="B7:F7"/>
    <mergeCell ref="G7:K7"/>
    <mergeCell ref="L7:L8"/>
    <mergeCell ref="A4:L4"/>
    <mergeCell ref="A1:D1"/>
    <mergeCell ref="G1:L1"/>
    <mergeCell ref="A2:D2"/>
    <mergeCell ref="G2:L2"/>
    <mergeCell ref="A3:D3"/>
  </mergeCells>
  <pageMargins left="0" right="0" top="0" bottom="0" header="0.31496062992125984" footer="0.31496062992125984"/>
  <pageSetup scale="91" orientation="portrait" horizontalDpi="36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JANVIER 2017</vt:lpstr>
      <vt:lpstr>FEVRIER 2017</vt:lpstr>
      <vt:lpstr>MARS 2017</vt:lpstr>
      <vt:lpstr>AVRIL 2017</vt:lpstr>
      <vt:lpstr>MAI 2017</vt:lpstr>
      <vt:lpstr>JUIN 2017</vt:lpstr>
      <vt:lpstr>JUILLET 2017</vt:lpstr>
      <vt:lpstr>AOUT 2017</vt:lpstr>
      <vt:lpstr>SEPTEMBRE 2017</vt:lpstr>
      <vt:lpstr>OCTOBRE 2017</vt:lpstr>
      <vt:lpstr>NOVEMBRE 2017</vt:lpstr>
      <vt:lpstr>DECEMBRE 2017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Lounnaci</cp:lastModifiedBy>
  <cp:lastPrinted>2018-01-07T14:18:37Z</cp:lastPrinted>
  <dcterms:created xsi:type="dcterms:W3CDTF">2014-12-31T15:22:06Z</dcterms:created>
  <dcterms:modified xsi:type="dcterms:W3CDTF">2018-01-07T14:19:12Z</dcterms:modified>
</cp:coreProperties>
</file>