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Zoubiria\"/>
    </mc:Choice>
  </mc:AlternateContent>
  <bookViews>
    <workbookView xWindow="555" yWindow="75" windowWidth="11700" windowHeight="6825" firstSheet="7" activeTab="11"/>
  </bookViews>
  <sheets>
    <sheet name="JANVIER 2017" sheetId="1" r:id="rId1"/>
    <sheet name="FEVRIER 2017" sheetId="13" r:id="rId2"/>
    <sheet name="MARS 2017" sheetId="14" r:id="rId3"/>
    <sheet name="AVRIL 2017" sheetId="15" r:id="rId4"/>
    <sheet name="MAI 2017" sheetId="16" r:id="rId5"/>
    <sheet name="JUIN 2017" sheetId="17" r:id="rId6"/>
    <sheet name="JUILLET 2017" sheetId="18" r:id="rId7"/>
    <sheet name="AOUT 2017" sheetId="19" r:id="rId8"/>
    <sheet name="SEPTEMBRE 2017" sheetId="20" r:id="rId9"/>
    <sheet name="OCTOBRE 2017" sheetId="21" r:id="rId10"/>
    <sheet name="NOVEMBRE 2017" sheetId="22" r:id="rId11"/>
    <sheet name="DECEMBRE 2017" sheetId="23" r:id="rId12"/>
  </sheets>
  <calcPr calcId="162913"/>
</workbook>
</file>

<file path=xl/calcChain.xml><?xml version="1.0" encoding="utf-8"?>
<calcChain xmlns="http://schemas.openxmlformats.org/spreadsheetml/2006/main">
  <c r="K41" i="22" l="1"/>
  <c r="G41" i="22" l="1"/>
  <c r="J41" i="23" l="1"/>
  <c r="I41" i="23"/>
  <c r="H41" i="23"/>
  <c r="G41" i="23"/>
  <c r="E41" i="23"/>
  <c r="D41" i="23"/>
  <c r="C41" i="23"/>
  <c r="B41" i="23"/>
  <c r="K40" i="23"/>
  <c r="F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K41" i="23" s="1"/>
  <c r="F10" i="23"/>
  <c r="L10" i="23" s="1"/>
  <c r="L40" i="23" l="1"/>
  <c r="L41" i="23" s="1"/>
  <c r="G47" i="23" s="1"/>
  <c r="G48" i="23" s="1"/>
  <c r="G50" i="23" s="1"/>
  <c r="F41" i="23"/>
  <c r="J41" i="22"/>
  <c r="I41" i="22"/>
  <c r="H41" i="22"/>
  <c r="E41" i="22"/>
  <c r="D41" i="22"/>
  <c r="C41" i="22"/>
  <c r="B41" i="22"/>
  <c r="K40" i="22"/>
  <c r="F40" i="22"/>
  <c r="L40" i="22" s="1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F41" i="22" s="1"/>
  <c r="K10" i="22"/>
  <c r="F10" i="22"/>
  <c r="L10" i="22" s="1"/>
  <c r="J41" i="21"/>
  <c r="I41" i="21"/>
  <c r="H41" i="21"/>
  <c r="G41" i="21"/>
  <c r="E41" i="21"/>
  <c r="D41" i="21"/>
  <c r="C41" i="21"/>
  <c r="B41" i="21"/>
  <c r="K40" i="21"/>
  <c r="F40" i="21"/>
  <c r="L40" i="21" s="1"/>
  <c r="K39" i="21"/>
  <c r="F39" i="21"/>
  <c r="L39" i="21" s="1"/>
  <c r="K38" i="21"/>
  <c r="F38" i="21"/>
  <c r="L38" i="21" s="1"/>
  <c r="K37" i="21"/>
  <c r="F37" i="21"/>
  <c r="L37" i="21" s="1"/>
  <c r="K36" i="21"/>
  <c r="F36" i="2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F41" i="21" s="1"/>
  <c r="K10" i="21"/>
  <c r="K41" i="21" s="1"/>
  <c r="F10" i="21"/>
  <c r="L10" i="21" s="1"/>
  <c r="J41" i="20"/>
  <c r="I41" i="20"/>
  <c r="H41" i="20"/>
  <c r="G41" i="20"/>
  <c r="E41" i="20"/>
  <c r="D41" i="20"/>
  <c r="C41" i="20"/>
  <c r="B41" i="20"/>
  <c r="K40" i="20"/>
  <c r="F40" i="20"/>
  <c r="L40" i="20" s="1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K28" i="20"/>
  <c r="F28" i="20"/>
  <c r="L28" i="20" s="1"/>
  <c r="K27" i="20"/>
  <c r="F27" i="20"/>
  <c r="L27" i="20" s="1"/>
  <c r="K26" i="20"/>
  <c r="F26" i="20"/>
  <c r="K25" i="20"/>
  <c r="F25" i="20"/>
  <c r="L25" i="20" s="1"/>
  <c r="K24" i="20"/>
  <c r="F24" i="20"/>
  <c r="L24" i="20" s="1"/>
  <c r="K23" i="20"/>
  <c r="F23" i="20"/>
  <c r="K22" i="20"/>
  <c r="F22" i="20"/>
  <c r="K21" i="20"/>
  <c r="F21" i="20"/>
  <c r="K20" i="20"/>
  <c r="F20" i="20"/>
  <c r="L20" i="20" s="1"/>
  <c r="K19" i="20"/>
  <c r="F19" i="20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1" i="20" s="1"/>
  <c r="F10" i="20"/>
  <c r="F41" i="20" s="1"/>
  <c r="J41" i="19"/>
  <c r="I41" i="19"/>
  <c r="H41" i="19"/>
  <c r="G41" i="19"/>
  <c r="E41" i="19"/>
  <c r="D41" i="19"/>
  <c r="C41" i="19"/>
  <c r="B41" i="19"/>
  <c r="K40" i="19"/>
  <c r="F40" i="19"/>
  <c r="L40" i="19" s="1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1" i="19" s="1"/>
  <c r="J41" i="18"/>
  <c r="I41" i="18"/>
  <c r="H41" i="18"/>
  <c r="G41" i="18"/>
  <c r="E41" i="18"/>
  <c r="D41" i="18"/>
  <c r="C41" i="18"/>
  <c r="B41" i="18"/>
  <c r="K40" i="18"/>
  <c r="F40" i="18"/>
  <c r="L40" i="18" s="1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K41" i="18" s="1"/>
  <c r="F10" i="18"/>
  <c r="F41" i="18" s="1"/>
  <c r="J41" i="17"/>
  <c r="I41" i="17"/>
  <c r="H41" i="17"/>
  <c r="G41" i="17"/>
  <c r="E41" i="17"/>
  <c r="D41" i="17"/>
  <c r="C41" i="17"/>
  <c r="B41" i="17"/>
  <c r="K40" i="17"/>
  <c r="F40" i="17"/>
  <c r="L40" i="17" s="1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K41" i="17" s="1"/>
  <c r="F10" i="17"/>
  <c r="F41" i="17" s="1"/>
  <c r="J41" i="16"/>
  <c r="I41" i="16"/>
  <c r="H41" i="16"/>
  <c r="G41" i="16"/>
  <c r="E41" i="16"/>
  <c r="D41" i="16"/>
  <c r="C41" i="16"/>
  <c r="B41" i="16"/>
  <c r="K40" i="16"/>
  <c r="F40" i="16"/>
  <c r="L40" i="16" s="1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1" i="16" s="1"/>
  <c r="J41" i="15"/>
  <c r="I41" i="15"/>
  <c r="H41" i="15"/>
  <c r="G41" i="15"/>
  <c r="E41" i="15"/>
  <c r="D41" i="15"/>
  <c r="C41" i="15"/>
  <c r="B41" i="15"/>
  <c r="K40" i="15"/>
  <c r="F40" i="15"/>
  <c r="L40" i="15" s="1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1" i="15" s="1"/>
  <c r="J41" i="14"/>
  <c r="I41" i="14"/>
  <c r="H41" i="14"/>
  <c r="G41" i="14"/>
  <c r="E41" i="14"/>
  <c r="D41" i="14"/>
  <c r="C41" i="14"/>
  <c r="B41" i="14"/>
  <c r="K40" i="14"/>
  <c r="F40" i="14"/>
  <c r="L40" i="14" s="1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K41" i="14" s="1"/>
  <c r="F10" i="14"/>
  <c r="F41" i="14" s="1"/>
  <c r="J41" i="13"/>
  <c r="I41" i="13"/>
  <c r="H41" i="13"/>
  <c r="G41" i="13"/>
  <c r="E41" i="13"/>
  <c r="D41" i="13"/>
  <c r="C41" i="13"/>
  <c r="B41" i="13"/>
  <c r="K40" i="13"/>
  <c r="F40" i="13"/>
  <c r="L40" i="13" s="1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K41" i="13" s="1"/>
  <c r="F10" i="13"/>
  <c r="F41" i="13" s="1"/>
  <c r="L11" i="22" l="1"/>
  <c r="L41" i="22" s="1"/>
  <c r="G47" i="22" s="1"/>
  <c r="G48" i="22" s="1"/>
  <c r="G50" i="22" s="1"/>
  <c r="L36" i="21"/>
  <c r="L11" i="21"/>
  <c r="K41" i="15"/>
  <c r="K41" i="16"/>
  <c r="K41" i="19"/>
  <c r="L34" i="20"/>
  <c r="L29" i="20"/>
  <c r="L26" i="20"/>
  <c r="L23" i="20"/>
  <c r="L22" i="20"/>
  <c r="L21" i="20"/>
  <c r="L19" i="20"/>
  <c r="L10" i="20"/>
  <c r="L10" i="19"/>
  <c r="L41" i="19" s="1"/>
  <c r="G47" i="19" s="1"/>
  <c r="G48" i="19" s="1"/>
  <c r="G50" i="19" s="1"/>
  <c r="L10" i="18"/>
  <c r="L41" i="18" s="1"/>
  <c r="G47" i="18" s="1"/>
  <c r="G48" i="18" s="1"/>
  <c r="G50" i="18" s="1"/>
  <c r="L10" i="17"/>
  <c r="L41" i="17" s="1"/>
  <c r="G47" i="17" s="1"/>
  <c r="G48" i="17" s="1"/>
  <c r="G50" i="17" s="1"/>
  <c r="L10" i="16"/>
  <c r="L41" i="16" s="1"/>
  <c r="G47" i="16" s="1"/>
  <c r="G48" i="16" s="1"/>
  <c r="G50" i="16" s="1"/>
  <c r="L10" i="15"/>
  <c r="L41" i="15" s="1"/>
  <c r="G47" i="15" s="1"/>
  <c r="G48" i="15" s="1"/>
  <c r="G50" i="15" s="1"/>
  <c r="L10" i="14"/>
  <c r="L41" i="14" s="1"/>
  <c r="G47" i="14" s="1"/>
  <c r="G48" i="14" s="1"/>
  <c r="G50" i="14" s="1"/>
  <c r="L10" i="13"/>
  <c r="L41" i="13" s="1"/>
  <c r="G47" i="13" s="1"/>
  <c r="G48" i="13" s="1"/>
  <c r="G50" i="13" s="1"/>
  <c r="H41" i="1"/>
  <c r="I41" i="1"/>
  <c r="J41" i="1"/>
  <c r="G41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10" i="1"/>
  <c r="C41" i="1"/>
  <c r="D41" i="1"/>
  <c r="E41" i="1"/>
  <c r="B41" i="1"/>
  <c r="F11" i="1"/>
  <c r="L11" i="1" s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L35" i="1" s="1"/>
  <c r="F36" i="1"/>
  <c r="F37" i="1"/>
  <c r="F38" i="1"/>
  <c r="F39" i="1"/>
  <c r="L39" i="1" s="1"/>
  <c r="F40" i="1"/>
  <c r="F10" i="1"/>
  <c r="L10" i="1" s="1"/>
  <c r="L41" i="21" l="1"/>
  <c r="G47" i="21" s="1"/>
  <c r="G48" i="21" s="1"/>
  <c r="G50" i="21" s="1"/>
  <c r="L41" i="20"/>
  <c r="G47" i="20" s="1"/>
  <c r="G48" i="20" s="1"/>
  <c r="G50" i="20" s="1"/>
  <c r="L40" i="1"/>
  <c r="L32" i="1"/>
  <c r="L38" i="1"/>
  <c r="L26" i="1"/>
  <c r="L18" i="1"/>
  <c r="L16" i="1"/>
  <c r="L12" i="1"/>
  <c r="L37" i="1"/>
  <c r="L36" i="1"/>
  <c r="L24" i="1"/>
  <c r="L31" i="1"/>
  <c r="L30" i="1"/>
  <c r="L14" i="1"/>
  <c r="L33" i="1"/>
  <c r="L27" i="1"/>
  <c r="L25" i="1"/>
  <c r="L23" i="1"/>
  <c r="L19" i="1"/>
  <c r="L13" i="1"/>
  <c r="L29" i="1"/>
  <c r="L21" i="1"/>
  <c r="L17" i="1"/>
  <c r="L15" i="1"/>
  <c r="L34" i="1"/>
  <c r="L28" i="1"/>
  <c r="F41" i="1"/>
  <c r="L22" i="1"/>
  <c r="L20" i="1"/>
  <c r="K41" i="1"/>
  <c r="L41" i="1" l="1"/>
  <c r="G47" i="1" s="1"/>
  <c r="G48" i="1" s="1"/>
  <c r="G50" i="1" s="1"/>
</calcChain>
</file>

<file path=xl/sharedStrings.xml><?xml version="1.0" encoding="utf-8"?>
<sst xmlns="http://schemas.openxmlformats.org/spreadsheetml/2006/main" count="410" uniqueCount="43">
  <si>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</si>
  <si>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</si>
  <si>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</si>
  <si>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</si>
  <si>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</si>
  <si>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</si>
  <si>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</si>
  <si>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</si>
  <si>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</si>
  <si>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</si>
  <si>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</si>
  <si>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</si>
  <si>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</si>
  <si>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</si>
  <si>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</si>
  <si>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</si>
  <si>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</si>
  <si>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</si>
  <si>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</si>
  <si>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</si>
  <si>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</si>
  <si>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</si>
  <si>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</si>
  <si>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</si>
  <si>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</si>
  <si>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</si>
  <si>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</si>
  <si>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</si>
  <si>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 xml:space="preserve">Antenne </t>
    </r>
    <r>
      <rPr>
        <sz val="10"/>
        <rFont val="Arial"/>
        <family val="2"/>
      </rPr>
      <t>: ZOUBIRIA</t>
    </r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</si>
  <si>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</si>
  <si>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10 Compteurs DN 15/21 Réintégré Agence Berrouaghia</t>
  </si>
  <si>
    <r>
      <t>Mois de FEVRIER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</si>
  <si>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MARS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</si>
  <si>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AVRIL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</si>
  <si>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MAI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</si>
  <si>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JUIN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</si>
  <si>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JUILLET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</si>
  <si>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Aout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</si>
  <si>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Septembre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</si>
  <si>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Novembre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</si>
  <si>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Octobre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</si>
  <si>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r>
      <t>Mois de DECEMBRE</t>
    </r>
    <r>
      <rPr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2017</t>
    </r>
  </si>
  <si>
    <t>01 Compteurs DN 40/49 Réintégré Agence Berrouaghia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</si>
</sst>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11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5534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30580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40" workbookViewId="0">
      <selection activeCell="B54" sqref="B5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29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12">
        <f>SUM(B10:B40)</f>
        <v>0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10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0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10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0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10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 x14ac:dyDescent="0.25">
      <c r="B53" t="s">
        <v>30</v>
      </c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K51" sqref="A1:L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31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2">
        <f>SUM(B10:B40)</f>
        <v>0</v>
      </c>
      <c r="C41" s="52">
        <f t="shared" ref="C41:E41" si="3">SUM(C10:C40)</f>
        <v>0</v>
      </c>
      <c r="D41" s="52">
        <f t="shared" si="3"/>
        <v>0</v>
      </c>
      <c r="E41" s="52">
        <f t="shared" si="3"/>
        <v>0</v>
      </c>
      <c r="F41" s="51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0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0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0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0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0" workbookViewId="0">
      <selection activeCell="L52" sqref="A1:L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54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32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6">
        <f>SUM(B10:B40)</f>
        <v>0</v>
      </c>
      <c r="C41" s="56">
        <f t="shared" ref="C41:E41" si="3">SUM(C10:C40)</f>
        <v>0</v>
      </c>
      <c r="D41" s="56">
        <f t="shared" si="3"/>
        <v>0</v>
      </c>
      <c r="E41" s="56">
        <f t="shared" si="3"/>
        <v>0</v>
      </c>
      <c r="F41" s="55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0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0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0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0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K51" sqref="A1:L5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54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33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6">
        <f>SUM(B10:B40)</f>
        <v>0</v>
      </c>
      <c r="C41" s="56">
        <f t="shared" ref="C41:E41" si="3">SUM(C10:C40)</f>
        <v>0</v>
      </c>
      <c r="D41" s="56">
        <f t="shared" si="3"/>
        <v>0</v>
      </c>
      <c r="E41" s="56">
        <f t="shared" si="3"/>
        <v>0</v>
      </c>
      <c r="F41" s="55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0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0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0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0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G45" sqref="G45:H4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59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34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58">
        <f>SUM(B10:B40)</f>
        <v>0</v>
      </c>
      <c r="C41" s="58">
        <f t="shared" ref="C41:E41" si="3">SUM(C10:C40)</f>
        <v>0</v>
      </c>
      <c r="D41" s="58">
        <f t="shared" si="3"/>
        <v>0</v>
      </c>
      <c r="E41" s="58">
        <f t="shared" si="3"/>
        <v>0</v>
      </c>
      <c r="F41" s="5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0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51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0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51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51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60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35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2">
        <f>SUM(B10:B40)</f>
        <v>0</v>
      </c>
      <c r="C41" s="62">
        <f t="shared" ref="C41:E41" si="3">SUM(C10:C40)</f>
        <v>0</v>
      </c>
      <c r="D41" s="62">
        <f t="shared" si="3"/>
        <v>0</v>
      </c>
      <c r="E41" s="62">
        <f t="shared" si="3"/>
        <v>0</v>
      </c>
      <c r="F41" s="61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51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0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51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51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1" workbookViewId="0">
      <selection activeCell="G50" sqref="G50:H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6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5">
        <f>SUM(B10:B40)</f>
        <v>0</v>
      </c>
      <c r="C41" s="65">
        <f t="shared" ref="C41:E41" si="3">SUM(C10:C40)</f>
        <v>0</v>
      </c>
      <c r="D41" s="65">
        <f t="shared" si="3"/>
        <v>0</v>
      </c>
      <c r="E41" s="65">
        <f t="shared" si="3"/>
        <v>0</v>
      </c>
      <c r="F41" s="64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51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0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51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51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0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6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37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>
        <v>2</v>
      </c>
      <c r="C10" s="22"/>
      <c r="D10" s="22"/>
      <c r="E10" s="23"/>
      <c r="F10" s="20">
        <f>SUM(B10:E10)</f>
        <v>2</v>
      </c>
      <c r="G10" s="49">
        <v>1</v>
      </c>
      <c r="H10" s="32"/>
      <c r="I10" s="32"/>
      <c r="J10" s="32"/>
      <c r="K10" s="18">
        <f>SUM(G10:J10)</f>
        <v>1</v>
      </c>
      <c r="L10" s="8">
        <f>SUM(F10+K10)</f>
        <v>3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>
        <v>1</v>
      </c>
      <c r="C15" s="25"/>
      <c r="D15" s="25"/>
      <c r="E15" s="26"/>
      <c r="F15" s="20">
        <f t="shared" si="0"/>
        <v>1</v>
      </c>
      <c r="G15" s="33"/>
      <c r="H15" s="25"/>
      <c r="I15" s="25"/>
      <c r="J15" s="25"/>
      <c r="K15" s="18">
        <f t="shared" si="1"/>
        <v>0</v>
      </c>
      <c r="L15" s="8">
        <f t="shared" si="2"/>
        <v>1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>
        <v>2</v>
      </c>
      <c r="C30" s="25"/>
      <c r="D30" s="25"/>
      <c r="E30" s="26"/>
      <c r="F30" s="20">
        <f t="shared" si="0"/>
        <v>2</v>
      </c>
      <c r="G30" s="33"/>
      <c r="H30" s="25"/>
      <c r="I30" s="25"/>
      <c r="J30" s="25"/>
      <c r="K30" s="18">
        <f t="shared" si="1"/>
        <v>0</v>
      </c>
      <c r="L30" s="8">
        <f t="shared" si="2"/>
        <v>2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68">
        <f>SUM(B10:B40)</f>
        <v>5</v>
      </c>
      <c r="C41" s="68">
        <f t="shared" ref="C41:E41" si="3">SUM(C10:C40)</f>
        <v>0</v>
      </c>
      <c r="D41" s="68">
        <f t="shared" si="3"/>
        <v>0</v>
      </c>
      <c r="E41" s="68">
        <f t="shared" si="3"/>
        <v>0</v>
      </c>
      <c r="F41" s="67">
        <f>SUM(F10:F40)</f>
        <v>5</v>
      </c>
      <c r="G41" s="19">
        <f>SUM(G10:G40)</f>
        <v>1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</v>
      </c>
      <c r="L41" s="19">
        <f t="shared" si="4"/>
        <v>6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51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6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45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45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7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38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>
        <v>4</v>
      </c>
      <c r="H19" s="25"/>
      <c r="I19" s="25"/>
      <c r="J19" s="25"/>
      <c r="K19" s="18">
        <f t="shared" si="1"/>
        <v>4</v>
      </c>
      <c r="L19" s="8">
        <f t="shared" si="2"/>
        <v>4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>
        <v>2</v>
      </c>
      <c r="H20" s="25"/>
      <c r="I20" s="25"/>
      <c r="J20" s="25"/>
      <c r="K20" s="18">
        <f t="shared" si="1"/>
        <v>2</v>
      </c>
      <c r="L20" s="8">
        <f t="shared" si="2"/>
        <v>2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4</v>
      </c>
      <c r="H21" s="36"/>
      <c r="I21" s="36"/>
      <c r="J21" s="36"/>
      <c r="K21" s="18">
        <f t="shared" si="1"/>
        <v>4</v>
      </c>
      <c r="L21" s="8">
        <f t="shared" si="2"/>
        <v>4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>
        <v>2</v>
      </c>
      <c r="H22" s="25"/>
      <c r="I22" s="25"/>
      <c r="J22" s="25"/>
      <c r="K22" s="18">
        <f t="shared" si="1"/>
        <v>2</v>
      </c>
      <c r="L22" s="8">
        <f t="shared" si="2"/>
        <v>2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5</v>
      </c>
      <c r="H23" s="25"/>
      <c r="I23" s="25"/>
      <c r="J23" s="25"/>
      <c r="K23" s="18">
        <f t="shared" si="1"/>
        <v>5</v>
      </c>
      <c r="L23" s="8">
        <f t="shared" si="2"/>
        <v>5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>
        <v>2</v>
      </c>
      <c r="H26" s="25"/>
      <c r="I26" s="25"/>
      <c r="J26" s="25"/>
      <c r="K26" s="18">
        <f t="shared" si="1"/>
        <v>2</v>
      </c>
      <c r="L26" s="8">
        <f t="shared" si="2"/>
        <v>2</v>
      </c>
    </row>
    <row r="27" spans="1:12" ht="15.75" thickBot="1" x14ac:dyDescent="0.3">
      <c r="A27" s="9">
        <v>18</v>
      </c>
      <c r="B27" s="24">
        <v>4</v>
      </c>
      <c r="C27" s="25"/>
      <c r="D27" s="25"/>
      <c r="E27" s="26"/>
      <c r="F27" s="20">
        <f t="shared" si="0"/>
        <v>4</v>
      </c>
      <c r="G27" s="33"/>
      <c r="H27" s="25"/>
      <c r="I27" s="25"/>
      <c r="J27" s="25"/>
      <c r="K27" s="18">
        <f t="shared" si="1"/>
        <v>0</v>
      </c>
      <c r="L27" s="8">
        <f t="shared" si="2"/>
        <v>4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>
        <v>3</v>
      </c>
      <c r="H29" s="25"/>
      <c r="I29" s="25"/>
      <c r="J29" s="25"/>
      <c r="K29" s="18">
        <f t="shared" si="1"/>
        <v>3</v>
      </c>
      <c r="L29" s="8">
        <f t="shared" si="2"/>
        <v>3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>
        <v>1</v>
      </c>
      <c r="H34" s="25"/>
      <c r="I34" s="25"/>
      <c r="J34" s="25"/>
      <c r="K34" s="18">
        <f t="shared" si="1"/>
        <v>1</v>
      </c>
      <c r="L34" s="8">
        <f t="shared" si="2"/>
        <v>1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70">
        <f>SUM(B10:B40)</f>
        <v>4</v>
      </c>
      <c r="C41" s="70">
        <f t="shared" ref="C41:E41" si="3">SUM(C10:C40)</f>
        <v>0</v>
      </c>
      <c r="D41" s="70">
        <f t="shared" si="3"/>
        <v>0</v>
      </c>
      <c r="E41" s="70">
        <f t="shared" si="3"/>
        <v>0</v>
      </c>
      <c r="F41" s="69">
        <f>SUM(F10:F40)</f>
        <v>4</v>
      </c>
      <c r="G41" s="19">
        <f>SUM(G10:G40)</f>
        <v>23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23</v>
      </c>
      <c r="L41" s="19">
        <f t="shared" si="4"/>
        <v>27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45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0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27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18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18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40" workbookViewId="0">
      <selection activeCell="A7" sqref="A7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74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40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>
        <v>2</v>
      </c>
      <c r="H11" s="25"/>
      <c r="I11" s="25"/>
      <c r="J11" s="25"/>
      <c r="K11" s="18">
        <f t="shared" ref="K11:K40" si="1">SUM(G11:J11)</f>
        <v>2</v>
      </c>
      <c r="L11" s="8">
        <f t="shared" ref="L11:L40" si="2">SUM(F11+K11)</f>
        <v>2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1</v>
      </c>
      <c r="H21" s="36"/>
      <c r="I21" s="36"/>
      <c r="J21" s="36"/>
      <c r="K21" s="18">
        <f t="shared" si="1"/>
        <v>1</v>
      </c>
      <c r="L21" s="8">
        <f t="shared" si="2"/>
        <v>1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>
        <v>1</v>
      </c>
      <c r="I34" s="25"/>
      <c r="J34" s="25"/>
      <c r="K34" s="18">
        <f t="shared" si="1"/>
        <v>1</v>
      </c>
      <c r="L34" s="8">
        <f t="shared" si="2"/>
        <v>1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>
        <v>1</v>
      </c>
      <c r="C38" s="25"/>
      <c r="D38" s="25"/>
      <c r="E38" s="26"/>
      <c r="F38" s="20">
        <f t="shared" si="0"/>
        <v>1</v>
      </c>
      <c r="G38" s="33"/>
      <c r="H38" s="25"/>
      <c r="I38" s="25"/>
      <c r="J38" s="25"/>
      <c r="K38" s="18">
        <f t="shared" si="1"/>
        <v>0</v>
      </c>
      <c r="L38" s="8">
        <f t="shared" si="2"/>
        <v>1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73">
        <f>SUM(B10:B40)</f>
        <v>1</v>
      </c>
      <c r="C41" s="73">
        <f t="shared" ref="C41:E41" si="3">SUM(C10:C40)</f>
        <v>0</v>
      </c>
      <c r="D41" s="73">
        <f t="shared" si="3"/>
        <v>0</v>
      </c>
      <c r="E41" s="73">
        <f t="shared" si="3"/>
        <v>0</v>
      </c>
      <c r="F41" s="72">
        <f>SUM(F10:F40)</f>
        <v>1</v>
      </c>
      <c r="G41" s="19">
        <f>SUM(G10:G40)</f>
        <v>3</v>
      </c>
      <c r="H41" s="19">
        <f t="shared" ref="H41:L41" si="4">SUM(H10:H40)</f>
        <v>1</v>
      </c>
      <c r="I41" s="19">
        <f t="shared" si="4"/>
        <v>0</v>
      </c>
      <c r="J41" s="19">
        <f t="shared" si="4"/>
        <v>0</v>
      </c>
      <c r="K41" s="19">
        <f t="shared" si="4"/>
        <v>4</v>
      </c>
      <c r="L41" s="19">
        <f t="shared" si="4"/>
        <v>5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18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1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5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14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14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4" workbookViewId="0">
      <selection activeCell="K41" sqref="K41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74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39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>
        <v>1</v>
      </c>
      <c r="H16" s="25"/>
      <c r="I16" s="25"/>
      <c r="J16" s="25"/>
      <c r="K16" s="18">
        <f t="shared" si="1"/>
        <v>1</v>
      </c>
      <c r="L16" s="8">
        <f t="shared" si="2"/>
        <v>1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>
        <v>1</v>
      </c>
      <c r="H17" s="25"/>
      <c r="I17" s="25"/>
      <c r="J17" s="25"/>
      <c r="K17" s="18">
        <f t="shared" si="1"/>
        <v>1</v>
      </c>
      <c r="L17" s="8">
        <f t="shared" si="2"/>
        <v>1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>
        <v>2</v>
      </c>
      <c r="H21" s="36"/>
      <c r="I21" s="36"/>
      <c r="J21" s="36"/>
      <c r="K21" s="18">
        <f t="shared" si="1"/>
        <v>2</v>
      </c>
      <c r="L21" s="8">
        <f t="shared" si="2"/>
        <v>2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1</v>
      </c>
      <c r="H23" s="25"/>
      <c r="I23" s="25"/>
      <c r="J23" s="25"/>
      <c r="K23" s="18">
        <f t="shared" si="1"/>
        <v>1</v>
      </c>
      <c r="L23" s="8">
        <f t="shared" si="2"/>
        <v>1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>
        <v>6</v>
      </c>
      <c r="H25" s="25"/>
      <c r="I25" s="25"/>
      <c r="J25" s="25"/>
      <c r="K25" s="18">
        <f t="shared" si="1"/>
        <v>6</v>
      </c>
      <c r="L25" s="8">
        <f t="shared" si="2"/>
        <v>6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>
        <v>2</v>
      </c>
      <c r="H31" s="25"/>
      <c r="I31" s="25"/>
      <c r="J31" s="25"/>
      <c r="K31" s="18">
        <f t="shared" si="1"/>
        <v>2</v>
      </c>
      <c r="L31" s="8">
        <f t="shared" si="2"/>
        <v>2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4</v>
      </c>
      <c r="H35" s="25"/>
      <c r="I35" s="25"/>
      <c r="J35" s="25"/>
      <c r="K35" s="18">
        <f t="shared" si="1"/>
        <v>4</v>
      </c>
      <c r="L35" s="8">
        <f t="shared" si="2"/>
        <v>4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>
        <v>5</v>
      </c>
      <c r="H36" s="25"/>
      <c r="I36" s="25"/>
      <c r="J36" s="25"/>
      <c r="K36" s="18">
        <f t="shared" si="1"/>
        <v>5</v>
      </c>
      <c r="L36" s="8">
        <f t="shared" si="2"/>
        <v>5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1</v>
      </c>
      <c r="H38" s="25"/>
      <c r="I38" s="25"/>
      <c r="J38" s="25"/>
      <c r="K38" s="18">
        <f t="shared" si="1"/>
        <v>1</v>
      </c>
      <c r="L38" s="8">
        <f t="shared" si="2"/>
        <v>1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 x14ac:dyDescent="0.3">
      <c r="A41" s="11"/>
      <c r="B41" s="73">
        <f>SUM(B10:B40)</f>
        <v>0</v>
      </c>
      <c r="C41" s="73">
        <f t="shared" ref="C41:E41" si="3">SUM(C10:C40)</f>
        <v>0</v>
      </c>
      <c r="D41" s="73">
        <f t="shared" si="3"/>
        <v>0</v>
      </c>
      <c r="E41" s="73">
        <f t="shared" si="3"/>
        <v>0</v>
      </c>
      <c r="F41" s="72">
        <f>SUM(F10:F40)</f>
        <v>0</v>
      </c>
      <c r="G41" s="19">
        <f>SUM(G10:G40)</f>
        <v>23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23</v>
      </c>
      <c r="L41" s="19">
        <f t="shared" si="4"/>
        <v>23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14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11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23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2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2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0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40" workbookViewId="0">
      <selection activeCell="B54" sqref="B5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8" t="s">
        <v>0</v>
      </c>
      <c r="B1" s="98"/>
      <c r="C1" s="98"/>
      <c r="D1" s="98"/>
      <c r="E1" s="38"/>
      <c r="F1" s="39"/>
      <c r="G1" s="99" t="s">
        <v>1</v>
      </c>
      <c r="H1" s="99"/>
      <c r="I1" s="99"/>
      <c r="J1" s="99"/>
      <c r="K1" s="99"/>
      <c r="L1" s="99"/>
    </row>
    <row r="2" spans="1:12" ht="15.75" x14ac:dyDescent="0.25">
      <c r="A2" s="99" t="s">
        <v>2</v>
      </c>
      <c r="B2" s="99"/>
      <c r="C2" s="99"/>
      <c r="D2" s="99"/>
      <c r="E2" s="38"/>
      <c r="F2" s="39"/>
      <c r="G2" s="110" t="s">
        <v>3</v>
      </c>
      <c r="H2" s="110"/>
      <c r="I2" s="110"/>
      <c r="J2" s="110"/>
      <c r="K2" s="110"/>
      <c r="L2" s="110"/>
    </row>
    <row r="3" spans="1:12" x14ac:dyDescent="0.25">
      <c r="A3" s="110" t="s">
        <v>4</v>
      </c>
      <c r="B3" s="110"/>
      <c r="C3" s="110"/>
      <c r="D3" s="110"/>
      <c r="E3" s="38"/>
      <c r="F3" s="39"/>
      <c r="G3" s="39"/>
      <c r="H3" s="110" t="s">
        <v>28</v>
      </c>
      <c r="I3" s="110"/>
      <c r="J3" s="110"/>
      <c r="K3" s="110"/>
      <c r="L3" s="2"/>
    </row>
    <row r="4" spans="1:12" x14ac:dyDescent="0.25">
      <c r="A4" s="75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25">
      <c r="A5" s="98" t="s">
        <v>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15.75" x14ac:dyDescent="0.25">
      <c r="A6" s="99" t="s">
        <v>41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ht="6.75" customHeight="1" thickBot="1" x14ac:dyDescent="0.3">
      <c r="A7" s="3" t="s">
        <v>6</v>
      </c>
      <c r="B7" s="13"/>
      <c r="C7" s="14"/>
      <c r="D7" s="14"/>
      <c r="E7" s="14"/>
      <c r="F7" s="13"/>
      <c r="G7" s="13"/>
      <c r="H7" s="101"/>
      <c r="I7" s="101"/>
      <c r="J7" s="14"/>
      <c r="K7" s="40"/>
      <c r="L7" s="4"/>
    </row>
    <row r="8" spans="1:12" x14ac:dyDescent="0.25">
      <c r="A8" s="102" t="s">
        <v>7</v>
      </c>
      <c r="B8" s="104" t="s">
        <v>8</v>
      </c>
      <c r="C8" s="105"/>
      <c r="D8" s="105"/>
      <c r="E8" s="105"/>
      <c r="F8" s="106"/>
      <c r="G8" s="107" t="s">
        <v>9</v>
      </c>
      <c r="H8" s="105"/>
      <c r="I8" s="105"/>
      <c r="J8" s="105"/>
      <c r="K8" s="106"/>
      <c r="L8" s="108" t="s">
        <v>10</v>
      </c>
    </row>
    <row r="9" spans="1:12" ht="15.75" thickBot="1" x14ac:dyDescent="0.3">
      <c r="A9" s="103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9"/>
    </row>
    <row r="10" spans="1:12" ht="15.75" thickBot="1" x14ac:dyDescent="0.3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 x14ac:dyDescent="0.3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 x14ac:dyDescent="0.3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 x14ac:dyDescent="0.3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 x14ac:dyDescent="0.3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 x14ac:dyDescent="0.3">
      <c r="A15" s="9">
        <v>6</v>
      </c>
      <c r="B15" s="24"/>
      <c r="C15" s="25"/>
      <c r="D15" s="25"/>
      <c r="E15" s="26"/>
      <c r="F15" s="20">
        <f t="shared" si="0"/>
        <v>0</v>
      </c>
      <c r="G15" s="33">
        <v>1</v>
      </c>
      <c r="H15" s="25"/>
      <c r="I15" s="25"/>
      <c r="J15" s="25"/>
      <c r="K15" s="18">
        <f t="shared" si="1"/>
        <v>1</v>
      </c>
      <c r="L15" s="8">
        <f t="shared" si="2"/>
        <v>1</v>
      </c>
    </row>
    <row r="16" spans="1:12" ht="15.75" thickBot="1" x14ac:dyDescent="0.3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 x14ac:dyDescent="0.3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 x14ac:dyDescent="0.3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 x14ac:dyDescent="0.3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 x14ac:dyDescent="0.3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 x14ac:dyDescent="0.3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 x14ac:dyDescent="0.3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 x14ac:dyDescent="0.3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 x14ac:dyDescent="0.3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 x14ac:dyDescent="0.3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 x14ac:dyDescent="0.3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 x14ac:dyDescent="0.3">
      <c r="A27" s="9">
        <v>18</v>
      </c>
      <c r="B27" s="24">
        <v>1</v>
      </c>
      <c r="C27" s="25"/>
      <c r="D27" s="25"/>
      <c r="E27" s="26"/>
      <c r="F27" s="20">
        <f t="shared" si="0"/>
        <v>1</v>
      </c>
      <c r="G27" s="33"/>
      <c r="H27" s="25"/>
      <c r="I27" s="25"/>
      <c r="J27" s="25"/>
      <c r="K27" s="18">
        <f t="shared" si="1"/>
        <v>0</v>
      </c>
      <c r="L27" s="8">
        <f t="shared" si="2"/>
        <v>1</v>
      </c>
    </row>
    <row r="28" spans="1:12" ht="15.75" thickBot="1" x14ac:dyDescent="0.3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 x14ac:dyDescent="0.3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 x14ac:dyDescent="0.3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 x14ac:dyDescent="0.3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 x14ac:dyDescent="0.3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 x14ac:dyDescent="0.3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 x14ac:dyDescent="0.3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 x14ac:dyDescent="0.3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 x14ac:dyDescent="0.3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 x14ac:dyDescent="0.3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 x14ac:dyDescent="0.3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 x14ac:dyDescent="0.3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 x14ac:dyDescent="0.3">
      <c r="A40" s="10">
        <v>31</v>
      </c>
      <c r="B40" s="29"/>
      <c r="C40" s="30"/>
      <c r="D40" s="30"/>
      <c r="E40" s="31"/>
      <c r="F40" s="20">
        <f t="shared" si="0"/>
        <v>0</v>
      </c>
      <c r="G40" s="33">
        <v>1</v>
      </c>
      <c r="H40" s="25">
        <v>2</v>
      </c>
      <c r="I40" s="25"/>
      <c r="J40" s="25"/>
      <c r="K40" s="18">
        <f t="shared" si="1"/>
        <v>3</v>
      </c>
      <c r="L40" s="8">
        <f t="shared" si="2"/>
        <v>3</v>
      </c>
    </row>
    <row r="41" spans="1:12" ht="15.75" thickBot="1" x14ac:dyDescent="0.3">
      <c r="A41" s="11"/>
      <c r="B41" s="77">
        <f>SUM(B10:B40)</f>
        <v>1</v>
      </c>
      <c r="C41" s="77">
        <f t="shared" ref="C41:E41" si="3">SUM(C10:C40)</f>
        <v>0</v>
      </c>
      <c r="D41" s="77">
        <f t="shared" si="3"/>
        <v>0</v>
      </c>
      <c r="E41" s="77">
        <f t="shared" si="3"/>
        <v>0</v>
      </c>
      <c r="F41" s="76">
        <f>SUM(F10:F40)</f>
        <v>1</v>
      </c>
      <c r="G41" s="19">
        <f>SUM(G10:G40)</f>
        <v>2</v>
      </c>
      <c r="H41" s="19">
        <f t="shared" ref="H41:L41" si="4">SUM(H10:H40)</f>
        <v>2</v>
      </c>
      <c r="I41" s="19">
        <f t="shared" si="4"/>
        <v>0</v>
      </c>
      <c r="J41" s="19">
        <f t="shared" si="4"/>
        <v>0</v>
      </c>
      <c r="K41" s="19">
        <f t="shared" si="4"/>
        <v>4</v>
      </c>
      <c r="L41" s="19">
        <f t="shared" si="4"/>
        <v>5</v>
      </c>
    </row>
    <row r="42" spans="1:12" ht="5.25" customHeight="1" thickBot="1" x14ac:dyDescent="0.3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 x14ac:dyDescent="0.3">
      <c r="A43" s="91"/>
      <c r="B43" s="91"/>
      <c r="C43" s="91"/>
      <c r="D43" s="91"/>
      <c r="E43" s="91"/>
      <c r="F43" s="91"/>
      <c r="G43" s="92" t="s">
        <v>17</v>
      </c>
      <c r="H43" s="93"/>
      <c r="I43" s="93" t="s">
        <v>18</v>
      </c>
      <c r="J43" s="94"/>
      <c r="K43" s="13"/>
      <c r="L43" s="15"/>
    </row>
    <row r="44" spans="1:12" ht="15.75" thickBot="1" x14ac:dyDescent="0.3">
      <c r="A44" s="16"/>
      <c r="B44" s="78" t="s">
        <v>19</v>
      </c>
      <c r="C44" s="79"/>
      <c r="D44" s="79"/>
      <c r="E44" s="79"/>
      <c r="F44" s="79"/>
      <c r="G44" s="89">
        <v>2</v>
      </c>
      <c r="H44" s="95"/>
      <c r="I44" s="96"/>
      <c r="J44" s="97"/>
      <c r="K44" s="13"/>
      <c r="L44" s="15"/>
    </row>
    <row r="45" spans="1:12" ht="15.75" thickBot="1" x14ac:dyDescent="0.3">
      <c r="A45" s="16"/>
      <c r="B45" s="78" t="s">
        <v>20</v>
      </c>
      <c r="C45" s="79"/>
      <c r="D45" s="79"/>
      <c r="E45" s="79"/>
      <c r="F45" s="79"/>
      <c r="G45" s="80">
        <v>4</v>
      </c>
      <c r="H45" s="81"/>
      <c r="I45" s="80"/>
      <c r="J45" s="81"/>
      <c r="K45" s="13"/>
      <c r="L45" s="15"/>
    </row>
    <row r="46" spans="1:12" ht="15.75" thickBot="1" x14ac:dyDescent="0.3">
      <c r="A46" s="16"/>
      <c r="B46" s="86" t="s">
        <v>21</v>
      </c>
      <c r="C46" s="86"/>
      <c r="D46" s="86"/>
      <c r="E46" s="86"/>
      <c r="F46" s="78"/>
      <c r="G46" s="87">
        <v>0</v>
      </c>
      <c r="H46" s="88"/>
      <c r="I46" s="89"/>
      <c r="J46" s="90"/>
      <c r="K46" s="13"/>
      <c r="L46" s="15"/>
    </row>
    <row r="47" spans="1:12" ht="15.75" thickBot="1" x14ac:dyDescent="0.3">
      <c r="A47" s="16"/>
      <c r="B47" s="78" t="s">
        <v>22</v>
      </c>
      <c r="C47" s="79"/>
      <c r="D47" s="79"/>
      <c r="E47" s="79"/>
      <c r="F47" s="79"/>
      <c r="G47" s="85">
        <f>L41+G46</f>
        <v>5</v>
      </c>
      <c r="H47" s="81"/>
      <c r="I47" s="80"/>
      <c r="J47" s="81"/>
      <c r="K47" s="13"/>
      <c r="L47" s="15"/>
    </row>
    <row r="48" spans="1:12" ht="15.75" thickBot="1" x14ac:dyDescent="0.3">
      <c r="A48" s="5"/>
      <c r="B48" s="78" t="s">
        <v>23</v>
      </c>
      <c r="C48" s="79"/>
      <c r="D48" s="79"/>
      <c r="E48" s="79"/>
      <c r="F48" s="79"/>
      <c r="G48" s="85">
        <f>G44+G45-G47</f>
        <v>1</v>
      </c>
      <c r="H48" s="81"/>
      <c r="I48" s="80"/>
      <c r="J48" s="81"/>
      <c r="K48" s="13"/>
      <c r="L48" s="4"/>
    </row>
    <row r="49" spans="1:12" ht="15.75" thickBot="1" x14ac:dyDescent="0.3">
      <c r="A49" s="5"/>
      <c r="B49" s="78" t="s">
        <v>24</v>
      </c>
      <c r="C49" s="79"/>
      <c r="D49" s="79"/>
      <c r="E49" s="79"/>
      <c r="F49" s="79"/>
      <c r="G49" s="80">
        <v>0</v>
      </c>
      <c r="H49" s="81"/>
      <c r="I49" s="80"/>
      <c r="J49" s="81"/>
      <c r="K49" s="13"/>
      <c r="L49" s="4"/>
    </row>
    <row r="50" spans="1:12" ht="15.75" thickBot="1" x14ac:dyDescent="0.3">
      <c r="A50" s="5"/>
      <c r="B50" s="78" t="s">
        <v>25</v>
      </c>
      <c r="C50" s="79"/>
      <c r="D50" s="79"/>
      <c r="E50" s="79"/>
      <c r="F50" s="79"/>
      <c r="G50" s="82">
        <f>G48-G49</f>
        <v>1</v>
      </c>
      <c r="H50" s="83"/>
      <c r="I50" s="84"/>
      <c r="J50" s="83"/>
      <c r="K50" s="13"/>
      <c r="L50" s="4"/>
    </row>
    <row r="51" spans="1:12" x14ac:dyDescent="0.2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 x14ac:dyDescent="0.25">
      <c r="B53" t="s">
        <v>42</v>
      </c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2017-09-05T08:35:56Z</cp:lastPrinted>
  <dcterms:created xsi:type="dcterms:W3CDTF">2014-12-31T15:22:06Z</dcterms:created>
  <dcterms:modified xsi:type="dcterms:W3CDTF">2018-01-04T08:31:11Z</dcterms:modified>
</cp:coreProperties>
</file>