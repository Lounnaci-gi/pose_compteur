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7\Gestion de Stock Zoubiria\"/>
    </mc:Choice>
  </mc:AlternateContent>
  <bookViews>
    <workbookView xWindow="315" yWindow="195" windowWidth="6900" windowHeight="2025" firstSheet="7" activeTab="11"/>
  </bookViews>
  <sheets>
    <sheet name="JANVIER 2017" sheetId="12" r:id="rId1"/>
    <sheet name="FEVRIER 2017" sheetId="13" r:id="rId2"/>
    <sheet name="MARS 2017" sheetId="14" r:id="rId3"/>
    <sheet name="AVRIL 2017" sheetId="15" r:id="rId4"/>
    <sheet name="MAI 2017" sheetId="16" r:id="rId5"/>
    <sheet name="JUIN 2017" sheetId="18" r:id="rId6"/>
    <sheet name="JUILLET 2017" sheetId="19" r:id="rId7"/>
    <sheet name="AOUT 2017" sheetId="20" r:id="rId8"/>
    <sheet name="SEPTEMBRE 2017" sheetId="21" r:id="rId9"/>
    <sheet name="OCTOBRE 2017" sheetId="22" r:id="rId10"/>
    <sheet name="NOVEMBRE 2017" sheetId="23" r:id="rId11"/>
    <sheet name="DECEMBRE 2017" sheetId="24" r:id="rId12"/>
  </sheets>
  <definedNames>
    <definedName name="_xlnm.Print_Titles" localSheetId="7">'AOUT 2017'!$1:$6</definedName>
    <definedName name="_xlnm.Print_Titles" localSheetId="3">'AVRIL 2017'!$1:$6</definedName>
    <definedName name="_xlnm.Print_Titles" localSheetId="11">'DECEMBRE 2017'!$1:$6</definedName>
    <definedName name="_xlnm.Print_Titles" localSheetId="1">'FEVRIER 2017'!$1:$6</definedName>
    <definedName name="_xlnm.Print_Titles" localSheetId="0">'JANVIER 2017'!$1:$6</definedName>
    <definedName name="_xlnm.Print_Titles" localSheetId="6">'JUILLET 2017'!$1:$6</definedName>
    <definedName name="_xlnm.Print_Titles" localSheetId="5">'JUIN 2017'!$1:$6</definedName>
    <definedName name="_xlnm.Print_Titles" localSheetId="4">'MAI 2017'!$1:$6</definedName>
    <definedName name="_xlnm.Print_Titles" localSheetId="2">'MARS 2017'!$1:$6</definedName>
    <definedName name="_xlnm.Print_Titles" localSheetId="10">'NOVEMBRE 2017'!$1:$6</definedName>
    <definedName name="_xlnm.Print_Titles" localSheetId="9">'OCTOBRE 2017'!$1:$6</definedName>
    <definedName name="_xlnm.Print_Titles" localSheetId="8">'SEPTEMBRE 2017'!$1:$6</definedName>
  </definedNames>
  <calcPr calcId="152511"/>
</workbook>
</file>

<file path=xl/calcChain.xml><?xml version="1.0" encoding="utf-8"?>
<calcChain xmlns="http://schemas.openxmlformats.org/spreadsheetml/2006/main">
  <c r="A8" i="24" l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K4" i="24"/>
  <c r="K3" i="24"/>
  <c r="K2" i="24"/>
  <c r="K5" i="24" l="1"/>
  <c r="A8" i="23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K4" i="23"/>
  <c r="K3" i="23"/>
  <c r="K2" i="23"/>
  <c r="K5" i="23" l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K4" i="22"/>
  <c r="K3" i="22"/>
  <c r="K2" i="22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K4" i="21"/>
  <c r="K3" i="21"/>
  <c r="K2" i="21"/>
  <c r="K4" i="20"/>
  <c r="K3" i="20"/>
  <c r="K2" i="20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K4" i="19"/>
  <c r="K3" i="19"/>
  <c r="K2" i="19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K4" i="18"/>
  <c r="K3" i="18"/>
  <c r="K2" i="18"/>
  <c r="A9" i="16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8" i="16"/>
  <c r="K4" i="16"/>
  <c r="K3" i="16"/>
  <c r="K2" i="16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K4" i="15"/>
  <c r="K3" i="15"/>
  <c r="K2" i="15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K4" i="14"/>
  <c r="K3" i="14"/>
  <c r="K2" i="14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8" i="13"/>
  <c r="K4" i="13"/>
  <c r="K3" i="13"/>
  <c r="K2" i="13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K4" i="12"/>
  <c r="K3" i="12"/>
  <c r="K2" i="12"/>
  <c r="K5" i="22" l="1"/>
  <c r="K5" i="21"/>
  <c r="K5" i="20"/>
  <c r="K5" i="19"/>
  <c r="K5" i="18"/>
  <c r="K5" i="16"/>
  <c r="K5" i="13"/>
  <c r="K5" i="15"/>
  <c r="K5" i="14"/>
  <c r="K5" i="12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</calcChain>
</file>

<file path=xl/sharedStrings.xml><?xml version="1.0" encoding="utf-8"?>
<sst xmlns="http://schemas.openxmlformats.org/spreadsheetml/2006/main" count="433" uniqueCount="127">
  <si>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</si>
  <si>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</si>
  <si>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</si>
  <si>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</si>
  <si>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</si>
  <si>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</si>
  <si>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</si>
  <si>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</si>
  <si>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</si>
  <si>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</si>
  <si>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</si>
  <si>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</si>
  <si>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</si>
  <si>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</si>
  <si>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</si>
  <si>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</si>
  <si>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: Zoubiria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</si>
  <si>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</si>
  <si>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</si>
  <si>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</si>
  <si>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</si>
  <si>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</si>
  <si>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</si>
  <si>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</si>
  <si>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t>15/21</t>
  </si>
  <si>
    <t>2016321630</t>
  </si>
  <si>
    <t>NB(N°0223/2017)</t>
  </si>
  <si>
    <t>Azizi mahdjouba</t>
  </si>
  <si>
    <t>2016321622</t>
  </si>
  <si>
    <t>NB(N°0180/2017)</t>
  </si>
  <si>
    <t>Remada takia</t>
  </si>
  <si>
    <t>2016321624</t>
  </si>
  <si>
    <t>CCLS Zoubiria</t>
  </si>
  <si>
    <t>2016321625</t>
  </si>
  <si>
    <t>NB(N°0239/2017)</t>
  </si>
  <si>
    <t>Kerbouci kamel</t>
  </si>
  <si>
    <t>2016321626</t>
  </si>
  <si>
    <t>NB(N°0240/2017)</t>
  </si>
  <si>
    <t>Kerbouci hakim</t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</si>
  <si>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</si>
  <si>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t>13 1008</t>
  </si>
  <si>
    <t>2016321623</t>
  </si>
  <si>
    <t>Elimination Forfait</t>
  </si>
  <si>
    <t>2016321621</t>
  </si>
  <si>
    <t>2016321627</t>
  </si>
  <si>
    <t>2016321628</t>
  </si>
  <si>
    <t>2016321629</t>
  </si>
  <si>
    <t>2016320529</t>
  </si>
  <si>
    <t>2016320530</t>
  </si>
  <si>
    <t>2016320526</t>
  </si>
  <si>
    <t>2016320525</t>
  </si>
  <si>
    <t>2016320528</t>
  </si>
  <si>
    <t>2016320527</t>
  </si>
  <si>
    <t>2016320521</t>
  </si>
  <si>
    <t>2016321643</t>
  </si>
  <si>
    <t>2016320522</t>
  </si>
  <si>
    <t>2016321642</t>
  </si>
  <si>
    <t>2016320523</t>
  </si>
  <si>
    <t>2016320524</t>
  </si>
  <si>
    <t>2016321641</t>
  </si>
  <si>
    <t>2016321646</t>
  </si>
  <si>
    <t>2016321647</t>
  </si>
  <si>
    <t>2016321774</t>
  </si>
  <si>
    <t>NB(Benzineb kouider)</t>
  </si>
  <si>
    <t>2016321644</t>
  </si>
  <si>
    <t>NB(Benzineb mahmoud)</t>
  </si>
  <si>
    <t>2016321650</t>
  </si>
  <si>
    <t>NB(Djaoui salah)</t>
  </si>
  <si>
    <t>2016321648</t>
  </si>
  <si>
    <t>NB(Mobarek samir)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</si>
  <si>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</si>
  <si>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t>2016321780</t>
  </si>
  <si>
    <t>2016321773</t>
  </si>
  <si>
    <t>2016321645</t>
  </si>
  <si>
    <t>2016321649</t>
  </si>
  <si>
    <t>321779</t>
  </si>
  <si>
    <t>NB(N°287/2017)</t>
  </si>
  <si>
    <t>Salem mustapha</t>
  </si>
  <si>
    <t>13 0451</t>
  </si>
  <si>
    <t>13 0450</t>
  </si>
  <si>
    <t>13 1569</t>
  </si>
  <si>
    <t>13 0467</t>
  </si>
  <si>
    <t>13 0282</t>
  </si>
  <si>
    <t>13 1570</t>
  </si>
  <si>
    <t>13 0522</t>
  </si>
  <si>
    <t>13 0216</t>
  </si>
  <si>
    <t>13 0005</t>
  </si>
  <si>
    <t>13 1023</t>
  </si>
  <si>
    <t>321778</t>
  </si>
  <si>
    <t>321776</t>
  </si>
  <si>
    <t>321771</t>
  </si>
  <si>
    <t>000698</t>
  </si>
  <si>
    <t>13 0279</t>
  </si>
  <si>
    <t>13 0956</t>
  </si>
  <si>
    <t>13 1581</t>
  </si>
  <si>
    <t>13 1584</t>
  </si>
  <si>
    <t>13 1583</t>
  </si>
  <si>
    <t>13 0284</t>
  </si>
  <si>
    <t>13 0462</t>
  </si>
  <si>
    <t>13 0445</t>
  </si>
  <si>
    <t>13 0317</t>
  </si>
  <si>
    <t>13 0900</t>
  </si>
  <si>
    <t>13 0058</t>
  </si>
  <si>
    <t>13 0120</t>
  </si>
  <si>
    <t>13 1019</t>
  </si>
  <si>
    <t>13 0957</t>
  </si>
  <si>
    <t>13 1000</t>
  </si>
  <si>
    <t>13 0947</t>
  </si>
  <si>
    <t>2016321651</t>
  </si>
  <si>
    <t>2016321656</t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</si>
  <si>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</si>
  <si>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</si>
  <si>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t>13 0906</t>
  </si>
  <si>
    <t>321777</t>
  </si>
  <si>
    <t>2016321658</t>
  </si>
  <si>
    <t>13 0408</t>
  </si>
  <si>
    <t>2017015734</t>
  </si>
  <si>
    <r>
      <t>Mois de Décembre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</si>
  <si>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t>2017015533</t>
  </si>
  <si>
    <t>NB(Assad ahmed b/mbarek)</t>
  </si>
  <si>
    <t>2017321772</t>
  </si>
  <si>
    <t>2017015561</t>
  </si>
  <si>
    <t>2017015562</t>
  </si>
  <si>
    <t>13 0183</t>
  </si>
  <si>
    <t>13 0692</t>
  </si>
  <si>
    <t>13 0018</t>
  </si>
  <si>
    <t>13 1638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</si>
</sst>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b/>
      <i/>
      <sz val="11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55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20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top" wrapText="1"/>
    </xf>
    <xf numFmtId="0" fontId="1" fillId="0" borderId="4" xfId="1" applyBorder="1" applyAlignment="1">
      <alignment vertical="center" wrapText="1"/>
    </xf>
    <xf numFmtId="0" fontId="9" fillId="0" borderId="0" xfId="1" applyFont="1" applyFill="1" applyBorder="1" applyAlignment="1">
      <alignment horizontal="center" vertical="center" wrapText="1"/>
    </xf>
    <xf numFmtId="14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49" fontId="6" fillId="0" borderId="0" xfId="1" applyNumberFormat="1" applyFont="1" applyBorder="1" applyAlignment="1">
      <alignment horizontal="center" vertical="center" wrapText="1"/>
    </xf>
    <xf numFmtId="14" fontId="6" fillId="0" borderId="0" xfId="1" applyNumberFormat="1" applyFont="1" applyBorder="1" applyAlignment="1">
      <alignment horizontal="center" vertical="center" wrapText="1"/>
    </xf>
    <xf numFmtId="49" fontId="7" fillId="0" borderId="0" xfId="1" applyNumberFormat="1" applyFont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 vertical="center" wrapText="1"/>
    </xf>
    <xf numFmtId="49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/>
    </xf>
    <xf numFmtId="49" fontId="6" fillId="0" borderId="0" xfId="1" applyNumberFormat="1" applyFont="1" applyBorder="1" applyAlignment="1">
      <alignment horizontal="center"/>
    </xf>
    <xf numFmtId="14" fontId="6" fillId="0" borderId="0" xfId="1" applyNumberFormat="1" applyFont="1" applyBorder="1" applyAlignment="1">
      <alignment horizontal="center"/>
    </xf>
    <xf numFmtId="0" fontId="7" fillId="0" borderId="0" xfId="1" applyFont="1" applyBorder="1" applyAlignment="1">
      <alignment horizontal="center" vertical="top"/>
    </xf>
    <xf numFmtId="49" fontId="7" fillId="0" borderId="0" xfId="1" applyNumberFormat="1" applyFont="1" applyFill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/>
    </xf>
    <xf numFmtId="49" fontId="6" fillId="0" borderId="0" xfId="1" applyNumberFormat="1" applyFont="1" applyFill="1" applyBorder="1" applyAlignment="1">
      <alignment horizontal="center"/>
    </xf>
    <xf numFmtId="14" fontId="11" fillId="0" borderId="0" xfId="1" applyNumberFormat="1" applyFont="1" applyFill="1" applyBorder="1" applyAlignment="1">
      <alignment horizontal="center" vertical="center" wrapText="1"/>
    </xf>
    <xf numFmtId="0" fontId="11" fillId="0" borderId="0" xfId="1" applyFont="1" applyFill="1" applyBorder="1" applyAlignment="1">
      <alignment horizontal="center" vertical="center" wrapText="1"/>
    </xf>
    <xf numFmtId="49" fontId="11" fillId="0" borderId="0" xfId="1" applyNumberFormat="1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top"/>
    </xf>
    <xf numFmtId="0" fontId="7" fillId="0" borderId="0" xfId="1" applyFont="1" applyFill="1" applyBorder="1" applyAlignment="1">
      <alignment horizontal="center" vertical="top"/>
    </xf>
    <xf numFmtId="49" fontId="6" fillId="0" borderId="0" xfId="1" applyNumberFormat="1" applyFont="1" applyBorder="1" applyAlignment="1">
      <alignment horizontal="center" vertical="center"/>
    </xf>
    <xf numFmtId="49" fontId="1" fillId="0" borderId="0" xfId="1" applyNumberFormat="1" applyFont="1" applyAlignment="1">
      <alignment vertical="center" wrapText="1"/>
    </xf>
    <xf numFmtId="14" fontId="15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0" fontId="1" fillId="0" borderId="0" xfId="1" applyNumberFormat="1"/>
    <xf numFmtId="0" fontId="5" fillId="0" borderId="3" xfId="3" applyFont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9524</xdr:rowOff>
    </xdr:from>
    <xdr:to>
      <xdr:col>5</xdr:col>
      <xdr:colOff>1095375</xdr:colOff>
      <xdr:row>28</xdr:row>
      <xdr:rowOff>161925</xdr:rowOff>
    </xdr:to>
    <xdr:cxnSp macro="">
      <xdr:nvCxnSpPr>
        <xdr:cNvPr id="2" name="Straight Connector 1"/>
        <xdr:cNvCxnSpPr/>
      </xdr:nvCxnSpPr>
      <xdr:spPr>
        <a:xfrm flipH="1">
          <a:off x="419100" y="1323974"/>
          <a:ext cx="4010025" cy="43434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9524</xdr:rowOff>
    </xdr:from>
    <xdr:to>
      <xdr:col>5</xdr:col>
      <xdr:colOff>1095375</xdr:colOff>
      <xdr:row>28</xdr:row>
      <xdr:rowOff>161925</xdr:rowOff>
    </xdr:to>
    <xdr:cxnSp macro="">
      <xdr:nvCxnSpPr>
        <xdr:cNvPr id="2" name="Straight Connector 1"/>
        <xdr:cNvCxnSpPr/>
      </xdr:nvCxnSpPr>
      <xdr:spPr>
        <a:xfrm flipH="1">
          <a:off x="419100" y="1323974"/>
          <a:ext cx="4010025" cy="43434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9524</xdr:rowOff>
    </xdr:from>
    <xdr:to>
      <xdr:col>5</xdr:col>
      <xdr:colOff>1095375</xdr:colOff>
      <xdr:row>28</xdr:row>
      <xdr:rowOff>161925</xdr:rowOff>
    </xdr:to>
    <xdr:cxnSp macro="">
      <xdr:nvCxnSpPr>
        <xdr:cNvPr id="2" name="Straight Connector 1"/>
        <xdr:cNvCxnSpPr/>
      </xdr:nvCxnSpPr>
      <xdr:spPr>
        <a:xfrm flipH="1">
          <a:off x="419100" y="1323974"/>
          <a:ext cx="4010025" cy="43434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9524</xdr:rowOff>
    </xdr:from>
    <xdr:to>
      <xdr:col>5</xdr:col>
      <xdr:colOff>1095375</xdr:colOff>
      <xdr:row>28</xdr:row>
      <xdr:rowOff>161925</xdr:rowOff>
    </xdr:to>
    <xdr:cxnSp macro="">
      <xdr:nvCxnSpPr>
        <xdr:cNvPr id="2" name="Straight Connector 1"/>
        <xdr:cNvCxnSpPr/>
      </xdr:nvCxnSpPr>
      <xdr:spPr>
        <a:xfrm flipH="1">
          <a:off x="419100" y="1323974"/>
          <a:ext cx="4010025" cy="43434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6</xdr:row>
      <xdr:rowOff>19050</xdr:rowOff>
    </xdr:from>
    <xdr:to>
      <xdr:col>6</xdr:col>
      <xdr:colOff>0</xdr:colOff>
      <xdr:row>29</xdr:row>
      <xdr:rowOff>19050</xdr:rowOff>
    </xdr:to>
    <xdr:cxnSp macro="">
      <xdr:nvCxnSpPr>
        <xdr:cNvPr id="3" name="Straight Connector 2"/>
        <xdr:cNvCxnSpPr/>
      </xdr:nvCxnSpPr>
      <xdr:spPr>
        <a:xfrm flipH="1">
          <a:off x="409576" y="1333500"/>
          <a:ext cx="4029074" cy="4381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9524</xdr:rowOff>
    </xdr:from>
    <xdr:to>
      <xdr:col>5</xdr:col>
      <xdr:colOff>1095375</xdr:colOff>
      <xdr:row>28</xdr:row>
      <xdr:rowOff>161925</xdr:rowOff>
    </xdr:to>
    <xdr:cxnSp macro="">
      <xdr:nvCxnSpPr>
        <xdr:cNvPr id="2" name="Straight Connector 1"/>
        <xdr:cNvCxnSpPr/>
      </xdr:nvCxnSpPr>
      <xdr:spPr>
        <a:xfrm flipH="1">
          <a:off x="419100" y="1323974"/>
          <a:ext cx="4010025" cy="43434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9524</xdr:rowOff>
    </xdr:from>
    <xdr:to>
      <xdr:col>5</xdr:col>
      <xdr:colOff>1095375</xdr:colOff>
      <xdr:row>28</xdr:row>
      <xdr:rowOff>161925</xdr:rowOff>
    </xdr:to>
    <xdr:cxnSp macro="">
      <xdr:nvCxnSpPr>
        <xdr:cNvPr id="2" name="Straight Connector 1"/>
        <xdr:cNvCxnSpPr/>
      </xdr:nvCxnSpPr>
      <xdr:spPr>
        <a:xfrm flipH="1">
          <a:off x="419100" y="1323974"/>
          <a:ext cx="4010025" cy="43434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12</xdr:row>
      <xdr:rowOff>0</xdr:rowOff>
    </xdr:from>
    <xdr:to>
      <xdr:col>5</xdr:col>
      <xdr:colOff>1076325</xdr:colOff>
      <xdr:row>25</xdr:row>
      <xdr:rowOff>161925</xdr:rowOff>
    </xdr:to>
    <xdr:cxnSp macro="">
      <xdr:nvCxnSpPr>
        <xdr:cNvPr id="3" name="Straight Connector 2"/>
        <xdr:cNvCxnSpPr/>
      </xdr:nvCxnSpPr>
      <xdr:spPr>
        <a:xfrm flipH="1">
          <a:off x="419101" y="2457450"/>
          <a:ext cx="3990974" cy="2638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11</xdr:row>
      <xdr:rowOff>9525</xdr:rowOff>
    </xdr:from>
    <xdr:to>
      <xdr:col>5</xdr:col>
      <xdr:colOff>1428750</xdr:colOff>
      <xdr:row>28</xdr:row>
      <xdr:rowOff>180975</xdr:rowOff>
    </xdr:to>
    <xdr:cxnSp macro="">
      <xdr:nvCxnSpPr>
        <xdr:cNvPr id="3" name="Straight Connector 2"/>
        <xdr:cNvCxnSpPr/>
      </xdr:nvCxnSpPr>
      <xdr:spPr>
        <a:xfrm flipH="1">
          <a:off x="419100" y="2276475"/>
          <a:ext cx="4381500" cy="3409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workbookViewId="0">
      <selection activeCell="F29" sqref="A1:F29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52" t="s">
        <v>0</v>
      </c>
      <c r="B1" s="52"/>
      <c r="C1" s="5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3" t="s">
        <v>2</v>
      </c>
      <c r="B2" s="53"/>
      <c r="C2" s="53"/>
      <c r="D2" s="6"/>
      <c r="E2" s="5" t="s">
        <v>3</v>
      </c>
      <c r="F2" s="5"/>
      <c r="G2" s="4"/>
      <c r="H2" s="4"/>
      <c r="I2" s="50" t="s">
        <v>4</v>
      </c>
      <c r="J2" s="51"/>
      <c r="K2" s="18">
        <f ca="1">SUMIF(F7:F133,"Elimination*",G7:G83)</f>
        <v>0</v>
      </c>
    </row>
    <row r="3" spans="1:11" x14ac:dyDescent="0.25">
      <c r="A3" s="54" t="s">
        <v>5</v>
      </c>
      <c r="B3" s="54"/>
      <c r="C3" s="54"/>
      <c r="D3" s="5"/>
      <c r="E3" s="5" t="s">
        <v>16</v>
      </c>
      <c r="F3" s="4"/>
      <c r="G3" s="4"/>
      <c r="H3" s="4"/>
      <c r="I3" s="50" t="s">
        <v>6</v>
      </c>
      <c r="J3" s="51"/>
      <c r="K3" s="18">
        <f ca="1">SUMIF(F7:F133,"NB*",G7:G83)</f>
        <v>0</v>
      </c>
    </row>
    <row r="4" spans="1:11" ht="18" x14ac:dyDescent="0.25">
      <c r="A4" s="52" t="s">
        <v>7</v>
      </c>
      <c r="B4" s="52"/>
      <c r="C4" s="52"/>
      <c r="D4" s="52"/>
      <c r="E4" s="52"/>
      <c r="F4" s="52"/>
      <c r="G4" s="4"/>
      <c r="H4" s="4"/>
      <c r="I4" s="50" t="s">
        <v>8</v>
      </c>
      <c r="J4" s="51"/>
      <c r="K4" s="18">
        <f ca="1">SUMIF(F7:F133,"Ve*",G7:G83)</f>
        <v>0</v>
      </c>
    </row>
    <row r="5" spans="1:11" ht="15.75" x14ac:dyDescent="0.25">
      <c r="A5" s="49" t="s">
        <v>17</v>
      </c>
      <c r="B5" s="49"/>
      <c r="C5" s="49"/>
      <c r="D5" s="49"/>
      <c r="E5" s="49"/>
      <c r="F5" s="49"/>
      <c r="G5" s="19"/>
      <c r="H5" s="19"/>
      <c r="I5" s="50" t="s">
        <v>9</v>
      </c>
      <c r="J5" s="51"/>
      <c r="K5" s="20">
        <f ca="1">SUM(K2:K4)</f>
        <v>0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/>
      <c r="C7" s="11"/>
      <c r="D7" s="9"/>
      <c r="E7" s="14"/>
      <c r="F7" s="22"/>
      <c r="G7" s="12">
        <v>1</v>
      </c>
      <c r="H7" s="13"/>
      <c r="I7" s="2"/>
      <c r="J7" s="2"/>
    </row>
    <row r="8" spans="1:11" ht="15" customHeight="1" x14ac:dyDescent="0.25">
      <c r="A8" s="17">
        <f>+A7+1</f>
        <v>2</v>
      </c>
      <c r="B8" s="14"/>
      <c r="C8" s="11"/>
      <c r="D8" s="9"/>
      <c r="E8" s="14"/>
      <c r="F8" s="22"/>
      <c r="G8" s="12">
        <v>1</v>
      </c>
      <c r="H8" s="13"/>
      <c r="I8" s="2"/>
      <c r="J8" s="2"/>
    </row>
    <row r="9" spans="1:11" ht="15" customHeight="1" x14ac:dyDescent="0.25">
      <c r="A9" s="17">
        <f t="shared" ref="A9:A29" si="0">+A8+1</f>
        <v>3</v>
      </c>
      <c r="B9" s="21"/>
      <c r="C9" s="11"/>
      <c r="D9" s="9"/>
      <c r="E9" s="14"/>
      <c r="F9" s="22"/>
      <c r="G9" s="12">
        <v>1</v>
      </c>
      <c r="H9" s="13"/>
      <c r="I9" s="2"/>
      <c r="J9" s="2"/>
    </row>
    <row r="10" spans="1:11" ht="15" customHeight="1" x14ac:dyDescent="0.25">
      <c r="A10" s="17">
        <f t="shared" si="0"/>
        <v>4</v>
      </c>
      <c r="B10" s="14"/>
      <c r="C10" s="11"/>
      <c r="D10" s="9"/>
      <c r="E10" s="14"/>
      <c r="F10" s="22"/>
      <c r="G10" s="12">
        <v>1</v>
      </c>
      <c r="H10" s="1"/>
      <c r="I10" s="1"/>
      <c r="J10" s="1"/>
    </row>
    <row r="11" spans="1:11" ht="15" customHeight="1" x14ac:dyDescent="0.25">
      <c r="A11" s="17">
        <f t="shared" si="0"/>
        <v>5</v>
      </c>
      <c r="B11" s="14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 x14ac:dyDescent="0.25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 x14ac:dyDescent="0.25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 x14ac:dyDescent="0.25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 x14ac:dyDescent="0.25">
      <c r="A30" s="24"/>
      <c r="B30" s="25"/>
      <c r="C30" s="26"/>
      <c r="D30" s="27"/>
      <c r="E30" s="28"/>
      <c r="F30" s="29"/>
      <c r="G30" s="23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E32" s="44"/>
      <c r="F32" s="29"/>
      <c r="G32" s="23">
        <v>1</v>
      </c>
    </row>
    <row r="33" spans="1:7" ht="15" customHeight="1" x14ac:dyDescent="0.25">
      <c r="A33" s="24"/>
      <c r="B33" s="25"/>
      <c r="C33" s="26"/>
      <c r="D33" s="27"/>
      <c r="E33" s="28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26"/>
      <c r="D40" s="27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25"/>
      <c r="C42" s="26"/>
      <c r="D42" s="27"/>
      <c r="E42" s="28"/>
      <c r="F42" s="29"/>
      <c r="G42" s="23">
        <v>1</v>
      </c>
    </row>
    <row r="43" spans="1:7" ht="15" customHeight="1" x14ac:dyDescent="0.25">
      <c r="A43" s="24"/>
      <c r="B43" s="25"/>
      <c r="C43" s="30"/>
      <c r="D43" s="31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30"/>
      <c r="D48" s="31"/>
      <c r="E48" s="28"/>
      <c r="F48" s="29"/>
      <c r="G48" s="23">
        <v>1</v>
      </c>
    </row>
    <row r="49" spans="1:7" ht="15" customHeight="1" x14ac:dyDescent="0.25">
      <c r="A49" s="24"/>
      <c r="B49" s="25"/>
      <c r="C49" s="30"/>
      <c r="D49" s="31"/>
      <c r="E49" s="28"/>
      <c r="F49" s="29"/>
      <c r="G49" s="23">
        <v>1</v>
      </c>
    </row>
    <row r="50" spans="1:7" ht="15" customHeight="1" x14ac:dyDescent="0.25">
      <c r="A50" s="24"/>
      <c r="B50" s="25"/>
      <c r="C50" s="30"/>
      <c r="D50" s="31"/>
      <c r="E50" s="28"/>
      <c r="F50" s="29"/>
      <c r="G50" s="23">
        <v>1</v>
      </c>
    </row>
    <row r="51" spans="1:7" ht="15" customHeight="1" x14ac:dyDescent="0.25">
      <c r="A51" s="24"/>
      <c r="B51" s="25"/>
      <c r="C51" s="26"/>
      <c r="D51" s="27"/>
      <c r="E51" s="28"/>
      <c r="F51" s="29"/>
      <c r="G51" s="23">
        <v>1</v>
      </c>
    </row>
    <row r="52" spans="1:7" ht="15" customHeight="1" x14ac:dyDescent="0.25">
      <c r="A52" s="24"/>
      <c r="B52" s="32"/>
      <c r="C52" s="32"/>
      <c r="D52" s="27"/>
      <c r="E52" s="28"/>
      <c r="F52" s="29"/>
      <c r="G52" s="23">
        <v>1</v>
      </c>
    </row>
    <row r="53" spans="1:7" ht="15" customHeight="1" x14ac:dyDescent="0.25">
      <c r="A53" s="24"/>
      <c r="B53" s="32"/>
      <c r="C53" s="32"/>
      <c r="D53" s="33"/>
      <c r="E53" s="28"/>
      <c r="F53" s="29"/>
      <c r="G53" s="23">
        <v>1</v>
      </c>
    </row>
    <row r="54" spans="1:7" ht="15" customHeight="1" x14ac:dyDescent="0.25">
      <c r="A54" s="24"/>
      <c r="B54" s="32"/>
      <c r="C54" s="32"/>
      <c r="D54" s="33"/>
      <c r="E54" s="28"/>
      <c r="F54" s="29"/>
      <c r="G54" s="23">
        <v>1</v>
      </c>
    </row>
    <row r="55" spans="1:7" ht="15" customHeight="1" x14ac:dyDescent="0.25">
      <c r="A55" s="24"/>
      <c r="B55" s="32"/>
      <c r="C55" s="32"/>
      <c r="D55" s="33"/>
      <c r="E55" s="34"/>
      <c r="F55" s="35"/>
      <c r="G55" s="23">
        <v>1</v>
      </c>
    </row>
    <row r="56" spans="1:7" ht="15" customHeight="1" x14ac:dyDescent="0.25">
      <c r="A56" s="24"/>
      <c r="B56" s="32"/>
      <c r="C56" s="32"/>
      <c r="D56" s="33"/>
      <c r="E56" s="34"/>
      <c r="F56" s="35"/>
      <c r="G56" s="23">
        <v>1</v>
      </c>
    </row>
    <row r="57" spans="1:7" ht="15" customHeight="1" x14ac:dyDescent="0.25">
      <c r="A57" s="24"/>
      <c r="B57" s="32"/>
      <c r="C57" s="32"/>
      <c r="D57" s="32"/>
      <c r="E57" s="34"/>
      <c r="F57" s="35"/>
      <c r="G57" s="23">
        <v>1</v>
      </c>
    </row>
    <row r="58" spans="1:7" ht="15" customHeight="1" x14ac:dyDescent="0.25">
      <c r="A58" s="24"/>
      <c r="B58" s="25"/>
      <c r="C58" s="30"/>
      <c r="D58" s="31"/>
      <c r="E58" s="25"/>
      <c r="F58" s="36"/>
      <c r="G58" s="23">
        <v>1</v>
      </c>
    </row>
    <row r="59" spans="1:7" ht="15" customHeight="1" x14ac:dyDescent="0.25">
      <c r="A59" s="24"/>
      <c r="B59" s="37"/>
      <c r="C59" s="37"/>
      <c r="D59" s="38"/>
      <c r="E59" s="25"/>
      <c r="F59" s="36"/>
      <c r="G59" s="23">
        <v>1</v>
      </c>
    </row>
    <row r="60" spans="1:7" ht="15" customHeight="1" x14ac:dyDescent="0.25">
      <c r="A60" s="24"/>
      <c r="B60" s="39"/>
      <c r="C60" s="40"/>
      <c r="D60" s="41"/>
      <c r="E60" s="39"/>
      <c r="F60" s="42"/>
      <c r="G60" s="23">
        <v>1</v>
      </c>
    </row>
    <row r="61" spans="1:7" ht="15" customHeight="1" x14ac:dyDescent="0.25">
      <c r="A61" s="24"/>
      <c r="B61" s="37"/>
      <c r="C61" s="37"/>
      <c r="D61" s="38"/>
      <c r="E61" s="25"/>
      <c r="F61" s="43"/>
      <c r="G61" s="23">
        <v>1</v>
      </c>
    </row>
    <row r="62" spans="1:7" ht="15" customHeight="1" x14ac:dyDescent="0.25">
      <c r="A62" s="24"/>
      <c r="B62" s="37"/>
      <c r="C62" s="37"/>
      <c r="D62" s="38"/>
      <c r="E62" s="25"/>
      <c r="F62" s="36"/>
      <c r="G62" s="23">
        <v>1</v>
      </c>
    </row>
    <row r="63" spans="1:7" ht="15" customHeight="1" x14ac:dyDescent="0.25">
      <c r="A63" s="24"/>
      <c r="B63" s="32"/>
      <c r="C63" s="32"/>
      <c r="D63" s="33"/>
      <c r="E63" s="34"/>
      <c r="F63" s="35"/>
      <c r="G63" s="23">
        <v>1</v>
      </c>
    </row>
    <row r="64" spans="1:7" ht="15" customHeight="1" x14ac:dyDescent="0.25">
      <c r="A64" s="24"/>
      <c r="B64" s="32"/>
      <c r="C64" s="32"/>
      <c r="D64" s="33"/>
      <c r="E64" s="34"/>
      <c r="F64" s="35"/>
      <c r="G64" s="23">
        <v>1</v>
      </c>
    </row>
    <row r="65" spans="1:7" ht="15" customHeight="1" x14ac:dyDescent="0.25">
      <c r="A65" s="24"/>
      <c r="B65" s="32"/>
      <c r="C65" s="32"/>
      <c r="D65" s="33"/>
      <c r="E65" s="34"/>
      <c r="F65" s="35"/>
      <c r="G65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52" t="s">
        <v>0</v>
      </c>
      <c r="B1" s="52"/>
      <c r="C1" s="5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3" t="s">
        <v>2</v>
      </c>
      <c r="B2" s="53"/>
      <c r="C2" s="53"/>
      <c r="D2" s="6"/>
      <c r="E2" s="5" t="s">
        <v>3</v>
      </c>
      <c r="F2" s="5"/>
      <c r="G2" s="4"/>
      <c r="H2" s="4"/>
      <c r="I2" s="50" t="s">
        <v>4</v>
      </c>
      <c r="J2" s="51"/>
      <c r="K2" s="18">
        <f ca="1">SUMIF(F7:F133,"Elimination*",G7:G83)</f>
        <v>0</v>
      </c>
    </row>
    <row r="3" spans="1:11" x14ac:dyDescent="0.25">
      <c r="A3" s="54" t="s">
        <v>5</v>
      </c>
      <c r="B3" s="54"/>
      <c r="C3" s="54"/>
      <c r="D3" s="5"/>
      <c r="E3" s="5" t="s">
        <v>16</v>
      </c>
      <c r="F3" s="4"/>
      <c r="G3" s="4"/>
      <c r="H3" s="4"/>
      <c r="I3" s="50" t="s">
        <v>6</v>
      </c>
      <c r="J3" s="51"/>
      <c r="K3" s="18">
        <f ca="1">SUMIF(F7:F133,"NB*",G7:G83)</f>
        <v>0</v>
      </c>
    </row>
    <row r="4" spans="1:11" ht="18" x14ac:dyDescent="0.25">
      <c r="A4" s="52" t="s">
        <v>7</v>
      </c>
      <c r="B4" s="52"/>
      <c r="C4" s="52"/>
      <c r="D4" s="52"/>
      <c r="E4" s="52"/>
      <c r="F4" s="52"/>
      <c r="G4" s="4"/>
      <c r="H4" s="4"/>
      <c r="I4" s="50" t="s">
        <v>8</v>
      </c>
      <c r="J4" s="51"/>
      <c r="K4" s="18">
        <f ca="1">SUMIF(F7:F133,"Ve*",G7:G83)</f>
        <v>0</v>
      </c>
    </row>
    <row r="5" spans="1:11" ht="15.75" x14ac:dyDescent="0.25">
      <c r="A5" s="49" t="s">
        <v>18</v>
      </c>
      <c r="B5" s="49"/>
      <c r="C5" s="49"/>
      <c r="D5" s="49"/>
      <c r="E5" s="49"/>
      <c r="F5" s="49"/>
      <c r="G5" s="19"/>
      <c r="H5" s="19"/>
      <c r="I5" s="50" t="s">
        <v>9</v>
      </c>
      <c r="J5" s="51"/>
      <c r="K5" s="20">
        <f ca="1">SUM(K2:K4)</f>
        <v>0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/>
      <c r="C7" s="11"/>
      <c r="D7" s="9"/>
      <c r="E7" s="14"/>
      <c r="F7" s="22"/>
      <c r="G7" s="12">
        <v>1</v>
      </c>
      <c r="H7" s="13"/>
      <c r="I7" s="2"/>
      <c r="J7" s="2"/>
    </row>
    <row r="8" spans="1:11" ht="15" customHeight="1" x14ac:dyDescent="0.25">
      <c r="A8" s="17">
        <f>+A7+1</f>
        <v>2</v>
      </c>
      <c r="B8" s="14"/>
      <c r="C8" s="11"/>
      <c r="D8" s="9"/>
      <c r="E8" s="14"/>
      <c r="F8" s="22"/>
      <c r="G8" s="12">
        <v>1</v>
      </c>
      <c r="H8" s="13"/>
      <c r="I8" s="2"/>
      <c r="J8" s="2"/>
    </row>
    <row r="9" spans="1:11" ht="15" customHeight="1" x14ac:dyDescent="0.25">
      <c r="A9" s="17">
        <f t="shared" ref="A9:A29" si="0">+A8+1</f>
        <v>3</v>
      </c>
      <c r="B9" s="21"/>
      <c r="C9" s="11"/>
      <c r="D9" s="9"/>
      <c r="E9" s="14"/>
      <c r="F9" s="22"/>
      <c r="G9" s="12">
        <v>1</v>
      </c>
      <c r="H9" s="13"/>
      <c r="I9" s="2"/>
      <c r="J9" s="2"/>
    </row>
    <row r="10" spans="1:11" ht="15" customHeight="1" x14ac:dyDescent="0.25">
      <c r="A10" s="17">
        <f t="shared" si="0"/>
        <v>4</v>
      </c>
      <c r="B10" s="14"/>
      <c r="C10" s="11"/>
      <c r="D10" s="9"/>
      <c r="E10" s="14"/>
      <c r="F10" s="22"/>
      <c r="G10" s="12">
        <v>1</v>
      </c>
      <c r="H10" s="1"/>
      <c r="I10" s="1"/>
      <c r="J10" s="1"/>
    </row>
    <row r="11" spans="1:11" ht="15" customHeight="1" x14ac:dyDescent="0.25">
      <c r="A11" s="17">
        <f t="shared" si="0"/>
        <v>5</v>
      </c>
      <c r="B11" s="14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 x14ac:dyDescent="0.25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 x14ac:dyDescent="0.25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 x14ac:dyDescent="0.25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 x14ac:dyDescent="0.25">
      <c r="A30" s="24"/>
      <c r="B30" s="25"/>
      <c r="C30" s="26"/>
      <c r="D30" s="27"/>
      <c r="E30" s="28"/>
      <c r="F30" s="29"/>
      <c r="G30" s="23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E32" s="44"/>
      <c r="F32" s="29"/>
      <c r="G32" s="23">
        <v>1</v>
      </c>
    </row>
    <row r="33" spans="1:7" ht="15" customHeight="1" x14ac:dyDescent="0.25">
      <c r="A33" s="24"/>
      <c r="B33" s="25"/>
      <c r="C33" s="26"/>
      <c r="D33" s="27"/>
      <c r="E33" s="28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26"/>
      <c r="D40" s="27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25"/>
      <c r="C42" s="26"/>
      <c r="D42" s="27"/>
      <c r="E42" s="28"/>
      <c r="F42" s="29"/>
      <c r="G42" s="23">
        <v>1</v>
      </c>
    </row>
    <row r="43" spans="1:7" ht="15" customHeight="1" x14ac:dyDescent="0.25">
      <c r="A43" s="24"/>
      <c r="B43" s="25"/>
      <c r="C43" s="30"/>
      <c r="D43" s="31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30"/>
      <c r="D48" s="31"/>
      <c r="E48" s="28"/>
      <c r="F48" s="29"/>
      <c r="G48" s="23">
        <v>1</v>
      </c>
    </row>
    <row r="49" spans="1:7" ht="15" customHeight="1" x14ac:dyDescent="0.25">
      <c r="A49" s="24"/>
      <c r="B49" s="25"/>
      <c r="C49" s="30"/>
      <c r="D49" s="31"/>
      <c r="E49" s="28"/>
      <c r="F49" s="29"/>
      <c r="G49" s="23">
        <v>1</v>
      </c>
    </row>
    <row r="50" spans="1:7" ht="15" customHeight="1" x14ac:dyDescent="0.25">
      <c r="A50" s="24"/>
      <c r="B50" s="25"/>
      <c r="C50" s="30"/>
      <c r="D50" s="31"/>
      <c r="E50" s="28"/>
      <c r="F50" s="29"/>
      <c r="G50" s="23">
        <v>1</v>
      </c>
    </row>
    <row r="51" spans="1:7" ht="15" customHeight="1" x14ac:dyDescent="0.25">
      <c r="A51" s="24"/>
      <c r="B51" s="25"/>
      <c r="C51" s="26"/>
      <c r="D51" s="27"/>
      <c r="E51" s="28"/>
      <c r="F51" s="29"/>
      <c r="G51" s="23">
        <v>1</v>
      </c>
    </row>
    <row r="52" spans="1:7" ht="15" customHeight="1" x14ac:dyDescent="0.25">
      <c r="A52" s="24"/>
      <c r="B52" s="32"/>
      <c r="C52" s="32"/>
      <c r="D52" s="27"/>
      <c r="E52" s="28"/>
      <c r="F52" s="29"/>
      <c r="G52" s="23">
        <v>1</v>
      </c>
    </row>
    <row r="53" spans="1:7" ht="15" customHeight="1" x14ac:dyDescent="0.25">
      <c r="A53" s="24"/>
      <c r="B53" s="32"/>
      <c r="C53" s="32"/>
      <c r="D53" s="33"/>
      <c r="E53" s="28"/>
      <c r="F53" s="29"/>
      <c r="G53" s="23">
        <v>1</v>
      </c>
    </row>
    <row r="54" spans="1:7" ht="15" customHeight="1" x14ac:dyDescent="0.25">
      <c r="A54" s="24"/>
      <c r="B54" s="32"/>
      <c r="C54" s="32"/>
      <c r="D54" s="33"/>
      <c r="E54" s="28"/>
      <c r="F54" s="29"/>
      <c r="G54" s="23">
        <v>1</v>
      </c>
    </row>
    <row r="55" spans="1:7" ht="15" customHeight="1" x14ac:dyDescent="0.25">
      <c r="A55" s="24"/>
      <c r="B55" s="32"/>
      <c r="C55" s="32"/>
      <c r="D55" s="33"/>
      <c r="E55" s="34"/>
      <c r="F55" s="35"/>
      <c r="G55" s="23">
        <v>1</v>
      </c>
    </row>
    <row r="56" spans="1:7" ht="15" customHeight="1" x14ac:dyDescent="0.25">
      <c r="A56" s="24"/>
      <c r="B56" s="32"/>
      <c r="C56" s="32"/>
      <c r="D56" s="33"/>
      <c r="E56" s="34"/>
      <c r="F56" s="35"/>
      <c r="G56" s="23">
        <v>1</v>
      </c>
    </row>
    <row r="57" spans="1:7" ht="15" customHeight="1" x14ac:dyDescent="0.25">
      <c r="A57" s="24"/>
      <c r="B57" s="32"/>
      <c r="C57" s="32"/>
      <c r="D57" s="32"/>
      <c r="E57" s="34"/>
      <c r="F57" s="35"/>
      <c r="G57" s="23">
        <v>1</v>
      </c>
    </row>
    <row r="58" spans="1:7" ht="15" customHeight="1" x14ac:dyDescent="0.25">
      <c r="A58" s="24"/>
      <c r="B58" s="25"/>
      <c r="C58" s="30"/>
      <c r="D58" s="31"/>
      <c r="E58" s="25"/>
      <c r="F58" s="36"/>
      <c r="G58" s="23">
        <v>1</v>
      </c>
    </row>
    <row r="59" spans="1:7" ht="15" customHeight="1" x14ac:dyDescent="0.25">
      <c r="A59" s="24"/>
      <c r="B59" s="37"/>
      <c r="C59" s="37"/>
      <c r="D59" s="38"/>
      <c r="E59" s="25"/>
      <c r="F59" s="36"/>
      <c r="G59" s="23">
        <v>1</v>
      </c>
    </row>
    <row r="60" spans="1:7" ht="15" customHeight="1" x14ac:dyDescent="0.25">
      <c r="A60" s="24"/>
      <c r="B60" s="39"/>
      <c r="C60" s="40"/>
      <c r="D60" s="41"/>
      <c r="E60" s="39"/>
      <c r="F60" s="42"/>
      <c r="G60" s="23">
        <v>1</v>
      </c>
    </row>
    <row r="61" spans="1:7" ht="15" customHeight="1" x14ac:dyDescent="0.25">
      <c r="A61" s="24"/>
      <c r="B61" s="37"/>
      <c r="C61" s="37"/>
      <c r="D61" s="38"/>
      <c r="E61" s="25"/>
      <c r="F61" s="43"/>
      <c r="G61" s="23">
        <v>1</v>
      </c>
    </row>
    <row r="62" spans="1:7" ht="15" customHeight="1" x14ac:dyDescent="0.25">
      <c r="A62" s="24"/>
      <c r="B62" s="37"/>
      <c r="C62" s="37"/>
      <c r="D62" s="38"/>
      <c r="E62" s="25"/>
      <c r="F62" s="36"/>
      <c r="G62" s="23">
        <v>1</v>
      </c>
    </row>
    <row r="63" spans="1:7" ht="15" customHeight="1" x14ac:dyDescent="0.25">
      <c r="A63" s="24"/>
      <c r="B63" s="32"/>
      <c r="C63" s="32"/>
      <c r="D63" s="33"/>
      <c r="E63" s="34"/>
      <c r="F63" s="35"/>
      <c r="G63" s="23">
        <v>1</v>
      </c>
    </row>
    <row r="64" spans="1:7" ht="15" customHeight="1" x14ac:dyDescent="0.25">
      <c r="A64" s="24"/>
      <c r="B64" s="32"/>
      <c r="C64" s="32"/>
      <c r="D64" s="33"/>
      <c r="E64" s="34"/>
      <c r="F64" s="35"/>
      <c r="G64" s="23">
        <v>1</v>
      </c>
    </row>
    <row r="65" spans="1:7" ht="15" customHeight="1" x14ac:dyDescent="0.25">
      <c r="A65" s="24"/>
      <c r="B65" s="32"/>
      <c r="C65" s="32"/>
      <c r="D65" s="33"/>
      <c r="E65" s="34"/>
      <c r="F65" s="35"/>
      <c r="G65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52" t="s">
        <v>0</v>
      </c>
      <c r="B1" s="52"/>
      <c r="C1" s="5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3" t="s">
        <v>2</v>
      </c>
      <c r="B2" s="53"/>
      <c r="C2" s="53"/>
      <c r="D2" s="6"/>
      <c r="E2" s="5" t="s">
        <v>3</v>
      </c>
      <c r="F2" s="5"/>
      <c r="G2" s="4"/>
      <c r="H2" s="4"/>
      <c r="I2" s="50" t="s">
        <v>4</v>
      </c>
      <c r="J2" s="51"/>
      <c r="K2" s="18">
        <f ca="1">SUMIF(F7:F133,"Elimination*",G7:G83)</f>
        <v>0</v>
      </c>
    </row>
    <row r="3" spans="1:11" x14ac:dyDescent="0.25">
      <c r="A3" s="54" t="s">
        <v>5</v>
      </c>
      <c r="B3" s="54"/>
      <c r="C3" s="54"/>
      <c r="D3" s="5"/>
      <c r="E3" s="5" t="s">
        <v>16</v>
      </c>
      <c r="F3" s="4"/>
      <c r="G3" s="4"/>
      <c r="H3" s="4"/>
      <c r="I3" s="50" t="s">
        <v>6</v>
      </c>
      <c r="J3" s="51"/>
      <c r="K3" s="18">
        <f ca="1">SUMIF(F7:F133,"NB*",G7:G83)</f>
        <v>0</v>
      </c>
    </row>
    <row r="4" spans="1:11" ht="18" x14ac:dyDescent="0.25">
      <c r="A4" s="52" t="s">
        <v>7</v>
      </c>
      <c r="B4" s="52"/>
      <c r="C4" s="52"/>
      <c r="D4" s="52"/>
      <c r="E4" s="52"/>
      <c r="F4" s="52"/>
      <c r="G4" s="4"/>
      <c r="H4" s="4"/>
      <c r="I4" s="50" t="s">
        <v>8</v>
      </c>
      <c r="J4" s="51"/>
      <c r="K4" s="18">
        <f ca="1">SUMIF(F7:F133,"Ve*",G7:G83)</f>
        <v>0</v>
      </c>
    </row>
    <row r="5" spans="1:11" ht="15.75" x14ac:dyDescent="0.25">
      <c r="A5" s="49" t="s">
        <v>19</v>
      </c>
      <c r="B5" s="49"/>
      <c r="C5" s="49"/>
      <c r="D5" s="49"/>
      <c r="E5" s="49"/>
      <c r="F5" s="49"/>
      <c r="G5" s="19"/>
      <c r="H5" s="19"/>
      <c r="I5" s="50" t="s">
        <v>9</v>
      </c>
      <c r="J5" s="51"/>
      <c r="K5" s="20">
        <f ca="1">SUM(K2:K4)</f>
        <v>0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/>
      <c r="C7" s="11"/>
      <c r="D7" s="9"/>
      <c r="E7" s="14"/>
      <c r="F7" s="22"/>
      <c r="G7" s="12">
        <v>1</v>
      </c>
      <c r="H7" s="13"/>
      <c r="I7" s="2"/>
      <c r="J7" s="2"/>
    </row>
    <row r="8" spans="1:11" ht="15" customHeight="1" x14ac:dyDescent="0.25">
      <c r="A8" s="17">
        <f>+A7+1</f>
        <v>2</v>
      </c>
      <c r="B8" s="14"/>
      <c r="C8" s="11"/>
      <c r="D8" s="9"/>
      <c r="E8" s="14"/>
      <c r="F8" s="22"/>
      <c r="G8" s="12">
        <v>1</v>
      </c>
      <c r="H8" s="13"/>
      <c r="I8" s="2"/>
      <c r="J8" s="2"/>
    </row>
    <row r="9" spans="1:11" ht="15" customHeight="1" x14ac:dyDescent="0.25">
      <c r="A9" s="17">
        <f t="shared" ref="A9:A29" si="0">+A8+1</f>
        <v>3</v>
      </c>
      <c r="B9" s="21"/>
      <c r="C9" s="11"/>
      <c r="D9" s="9"/>
      <c r="E9" s="14"/>
      <c r="F9" s="22"/>
      <c r="G9" s="12">
        <v>1</v>
      </c>
      <c r="H9" s="13"/>
      <c r="I9" s="2"/>
      <c r="J9" s="2"/>
    </row>
    <row r="10" spans="1:11" ht="15" customHeight="1" x14ac:dyDescent="0.25">
      <c r="A10" s="17">
        <f t="shared" si="0"/>
        <v>4</v>
      </c>
      <c r="B10" s="14"/>
      <c r="C10" s="11"/>
      <c r="D10" s="9"/>
      <c r="E10" s="14"/>
      <c r="F10" s="22"/>
      <c r="G10" s="12">
        <v>1</v>
      </c>
      <c r="H10" s="1"/>
      <c r="I10" s="1"/>
      <c r="J10" s="1"/>
    </row>
    <row r="11" spans="1:11" ht="15" customHeight="1" x14ac:dyDescent="0.25">
      <c r="A11" s="17">
        <f t="shared" si="0"/>
        <v>5</v>
      </c>
      <c r="B11" s="14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 x14ac:dyDescent="0.25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 x14ac:dyDescent="0.25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 x14ac:dyDescent="0.25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 x14ac:dyDescent="0.25">
      <c r="A30" s="24"/>
      <c r="B30" s="25"/>
      <c r="C30" s="26"/>
      <c r="D30" s="27"/>
      <c r="E30" s="28"/>
      <c r="F30" s="29"/>
      <c r="G30" s="23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E32" s="44"/>
      <c r="F32" s="29"/>
      <c r="G32" s="23">
        <v>1</v>
      </c>
    </row>
    <row r="33" spans="1:7" ht="15" customHeight="1" x14ac:dyDescent="0.25">
      <c r="A33" s="24"/>
      <c r="B33" s="25"/>
      <c r="C33" s="26"/>
      <c r="D33" s="27"/>
      <c r="E33" s="28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26"/>
      <c r="D40" s="27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25"/>
      <c r="C42" s="26"/>
      <c r="D42" s="27"/>
      <c r="E42" s="28"/>
      <c r="F42" s="29"/>
      <c r="G42" s="23">
        <v>1</v>
      </c>
    </row>
    <row r="43" spans="1:7" ht="15" customHeight="1" x14ac:dyDescent="0.25">
      <c r="A43" s="24"/>
      <c r="B43" s="25"/>
      <c r="C43" s="30"/>
      <c r="D43" s="31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30"/>
      <c r="D48" s="31"/>
      <c r="E48" s="28"/>
      <c r="F48" s="29"/>
      <c r="G48" s="23">
        <v>1</v>
      </c>
    </row>
    <row r="49" spans="1:7" ht="15" customHeight="1" x14ac:dyDescent="0.25">
      <c r="A49" s="24"/>
      <c r="B49" s="25"/>
      <c r="C49" s="30"/>
      <c r="D49" s="31"/>
      <c r="E49" s="28"/>
      <c r="F49" s="29"/>
      <c r="G49" s="23">
        <v>1</v>
      </c>
    </row>
    <row r="50" spans="1:7" ht="15" customHeight="1" x14ac:dyDescent="0.25">
      <c r="A50" s="24"/>
      <c r="B50" s="25"/>
      <c r="C50" s="30"/>
      <c r="D50" s="31"/>
      <c r="E50" s="28"/>
      <c r="F50" s="29"/>
      <c r="G50" s="23">
        <v>1</v>
      </c>
    </row>
    <row r="51" spans="1:7" ht="15" customHeight="1" x14ac:dyDescent="0.25">
      <c r="A51" s="24"/>
      <c r="B51" s="25"/>
      <c r="C51" s="26"/>
      <c r="D51" s="27"/>
      <c r="E51" s="28"/>
      <c r="F51" s="29"/>
      <c r="G51" s="23">
        <v>1</v>
      </c>
    </row>
    <row r="52" spans="1:7" ht="15" customHeight="1" x14ac:dyDescent="0.25">
      <c r="A52" s="24"/>
      <c r="B52" s="32"/>
      <c r="C52" s="32"/>
      <c r="D52" s="27"/>
      <c r="E52" s="28"/>
      <c r="F52" s="29"/>
      <c r="G52" s="23">
        <v>1</v>
      </c>
    </row>
    <row r="53" spans="1:7" ht="15" customHeight="1" x14ac:dyDescent="0.25">
      <c r="A53" s="24"/>
      <c r="B53" s="32"/>
      <c r="C53" s="32"/>
      <c r="D53" s="33"/>
      <c r="E53" s="28"/>
      <c r="F53" s="29"/>
      <c r="G53" s="23">
        <v>1</v>
      </c>
    </row>
    <row r="54" spans="1:7" ht="15" customHeight="1" x14ac:dyDescent="0.25">
      <c r="A54" s="24"/>
      <c r="B54" s="32"/>
      <c r="C54" s="32"/>
      <c r="D54" s="33"/>
      <c r="E54" s="28"/>
      <c r="F54" s="29"/>
      <c r="G54" s="23">
        <v>1</v>
      </c>
    </row>
    <row r="55" spans="1:7" ht="15" customHeight="1" x14ac:dyDescent="0.25">
      <c r="A55" s="24"/>
      <c r="B55" s="32"/>
      <c r="C55" s="32"/>
      <c r="D55" s="33"/>
      <c r="E55" s="34"/>
      <c r="F55" s="35"/>
      <c r="G55" s="23">
        <v>1</v>
      </c>
    </row>
    <row r="56" spans="1:7" ht="15" customHeight="1" x14ac:dyDescent="0.25">
      <c r="A56" s="24"/>
      <c r="B56" s="32"/>
      <c r="C56" s="32"/>
      <c r="D56" s="33"/>
      <c r="E56" s="34"/>
      <c r="F56" s="35"/>
      <c r="G56" s="23">
        <v>1</v>
      </c>
    </row>
    <row r="57" spans="1:7" ht="15" customHeight="1" x14ac:dyDescent="0.25">
      <c r="A57" s="24"/>
      <c r="B57" s="32"/>
      <c r="C57" s="32"/>
      <c r="D57" s="32"/>
      <c r="E57" s="34"/>
      <c r="F57" s="35"/>
      <c r="G57" s="23">
        <v>1</v>
      </c>
    </row>
    <row r="58" spans="1:7" ht="15" customHeight="1" x14ac:dyDescent="0.25">
      <c r="A58" s="24"/>
      <c r="B58" s="25"/>
      <c r="C58" s="30"/>
      <c r="D58" s="31"/>
      <c r="E58" s="25"/>
      <c r="F58" s="36"/>
      <c r="G58" s="23">
        <v>1</v>
      </c>
    </row>
    <row r="59" spans="1:7" ht="15" customHeight="1" x14ac:dyDescent="0.25">
      <c r="A59" s="24"/>
      <c r="B59" s="37"/>
      <c r="C59" s="37"/>
      <c r="D59" s="38"/>
      <c r="E59" s="25"/>
      <c r="F59" s="36"/>
      <c r="G59" s="23">
        <v>1</v>
      </c>
    </row>
    <row r="60" spans="1:7" ht="15" customHeight="1" x14ac:dyDescent="0.25">
      <c r="A60" s="24"/>
      <c r="B60" s="39"/>
      <c r="C60" s="40"/>
      <c r="D60" s="41"/>
      <c r="E60" s="39"/>
      <c r="F60" s="42"/>
      <c r="G60" s="23">
        <v>1</v>
      </c>
    </row>
    <row r="61" spans="1:7" ht="15" customHeight="1" x14ac:dyDescent="0.25">
      <c r="A61" s="24"/>
      <c r="B61" s="37"/>
      <c r="C61" s="37"/>
      <c r="D61" s="38"/>
      <c r="E61" s="25"/>
      <c r="F61" s="43"/>
      <c r="G61" s="23">
        <v>1</v>
      </c>
    </row>
    <row r="62" spans="1:7" ht="15" customHeight="1" x14ac:dyDescent="0.25">
      <c r="A62" s="24"/>
      <c r="B62" s="37"/>
      <c r="C62" s="37"/>
      <c r="D62" s="38"/>
      <c r="E62" s="25"/>
      <c r="F62" s="36"/>
      <c r="G62" s="23">
        <v>1</v>
      </c>
    </row>
    <row r="63" spans="1:7" ht="15" customHeight="1" x14ac:dyDescent="0.25">
      <c r="A63" s="24"/>
      <c r="B63" s="32"/>
      <c r="C63" s="32"/>
      <c r="D63" s="33"/>
      <c r="E63" s="34"/>
      <c r="F63" s="35"/>
      <c r="G63" s="23">
        <v>1</v>
      </c>
    </row>
    <row r="64" spans="1:7" ht="15" customHeight="1" x14ac:dyDescent="0.25">
      <c r="A64" s="24"/>
      <c r="B64" s="32"/>
      <c r="C64" s="32"/>
      <c r="D64" s="33"/>
      <c r="E64" s="34"/>
      <c r="F64" s="35"/>
      <c r="G64" s="23">
        <v>1</v>
      </c>
    </row>
    <row r="65" spans="1:7" ht="15" customHeight="1" x14ac:dyDescent="0.25">
      <c r="A65" s="24"/>
      <c r="B65" s="32"/>
      <c r="C65" s="32"/>
      <c r="D65" s="33"/>
      <c r="E65" s="34"/>
      <c r="F65" s="35"/>
      <c r="G65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workbookViewId="0">
      <selection activeCell="A5" sqref="A5:F5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52" t="s">
        <v>0</v>
      </c>
      <c r="B1" s="52"/>
      <c r="C1" s="5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3" t="s">
        <v>2</v>
      </c>
      <c r="B2" s="53"/>
      <c r="C2" s="53"/>
      <c r="D2" s="6"/>
      <c r="E2" s="5" t="s">
        <v>3</v>
      </c>
      <c r="F2" s="5"/>
      <c r="G2" s="4"/>
      <c r="H2" s="4"/>
      <c r="I2" s="50" t="s">
        <v>4</v>
      </c>
      <c r="J2" s="51"/>
      <c r="K2" s="18">
        <f ca="1">SUMIF(F7:F133,"Elimination*",G7:G83)</f>
        <v>0</v>
      </c>
    </row>
    <row r="3" spans="1:11" x14ac:dyDescent="0.25">
      <c r="A3" s="54" t="s">
        <v>5</v>
      </c>
      <c r="B3" s="54"/>
      <c r="C3" s="54"/>
      <c r="D3" s="5"/>
      <c r="E3" s="5" t="s">
        <v>16</v>
      </c>
      <c r="F3" s="4"/>
      <c r="G3" s="4"/>
      <c r="H3" s="4"/>
      <c r="I3" s="50" t="s">
        <v>6</v>
      </c>
      <c r="J3" s="51"/>
      <c r="K3" s="18">
        <f ca="1">SUMIF(F7:F133,"NB*",G7:G83)</f>
        <v>0</v>
      </c>
    </row>
    <row r="4" spans="1:11" ht="18" x14ac:dyDescent="0.25">
      <c r="A4" s="52" t="s">
        <v>7</v>
      </c>
      <c r="B4" s="52"/>
      <c r="C4" s="52"/>
      <c r="D4" s="52"/>
      <c r="E4" s="52"/>
      <c r="F4" s="52"/>
      <c r="G4" s="4"/>
      <c r="H4" s="4"/>
      <c r="I4" s="50" t="s">
        <v>8</v>
      </c>
      <c r="J4" s="51"/>
      <c r="K4" s="18">
        <f ca="1">SUMIF(F7:F133,"Ve*",G7:G83)</f>
        <v>0</v>
      </c>
    </row>
    <row r="5" spans="1:11" ht="15.75" x14ac:dyDescent="0.25">
      <c r="A5" s="49" t="s">
        <v>20</v>
      </c>
      <c r="B5" s="49"/>
      <c r="C5" s="49"/>
      <c r="D5" s="49"/>
      <c r="E5" s="49"/>
      <c r="F5" s="49"/>
      <c r="G5" s="19"/>
      <c r="H5" s="19"/>
      <c r="I5" s="50" t="s">
        <v>9</v>
      </c>
      <c r="J5" s="51"/>
      <c r="K5" s="20">
        <f ca="1">SUM(K2:K4)</f>
        <v>0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/>
      <c r="C7" s="11"/>
      <c r="D7" s="9"/>
      <c r="E7" s="14"/>
      <c r="F7" s="22"/>
      <c r="G7" s="12">
        <v>1</v>
      </c>
      <c r="H7" s="13"/>
      <c r="I7" s="2"/>
      <c r="J7" s="2"/>
    </row>
    <row r="8" spans="1:11" ht="15" customHeight="1" x14ac:dyDescent="0.25">
      <c r="A8" s="17">
        <f>+A7+1</f>
        <v>2</v>
      </c>
      <c r="B8" s="14"/>
      <c r="C8" s="11"/>
      <c r="D8" s="9"/>
      <c r="E8" s="14"/>
      <c r="F8" s="22"/>
      <c r="G8" s="12">
        <v>1</v>
      </c>
      <c r="H8" s="13"/>
      <c r="I8" s="2"/>
      <c r="J8" s="2"/>
    </row>
    <row r="9" spans="1:11" ht="15" customHeight="1" x14ac:dyDescent="0.25">
      <c r="A9" s="17">
        <f t="shared" ref="A9:A29" si="0">+A8+1</f>
        <v>3</v>
      </c>
      <c r="B9" s="21"/>
      <c r="C9" s="11"/>
      <c r="D9" s="9"/>
      <c r="E9" s="14"/>
      <c r="F9" s="22"/>
      <c r="G9" s="12">
        <v>1</v>
      </c>
      <c r="H9" s="13"/>
      <c r="I9" s="2"/>
      <c r="J9" s="2"/>
    </row>
    <row r="10" spans="1:11" ht="15" customHeight="1" x14ac:dyDescent="0.25">
      <c r="A10" s="17">
        <f t="shared" si="0"/>
        <v>4</v>
      </c>
      <c r="B10" s="14"/>
      <c r="C10" s="11"/>
      <c r="D10" s="9"/>
      <c r="E10" s="14"/>
      <c r="F10" s="22"/>
      <c r="G10" s="12">
        <v>1</v>
      </c>
      <c r="H10" s="1"/>
      <c r="I10" s="1"/>
      <c r="J10" s="1"/>
    </row>
    <row r="11" spans="1:11" ht="15" customHeight="1" x14ac:dyDescent="0.25">
      <c r="A11" s="17">
        <f t="shared" si="0"/>
        <v>5</v>
      </c>
      <c r="B11" s="14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 x14ac:dyDescent="0.25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 x14ac:dyDescent="0.25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 x14ac:dyDescent="0.25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 x14ac:dyDescent="0.25">
      <c r="A30" s="24"/>
      <c r="B30" s="25"/>
      <c r="C30" s="26"/>
      <c r="D30" s="27"/>
      <c r="E30" s="28"/>
      <c r="F30" s="29"/>
      <c r="G30" s="23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E32" s="44"/>
      <c r="F32" s="29"/>
      <c r="G32" s="23">
        <v>1</v>
      </c>
    </row>
    <row r="33" spans="1:7" ht="15" customHeight="1" x14ac:dyDescent="0.25">
      <c r="A33" s="24"/>
      <c r="B33" s="25"/>
      <c r="C33" s="26"/>
      <c r="D33" s="27"/>
      <c r="E33" s="28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26"/>
      <c r="D40" s="27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25"/>
      <c r="C42" s="26"/>
      <c r="D42" s="27"/>
      <c r="E42" s="28"/>
      <c r="F42" s="29"/>
      <c r="G42" s="23">
        <v>1</v>
      </c>
    </row>
    <row r="43" spans="1:7" ht="15" customHeight="1" x14ac:dyDescent="0.25">
      <c r="A43" s="24"/>
      <c r="B43" s="25"/>
      <c r="C43" s="30"/>
      <c r="D43" s="31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30"/>
      <c r="D48" s="31"/>
      <c r="E48" s="28"/>
      <c r="F48" s="29"/>
      <c r="G48" s="23">
        <v>1</v>
      </c>
    </row>
    <row r="49" spans="1:7" ht="15" customHeight="1" x14ac:dyDescent="0.25">
      <c r="A49" s="24"/>
      <c r="B49" s="25"/>
      <c r="C49" s="30"/>
      <c r="D49" s="31"/>
      <c r="E49" s="28"/>
      <c r="F49" s="29"/>
      <c r="G49" s="23">
        <v>1</v>
      </c>
    </row>
    <row r="50" spans="1:7" ht="15" customHeight="1" x14ac:dyDescent="0.25">
      <c r="A50" s="24"/>
      <c r="B50" s="25"/>
      <c r="C50" s="30"/>
      <c r="D50" s="31"/>
      <c r="E50" s="28"/>
      <c r="F50" s="29"/>
      <c r="G50" s="23">
        <v>1</v>
      </c>
    </row>
    <row r="51" spans="1:7" ht="15" customHeight="1" x14ac:dyDescent="0.25">
      <c r="A51" s="24"/>
      <c r="B51" s="25"/>
      <c r="C51" s="26"/>
      <c r="D51" s="27"/>
      <c r="E51" s="28"/>
      <c r="F51" s="29"/>
      <c r="G51" s="23">
        <v>1</v>
      </c>
    </row>
    <row r="52" spans="1:7" ht="15" customHeight="1" x14ac:dyDescent="0.25">
      <c r="A52" s="24"/>
      <c r="B52" s="32"/>
      <c r="C52" s="32"/>
      <c r="D52" s="27"/>
      <c r="E52" s="28"/>
      <c r="F52" s="29"/>
      <c r="G52" s="23">
        <v>1</v>
      </c>
    </row>
    <row r="53" spans="1:7" ht="15" customHeight="1" x14ac:dyDescent="0.25">
      <c r="A53" s="24"/>
      <c r="B53" s="32"/>
      <c r="C53" s="32"/>
      <c r="D53" s="33"/>
      <c r="E53" s="28"/>
      <c r="F53" s="29"/>
      <c r="G53" s="23">
        <v>1</v>
      </c>
    </row>
    <row r="54" spans="1:7" ht="15" customHeight="1" x14ac:dyDescent="0.25">
      <c r="A54" s="24"/>
      <c r="B54" s="32"/>
      <c r="C54" s="32"/>
      <c r="D54" s="33"/>
      <c r="E54" s="28"/>
      <c r="F54" s="29"/>
      <c r="G54" s="23">
        <v>1</v>
      </c>
    </row>
    <row r="55" spans="1:7" ht="15" customHeight="1" x14ac:dyDescent="0.25">
      <c r="A55" s="24"/>
      <c r="B55" s="32"/>
      <c r="C55" s="32"/>
      <c r="D55" s="33"/>
      <c r="E55" s="34"/>
      <c r="F55" s="35"/>
      <c r="G55" s="23">
        <v>1</v>
      </c>
    </row>
    <row r="56" spans="1:7" ht="15" customHeight="1" x14ac:dyDescent="0.25">
      <c r="A56" s="24"/>
      <c r="B56" s="32"/>
      <c r="C56" s="32"/>
      <c r="D56" s="33"/>
      <c r="E56" s="34"/>
      <c r="F56" s="35"/>
      <c r="G56" s="23">
        <v>1</v>
      </c>
    </row>
    <row r="57" spans="1:7" ht="15" customHeight="1" x14ac:dyDescent="0.25">
      <c r="A57" s="24"/>
      <c r="B57" s="32"/>
      <c r="C57" s="32"/>
      <c r="D57" s="32"/>
      <c r="E57" s="34"/>
      <c r="F57" s="35"/>
      <c r="G57" s="23">
        <v>1</v>
      </c>
    </row>
    <row r="58" spans="1:7" ht="15" customHeight="1" x14ac:dyDescent="0.25">
      <c r="A58" s="24"/>
      <c r="B58" s="25"/>
      <c r="C58" s="30"/>
      <c r="D58" s="31"/>
      <c r="E58" s="25"/>
      <c r="F58" s="36"/>
      <c r="G58" s="23">
        <v>1</v>
      </c>
    </row>
    <row r="59" spans="1:7" ht="15" customHeight="1" x14ac:dyDescent="0.25">
      <c r="A59" s="24"/>
      <c r="B59" s="37"/>
      <c r="C59" s="37"/>
      <c r="D59" s="38"/>
      <c r="E59" s="25"/>
      <c r="F59" s="36"/>
      <c r="G59" s="23">
        <v>1</v>
      </c>
    </row>
    <row r="60" spans="1:7" ht="15" customHeight="1" x14ac:dyDescent="0.25">
      <c r="A60" s="24"/>
      <c r="B60" s="39"/>
      <c r="C60" s="40"/>
      <c r="D60" s="41"/>
      <c r="E60" s="39"/>
      <c r="F60" s="42"/>
      <c r="G60" s="23">
        <v>1</v>
      </c>
    </row>
    <row r="61" spans="1:7" ht="15" customHeight="1" x14ac:dyDescent="0.25">
      <c r="A61" s="24"/>
      <c r="B61" s="37"/>
      <c r="C61" s="37"/>
      <c r="D61" s="38"/>
      <c r="E61" s="25"/>
      <c r="F61" s="43"/>
      <c r="G61" s="23">
        <v>1</v>
      </c>
    </row>
    <row r="62" spans="1:7" ht="15" customHeight="1" x14ac:dyDescent="0.25">
      <c r="A62" s="24"/>
      <c r="B62" s="37"/>
      <c r="C62" s="37"/>
      <c r="D62" s="38"/>
      <c r="E62" s="25"/>
      <c r="F62" s="36"/>
      <c r="G62" s="23">
        <v>1</v>
      </c>
    </row>
    <row r="63" spans="1:7" ht="15" customHeight="1" x14ac:dyDescent="0.25">
      <c r="A63" s="24"/>
      <c r="B63" s="32"/>
      <c r="C63" s="32"/>
      <c r="D63" s="33"/>
      <c r="E63" s="34"/>
      <c r="F63" s="35"/>
      <c r="G63" s="23">
        <v>1</v>
      </c>
    </row>
    <row r="64" spans="1:7" ht="15" customHeight="1" x14ac:dyDescent="0.25">
      <c r="A64" s="24"/>
      <c r="B64" s="32"/>
      <c r="C64" s="32"/>
      <c r="D64" s="33"/>
      <c r="E64" s="34"/>
      <c r="F64" s="35"/>
      <c r="G64" s="23">
        <v>1</v>
      </c>
    </row>
    <row r="65" spans="1:7" ht="15" customHeight="1" x14ac:dyDescent="0.25">
      <c r="A65" s="24"/>
      <c r="B65" s="32"/>
      <c r="C65" s="32"/>
      <c r="D65" s="33"/>
      <c r="E65" s="34"/>
      <c r="F65" s="35"/>
      <c r="G65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workbookViewId="0">
      <selection activeCell="F29" sqref="A1:F29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52" t="s">
        <v>0</v>
      </c>
      <c r="B1" s="52"/>
      <c r="C1" s="5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3" t="s">
        <v>2</v>
      </c>
      <c r="B2" s="53"/>
      <c r="C2" s="53"/>
      <c r="D2" s="6"/>
      <c r="E2" s="5" t="s">
        <v>3</v>
      </c>
      <c r="F2" s="5"/>
      <c r="G2" s="4"/>
      <c r="H2" s="4"/>
      <c r="I2" s="50" t="s">
        <v>4</v>
      </c>
      <c r="J2" s="51"/>
      <c r="K2" s="18">
        <f ca="1">SUMIF(F7:F133,"Elimination*",G7:G83)</f>
        <v>0</v>
      </c>
    </row>
    <row r="3" spans="1:11" x14ac:dyDescent="0.25">
      <c r="A3" s="54" t="s">
        <v>5</v>
      </c>
      <c r="B3" s="54"/>
      <c r="C3" s="54"/>
      <c r="D3" s="5"/>
      <c r="E3" s="5" t="s">
        <v>16</v>
      </c>
      <c r="F3" s="4"/>
      <c r="G3" s="4"/>
      <c r="H3" s="4"/>
      <c r="I3" s="50" t="s">
        <v>6</v>
      </c>
      <c r="J3" s="51"/>
      <c r="K3" s="18">
        <f ca="1">SUMIF(F7:F133,"NB*",G7:G83)</f>
        <v>0</v>
      </c>
    </row>
    <row r="4" spans="1:11" ht="18" x14ac:dyDescent="0.25">
      <c r="A4" s="52" t="s">
        <v>7</v>
      </c>
      <c r="B4" s="52"/>
      <c r="C4" s="52"/>
      <c r="D4" s="52"/>
      <c r="E4" s="52"/>
      <c r="F4" s="52"/>
      <c r="G4" s="4"/>
      <c r="H4" s="4"/>
      <c r="I4" s="50" t="s">
        <v>8</v>
      </c>
      <c r="J4" s="51"/>
      <c r="K4" s="18">
        <f ca="1">SUMIF(F7:F133,"Ve*",G7:G83)</f>
        <v>0</v>
      </c>
    </row>
    <row r="5" spans="1:11" ht="15.75" x14ac:dyDescent="0.25">
      <c r="A5" s="49" t="s">
        <v>21</v>
      </c>
      <c r="B5" s="49"/>
      <c r="C5" s="49"/>
      <c r="D5" s="49"/>
      <c r="E5" s="49"/>
      <c r="F5" s="49"/>
      <c r="G5" s="19"/>
      <c r="H5" s="19"/>
      <c r="I5" s="50" t="s">
        <v>9</v>
      </c>
      <c r="J5" s="51"/>
      <c r="K5" s="20">
        <f ca="1">SUM(K2:K4)</f>
        <v>0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/>
      <c r="C7" s="11"/>
      <c r="D7" s="9"/>
      <c r="E7" s="14"/>
      <c r="F7" s="22"/>
      <c r="G7" s="12">
        <v>1</v>
      </c>
      <c r="H7" s="13"/>
      <c r="I7" s="2"/>
      <c r="J7" s="2"/>
    </row>
    <row r="8" spans="1:11" ht="15" customHeight="1" x14ac:dyDescent="0.25">
      <c r="A8" s="17">
        <f>+A7+1</f>
        <v>2</v>
      </c>
      <c r="B8" s="14"/>
      <c r="C8" s="11"/>
      <c r="D8" s="9"/>
      <c r="E8" s="14"/>
      <c r="F8" s="22"/>
      <c r="G8" s="12">
        <v>1</v>
      </c>
      <c r="H8" s="13"/>
      <c r="I8" s="2"/>
      <c r="J8" s="2"/>
    </row>
    <row r="9" spans="1:11" ht="15" customHeight="1" x14ac:dyDescent="0.25">
      <c r="A9" s="17">
        <f t="shared" ref="A9:A29" si="0">+A8+1</f>
        <v>3</v>
      </c>
      <c r="B9" s="21"/>
      <c r="C9" s="11"/>
      <c r="D9" s="9"/>
      <c r="E9" s="14"/>
      <c r="F9" s="22"/>
      <c r="G9" s="12">
        <v>1</v>
      </c>
      <c r="H9" s="13"/>
      <c r="I9" s="2"/>
      <c r="J9" s="2"/>
    </row>
    <row r="10" spans="1:11" ht="15" customHeight="1" x14ac:dyDescent="0.25">
      <c r="A10" s="17">
        <f t="shared" si="0"/>
        <v>4</v>
      </c>
      <c r="B10" s="14"/>
      <c r="C10" s="11"/>
      <c r="D10" s="9"/>
      <c r="E10" s="14"/>
      <c r="F10" s="22"/>
      <c r="G10" s="12">
        <v>1</v>
      </c>
      <c r="H10" s="1"/>
      <c r="I10" s="1"/>
      <c r="J10" s="1"/>
    </row>
    <row r="11" spans="1:11" ht="15" customHeight="1" x14ac:dyDescent="0.25">
      <c r="A11" s="17">
        <f t="shared" si="0"/>
        <v>5</v>
      </c>
      <c r="B11" s="14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 x14ac:dyDescent="0.25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 x14ac:dyDescent="0.25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 x14ac:dyDescent="0.25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 x14ac:dyDescent="0.25">
      <c r="A30" s="24"/>
      <c r="B30" s="25"/>
      <c r="C30" s="26"/>
      <c r="D30" s="27"/>
      <c r="E30" s="28"/>
      <c r="F30" s="29"/>
      <c r="G30" s="23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E32" s="44"/>
      <c r="F32" s="29"/>
      <c r="G32" s="23">
        <v>1</v>
      </c>
    </row>
    <row r="33" spans="1:7" ht="15" customHeight="1" x14ac:dyDescent="0.25">
      <c r="A33" s="24"/>
      <c r="B33" s="25"/>
      <c r="C33" s="26"/>
      <c r="D33" s="27"/>
      <c r="E33" s="28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26"/>
      <c r="D40" s="27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25"/>
      <c r="C42" s="26"/>
      <c r="D42" s="27"/>
      <c r="E42" s="28"/>
      <c r="F42" s="29"/>
      <c r="G42" s="23">
        <v>1</v>
      </c>
    </row>
    <row r="43" spans="1:7" ht="15" customHeight="1" x14ac:dyDescent="0.25">
      <c r="A43" s="24"/>
      <c r="B43" s="25"/>
      <c r="C43" s="30"/>
      <c r="D43" s="31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30"/>
      <c r="D48" s="31"/>
      <c r="E48" s="28"/>
      <c r="F48" s="29"/>
      <c r="G48" s="23">
        <v>1</v>
      </c>
    </row>
    <row r="49" spans="1:7" ht="15" customHeight="1" x14ac:dyDescent="0.25">
      <c r="A49" s="24"/>
      <c r="B49" s="25"/>
      <c r="C49" s="30"/>
      <c r="D49" s="31"/>
      <c r="E49" s="28"/>
      <c r="F49" s="29"/>
      <c r="G49" s="23">
        <v>1</v>
      </c>
    </row>
    <row r="50" spans="1:7" ht="15" customHeight="1" x14ac:dyDescent="0.25">
      <c r="A50" s="24"/>
      <c r="B50" s="25"/>
      <c r="C50" s="30"/>
      <c r="D50" s="31"/>
      <c r="E50" s="28"/>
      <c r="F50" s="29"/>
      <c r="G50" s="23">
        <v>1</v>
      </c>
    </row>
    <row r="51" spans="1:7" ht="15" customHeight="1" x14ac:dyDescent="0.25">
      <c r="A51" s="24"/>
      <c r="B51" s="25"/>
      <c r="C51" s="26"/>
      <c r="D51" s="27"/>
      <c r="E51" s="28"/>
      <c r="F51" s="29"/>
      <c r="G51" s="23">
        <v>1</v>
      </c>
    </row>
    <row r="52" spans="1:7" ht="15" customHeight="1" x14ac:dyDescent="0.25">
      <c r="A52" s="24"/>
      <c r="B52" s="32"/>
      <c r="C52" s="32"/>
      <c r="D52" s="27"/>
      <c r="E52" s="28"/>
      <c r="F52" s="29"/>
      <c r="G52" s="23">
        <v>1</v>
      </c>
    </row>
    <row r="53" spans="1:7" ht="15" customHeight="1" x14ac:dyDescent="0.25">
      <c r="A53" s="24"/>
      <c r="B53" s="32"/>
      <c r="C53" s="32"/>
      <c r="D53" s="33"/>
      <c r="E53" s="28"/>
      <c r="F53" s="29"/>
      <c r="G53" s="23">
        <v>1</v>
      </c>
    </row>
    <row r="54" spans="1:7" ht="15" customHeight="1" x14ac:dyDescent="0.25">
      <c r="A54" s="24"/>
      <c r="B54" s="32"/>
      <c r="C54" s="32"/>
      <c r="D54" s="33"/>
      <c r="E54" s="28"/>
      <c r="F54" s="29"/>
      <c r="G54" s="23">
        <v>1</v>
      </c>
    </row>
    <row r="55" spans="1:7" ht="15" customHeight="1" x14ac:dyDescent="0.25">
      <c r="A55" s="24"/>
      <c r="B55" s="32"/>
      <c r="C55" s="32"/>
      <c r="D55" s="33"/>
      <c r="E55" s="34"/>
      <c r="F55" s="35"/>
      <c r="G55" s="23">
        <v>1</v>
      </c>
    </row>
    <row r="56" spans="1:7" ht="15" customHeight="1" x14ac:dyDescent="0.25">
      <c r="A56" s="24"/>
      <c r="B56" s="32"/>
      <c r="C56" s="32"/>
      <c r="D56" s="33"/>
      <c r="E56" s="34"/>
      <c r="F56" s="35"/>
      <c r="G56" s="23">
        <v>1</v>
      </c>
    </row>
    <row r="57" spans="1:7" ht="15" customHeight="1" x14ac:dyDescent="0.25">
      <c r="A57" s="24"/>
      <c r="B57" s="32"/>
      <c r="C57" s="32"/>
      <c r="D57" s="32"/>
      <c r="E57" s="34"/>
      <c r="F57" s="35"/>
      <c r="G57" s="23">
        <v>1</v>
      </c>
    </row>
    <row r="58" spans="1:7" ht="15" customHeight="1" x14ac:dyDescent="0.25">
      <c r="A58" s="24"/>
      <c r="B58" s="25"/>
      <c r="C58" s="30"/>
      <c r="D58" s="31"/>
      <c r="E58" s="25"/>
      <c r="F58" s="36"/>
      <c r="G58" s="23">
        <v>1</v>
      </c>
    </row>
    <row r="59" spans="1:7" ht="15" customHeight="1" x14ac:dyDescent="0.25">
      <c r="A59" s="24"/>
      <c r="B59" s="37"/>
      <c r="C59" s="37"/>
      <c r="D59" s="38"/>
      <c r="E59" s="25"/>
      <c r="F59" s="36"/>
      <c r="G59" s="23">
        <v>1</v>
      </c>
    </row>
    <row r="60" spans="1:7" ht="15" customHeight="1" x14ac:dyDescent="0.25">
      <c r="A60" s="24"/>
      <c r="B60" s="39"/>
      <c r="C60" s="40"/>
      <c r="D60" s="41"/>
      <c r="E60" s="39"/>
      <c r="F60" s="42"/>
      <c r="G60" s="23">
        <v>1</v>
      </c>
    </row>
    <row r="61" spans="1:7" ht="15" customHeight="1" x14ac:dyDescent="0.25">
      <c r="A61" s="24"/>
      <c r="B61" s="37"/>
      <c r="C61" s="37"/>
      <c r="D61" s="38"/>
      <c r="E61" s="25"/>
      <c r="F61" s="43"/>
      <c r="G61" s="23">
        <v>1</v>
      </c>
    </row>
    <row r="62" spans="1:7" ht="15" customHeight="1" x14ac:dyDescent="0.25">
      <c r="A62" s="24"/>
      <c r="B62" s="37"/>
      <c r="C62" s="37"/>
      <c r="D62" s="38"/>
      <c r="E62" s="25"/>
      <c r="F62" s="36"/>
      <c r="G62" s="23">
        <v>1</v>
      </c>
    </row>
    <row r="63" spans="1:7" ht="15" customHeight="1" x14ac:dyDescent="0.25">
      <c r="A63" s="24"/>
      <c r="B63" s="32"/>
      <c r="C63" s="32"/>
      <c r="D63" s="33"/>
      <c r="E63" s="34"/>
      <c r="F63" s="35"/>
      <c r="G63" s="23">
        <v>1</v>
      </c>
    </row>
    <row r="64" spans="1:7" ht="15" customHeight="1" x14ac:dyDescent="0.25">
      <c r="A64" s="24"/>
      <c r="B64" s="32"/>
      <c r="C64" s="32"/>
      <c r="D64" s="33"/>
      <c r="E64" s="34"/>
      <c r="F64" s="35"/>
      <c r="G64" s="23">
        <v>1</v>
      </c>
    </row>
    <row r="65" spans="1:7" ht="15" customHeight="1" x14ac:dyDescent="0.25">
      <c r="A65" s="24"/>
      <c r="B65" s="32"/>
      <c r="C65" s="32"/>
      <c r="D65" s="33"/>
      <c r="E65" s="34"/>
      <c r="F65" s="35"/>
      <c r="G65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opLeftCell="A16" workbookViewId="0">
      <selection activeCell="H12" sqref="H12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52" t="s">
        <v>0</v>
      </c>
      <c r="B1" s="52"/>
      <c r="C1" s="5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3" t="s">
        <v>2</v>
      </c>
      <c r="B2" s="53"/>
      <c r="C2" s="53"/>
      <c r="D2" s="6"/>
      <c r="E2" s="5" t="s">
        <v>3</v>
      </c>
      <c r="F2" s="5"/>
      <c r="G2" s="4"/>
      <c r="H2" s="4"/>
      <c r="I2" s="50" t="s">
        <v>4</v>
      </c>
      <c r="J2" s="51"/>
      <c r="K2" s="18">
        <f ca="1">SUMIF(F7:F133,"Elimination*",G7:G83)</f>
        <v>0</v>
      </c>
    </row>
    <row r="3" spans="1:11" x14ac:dyDescent="0.25">
      <c r="A3" s="54" t="s">
        <v>5</v>
      </c>
      <c r="B3" s="54"/>
      <c r="C3" s="54"/>
      <c r="D3" s="5"/>
      <c r="E3" s="5" t="s">
        <v>16</v>
      </c>
      <c r="F3" s="4"/>
      <c r="G3" s="4"/>
      <c r="H3" s="4"/>
      <c r="I3" s="50" t="s">
        <v>6</v>
      </c>
      <c r="J3" s="51"/>
      <c r="K3" s="18">
        <f ca="1">SUMIF(F7:F133,"NB*",G7:G83)</f>
        <v>0</v>
      </c>
    </row>
    <row r="4" spans="1:11" ht="18" x14ac:dyDescent="0.25">
      <c r="A4" s="52" t="s">
        <v>7</v>
      </c>
      <c r="B4" s="52"/>
      <c r="C4" s="52"/>
      <c r="D4" s="52"/>
      <c r="E4" s="52"/>
      <c r="F4" s="52"/>
      <c r="G4" s="4"/>
      <c r="H4" s="4"/>
      <c r="I4" s="50" t="s">
        <v>8</v>
      </c>
      <c r="J4" s="51"/>
      <c r="K4" s="18">
        <f ca="1">SUMIF(F7:F133,"Ve*",G7:G83)</f>
        <v>0</v>
      </c>
    </row>
    <row r="5" spans="1:11" ht="15.75" x14ac:dyDescent="0.25">
      <c r="A5" s="49" t="s">
        <v>22</v>
      </c>
      <c r="B5" s="49"/>
      <c r="C5" s="49"/>
      <c r="D5" s="49"/>
      <c r="E5" s="49"/>
      <c r="F5" s="49"/>
      <c r="G5" s="19"/>
      <c r="H5" s="19"/>
      <c r="I5" s="50" t="s">
        <v>9</v>
      </c>
      <c r="J5" s="51"/>
      <c r="K5" s="20">
        <f ca="1">SUM(K2:K4)</f>
        <v>0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/>
      <c r="C7" s="11"/>
      <c r="D7" s="9"/>
      <c r="E7" s="14"/>
      <c r="F7" s="22"/>
      <c r="G7" s="12">
        <v>1</v>
      </c>
      <c r="H7" s="13"/>
      <c r="I7" s="2"/>
      <c r="J7" s="2"/>
    </row>
    <row r="8" spans="1:11" ht="15" customHeight="1" x14ac:dyDescent="0.25">
      <c r="A8" s="17">
        <f>+A7+1</f>
        <v>2</v>
      </c>
      <c r="B8" s="14"/>
      <c r="C8" s="11"/>
      <c r="D8" s="9"/>
      <c r="E8" s="14"/>
      <c r="F8" s="22"/>
      <c r="G8" s="12">
        <v>1</v>
      </c>
      <c r="H8" s="13"/>
      <c r="I8" s="2"/>
      <c r="J8" s="2"/>
    </row>
    <row r="9" spans="1:11" ht="15" customHeight="1" x14ac:dyDescent="0.25">
      <c r="A9" s="17">
        <f t="shared" ref="A9:A29" si="0">+A8+1</f>
        <v>3</v>
      </c>
      <c r="B9" s="21"/>
      <c r="C9" s="11"/>
      <c r="D9" s="9"/>
      <c r="E9" s="14"/>
      <c r="F9" s="22"/>
      <c r="G9" s="12">
        <v>1</v>
      </c>
      <c r="H9" s="13"/>
      <c r="I9" s="2"/>
      <c r="J9" s="2"/>
    </row>
    <row r="10" spans="1:11" ht="15" customHeight="1" x14ac:dyDescent="0.25">
      <c r="A10" s="17">
        <f t="shared" si="0"/>
        <v>4</v>
      </c>
      <c r="B10" s="14"/>
      <c r="C10" s="11"/>
      <c r="D10" s="9"/>
      <c r="E10" s="14"/>
      <c r="F10" s="22"/>
      <c r="G10" s="12">
        <v>1</v>
      </c>
      <c r="H10" s="1"/>
      <c r="I10" s="1"/>
      <c r="J10" s="1"/>
    </row>
    <row r="11" spans="1:11" ht="15" customHeight="1" x14ac:dyDescent="0.25">
      <c r="A11" s="17">
        <f t="shared" si="0"/>
        <v>5</v>
      </c>
      <c r="B11" s="14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 x14ac:dyDescent="0.25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 x14ac:dyDescent="0.25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 x14ac:dyDescent="0.25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 x14ac:dyDescent="0.25">
      <c r="A30" s="24"/>
      <c r="B30" s="25"/>
      <c r="C30" s="26"/>
      <c r="D30" s="27"/>
      <c r="E30" s="28"/>
      <c r="F30" s="29"/>
      <c r="G30" s="23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E32" s="44"/>
      <c r="F32" s="29"/>
      <c r="G32" s="23">
        <v>1</v>
      </c>
    </row>
    <row r="33" spans="1:7" ht="15" customHeight="1" x14ac:dyDescent="0.25">
      <c r="A33" s="24"/>
      <c r="B33" s="25"/>
      <c r="C33" s="26"/>
      <c r="D33" s="27"/>
      <c r="E33" s="28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26"/>
      <c r="D40" s="27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25"/>
      <c r="C42" s="26"/>
      <c r="D42" s="27"/>
      <c r="E42" s="28"/>
      <c r="F42" s="29"/>
      <c r="G42" s="23">
        <v>1</v>
      </c>
    </row>
    <row r="43" spans="1:7" ht="15" customHeight="1" x14ac:dyDescent="0.25">
      <c r="A43" s="24"/>
      <c r="B43" s="25"/>
      <c r="C43" s="30"/>
      <c r="D43" s="31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30"/>
      <c r="D48" s="31"/>
      <c r="E48" s="28"/>
      <c r="F48" s="29"/>
      <c r="G48" s="23">
        <v>1</v>
      </c>
    </row>
    <row r="49" spans="1:7" ht="15" customHeight="1" x14ac:dyDescent="0.25">
      <c r="A49" s="24"/>
      <c r="B49" s="25"/>
      <c r="C49" s="30"/>
      <c r="D49" s="31"/>
      <c r="E49" s="28"/>
      <c r="F49" s="29"/>
      <c r="G49" s="23">
        <v>1</v>
      </c>
    </row>
    <row r="50" spans="1:7" ht="15" customHeight="1" x14ac:dyDescent="0.25">
      <c r="A50" s="24"/>
      <c r="B50" s="25"/>
      <c r="C50" s="30"/>
      <c r="D50" s="31"/>
      <c r="E50" s="28"/>
      <c r="F50" s="29"/>
      <c r="G50" s="23">
        <v>1</v>
      </c>
    </row>
    <row r="51" spans="1:7" ht="15" customHeight="1" x14ac:dyDescent="0.25">
      <c r="A51" s="24"/>
      <c r="B51" s="25"/>
      <c r="C51" s="26"/>
      <c r="D51" s="27"/>
      <c r="E51" s="28"/>
      <c r="F51" s="29"/>
      <c r="G51" s="23">
        <v>1</v>
      </c>
    </row>
    <row r="52" spans="1:7" ht="15" customHeight="1" x14ac:dyDescent="0.25">
      <c r="A52" s="24"/>
      <c r="B52" s="32"/>
      <c r="C52" s="32"/>
      <c r="D52" s="27"/>
      <c r="E52" s="28"/>
      <c r="F52" s="29"/>
      <c r="G52" s="23">
        <v>1</v>
      </c>
    </row>
    <row r="53" spans="1:7" ht="15" customHeight="1" x14ac:dyDescent="0.25">
      <c r="A53" s="24"/>
      <c r="B53" s="32"/>
      <c r="C53" s="32"/>
      <c r="D53" s="33"/>
      <c r="E53" s="28"/>
      <c r="F53" s="29"/>
      <c r="G53" s="23">
        <v>1</v>
      </c>
    </row>
    <row r="54" spans="1:7" ht="15" customHeight="1" x14ac:dyDescent="0.25">
      <c r="A54" s="24"/>
      <c r="B54" s="32"/>
      <c r="C54" s="32"/>
      <c r="D54" s="33"/>
      <c r="E54" s="28"/>
      <c r="F54" s="29"/>
      <c r="G54" s="23">
        <v>1</v>
      </c>
    </row>
    <row r="55" spans="1:7" ht="15" customHeight="1" x14ac:dyDescent="0.25">
      <c r="A55" s="24"/>
      <c r="B55" s="32"/>
      <c r="C55" s="32"/>
      <c r="D55" s="33"/>
      <c r="E55" s="34"/>
      <c r="F55" s="35"/>
      <c r="G55" s="23">
        <v>1</v>
      </c>
    </row>
    <row r="56" spans="1:7" ht="15" customHeight="1" x14ac:dyDescent="0.25">
      <c r="A56" s="24"/>
      <c r="B56" s="32"/>
      <c r="C56" s="32"/>
      <c r="D56" s="33"/>
      <c r="E56" s="34"/>
      <c r="F56" s="35"/>
      <c r="G56" s="23">
        <v>1</v>
      </c>
    </row>
    <row r="57" spans="1:7" ht="15" customHeight="1" x14ac:dyDescent="0.25">
      <c r="A57" s="24"/>
      <c r="B57" s="32"/>
      <c r="C57" s="32"/>
      <c r="D57" s="32"/>
      <c r="E57" s="34"/>
      <c r="F57" s="35"/>
      <c r="G57" s="23">
        <v>1</v>
      </c>
    </row>
    <row r="58" spans="1:7" ht="15" customHeight="1" x14ac:dyDescent="0.25">
      <c r="A58" s="24"/>
      <c r="B58" s="25"/>
      <c r="C58" s="30"/>
      <c r="D58" s="31"/>
      <c r="E58" s="25"/>
      <c r="F58" s="36"/>
      <c r="G58" s="23">
        <v>1</v>
      </c>
    </row>
    <row r="59" spans="1:7" ht="15" customHeight="1" x14ac:dyDescent="0.25">
      <c r="A59" s="24"/>
      <c r="B59" s="37"/>
      <c r="C59" s="37"/>
      <c r="D59" s="38"/>
      <c r="E59" s="25"/>
      <c r="F59" s="36"/>
      <c r="G59" s="23">
        <v>1</v>
      </c>
    </row>
    <row r="60" spans="1:7" ht="15" customHeight="1" x14ac:dyDescent="0.25">
      <c r="A60" s="24"/>
      <c r="B60" s="39"/>
      <c r="C60" s="40"/>
      <c r="D60" s="41"/>
      <c r="E60" s="39"/>
      <c r="F60" s="42"/>
      <c r="G60" s="23">
        <v>1</v>
      </c>
    </row>
    <row r="61" spans="1:7" ht="15" customHeight="1" x14ac:dyDescent="0.25">
      <c r="A61" s="24"/>
      <c r="B61" s="37"/>
      <c r="C61" s="37"/>
      <c r="D61" s="38"/>
      <c r="E61" s="25"/>
      <c r="F61" s="43"/>
      <c r="G61" s="23">
        <v>1</v>
      </c>
    </row>
    <row r="62" spans="1:7" ht="15" customHeight="1" x14ac:dyDescent="0.25">
      <c r="A62" s="24"/>
      <c r="B62" s="37"/>
      <c r="C62" s="37"/>
      <c r="D62" s="38"/>
      <c r="E62" s="25"/>
      <c r="F62" s="36"/>
      <c r="G62" s="23">
        <v>1</v>
      </c>
    </row>
    <row r="63" spans="1:7" ht="15" customHeight="1" x14ac:dyDescent="0.25">
      <c r="A63" s="24"/>
      <c r="B63" s="32"/>
      <c r="C63" s="32"/>
      <c r="D63" s="33"/>
      <c r="E63" s="34"/>
      <c r="F63" s="35"/>
      <c r="G63" s="23">
        <v>1</v>
      </c>
    </row>
    <row r="64" spans="1:7" ht="15" customHeight="1" x14ac:dyDescent="0.25">
      <c r="A64" s="24"/>
      <c r="B64" s="32"/>
      <c r="C64" s="32"/>
      <c r="D64" s="33"/>
      <c r="E64" s="34"/>
      <c r="F64" s="35"/>
      <c r="G64" s="23">
        <v>1</v>
      </c>
    </row>
    <row r="65" spans="1:7" ht="15" customHeight="1" x14ac:dyDescent="0.25">
      <c r="A65" s="24"/>
      <c r="B65" s="32"/>
      <c r="C65" s="32"/>
      <c r="D65" s="33"/>
      <c r="E65" s="34"/>
      <c r="F65" s="35"/>
      <c r="G65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workbookViewId="0">
      <selection activeCell="F29" sqref="A1:F29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52" t="s">
        <v>0</v>
      </c>
      <c r="B1" s="52"/>
      <c r="C1" s="5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3" t="s">
        <v>2</v>
      </c>
      <c r="B2" s="53"/>
      <c r="C2" s="53"/>
      <c r="D2" s="6"/>
      <c r="E2" s="5" t="s">
        <v>3</v>
      </c>
      <c r="F2" s="5"/>
      <c r="G2" s="4"/>
      <c r="H2" s="4"/>
      <c r="I2" s="50" t="s">
        <v>4</v>
      </c>
      <c r="J2" s="51"/>
      <c r="K2" s="18">
        <f ca="1">SUMIF(F7:F133,"Elimination*",G7:G83)</f>
        <v>0</v>
      </c>
    </row>
    <row r="3" spans="1:11" x14ac:dyDescent="0.25">
      <c r="A3" s="54" t="s">
        <v>5</v>
      </c>
      <c r="B3" s="54"/>
      <c r="C3" s="54"/>
      <c r="D3" s="5"/>
      <c r="E3" s="5" t="s">
        <v>16</v>
      </c>
      <c r="F3" s="4"/>
      <c r="G3" s="4"/>
      <c r="H3" s="4"/>
      <c r="I3" s="50" t="s">
        <v>6</v>
      </c>
      <c r="J3" s="51"/>
      <c r="K3" s="18">
        <f ca="1">SUMIF(F7:F133,"NB*",G7:G83)</f>
        <v>0</v>
      </c>
    </row>
    <row r="4" spans="1:11" ht="18" x14ac:dyDescent="0.25">
      <c r="A4" s="52" t="s">
        <v>7</v>
      </c>
      <c r="B4" s="52"/>
      <c r="C4" s="52"/>
      <c r="D4" s="52"/>
      <c r="E4" s="52"/>
      <c r="F4" s="52"/>
      <c r="G4" s="4"/>
      <c r="H4" s="4"/>
      <c r="I4" s="50" t="s">
        <v>8</v>
      </c>
      <c r="J4" s="51"/>
      <c r="K4" s="18">
        <f ca="1">SUMIF(F7:F133,"Ve*",G7:G83)</f>
        <v>0</v>
      </c>
    </row>
    <row r="5" spans="1:11" ht="15.75" x14ac:dyDescent="0.25">
      <c r="A5" s="49" t="s">
        <v>23</v>
      </c>
      <c r="B5" s="49"/>
      <c r="C5" s="49"/>
      <c r="D5" s="49"/>
      <c r="E5" s="49"/>
      <c r="F5" s="49"/>
      <c r="G5" s="19"/>
      <c r="H5" s="19"/>
      <c r="I5" s="50" t="s">
        <v>9</v>
      </c>
      <c r="J5" s="51"/>
      <c r="K5" s="20">
        <f ca="1">SUM(K2:K4)</f>
        <v>0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/>
      <c r="C7" s="11"/>
      <c r="D7" s="9"/>
      <c r="E7" s="14"/>
      <c r="F7" s="22"/>
      <c r="G7" s="12">
        <v>1</v>
      </c>
      <c r="H7" s="13"/>
      <c r="I7" s="2"/>
      <c r="J7" s="2"/>
    </row>
    <row r="8" spans="1:11" ht="15" customHeight="1" x14ac:dyDescent="0.25">
      <c r="A8" s="17">
        <f>+A7+1</f>
        <v>2</v>
      </c>
      <c r="B8" s="14"/>
      <c r="C8" s="11"/>
      <c r="D8" s="9"/>
      <c r="E8" s="14"/>
      <c r="F8" s="22"/>
      <c r="G8" s="12">
        <v>1</v>
      </c>
      <c r="H8" s="13"/>
      <c r="I8" s="2"/>
      <c r="J8" s="2"/>
    </row>
    <row r="9" spans="1:11" ht="15" customHeight="1" x14ac:dyDescent="0.25">
      <c r="A9" s="17">
        <f t="shared" ref="A9:A29" si="0">+A8+1</f>
        <v>3</v>
      </c>
      <c r="B9" s="21"/>
      <c r="C9" s="11"/>
      <c r="D9" s="9"/>
      <c r="E9" s="14"/>
      <c r="F9" s="22"/>
      <c r="G9" s="12">
        <v>1</v>
      </c>
      <c r="H9" s="13"/>
      <c r="I9" s="2"/>
      <c r="J9" s="2"/>
    </row>
    <row r="10" spans="1:11" ht="15" customHeight="1" x14ac:dyDescent="0.25">
      <c r="A10" s="17">
        <f t="shared" si="0"/>
        <v>4</v>
      </c>
      <c r="B10" s="14"/>
      <c r="C10" s="11"/>
      <c r="D10" s="9"/>
      <c r="E10" s="14"/>
      <c r="F10" s="22"/>
      <c r="G10" s="12">
        <v>1</v>
      </c>
      <c r="H10" s="1"/>
      <c r="I10" s="1"/>
      <c r="J10" s="1"/>
    </row>
    <row r="11" spans="1:11" ht="15" customHeight="1" x14ac:dyDescent="0.25">
      <c r="A11" s="17">
        <f t="shared" si="0"/>
        <v>5</v>
      </c>
      <c r="B11" s="14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 x14ac:dyDescent="0.25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 x14ac:dyDescent="0.25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 x14ac:dyDescent="0.25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 x14ac:dyDescent="0.25">
      <c r="A30" s="24"/>
      <c r="B30" s="25"/>
      <c r="C30" s="26"/>
      <c r="D30" s="27"/>
      <c r="E30" s="28"/>
      <c r="F30" s="29"/>
      <c r="G30" s="23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E32" s="44"/>
      <c r="F32" s="29"/>
      <c r="G32" s="23">
        <v>1</v>
      </c>
    </row>
    <row r="33" spans="1:7" ht="15" customHeight="1" x14ac:dyDescent="0.25">
      <c r="A33" s="24"/>
      <c r="B33" s="25"/>
      <c r="C33" s="26"/>
      <c r="D33" s="27"/>
      <c r="E33" s="28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26"/>
      <c r="D40" s="27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25"/>
      <c r="C42" s="26"/>
      <c r="D42" s="27"/>
      <c r="E42" s="28"/>
      <c r="F42" s="29"/>
      <c r="G42" s="23">
        <v>1</v>
      </c>
    </row>
    <row r="43" spans="1:7" ht="15" customHeight="1" x14ac:dyDescent="0.25">
      <c r="A43" s="24"/>
      <c r="B43" s="25"/>
      <c r="C43" s="30"/>
      <c r="D43" s="31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30"/>
      <c r="D48" s="31"/>
      <c r="E48" s="28"/>
      <c r="F48" s="29"/>
      <c r="G48" s="23">
        <v>1</v>
      </c>
    </row>
    <row r="49" spans="1:7" ht="15" customHeight="1" x14ac:dyDescent="0.25">
      <c r="A49" s="24"/>
      <c r="B49" s="25"/>
      <c r="C49" s="30"/>
      <c r="D49" s="31"/>
      <c r="E49" s="28"/>
      <c r="F49" s="29"/>
      <c r="G49" s="23">
        <v>1</v>
      </c>
    </row>
    <row r="50" spans="1:7" ht="15" customHeight="1" x14ac:dyDescent="0.25">
      <c r="A50" s="24"/>
      <c r="B50" s="25"/>
      <c r="C50" s="30"/>
      <c r="D50" s="31"/>
      <c r="E50" s="28"/>
      <c r="F50" s="29"/>
      <c r="G50" s="23">
        <v>1</v>
      </c>
    </row>
    <row r="51" spans="1:7" ht="15" customHeight="1" x14ac:dyDescent="0.25">
      <c r="A51" s="24"/>
      <c r="B51" s="25"/>
      <c r="C51" s="26"/>
      <c r="D51" s="27"/>
      <c r="E51" s="28"/>
      <c r="F51" s="29"/>
      <c r="G51" s="23">
        <v>1</v>
      </c>
    </row>
    <row r="52" spans="1:7" ht="15" customHeight="1" x14ac:dyDescent="0.25">
      <c r="A52" s="24"/>
      <c r="B52" s="32"/>
      <c r="C52" s="32"/>
      <c r="D52" s="27"/>
      <c r="E52" s="28"/>
      <c r="F52" s="29"/>
      <c r="G52" s="23">
        <v>1</v>
      </c>
    </row>
    <row r="53" spans="1:7" ht="15" customHeight="1" x14ac:dyDescent="0.25">
      <c r="A53" s="24"/>
      <c r="B53" s="32"/>
      <c r="C53" s="32"/>
      <c r="D53" s="33"/>
      <c r="E53" s="28"/>
      <c r="F53" s="29"/>
      <c r="G53" s="23">
        <v>1</v>
      </c>
    </row>
    <row r="54" spans="1:7" ht="15" customHeight="1" x14ac:dyDescent="0.25">
      <c r="A54" s="24"/>
      <c r="B54" s="32"/>
      <c r="C54" s="32"/>
      <c r="D54" s="33"/>
      <c r="E54" s="28"/>
      <c r="F54" s="29"/>
      <c r="G54" s="23">
        <v>1</v>
      </c>
    </row>
    <row r="55" spans="1:7" ht="15" customHeight="1" x14ac:dyDescent="0.25">
      <c r="A55" s="24"/>
      <c r="B55" s="32"/>
      <c r="C55" s="32"/>
      <c r="D55" s="33"/>
      <c r="E55" s="34"/>
      <c r="F55" s="35"/>
      <c r="G55" s="23">
        <v>1</v>
      </c>
    </row>
    <row r="56" spans="1:7" ht="15" customHeight="1" x14ac:dyDescent="0.25">
      <c r="A56" s="24"/>
      <c r="B56" s="32"/>
      <c r="C56" s="32"/>
      <c r="D56" s="33"/>
      <c r="E56" s="34"/>
      <c r="F56" s="35"/>
      <c r="G56" s="23">
        <v>1</v>
      </c>
    </row>
    <row r="57" spans="1:7" ht="15" customHeight="1" x14ac:dyDescent="0.25">
      <c r="A57" s="24"/>
      <c r="B57" s="32"/>
      <c r="C57" s="32"/>
      <c r="D57" s="32"/>
      <c r="E57" s="34"/>
      <c r="F57" s="35"/>
      <c r="G57" s="23">
        <v>1</v>
      </c>
    </row>
    <row r="58" spans="1:7" ht="15" customHeight="1" x14ac:dyDescent="0.25">
      <c r="A58" s="24"/>
      <c r="B58" s="25"/>
      <c r="C58" s="30"/>
      <c r="D58" s="31"/>
      <c r="E58" s="25"/>
      <c r="F58" s="36"/>
      <c r="G58" s="23">
        <v>1</v>
      </c>
    </row>
    <row r="59" spans="1:7" ht="15" customHeight="1" x14ac:dyDescent="0.25">
      <c r="A59" s="24"/>
      <c r="B59" s="37"/>
      <c r="C59" s="37"/>
      <c r="D59" s="38"/>
      <c r="E59" s="25"/>
      <c r="F59" s="36"/>
      <c r="G59" s="23">
        <v>1</v>
      </c>
    </row>
    <row r="60" spans="1:7" ht="15" customHeight="1" x14ac:dyDescent="0.25">
      <c r="A60" s="24"/>
      <c r="B60" s="39"/>
      <c r="C60" s="40"/>
      <c r="D60" s="41"/>
      <c r="E60" s="39"/>
      <c r="F60" s="42"/>
      <c r="G60" s="23">
        <v>1</v>
      </c>
    </row>
    <row r="61" spans="1:7" ht="15" customHeight="1" x14ac:dyDescent="0.25">
      <c r="A61" s="24"/>
      <c r="B61" s="37"/>
      <c r="C61" s="37"/>
      <c r="D61" s="38"/>
      <c r="E61" s="25"/>
      <c r="F61" s="43"/>
      <c r="G61" s="23">
        <v>1</v>
      </c>
    </row>
    <row r="62" spans="1:7" ht="15" customHeight="1" x14ac:dyDescent="0.25">
      <c r="A62" s="24"/>
      <c r="B62" s="37"/>
      <c r="C62" s="37"/>
      <c r="D62" s="38"/>
      <c r="E62" s="25"/>
      <c r="F62" s="36"/>
      <c r="G62" s="23">
        <v>1</v>
      </c>
    </row>
    <row r="63" spans="1:7" ht="15" customHeight="1" x14ac:dyDescent="0.25">
      <c r="A63" s="24"/>
      <c r="B63" s="32"/>
      <c r="C63" s="32"/>
      <c r="D63" s="33"/>
      <c r="E63" s="34"/>
      <c r="F63" s="35"/>
      <c r="G63" s="23">
        <v>1</v>
      </c>
    </row>
    <row r="64" spans="1:7" ht="15" customHeight="1" x14ac:dyDescent="0.25">
      <c r="A64" s="24"/>
      <c r="B64" s="32"/>
      <c r="C64" s="32"/>
      <c r="D64" s="33"/>
      <c r="E64" s="34"/>
      <c r="F64" s="35"/>
      <c r="G64" s="23">
        <v>1</v>
      </c>
    </row>
    <row r="65" spans="1:7" ht="15" customHeight="1" x14ac:dyDescent="0.25">
      <c r="A65" s="24"/>
      <c r="B65" s="32"/>
      <c r="C65" s="32"/>
      <c r="D65" s="33"/>
      <c r="E65" s="34"/>
      <c r="F65" s="35"/>
      <c r="G65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opLeftCell="A10" workbookViewId="0">
      <selection activeCell="F26" sqref="A1:F26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52" t="s">
        <v>0</v>
      </c>
      <c r="B1" s="52"/>
      <c r="C1" s="5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3" t="s">
        <v>2</v>
      </c>
      <c r="B2" s="53"/>
      <c r="C2" s="53"/>
      <c r="D2" s="6"/>
      <c r="E2" s="5" t="s">
        <v>3</v>
      </c>
      <c r="F2" s="5"/>
      <c r="G2" s="4"/>
      <c r="H2" s="4"/>
      <c r="I2" s="50" t="s">
        <v>4</v>
      </c>
      <c r="J2" s="51"/>
      <c r="K2" s="18">
        <f ca="1">SUMIF(F7:F130,"Elimination*",G7:G80)</f>
        <v>1</v>
      </c>
    </row>
    <row r="3" spans="1:11" x14ac:dyDescent="0.25">
      <c r="A3" s="54" t="s">
        <v>5</v>
      </c>
      <c r="B3" s="54"/>
      <c r="C3" s="54"/>
      <c r="D3" s="5"/>
      <c r="E3" s="5" t="s">
        <v>16</v>
      </c>
      <c r="F3" s="4"/>
      <c r="G3" s="4"/>
      <c r="H3" s="4"/>
      <c r="I3" s="50" t="s">
        <v>6</v>
      </c>
      <c r="J3" s="51"/>
      <c r="K3" s="18">
        <f ca="1">SUMIF(F7:F130,"NB*",G7:G80)</f>
        <v>5</v>
      </c>
    </row>
    <row r="4" spans="1:11" ht="18" x14ac:dyDescent="0.25">
      <c r="A4" s="52" t="s">
        <v>7</v>
      </c>
      <c r="B4" s="52"/>
      <c r="C4" s="52"/>
      <c r="D4" s="52"/>
      <c r="E4" s="52"/>
      <c r="F4" s="52"/>
      <c r="G4" s="4"/>
      <c r="H4" s="4"/>
      <c r="I4" s="50" t="s">
        <v>8</v>
      </c>
      <c r="J4" s="51"/>
      <c r="K4" s="18">
        <f ca="1">SUMIF(F7:F130,"Ve*",G7:G80)</f>
        <v>0</v>
      </c>
    </row>
    <row r="5" spans="1:11" ht="15.75" x14ac:dyDescent="0.25">
      <c r="A5" s="49" t="s">
        <v>39</v>
      </c>
      <c r="B5" s="49"/>
      <c r="C5" s="49"/>
      <c r="D5" s="49"/>
      <c r="E5" s="49"/>
      <c r="F5" s="49"/>
      <c r="G5" s="19"/>
      <c r="H5" s="19"/>
      <c r="I5" s="50" t="s">
        <v>9</v>
      </c>
      <c r="J5" s="51"/>
      <c r="K5" s="20">
        <f ca="1">SUM(K2:K4)</f>
        <v>6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>
        <v>13</v>
      </c>
      <c r="C7" s="11" t="s">
        <v>24</v>
      </c>
      <c r="D7" s="9" t="s">
        <v>28</v>
      </c>
      <c r="E7" s="14">
        <v>42948</v>
      </c>
      <c r="F7" s="22" t="s">
        <v>29</v>
      </c>
      <c r="G7" s="12">
        <v>1</v>
      </c>
      <c r="H7" s="45" t="s">
        <v>30</v>
      </c>
      <c r="I7" s="46">
        <v>42941</v>
      </c>
      <c r="J7" s="2"/>
    </row>
    <row r="8" spans="1:11" ht="15" customHeight="1" x14ac:dyDescent="0.25">
      <c r="A8" s="17">
        <f>+A7+1</f>
        <v>2</v>
      </c>
      <c r="B8" s="9" t="s">
        <v>40</v>
      </c>
      <c r="C8" s="11" t="s">
        <v>24</v>
      </c>
      <c r="D8" s="9" t="s">
        <v>41</v>
      </c>
      <c r="E8" s="14">
        <v>42948</v>
      </c>
      <c r="F8" s="22" t="s">
        <v>42</v>
      </c>
      <c r="G8" s="12">
        <v>1</v>
      </c>
      <c r="H8" s="1"/>
      <c r="I8" s="1"/>
      <c r="J8" s="2"/>
    </row>
    <row r="9" spans="1:11" ht="15" customHeight="1" x14ac:dyDescent="0.25">
      <c r="A9" s="17">
        <f>+A8+1</f>
        <v>3</v>
      </c>
      <c r="B9" s="15">
        <v>13</v>
      </c>
      <c r="C9" s="11" t="s">
        <v>24</v>
      </c>
      <c r="D9" s="9" t="s">
        <v>31</v>
      </c>
      <c r="E9" s="14">
        <v>42948</v>
      </c>
      <c r="F9" s="22" t="s">
        <v>29</v>
      </c>
      <c r="G9" s="12">
        <v>1</v>
      </c>
      <c r="H9" s="45" t="s">
        <v>32</v>
      </c>
      <c r="I9" s="46">
        <v>42942</v>
      </c>
      <c r="J9" s="2"/>
    </row>
    <row r="10" spans="1:11" ht="15" customHeight="1" x14ac:dyDescent="0.25">
      <c r="A10" s="17">
        <f>+A9+1</f>
        <v>4</v>
      </c>
      <c r="B10" s="15">
        <v>13</v>
      </c>
      <c r="C10" s="11" t="s">
        <v>24</v>
      </c>
      <c r="D10" s="9" t="s">
        <v>25</v>
      </c>
      <c r="E10" s="14">
        <v>42953</v>
      </c>
      <c r="F10" s="22" t="s">
        <v>26</v>
      </c>
      <c r="G10" s="12">
        <v>1</v>
      </c>
      <c r="H10" s="45" t="s">
        <v>27</v>
      </c>
      <c r="I10" s="2"/>
      <c r="J10" s="1"/>
    </row>
    <row r="11" spans="1:11" ht="15" customHeight="1" x14ac:dyDescent="0.25">
      <c r="A11" s="17">
        <f>+A10+1</f>
        <v>5</v>
      </c>
      <c r="B11" s="15">
        <v>13</v>
      </c>
      <c r="C11" s="11" t="s">
        <v>24</v>
      </c>
      <c r="D11" s="9" t="s">
        <v>33</v>
      </c>
      <c r="E11" s="14">
        <v>42968</v>
      </c>
      <c r="F11" s="22" t="s">
        <v>34</v>
      </c>
      <c r="G11" s="12">
        <v>1</v>
      </c>
      <c r="H11" s="1" t="s">
        <v>35</v>
      </c>
      <c r="I11" s="1"/>
      <c r="J11" s="1"/>
    </row>
    <row r="12" spans="1:11" ht="15" customHeight="1" x14ac:dyDescent="0.25">
      <c r="A12" s="17">
        <f>+A11+1</f>
        <v>6</v>
      </c>
      <c r="B12" s="15">
        <v>13</v>
      </c>
      <c r="C12" s="11" t="s">
        <v>24</v>
      </c>
      <c r="D12" s="9" t="s">
        <v>36</v>
      </c>
      <c r="E12" s="14">
        <v>42968</v>
      </c>
      <c r="F12" s="22" t="s">
        <v>37</v>
      </c>
      <c r="G12" s="12">
        <v>1</v>
      </c>
      <c r="H12" s="1" t="s">
        <v>38</v>
      </c>
      <c r="I12" s="1"/>
      <c r="J12" s="1"/>
    </row>
    <row r="13" spans="1:11" ht="15" customHeight="1" x14ac:dyDescent="0.25">
      <c r="A13" s="17">
        <f t="shared" ref="A13:A26" si="0">+A12+1</f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/>
      <c r="C14" s="11"/>
      <c r="D14" s="9"/>
      <c r="E14" s="10"/>
      <c r="F14" s="22"/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4"/>
      <c r="C15" s="11"/>
      <c r="D15" s="9"/>
      <c r="E15" s="10"/>
      <c r="F15" s="22"/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/>
      <c r="C16" s="11"/>
      <c r="D16" s="9"/>
      <c r="E16" s="10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24"/>
      <c r="B27" s="25"/>
      <c r="C27" s="26"/>
      <c r="D27" s="27"/>
      <c r="E27" s="28"/>
      <c r="F27" s="29"/>
      <c r="G27" s="23">
        <v>1</v>
      </c>
    </row>
    <row r="28" spans="1:10" ht="15" customHeight="1" x14ac:dyDescent="0.25">
      <c r="A28" s="24"/>
      <c r="B28" s="25"/>
      <c r="C28" s="26"/>
      <c r="D28" s="27"/>
      <c r="E28" s="28"/>
      <c r="F28" s="29"/>
      <c r="G28" s="23">
        <v>1</v>
      </c>
    </row>
    <row r="29" spans="1:10" ht="15" customHeight="1" x14ac:dyDescent="0.25">
      <c r="A29" s="24"/>
      <c r="B29" s="25"/>
      <c r="C29" s="26"/>
      <c r="E29" s="44"/>
      <c r="F29" s="29"/>
      <c r="G29" s="23">
        <v>1</v>
      </c>
    </row>
    <row r="30" spans="1:10" ht="15" customHeight="1" x14ac:dyDescent="0.25">
      <c r="A30" s="24"/>
      <c r="B30" s="25"/>
      <c r="C30" s="26"/>
      <c r="D30" s="27"/>
      <c r="E30" s="28"/>
      <c r="F30" s="29"/>
      <c r="G30" s="23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D32" s="27"/>
      <c r="E32" s="28"/>
      <c r="F32" s="29"/>
      <c r="G32" s="23">
        <v>1</v>
      </c>
    </row>
    <row r="33" spans="1:7" ht="15" customHeight="1" x14ac:dyDescent="0.25">
      <c r="A33" s="24"/>
      <c r="B33" s="25"/>
      <c r="C33" s="26"/>
      <c r="D33" s="27"/>
      <c r="E33" s="28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30"/>
      <c r="D40" s="31"/>
      <c r="E40" s="28"/>
      <c r="F40" s="29"/>
      <c r="G40" s="23">
        <v>1</v>
      </c>
    </row>
    <row r="41" spans="1:7" ht="15" customHeight="1" x14ac:dyDescent="0.25">
      <c r="A41" s="24"/>
      <c r="B41" s="25"/>
      <c r="C41" s="30"/>
      <c r="D41" s="31"/>
      <c r="E41" s="28"/>
      <c r="F41" s="29"/>
      <c r="G41" s="23">
        <v>1</v>
      </c>
    </row>
    <row r="42" spans="1:7" ht="15" customHeight="1" x14ac:dyDescent="0.25">
      <c r="A42" s="24"/>
      <c r="B42" s="25"/>
      <c r="C42" s="30"/>
      <c r="D42" s="31"/>
      <c r="E42" s="28"/>
      <c r="F42" s="29"/>
      <c r="G42" s="23">
        <v>1</v>
      </c>
    </row>
    <row r="43" spans="1:7" ht="15" customHeight="1" x14ac:dyDescent="0.25">
      <c r="A43" s="24"/>
      <c r="B43" s="25"/>
      <c r="C43" s="30"/>
      <c r="D43" s="31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26"/>
      <c r="D48" s="27"/>
      <c r="E48" s="28"/>
      <c r="F48" s="29"/>
      <c r="G48" s="23">
        <v>1</v>
      </c>
    </row>
    <row r="49" spans="1:7" ht="15" customHeight="1" x14ac:dyDescent="0.25">
      <c r="A49" s="24"/>
      <c r="B49" s="32"/>
      <c r="C49" s="32"/>
      <c r="D49" s="27"/>
      <c r="E49" s="28"/>
      <c r="F49" s="29"/>
      <c r="G49" s="23">
        <v>1</v>
      </c>
    </row>
    <row r="50" spans="1:7" ht="15" customHeight="1" x14ac:dyDescent="0.25">
      <c r="A50" s="24"/>
      <c r="B50" s="32"/>
      <c r="C50" s="32"/>
      <c r="D50" s="33"/>
      <c r="E50" s="28"/>
      <c r="F50" s="29"/>
      <c r="G50" s="23">
        <v>1</v>
      </c>
    </row>
    <row r="51" spans="1:7" ht="15" customHeight="1" x14ac:dyDescent="0.25">
      <c r="A51" s="24"/>
      <c r="B51" s="32"/>
      <c r="C51" s="32"/>
      <c r="D51" s="33"/>
      <c r="E51" s="28"/>
      <c r="F51" s="29"/>
      <c r="G51" s="23">
        <v>1</v>
      </c>
    </row>
    <row r="52" spans="1:7" ht="15" customHeight="1" x14ac:dyDescent="0.25">
      <c r="A52" s="24"/>
      <c r="B52" s="32"/>
      <c r="C52" s="32"/>
      <c r="D52" s="33"/>
      <c r="E52" s="34"/>
      <c r="F52" s="35"/>
      <c r="G52" s="23">
        <v>1</v>
      </c>
    </row>
    <row r="53" spans="1:7" ht="15" customHeight="1" x14ac:dyDescent="0.25">
      <c r="A53" s="24"/>
      <c r="B53" s="32"/>
      <c r="C53" s="32"/>
      <c r="D53" s="33"/>
      <c r="E53" s="34"/>
      <c r="F53" s="35"/>
      <c r="G53" s="23">
        <v>1</v>
      </c>
    </row>
    <row r="54" spans="1:7" ht="15" customHeight="1" x14ac:dyDescent="0.25">
      <c r="A54" s="24"/>
      <c r="B54" s="32"/>
      <c r="C54" s="32"/>
      <c r="D54" s="32"/>
      <c r="E54" s="34"/>
      <c r="F54" s="35"/>
      <c r="G54" s="23">
        <v>1</v>
      </c>
    </row>
    <row r="55" spans="1:7" ht="15" customHeight="1" x14ac:dyDescent="0.25">
      <c r="A55" s="24"/>
      <c r="B55" s="25"/>
      <c r="C55" s="30"/>
      <c r="D55" s="31"/>
      <c r="E55" s="25"/>
      <c r="F55" s="36"/>
      <c r="G55" s="23">
        <v>1</v>
      </c>
    </row>
    <row r="56" spans="1:7" ht="15" customHeight="1" x14ac:dyDescent="0.25">
      <c r="A56" s="24"/>
      <c r="B56" s="37"/>
      <c r="C56" s="37"/>
      <c r="D56" s="38"/>
      <c r="E56" s="25"/>
      <c r="F56" s="36"/>
      <c r="G56" s="23">
        <v>1</v>
      </c>
    </row>
    <row r="57" spans="1:7" ht="15" customHeight="1" x14ac:dyDescent="0.25">
      <c r="A57" s="24"/>
      <c r="B57" s="39"/>
      <c r="C57" s="40"/>
      <c r="D57" s="41"/>
      <c r="E57" s="39"/>
      <c r="F57" s="42"/>
      <c r="G57" s="23">
        <v>1</v>
      </c>
    </row>
    <row r="58" spans="1:7" ht="15" customHeight="1" x14ac:dyDescent="0.25">
      <c r="A58" s="24"/>
      <c r="B58" s="37"/>
      <c r="C58" s="37"/>
      <c r="D58" s="38"/>
      <c r="E58" s="25"/>
      <c r="F58" s="43"/>
      <c r="G58" s="23">
        <v>1</v>
      </c>
    </row>
    <row r="59" spans="1:7" ht="15" customHeight="1" x14ac:dyDescent="0.25">
      <c r="A59" s="24"/>
      <c r="B59" s="37"/>
      <c r="C59" s="37"/>
      <c r="D59" s="38"/>
      <c r="E59" s="25"/>
      <c r="F59" s="36"/>
      <c r="G59" s="23">
        <v>1</v>
      </c>
    </row>
    <row r="60" spans="1:7" ht="15" customHeight="1" x14ac:dyDescent="0.25">
      <c r="A60" s="24"/>
      <c r="B60" s="32"/>
      <c r="C60" s="32"/>
      <c r="D60" s="33"/>
      <c r="E60" s="34"/>
      <c r="F60" s="35"/>
      <c r="G60" s="23">
        <v>1</v>
      </c>
    </row>
    <row r="61" spans="1:7" ht="15" customHeight="1" x14ac:dyDescent="0.25">
      <c r="A61" s="24"/>
      <c r="B61" s="32"/>
      <c r="C61" s="32"/>
      <c r="D61" s="33"/>
      <c r="E61" s="34"/>
      <c r="F61" s="35"/>
      <c r="G61" s="23">
        <v>1</v>
      </c>
    </row>
    <row r="62" spans="1:7" ht="15" customHeight="1" x14ac:dyDescent="0.25">
      <c r="A62" s="24"/>
      <c r="B62" s="32"/>
      <c r="C62" s="32"/>
      <c r="D62" s="33"/>
      <c r="E62" s="34"/>
      <c r="F62" s="35"/>
      <c r="G62" s="23">
        <v>1</v>
      </c>
    </row>
  </sheetData>
  <sortState ref="A7:I12">
    <sortCondition ref="E7:E12"/>
    <sortCondition ref="D7:D12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opLeftCell="A22" workbookViewId="0">
      <selection activeCell="F30" sqref="F30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22" customWidth="1"/>
    <col min="7" max="7" width="1.85546875" hidden="1" customWidth="1"/>
    <col min="8" max="8" width="29.85546875" customWidth="1"/>
  </cols>
  <sheetData>
    <row r="1" spans="1:11" ht="18" x14ac:dyDescent="0.25">
      <c r="A1" s="52" t="s">
        <v>0</v>
      </c>
      <c r="B1" s="52"/>
      <c r="C1" s="5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3" t="s">
        <v>2</v>
      </c>
      <c r="B2" s="53"/>
      <c r="C2" s="53"/>
      <c r="D2" s="6"/>
      <c r="E2" s="5" t="s">
        <v>3</v>
      </c>
      <c r="F2" s="5"/>
      <c r="G2" s="4"/>
      <c r="H2" s="4"/>
      <c r="I2" s="50" t="s">
        <v>4</v>
      </c>
      <c r="J2" s="51"/>
      <c r="K2" s="18">
        <f ca="1">SUMIF(F7:F128,"Elimination*",G7:G78)</f>
        <v>23</v>
      </c>
    </row>
    <row r="3" spans="1:11" x14ac:dyDescent="0.25">
      <c r="A3" s="54" t="s">
        <v>5</v>
      </c>
      <c r="B3" s="54"/>
      <c r="C3" s="54"/>
      <c r="D3" s="5"/>
      <c r="E3" s="5" t="s">
        <v>16</v>
      </c>
      <c r="F3" s="4"/>
      <c r="G3" s="4"/>
      <c r="H3" s="4"/>
      <c r="I3" s="50" t="s">
        <v>6</v>
      </c>
      <c r="J3" s="51"/>
      <c r="K3" s="18">
        <f ca="1">SUMIF(F7:F128,"NB*",G7:G78)</f>
        <v>4</v>
      </c>
    </row>
    <row r="4" spans="1:11" ht="18" x14ac:dyDescent="0.25">
      <c r="A4" s="52" t="s">
        <v>7</v>
      </c>
      <c r="B4" s="52"/>
      <c r="C4" s="52"/>
      <c r="D4" s="52"/>
      <c r="E4" s="52"/>
      <c r="F4" s="52"/>
      <c r="G4" s="4"/>
      <c r="H4" s="4"/>
      <c r="I4" s="50" t="s">
        <v>8</v>
      </c>
      <c r="J4" s="51"/>
      <c r="K4" s="18">
        <f ca="1">SUMIF(F7:F128,"Ve*",G7:G78)</f>
        <v>0</v>
      </c>
    </row>
    <row r="5" spans="1:11" ht="15.75" x14ac:dyDescent="0.25">
      <c r="A5" s="49" t="s">
        <v>70</v>
      </c>
      <c r="B5" s="49"/>
      <c r="C5" s="49"/>
      <c r="D5" s="49"/>
      <c r="E5" s="49"/>
      <c r="F5" s="49"/>
      <c r="G5" s="19"/>
      <c r="H5" s="19"/>
      <c r="I5" s="50" t="s">
        <v>9</v>
      </c>
      <c r="J5" s="51"/>
      <c r="K5" s="20">
        <f ca="1">SUM(K2:K4)</f>
        <v>27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>
        <v>130008</v>
      </c>
      <c r="C7" s="11" t="s">
        <v>24</v>
      </c>
      <c r="D7" s="9" t="s">
        <v>43</v>
      </c>
      <c r="E7" s="14">
        <v>42988</v>
      </c>
      <c r="F7" s="22" t="s">
        <v>42</v>
      </c>
      <c r="G7" s="12">
        <v>1</v>
      </c>
      <c r="H7" s="45"/>
      <c r="I7" s="46"/>
      <c r="J7" s="2"/>
    </row>
    <row r="8" spans="1:11" ht="15" customHeight="1" x14ac:dyDescent="0.25">
      <c r="A8" s="17">
        <f>+A7+1</f>
        <v>2</v>
      </c>
      <c r="B8" s="15">
        <v>130012</v>
      </c>
      <c r="C8" s="11" t="s">
        <v>24</v>
      </c>
      <c r="D8" s="9" t="s">
        <v>44</v>
      </c>
      <c r="E8" s="14">
        <v>42988</v>
      </c>
      <c r="F8" s="22" t="s">
        <v>42</v>
      </c>
      <c r="G8" s="12">
        <v>1</v>
      </c>
      <c r="H8" s="1"/>
      <c r="I8" s="1"/>
      <c r="J8" s="2"/>
    </row>
    <row r="9" spans="1:11" ht="15" customHeight="1" x14ac:dyDescent="0.25">
      <c r="A9" s="17">
        <f>+A8+1</f>
        <v>3</v>
      </c>
      <c r="B9" s="15">
        <v>130009</v>
      </c>
      <c r="C9" s="11" t="s">
        <v>24</v>
      </c>
      <c r="D9" s="9" t="s">
        <v>45</v>
      </c>
      <c r="E9" s="14">
        <v>42988</v>
      </c>
      <c r="F9" s="22" t="s">
        <v>42</v>
      </c>
      <c r="G9" s="12">
        <v>1</v>
      </c>
      <c r="H9" s="45"/>
      <c r="I9" s="46"/>
      <c r="J9" s="2"/>
    </row>
    <row r="10" spans="1:11" ht="15" customHeight="1" x14ac:dyDescent="0.25">
      <c r="A10" s="17">
        <f>+A9+1</f>
        <v>4</v>
      </c>
      <c r="B10" s="15">
        <v>130013</v>
      </c>
      <c r="C10" s="11" t="s">
        <v>24</v>
      </c>
      <c r="D10" s="9" t="s">
        <v>46</v>
      </c>
      <c r="E10" s="14">
        <v>42988</v>
      </c>
      <c r="F10" s="22" t="s">
        <v>42</v>
      </c>
      <c r="G10" s="12">
        <v>1</v>
      </c>
      <c r="H10" s="45"/>
      <c r="I10" s="2"/>
      <c r="J10" s="1"/>
    </row>
    <row r="11" spans="1:11" ht="15" customHeight="1" x14ac:dyDescent="0.25">
      <c r="A11" s="17">
        <f>+A10+1</f>
        <v>5</v>
      </c>
      <c r="B11" s="15">
        <v>130029</v>
      </c>
      <c r="C11" s="11" t="s">
        <v>24</v>
      </c>
      <c r="D11" s="9" t="s">
        <v>47</v>
      </c>
      <c r="E11" s="14">
        <v>42989</v>
      </c>
      <c r="F11" s="22" t="s">
        <v>42</v>
      </c>
      <c r="G11" s="12">
        <v>1</v>
      </c>
      <c r="H11" s="1"/>
      <c r="I11" s="1"/>
      <c r="J11" s="1"/>
    </row>
    <row r="12" spans="1:11" ht="15" customHeight="1" x14ac:dyDescent="0.25">
      <c r="A12" s="17">
        <f>+A11+1</f>
        <v>6</v>
      </c>
      <c r="B12" s="15">
        <v>130037</v>
      </c>
      <c r="C12" s="11" t="s">
        <v>24</v>
      </c>
      <c r="D12" s="9" t="s">
        <v>48</v>
      </c>
      <c r="E12" s="14">
        <v>42989</v>
      </c>
      <c r="F12" s="22" t="s">
        <v>42</v>
      </c>
      <c r="G12" s="12">
        <v>1</v>
      </c>
      <c r="H12" s="1"/>
      <c r="I12" s="1"/>
      <c r="J12" s="1"/>
    </row>
    <row r="13" spans="1:11" ht="15" customHeight="1" x14ac:dyDescent="0.25">
      <c r="A13" s="17">
        <f t="shared" ref="A13:A33" si="0">+A12+1</f>
        <v>7</v>
      </c>
      <c r="B13" s="15">
        <v>130020</v>
      </c>
      <c r="C13" s="11" t="s">
        <v>24</v>
      </c>
      <c r="D13" s="9" t="s">
        <v>50</v>
      </c>
      <c r="E13" s="14">
        <v>42990</v>
      </c>
      <c r="F13" s="22" t="s">
        <v>42</v>
      </c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5">
        <v>130088</v>
      </c>
      <c r="C14" s="11" t="s">
        <v>24</v>
      </c>
      <c r="D14" s="9" t="s">
        <v>49</v>
      </c>
      <c r="E14" s="14">
        <v>42990</v>
      </c>
      <c r="F14" s="22" t="s">
        <v>42</v>
      </c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5">
        <v>100075</v>
      </c>
      <c r="C15" s="11" t="s">
        <v>24</v>
      </c>
      <c r="D15" s="9" t="s">
        <v>52</v>
      </c>
      <c r="E15" s="14">
        <v>42990</v>
      </c>
      <c r="F15" s="22" t="s">
        <v>42</v>
      </c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5">
        <v>130073</v>
      </c>
      <c r="C16" s="11" t="s">
        <v>24</v>
      </c>
      <c r="D16" s="9" t="s">
        <v>51</v>
      </c>
      <c r="E16" s="14">
        <v>42990</v>
      </c>
      <c r="F16" s="22" t="s">
        <v>42</v>
      </c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5">
        <v>130084</v>
      </c>
      <c r="C17" s="11" t="s">
        <v>24</v>
      </c>
      <c r="D17" s="9" t="s">
        <v>53</v>
      </c>
      <c r="E17" s="10">
        <v>42991</v>
      </c>
      <c r="F17" s="22" t="s">
        <v>42</v>
      </c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5">
        <v>130076</v>
      </c>
      <c r="C18" s="11" t="s">
        <v>24</v>
      </c>
      <c r="D18" s="9" t="s">
        <v>54</v>
      </c>
      <c r="E18" s="10">
        <v>42991</v>
      </c>
      <c r="F18" s="22" t="s">
        <v>42</v>
      </c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5">
        <v>130028</v>
      </c>
      <c r="C19" s="11" t="s">
        <v>24</v>
      </c>
      <c r="D19" s="9" t="s">
        <v>55</v>
      </c>
      <c r="E19" s="10">
        <v>42992</v>
      </c>
      <c r="F19" s="22" t="s">
        <v>42</v>
      </c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5">
        <v>130158</v>
      </c>
      <c r="C20" s="11" t="s">
        <v>24</v>
      </c>
      <c r="D20" s="9" t="s">
        <v>57</v>
      </c>
      <c r="E20" s="10">
        <v>42992</v>
      </c>
      <c r="F20" s="22" t="s">
        <v>42</v>
      </c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5">
        <v>130085</v>
      </c>
      <c r="C21" s="11" t="s">
        <v>24</v>
      </c>
      <c r="D21" s="9" t="s">
        <v>58</v>
      </c>
      <c r="E21" s="10">
        <v>42992</v>
      </c>
      <c r="F21" s="22" t="s">
        <v>42</v>
      </c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5">
        <v>130262</v>
      </c>
      <c r="C22" s="11" t="s">
        <v>24</v>
      </c>
      <c r="D22" s="9" t="s">
        <v>59</v>
      </c>
      <c r="E22" s="10">
        <v>42992</v>
      </c>
      <c r="F22" s="22" t="s">
        <v>42</v>
      </c>
      <c r="G22" s="12">
        <v>1</v>
      </c>
    </row>
    <row r="23" spans="1:10" ht="15" customHeight="1" x14ac:dyDescent="0.25">
      <c r="A23" s="17">
        <f t="shared" si="0"/>
        <v>17</v>
      </c>
      <c r="B23" s="15">
        <v>130260</v>
      </c>
      <c r="C23" s="11" t="s">
        <v>24</v>
      </c>
      <c r="D23" s="9" t="s">
        <v>56</v>
      </c>
      <c r="E23" s="10">
        <v>42992</v>
      </c>
      <c r="F23" s="22" t="s">
        <v>42</v>
      </c>
      <c r="G23" s="12">
        <v>1</v>
      </c>
    </row>
    <row r="24" spans="1:10" ht="15" customHeight="1" x14ac:dyDescent="0.25">
      <c r="A24" s="17">
        <f t="shared" si="0"/>
        <v>18</v>
      </c>
      <c r="B24" s="15">
        <v>130024</v>
      </c>
      <c r="C24" s="11" t="s">
        <v>24</v>
      </c>
      <c r="D24" s="9" t="s">
        <v>60</v>
      </c>
      <c r="E24" s="10">
        <v>42995</v>
      </c>
      <c r="F24" s="22" t="s">
        <v>42</v>
      </c>
      <c r="G24" s="12">
        <v>1</v>
      </c>
    </row>
    <row r="25" spans="1:10" ht="15" customHeight="1" x14ac:dyDescent="0.25">
      <c r="A25" s="17">
        <f t="shared" si="0"/>
        <v>19</v>
      </c>
      <c r="B25" s="15">
        <v>130007</v>
      </c>
      <c r="C25" s="11" t="s">
        <v>24</v>
      </c>
      <c r="D25" s="9" t="s">
        <v>61</v>
      </c>
      <c r="E25" s="10">
        <v>42995</v>
      </c>
      <c r="F25" s="22" t="s">
        <v>42</v>
      </c>
      <c r="G25" s="12">
        <v>1</v>
      </c>
    </row>
    <row r="26" spans="1:10" ht="15" customHeight="1" x14ac:dyDescent="0.25">
      <c r="A26" s="17">
        <f t="shared" si="0"/>
        <v>20</v>
      </c>
      <c r="B26" s="15">
        <v>13</v>
      </c>
      <c r="C26" s="11" t="s">
        <v>24</v>
      </c>
      <c r="D26" s="9" t="s">
        <v>64</v>
      </c>
      <c r="E26" s="10">
        <v>42996</v>
      </c>
      <c r="F26" s="22" t="s">
        <v>65</v>
      </c>
      <c r="G26" s="12">
        <v>1</v>
      </c>
    </row>
    <row r="27" spans="1:10" ht="15" customHeight="1" x14ac:dyDescent="0.25">
      <c r="A27" s="17">
        <f t="shared" si="0"/>
        <v>21</v>
      </c>
      <c r="B27" s="15">
        <v>13</v>
      </c>
      <c r="C27" s="11" t="s">
        <v>24</v>
      </c>
      <c r="D27" s="9" t="s">
        <v>68</v>
      </c>
      <c r="E27" s="10">
        <v>42996</v>
      </c>
      <c r="F27" s="22" t="s">
        <v>69</v>
      </c>
      <c r="G27" s="23">
        <v>1</v>
      </c>
    </row>
    <row r="28" spans="1:10" ht="15" customHeight="1" x14ac:dyDescent="0.25">
      <c r="A28" s="17">
        <f t="shared" si="0"/>
        <v>22</v>
      </c>
      <c r="B28" s="15">
        <v>13</v>
      </c>
      <c r="C28" s="11" t="s">
        <v>24</v>
      </c>
      <c r="D28" s="9" t="s">
        <v>66</v>
      </c>
      <c r="E28" s="10">
        <v>42996</v>
      </c>
      <c r="F28" s="22" t="s">
        <v>67</v>
      </c>
      <c r="G28" s="23">
        <v>1</v>
      </c>
    </row>
    <row r="29" spans="1:10" ht="15" customHeight="1" x14ac:dyDescent="0.25">
      <c r="A29" s="17">
        <f t="shared" si="0"/>
        <v>23</v>
      </c>
      <c r="B29" s="15">
        <v>13</v>
      </c>
      <c r="C29" s="11" t="s">
        <v>24</v>
      </c>
      <c r="D29" s="9" t="s">
        <v>62</v>
      </c>
      <c r="E29" s="10">
        <v>42996</v>
      </c>
      <c r="F29" s="22" t="s">
        <v>63</v>
      </c>
      <c r="G29" s="23">
        <v>1</v>
      </c>
    </row>
    <row r="30" spans="1:10" ht="15" customHeight="1" x14ac:dyDescent="0.25">
      <c r="A30" s="17">
        <f t="shared" si="0"/>
        <v>24</v>
      </c>
      <c r="B30" s="15">
        <v>131577</v>
      </c>
      <c r="C30" s="11" t="s">
        <v>24</v>
      </c>
      <c r="D30" s="9" t="s">
        <v>73</v>
      </c>
      <c r="E30" s="10">
        <v>42998</v>
      </c>
      <c r="F30" s="22" t="s">
        <v>42</v>
      </c>
      <c r="G30" s="23">
        <v>1</v>
      </c>
    </row>
    <row r="31" spans="1:10" ht="15" customHeight="1" x14ac:dyDescent="0.25">
      <c r="A31" s="17">
        <f t="shared" si="0"/>
        <v>25</v>
      </c>
      <c r="B31" s="15">
        <v>130515</v>
      </c>
      <c r="C31" s="11" t="s">
        <v>24</v>
      </c>
      <c r="D31" s="9" t="s">
        <v>72</v>
      </c>
      <c r="E31" s="10">
        <v>42998</v>
      </c>
      <c r="F31" s="22" t="s">
        <v>42</v>
      </c>
      <c r="G31" s="23">
        <v>1</v>
      </c>
    </row>
    <row r="32" spans="1:10" ht="15" customHeight="1" x14ac:dyDescent="0.25">
      <c r="A32" s="17">
        <f t="shared" si="0"/>
        <v>26</v>
      </c>
      <c r="B32" s="15">
        <v>130081</v>
      </c>
      <c r="C32" s="11" t="s">
        <v>24</v>
      </c>
      <c r="D32" s="9" t="s">
        <v>71</v>
      </c>
      <c r="E32" s="10">
        <v>42998</v>
      </c>
      <c r="F32" s="22" t="s">
        <v>42</v>
      </c>
      <c r="G32" s="23">
        <v>1</v>
      </c>
    </row>
    <row r="33" spans="1:7" ht="15" customHeight="1" x14ac:dyDescent="0.25">
      <c r="A33" s="17">
        <f t="shared" si="0"/>
        <v>27</v>
      </c>
      <c r="B33" s="15">
        <v>130196</v>
      </c>
      <c r="C33" s="11" t="s">
        <v>24</v>
      </c>
      <c r="D33" s="9" t="s">
        <v>74</v>
      </c>
      <c r="E33" s="10">
        <v>43003</v>
      </c>
      <c r="F33" s="22" t="s">
        <v>42</v>
      </c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30"/>
      <c r="D38" s="31"/>
      <c r="E38" s="28"/>
      <c r="F38" s="29"/>
      <c r="G38" s="23">
        <v>1</v>
      </c>
    </row>
    <row r="39" spans="1:7" ht="15" customHeight="1" x14ac:dyDescent="0.25">
      <c r="A39" s="24"/>
      <c r="B39" s="25"/>
      <c r="C39" s="30"/>
      <c r="D39" s="31"/>
      <c r="E39" s="28"/>
      <c r="F39" s="29"/>
      <c r="G39" s="23">
        <v>1</v>
      </c>
    </row>
    <row r="40" spans="1:7" ht="15" customHeight="1" x14ac:dyDescent="0.25">
      <c r="A40" s="24"/>
      <c r="B40" s="25"/>
      <c r="C40" s="30"/>
      <c r="D40" s="31"/>
      <c r="E40" s="28"/>
      <c r="F40" s="29"/>
      <c r="G40" s="23">
        <v>1</v>
      </c>
    </row>
    <row r="41" spans="1:7" ht="15" customHeight="1" x14ac:dyDescent="0.25">
      <c r="A41" s="24"/>
      <c r="B41" s="25"/>
      <c r="C41" s="30"/>
      <c r="D41" s="31"/>
      <c r="E41" s="28"/>
      <c r="F41" s="29"/>
      <c r="G41" s="23">
        <v>1</v>
      </c>
    </row>
    <row r="42" spans="1:7" ht="15" customHeight="1" x14ac:dyDescent="0.25">
      <c r="A42" s="24"/>
      <c r="B42" s="25"/>
      <c r="C42" s="30"/>
      <c r="D42" s="31"/>
      <c r="E42" s="28"/>
      <c r="F42" s="29"/>
      <c r="G42" s="23">
        <v>1</v>
      </c>
    </row>
    <row r="43" spans="1:7" ht="15" customHeight="1" x14ac:dyDescent="0.25">
      <c r="A43" s="24"/>
      <c r="B43" s="25"/>
      <c r="C43" s="30"/>
      <c r="D43" s="31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26"/>
      <c r="D46" s="27"/>
      <c r="E46" s="28"/>
      <c r="F46" s="29"/>
      <c r="G46" s="23">
        <v>1</v>
      </c>
    </row>
    <row r="47" spans="1:7" ht="15" customHeight="1" x14ac:dyDescent="0.25">
      <c r="A47" s="24"/>
      <c r="B47" s="32"/>
      <c r="C47" s="32"/>
      <c r="D47" s="27"/>
      <c r="E47" s="28"/>
      <c r="F47" s="29"/>
      <c r="G47" s="23">
        <v>1</v>
      </c>
    </row>
    <row r="48" spans="1:7" ht="15" customHeight="1" x14ac:dyDescent="0.25">
      <c r="A48" s="24"/>
      <c r="B48" s="32"/>
      <c r="C48" s="32"/>
      <c r="D48" s="33"/>
      <c r="E48" s="28"/>
      <c r="F48" s="29"/>
      <c r="G48" s="23">
        <v>1</v>
      </c>
    </row>
    <row r="49" spans="1:7" ht="15" customHeight="1" x14ac:dyDescent="0.25">
      <c r="A49" s="24"/>
      <c r="B49" s="32"/>
      <c r="C49" s="32"/>
      <c r="D49" s="33"/>
      <c r="E49" s="28"/>
      <c r="F49" s="29"/>
      <c r="G49" s="23">
        <v>1</v>
      </c>
    </row>
    <row r="50" spans="1:7" ht="15" customHeight="1" x14ac:dyDescent="0.25">
      <c r="A50" s="24"/>
      <c r="B50" s="32"/>
      <c r="C50" s="32"/>
      <c r="D50" s="33"/>
      <c r="E50" s="34"/>
      <c r="F50" s="35"/>
      <c r="G50" s="23">
        <v>1</v>
      </c>
    </row>
    <row r="51" spans="1:7" ht="15" customHeight="1" x14ac:dyDescent="0.25">
      <c r="A51" s="24"/>
      <c r="B51" s="32"/>
      <c r="C51" s="32"/>
      <c r="D51" s="33"/>
      <c r="E51" s="34"/>
      <c r="F51" s="35"/>
      <c r="G51" s="23">
        <v>1</v>
      </c>
    </row>
    <row r="52" spans="1:7" ht="15" customHeight="1" x14ac:dyDescent="0.25">
      <c r="A52" s="24"/>
      <c r="B52" s="32"/>
      <c r="C52" s="32"/>
      <c r="D52" s="32"/>
      <c r="E52" s="34"/>
      <c r="F52" s="35"/>
      <c r="G52" s="23">
        <v>1</v>
      </c>
    </row>
    <row r="53" spans="1:7" ht="15" customHeight="1" x14ac:dyDescent="0.25">
      <c r="A53" s="24"/>
      <c r="B53" s="25"/>
      <c r="C53" s="30"/>
      <c r="D53" s="31"/>
      <c r="E53" s="25"/>
      <c r="F53" s="36"/>
      <c r="G53" s="23">
        <v>1</v>
      </c>
    </row>
    <row r="54" spans="1:7" ht="15" customHeight="1" x14ac:dyDescent="0.25">
      <c r="A54" s="24"/>
      <c r="B54" s="37"/>
      <c r="C54" s="37"/>
      <c r="D54" s="38"/>
      <c r="E54" s="25"/>
      <c r="F54" s="36"/>
      <c r="G54" s="23">
        <v>1</v>
      </c>
    </row>
    <row r="55" spans="1:7" ht="15" customHeight="1" x14ac:dyDescent="0.25">
      <c r="A55" s="24"/>
      <c r="B55" s="39"/>
      <c r="C55" s="40"/>
      <c r="D55" s="41"/>
      <c r="E55" s="39"/>
      <c r="F55" s="42"/>
      <c r="G55" s="23">
        <v>1</v>
      </c>
    </row>
    <row r="56" spans="1:7" ht="15" customHeight="1" x14ac:dyDescent="0.25">
      <c r="A56" s="24"/>
      <c r="B56" s="37"/>
      <c r="C56" s="37"/>
      <c r="D56" s="38"/>
      <c r="E56" s="25"/>
      <c r="F56" s="43"/>
      <c r="G56" s="23">
        <v>1</v>
      </c>
    </row>
    <row r="57" spans="1:7" ht="15" customHeight="1" x14ac:dyDescent="0.25">
      <c r="A57" s="24"/>
      <c r="B57" s="37"/>
      <c r="C57" s="37"/>
      <c r="D57" s="38"/>
      <c r="E57" s="25"/>
      <c r="F57" s="36"/>
      <c r="G57" s="23">
        <v>1</v>
      </c>
    </row>
    <row r="58" spans="1:7" ht="15" customHeight="1" x14ac:dyDescent="0.25">
      <c r="A58" s="24"/>
      <c r="B58" s="32"/>
      <c r="C58" s="32"/>
      <c r="D58" s="33"/>
      <c r="E58" s="34"/>
      <c r="F58" s="35"/>
      <c r="G58" s="23">
        <v>1</v>
      </c>
    </row>
    <row r="59" spans="1:7" ht="15" customHeight="1" x14ac:dyDescent="0.25">
      <c r="A59" s="24"/>
      <c r="B59" s="32"/>
      <c r="C59" s="32"/>
      <c r="D59" s="33"/>
      <c r="E59" s="34"/>
      <c r="F59" s="35"/>
      <c r="G59" s="23">
        <v>1</v>
      </c>
    </row>
    <row r="60" spans="1:7" ht="15" customHeight="1" x14ac:dyDescent="0.25">
      <c r="A60" s="24"/>
      <c r="B60" s="32"/>
      <c r="C60" s="32"/>
      <c r="D60" s="33"/>
      <c r="E60" s="34"/>
      <c r="F60" s="35"/>
      <c r="G60" s="23">
        <v>1</v>
      </c>
    </row>
  </sheetData>
  <sortState ref="B7:F33">
    <sortCondition ref="E7:E33"/>
    <sortCondition ref="D7:D33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workbookViewId="0">
      <selection activeCell="I6" sqref="I6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22" customWidth="1"/>
    <col min="7" max="7" width="1.85546875" hidden="1" customWidth="1"/>
    <col min="8" max="8" width="29.85546875" customWidth="1"/>
  </cols>
  <sheetData>
    <row r="1" spans="1:11" ht="18" x14ac:dyDescent="0.25">
      <c r="A1" s="52" t="s">
        <v>0</v>
      </c>
      <c r="B1" s="52"/>
      <c r="C1" s="5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3" t="s">
        <v>2</v>
      </c>
      <c r="B2" s="53"/>
      <c r="C2" s="53"/>
      <c r="D2" s="6"/>
      <c r="E2" s="5" t="s">
        <v>3</v>
      </c>
      <c r="F2" s="5"/>
      <c r="G2" s="4"/>
      <c r="H2" s="4"/>
      <c r="I2" s="50" t="s">
        <v>4</v>
      </c>
      <c r="J2" s="51"/>
      <c r="K2" s="18">
        <f ca="1">SUMIF(F7:F128,"Elimination*",G7:G78)</f>
        <v>4</v>
      </c>
    </row>
    <row r="3" spans="1:11" x14ac:dyDescent="0.25">
      <c r="A3" s="54" t="s">
        <v>5</v>
      </c>
      <c r="B3" s="54"/>
      <c r="C3" s="54"/>
      <c r="D3" s="5"/>
      <c r="E3" s="5" t="s">
        <v>16</v>
      </c>
      <c r="F3" s="4"/>
      <c r="G3" s="4"/>
      <c r="H3" s="4"/>
      <c r="I3" s="50" t="s">
        <v>6</v>
      </c>
      <c r="J3" s="51"/>
      <c r="K3" s="18">
        <f ca="1">SUMIF(F7:F128,"NB*",G7:G78)</f>
        <v>1</v>
      </c>
    </row>
    <row r="4" spans="1:11" ht="18" x14ac:dyDescent="0.25">
      <c r="A4" s="52" t="s">
        <v>7</v>
      </c>
      <c r="B4" s="52"/>
      <c r="C4" s="52"/>
      <c r="D4" s="52"/>
      <c r="E4" s="52"/>
      <c r="F4" s="52"/>
      <c r="G4" s="4"/>
      <c r="H4" s="4"/>
      <c r="I4" s="50" t="s">
        <v>8</v>
      </c>
      <c r="J4" s="51"/>
      <c r="K4" s="18">
        <f ca="1">SUMIF(F7:F128,"Ve*",G7:G78)</f>
        <v>0</v>
      </c>
    </row>
    <row r="5" spans="1:11" ht="15.75" x14ac:dyDescent="0.25">
      <c r="A5" s="49" t="s">
        <v>111</v>
      </c>
      <c r="B5" s="49"/>
      <c r="C5" s="49"/>
      <c r="D5" s="49"/>
      <c r="E5" s="49"/>
      <c r="F5" s="49"/>
      <c r="G5" s="19"/>
      <c r="H5" s="19"/>
      <c r="I5" s="50" t="s">
        <v>9</v>
      </c>
      <c r="J5" s="51"/>
      <c r="K5" s="20">
        <f ca="1">SUM(K2:K4)</f>
        <v>5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47" t="s">
        <v>85</v>
      </c>
      <c r="C7" s="11" t="s">
        <v>24</v>
      </c>
      <c r="D7" s="9" t="s">
        <v>89</v>
      </c>
      <c r="E7" s="14">
        <v>43010</v>
      </c>
      <c r="F7" s="22" t="s">
        <v>42</v>
      </c>
      <c r="G7" s="12">
        <v>1</v>
      </c>
      <c r="H7" s="45"/>
      <c r="I7" s="46"/>
      <c r="J7" s="2"/>
    </row>
    <row r="8" spans="1:11" ht="15" customHeight="1" x14ac:dyDescent="0.25">
      <c r="A8" s="17">
        <f>+A7+1</f>
        <v>2</v>
      </c>
      <c r="B8" s="47" t="s">
        <v>84</v>
      </c>
      <c r="C8" s="11" t="s">
        <v>24</v>
      </c>
      <c r="D8" s="9" t="s">
        <v>88</v>
      </c>
      <c r="E8" s="14">
        <v>43010</v>
      </c>
      <c r="F8" s="22" t="s">
        <v>42</v>
      </c>
      <c r="G8" s="12">
        <v>1</v>
      </c>
      <c r="H8" s="1"/>
      <c r="I8" s="1"/>
      <c r="J8" s="2"/>
    </row>
    <row r="9" spans="1:11" ht="15" customHeight="1" x14ac:dyDescent="0.25">
      <c r="A9" s="17">
        <f>+A8+1</f>
        <v>3</v>
      </c>
      <c r="B9" s="47" t="s">
        <v>86</v>
      </c>
      <c r="C9" s="11" t="s">
        <v>24</v>
      </c>
      <c r="D9" s="9" t="s">
        <v>90</v>
      </c>
      <c r="E9" s="14">
        <v>43020</v>
      </c>
      <c r="F9" s="22" t="s">
        <v>42</v>
      </c>
      <c r="G9" s="12">
        <v>1</v>
      </c>
      <c r="H9" s="45"/>
      <c r="I9" s="46"/>
      <c r="J9" s="2"/>
    </row>
    <row r="10" spans="1:11" ht="15" customHeight="1" x14ac:dyDescent="0.25">
      <c r="A10" s="17">
        <f>+A9+1</f>
        <v>4</v>
      </c>
      <c r="B10" s="47" t="s">
        <v>87</v>
      </c>
      <c r="C10" s="11">
        <v>30</v>
      </c>
      <c r="D10" s="9" t="s">
        <v>91</v>
      </c>
      <c r="E10" s="14">
        <v>43033</v>
      </c>
      <c r="F10" s="22" t="s">
        <v>42</v>
      </c>
      <c r="G10" s="12">
        <v>1</v>
      </c>
      <c r="H10" s="1"/>
      <c r="I10" s="2"/>
      <c r="J10" s="1"/>
    </row>
    <row r="11" spans="1:11" ht="15" customHeight="1" x14ac:dyDescent="0.25">
      <c r="A11" s="17">
        <f>+A10+1</f>
        <v>5</v>
      </c>
      <c r="B11" s="15">
        <v>13</v>
      </c>
      <c r="C11" s="11" t="s">
        <v>24</v>
      </c>
      <c r="D11" s="9" t="s">
        <v>75</v>
      </c>
      <c r="E11" s="14">
        <v>43037</v>
      </c>
      <c r="F11" s="22" t="s">
        <v>76</v>
      </c>
      <c r="G11" s="12">
        <v>1</v>
      </c>
      <c r="H11" s="45" t="s">
        <v>77</v>
      </c>
      <c r="I11" s="1"/>
      <c r="J11" s="1"/>
    </row>
    <row r="12" spans="1:11" ht="15" customHeight="1" x14ac:dyDescent="0.25">
      <c r="A12" s="17">
        <f>+A11+1</f>
        <v>6</v>
      </c>
      <c r="B12" s="47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 x14ac:dyDescent="0.25">
      <c r="A13" s="17">
        <f t="shared" ref="A13:A33" si="0">+A12+1</f>
        <v>7</v>
      </c>
      <c r="B13" s="47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47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47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47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5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5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5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5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5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5"/>
      <c r="C22" s="11"/>
      <c r="D22" s="9"/>
      <c r="E22" s="10"/>
      <c r="F22" s="22"/>
      <c r="G22" s="12">
        <v>1</v>
      </c>
    </row>
    <row r="23" spans="1:10" ht="15" customHeight="1" x14ac:dyDescent="0.25">
      <c r="A23" s="17">
        <f t="shared" si="0"/>
        <v>17</v>
      </c>
      <c r="B23" s="15"/>
      <c r="C23" s="11"/>
      <c r="D23" s="9"/>
      <c r="E23" s="10"/>
      <c r="F23" s="22"/>
      <c r="G23" s="12">
        <v>1</v>
      </c>
    </row>
    <row r="24" spans="1:10" ht="15" customHeight="1" x14ac:dyDescent="0.25">
      <c r="A24" s="17">
        <f t="shared" si="0"/>
        <v>18</v>
      </c>
      <c r="B24" s="15"/>
      <c r="C24" s="11"/>
      <c r="D24" s="9"/>
      <c r="E24" s="10"/>
      <c r="F24" s="22"/>
      <c r="G24" s="12">
        <v>1</v>
      </c>
    </row>
    <row r="25" spans="1:10" ht="15" customHeight="1" x14ac:dyDescent="0.25">
      <c r="A25" s="17">
        <f t="shared" si="0"/>
        <v>19</v>
      </c>
      <c r="B25" s="15"/>
      <c r="C25" s="11"/>
      <c r="D25" s="9"/>
      <c r="E25" s="10"/>
      <c r="F25" s="22"/>
      <c r="G25" s="12">
        <v>1</v>
      </c>
    </row>
    <row r="26" spans="1:10" ht="15" customHeight="1" x14ac:dyDescent="0.25">
      <c r="A26" s="17">
        <f t="shared" si="0"/>
        <v>20</v>
      </c>
      <c r="B26" s="15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5"/>
      <c r="C27" s="11"/>
      <c r="D27" s="9"/>
      <c r="E27" s="10"/>
      <c r="F27" s="22"/>
      <c r="G27" s="23">
        <v>1</v>
      </c>
    </row>
    <row r="28" spans="1:10" ht="15" customHeight="1" x14ac:dyDescent="0.25">
      <c r="A28" s="17">
        <f t="shared" si="0"/>
        <v>22</v>
      </c>
      <c r="B28" s="15"/>
      <c r="C28" s="11"/>
      <c r="D28" s="9"/>
      <c r="E28" s="10"/>
      <c r="F28" s="22"/>
      <c r="G28" s="23">
        <v>1</v>
      </c>
    </row>
    <row r="29" spans="1:10" ht="15" customHeight="1" x14ac:dyDescent="0.25">
      <c r="A29" s="17">
        <f t="shared" si="0"/>
        <v>23</v>
      </c>
      <c r="B29" s="15"/>
      <c r="C29" s="11"/>
      <c r="D29" s="9"/>
      <c r="E29" s="10"/>
      <c r="F29" s="22"/>
      <c r="G29" s="23">
        <v>1</v>
      </c>
    </row>
    <row r="30" spans="1:10" ht="15" customHeight="1" x14ac:dyDescent="0.25">
      <c r="A30" s="17">
        <f t="shared" si="0"/>
        <v>24</v>
      </c>
      <c r="B30" s="15"/>
      <c r="C30" s="11"/>
      <c r="D30" s="9"/>
      <c r="E30" s="10"/>
      <c r="F30" s="22"/>
      <c r="G30" s="23">
        <v>1</v>
      </c>
    </row>
    <row r="31" spans="1:10" ht="15" customHeight="1" x14ac:dyDescent="0.25">
      <c r="A31" s="17">
        <f t="shared" si="0"/>
        <v>25</v>
      </c>
      <c r="B31" s="15"/>
      <c r="C31" s="11"/>
      <c r="D31" s="9"/>
      <c r="E31" s="10"/>
      <c r="F31" s="22"/>
      <c r="G31" s="23">
        <v>1</v>
      </c>
    </row>
    <row r="32" spans="1:10" ht="15" customHeight="1" x14ac:dyDescent="0.25">
      <c r="A32" s="17">
        <f t="shared" si="0"/>
        <v>26</v>
      </c>
      <c r="B32" s="15"/>
      <c r="C32" s="11"/>
      <c r="D32" s="9"/>
      <c r="E32" s="10"/>
      <c r="F32" s="22"/>
      <c r="G32" s="23">
        <v>1</v>
      </c>
    </row>
    <row r="33" spans="1:7" ht="15" customHeight="1" x14ac:dyDescent="0.25">
      <c r="A33" s="17">
        <f t="shared" si="0"/>
        <v>27</v>
      </c>
      <c r="B33" s="15"/>
      <c r="C33" s="11"/>
      <c r="D33" s="9"/>
      <c r="E33" s="10"/>
      <c r="F33" s="22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30"/>
      <c r="D38" s="31"/>
      <c r="E38" s="28"/>
      <c r="F38" s="29"/>
      <c r="G38" s="23">
        <v>1</v>
      </c>
    </row>
    <row r="39" spans="1:7" ht="15" customHeight="1" x14ac:dyDescent="0.25">
      <c r="A39" s="24"/>
      <c r="B39" s="25"/>
      <c r="C39" s="30"/>
      <c r="D39" s="31"/>
      <c r="E39" s="28"/>
      <c r="F39" s="29"/>
      <c r="G39" s="23">
        <v>1</v>
      </c>
    </row>
    <row r="40" spans="1:7" ht="15" customHeight="1" x14ac:dyDescent="0.25">
      <c r="A40" s="24"/>
      <c r="B40" s="25"/>
      <c r="C40" s="30"/>
      <c r="D40" s="31"/>
      <c r="E40" s="28"/>
      <c r="F40" s="29"/>
      <c r="G40" s="23">
        <v>1</v>
      </c>
    </row>
    <row r="41" spans="1:7" ht="15" customHeight="1" x14ac:dyDescent="0.25">
      <c r="A41" s="24"/>
      <c r="B41" s="25"/>
      <c r="C41" s="30"/>
      <c r="D41" s="31"/>
      <c r="E41" s="28"/>
      <c r="F41" s="29"/>
      <c r="G41" s="23">
        <v>1</v>
      </c>
    </row>
    <row r="42" spans="1:7" ht="15" customHeight="1" x14ac:dyDescent="0.25">
      <c r="A42" s="24"/>
      <c r="B42" s="25"/>
      <c r="C42" s="30"/>
      <c r="D42" s="31"/>
      <c r="E42" s="28"/>
      <c r="F42" s="29"/>
      <c r="G42" s="23">
        <v>1</v>
      </c>
    </row>
    <row r="43" spans="1:7" ht="15" customHeight="1" x14ac:dyDescent="0.25">
      <c r="A43" s="24"/>
      <c r="B43" s="25"/>
      <c r="C43" s="30"/>
      <c r="D43" s="31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26"/>
      <c r="D46" s="27"/>
      <c r="E46" s="28"/>
      <c r="F46" s="29"/>
      <c r="G46" s="23">
        <v>1</v>
      </c>
    </row>
    <row r="47" spans="1:7" ht="15" customHeight="1" x14ac:dyDescent="0.25">
      <c r="A47" s="24"/>
      <c r="B47" s="32"/>
      <c r="C47" s="32"/>
      <c r="D47" s="27"/>
      <c r="E47" s="28"/>
      <c r="F47" s="29"/>
      <c r="G47" s="23">
        <v>1</v>
      </c>
    </row>
    <row r="48" spans="1:7" ht="15" customHeight="1" x14ac:dyDescent="0.25">
      <c r="A48" s="24"/>
      <c r="B48" s="32"/>
      <c r="C48" s="32"/>
      <c r="D48" s="33"/>
      <c r="E48" s="28"/>
      <c r="F48" s="29"/>
      <c r="G48" s="23">
        <v>1</v>
      </c>
    </row>
    <row r="49" spans="1:7" ht="15" customHeight="1" x14ac:dyDescent="0.25">
      <c r="A49" s="24"/>
      <c r="B49" s="32"/>
      <c r="C49" s="32"/>
      <c r="D49" s="33"/>
      <c r="E49" s="28"/>
      <c r="F49" s="29"/>
      <c r="G49" s="23">
        <v>1</v>
      </c>
    </row>
    <row r="50" spans="1:7" ht="15" customHeight="1" x14ac:dyDescent="0.25">
      <c r="A50" s="24"/>
      <c r="B50" s="32"/>
      <c r="C50" s="32"/>
      <c r="D50" s="33"/>
      <c r="E50" s="34"/>
      <c r="F50" s="35"/>
      <c r="G50" s="23">
        <v>1</v>
      </c>
    </row>
    <row r="51" spans="1:7" ht="15" customHeight="1" x14ac:dyDescent="0.25">
      <c r="A51" s="24"/>
      <c r="B51" s="32"/>
      <c r="C51" s="32"/>
      <c r="D51" s="33"/>
      <c r="E51" s="34"/>
      <c r="F51" s="35"/>
      <c r="G51" s="23">
        <v>1</v>
      </c>
    </row>
    <row r="52" spans="1:7" ht="15" customHeight="1" x14ac:dyDescent="0.25">
      <c r="A52" s="24"/>
      <c r="B52" s="32"/>
      <c r="C52" s="32"/>
      <c r="D52" s="32"/>
      <c r="E52" s="34"/>
      <c r="F52" s="35"/>
      <c r="G52" s="23">
        <v>1</v>
      </c>
    </row>
    <row r="53" spans="1:7" ht="15" customHeight="1" x14ac:dyDescent="0.25">
      <c r="A53" s="24"/>
      <c r="B53" s="25"/>
      <c r="C53" s="30"/>
      <c r="D53" s="31"/>
      <c r="E53" s="25"/>
      <c r="F53" s="36"/>
      <c r="G53" s="23">
        <v>1</v>
      </c>
    </row>
    <row r="54" spans="1:7" ht="15" customHeight="1" x14ac:dyDescent="0.25">
      <c r="A54" s="24"/>
      <c r="B54" s="37"/>
      <c r="C54" s="37"/>
      <c r="D54" s="38"/>
      <c r="E54" s="25"/>
      <c r="F54" s="36"/>
      <c r="G54" s="23">
        <v>1</v>
      </c>
    </row>
    <row r="55" spans="1:7" ht="15" customHeight="1" x14ac:dyDescent="0.25">
      <c r="A55" s="24"/>
      <c r="B55" s="39"/>
      <c r="C55" s="40"/>
      <c r="D55" s="41"/>
      <c r="E55" s="39"/>
      <c r="F55" s="42"/>
      <c r="G55" s="23">
        <v>1</v>
      </c>
    </row>
    <row r="56" spans="1:7" ht="15" customHeight="1" x14ac:dyDescent="0.25">
      <c r="A56" s="24"/>
      <c r="B56" s="37"/>
      <c r="C56" s="37"/>
      <c r="D56" s="38"/>
      <c r="E56" s="25"/>
      <c r="F56" s="43"/>
      <c r="G56" s="23">
        <v>1</v>
      </c>
    </row>
    <row r="57" spans="1:7" ht="15" customHeight="1" x14ac:dyDescent="0.25">
      <c r="A57" s="24"/>
      <c r="B57" s="37"/>
      <c r="C57" s="37"/>
      <c r="D57" s="38"/>
      <c r="E57" s="25"/>
      <c r="F57" s="36"/>
      <c r="G57" s="23">
        <v>1</v>
      </c>
    </row>
    <row r="58" spans="1:7" ht="15" customHeight="1" x14ac:dyDescent="0.25">
      <c r="A58" s="24"/>
      <c r="B58" s="32"/>
      <c r="C58" s="32"/>
      <c r="D58" s="33"/>
      <c r="E58" s="34"/>
      <c r="F58" s="35"/>
      <c r="G58" s="23">
        <v>1</v>
      </c>
    </row>
    <row r="59" spans="1:7" ht="15" customHeight="1" x14ac:dyDescent="0.25">
      <c r="A59" s="24"/>
      <c r="B59" s="32"/>
      <c r="C59" s="32"/>
      <c r="D59" s="33"/>
      <c r="E59" s="34"/>
      <c r="F59" s="35"/>
      <c r="G59" s="23">
        <v>1</v>
      </c>
    </row>
    <row r="60" spans="1:7" ht="15" customHeight="1" x14ac:dyDescent="0.25">
      <c r="A60" s="24"/>
      <c r="B60" s="32"/>
      <c r="C60" s="32"/>
      <c r="D60" s="33"/>
      <c r="E60" s="34"/>
      <c r="F60" s="35"/>
      <c r="G60" s="23">
        <v>1</v>
      </c>
    </row>
  </sheetData>
  <sortState ref="B7:H11">
    <sortCondition ref="E7:E11"/>
    <sortCondition ref="D7:D11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opLeftCell="A13" workbookViewId="0">
      <selection activeCell="H15" sqref="H15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3" max="3" width="12" bestFit="1" customWidth="1"/>
    <col min="6" max="6" width="22" customWidth="1"/>
    <col min="7" max="7" width="3.7109375" hidden="1" customWidth="1"/>
    <col min="8" max="8" width="29.85546875" customWidth="1"/>
  </cols>
  <sheetData>
    <row r="1" spans="1:11" ht="18" x14ac:dyDescent="0.25">
      <c r="A1" s="52" t="s">
        <v>0</v>
      </c>
      <c r="B1" s="52"/>
      <c r="C1" s="5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3" t="s">
        <v>2</v>
      </c>
      <c r="B2" s="53"/>
      <c r="C2" s="53"/>
      <c r="D2" s="6"/>
      <c r="E2" s="5" t="s">
        <v>3</v>
      </c>
      <c r="F2" s="5"/>
      <c r="G2" s="4"/>
      <c r="H2" s="4"/>
      <c r="I2" s="50" t="s">
        <v>4</v>
      </c>
      <c r="J2" s="51"/>
      <c r="K2" s="18">
        <f ca="1">SUMIF(F7:F123,"Elimination*",G7:G73)</f>
        <v>23</v>
      </c>
    </row>
    <row r="3" spans="1:11" x14ac:dyDescent="0.25">
      <c r="A3" s="54" t="s">
        <v>5</v>
      </c>
      <c r="B3" s="54"/>
      <c r="C3" s="54"/>
      <c r="D3" s="5"/>
      <c r="E3" s="5" t="s">
        <v>16</v>
      </c>
      <c r="F3" s="4"/>
      <c r="G3" s="4"/>
      <c r="H3" s="4"/>
      <c r="I3" s="50" t="s">
        <v>6</v>
      </c>
      <c r="J3" s="51"/>
      <c r="K3" s="18">
        <f ca="1">SUMIF(F7:F123,"NB*",G7:G73)</f>
        <v>0</v>
      </c>
    </row>
    <row r="4" spans="1:11" ht="18" x14ac:dyDescent="0.25">
      <c r="A4" s="52" t="s">
        <v>7</v>
      </c>
      <c r="B4" s="52"/>
      <c r="C4" s="52"/>
      <c r="D4" s="52"/>
      <c r="E4" s="52"/>
      <c r="F4" s="52"/>
      <c r="G4" s="4"/>
      <c r="H4" s="4"/>
      <c r="I4" s="50" t="s">
        <v>8</v>
      </c>
      <c r="J4" s="51"/>
      <c r="K4" s="18">
        <f ca="1">SUMIF(F7:F123,"Ve*",G7:G73)</f>
        <v>0</v>
      </c>
    </row>
    <row r="5" spans="1:11" ht="15.75" x14ac:dyDescent="0.25">
      <c r="A5" s="49" t="s">
        <v>110</v>
      </c>
      <c r="B5" s="49"/>
      <c r="C5" s="49"/>
      <c r="D5" s="49"/>
      <c r="E5" s="49"/>
      <c r="F5" s="49"/>
      <c r="G5" s="19"/>
      <c r="H5" s="19"/>
      <c r="I5" s="50" t="s">
        <v>9</v>
      </c>
      <c r="J5" s="51"/>
      <c r="K5" s="20">
        <f ca="1">SUM(K2:K4)</f>
        <v>23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47" t="s">
        <v>103</v>
      </c>
      <c r="C7" s="11">
        <v>2016321775</v>
      </c>
      <c r="D7" s="9" t="s">
        <v>24</v>
      </c>
      <c r="E7" s="10">
        <v>43046</v>
      </c>
      <c r="F7" s="22" t="s">
        <v>42</v>
      </c>
      <c r="G7" s="12">
        <v>1</v>
      </c>
      <c r="H7" s="48"/>
      <c r="I7" s="46"/>
      <c r="J7" s="2"/>
    </row>
    <row r="8" spans="1:11" ht="15" customHeight="1" x14ac:dyDescent="0.25">
      <c r="A8" s="17">
        <f>+A7+1</f>
        <v>2</v>
      </c>
      <c r="B8" s="47" t="s">
        <v>104</v>
      </c>
      <c r="C8" s="11">
        <v>2016321652</v>
      </c>
      <c r="D8" s="9" t="s">
        <v>24</v>
      </c>
      <c r="E8" s="10">
        <v>43047</v>
      </c>
      <c r="F8" s="22" t="s">
        <v>42</v>
      </c>
      <c r="G8" s="12">
        <v>1</v>
      </c>
      <c r="H8" s="48"/>
      <c r="I8" s="1"/>
      <c r="J8" s="2"/>
    </row>
    <row r="9" spans="1:11" ht="15" customHeight="1" x14ac:dyDescent="0.25">
      <c r="A9" s="17">
        <f>+A8+1</f>
        <v>3</v>
      </c>
      <c r="B9" s="47" t="s">
        <v>105</v>
      </c>
      <c r="C9" s="11">
        <v>2016321653</v>
      </c>
      <c r="D9" s="9" t="s">
        <v>24</v>
      </c>
      <c r="E9" s="10">
        <v>43051</v>
      </c>
      <c r="F9" s="22" t="s">
        <v>42</v>
      </c>
      <c r="G9" s="12">
        <v>1</v>
      </c>
      <c r="H9" s="1"/>
      <c r="I9" s="46"/>
      <c r="J9" s="2"/>
    </row>
    <row r="10" spans="1:11" ht="15" customHeight="1" x14ac:dyDescent="0.25">
      <c r="A10" s="17">
        <f>+A9+1</f>
        <v>4</v>
      </c>
      <c r="B10" s="47" t="s">
        <v>106</v>
      </c>
      <c r="C10" s="47" t="s">
        <v>108</v>
      </c>
      <c r="D10" s="9" t="s">
        <v>24</v>
      </c>
      <c r="E10" s="10">
        <v>43051</v>
      </c>
      <c r="F10" s="22" t="s">
        <v>42</v>
      </c>
      <c r="G10" s="12">
        <v>1</v>
      </c>
      <c r="H10" s="48"/>
      <c r="I10" s="2"/>
      <c r="J10" s="1"/>
    </row>
    <row r="11" spans="1:11" ht="15" customHeight="1" x14ac:dyDescent="0.25">
      <c r="A11" s="17">
        <f>+A10+1</f>
        <v>5</v>
      </c>
      <c r="B11" s="47" t="s">
        <v>107</v>
      </c>
      <c r="C11" s="47" t="s">
        <v>109</v>
      </c>
      <c r="D11" s="9" t="s">
        <v>24</v>
      </c>
      <c r="E11" s="10">
        <v>43053</v>
      </c>
      <c r="F11" s="22" t="s">
        <v>42</v>
      </c>
      <c r="G11" s="12">
        <v>1</v>
      </c>
      <c r="H11" s="1"/>
      <c r="I11" s="1"/>
      <c r="J11" s="1"/>
    </row>
    <row r="12" spans="1:11" ht="15" customHeight="1" x14ac:dyDescent="0.25">
      <c r="A12" s="17">
        <f>+A11+1</f>
        <v>6</v>
      </c>
      <c r="B12" s="47" t="s">
        <v>82</v>
      </c>
      <c r="C12" s="47">
        <v>2017015711</v>
      </c>
      <c r="D12" s="9" t="s">
        <v>24</v>
      </c>
      <c r="E12" s="14">
        <v>43055</v>
      </c>
      <c r="F12" s="22" t="s">
        <v>42</v>
      </c>
      <c r="G12" s="12">
        <v>1</v>
      </c>
      <c r="H12" s="1"/>
      <c r="I12" s="1"/>
      <c r="J12" s="1"/>
    </row>
    <row r="13" spans="1:11" ht="15" customHeight="1" x14ac:dyDescent="0.25">
      <c r="A13" s="17">
        <f t="shared" ref="A13:A29" si="0">+A12+1</f>
        <v>7</v>
      </c>
      <c r="B13" s="47" t="s">
        <v>78</v>
      </c>
      <c r="C13" s="47">
        <v>2017015712</v>
      </c>
      <c r="D13" s="9" t="s">
        <v>24</v>
      </c>
      <c r="E13" s="14">
        <v>43055</v>
      </c>
      <c r="F13" s="22" t="s">
        <v>42</v>
      </c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47" t="s">
        <v>80</v>
      </c>
      <c r="C14" s="47">
        <v>2017015713</v>
      </c>
      <c r="D14" s="9" t="s">
        <v>24</v>
      </c>
      <c r="E14" s="14">
        <v>43055</v>
      </c>
      <c r="F14" s="22" t="s">
        <v>42</v>
      </c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47" t="s">
        <v>81</v>
      </c>
      <c r="C15" s="47">
        <v>2017015714</v>
      </c>
      <c r="D15" s="9" t="s">
        <v>24</v>
      </c>
      <c r="E15" s="14">
        <v>43055</v>
      </c>
      <c r="F15" s="22" t="s">
        <v>42</v>
      </c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47" t="s">
        <v>79</v>
      </c>
      <c r="C16" s="47">
        <v>2017015715</v>
      </c>
      <c r="D16" s="9" t="s">
        <v>24</v>
      </c>
      <c r="E16" s="14">
        <v>43055</v>
      </c>
      <c r="F16" s="22" t="s">
        <v>42</v>
      </c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47" t="s">
        <v>83</v>
      </c>
      <c r="C17" s="47">
        <v>2017015716</v>
      </c>
      <c r="D17" s="9" t="s">
        <v>24</v>
      </c>
      <c r="E17" s="14">
        <v>43055</v>
      </c>
      <c r="F17" s="22" t="s">
        <v>42</v>
      </c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47" t="s">
        <v>92</v>
      </c>
      <c r="C18" s="47">
        <v>2017015718</v>
      </c>
      <c r="D18" s="9" t="s">
        <v>24</v>
      </c>
      <c r="E18" s="14">
        <v>43061</v>
      </c>
      <c r="F18" s="22" t="s">
        <v>42</v>
      </c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47" t="s">
        <v>93</v>
      </c>
      <c r="C19" s="47">
        <v>2017015717</v>
      </c>
      <c r="D19" s="9" t="s">
        <v>24</v>
      </c>
      <c r="E19" s="14">
        <v>43061</v>
      </c>
      <c r="F19" s="22" t="s">
        <v>42</v>
      </c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47" t="s">
        <v>94</v>
      </c>
      <c r="C20" s="47">
        <v>2017015719</v>
      </c>
      <c r="D20" s="9" t="s">
        <v>24</v>
      </c>
      <c r="E20" s="14">
        <v>43065</v>
      </c>
      <c r="F20" s="22" t="s">
        <v>42</v>
      </c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47" t="s">
        <v>95</v>
      </c>
      <c r="C21" s="47">
        <v>2017015720</v>
      </c>
      <c r="D21" s="9" t="s">
        <v>24</v>
      </c>
      <c r="E21" s="14">
        <v>43065</v>
      </c>
      <c r="F21" s="22" t="s">
        <v>42</v>
      </c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47" t="s">
        <v>96</v>
      </c>
      <c r="C22" s="47" t="s">
        <v>113</v>
      </c>
      <c r="D22" s="9" t="s">
        <v>24</v>
      </c>
      <c r="E22" s="14">
        <v>43065</v>
      </c>
      <c r="F22" s="22" t="s">
        <v>42</v>
      </c>
      <c r="G22" s="12">
        <v>1</v>
      </c>
    </row>
    <row r="23" spans="1:10" ht="15" customHeight="1" x14ac:dyDescent="0.25">
      <c r="A23" s="17">
        <f t="shared" si="0"/>
        <v>17</v>
      </c>
      <c r="B23" s="47" t="s">
        <v>97</v>
      </c>
      <c r="C23" s="47">
        <v>2016321657</v>
      </c>
      <c r="D23" s="9" t="s">
        <v>24</v>
      </c>
      <c r="E23" s="14">
        <v>43065</v>
      </c>
      <c r="F23" s="22" t="s">
        <v>42</v>
      </c>
      <c r="G23" s="12">
        <v>1</v>
      </c>
    </row>
    <row r="24" spans="1:10" ht="15" customHeight="1" x14ac:dyDescent="0.25">
      <c r="A24" s="17">
        <f t="shared" si="0"/>
        <v>18</v>
      </c>
      <c r="B24" s="47" t="s">
        <v>101</v>
      </c>
      <c r="C24" s="47">
        <v>2016321660</v>
      </c>
      <c r="D24" s="9" t="s">
        <v>24</v>
      </c>
      <c r="E24" s="10">
        <v>43066</v>
      </c>
      <c r="F24" s="22" t="s">
        <v>42</v>
      </c>
      <c r="G24" s="12">
        <v>1</v>
      </c>
    </row>
    <row r="25" spans="1:10" ht="15" customHeight="1" x14ac:dyDescent="0.25">
      <c r="A25" s="17">
        <f t="shared" si="0"/>
        <v>19</v>
      </c>
      <c r="B25" s="47" t="s">
        <v>98</v>
      </c>
      <c r="C25" s="47" t="s">
        <v>114</v>
      </c>
      <c r="D25" s="9" t="s">
        <v>24</v>
      </c>
      <c r="E25" s="10">
        <v>43066</v>
      </c>
      <c r="F25" s="22" t="s">
        <v>42</v>
      </c>
      <c r="G25" s="12">
        <v>1</v>
      </c>
    </row>
    <row r="26" spans="1:10" ht="15" customHeight="1" x14ac:dyDescent="0.25">
      <c r="A26" s="17">
        <f t="shared" si="0"/>
        <v>20</v>
      </c>
      <c r="B26" s="47" t="s">
        <v>99</v>
      </c>
      <c r="C26" s="47">
        <v>2016321655</v>
      </c>
      <c r="D26" s="9" t="s">
        <v>24</v>
      </c>
      <c r="E26" s="10">
        <v>43066</v>
      </c>
      <c r="F26" s="22" t="s">
        <v>42</v>
      </c>
      <c r="G26" s="12">
        <v>1</v>
      </c>
    </row>
    <row r="27" spans="1:10" ht="15" customHeight="1" x14ac:dyDescent="0.25">
      <c r="A27" s="17">
        <f t="shared" si="0"/>
        <v>21</v>
      </c>
      <c r="B27" s="47" t="s">
        <v>100</v>
      </c>
      <c r="C27" s="47">
        <v>2016321654</v>
      </c>
      <c r="D27" s="9" t="s">
        <v>24</v>
      </c>
      <c r="E27" s="10">
        <v>43066</v>
      </c>
      <c r="F27" s="22" t="s">
        <v>42</v>
      </c>
      <c r="G27" s="23">
        <v>1</v>
      </c>
    </row>
    <row r="28" spans="1:10" ht="15" customHeight="1" x14ac:dyDescent="0.25">
      <c r="A28" s="17">
        <f t="shared" si="0"/>
        <v>22</v>
      </c>
      <c r="B28" s="47" t="s">
        <v>112</v>
      </c>
      <c r="C28" s="47">
        <v>2016321659</v>
      </c>
      <c r="D28" s="9" t="s">
        <v>24</v>
      </c>
      <c r="E28" s="10">
        <v>43066</v>
      </c>
      <c r="F28" s="22" t="s">
        <v>42</v>
      </c>
      <c r="G28" s="23">
        <v>1</v>
      </c>
    </row>
    <row r="29" spans="1:10" ht="15" customHeight="1" x14ac:dyDescent="0.25">
      <c r="A29" s="17">
        <f t="shared" si="0"/>
        <v>23</v>
      </c>
      <c r="B29" s="47" t="s">
        <v>102</v>
      </c>
      <c r="C29" s="11">
        <v>2017015631</v>
      </c>
      <c r="D29" s="9" t="s">
        <v>24</v>
      </c>
      <c r="E29" s="10">
        <v>43068</v>
      </c>
      <c r="F29" s="22" t="s">
        <v>42</v>
      </c>
      <c r="G29" s="23">
        <v>1</v>
      </c>
    </row>
    <row r="30" spans="1:10" ht="15" customHeight="1" x14ac:dyDescent="0.25">
      <c r="A30" s="24"/>
      <c r="B30" s="25"/>
      <c r="C30" s="26"/>
      <c r="D30" s="27"/>
      <c r="E30" s="28"/>
      <c r="F30" s="29"/>
      <c r="G30" s="23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D32" s="27"/>
      <c r="E32" s="28"/>
      <c r="F32" s="29"/>
      <c r="G32" s="23">
        <v>1</v>
      </c>
    </row>
    <row r="33" spans="1:7" ht="15" customHeight="1" x14ac:dyDescent="0.25">
      <c r="A33" s="24"/>
      <c r="B33" s="25"/>
      <c r="C33" s="30"/>
      <c r="D33" s="31"/>
      <c r="E33" s="28"/>
      <c r="F33" s="29"/>
      <c r="G33" s="23">
        <v>1</v>
      </c>
    </row>
    <row r="34" spans="1:7" ht="15" customHeight="1" x14ac:dyDescent="0.25">
      <c r="A34" s="24"/>
      <c r="B34" s="25"/>
      <c r="C34" s="30"/>
      <c r="D34" s="31"/>
      <c r="E34" s="28"/>
      <c r="F34" s="29"/>
      <c r="G34" s="23">
        <v>1</v>
      </c>
    </row>
    <row r="35" spans="1:7" ht="15" customHeight="1" x14ac:dyDescent="0.25">
      <c r="A35" s="24"/>
      <c r="B35" s="25"/>
      <c r="C35" s="30"/>
      <c r="D35" s="31"/>
      <c r="E35" s="28"/>
      <c r="F35" s="29"/>
      <c r="G35" s="23">
        <v>1</v>
      </c>
    </row>
    <row r="36" spans="1:7" ht="15" customHeight="1" x14ac:dyDescent="0.25">
      <c r="A36" s="24"/>
      <c r="B36" s="25"/>
      <c r="C36" s="30"/>
      <c r="D36" s="31"/>
      <c r="E36" s="28"/>
      <c r="F36" s="29"/>
      <c r="G36" s="23">
        <v>1</v>
      </c>
    </row>
    <row r="37" spans="1:7" ht="15" customHeight="1" x14ac:dyDescent="0.25">
      <c r="A37" s="24"/>
      <c r="B37" s="25"/>
      <c r="C37" s="30"/>
      <c r="D37" s="31"/>
      <c r="E37" s="28"/>
      <c r="F37" s="29"/>
      <c r="G37" s="23">
        <v>1</v>
      </c>
    </row>
    <row r="38" spans="1:7" ht="15" customHeight="1" x14ac:dyDescent="0.25">
      <c r="A38" s="24"/>
      <c r="B38" s="25"/>
      <c r="C38" s="30"/>
      <c r="D38" s="31"/>
      <c r="E38" s="28"/>
      <c r="F38" s="29"/>
      <c r="G38" s="23">
        <v>1</v>
      </c>
    </row>
    <row r="39" spans="1:7" ht="15" customHeight="1" x14ac:dyDescent="0.25">
      <c r="A39" s="24"/>
      <c r="B39" s="25"/>
      <c r="C39" s="30"/>
      <c r="D39" s="31"/>
      <c r="E39" s="28"/>
      <c r="F39" s="29"/>
      <c r="G39" s="23">
        <v>1</v>
      </c>
    </row>
    <row r="40" spans="1:7" ht="15" customHeight="1" x14ac:dyDescent="0.25">
      <c r="A40" s="24"/>
      <c r="B40" s="25"/>
      <c r="C40" s="30"/>
      <c r="D40" s="31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32"/>
      <c r="C42" s="32"/>
      <c r="D42" s="27"/>
      <c r="E42" s="28"/>
      <c r="F42" s="29"/>
      <c r="G42" s="23">
        <v>1</v>
      </c>
    </row>
    <row r="43" spans="1:7" ht="15" customHeight="1" x14ac:dyDescent="0.25">
      <c r="A43" s="24"/>
      <c r="B43" s="32"/>
      <c r="C43" s="32"/>
      <c r="D43" s="33"/>
      <c r="E43" s="28"/>
      <c r="F43" s="29"/>
      <c r="G43" s="23">
        <v>1</v>
      </c>
    </row>
    <row r="44" spans="1:7" ht="15" customHeight="1" x14ac:dyDescent="0.25">
      <c r="A44" s="24"/>
      <c r="B44" s="32"/>
      <c r="C44" s="32"/>
      <c r="D44" s="33"/>
      <c r="E44" s="28"/>
      <c r="F44" s="29"/>
      <c r="G44" s="23">
        <v>1</v>
      </c>
    </row>
    <row r="45" spans="1:7" ht="15" customHeight="1" x14ac:dyDescent="0.25">
      <c r="A45" s="24"/>
      <c r="B45" s="32"/>
      <c r="C45" s="32"/>
      <c r="D45" s="33"/>
      <c r="E45" s="34"/>
      <c r="F45" s="35"/>
      <c r="G45" s="23">
        <v>1</v>
      </c>
    </row>
    <row r="46" spans="1:7" ht="15" customHeight="1" x14ac:dyDescent="0.25">
      <c r="A46" s="24"/>
      <c r="B46" s="32"/>
      <c r="C46" s="32"/>
      <c r="D46" s="33"/>
      <c r="E46" s="34"/>
      <c r="F46" s="35"/>
      <c r="G46" s="23">
        <v>1</v>
      </c>
    </row>
    <row r="47" spans="1:7" ht="15" customHeight="1" x14ac:dyDescent="0.25">
      <c r="A47" s="24"/>
      <c r="B47" s="32"/>
      <c r="C47" s="32"/>
      <c r="D47" s="32"/>
      <c r="E47" s="34"/>
      <c r="F47" s="35"/>
      <c r="G47" s="23">
        <v>1</v>
      </c>
    </row>
    <row r="48" spans="1:7" ht="15" customHeight="1" x14ac:dyDescent="0.25">
      <c r="A48" s="24"/>
      <c r="B48" s="25"/>
      <c r="C48" s="30"/>
      <c r="D48" s="31"/>
      <c r="E48" s="25"/>
      <c r="F48" s="36"/>
      <c r="G48" s="23">
        <v>1</v>
      </c>
    </row>
    <row r="49" spans="1:7" ht="15" customHeight="1" x14ac:dyDescent="0.25">
      <c r="A49" s="24"/>
      <c r="B49" s="37"/>
      <c r="C49" s="37"/>
      <c r="D49" s="38"/>
      <c r="E49" s="25"/>
      <c r="F49" s="36"/>
      <c r="G49" s="23">
        <v>1</v>
      </c>
    </row>
    <row r="50" spans="1:7" ht="15" customHeight="1" x14ac:dyDescent="0.25">
      <c r="A50" s="24"/>
      <c r="B50" s="39"/>
      <c r="C50" s="40"/>
      <c r="D50" s="41"/>
      <c r="E50" s="39"/>
      <c r="F50" s="42"/>
      <c r="G50" s="23">
        <v>1</v>
      </c>
    </row>
    <row r="51" spans="1:7" ht="15" customHeight="1" x14ac:dyDescent="0.25">
      <c r="A51" s="24"/>
      <c r="B51" s="37"/>
      <c r="C51" s="37"/>
      <c r="D51" s="38"/>
      <c r="E51" s="25"/>
      <c r="F51" s="43"/>
      <c r="G51" s="23">
        <v>1</v>
      </c>
    </row>
    <row r="52" spans="1:7" ht="15" customHeight="1" x14ac:dyDescent="0.25">
      <c r="A52" s="24"/>
      <c r="B52" s="37"/>
      <c r="C52" s="37"/>
      <c r="D52" s="38"/>
      <c r="E52" s="25"/>
      <c r="F52" s="36"/>
      <c r="G52" s="23">
        <v>1</v>
      </c>
    </row>
    <row r="53" spans="1:7" ht="15" customHeight="1" x14ac:dyDescent="0.25">
      <c r="A53" s="24"/>
      <c r="B53" s="32"/>
      <c r="C53" s="32"/>
      <c r="D53" s="33"/>
      <c r="E53" s="34"/>
      <c r="F53" s="35"/>
      <c r="G53" s="23">
        <v>1</v>
      </c>
    </row>
    <row r="54" spans="1:7" ht="15" customHeight="1" x14ac:dyDescent="0.25">
      <c r="A54" s="24"/>
      <c r="B54" s="32"/>
      <c r="C54" s="32"/>
      <c r="D54" s="33"/>
      <c r="E54" s="34"/>
      <c r="F54" s="35"/>
      <c r="G54" s="23">
        <v>1</v>
      </c>
    </row>
    <row r="55" spans="1:7" ht="15" customHeight="1" x14ac:dyDescent="0.25">
      <c r="A55" s="24"/>
      <c r="B55" s="32"/>
      <c r="C55" s="32"/>
      <c r="D55" s="33"/>
      <c r="E55" s="34"/>
      <c r="F55" s="35"/>
      <c r="G55" s="23">
        <v>1</v>
      </c>
    </row>
  </sheetData>
  <sortState ref="B7:F29">
    <sortCondition ref="E7:E29"/>
    <sortCondition ref="D7:D29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workbookViewId="0">
      <selection activeCell="B9" sqref="B9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3" max="3" width="12" bestFit="1" customWidth="1"/>
    <col min="6" max="6" width="22" customWidth="1"/>
    <col min="7" max="7" width="3.7109375" hidden="1" customWidth="1"/>
    <col min="8" max="8" width="29.85546875" customWidth="1"/>
  </cols>
  <sheetData>
    <row r="1" spans="1:11" ht="18" x14ac:dyDescent="0.25">
      <c r="A1" s="52" t="s">
        <v>0</v>
      </c>
      <c r="B1" s="52"/>
      <c r="C1" s="5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3" t="s">
        <v>2</v>
      </c>
      <c r="B2" s="53"/>
      <c r="C2" s="53"/>
      <c r="D2" s="6"/>
      <c r="E2" s="5" t="s">
        <v>3</v>
      </c>
      <c r="F2" s="5"/>
      <c r="G2" s="4"/>
      <c r="H2" s="4"/>
      <c r="I2" s="50" t="s">
        <v>4</v>
      </c>
      <c r="J2" s="51"/>
      <c r="K2" s="18">
        <f ca="1">SUMIF(F7:F123,"Elimination*",G7:G73)</f>
        <v>4</v>
      </c>
    </row>
    <row r="3" spans="1:11" x14ac:dyDescent="0.25">
      <c r="A3" s="54" t="s">
        <v>5</v>
      </c>
      <c r="B3" s="54"/>
      <c r="C3" s="54"/>
      <c r="D3" s="5"/>
      <c r="E3" s="5" t="s">
        <v>16</v>
      </c>
      <c r="F3" s="4"/>
      <c r="G3" s="4"/>
      <c r="H3" s="4"/>
      <c r="I3" s="50" t="s">
        <v>6</v>
      </c>
      <c r="J3" s="51"/>
      <c r="K3" s="18">
        <f ca="1">SUMIF(F7:F123,"NB*",G7:G73)</f>
        <v>1</v>
      </c>
    </row>
    <row r="4" spans="1:11" ht="18" x14ac:dyDescent="0.25">
      <c r="A4" s="52" t="s">
        <v>7</v>
      </c>
      <c r="B4" s="52"/>
      <c r="C4" s="52"/>
      <c r="D4" s="52"/>
      <c r="E4" s="52"/>
      <c r="F4" s="52"/>
      <c r="G4" s="4"/>
      <c r="H4" s="4"/>
      <c r="I4" s="50" t="s">
        <v>8</v>
      </c>
      <c r="J4" s="51"/>
      <c r="K4" s="18">
        <f ca="1">SUMIF(F7:F123,"Ve*",G7:G73)</f>
        <v>0</v>
      </c>
    </row>
    <row r="5" spans="1:11" ht="15.75" x14ac:dyDescent="0.25">
      <c r="A5" s="49" t="s">
        <v>117</v>
      </c>
      <c r="B5" s="49"/>
      <c r="C5" s="49"/>
      <c r="D5" s="49"/>
      <c r="E5" s="49"/>
      <c r="F5" s="49"/>
      <c r="G5" s="19"/>
      <c r="H5" s="19"/>
      <c r="I5" s="50" t="s">
        <v>9</v>
      </c>
      <c r="J5" s="51"/>
      <c r="K5" s="20">
        <f ca="1">SUM(K2:K4)</f>
        <v>5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47" t="s">
        <v>115</v>
      </c>
      <c r="C7" s="11" t="s">
        <v>24</v>
      </c>
      <c r="D7" s="9" t="s">
        <v>116</v>
      </c>
      <c r="E7" s="10">
        <v>43075</v>
      </c>
      <c r="F7" s="22" t="s">
        <v>42</v>
      </c>
      <c r="G7" s="12">
        <v>1</v>
      </c>
      <c r="H7" s="48"/>
      <c r="I7" s="46"/>
      <c r="J7" s="2"/>
    </row>
    <row r="8" spans="1:11" ht="15" customHeight="1" x14ac:dyDescent="0.25">
      <c r="A8" s="17">
        <f>+A7+1</f>
        <v>2</v>
      </c>
      <c r="B8" s="47" t="s">
        <v>126</v>
      </c>
      <c r="C8" s="11" t="s">
        <v>24</v>
      </c>
      <c r="D8" s="9" t="s">
        <v>118</v>
      </c>
      <c r="E8" s="10">
        <v>43087</v>
      </c>
      <c r="F8" s="22" t="s">
        <v>119</v>
      </c>
      <c r="G8" s="12">
        <v>1</v>
      </c>
      <c r="H8" s="48"/>
      <c r="I8" s="1"/>
      <c r="J8" s="2"/>
    </row>
    <row r="9" spans="1:11" ht="15" customHeight="1" x14ac:dyDescent="0.25">
      <c r="A9" s="17">
        <f>+A8+1</f>
        <v>3</v>
      </c>
      <c r="B9" s="47" t="s">
        <v>123</v>
      </c>
      <c r="C9" s="11" t="s">
        <v>24</v>
      </c>
      <c r="D9" s="9" t="s">
        <v>120</v>
      </c>
      <c r="E9" s="10">
        <v>43100</v>
      </c>
      <c r="F9" s="22" t="s">
        <v>42</v>
      </c>
      <c r="G9" s="12">
        <v>1</v>
      </c>
      <c r="H9" s="1"/>
      <c r="I9" s="46"/>
      <c r="J9" s="2"/>
    </row>
    <row r="10" spans="1:11" ht="15" customHeight="1" x14ac:dyDescent="0.25">
      <c r="A10" s="17">
        <f>+A9+1</f>
        <v>4</v>
      </c>
      <c r="B10" s="47" t="s">
        <v>124</v>
      </c>
      <c r="C10" s="11" t="s">
        <v>24</v>
      </c>
      <c r="D10" s="9" t="s">
        <v>121</v>
      </c>
      <c r="E10" s="10">
        <v>43100</v>
      </c>
      <c r="F10" s="22" t="s">
        <v>42</v>
      </c>
      <c r="G10" s="12">
        <v>1</v>
      </c>
      <c r="H10" s="48"/>
      <c r="I10" s="2"/>
      <c r="J10" s="1"/>
    </row>
    <row r="11" spans="1:11" ht="15" customHeight="1" x14ac:dyDescent="0.25">
      <c r="A11" s="17">
        <f>+A10+1</f>
        <v>5</v>
      </c>
      <c r="B11" s="47" t="s">
        <v>125</v>
      </c>
      <c r="C11" s="11" t="s">
        <v>24</v>
      </c>
      <c r="D11" s="9" t="s">
        <v>122</v>
      </c>
      <c r="E11" s="10">
        <v>43100</v>
      </c>
      <c r="F11" s="22" t="s">
        <v>42</v>
      </c>
      <c r="G11" s="12">
        <v>1</v>
      </c>
      <c r="H11" s="1"/>
      <c r="I11" s="1"/>
      <c r="J11" s="1"/>
    </row>
    <row r="12" spans="1:11" ht="15" customHeight="1" x14ac:dyDescent="0.25">
      <c r="A12" s="17">
        <f>+A11+1</f>
        <v>6</v>
      </c>
      <c r="B12" s="47"/>
      <c r="C12" s="47"/>
      <c r="D12" s="9"/>
      <c r="E12" s="14"/>
      <c r="F12" s="22"/>
      <c r="G12" s="12">
        <v>1</v>
      </c>
      <c r="H12" s="1"/>
      <c r="I12" s="1"/>
      <c r="J12" s="1"/>
    </row>
    <row r="13" spans="1:11" ht="15" customHeight="1" x14ac:dyDescent="0.25">
      <c r="A13" s="17">
        <f t="shared" ref="A13:A29" si="0">+A12+1</f>
        <v>7</v>
      </c>
      <c r="B13" s="47"/>
      <c r="C13" s="47"/>
      <c r="D13" s="9"/>
      <c r="E13" s="14"/>
      <c r="F13" s="22"/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47"/>
      <c r="C14" s="47"/>
      <c r="D14" s="9"/>
      <c r="E14" s="14"/>
      <c r="F14" s="22"/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47"/>
      <c r="C15" s="47"/>
      <c r="D15" s="9"/>
      <c r="E15" s="14"/>
      <c r="F15" s="22"/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47"/>
      <c r="C16" s="47"/>
      <c r="D16" s="9"/>
      <c r="E16" s="14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47"/>
      <c r="C17" s="47"/>
      <c r="D17" s="9"/>
      <c r="E17" s="14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47"/>
      <c r="C18" s="47"/>
      <c r="D18" s="9"/>
      <c r="E18" s="14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47"/>
      <c r="C19" s="47"/>
      <c r="D19" s="9"/>
      <c r="E19" s="14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47"/>
      <c r="C20" s="47"/>
      <c r="D20" s="9"/>
      <c r="E20" s="14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47"/>
      <c r="C21" s="47"/>
      <c r="D21" s="9"/>
      <c r="E21" s="14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47"/>
      <c r="C22" s="47"/>
      <c r="D22" s="9"/>
      <c r="E22" s="14"/>
      <c r="F22" s="22"/>
      <c r="G22" s="12">
        <v>1</v>
      </c>
    </row>
    <row r="23" spans="1:10" ht="15" customHeight="1" x14ac:dyDescent="0.25">
      <c r="A23" s="17">
        <f t="shared" si="0"/>
        <v>17</v>
      </c>
      <c r="B23" s="47"/>
      <c r="C23" s="47"/>
      <c r="D23" s="9"/>
      <c r="E23" s="14"/>
      <c r="F23" s="22"/>
      <c r="G23" s="12">
        <v>1</v>
      </c>
    </row>
    <row r="24" spans="1:10" ht="15" customHeight="1" x14ac:dyDescent="0.25">
      <c r="A24" s="17">
        <f t="shared" si="0"/>
        <v>18</v>
      </c>
      <c r="B24" s="47"/>
      <c r="C24" s="47"/>
      <c r="D24" s="9"/>
      <c r="E24" s="10"/>
      <c r="F24" s="22"/>
      <c r="G24" s="12">
        <v>1</v>
      </c>
    </row>
    <row r="25" spans="1:10" ht="15" customHeight="1" x14ac:dyDescent="0.25">
      <c r="A25" s="17">
        <f t="shared" si="0"/>
        <v>19</v>
      </c>
      <c r="B25" s="47"/>
      <c r="C25" s="47"/>
      <c r="D25" s="9"/>
      <c r="E25" s="10"/>
      <c r="F25" s="22"/>
      <c r="G25" s="12">
        <v>1</v>
      </c>
    </row>
    <row r="26" spans="1:10" ht="15" customHeight="1" x14ac:dyDescent="0.25">
      <c r="A26" s="17">
        <f t="shared" si="0"/>
        <v>20</v>
      </c>
      <c r="B26" s="47"/>
      <c r="C26" s="47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47"/>
      <c r="C27" s="47"/>
      <c r="D27" s="9"/>
      <c r="E27" s="10"/>
      <c r="F27" s="22"/>
      <c r="G27" s="23">
        <v>1</v>
      </c>
    </row>
    <row r="28" spans="1:10" ht="15" customHeight="1" x14ac:dyDescent="0.25">
      <c r="A28" s="17">
        <f t="shared" si="0"/>
        <v>22</v>
      </c>
      <c r="B28" s="47"/>
      <c r="C28" s="47"/>
      <c r="D28" s="9"/>
      <c r="E28" s="10"/>
      <c r="F28" s="22"/>
      <c r="G28" s="23">
        <v>1</v>
      </c>
    </row>
    <row r="29" spans="1:10" ht="15" customHeight="1" x14ac:dyDescent="0.25">
      <c r="A29" s="17">
        <f t="shared" si="0"/>
        <v>23</v>
      </c>
      <c r="B29" s="47"/>
      <c r="C29" s="11"/>
      <c r="D29" s="9"/>
      <c r="E29" s="10"/>
      <c r="F29" s="22"/>
      <c r="G29" s="23">
        <v>1</v>
      </c>
    </row>
    <row r="30" spans="1:10" ht="15" customHeight="1" x14ac:dyDescent="0.25">
      <c r="A30" s="24"/>
      <c r="B30" s="25"/>
      <c r="C30" s="26"/>
      <c r="D30" s="27"/>
      <c r="E30" s="28"/>
      <c r="F30" s="29"/>
      <c r="G30" s="23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D32" s="27"/>
      <c r="E32" s="28"/>
      <c r="F32" s="29"/>
      <c r="G32" s="23">
        <v>1</v>
      </c>
    </row>
    <row r="33" spans="1:7" ht="15" customHeight="1" x14ac:dyDescent="0.25">
      <c r="A33" s="24"/>
      <c r="B33" s="25"/>
      <c r="C33" s="30"/>
      <c r="D33" s="31"/>
      <c r="E33" s="28"/>
      <c r="F33" s="29"/>
      <c r="G33" s="23">
        <v>1</v>
      </c>
    </row>
    <row r="34" spans="1:7" ht="15" customHeight="1" x14ac:dyDescent="0.25">
      <c r="A34" s="24"/>
      <c r="B34" s="25"/>
      <c r="C34" s="30"/>
      <c r="D34" s="31"/>
      <c r="E34" s="28"/>
      <c r="F34" s="29"/>
      <c r="G34" s="23">
        <v>1</v>
      </c>
    </row>
    <row r="35" spans="1:7" ht="15" customHeight="1" x14ac:dyDescent="0.25">
      <c r="A35" s="24"/>
      <c r="B35" s="25"/>
      <c r="C35" s="30"/>
      <c r="D35" s="31"/>
      <c r="E35" s="28"/>
      <c r="F35" s="29"/>
      <c r="G35" s="23">
        <v>1</v>
      </c>
    </row>
    <row r="36" spans="1:7" ht="15" customHeight="1" x14ac:dyDescent="0.25">
      <c r="A36" s="24"/>
      <c r="B36" s="25"/>
      <c r="C36" s="30"/>
      <c r="D36" s="31"/>
      <c r="E36" s="28"/>
      <c r="F36" s="29"/>
      <c r="G36" s="23">
        <v>1</v>
      </c>
    </row>
    <row r="37" spans="1:7" ht="15" customHeight="1" x14ac:dyDescent="0.25">
      <c r="A37" s="24"/>
      <c r="B37" s="25"/>
      <c r="C37" s="30"/>
      <c r="D37" s="31"/>
      <c r="E37" s="28"/>
      <c r="F37" s="29"/>
      <c r="G37" s="23">
        <v>1</v>
      </c>
    </row>
    <row r="38" spans="1:7" ht="15" customHeight="1" x14ac:dyDescent="0.25">
      <c r="A38" s="24"/>
      <c r="B38" s="25"/>
      <c r="C38" s="30"/>
      <c r="D38" s="31"/>
      <c r="E38" s="28"/>
      <c r="F38" s="29"/>
      <c r="G38" s="23">
        <v>1</v>
      </c>
    </row>
    <row r="39" spans="1:7" ht="15" customHeight="1" x14ac:dyDescent="0.25">
      <c r="A39" s="24"/>
      <c r="B39" s="25"/>
      <c r="C39" s="30"/>
      <c r="D39" s="31"/>
      <c r="E39" s="28"/>
      <c r="F39" s="29"/>
      <c r="G39" s="23">
        <v>1</v>
      </c>
    </row>
    <row r="40" spans="1:7" ht="15" customHeight="1" x14ac:dyDescent="0.25">
      <c r="A40" s="24"/>
      <c r="B40" s="25"/>
      <c r="C40" s="30"/>
      <c r="D40" s="31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32"/>
      <c r="C42" s="32"/>
      <c r="D42" s="27"/>
      <c r="E42" s="28"/>
      <c r="F42" s="29"/>
      <c r="G42" s="23">
        <v>1</v>
      </c>
    </row>
    <row r="43" spans="1:7" ht="15" customHeight="1" x14ac:dyDescent="0.25">
      <c r="A43" s="24"/>
      <c r="B43" s="32"/>
      <c r="C43" s="32"/>
      <c r="D43" s="33"/>
      <c r="E43" s="28"/>
      <c r="F43" s="29"/>
      <c r="G43" s="23">
        <v>1</v>
      </c>
    </row>
    <row r="44" spans="1:7" ht="15" customHeight="1" x14ac:dyDescent="0.25">
      <c r="A44" s="24"/>
      <c r="B44" s="32"/>
      <c r="C44" s="32"/>
      <c r="D44" s="33"/>
      <c r="E44" s="28"/>
      <c r="F44" s="29"/>
      <c r="G44" s="23">
        <v>1</v>
      </c>
    </row>
    <row r="45" spans="1:7" ht="15" customHeight="1" x14ac:dyDescent="0.25">
      <c r="A45" s="24"/>
      <c r="B45" s="32"/>
      <c r="C45" s="32"/>
      <c r="D45" s="33"/>
      <c r="E45" s="34"/>
      <c r="F45" s="35"/>
      <c r="G45" s="23">
        <v>1</v>
      </c>
    </row>
    <row r="46" spans="1:7" ht="15" customHeight="1" x14ac:dyDescent="0.25">
      <c r="A46" s="24"/>
      <c r="B46" s="32"/>
      <c r="C46" s="32"/>
      <c r="D46" s="33"/>
      <c r="E46" s="34"/>
      <c r="F46" s="35"/>
      <c r="G46" s="23">
        <v>1</v>
      </c>
    </row>
    <row r="47" spans="1:7" ht="15" customHeight="1" x14ac:dyDescent="0.25">
      <c r="A47" s="24"/>
      <c r="B47" s="32"/>
      <c r="C47" s="32"/>
      <c r="D47" s="32"/>
      <c r="E47" s="34"/>
      <c r="F47" s="35"/>
      <c r="G47" s="23">
        <v>1</v>
      </c>
    </row>
    <row r="48" spans="1:7" ht="15" customHeight="1" x14ac:dyDescent="0.25">
      <c r="A48" s="24"/>
      <c r="B48" s="25"/>
      <c r="C48" s="30"/>
      <c r="D48" s="31"/>
      <c r="E48" s="25"/>
      <c r="F48" s="36"/>
      <c r="G48" s="23">
        <v>1</v>
      </c>
    </row>
    <row r="49" spans="1:7" ht="15" customHeight="1" x14ac:dyDescent="0.25">
      <c r="A49" s="24"/>
      <c r="B49" s="37"/>
      <c r="C49" s="37"/>
      <c r="D49" s="38"/>
      <c r="E49" s="25"/>
      <c r="F49" s="36"/>
      <c r="G49" s="23">
        <v>1</v>
      </c>
    </row>
    <row r="50" spans="1:7" ht="15" customHeight="1" x14ac:dyDescent="0.25">
      <c r="A50" s="24"/>
      <c r="B50" s="39"/>
      <c r="C50" s="40"/>
      <c r="D50" s="41"/>
      <c r="E50" s="39"/>
      <c r="F50" s="42"/>
      <c r="G50" s="23">
        <v>1</v>
      </c>
    </row>
    <row r="51" spans="1:7" ht="15" customHeight="1" x14ac:dyDescent="0.25">
      <c r="A51" s="24"/>
      <c r="B51" s="37"/>
      <c r="C51" s="37"/>
      <c r="D51" s="38"/>
      <c r="E51" s="25"/>
      <c r="F51" s="43"/>
      <c r="G51" s="23">
        <v>1</v>
      </c>
    </row>
    <row r="52" spans="1:7" ht="15" customHeight="1" x14ac:dyDescent="0.25">
      <c r="A52" s="24"/>
      <c r="B52" s="37"/>
      <c r="C52" s="37"/>
      <c r="D52" s="38"/>
      <c r="E52" s="25"/>
      <c r="F52" s="36"/>
      <c r="G52" s="23">
        <v>1</v>
      </c>
    </row>
    <row r="53" spans="1:7" ht="15" customHeight="1" x14ac:dyDescent="0.25">
      <c r="A53" s="24"/>
      <c r="B53" s="32"/>
      <c r="C53" s="32"/>
      <c r="D53" s="33"/>
      <c r="E53" s="34"/>
      <c r="F53" s="35"/>
      <c r="G53" s="23">
        <v>1</v>
      </c>
    </row>
    <row r="54" spans="1:7" ht="15" customHeight="1" x14ac:dyDescent="0.25">
      <c r="A54" s="24"/>
      <c r="B54" s="32"/>
      <c r="C54" s="32"/>
      <c r="D54" s="33"/>
      <c r="E54" s="34"/>
      <c r="F54" s="35"/>
      <c r="G54" s="23">
        <v>1</v>
      </c>
    </row>
    <row r="55" spans="1:7" ht="15" customHeight="1" x14ac:dyDescent="0.25">
      <c r="A55" s="24"/>
      <c r="B55" s="32"/>
      <c r="C55" s="32"/>
      <c r="D55" s="33"/>
      <c r="E55" s="34"/>
      <c r="F55" s="35"/>
      <c r="G55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2017</vt:lpstr>
      <vt:lpstr>FEVRIER 2017</vt:lpstr>
      <vt:lpstr>MARS 2017</vt:lpstr>
      <vt:lpstr>AVRIL 2017</vt:lpstr>
      <vt:lpstr>MAI 2017</vt:lpstr>
      <vt:lpstr>JUIN 2017</vt:lpstr>
      <vt:lpstr>JUILLET 2017</vt:lpstr>
      <vt:lpstr>AOUT 2017</vt:lpstr>
      <vt:lpstr>SEPTEMBRE 2017</vt:lpstr>
      <vt:lpstr>OCTOBRE 2017</vt:lpstr>
      <vt:lpstr>NOVEMBRE 2017</vt:lpstr>
      <vt:lpstr>DECEMBRE 2017</vt:lpstr>
      <vt:lpstr>'AOUT 2017'!Impression_des_titres</vt:lpstr>
      <vt:lpstr>'AVRIL 2017'!Impression_des_titres</vt:lpstr>
      <vt:lpstr>'DECEMBRE 2017'!Impression_des_titres</vt:lpstr>
      <vt:lpstr>'FEVRIER 2017'!Impression_des_titres</vt:lpstr>
      <vt:lpstr>'JANVIER 2017'!Impression_des_titres</vt:lpstr>
      <vt:lpstr>'JUILLET 2017'!Impression_des_titres</vt:lpstr>
      <vt:lpstr>'JUIN 2017'!Impression_des_titres</vt:lpstr>
      <vt:lpstr>'MAI 2017'!Impression_des_titres</vt:lpstr>
      <vt:lpstr>'MARS 2017'!Impression_des_titres</vt:lpstr>
      <vt:lpstr>'NOVEMBRE 2017'!Impression_des_titres</vt:lpstr>
      <vt:lpstr>'OCTOBRE 2017'!Impression_des_titres</vt:lpstr>
      <vt:lpstr>'SEPTEMBRE 2017'!Impression_des_titres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2018-01-04T08:29:21Z</cp:lastPrinted>
  <dcterms:created xsi:type="dcterms:W3CDTF">2014-12-31T15:00:30Z</dcterms:created>
  <dcterms:modified xsi:type="dcterms:W3CDTF">2019-12-25T13:02:25Z</dcterms:modified>
</cp:coreProperties>
</file>