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6\Gestion de Stock Seghouane\"/>
    </mc:Choice>
  </mc:AlternateContent>
  <xr:revisionPtr revIDLastSave="0" documentId="13_ncr:1_{11B289A3-0326-4825-8232-AC24D9FA7425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JANVIER 2026" sheetId="12" r:id="rId1"/>
    <sheet name="FEVRIER 2026" sheetId="13" r:id="rId2"/>
    <sheet name="MARS 2026" sheetId="14" r:id="rId3"/>
    <sheet name="AVRIL 2026" sheetId="15" r:id="rId4"/>
    <sheet name="MAI 2026" sheetId="16" r:id="rId5"/>
    <sheet name="JUIN 2026" sheetId="17" r:id="rId6"/>
    <sheet name="JUILLET 2026" sheetId="18" r:id="rId7"/>
    <sheet name="AOUT 2026" sheetId="19" r:id="rId8"/>
    <sheet name="SEPTEMBRE 2026" sheetId="20" r:id="rId9"/>
    <sheet name="OCTOBRE 2026" sheetId="21" r:id="rId10"/>
  </sheets>
  <definedNames>
    <definedName name="_xlnm.Print_Titles" localSheetId="7">'AOUT 2026'!$1:$6</definedName>
    <definedName name="_xlnm.Print_Titles" localSheetId="3">'AVRIL 2026'!$1:$6</definedName>
    <definedName name="_xlnm.Print_Titles" localSheetId="1">'FEVRIER 2026'!$1:$6</definedName>
    <definedName name="_xlnm.Print_Titles" localSheetId="0">'JANVIER 2026'!$1:$6</definedName>
    <definedName name="_xlnm.Print_Titles" localSheetId="6">'JUILLET 2026'!$1:$6</definedName>
    <definedName name="_xlnm.Print_Titles" localSheetId="5">'JUIN 2026'!$1:$6</definedName>
    <definedName name="_xlnm.Print_Titles" localSheetId="4">'MAI 2026'!$1:$6</definedName>
    <definedName name="_xlnm.Print_Titles" localSheetId="2">'MARS 2026'!$1:$6</definedName>
    <definedName name="_xlnm.Print_Titles" localSheetId="9">'OCTOBRE 2026'!$1:$6</definedName>
    <definedName name="_xlnm.Print_Titles" localSheetId="8">'SEPTEMBRE 2026'!$1:$6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1" l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K4" i="21"/>
  <c r="K3" i="21"/>
  <c r="K2" i="21"/>
  <c r="A8" i="20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K4" i="20"/>
  <c r="K3" i="20"/>
  <c r="K2" i="20"/>
  <c r="K5" i="20" s="1"/>
  <c r="A8" i="19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K4" i="19"/>
  <c r="K3" i="19"/>
  <c r="K2" i="19"/>
  <c r="A8" i="18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K4" i="18"/>
  <c r="K3" i="18"/>
  <c r="K2" i="18"/>
  <c r="A8" i="17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K4" i="17"/>
  <c r="K3" i="17"/>
  <c r="K2" i="17"/>
  <c r="K5" i="17" s="1"/>
  <c r="A9" i="16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8" i="16"/>
  <c r="K4" i="16"/>
  <c r="K3" i="16"/>
  <c r="K2" i="16"/>
  <c r="A8" i="15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K4" i="15"/>
  <c r="K3" i="15"/>
  <c r="K2" i="15"/>
  <c r="A8" i="14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K4" i="14"/>
  <c r="K3" i="14"/>
  <c r="K2" i="14"/>
  <c r="K5" i="14" s="1"/>
  <c r="A8" i="13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K4" i="13"/>
  <c r="K3" i="13"/>
  <c r="K2" i="13"/>
  <c r="A8" i="12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K4" i="12"/>
  <c r="K3" i="12"/>
  <c r="K2" i="12"/>
  <c r="K5" i="21" l="1"/>
  <c r="K5" i="19"/>
  <c r="K5" i="18"/>
  <c r="K5" i="16"/>
  <c r="K5" i="15"/>
  <c r="K5" i="13"/>
  <c r="K5" i="12"/>
</calcChain>
</file>

<file path=xl/sharedStrings.xml><?xml version="1.0" encoding="utf-8"?>
<sst xmlns="http://schemas.openxmlformats.org/spreadsheetml/2006/main" count="276" uniqueCount="82">
  <si>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</si>
  <si>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</si>
  <si>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</si>
  <si>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</si>
  <si>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</si>
  <si>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</si>
  <si>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</si>
  <si>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</si>
  <si>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</si>
  <si>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</si>
  <si>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</si>
  <si>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</si>
  <si>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</si>
  <si>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</si>
  <si>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</si>
  <si>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</si>
  <si>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Anetnne Seghouane</t>
  </si>
  <si>
    <t>CC</t>
  </si>
  <si>
    <t>Mois de JANVIER 2026</t>
  </si>
  <si>
    <t>HA</t>
  </si>
  <si>
    <t>15/21</t>
  </si>
  <si>
    <t>2025177841</t>
  </si>
  <si>
    <t>2025177842</t>
  </si>
  <si>
    <t>NB(197/2025)</t>
  </si>
  <si>
    <t>Aouad med</t>
  </si>
  <si>
    <t>NB(206/2025)</t>
  </si>
  <si>
    <t>Dilmi ahmed</t>
  </si>
  <si>
    <t>Mois de FEVRIER 2026</t>
  </si>
  <si>
    <t>Mois de MARS 2026</t>
  </si>
  <si>
    <t>HA0708</t>
  </si>
  <si>
    <t>2025177860</t>
  </si>
  <si>
    <t>Elimination Forfait</t>
  </si>
  <si>
    <t>Mois de AVRIL 2026</t>
  </si>
  <si>
    <t>Mois de MAI 2026</t>
  </si>
  <si>
    <t>2025177173</t>
  </si>
  <si>
    <t>NB(239/25)</t>
  </si>
  <si>
    <t>Guesmi miloud</t>
  </si>
  <si>
    <t>23987102</t>
  </si>
  <si>
    <t>H20025</t>
  </si>
  <si>
    <t>H20047</t>
  </si>
  <si>
    <t>23989173</t>
  </si>
  <si>
    <t>Mois de JUIN 2026</t>
  </si>
  <si>
    <t>Mois de JUILLET 2026</t>
  </si>
  <si>
    <t>Mois de AOUT 2026</t>
  </si>
  <si>
    <t>NB(299/2025)</t>
  </si>
  <si>
    <t>Azzam miloud</t>
  </si>
  <si>
    <t>zmala</t>
  </si>
  <si>
    <t>2026003946</t>
  </si>
  <si>
    <t>Chergui omar</t>
  </si>
  <si>
    <t>NB(198/2026)</t>
  </si>
  <si>
    <t>2026003947</t>
  </si>
  <si>
    <t>Aihar aissa</t>
  </si>
  <si>
    <t>houari boumedien</t>
  </si>
  <si>
    <t>NB(153/2026)</t>
  </si>
  <si>
    <t>2026003949</t>
  </si>
  <si>
    <t>Dilmi med</t>
  </si>
  <si>
    <t>NB(620/2025)</t>
  </si>
  <si>
    <t>20/27</t>
  </si>
  <si>
    <t>2026003948</t>
  </si>
  <si>
    <t>NB(313/2026)</t>
  </si>
  <si>
    <t>Bessadouk hadjer</t>
  </si>
  <si>
    <t>lotis 75</t>
  </si>
  <si>
    <t>2026144294</t>
  </si>
  <si>
    <t>2026144295</t>
  </si>
  <si>
    <t>NB(078/2025)</t>
  </si>
  <si>
    <t>Bouchenafa noureddine</t>
  </si>
  <si>
    <t>HA0393</t>
  </si>
  <si>
    <t>2026143432</t>
  </si>
  <si>
    <t>Mois de SEPTEMBRE 2026</t>
  </si>
  <si>
    <t>HA0672</t>
  </si>
  <si>
    <t>2026143451</t>
  </si>
  <si>
    <t>Mois de OCTOBRE 2026</t>
  </si>
  <si>
    <t>HA0517</t>
  </si>
  <si>
    <t>2026143435</t>
  </si>
  <si>
    <t>H3</t>
  </si>
  <si>
    <t>2026143439</t>
  </si>
  <si>
    <t>NB(481/2026)</t>
  </si>
  <si>
    <t>site de distribution</t>
  </si>
  <si>
    <t>H20035</t>
  </si>
  <si>
    <t>HA0209</t>
  </si>
  <si>
    <t>2026143416</t>
  </si>
  <si>
    <t>2026144379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</si>
</sst>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8" fillId="0" borderId="0"/>
    <xf numFmtId="0" fontId="1" fillId="0" borderId="0"/>
  </cellStyleXfs>
  <cellXfs count="29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0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Alignment="1">
      <alignment vertical="center" wrapText="1"/>
    </xf>
    <xf numFmtId="0" fontId="0" fillId="0" borderId="1" xfId="0" applyBorder="1"/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5">
    <cellStyle name="Euro" xfId="2" xr:uid="{00000000-0005-0000-0000-000000000000}"/>
    <cellStyle name="Normal" xfId="0" builtinId="0"/>
    <cellStyle name="Normal 2" xfId="3" xr:uid="{00000000-0005-0000-0000-000002000000}"/>
    <cellStyle name="Normal 2 2" xfId="4" xr:uid="{00000000-0005-0000-0000-000003000000}"/>
    <cellStyle name="Normal 3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8</xdr:row>
      <xdr:rowOff>28575</xdr:rowOff>
    </xdr:from>
    <xdr:to>
      <xdr:col>5</xdr:col>
      <xdr:colOff>1285875</xdr:colOff>
      <xdr:row>45</xdr:row>
      <xdr:rowOff>180975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H="1">
          <a:off x="600077" y="1724025"/>
          <a:ext cx="4524373" cy="7200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02CB98D-4D8E-4CA8-B5BE-32A7A320F6D2}"/>
            </a:ext>
          </a:extLst>
        </xdr:cNvPr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6</xdr:row>
      <xdr:rowOff>38100</xdr:rowOff>
    </xdr:from>
    <xdr:to>
      <xdr:col>7</xdr:col>
      <xdr:colOff>19050</xdr:colOff>
      <xdr:row>45</xdr:row>
      <xdr:rowOff>180975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867DB517-7970-41C8-AA41-B25B8EC609BD}"/>
            </a:ext>
          </a:extLst>
        </xdr:cNvPr>
        <xdr:cNvCxnSpPr/>
      </xdr:nvCxnSpPr>
      <xdr:spPr>
        <a:xfrm flipH="1">
          <a:off x="600077" y="1352550"/>
          <a:ext cx="4571998" cy="7572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9527</xdr:colOff>
      <xdr:row>6</xdr:row>
      <xdr:rowOff>38100</xdr:rowOff>
    </xdr:from>
    <xdr:to>
      <xdr:col>7</xdr:col>
      <xdr:colOff>19050</xdr:colOff>
      <xdr:row>45</xdr:row>
      <xdr:rowOff>180975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1828E003-4982-4E9F-B5FC-0E29EE3AC21D}"/>
            </a:ext>
          </a:extLst>
        </xdr:cNvPr>
        <xdr:cNvCxnSpPr/>
      </xdr:nvCxnSpPr>
      <xdr:spPr>
        <a:xfrm flipH="1">
          <a:off x="600077" y="1352550"/>
          <a:ext cx="4571998" cy="7572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9527</xdr:colOff>
      <xdr:row>6</xdr:row>
      <xdr:rowOff>38100</xdr:rowOff>
    </xdr:from>
    <xdr:to>
      <xdr:col>7</xdr:col>
      <xdr:colOff>19050</xdr:colOff>
      <xdr:row>45</xdr:row>
      <xdr:rowOff>180975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DFAF040-6BE0-4101-B1D6-8AD42B7045D2}"/>
            </a:ext>
          </a:extLst>
        </xdr:cNvPr>
        <xdr:cNvCxnSpPr/>
      </xdr:nvCxnSpPr>
      <xdr:spPr>
        <a:xfrm flipH="1">
          <a:off x="600077" y="1352550"/>
          <a:ext cx="4571998" cy="7572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9527</xdr:colOff>
      <xdr:row>8</xdr:row>
      <xdr:rowOff>0</xdr:rowOff>
    </xdr:from>
    <xdr:to>
      <xdr:col>5</xdr:col>
      <xdr:colOff>1295400</xdr:colOff>
      <xdr:row>45</xdr:row>
      <xdr:rowOff>180975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FDE1209D-1FCB-41A1-A6E4-390F71E83893}"/>
            </a:ext>
          </a:extLst>
        </xdr:cNvPr>
        <xdr:cNvCxnSpPr/>
      </xdr:nvCxnSpPr>
      <xdr:spPr>
        <a:xfrm flipH="1">
          <a:off x="600077" y="1695450"/>
          <a:ext cx="4533898" cy="7229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9527</xdr:colOff>
      <xdr:row>8</xdr:row>
      <xdr:rowOff>0</xdr:rowOff>
    </xdr:from>
    <xdr:to>
      <xdr:col>5</xdr:col>
      <xdr:colOff>1295400</xdr:colOff>
      <xdr:row>45</xdr:row>
      <xdr:rowOff>180975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15943C9F-4B2B-4AA3-B890-1F84E21D70A9}"/>
            </a:ext>
          </a:extLst>
        </xdr:cNvPr>
        <xdr:cNvCxnSpPr/>
      </xdr:nvCxnSpPr>
      <xdr:spPr>
        <a:xfrm flipH="1">
          <a:off x="600077" y="1695450"/>
          <a:ext cx="4533898" cy="7229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9527</xdr:colOff>
      <xdr:row>5</xdr:row>
      <xdr:rowOff>247650</xdr:rowOff>
    </xdr:from>
    <xdr:to>
      <xdr:col>7</xdr:col>
      <xdr:colOff>19050</xdr:colOff>
      <xdr:row>45</xdr:row>
      <xdr:rowOff>180975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418F7139-0F0F-4D77-BEA0-5A3B1A1755C6}"/>
            </a:ext>
          </a:extLst>
        </xdr:cNvPr>
        <xdr:cNvCxnSpPr/>
      </xdr:nvCxnSpPr>
      <xdr:spPr>
        <a:xfrm flipH="1">
          <a:off x="600077" y="1295400"/>
          <a:ext cx="4571998" cy="762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12</xdr:row>
      <xdr:rowOff>28575</xdr:rowOff>
    </xdr:from>
    <xdr:to>
      <xdr:col>5</xdr:col>
      <xdr:colOff>1304925</xdr:colOff>
      <xdr:row>46</xdr:row>
      <xdr:rowOff>9525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B835F3CA-6F38-4A0A-AB8B-F51367202D3A}"/>
            </a:ext>
          </a:extLst>
        </xdr:cNvPr>
        <xdr:cNvCxnSpPr/>
      </xdr:nvCxnSpPr>
      <xdr:spPr>
        <a:xfrm flipH="1">
          <a:off x="600075" y="2486025"/>
          <a:ext cx="4543425" cy="6457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8</xdr:row>
      <xdr:rowOff>47625</xdr:rowOff>
    </xdr:from>
    <xdr:to>
      <xdr:col>5</xdr:col>
      <xdr:colOff>1285875</xdr:colOff>
      <xdr:row>46</xdr:row>
      <xdr:rowOff>9525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BFADD8E0-6846-463D-B112-C517D002F17A}"/>
            </a:ext>
          </a:extLst>
        </xdr:cNvPr>
        <xdr:cNvCxnSpPr/>
      </xdr:nvCxnSpPr>
      <xdr:spPr>
        <a:xfrm flipH="1">
          <a:off x="600075" y="1743075"/>
          <a:ext cx="4524375" cy="7200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10</xdr:row>
      <xdr:rowOff>9525</xdr:rowOff>
    </xdr:from>
    <xdr:to>
      <xdr:col>7</xdr:col>
      <xdr:colOff>9525</xdr:colOff>
      <xdr:row>46</xdr:row>
      <xdr:rowOff>9525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A411A324-5B09-4982-BBA8-8898B8F8D132}"/>
            </a:ext>
          </a:extLst>
        </xdr:cNvPr>
        <xdr:cNvCxnSpPr/>
      </xdr:nvCxnSpPr>
      <xdr:spPr>
        <a:xfrm flipH="1">
          <a:off x="600075" y="2085975"/>
          <a:ext cx="4562475" cy="6858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workbookViewId="0">
      <selection activeCell="M16" sqref="M1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23" t="s">
        <v>0</v>
      </c>
      <c r="B1" s="23"/>
      <c r="C1" s="2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7" t="s">
        <v>2</v>
      </c>
      <c r="B2" s="27"/>
      <c r="C2" s="27"/>
      <c r="D2" s="6"/>
      <c r="E2" s="28" t="s">
        <v>3</v>
      </c>
      <c r="F2" s="28"/>
      <c r="G2" s="4"/>
      <c r="H2" s="4"/>
      <c r="I2" s="24" t="s">
        <v>4</v>
      </c>
      <c r="J2" s="25"/>
      <c r="K2" s="17">
        <f>SUMIF(F7:F33,"Elimination*",G7:G33)</f>
        <v>0</v>
      </c>
    </row>
    <row r="3" spans="1:11" x14ac:dyDescent="0.25">
      <c r="A3" s="28" t="s">
        <v>5</v>
      </c>
      <c r="B3" s="28"/>
      <c r="C3" s="28"/>
      <c r="D3" s="5"/>
      <c r="E3" s="28" t="s">
        <v>16</v>
      </c>
      <c r="F3" s="28"/>
      <c r="G3" s="4"/>
      <c r="H3" s="4"/>
      <c r="I3" s="24" t="s">
        <v>6</v>
      </c>
      <c r="J3" s="25"/>
      <c r="K3" s="17">
        <f>SUMIF(F7:F33,"NB*",G7:G33)</f>
        <v>2</v>
      </c>
    </row>
    <row r="4" spans="1:11" ht="18" x14ac:dyDescent="0.25">
      <c r="A4" s="23" t="s">
        <v>7</v>
      </c>
      <c r="B4" s="23"/>
      <c r="C4" s="23"/>
      <c r="D4" s="23"/>
      <c r="E4" s="23"/>
      <c r="F4" s="23"/>
      <c r="G4" s="4"/>
      <c r="H4" s="4"/>
      <c r="I4" s="24" t="s">
        <v>8</v>
      </c>
      <c r="J4" s="25"/>
      <c r="K4" s="17">
        <f>SUMIF(F7:F33,"Ve*",G7:G33)</f>
        <v>0</v>
      </c>
    </row>
    <row r="5" spans="1:11" ht="15.75" x14ac:dyDescent="0.25">
      <c r="A5" s="26" t="s">
        <v>18</v>
      </c>
      <c r="B5" s="26"/>
      <c r="C5" s="26"/>
      <c r="D5" s="26"/>
      <c r="E5" s="26"/>
      <c r="F5" s="26"/>
      <c r="G5" s="18"/>
      <c r="H5" s="18"/>
      <c r="I5" s="24" t="s">
        <v>9</v>
      </c>
      <c r="J5" s="25"/>
      <c r="K5" s="19">
        <f>SUM(K2:K4)</f>
        <v>2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4">
        <v>1</v>
      </c>
      <c r="B7" s="10" t="s">
        <v>19</v>
      </c>
      <c r="C7" s="10" t="s">
        <v>20</v>
      </c>
      <c r="D7" s="9" t="s">
        <v>21</v>
      </c>
      <c r="E7" s="12">
        <v>46050</v>
      </c>
      <c r="F7" s="20" t="s">
        <v>23</v>
      </c>
      <c r="G7" s="16">
        <v>1</v>
      </c>
      <c r="H7" s="2" t="s">
        <v>24</v>
      </c>
      <c r="I7" s="15"/>
      <c r="J7" s="15"/>
      <c r="K7" s="1"/>
    </row>
    <row r="8" spans="1:11" ht="15" customHeight="1" x14ac:dyDescent="0.25">
      <c r="A8" s="14">
        <f>+A7+1</f>
        <v>2</v>
      </c>
      <c r="B8" s="10" t="s">
        <v>19</v>
      </c>
      <c r="C8" s="10" t="s">
        <v>20</v>
      </c>
      <c r="D8" s="9" t="s">
        <v>22</v>
      </c>
      <c r="E8" s="12">
        <v>46050</v>
      </c>
      <c r="F8" s="20" t="s">
        <v>25</v>
      </c>
      <c r="G8" s="16">
        <v>1</v>
      </c>
      <c r="H8" s="2" t="s">
        <v>26</v>
      </c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11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>
        <v>1</v>
      </c>
      <c r="H13" s="21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2"/>
      <c r="C22" s="10"/>
      <c r="D22" s="9"/>
      <c r="E22" s="12"/>
      <c r="F22" s="20"/>
      <c r="G22" s="16">
        <v>1</v>
      </c>
      <c r="H22" s="1"/>
      <c r="I22" s="2"/>
      <c r="J22" s="2"/>
    </row>
    <row r="23" spans="1:10" ht="15" customHeight="1" x14ac:dyDescent="0.25">
      <c r="A23" s="14">
        <f t="shared" si="0"/>
        <v>17</v>
      </c>
      <c r="B23" s="10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21"/>
      <c r="I24" s="2"/>
      <c r="J24" s="2"/>
    </row>
    <row r="25" spans="1:10" ht="15" customHeight="1" x14ac:dyDescent="0.25">
      <c r="A25" s="14">
        <f t="shared" si="0"/>
        <v>19</v>
      </c>
      <c r="B25" s="1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0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1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>
        <v>1</v>
      </c>
      <c r="H30" s="2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>
        <v>1</v>
      </c>
      <c r="H33" s="1"/>
      <c r="I33" s="1"/>
      <c r="J33" s="1"/>
    </row>
    <row r="34" spans="1:10" x14ac:dyDescent="0.25">
      <c r="A34" s="14">
        <f t="shared" si="0"/>
        <v>28</v>
      </c>
      <c r="B34" s="22"/>
      <c r="C34" s="22"/>
      <c r="D34" s="22"/>
      <c r="E34" s="22"/>
      <c r="F34" s="22"/>
    </row>
    <row r="35" spans="1:10" x14ac:dyDescent="0.25">
      <c r="A35" s="14">
        <f t="shared" si="0"/>
        <v>29</v>
      </c>
      <c r="B35" s="22"/>
      <c r="C35" s="22"/>
      <c r="D35" s="22"/>
      <c r="E35" s="22"/>
      <c r="F35" s="22"/>
    </row>
    <row r="36" spans="1:10" x14ac:dyDescent="0.25">
      <c r="A36" s="14">
        <f t="shared" si="0"/>
        <v>30</v>
      </c>
      <c r="B36" s="22"/>
      <c r="C36" s="22"/>
      <c r="D36" s="22"/>
      <c r="E36" s="22"/>
      <c r="F36" s="22"/>
    </row>
    <row r="37" spans="1:10" x14ac:dyDescent="0.25">
      <c r="A37" s="14">
        <f t="shared" si="0"/>
        <v>31</v>
      </c>
      <c r="B37" s="22"/>
      <c r="C37" s="22"/>
      <c r="D37" s="22"/>
      <c r="E37" s="22"/>
      <c r="F37" s="22"/>
    </row>
    <row r="38" spans="1:10" x14ac:dyDescent="0.25">
      <c r="A38" s="14">
        <f t="shared" si="0"/>
        <v>32</v>
      </c>
      <c r="B38" s="22"/>
      <c r="C38" s="22"/>
      <c r="D38" s="22"/>
      <c r="E38" s="22"/>
      <c r="F38" s="22"/>
    </row>
    <row r="39" spans="1:10" x14ac:dyDescent="0.25">
      <c r="A39" s="14">
        <f t="shared" si="0"/>
        <v>33</v>
      </c>
      <c r="B39" s="22"/>
      <c r="C39" s="22"/>
      <c r="D39" s="22"/>
      <c r="E39" s="22"/>
      <c r="F39" s="22"/>
    </row>
    <row r="40" spans="1:10" x14ac:dyDescent="0.25">
      <c r="A40" s="14">
        <f t="shared" si="0"/>
        <v>34</v>
      </c>
      <c r="B40" s="22"/>
      <c r="C40" s="22"/>
      <c r="D40" s="22"/>
      <c r="E40" s="22"/>
      <c r="F40" s="22"/>
    </row>
    <row r="41" spans="1:10" x14ac:dyDescent="0.25">
      <c r="A41" s="14">
        <f t="shared" si="0"/>
        <v>35</v>
      </c>
      <c r="B41" s="22"/>
      <c r="C41" s="22"/>
      <c r="D41" s="22"/>
      <c r="E41" s="22"/>
      <c r="F41" s="22"/>
    </row>
    <row r="42" spans="1:10" x14ac:dyDescent="0.25">
      <c r="A42" s="14">
        <f t="shared" si="0"/>
        <v>36</v>
      </c>
      <c r="B42" s="22"/>
      <c r="C42" s="22"/>
      <c r="D42" s="22"/>
      <c r="E42" s="22"/>
      <c r="F42" s="22"/>
    </row>
    <row r="43" spans="1:10" x14ac:dyDescent="0.25">
      <c r="A43" s="14">
        <f t="shared" si="0"/>
        <v>37</v>
      </c>
      <c r="B43" s="22"/>
      <c r="C43" s="22"/>
      <c r="D43" s="22"/>
      <c r="E43" s="22"/>
      <c r="F43" s="22"/>
    </row>
    <row r="44" spans="1:10" x14ac:dyDescent="0.25">
      <c r="A44" s="14">
        <f t="shared" si="0"/>
        <v>38</v>
      </c>
      <c r="B44" s="22"/>
      <c r="C44" s="22"/>
      <c r="D44" s="22"/>
      <c r="E44" s="22"/>
      <c r="F44" s="22"/>
    </row>
    <row r="45" spans="1:10" x14ac:dyDescent="0.25">
      <c r="A45" s="14">
        <f t="shared" si="0"/>
        <v>39</v>
      </c>
      <c r="B45" s="22"/>
      <c r="C45" s="22"/>
      <c r="D45" s="22"/>
      <c r="E45" s="22"/>
      <c r="F45" s="22"/>
    </row>
    <row r="46" spans="1:10" x14ac:dyDescent="0.25">
      <c r="A46" s="14">
        <f t="shared" si="0"/>
        <v>40</v>
      </c>
      <c r="B46" s="22"/>
      <c r="C46" s="22"/>
      <c r="D46" s="22"/>
      <c r="E46" s="22"/>
      <c r="F46" s="22"/>
    </row>
  </sheetData>
  <sortState xmlns:xlrd2="http://schemas.microsoft.com/office/spreadsheetml/2017/richdata2" ref="B7:H16">
    <sortCondition ref="E7:E16"/>
    <sortCondition ref="D7:D16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201C0-4CDF-48F8-88D7-85E9214B37E9}">
  <dimension ref="A1:K46"/>
  <sheetViews>
    <sheetView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23" t="s">
        <v>0</v>
      </c>
      <c r="B1" s="23"/>
      <c r="C1" s="2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7" t="s">
        <v>2</v>
      </c>
      <c r="B2" s="27"/>
      <c r="C2" s="27"/>
      <c r="D2" s="6"/>
      <c r="E2" s="28" t="s">
        <v>3</v>
      </c>
      <c r="F2" s="28"/>
      <c r="G2" s="4"/>
      <c r="H2" s="4"/>
      <c r="I2" s="24" t="s">
        <v>4</v>
      </c>
      <c r="J2" s="25"/>
      <c r="K2" s="17">
        <f>SUMIF(F7:F33,"Elimination*",G7:G33)</f>
        <v>0</v>
      </c>
    </row>
    <row r="3" spans="1:11" x14ac:dyDescent="0.25">
      <c r="A3" s="28" t="s">
        <v>5</v>
      </c>
      <c r="B3" s="28"/>
      <c r="C3" s="28"/>
      <c r="D3" s="5"/>
      <c r="E3" s="28" t="s">
        <v>16</v>
      </c>
      <c r="F3" s="28"/>
      <c r="G3" s="4"/>
      <c r="H3" s="4"/>
      <c r="I3" s="24" t="s">
        <v>6</v>
      </c>
      <c r="J3" s="25"/>
      <c r="K3" s="17">
        <f>SUMIF(F7:F33,"NB*",G7:G33)</f>
        <v>0</v>
      </c>
    </row>
    <row r="4" spans="1:11" ht="18" x14ac:dyDescent="0.25">
      <c r="A4" s="23" t="s">
        <v>7</v>
      </c>
      <c r="B4" s="23"/>
      <c r="C4" s="23"/>
      <c r="D4" s="23"/>
      <c r="E4" s="23"/>
      <c r="F4" s="23"/>
      <c r="G4" s="4"/>
      <c r="H4" s="4"/>
      <c r="I4" s="24" t="s">
        <v>8</v>
      </c>
      <c r="J4" s="25"/>
      <c r="K4" s="17">
        <f>SUMIF(F7:F33,"Ve*",G7:G33)</f>
        <v>0</v>
      </c>
    </row>
    <row r="5" spans="1:11" ht="15.75" x14ac:dyDescent="0.25">
      <c r="A5" s="26" t="s">
        <v>27</v>
      </c>
      <c r="B5" s="26"/>
      <c r="C5" s="26"/>
      <c r="D5" s="26"/>
      <c r="E5" s="26"/>
      <c r="F5" s="26"/>
      <c r="G5" s="18"/>
      <c r="H5" s="18"/>
      <c r="I5" s="24" t="s">
        <v>9</v>
      </c>
      <c r="J5" s="25"/>
      <c r="K5" s="19">
        <f>SUM(K2:K4)</f>
        <v>0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4">
        <v>1</v>
      </c>
      <c r="B7" s="10"/>
      <c r="C7" s="10"/>
      <c r="D7" s="9"/>
      <c r="E7" s="12"/>
      <c r="F7" s="20"/>
      <c r="G7" s="16">
        <v>1</v>
      </c>
      <c r="H7" s="2"/>
      <c r="I7" s="15"/>
      <c r="J7" s="15"/>
      <c r="K7" s="1"/>
    </row>
    <row r="8" spans="1:11" ht="15" customHeight="1" x14ac:dyDescent="0.25">
      <c r="A8" s="14">
        <f>+A7+1</f>
        <v>2</v>
      </c>
      <c r="B8" s="10"/>
      <c r="C8" s="10"/>
      <c r="D8" s="9"/>
      <c r="E8" s="12"/>
      <c r="F8" s="20"/>
      <c r="G8" s="16">
        <v>1</v>
      </c>
      <c r="H8" s="2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11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>
        <v>1</v>
      </c>
      <c r="H13" s="21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2"/>
      <c r="C22" s="10"/>
      <c r="D22" s="9"/>
      <c r="E22" s="12"/>
      <c r="F22" s="20"/>
      <c r="G22" s="16">
        <v>1</v>
      </c>
      <c r="H22" s="1"/>
      <c r="I22" s="2"/>
      <c r="J22" s="2"/>
    </row>
    <row r="23" spans="1:10" ht="15" customHeight="1" x14ac:dyDescent="0.25">
      <c r="A23" s="14">
        <f t="shared" si="0"/>
        <v>17</v>
      </c>
      <c r="B23" s="10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21"/>
      <c r="I24" s="2"/>
      <c r="J24" s="2"/>
    </row>
    <row r="25" spans="1:10" ht="15" customHeight="1" x14ac:dyDescent="0.25">
      <c r="A25" s="14">
        <f t="shared" si="0"/>
        <v>19</v>
      </c>
      <c r="B25" s="1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0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1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>
        <v>1</v>
      </c>
      <c r="H30" s="2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>
        <v>1</v>
      </c>
      <c r="H33" s="1"/>
      <c r="I33" s="1"/>
      <c r="J33" s="1"/>
    </row>
    <row r="34" spans="1:10" x14ac:dyDescent="0.25">
      <c r="A34" s="14">
        <f t="shared" si="0"/>
        <v>28</v>
      </c>
      <c r="B34" s="22"/>
      <c r="C34" s="22"/>
      <c r="D34" s="22"/>
      <c r="E34" s="22"/>
      <c r="F34" s="22"/>
    </row>
    <row r="35" spans="1:10" x14ac:dyDescent="0.25">
      <c r="A35" s="14">
        <f t="shared" si="0"/>
        <v>29</v>
      </c>
      <c r="B35" s="22"/>
      <c r="C35" s="22"/>
      <c r="D35" s="22"/>
      <c r="E35" s="22"/>
      <c r="F35" s="22"/>
    </row>
    <row r="36" spans="1:10" x14ac:dyDescent="0.25">
      <c r="A36" s="14">
        <f t="shared" si="0"/>
        <v>30</v>
      </c>
      <c r="B36" s="22"/>
      <c r="C36" s="22"/>
      <c r="D36" s="22"/>
      <c r="E36" s="22"/>
      <c r="F36" s="22"/>
    </row>
    <row r="37" spans="1:10" x14ac:dyDescent="0.25">
      <c r="A37" s="14">
        <f t="shared" si="0"/>
        <v>31</v>
      </c>
      <c r="B37" s="22"/>
      <c r="C37" s="22"/>
      <c r="D37" s="22"/>
      <c r="E37" s="22"/>
      <c r="F37" s="22"/>
    </row>
    <row r="38" spans="1:10" x14ac:dyDescent="0.25">
      <c r="A38" s="14">
        <f t="shared" si="0"/>
        <v>32</v>
      </c>
      <c r="B38" s="22"/>
      <c r="C38" s="22"/>
      <c r="D38" s="22"/>
      <c r="E38" s="22"/>
      <c r="F38" s="22"/>
    </row>
    <row r="39" spans="1:10" x14ac:dyDescent="0.25">
      <c r="A39" s="14">
        <f t="shared" si="0"/>
        <v>33</v>
      </c>
      <c r="B39" s="22"/>
      <c r="C39" s="22"/>
      <c r="D39" s="22"/>
      <c r="E39" s="22"/>
      <c r="F39" s="22"/>
    </row>
    <row r="40" spans="1:10" x14ac:dyDescent="0.25">
      <c r="A40" s="14">
        <f t="shared" si="0"/>
        <v>34</v>
      </c>
      <c r="B40" s="22"/>
      <c r="C40" s="22"/>
      <c r="D40" s="22"/>
      <c r="E40" s="22"/>
      <c r="F40" s="22"/>
    </row>
    <row r="41" spans="1:10" x14ac:dyDescent="0.25">
      <c r="A41" s="14">
        <f t="shared" si="0"/>
        <v>35</v>
      </c>
      <c r="B41" s="22"/>
      <c r="C41" s="22"/>
      <c r="D41" s="22"/>
      <c r="E41" s="22"/>
      <c r="F41" s="22"/>
    </row>
    <row r="42" spans="1:10" x14ac:dyDescent="0.25">
      <c r="A42" s="14">
        <f t="shared" si="0"/>
        <v>36</v>
      </c>
      <c r="B42" s="22"/>
      <c r="C42" s="22"/>
      <c r="D42" s="22"/>
      <c r="E42" s="22"/>
      <c r="F42" s="22"/>
    </row>
    <row r="43" spans="1:10" x14ac:dyDescent="0.25">
      <c r="A43" s="14">
        <f t="shared" si="0"/>
        <v>37</v>
      </c>
      <c r="B43" s="22"/>
      <c r="C43" s="22"/>
      <c r="D43" s="22"/>
      <c r="E43" s="22"/>
      <c r="F43" s="22"/>
    </row>
    <row r="44" spans="1:10" x14ac:dyDescent="0.25">
      <c r="A44" s="14">
        <f t="shared" si="0"/>
        <v>38</v>
      </c>
      <c r="B44" s="22"/>
      <c r="C44" s="22"/>
      <c r="D44" s="22"/>
      <c r="E44" s="22"/>
      <c r="F44" s="22"/>
    </row>
    <row r="45" spans="1:10" x14ac:dyDescent="0.25">
      <c r="A45" s="14">
        <f t="shared" si="0"/>
        <v>39</v>
      </c>
      <c r="B45" s="22"/>
      <c r="C45" s="22"/>
      <c r="D45" s="22"/>
      <c r="E45" s="22"/>
      <c r="F45" s="22"/>
    </row>
    <row r="46" spans="1:10" x14ac:dyDescent="0.25">
      <c r="A46" s="14">
        <f t="shared" si="0"/>
        <v>40</v>
      </c>
      <c r="B46" s="22"/>
      <c r="C46" s="22"/>
      <c r="D46" s="22"/>
      <c r="E46" s="22"/>
      <c r="F46" s="22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3EC1E-626C-41AA-9838-FF47E9E37DDC}">
  <dimension ref="A1:K46"/>
  <sheetViews>
    <sheetView workbookViewId="0">
      <selection activeCell="E8" sqref="E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23" t="s">
        <v>0</v>
      </c>
      <c r="B1" s="23"/>
      <c r="C1" s="2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7" t="s">
        <v>2</v>
      </c>
      <c r="B2" s="27"/>
      <c r="C2" s="27"/>
      <c r="D2" s="6"/>
      <c r="E2" s="28" t="s">
        <v>3</v>
      </c>
      <c r="F2" s="28"/>
      <c r="G2" s="4"/>
      <c r="H2" s="4"/>
      <c r="I2" s="24" t="s">
        <v>4</v>
      </c>
      <c r="J2" s="25"/>
      <c r="K2" s="17">
        <f>SUMIF(F7:F33,"Elimination*",G7:G33)</f>
        <v>1</v>
      </c>
    </row>
    <row r="3" spans="1:11" x14ac:dyDescent="0.25">
      <c r="A3" s="28" t="s">
        <v>5</v>
      </c>
      <c r="B3" s="28"/>
      <c r="C3" s="28"/>
      <c r="D3" s="5"/>
      <c r="E3" s="28" t="s">
        <v>16</v>
      </c>
      <c r="F3" s="28"/>
      <c r="G3" s="4"/>
      <c r="H3" s="4"/>
      <c r="I3" s="24" t="s">
        <v>6</v>
      </c>
      <c r="J3" s="25"/>
      <c r="K3" s="17">
        <f>SUMIF(F7:F33,"NB*",G7:G33)</f>
        <v>0</v>
      </c>
    </row>
    <row r="4" spans="1:11" ht="18" x14ac:dyDescent="0.25">
      <c r="A4" s="23" t="s">
        <v>7</v>
      </c>
      <c r="B4" s="23"/>
      <c r="C4" s="23"/>
      <c r="D4" s="23"/>
      <c r="E4" s="23"/>
      <c r="F4" s="23"/>
      <c r="G4" s="4"/>
      <c r="H4" s="4"/>
      <c r="I4" s="24" t="s">
        <v>8</v>
      </c>
      <c r="J4" s="25"/>
      <c r="K4" s="17">
        <f>SUMIF(F7:F33,"Ve*",G7:G33)</f>
        <v>0</v>
      </c>
    </row>
    <row r="5" spans="1:11" ht="15.75" x14ac:dyDescent="0.25">
      <c r="A5" s="26" t="s">
        <v>28</v>
      </c>
      <c r="B5" s="26"/>
      <c r="C5" s="26"/>
      <c r="D5" s="26"/>
      <c r="E5" s="26"/>
      <c r="F5" s="26"/>
      <c r="G5" s="18"/>
      <c r="H5" s="18"/>
      <c r="I5" s="24" t="s">
        <v>9</v>
      </c>
      <c r="J5" s="25"/>
      <c r="K5" s="19">
        <f>SUM(K2:K4)</f>
        <v>1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4">
        <v>1</v>
      </c>
      <c r="B7" s="10" t="s">
        <v>29</v>
      </c>
      <c r="C7" s="10" t="s">
        <v>20</v>
      </c>
      <c r="D7" s="9" t="s">
        <v>30</v>
      </c>
      <c r="E7" s="12">
        <v>46097</v>
      </c>
      <c r="F7" s="20" t="s">
        <v>31</v>
      </c>
      <c r="G7" s="16">
        <v>1</v>
      </c>
      <c r="H7" s="2"/>
      <c r="I7" s="15"/>
      <c r="J7" s="15"/>
      <c r="K7" s="1"/>
    </row>
    <row r="8" spans="1:11" ht="15" customHeight="1" x14ac:dyDescent="0.25">
      <c r="A8" s="14">
        <f>+A7+1</f>
        <v>2</v>
      </c>
      <c r="B8" s="10"/>
      <c r="C8" s="10"/>
      <c r="D8" s="9"/>
      <c r="E8" s="12"/>
      <c r="F8" s="20"/>
      <c r="G8" s="16">
        <v>1</v>
      </c>
      <c r="H8" s="2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11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>
        <v>1</v>
      </c>
      <c r="H13" s="21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2"/>
      <c r="C22" s="10"/>
      <c r="D22" s="9"/>
      <c r="E22" s="12"/>
      <c r="F22" s="20"/>
      <c r="G22" s="16">
        <v>1</v>
      </c>
      <c r="H22" s="1"/>
      <c r="I22" s="2"/>
      <c r="J22" s="2"/>
    </row>
    <row r="23" spans="1:10" ht="15" customHeight="1" x14ac:dyDescent="0.25">
      <c r="A23" s="14">
        <f t="shared" si="0"/>
        <v>17</v>
      </c>
      <c r="B23" s="10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21"/>
      <c r="I24" s="2"/>
      <c r="J24" s="2"/>
    </row>
    <row r="25" spans="1:10" ht="15" customHeight="1" x14ac:dyDescent="0.25">
      <c r="A25" s="14">
        <f t="shared" si="0"/>
        <v>19</v>
      </c>
      <c r="B25" s="1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0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1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>
        <v>1</v>
      </c>
      <c r="H30" s="2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>
        <v>1</v>
      </c>
      <c r="H33" s="1"/>
      <c r="I33" s="1"/>
      <c r="J33" s="1"/>
    </row>
    <row r="34" spans="1:10" x14ac:dyDescent="0.25">
      <c r="A34" s="14">
        <f t="shared" si="0"/>
        <v>28</v>
      </c>
      <c r="B34" s="22"/>
      <c r="C34" s="22"/>
      <c r="D34" s="22"/>
      <c r="E34" s="22"/>
      <c r="F34" s="22"/>
    </row>
    <row r="35" spans="1:10" x14ac:dyDescent="0.25">
      <c r="A35" s="14">
        <f t="shared" si="0"/>
        <v>29</v>
      </c>
      <c r="B35" s="22"/>
      <c r="C35" s="22"/>
      <c r="D35" s="22"/>
      <c r="E35" s="22"/>
      <c r="F35" s="22"/>
    </row>
    <row r="36" spans="1:10" x14ac:dyDescent="0.25">
      <c r="A36" s="14">
        <f t="shared" si="0"/>
        <v>30</v>
      </c>
      <c r="B36" s="22"/>
      <c r="C36" s="22"/>
      <c r="D36" s="22"/>
      <c r="E36" s="22"/>
      <c r="F36" s="22"/>
    </row>
    <row r="37" spans="1:10" x14ac:dyDescent="0.25">
      <c r="A37" s="14">
        <f t="shared" si="0"/>
        <v>31</v>
      </c>
      <c r="B37" s="22"/>
      <c r="C37" s="22"/>
      <c r="D37" s="22"/>
      <c r="E37" s="22"/>
      <c r="F37" s="22"/>
    </row>
    <row r="38" spans="1:10" x14ac:dyDescent="0.25">
      <c r="A38" s="14">
        <f t="shared" si="0"/>
        <v>32</v>
      </c>
      <c r="B38" s="22"/>
      <c r="C38" s="22"/>
      <c r="D38" s="22"/>
      <c r="E38" s="22"/>
      <c r="F38" s="22"/>
    </row>
    <row r="39" spans="1:10" x14ac:dyDescent="0.25">
      <c r="A39" s="14">
        <f t="shared" si="0"/>
        <v>33</v>
      </c>
      <c r="B39" s="22"/>
      <c r="C39" s="22"/>
      <c r="D39" s="22"/>
      <c r="E39" s="22"/>
      <c r="F39" s="22"/>
    </row>
    <row r="40" spans="1:10" x14ac:dyDescent="0.25">
      <c r="A40" s="14">
        <f t="shared" si="0"/>
        <v>34</v>
      </c>
      <c r="B40" s="22"/>
      <c r="C40" s="22"/>
      <c r="D40" s="22"/>
      <c r="E40" s="22"/>
      <c r="F40" s="22"/>
    </row>
    <row r="41" spans="1:10" x14ac:dyDescent="0.25">
      <c r="A41" s="14">
        <f t="shared" si="0"/>
        <v>35</v>
      </c>
      <c r="B41" s="22"/>
      <c r="C41" s="22"/>
      <c r="D41" s="22"/>
      <c r="E41" s="22"/>
      <c r="F41" s="22"/>
    </row>
    <row r="42" spans="1:10" x14ac:dyDescent="0.25">
      <c r="A42" s="14">
        <f t="shared" si="0"/>
        <v>36</v>
      </c>
      <c r="B42" s="22"/>
      <c r="C42" s="22"/>
      <c r="D42" s="22"/>
      <c r="E42" s="22"/>
      <c r="F42" s="22"/>
    </row>
    <row r="43" spans="1:10" x14ac:dyDescent="0.25">
      <c r="A43" s="14">
        <f t="shared" si="0"/>
        <v>37</v>
      </c>
      <c r="B43" s="22"/>
      <c r="C43" s="22"/>
      <c r="D43" s="22"/>
      <c r="E43" s="22"/>
      <c r="F43" s="22"/>
    </row>
    <row r="44" spans="1:10" x14ac:dyDescent="0.25">
      <c r="A44" s="14">
        <f t="shared" si="0"/>
        <v>38</v>
      </c>
      <c r="B44" s="22"/>
      <c r="C44" s="22"/>
      <c r="D44" s="22"/>
      <c r="E44" s="22"/>
      <c r="F44" s="22"/>
    </row>
    <row r="45" spans="1:10" x14ac:dyDescent="0.25">
      <c r="A45" s="14">
        <f t="shared" si="0"/>
        <v>39</v>
      </c>
      <c r="B45" s="22"/>
      <c r="C45" s="22"/>
      <c r="D45" s="22"/>
      <c r="E45" s="22"/>
      <c r="F45" s="22"/>
    </row>
    <row r="46" spans="1:10" x14ac:dyDescent="0.25">
      <c r="A46" s="14">
        <f t="shared" si="0"/>
        <v>40</v>
      </c>
      <c r="B46" s="22"/>
      <c r="C46" s="22"/>
      <c r="D46" s="22"/>
      <c r="E46" s="22"/>
      <c r="F46" s="22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6AE61-2BF4-4602-A18F-5EF8B7C12CEA}">
  <dimension ref="A1:K46"/>
  <sheetViews>
    <sheetView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23" t="s">
        <v>0</v>
      </c>
      <c r="B1" s="23"/>
      <c r="C1" s="2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7" t="s">
        <v>2</v>
      </c>
      <c r="B2" s="27"/>
      <c r="C2" s="27"/>
      <c r="D2" s="6"/>
      <c r="E2" s="28" t="s">
        <v>3</v>
      </c>
      <c r="F2" s="28"/>
      <c r="G2" s="4"/>
      <c r="H2" s="4"/>
      <c r="I2" s="24" t="s">
        <v>4</v>
      </c>
      <c r="J2" s="25"/>
      <c r="K2" s="17">
        <f>SUMIF(F7:F33,"Elimination*",G7:G33)</f>
        <v>0</v>
      </c>
    </row>
    <row r="3" spans="1:11" x14ac:dyDescent="0.25">
      <c r="A3" s="28" t="s">
        <v>5</v>
      </c>
      <c r="B3" s="28"/>
      <c r="C3" s="28"/>
      <c r="D3" s="5"/>
      <c r="E3" s="28" t="s">
        <v>16</v>
      </c>
      <c r="F3" s="28"/>
      <c r="G3" s="4"/>
      <c r="H3" s="4"/>
      <c r="I3" s="24" t="s">
        <v>6</v>
      </c>
      <c r="J3" s="25"/>
      <c r="K3" s="17">
        <f>SUMIF(F7:F33,"NB*",G7:G33)</f>
        <v>0</v>
      </c>
    </row>
    <row r="4" spans="1:11" ht="18" x14ac:dyDescent="0.25">
      <c r="A4" s="23" t="s">
        <v>7</v>
      </c>
      <c r="B4" s="23"/>
      <c r="C4" s="23"/>
      <c r="D4" s="23"/>
      <c r="E4" s="23"/>
      <c r="F4" s="23"/>
      <c r="G4" s="4"/>
      <c r="H4" s="4"/>
      <c r="I4" s="24" t="s">
        <v>8</v>
      </c>
      <c r="J4" s="25"/>
      <c r="K4" s="17">
        <f>SUMIF(F7:F33,"Ve*",G7:G33)</f>
        <v>0</v>
      </c>
    </row>
    <row r="5" spans="1:11" ht="15.75" x14ac:dyDescent="0.25">
      <c r="A5" s="26" t="s">
        <v>32</v>
      </c>
      <c r="B5" s="26"/>
      <c r="C5" s="26"/>
      <c r="D5" s="26"/>
      <c r="E5" s="26"/>
      <c r="F5" s="26"/>
      <c r="G5" s="18"/>
      <c r="H5" s="18"/>
      <c r="I5" s="24" t="s">
        <v>9</v>
      </c>
      <c r="J5" s="25"/>
      <c r="K5" s="19">
        <f>SUM(K2:K4)</f>
        <v>0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4">
        <v>1</v>
      </c>
      <c r="B7" s="10"/>
      <c r="C7" s="10"/>
      <c r="D7" s="9"/>
      <c r="E7" s="12"/>
      <c r="F7" s="20"/>
      <c r="G7" s="16">
        <v>1</v>
      </c>
      <c r="H7" s="2"/>
      <c r="I7" s="15"/>
      <c r="J7" s="15"/>
      <c r="K7" s="1"/>
    </row>
    <row r="8" spans="1:11" ht="15" customHeight="1" x14ac:dyDescent="0.25">
      <c r="A8" s="14">
        <f>+A7+1</f>
        <v>2</v>
      </c>
      <c r="B8" s="10"/>
      <c r="C8" s="10"/>
      <c r="D8" s="9"/>
      <c r="E8" s="12"/>
      <c r="F8" s="20"/>
      <c r="G8" s="16">
        <v>1</v>
      </c>
      <c r="H8" s="2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11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>
        <v>1</v>
      </c>
      <c r="H13" s="21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2"/>
      <c r="C22" s="10"/>
      <c r="D22" s="9"/>
      <c r="E22" s="12"/>
      <c r="F22" s="20"/>
      <c r="G22" s="16">
        <v>1</v>
      </c>
      <c r="H22" s="1"/>
      <c r="I22" s="2"/>
      <c r="J22" s="2"/>
    </row>
    <row r="23" spans="1:10" ht="15" customHeight="1" x14ac:dyDescent="0.25">
      <c r="A23" s="14">
        <f t="shared" si="0"/>
        <v>17</v>
      </c>
      <c r="B23" s="10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21"/>
      <c r="I24" s="2"/>
      <c r="J24" s="2"/>
    </row>
    <row r="25" spans="1:10" ht="15" customHeight="1" x14ac:dyDescent="0.25">
      <c r="A25" s="14">
        <f t="shared" si="0"/>
        <v>19</v>
      </c>
      <c r="B25" s="1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0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1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>
        <v>1</v>
      </c>
      <c r="H30" s="2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>
        <v>1</v>
      </c>
      <c r="H33" s="1"/>
      <c r="I33" s="1"/>
      <c r="J33" s="1"/>
    </row>
    <row r="34" spans="1:10" x14ac:dyDescent="0.25">
      <c r="A34" s="14">
        <f t="shared" si="0"/>
        <v>28</v>
      </c>
      <c r="B34" s="22"/>
      <c r="C34" s="22"/>
      <c r="D34" s="22"/>
      <c r="E34" s="22"/>
      <c r="F34" s="22"/>
    </row>
    <row r="35" spans="1:10" x14ac:dyDescent="0.25">
      <c r="A35" s="14">
        <f t="shared" si="0"/>
        <v>29</v>
      </c>
      <c r="B35" s="22"/>
      <c r="C35" s="22"/>
      <c r="D35" s="22"/>
      <c r="E35" s="22"/>
      <c r="F35" s="22"/>
    </row>
    <row r="36" spans="1:10" x14ac:dyDescent="0.25">
      <c r="A36" s="14">
        <f t="shared" si="0"/>
        <v>30</v>
      </c>
      <c r="B36" s="22"/>
      <c r="C36" s="22"/>
      <c r="D36" s="22"/>
      <c r="E36" s="22"/>
      <c r="F36" s="22"/>
    </row>
    <row r="37" spans="1:10" x14ac:dyDescent="0.25">
      <c r="A37" s="14">
        <f t="shared" si="0"/>
        <v>31</v>
      </c>
      <c r="B37" s="22"/>
      <c r="C37" s="22"/>
      <c r="D37" s="22"/>
      <c r="E37" s="22"/>
      <c r="F37" s="22"/>
    </row>
    <row r="38" spans="1:10" x14ac:dyDescent="0.25">
      <c r="A38" s="14">
        <f t="shared" si="0"/>
        <v>32</v>
      </c>
      <c r="B38" s="22"/>
      <c r="C38" s="22"/>
      <c r="D38" s="22"/>
      <c r="E38" s="22"/>
      <c r="F38" s="22"/>
    </row>
    <row r="39" spans="1:10" x14ac:dyDescent="0.25">
      <c r="A39" s="14">
        <f t="shared" si="0"/>
        <v>33</v>
      </c>
      <c r="B39" s="22"/>
      <c r="C39" s="22"/>
      <c r="D39" s="22"/>
      <c r="E39" s="22"/>
      <c r="F39" s="22"/>
    </row>
    <row r="40" spans="1:10" x14ac:dyDescent="0.25">
      <c r="A40" s="14">
        <f t="shared" si="0"/>
        <v>34</v>
      </c>
      <c r="B40" s="22"/>
      <c r="C40" s="22"/>
      <c r="D40" s="22"/>
      <c r="E40" s="22"/>
      <c r="F40" s="22"/>
    </row>
    <row r="41" spans="1:10" x14ac:dyDescent="0.25">
      <c r="A41" s="14">
        <f t="shared" si="0"/>
        <v>35</v>
      </c>
      <c r="B41" s="22"/>
      <c r="C41" s="22"/>
      <c r="D41" s="22"/>
      <c r="E41" s="22"/>
      <c r="F41" s="22"/>
    </row>
    <row r="42" spans="1:10" x14ac:dyDescent="0.25">
      <c r="A42" s="14">
        <f t="shared" si="0"/>
        <v>36</v>
      </c>
      <c r="B42" s="22"/>
      <c r="C42" s="22"/>
      <c r="D42" s="22"/>
      <c r="E42" s="22"/>
      <c r="F42" s="22"/>
    </row>
    <row r="43" spans="1:10" x14ac:dyDescent="0.25">
      <c r="A43" s="14">
        <f t="shared" si="0"/>
        <v>37</v>
      </c>
      <c r="B43" s="22"/>
      <c r="C43" s="22"/>
      <c r="D43" s="22"/>
      <c r="E43" s="22"/>
      <c r="F43" s="22"/>
    </row>
    <row r="44" spans="1:10" x14ac:dyDescent="0.25">
      <c r="A44" s="14">
        <f t="shared" si="0"/>
        <v>38</v>
      </c>
      <c r="B44" s="22"/>
      <c r="C44" s="22"/>
      <c r="D44" s="22"/>
      <c r="E44" s="22"/>
      <c r="F44" s="22"/>
    </row>
    <row r="45" spans="1:10" x14ac:dyDescent="0.25">
      <c r="A45" s="14">
        <f t="shared" si="0"/>
        <v>39</v>
      </c>
      <c r="B45" s="22"/>
      <c r="C45" s="22"/>
      <c r="D45" s="22"/>
      <c r="E45" s="22"/>
      <c r="F45" s="22"/>
    </row>
    <row r="46" spans="1:10" x14ac:dyDescent="0.25">
      <c r="A46" s="14">
        <f t="shared" si="0"/>
        <v>40</v>
      </c>
      <c r="B46" s="22"/>
      <c r="C46" s="22"/>
      <c r="D46" s="22"/>
      <c r="E46" s="22"/>
      <c r="F46" s="22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A4C9C-710E-4641-9151-CE288BE2BBFC}">
  <dimension ref="A1:K46"/>
  <sheetViews>
    <sheetView workbookViewId="0">
      <selection activeCell="F8" sqref="F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23" t="s">
        <v>0</v>
      </c>
      <c r="B1" s="23"/>
      <c r="C1" s="2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7" t="s">
        <v>2</v>
      </c>
      <c r="B2" s="27"/>
      <c r="C2" s="27"/>
      <c r="D2" s="6"/>
      <c r="E2" s="28" t="s">
        <v>3</v>
      </c>
      <c r="F2" s="28"/>
      <c r="G2" s="4"/>
      <c r="H2" s="4"/>
      <c r="I2" s="24" t="s">
        <v>4</v>
      </c>
      <c r="J2" s="25"/>
      <c r="K2" s="17">
        <f>SUMIF(F7:F33,"Elimination*",G7:G33)</f>
        <v>1</v>
      </c>
    </row>
    <row r="3" spans="1:11" x14ac:dyDescent="0.25">
      <c r="A3" s="28" t="s">
        <v>5</v>
      </c>
      <c r="B3" s="28"/>
      <c r="C3" s="28"/>
      <c r="D3" s="5"/>
      <c r="E3" s="28" t="s">
        <v>16</v>
      </c>
      <c r="F3" s="28"/>
      <c r="G3" s="4"/>
      <c r="H3" s="4"/>
      <c r="I3" s="24" t="s">
        <v>6</v>
      </c>
      <c r="J3" s="25"/>
      <c r="K3" s="17">
        <f>SUMIF(F7:F33,"NB*",G7:G33)</f>
        <v>1</v>
      </c>
    </row>
    <row r="4" spans="1:11" ht="18" x14ac:dyDescent="0.25">
      <c r="A4" s="23" t="s">
        <v>7</v>
      </c>
      <c r="B4" s="23"/>
      <c r="C4" s="23"/>
      <c r="D4" s="23"/>
      <c r="E4" s="23"/>
      <c r="F4" s="23"/>
      <c r="G4" s="4"/>
      <c r="H4" s="4"/>
      <c r="I4" s="24" t="s">
        <v>8</v>
      </c>
      <c r="J4" s="25"/>
      <c r="K4" s="17">
        <f>SUMIF(F7:F33,"Ve*",G7:G33)</f>
        <v>0</v>
      </c>
    </row>
    <row r="5" spans="1:11" ht="15.75" x14ac:dyDescent="0.25">
      <c r="A5" s="26" t="s">
        <v>33</v>
      </c>
      <c r="B5" s="26"/>
      <c r="C5" s="26"/>
      <c r="D5" s="26"/>
      <c r="E5" s="26"/>
      <c r="F5" s="26"/>
      <c r="G5" s="18"/>
      <c r="H5" s="18"/>
      <c r="I5" s="24" t="s">
        <v>9</v>
      </c>
      <c r="J5" s="25"/>
      <c r="K5" s="19">
        <f>SUM(K2:K4)</f>
        <v>2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4">
        <v>1</v>
      </c>
      <c r="B7" s="10" t="s">
        <v>19</v>
      </c>
      <c r="C7" s="10" t="s">
        <v>20</v>
      </c>
      <c r="D7" s="9" t="s">
        <v>34</v>
      </c>
      <c r="E7" s="12">
        <v>46152</v>
      </c>
      <c r="F7" s="20" t="s">
        <v>35</v>
      </c>
      <c r="G7" s="16">
        <v>1</v>
      </c>
      <c r="H7" s="2" t="s">
        <v>36</v>
      </c>
      <c r="I7" s="15"/>
      <c r="J7" s="15"/>
      <c r="K7" s="1"/>
    </row>
    <row r="8" spans="1:11" ht="15" customHeight="1" x14ac:dyDescent="0.25">
      <c r="A8" s="14">
        <f>+A7+1</f>
        <v>2</v>
      </c>
      <c r="B8" s="10" t="s">
        <v>38</v>
      </c>
      <c r="C8" s="10">
        <v>100</v>
      </c>
      <c r="D8" s="9" t="s">
        <v>37</v>
      </c>
      <c r="E8" s="12">
        <v>46173</v>
      </c>
      <c r="F8" s="20" t="s">
        <v>31</v>
      </c>
      <c r="G8" s="16">
        <v>1</v>
      </c>
      <c r="H8" s="2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11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>
        <v>1</v>
      </c>
      <c r="H13" s="21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2"/>
      <c r="C22" s="10"/>
      <c r="D22" s="9"/>
      <c r="E22" s="12"/>
      <c r="F22" s="20"/>
      <c r="G22" s="16">
        <v>1</v>
      </c>
      <c r="H22" s="1"/>
      <c r="I22" s="2"/>
      <c r="J22" s="2"/>
    </row>
    <row r="23" spans="1:10" ht="15" customHeight="1" x14ac:dyDescent="0.25">
      <c r="A23" s="14">
        <f t="shared" si="0"/>
        <v>17</v>
      </c>
      <c r="B23" s="10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21"/>
      <c r="I24" s="2"/>
      <c r="J24" s="2"/>
    </row>
    <row r="25" spans="1:10" ht="15" customHeight="1" x14ac:dyDescent="0.25">
      <c r="A25" s="14">
        <f t="shared" si="0"/>
        <v>19</v>
      </c>
      <c r="B25" s="1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0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1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>
        <v>1</v>
      </c>
      <c r="H30" s="2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>
        <v>1</v>
      </c>
      <c r="H33" s="1"/>
      <c r="I33" s="1"/>
      <c r="J33" s="1"/>
    </row>
    <row r="34" spans="1:10" x14ac:dyDescent="0.25">
      <c r="A34" s="14">
        <f t="shared" si="0"/>
        <v>28</v>
      </c>
      <c r="B34" s="22"/>
      <c r="C34" s="22"/>
      <c r="D34" s="22"/>
      <c r="E34" s="22"/>
      <c r="F34" s="22"/>
    </row>
    <row r="35" spans="1:10" x14ac:dyDescent="0.25">
      <c r="A35" s="14">
        <f t="shared" si="0"/>
        <v>29</v>
      </c>
      <c r="B35" s="22"/>
      <c r="C35" s="22"/>
      <c r="D35" s="22"/>
      <c r="E35" s="22"/>
      <c r="F35" s="22"/>
    </row>
    <row r="36" spans="1:10" x14ac:dyDescent="0.25">
      <c r="A36" s="14">
        <f t="shared" si="0"/>
        <v>30</v>
      </c>
      <c r="B36" s="22"/>
      <c r="C36" s="22"/>
      <c r="D36" s="22"/>
      <c r="E36" s="22"/>
      <c r="F36" s="22"/>
    </row>
    <row r="37" spans="1:10" x14ac:dyDescent="0.25">
      <c r="A37" s="14">
        <f t="shared" si="0"/>
        <v>31</v>
      </c>
      <c r="B37" s="22"/>
      <c r="C37" s="22"/>
      <c r="D37" s="22"/>
      <c r="E37" s="22"/>
      <c r="F37" s="22"/>
    </row>
    <row r="38" spans="1:10" x14ac:dyDescent="0.25">
      <c r="A38" s="14">
        <f t="shared" si="0"/>
        <v>32</v>
      </c>
      <c r="B38" s="22"/>
      <c r="C38" s="22"/>
      <c r="D38" s="22"/>
      <c r="E38" s="22"/>
      <c r="F38" s="22"/>
    </row>
    <row r="39" spans="1:10" x14ac:dyDescent="0.25">
      <c r="A39" s="14">
        <f t="shared" si="0"/>
        <v>33</v>
      </c>
      <c r="B39" s="22"/>
      <c r="C39" s="22"/>
      <c r="D39" s="22"/>
      <c r="E39" s="22"/>
      <c r="F39" s="22"/>
    </row>
    <row r="40" spans="1:10" x14ac:dyDescent="0.25">
      <c r="A40" s="14">
        <f t="shared" si="0"/>
        <v>34</v>
      </c>
      <c r="B40" s="22"/>
      <c r="C40" s="22"/>
      <c r="D40" s="22"/>
      <c r="E40" s="22"/>
      <c r="F40" s="22"/>
    </row>
    <row r="41" spans="1:10" x14ac:dyDescent="0.25">
      <c r="A41" s="14">
        <f t="shared" si="0"/>
        <v>35</v>
      </c>
      <c r="B41" s="22"/>
      <c r="C41" s="22"/>
      <c r="D41" s="22"/>
      <c r="E41" s="22"/>
      <c r="F41" s="22"/>
    </row>
    <row r="42" spans="1:10" x14ac:dyDescent="0.25">
      <c r="A42" s="14">
        <f t="shared" si="0"/>
        <v>36</v>
      </c>
      <c r="B42" s="22"/>
      <c r="C42" s="22"/>
      <c r="D42" s="22"/>
      <c r="E42" s="22"/>
      <c r="F42" s="22"/>
    </row>
    <row r="43" spans="1:10" x14ac:dyDescent="0.25">
      <c r="A43" s="14">
        <f t="shared" si="0"/>
        <v>37</v>
      </c>
      <c r="B43" s="22"/>
      <c r="C43" s="22"/>
      <c r="D43" s="22"/>
      <c r="E43" s="22"/>
      <c r="F43" s="22"/>
    </row>
    <row r="44" spans="1:10" x14ac:dyDescent="0.25">
      <c r="A44" s="14">
        <f t="shared" si="0"/>
        <v>38</v>
      </c>
      <c r="B44" s="22"/>
      <c r="C44" s="22"/>
      <c r="D44" s="22"/>
      <c r="E44" s="22"/>
      <c r="F44" s="22"/>
    </row>
    <row r="45" spans="1:10" x14ac:dyDescent="0.25">
      <c r="A45" s="14">
        <f t="shared" si="0"/>
        <v>39</v>
      </c>
      <c r="B45" s="22"/>
      <c r="C45" s="22"/>
      <c r="D45" s="22"/>
      <c r="E45" s="22"/>
      <c r="F45" s="22"/>
    </row>
    <row r="46" spans="1:10" x14ac:dyDescent="0.25">
      <c r="A46" s="14">
        <f t="shared" si="0"/>
        <v>40</v>
      </c>
      <c r="B46" s="22"/>
      <c r="C46" s="22"/>
      <c r="D46" s="22"/>
      <c r="E46" s="22"/>
      <c r="F46" s="22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A27B-C84E-461B-825F-C6DFC3E904B3}">
  <dimension ref="A1:K46"/>
  <sheetViews>
    <sheetView workbookViewId="0">
      <selection activeCell="F7" sqref="F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23" t="s">
        <v>0</v>
      </c>
      <c r="B1" s="23"/>
      <c r="C1" s="2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7" t="s">
        <v>2</v>
      </c>
      <c r="B2" s="27"/>
      <c r="C2" s="27"/>
      <c r="D2" s="6"/>
      <c r="E2" s="28" t="s">
        <v>3</v>
      </c>
      <c r="F2" s="28"/>
      <c r="G2" s="4"/>
      <c r="H2" s="4"/>
      <c r="I2" s="24" t="s">
        <v>4</v>
      </c>
      <c r="J2" s="25"/>
      <c r="K2" s="17">
        <f>SUMIF(F7:F33,"Elimination*",G7:G33)</f>
        <v>1</v>
      </c>
    </row>
    <row r="3" spans="1:11" x14ac:dyDescent="0.25">
      <c r="A3" s="28" t="s">
        <v>5</v>
      </c>
      <c r="B3" s="28"/>
      <c r="C3" s="28"/>
      <c r="D3" s="5"/>
      <c r="E3" s="28" t="s">
        <v>16</v>
      </c>
      <c r="F3" s="28"/>
      <c r="G3" s="4"/>
      <c r="H3" s="4"/>
      <c r="I3" s="24" t="s">
        <v>6</v>
      </c>
      <c r="J3" s="25"/>
      <c r="K3" s="17">
        <f>SUMIF(F7:F33,"NB*",G7:G33)</f>
        <v>0</v>
      </c>
    </row>
    <row r="4" spans="1:11" ht="18" x14ac:dyDescent="0.25">
      <c r="A4" s="23" t="s">
        <v>7</v>
      </c>
      <c r="B4" s="23"/>
      <c r="C4" s="23"/>
      <c r="D4" s="23"/>
      <c r="E4" s="23"/>
      <c r="F4" s="23"/>
      <c r="G4" s="4"/>
      <c r="H4" s="4"/>
      <c r="I4" s="24" t="s">
        <v>8</v>
      </c>
      <c r="J4" s="25"/>
      <c r="K4" s="17">
        <f>SUMIF(F7:F33,"Ve*",G7:G33)</f>
        <v>0</v>
      </c>
    </row>
    <row r="5" spans="1:11" ht="15.75" x14ac:dyDescent="0.25">
      <c r="A5" s="26" t="s">
        <v>41</v>
      </c>
      <c r="B5" s="26"/>
      <c r="C5" s="26"/>
      <c r="D5" s="26"/>
      <c r="E5" s="26"/>
      <c r="F5" s="26"/>
      <c r="G5" s="18"/>
      <c r="H5" s="18"/>
      <c r="I5" s="24" t="s">
        <v>9</v>
      </c>
      <c r="J5" s="25"/>
      <c r="K5" s="19">
        <f>SUM(K2:K4)</f>
        <v>1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4">
        <v>1</v>
      </c>
      <c r="B7" s="10" t="s">
        <v>39</v>
      </c>
      <c r="C7" s="10">
        <v>80</v>
      </c>
      <c r="D7" s="9" t="s">
        <v>40</v>
      </c>
      <c r="E7" s="12">
        <v>46196</v>
      </c>
      <c r="F7" s="20" t="s">
        <v>31</v>
      </c>
      <c r="G7" s="16">
        <v>1</v>
      </c>
      <c r="H7" s="2"/>
      <c r="I7" s="15"/>
      <c r="J7" s="15"/>
      <c r="K7" s="1"/>
    </row>
    <row r="8" spans="1:11" ht="15" customHeight="1" x14ac:dyDescent="0.25">
      <c r="A8" s="14">
        <f>+A7+1</f>
        <v>2</v>
      </c>
      <c r="B8" s="10"/>
      <c r="C8" s="10"/>
      <c r="D8" s="9"/>
      <c r="E8" s="12"/>
      <c r="F8" s="20"/>
      <c r="G8" s="16">
        <v>1</v>
      </c>
      <c r="H8" s="2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11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>
        <v>1</v>
      </c>
      <c r="H13" s="21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2"/>
      <c r="C22" s="10"/>
      <c r="D22" s="9"/>
      <c r="E22" s="12"/>
      <c r="F22" s="20"/>
      <c r="G22" s="16">
        <v>1</v>
      </c>
      <c r="H22" s="1"/>
      <c r="I22" s="2"/>
      <c r="J22" s="2"/>
    </row>
    <row r="23" spans="1:10" ht="15" customHeight="1" x14ac:dyDescent="0.25">
      <c r="A23" s="14">
        <f t="shared" si="0"/>
        <v>17</v>
      </c>
      <c r="B23" s="10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21"/>
      <c r="I24" s="2"/>
      <c r="J24" s="2"/>
    </row>
    <row r="25" spans="1:10" ht="15" customHeight="1" x14ac:dyDescent="0.25">
      <c r="A25" s="14">
        <f t="shared" si="0"/>
        <v>19</v>
      </c>
      <c r="B25" s="1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0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1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>
        <v>1</v>
      </c>
      <c r="H30" s="2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>
        <v>1</v>
      </c>
      <c r="H33" s="1"/>
      <c r="I33" s="1"/>
      <c r="J33" s="1"/>
    </row>
    <row r="34" spans="1:10" x14ac:dyDescent="0.25">
      <c r="A34" s="14">
        <f t="shared" si="0"/>
        <v>28</v>
      </c>
      <c r="B34" s="22"/>
      <c r="C34" s="22"/>
      <c r="D34" s="22"/>
      <c r="E34" s="22"/>
      <c r="F34" s="22"/>
    </row>
    <row r="35" spans="1:10" x14ac:dyDescent="0.25">
      <c r="A35" s="14">
        <f t="shared" si="0"/>
        <v>29</v>
      </c>
      <c r="B35" s="22"/>
      <c r="C35" s="22"/>
      <c r="D35" s="22"/>
      <c r="E35" s="22"/>
      <c r="F35" s="22"/>
    </row>
    <row r="36" spans="1:10" x14ac:dyDescent="0.25">
      <c r="A36" s="14">
        <f t="shared" si="0"/>
        <v>30</v>
      </c>
      <c r="B36" s="22"/>
      <c r="C36" s="22"/>
      <c r="D36" s="22"/>
      <c r="E36" s="22"/>
      <c r="F36" s="22"/>
    </row>
    <row r="37" spans="1:10" x14ac:dyDescent="0.25">
      <c r="A37" s="14">
        <f t="shared" si="0"/>
        <v>31</v>
      </c>
      <c r="B37" s="22"/>
      <c r="C37" s="22"/>
      <c r="D37" s="22"/>
      <c r="E37" s="22"/>
      <c r="F37" s="22"/>
    </row>
    <row r="38" spans="1:10" x14ac:dyDescent="0.25">
      <c r="A38" s="14">
        <f t="shared" si="0"/>
        <v>32</v>
      </c>
      <c r="B38" s="22"/>
      <c r="C38" s="22"/>
      <c r="D38" s="22"/>
      <c r="E38" s="22"/>
      <c r="F38" s="22"/>
    </row>
    <row r="39" spans="1:10" x14ac:dyDescent="0.25">
      <c r="A39" s="14">
        <f t="shared" si="0"/>
        <v>33</v>
      </c>
      <c r="B39" s="22"/>
      <c r="C39" s="22"/>
      <c r="D39" s="22"/>
      <c r="E39" s="22"/>
      <c r="F39" s="22"/>
    </row>
    <row r="40" spans="1:10" x14ac:dyDescent="0.25">
      <c r="A40" s="14">
        <f t="shared" si="0"/>
        <v>34</v>
      </c>
      <c r="B40" s="22"/>
      <c r="C40" s="22"/>
      <c r="D40" s="22"/>
      <c r="E40" s="22"/>
      <c r="F40" s="22"/>
    </row>
    <row r="41" spans="1:10" x14ac:dyDescent="0.25">
      <c r="A41" s="14">
        <f t="shared" si="0"/>
        <v>35</v>
      </c>
      <c r="B41" s="22"/>
      <c r="C41" s="22"/>
      <c r="D41" s="22"/>
      <c r="E41" s="22"/>
      <c r="F41" s="22"/>
    </row>
    <row r="42" spans="1:10" x14ac:dyDescent="0.25">
      <c r="A42" s="14">
        <f t="shared" si="0"/>
        <v>36</v>
      </c>
      <c r="B42" s="22"/>
      <c r="C42" s="22"/>
      <c r="D42" s="22"/>
      <c r="E42" s="22"/>
      <c r="F42" s="22"/>
    </row>
    <row r="43" spans="1:10" x14ac:dyDescent="0.25">
      <c r="A43" s="14">
        <f t="shared" si="0"/>
        <v>37</v>
      </c>
      <c r="B43" s="22"/>
      <c r="C43" s="22"/>
      <c r="D43" s="22"/>
      <c r="E43" s="22"/>
      <c r="F43" s="22"/>
    </row>
    <row r="44" spans="1:10" x14ac:dyDescent="0.25">
      <c r="A44" s="14">
        <f t="shared" si="0"/>
        <v>38</v>
      </c>
      <c r="B44" s="22"/>
      <c r="C44" s="22"/>
      <c r="D44" s="22"/>
      <c r="E44" s="22"/>
      <c r="F44" s="22"/>
    </row>
    <row r="45" spans="1:10" x14ac:dyDescent="0.25">
      <c r="A45" s="14">
        <f t="shared" si="0"/>
        <v>39</v>
      </c>
      <c r="B45" s="22"/>
      <c r="C45" s="22"/>
      <c r="D45" s="22"/>
      <c r="E45" s="22"/>
      <c r="F45" s="22"/>
    </row>
    <row r="46" spans="1:10" x14ac:dyDescent="0.25">
      <c r="A46" s="14">
        <f t="shared" si="0"/>
        <v>40</v>
      </c>
      <c r="B46" s="22"/>
      <c r="C46" s="22"/>
      <c r="D46" s="22"/>
      <c r="E46" s="22"/>
      <c r="F46" s="22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59E12-2972-4FB8-BAA5-9926D4005B4E}">
  <dimension ref="A1:K46"/>
  <sheetViews>
    <sheetView workbookViewId="0">
      <selection activeCell="H32" sqref="H32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23" t="s">
        <v>0</v>
      </c>
      <c r="B1" s="23"/>
      <c r="C1" s="2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7" t="s">
        <v>2</v>
      </c>
      <c r="B2" s="27"/>
      <c r="C2" s="27"/>
      <c r="D2" s="6"/>
      <c r="E2" s="28" t="s">
        <v>3</v>
      </c>
      <c r="F2" s="28"/>
      <c r="G2" s="4"/>
      <c r="H2" s="4"/>
      <c r="I2" s="24" t="s">
        <v>4</v>
      </c>
      <c r="J2" s="25"/>
      <c r="K2" s="17">
        <f>SUMIF(F7:F33,"Elimination*",G7:G33)</f>
        <v>0</v>
      </c>
    </row>
    <row r="3" spans="1:11" x14ac:dyDescent="0.25">
      <c r="A3" s="28" t="s">
        <v>5</v>
      </c>
      <c r="B3" s="28"/>
      <c r="C3" s="28"/>
      <c r="D3" s="5"/>
      <c r="E3" s="28" t="s">
        <v>16</v>
      </c>
      <c r="F3" s="28"/>
      <c r="G3" s="4"/>
      <c r="H3" s="4"/>
      <c r="I3" s="24" t="s">
        <v>6</v>
      </c>
      <c r="J3" s="25"/>
      <c r="K3" s="17">
        <f>SUMIF(F7:F33,"NB*",G7:G33)</f>
        <v>0</v>
      </c>
    </row>
    <row r="4" spans="1:11" ht="18" x14ac:dyDescent="0.25">
      <c r="A4" s="23" t="s">
        <v>7</v>
      </c>
      <c r="B4" s="23"/>
      <c r="C4" s="23"/>
      <c r="D4" s="23"/>
      <c r="E4" s="23"/>
      <c r="F4" s="23"/>
      <c r="G4" s="4"/>
      <c r="H4" s="4"/>
      <c r="I4" s="24" t="s">
        <v>8</v>
      </c>
      <c r="J4" s="25"/>
      <c r="K4" s="17">
        <f>SUMIF(F7:F33,"Ve*",G7:G33)</f>
        <v>0</v>
      </c>
    </row>
    <row r="5" spans="1:11" ht="15.75" x14ac:dyDescent="0.25">
      <c r="A5" s="26" t="s">
        <v>42</v>
      </c>
      <c r="B5" s="26"/>
      <c r="C5" s="26"/>
      <c r="D5" s="26"/>
      <c r="E5" s="26"/>
      <c r="F5" s="26"/>
      <c r="G5" s="18"/>
      <c r="H5" s="18"/>
      <c r="I5" s="24" t="s">
        <v>9</v>
      </c>
      <c r="J5" s="25"/>
      <c r="K5" s="19">
        <f>SUM(K2:K4)</f>
        <v>0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4">
        <v>1</v>
      </c>
      <c r="B7" s="10"/>
      <c r="C7" s="10"/>
      <c r="D7" s="9"/>
      <c r="E7" s="12"/>
      <c r="F7" s="20"/>
      <c r="G7" s="16">
        <v>1</v>
      </c>
      <c r="H7" s="2"/>
      <c r="I7" s="15"/>
      <c r="J7" s="15"/>
      <c r="K7" s="1"/>
    </row>
    <row r="8" spans="1:11" ht="15" customHeight="1" x14ac:dyDescent="0.25">
      <c r="A8" s="14">
        <f>+A7+1</f>
        <v>2</v>
      </c>
      <c r="B8" s="10"/>
      <c r="C8" s="10"/>
      <c r="D8" s="9"/>
      <c r="E8" s="12"/>
      <c r="F8" s="20"/>
      <c r="G8" s="16">
        <v>1</v>
      </c>
      <c r="H8" s="2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11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>
        <v>1</v>
      </c>
      <c r="H13" s="21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2"/>
      <c r="C22" s="10"/>
      <c r="D22" s="9"/>
      <c r="E22" s="12"/>
      <c r="F22" s="20"/>
      <c r="G22" s="16">
        <v>1</v>
      </c>
      <c r="H22" s="1"/>
      <c r="I22" s="2"/>
      <c r="J22" s="2"/>
    </row>
    <row r="23" spans="1:10" ht="15" customHeight="1" x14ac:dyDescent="0.25">
      <c r="A23" s="14">
        <f t="shared" si="0"/>
        <v>17</v>
      </c>
      <c r="B23" s="10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21"/>
      <c r="I24" s="2"/>
      <c r="J24" s="2"/>
    </row>
    <row r="25" spans="1:10" ht="15" customHeight="1" x14ac:dyDescent="0.25">
      <c r="A25" s="14">
        <f t="shared" si="0"/>
        <v>19</v>
      </c>
      <c r="B25" s="1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0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1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>
        <v>1</v>
      </c>
      <c r="H30" s="2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>
        <v>1</v>
      </c>
      <c r="H33" s="1"/>
      <c r="I33" s="1"/>
      <c r="J33" s="1"/>
    </row>
    <row r="34" spans="1:10" x14ac:dyDescent="0.25">
      <c r="A34" s="14">
        <f t="shared" si="0"/>
        <v>28</v>
      </c>
      <c r="B34" s="22"/>
      <c r="C34" s="22"/>
      <c r="D34" s="22"/>
      <c r="E34" s="22"/>
      <c r="F34" s="22"/>
    </row>
    <row r="35" spans="1:10" x14ac:dyDescent="0.25">
      <c r="A35" s="14">
        <f t="shared" si="0"/>
        <v>29</v>
      </c>
      <c r="B35" s="22"/>
      <c r="C35" s="22"/>
      <c r="D35" s="22"/>
      <c r="E35" s="22"/>
      <c r="F35" s="22"/>
    </row>
    <row r="36" spans="1:10" x14ac:dyDescent="0.25">
      <c r="A36" s="14">
        <f t="shared" si="0"/>
        <v>30</v>
      </c>
      <c r="B36" s="22"/>
      <c r="C36" s="22"/>
      <c r="D36" s="22"/>
      <c r="E36" s="22"/>
      <c r="F36" s="22"/>
    </row>
    <row r="37" spans="1:10" x14ac:dyDescent="0.25">
      <c r="A37" s="14">
        <f t="shared" si="0"/>
        <v>31</v>
      </c>
      <c r="B37" s="22"/>
      <c r="C37" s="22"/>
      <c r="D37" s="22"/>
      <c r="E37" s="22"/>
      <c r="F37" s="22"/>
    </row>
    <row r="38" spans="1:10" x14ac:dyDescent="0.25">
      <c r="A38" s="14">
        <f t="shared" si="0"/>
        <v>32</v>
      </c>
      <c r="B38" s="22"/>
      <c r="C38" s="22"/>
      <c r="D38" s="22"/>
      <c r="E38" s="22"/>
      <c r="F38" s="22"/>
    </row>
    <row r="39" spans="1:10" x14ac:dyDescent="0.25">
      <c r="A39" s="14">
        <f t="shared" si="0"/>
        <v>33</v>
      </c>
      <c r="B39" s="22"/>
      <c r="C39" s="22"/>
      <c r="D39" s="22"/>
      <c r="E39" s="22"/>
      <c r="F39" s="22"/>
    </row>
    <row r="40" spans="1:10" x14ac:dyDescent="0.25">
      <c r="A40" s="14">
        <f t="shared" si="0"/>
        <v>34</v>
      </c>
      <c r="B40" s="22"/>
      <c r="C40" s="22"/>
      <c r="D40" s="22"/>
      <c r="E40" s="22"/>
      <c r="F40" s="22"/>
    </row>
    <row r="41" spans="1:10" x14ac:dyDescent="0.25">
      <c r="A41" s="14">
        <f t="shared" si="0"/>
        <v>35</v>
      </c>
      <c r="B41" s="22"/>
      <c r="C41" s="22"/>
      <c r="D41" s="22"/>
      <c r="E41" s="22"/>
      <c r="F41" s="22"/>
    </row>
    <row r="42" spans="1:10" x14ac:dyDescent="0.25">
      <c r="A42" s="14">
        <f t="shared" si="0"/>
        <v>36</v>
      </c>
      <c r="B42" s="22"/>
      <c r="C42" s="22"/>
      <c r="D42" s="22"/>
      <c r="E42" s="22"/>
      <c r="F42" s="22"/>
    </row>
    <row r="43" spans="1:10" x14ac:dyDescent="0.25">
      <c r="A43" s="14">
        <f t="shared" si="0"/>
        <v>37</v>
      </c>
      <c r="B43" s="22"/>
      <c r="C43" s="22"/>
      <c r="D43" s="22"/>
      <c r="E43" s="22"/>
      <c r="F43" s="22"/>
    </row>
    <row r="44" spans="1:10" x14ac:dyDescent="0.25">
      <c r="A44" s="14">
        <f t="shared" si="0"/>
        <v>38</v>
      </c>
      <c r="B44" s="22"/>
      <c r="C44" s="22"/>
      <c r="D44" s="22"/>
      <c r="E44" s="22"/>
      <c r="F44" s="22"/>
    </row>
    <row r="45" spans="1:10" x14ac:dyDescent="0.25">
      <c r="A45" s="14">
        <f t="shared" si="0"/>
        <v>39</v>
      </c>
      <c r="B45" s="22"/>
      <c r="C45" s="22"/>
      <c r="D45" s="22"/>
      <c r="E45" s="22"/>
      <c r="F45" s="22"/>
    </row>
    <row r="46" spans="1:10" x14ac:dyDescent="0.25">
      <c r="A46" s="14">
        <f t="shared" si="0"/>
        <v>40</v>
      </c>
      <c r="B46" s="22"/>
      <c r="C46" s="22"/>
      <c r="D46" s="22"/>
      <c r="E46" s="22"/>
      <c r="F46" s="22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3E055-6C2C-47A5-A32F-3A84919DFD13}">
  <dimension ref="A1:K46"/>
  <sheetViews>
    <sheetView tabSelected="1" workbookViewId="0">
      <selection activeCell="K9" sqref="K9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23" t="s">
        <v>0</v>
      </c>
      <c r="B1" s="23"/>
      <c r="C1" s="2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7" t="s">
        <v>2</v>
      </c>
      <c r="B2" s="27"/>
      <c r="C2" s="27"/>
      <c r="D2" s="6"/>
      <c r="E2" s="28" t="s">
        <v>3</v>
      </c>
      <c r="F2" s="28"/>
      <c r="G2" s="4"/>
      <c r="H2" s="4"/>
      <c r="I2" s="24" t="s">
        <v>4</v>
      </c>
      <c r="J2" s="25"/>
      <c r="K2" s="17">
        <f>SUMIF(F7:F33,"Elimination*",G7:G33)</f>
        <v>0</v>
      </c>
    </row>
    <row r="3" spans="1:11" x14ac:dyDescent="0.25">
      <c r="A3" s="28" t="s">
        <v>5</v>
      </c>
      <c r="B3" s="28"/>
      <c r="C3" s="28"/>
      <c r="D3" s="5"/>
      <c r="E3" s="28" t="s">
        <v>16</v>
      </c>
      <c r="F3" s="28"/>
      <c r="G3" s="4"/>
      <c r="H3" s="4"/>
      <c r="I3" s="24" t="s">
        <v>6</v>
      </c>
      <c r="J3" s="25"/>
      <c r="K3" s="17">
        <f>SUMIF(F7:F33,"NB*",G7:G33)</f>
        <v>6</v>
      </c>
    </row>
    <row r="4" spans="1:11" ht="18" x14ac:dyDescent="0.25">
      <c r="A4" s="23" t="s">
        <v>7</v>
      </c>
      <c r="B4" s="23"/>
      <c r="C4" s="23"/>
      <c r="D4" s="23"/>
      <c r="E4" s="23"/>
      <c r="F4" s="23"/>
      <c r="G4" s="4"/>
      <c r="H4" s="4"/>
      <c r="I4" s="24" t="s">
        <v>8</v>
      </c>
      <c r="J4" s="25"/>
      <c r="K4" s="17">
        <f>SUMIF(F7:F33,"Ve*",G7:G33)</f>
        <v>0</v>
      </c>
    </row>
    <row r="5" spans="1:11" ht="15.75" x14ac:dyDescent="0.25">
      <c r="A5" s="26" t="s">
        <v>43</v>
      </c>
      <c r="B5" s="26"/>
      <c r="C5" s="26"/>
      <c r="D5" s="26"/>
      <c r="E5" s="26"/>
      <c r="F5" s="26"/>
      <c r="G5" s="18"/>
      <c r="H5" s="18"/>
      <c r="I5" s="24" t="s">
        <v>9</v>
      </c>
      <c r="J5" s="25"/>
      <c r="K5" s="19">
        <f>SUM(K2:K4)</f>
        <v>6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4">
        <v>1</v>
      </c>
      <c r="B7" s="10" t="s">
        <v>19</v>
      </c>
      <c r="C7" s="10" t="s">
        <v>57</v>
      </c>
      <c r="D7" s="9" t="s">
        <v>47</v>
      </c>
      <c r="E7" s="12">
        <v>46246</v>
      </c>
      <c r="F7" s="20" t="s">
        <v>49</v>
      </c>
      <c r="G7" s="16">
        <v>1</v>
      </c>
      <c r="H7" s="2" t="s">
        <v>48</v>
      </c>
      <c r="I7" s="2" t="s">
        <v>46</v>
      </c>
      <c r="J7" s="15"/>
      <c r="K7" s="1"/>
    </row>
    <row r="8" spans="1:11" ht="15" customHeight="1" x14ac:dyDescent="0.25">
      <c r="A8" s="14">
        <f>+A7+1</f>
        <v>2</v>
      </c>
      <c r="B8" s="10" t="s">
        <v>19</v>
      </c>
      <c r="C8" s="10" t="s">
        <v>57</v>
      </c>
      <c r="D8" s="9" t="s">
        <v>81</v>
      </c>
      <c r="E8" s="12">
        <v>46246</v>
      </c>
      <c r="F8" s="20" t="s">
        <v>53</v>
      </c>
      <c r="G8" s="16">
        <v>1</v>
      </c>
      <c r="H8" s="2" t="s">
        <v>51</v>
      </c>
      <c r="I8" s="2" t="s">
        <v>52</v>
      </c>
      <c r="J8" s="2"/>
      <c r="K8" s="1"/>
    </row>
    <row r="9" spans="1:11" ht="15" customHeight="1" x14ac:dyDescent="0.25">
      <c r="A9" s="14">
        <f t="shared" ref="A9:A46" si="0">+A8+1</f>
        <v>3</v>
      </c>
      <c r="B9" s="10" t="s">
        <v>19</v>
      </c>
      <c r="C9" s="10" t="s">
        <v>57</v>
      </c>
      <c r="D9" s="9" t="s">
        <v>58</v>
      </c>
      <c r="E9" s="12">
        <v>46246</v>
      </c>
      <c r="F9" s="20" t="s">
        <v>59</v>
      </c>
      <c r="G9" s="16">
        <v>1</v>
      </c>
      <c r="H9" s="2" t="s">
        <v>60</v>
      </c>
      <c r="I9" s="2" t="s">
        <v>61</v>
      </c>
      <c r="J9" s="2"/>
      <c r="K9" s="1"/>
    </row>
    <row r="10" spans="1:11" ht="15" customHeight="1" x14ac:dyDescent="0.25">
      <c r="A10" s="14">
        <f t="shared" si="0"/>
        <v>4</v>
      </c>
      <c r="B10" s="10" t="s">
        <v>19</v>
      </c>
      <c r="C10" s="10" t="s">
        <v>57</v>
      </c>
      <c r="D10" s="9" t="s">
        <v>54</v>
      </c>
      <c r="E10" s="12">
        <v>46246</v>
      </c>
      <c r="F10" s="20" t="s">
        <v>56</v>
      </c>
      <c r="G10" s="16">
        <v>1</v>
      </c>
      <c r="H10" s="2" t="s">
        <v>55</v>
      </c>
      <c r="I10" s="2" t="s">
        <v>52</v>
      </c>
      <c r="J10" s="2"/>
      <c r="K10" s="1"/>
    </row>
    <row r="11" spans="1:11" ht="15" customHeight="1" x14ac:dyDescent="0.25">
      <c r="A11" s="14">
        <f t="shared" si="0"/>
        <v>5</v>
      </c>
      <c r="B11" s="10" t="s">
        <v>19</v>
      </c>
      <c r="C11" s="10" t="s">
        <v>20</v>
      </c>
      <c r="D11" s="9" t="s">
        <v>62</v>
      </c>
      <c r="E11" s="12">
        <v>46246</v>
      </c>
      <c r="F11" s="20" t="s">
        <v>44</v>
      </c>
      <c r="G11" s="16">
        <v>1</v>
      </c>
      <c r="H11" s="2" t="s">
        <v>45</v>
      </c>
      <c r="I11" s="15" t="s">
        <v>46</v>
      </c>
      <c r="J11" s="2"/>
      <c r="K11" s="1"/>
    </row>
    <row r="12" spans="1:11" ht="15" customHeight="1" x14ac:dyDescent="0.25">
      <c r="A12" s="14">
        <f t="shared" si="0"/>
        <v>6</v>
      </c>
      <c r="B12" s="10" t="s">
        <v>19</v>
      </c>
      <c r="C12" s="10" t="s">
        <v>20</v>
      </c>
      <c r="D12" s="9" t="s">
        <v>63</v>
      </c>
      <c r="E12" s="12">
        <v>46246</v>
      </c>
      <c r="F12" s="20" t="s">
        <v>64</v>
      </c>
      <c r="G12" s="16">
        <v>1</v>
      </c>
      <c r="H12" s="21" t="s">
        <v>65</v>
      </c>
      <c r="I12" s="2" t="s">
        <v>46</v>
      </c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>
        <v>1</v>
      </c>
      <c r="H13" s="21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2"/>
      <c r="C22" s="10"/>
      <c r="D22" s="9"/>
      <c r="E22" s="12"/>
      <c r="F22" s="20"/>
      <c r="G22" s="16">
        <v>1</v>
      </c>
      <c r="H22" s="1"/>
      <c r="I22" s="2"/>
      <c r="J22" s="2"/>
    </row>
    <row r="23" spans="1:10" ht="15" customHeight="1" x14ac:dyDescent="0.25">
      <c r="A23" s="14">
        <f t="shared" si="0"/>
        <v>17</v>
      </c>
      <c r="B23" s="10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21"/>
      <c r="I24" s="2"/>
      <c r="J24" s="2"/>
    </row>
    <row r="25" spans="1:10" ht="15" customHeight="1" x14ac:dyDescent="0.25">
      <c r="A25" s="14">
        <f t="shared" si="0"/>
        <v>19</v>
      </c>
      <c r="B25" s="1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0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1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>
        <v>1</v>
      </c>
      <c r="H30" s="2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>
        <v>1</v>
      </c>
      <c r="H33" s="1"/>
      <c r="I33" s="1"/>
      <c r="J33" s="1"/>
    </row>
    <row r="34" spans="1:10" x14ac:dyDescent="0.25">
      <c r="A34" s="14">
        <f t="shared" si="0"/>
        <v>28</v>
      </c>
      <c r="B34" s="22"/>
      <c r="C34" s="22"/>
      <c r="D34" s="22"/>
      <c r="E34" s="22"/>
      <c r="F34" s="22"/>
    </row>
    <row r="35" spans="1:10" x14ac:dyDescent="0.25">
      <c r="A35" s="14">
        <f t="shared" si="0"/>
        <v>29</v>
      </c>
      <c r="B35" s="22"/>
      <c r="C35" s="22"/>
      <c r="D35" s="22"/>
      <c r="E35" s="22"/>
      <c r="F35" s="22"/>
    </row>
    <row r="36" spans="1:10" x14ac:dyDescent="0.25">
      <c r="A36" s="14">
        <f t="shared" si="0"/>
        <v>30</v>
      </c>
      <c r="B36" s="22"/>
      <c r="C36" s="22"/>
      <c r="D36" s="22"/>
      <c r="E36" s="22"/>
      <c r="F36" s="22"/>
    </row>
    <row r="37" spans="1:10" x14ac:dyDescent="0.25">
      <c r="A37" s="14">
        <f t="shared" si="0"/>
        <v>31</v>
      </c>
      <c r="B37" s="22"/>
      <c r="C37" s="22"/>
      <c r="D37" s="22"/>
      <c r="E37" s="22"/>
      <c r="F37" s="22"/>
    </row>
    <row r="38" spans="1:10" x14ac:dyDescent="0.25">
      <c r="A38" s="14">
        <f t="shared" si="0"/>
        <v>32</v>
      </c>
      <c r="B38" s="22"/>
      <c r="C38" s="22"/>
      <c r="D38" s="22"/>
      <c r="E38" s="22"/>
      <c r="F38" s="22"/>
    </row>
    <row r="39" spans="1:10" x14ac:dyDescent="0.25">
      <c r="A39" s="14">
        <f t="shared" si="0"/>
        <v>33</v>
      </c>
      <c r="B39" s="22"/>
      <c r="C39" s="22"/>
      <c r="D39" s="22"/>
      <c r="E39" s="22"/>
      <c r="F39" s="22"/>
    </row>
    <row r="40" spans="1:10" x14ac:dyDescent="0.25">
      <c r="A40" s="14">
        <f t="shared" si="0"/>
        <v>34</v>
      </c>
      <c r="B40" s="22"/>
      <c r="C40" s="22"/>
      <c r="D40" s="22"/>
      <c r="E40" s="22"/>
      <c r="F40" s="22"/>
    </row>
    <row r="41" spans="1:10" x14ac:dyDescent="0.25">
      <c r="A41" s="14">
        <f t="shared" si="0"/>
        <v>35</v>
      </c>
      <c r="B41" s="22"/>
      <c r="C41" s="22"/>
      <c r="D41" s="22"/>
      <c r="E41" s="22"/>
      <c r="F41" s="22"/>
    </row>
    <row r="42" spans="1:10" x14ac:dyDescent="0.25">
      <c r="A42" s="14">
        <f t="shared" si="0"/>
        <v>36</v>
      </c>
      <c r="B42" s="22"/>
      <c r="C42" s="22"/>
      <c r="D42" s="22"/>
      <c r="E42" s="22"/>
      <c r="F42" s="22"/>
    </row>
    <row r="43" spans="1:10" x14ac:dyDescent="0.25">
      <c r="A43" s="14">
        <f t="shared" si="0"/>
        <v>37</v>
      </c>
      <c r="B43" s="22"/>
      <c r="C43" s="22"/>
      <c r="D43" s="22"/>
      <c r="E43" s="22"/>
      <c r="F43" s="22"/>
    </row>
    <row r="44" spans="1:10" x14ac:dyDescent="0.25">
      <c r="A44" s="14">
        <f t="shared" si="0"/>
        <v>38</v>
      </c>
      <c r="B44" s="22"/>
      <c r="C44" s="22"/>
      <c r="D44" s="22"/>
      <c r="E44" s="22"/>
      <c r="F44" s="22"/>
    </row>
    <row r="45" spans="1:10" x14ac:dyDescent="0.25">
      <c r="A45" s="14">
        <f t="shared" si="0"/>
        <v>39</v>
      </c>
      <c r="B45" s="22"/>
      <c r="C45" s="22"/>
      <c r="D45" s="22"/>
      <c r="E45" s="22"/>
      <c r="F45" s="22"/>
    </row>
    <row r="46" spans="1:10" x14ac:dyDescent="0.25">
      <c r="A46" s="14">
        <f t="shared" si="0"/>
        <v>40</v>
      </c>
      <c r="B46" s="22"/>
      <c r="C46" s="22"/>
      <c r="D46" s="22"/>
      <c r="E46" s="22"/>
      <c r="F46" s="22"/>
    </row>
  </sheetData>
  <sortState xmlns:xlrd2="http://schemas.microsoft.com/office/spreadsheetml/2017/richdata2" ref="B7:I12">
    <sortCondition ref="E7:E12"/>
    <sortCondition ref="D7:D12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410FA-E9C4-4500-B8B0-FDE7660544BE}">
  <dimension ref="A1:K46"/>
  <sheetViews>
    <sheetView workbookViewId="0">
      <selection activeCell="F7" sqref="F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23" t="s">
        <v>0</v>
      </c>
      <c r="B1" s="23"/>
      <c r="C1" s="2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7" t="s">
        <v>2</v>
      </c>
      <c r="B2" s="27"/>
      <c r="C2" s="27"/>
      <c r="D2" s="6"/>
      <c r="E2" s="28" t="s">
        <v>3</v>
      </c>
      <c r="F2" s="28"/>
      <c r="G2" s="4"/>
      <c r="H2" s="4"/>
      <c r="I2" s="24" t="s">
        <v>4</v>
      </c>
      <c r="J2" s="25"/>
      <c r="K2" s="17">
        <f>SUMIF(F7:F33,"Elimination*",G7:G33)</f>
        <v>2</v>
      </c>
    </row>
    <row r="3" spans="1:11" x14ac:dyDescent="0.25">
      <c r="A3" s="28" t="s">
        <v>5</v>
      </c>
      <c r="B3" s="28"/>
      <c r="C3" s="28"/>
      <c r="D3" s="5"/>
      <c r="E3" s="28" t="s">
        <v>16</v>
      </c>
      <c r="F3" s="28"/>
      <c r="G3" s="4"/>
      <c r="H3" s="4"/>
      <c r="I3" s="24" t="s">
        <v>6</v>
      </c>
      <c r="J3" s="25"/>
      <c r="K3" s="17">
        <f>SUMIF(F7:F33,"NB*",G7:G33)</f>
        <v>0</v>
      </c>
    </row>
    <row r="4" spans="1:11" ht="18" x14ac:dyDescent="0.25">
      <c r="A4" s="23" t="s">
        <v>7</v>
      </c>
      <c r="B4" s="23"/>
      <c r="C4" s="23"/>
      <c r="D4" s="23"/>
      <c r="E4" s="23"/>
      <c r="F4" s="23"/>
      <c r="G4" s="4"/>
      <c r="H4" s="4"/>
      <c r="I4" s="24" t="s">
        <v>8</v>
      </c>
      <c r="J4" s="25"/>
      <c r="K4" s="17">
        <f>SUMIF(F7:F33,"Ve*",G7:G33)</f>
        <v>0</v>
      </c>
    </row>
    <row r="5" spans="1:11" ht="15.75" x14ac:dyDescent="0.25">
      <c r="A5" s="26" t="s">
        <v>68</v>
      </c>
      <c r="B5" s="26"/>
      <c r="C5" s="26"/>
      <c r="D5" s="26"/>
      <c r="E5" s="26"/>
      <c r="F5" s="26"/>
      <c r="G5" s="18"/>
      <c r="H5" s="18"/>
      <c r="I5" s="24" t="s">
        <v>9</v>
      </c>
      <c r="J5" s="25"/>
      <c r="K5" s="19">
        <f>SUM(K2:K4)</f>
        <v>2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4">
        <v>1</v>
      </c>
      <c r="B7" s="10" t="s">
        <v>66</v>
      </c>
      <c r="C7" s="10" t="s">
        <v>20</v>
      </c>
      <c r="D7" s="9" t="s">
        <v>67</v>
      </c>
      <c r="E7" s="12">
        <v>46273</v>
      </c>
      <c r="F7" s="20" t="s">
        <v>31</v>
      </c>
      <c r="G7" s="16">
        <v>1</v>
      </c>
      <c r="H7" s="2"/>
      <c r="I7" s="2"/>
      <c r="J7" s="15"/>
      <c r="K7" s="1"/>
    </row>
    <row r="8" spans="1:11" ht="15" customHeight="1" x14ac:dyDescent="0.25">
      <c r="A8" s="14">
        <f>+A7+1</f>
        <v>2</v>
      </c>
      <c r="B8" s="10" t="s">
        <v>69</v>
      </c>
      <c r="C8" s="10" t="s">
        <v>20</v>
      </c>
      <c r="D8" s="9" t="s">
        <v>70</v>
      </c>
      <c r="E8" s="12">
        <v>46273</v>
      </c>
      <c r="F8" s="20" t="s">
        <v>31</v>
      </c>
      <c r="G8" s="16">
        <v>1</v>
      </c>
      <c r="H8" s="2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15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21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>
        <v>1</v>
      </c>
      <c r="H13" s="21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2"/>
      <c r="C22" s="10"/>
      <c r="D22" s="9"/>
      <c r="E22" s="12"/>
      <c r="F22" s="20"/>
      <c r="G22" s="16">
        <v>1</v>
      </c>
      <c r="H22" s="1"/>
      <c r="I22" s="2"/>
      <c r="J22" s="2"/>
    </row>
    <row r="23" spans="1:10" ht="15" customHeight="1" x14ac:dyDescent="0.25">
      <c r="A23" s="14">
        <f t="shared" si="0"/>
        <v>17</v>
      </c>
      <c r="B23" s="10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21"/>
      <c r="I24" s="2"/>
      <c r="J24" s="2"/>
    </row>
    <row r="25" spans="1:10" ht="15" customHeight="1" x14ac:dyDescent="0.25">
      <c r="A25" s="14">
        <f t="shared" si="0"/>
        <v>19</v>
      </c>
      <c r="B25" s="1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0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1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>
        <v>1</v>
      </c>
      <c r="H30" s="2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>
        <v>1</v>
      </c>
      <c r="H33" s="1"/>
      <c r="I33" s="1"/>
      <c r="J33" s="1"/>
    </row>
    <row r="34" spans="1:10" x14ac:dyDescent="0.25">
      <c r="A34" s="14">
        <f t="shared" si="0"/>
        <v>28</v>
      </c>
      <c r="B34" s="22"/>
      <c r="C34" s="22"/>
      <c r="D34" s="22"/>
      <c r="E34" s="22"/>
      <c r="F34" s="22"/>
    </row>
    <row r="35" spans="1:10" x14ac:dyDescent="0.25">
      <c r="A35" s="14">
        <f t="shared" si="0"/>
        <v>29</v>
      </c>
      <c r="B35" s="22"/>
      <c r="C35" s="22"/>
      <c r="D35" s="22"/>
      <c r="E35" s="22"/>
      <c r="F35" s="22"/>
    </row>
    <row r="36" spans="1:10" x14ac:dyDescent="0.25">
      <c r="A36" s="14">
        <f t="shared" si="0"/>
        <v>30</v>
      </c>
      <c r="B36" s="22"/>
      <c r="C36" s="22"/>
      <c r="D36" s="22"/>
      <c r="E36" s="22"/>
      <c r="F36" s="22"/>
    </row>
    <row r="37" spans="1:10" x14ac:dyDescent="0.25">
      <c r="A37" s="14">
        <f t="shared" si="0"/>
        <v>31</v>
      </c>
      <c r="B37" s="22"/>
      <c r="C37" s="22"/>
      <c r="D37" s="22"/>
      <c r="E37" s="22"/>
      <c r="F37" s="22"/>
    </row>
    <row r="38" spans="1:10" x14ac:dyDescent="0.25">
      <c r="A38" s="14">
        <f t="shared" si="0"/>
        <v>32</v>
      </c>
      <c r="B38" s="22"/>
      <c r="C38" s="22"/>
      <c r="D38" s="22"/>
      <c r="E38" s="22"/>
      <c r="F38" s="22"/>
    </row>
    <row r="39" spans="1:10" x14ac:dyDescent="0.25">
      <c r="A39" s="14">
        <f t="shared" si="0"/>
        <v>33</v>
      </c>
      <c r="B39" s="22"/>
      <c r="C39" s="22"/>
      <c r="D39" s="22"/>
      <c r="E39" s="22"/>
      <c r="F39" s="22"/>
    </row>
    <row r="40" spans="1:10" x14ac:dyDescent="0.25">
      <c r="A40" s="14">
        <f t="shared" si="0"/>
        <v>34</v>
      </c>
      <c r="B40" s="22"/>
      <c r="C40" s="22"/>
      <c r="D40" s="22"/>
      <c r="E40" s="22"/>
      <c r="F40" s="22"/>
    </row>
    <row r="41" spans="1:10" x14ac:dyDescent="0.25">
      <c r="A41" s="14">
        <f t="shared" si="0"/>
        <v>35</v>
      </c>
      <c r="B41" s="22"/>
      <c r="C41" s="22"/>
      <c r="D41" s="22"/>
      <c r="E41" s="22"/>
      <c r="F41" s="22"/>
    </row>
    <row r="42" spans="1:10" x14ac:dyDescent="0.25">
      <c r="A42" s="14">
        <f t="shared" si="0"/>
        <v>36</v>
      </c>
      <c r="B42" s="22"/>
      <c r="C42" s="22"/>
      <c r="D42" s="22"/>
      <c r="E42" s="22"/>
      <c r="F42" s="22"/>
    </row>
    <row r="43" spans="1:10" x14ac:dyDescent="0.25">
      <c r="A43" s="14">
        <f t="shared" si="0"/>
        <v>37</v>
      </c>
      <c r="B43" s="22"/>
      <c r="C43" s="22"/>
      <c r="D43" s="22"/>
      <c r="E43" s="22"/>
      <c r="F43" s="22"/>
    </row>
    <row r="44" spans="1:10" x14ac:dyDescent="0.25">
      <c r="A44" s="14">
        <f t="shared" si="0"/>
        <v>38</v>
      </c>
      <c r="B44" s="22"/>
      <c r="C44" s="22"/>
      <c r="D44" s="22"/>
      <c r="E44" s="22"/>
      <c r="F44" s="22"/>
    </row>
    <row r="45" spans="1:10" x14ac:dyDescent="0.25">
      <c r="A45" s="14">
        <f t="shared" si="0"/>
        <v>39</v>
      </c>
      <c r="B45" s="22"/>
      <c r="C45" s="22"/>
      <c r="D45" s="22"/>
      <c r="E45" s="22"/>
      <c r="F45" s="22"/>
    </row>
    <row r="46" spans="1:10" x14ac:dyDescent="0.25">
      <c r="A46" s="14">
        <f t="shared" si="0"/>
        <v>40</v>
      </c>
      <c r="B46" s="22"/>
      <c r="C46" s="22"/>
      <c r="D46" s="22"/>
      <c r="E46" s="22"/>
      <c r="F46" s="22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61E75-E87B-4ABC-B448-A2C90D8D29B5}">
  <dimension ref="A1:K46"/>
  <sheetViews>
    <sheetView workbookViewId="0">
      <selection activeCell="B7" sqref="B7:F10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23" t="s">
        <v>0</v>
      </c>
      <c r="B1" s="23"/>
      <c r="C1" s="2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7" t="s">
        <v>2</v>
      </c>
      <c r="B2" s="27"/>
      <c r="C2" s="27"/>
      <c r="D2" s="6"/>
      <c r="E2" s="28" t="s">
        <v>3</v>
      </c>
      <c r="F2" s="28"/>
      <c r="G2" s="4"/>
      <c r="H2" s="4"/>
      <c r="I2" s="24" t="s">
        <v>4</v>
      </c>
      <c r="J2" s="25"/>
      <c r="K2" s="17">
        <f>SUMIF(F7:F33,"Elimination*",G7:G33)</f>
        <v>3</v>
      </c>
    </row>
    <row r="3" spans="1:11" x14ac:dyDescent="0.25">
      <c r="A3" s="28" t="s">
        <v>5</v>
      </c>
      <c r="B3" s="28"/>
      <c r="C3" s="28"/>
      <c r="D3" s="5"/>
      <c r="E3" s="28" t="s">
        <v>16</v>
      </c>
      <c r="F3" s="28"/>
      <c r="G3" s="4"/>
      <c r="H3" s="4"/>
      <c r="I3" s="24" t="s">
        <v>6</v>
      </c>
      <c r="J3" s="25"/>
      <c r="K3" s="17">
        <f>SUMIF(F7:F33,"NB*",G7:G33)</f>
        <v>1</v>
      </c>
    </row>
    <row r="4" spans="1:11" ht="18" x14ac:dyDescent="0.25">
      <c r="A4" s="23" t="s">
        <v>7</v>
      </c>
      <c r="B4" s="23"/>
      <c r="C4" s="23"/>
      <c r="D4" s="23"/>
      <c r="E4" s="23"/>
      <c r="F4" s="23"/>
      <c r="G4" s="4"/>
      <c r="H4" s="4"/>
      <c r="I4" s="24" t="s">
        <v>8</v>
      </c>
      <c r="J4" s="25"/>
      <c r="K4" s="17">
        <f>SUMIF(F7:F33,"Ve*",G7:G33)</f>
        <v>0</v>
      </c>
    </row>
    <row r="5" spans="1:11" ht="15.75" x14ac:dyDescent="0.25">
      <c r="A5" s="26" t="s">
        <v>71</v>
      </c>
      <c r="B5" s="26"/>
      <c r="C5" s="26"/>
      <c r="D5" s="26"/>
      <c r="E5" s="26"/>
      <c r="F5" s="26"/>
      <c r="G5" s="18"/>
      <c r="H5" s="18"/>
      <c r="I5" s="24" t="s">
        <v>9</v>
      </c>
      <c r="J5" s="25"/>
      <c r="K5" s="19">
        <f>SUM(K2:K4)</f>
        <v>4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4">
        <v>1</v>
      </c>
      <c r="B7" s="10" t="s">
        <v>72</v>
      </c>
      <c r="C7" s="10" t="s">
        <v>20</v>
      </c>
      <c r="D7" s="9" t="s">
        <v>73</v>
      </c>
      <c r="E7" s="12">
        <v>46299</v>
      </c>
      <c r="F7" s="20" t="s">
        <v>31</v>
      </c>
      <c r="G7" s="16">
        <v>1</v>
      </c>
      <c r="H7" s="2"/>
      <c r="I7" s="2"/>
      <c r="J7" s="15"/>
      <c r="K7" s="1"/>
    </row>
    <row r="8" spans="1:11" ht="15" customHeight="1" x14ac:dyDescent="0.25">
      <c r="A8" s="14">
        <f>+A7+1</f>
        <v>2</v>
      </c>
      <c r="B8" s="10" t="s">
        <v>74</v>
      </c>
      <c r="C8" s="10" t="s">
        <v>20</v>
      </c>
      <c r="D8" s="9" t="s">
        <v>75</v>
      </c>
      <c r="E8" s="12">
        <v>46302</v>
      </c>
      <c r="F8" s="20" t="s">
        <v>76</v>
      </c>
      <c r="G8" s="16">
        <v>1</v>
      </c>
      <c r="H8" s="2" t="s">
        <v>77</v>
      </c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 t="s">
        <v>78</v>
      </c>
      <c r="C9" s="10" t="s">
        <v>57</v>
      </c>
      <c r="D9" s="9" t="s">
        <v>50</v>
      </c>
      <c r="E9" s="12">
        <v>46307</v>
      </c>
      <c r="F9" s="20" t="s">
        <v>31</v>
      </c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 t="s">
        <v>79</v>
      </c>
      <c r="C10" s="10" t="s">
        <v>20</v>
      </c>
      <c r="D10" s="9" t="s">
        <v>80</v>
      </c>
      <c r="E10" s="12">
        <v>46313</v>
      </c>
      <c r="F10" s="20" t="s">
        <v>31</v>
      </c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15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21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>
        <v>1</v>
      </c>
      <c r="H13" s="21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2"/>
      <c r="C22" s="10"/>
      <c r="D22" s="9"/>
      <c r="E22" s="12"/>
      <c r="F22" s="20"/>
      <c r="G22" s="16">
        <v>1</v>
      </c>
      <c r="H22" s="1"/>
      <c r="I22" s="2"/>
      <c r="J22" s="2"/>
    </row>
    <row r="23" spans="1:10" ht="15" customHeight="1" x14ac:dyDescent="0.25">
      <c r="A23" s="14">
        <f t="shared" si="0"/>
        <v>17</v>
      </c>
      <c r="B23" s="10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21"/>
      <c r="I24" s="2"/>
      <c r="J24" s="2"/>
    </row>
    <row r="25" spans="1:10" ht="15" customHeight="1" x14ac:dyDescent="0.25">
      <c r="A25" s="14">
        <f t="shared" si="0"/>
        <v>19</v>
      </c>
      <c r="B25" s="1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0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1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>
        <v>1</v>
      </c>
      <c r="H30" s="2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>
        <v>1</v>
      </c>
      <c r="H33" s="1"/>
      <c r="I33" s="1"/>
      <c r="J33" s="1"/>
    </row>
    <row r="34" spans="1:10" x14ac:dyDescent="0.25">
      <c r="A34" s="14">
        <f t="shared" si="0"/>
        <v>28</v>
      </c>
      <c r="B34" s="22"/>
      <c r="C34" s="22"/>
      <c r="D34" s="22"/>
      <c r="E34" s="22"/>
      <c r="F34" s="22"/>
    </row>
    <row r="35" spans="1:10" x14ac:dyDescent="0.25">
      <c r="A35" s="14">
        <f t="shared" si="0"/>
        <v>29</v>
      </c>
      <c r="B35" s="22"/>
      <c r="C35" s="22"/>
      <c r="D35" s="22"/>
      <c r="E35" s="22"/>
      <c r="F35" s="22"/>
    </row>
    <row r="36" spans="1:10" x14ac:dyDescent="0.25">
      <c r="A36" s="14">
        <f t="shared" si="0"/>
        <v>30</v>
      </c>
      <c r="B36" s="22"/>
      <c r="C36" s="22"/>
      <c r="D36" s="22"/>
      <c r="E36" s="22"/>
      <c r="F36" s="22"/>
    </row>
    <row r="37" spans="1:10" x14ac:dyDescent="0.25">
      <c r="A37" s="14">
        <f t="shared" si="0"/>
        <v>31</v>
      </c>
      <c r="B37" s="22"/>
      <c r="C37" s="22"/>
      <c r="D37" s="22"/>
      <c r="E37" s="22"/>
      <c r="F37" s="22"/>
    </row>
    <row r="38" spans="1:10" x14ac:dyDescent="0.25">
      <c r="A38" s="14">
        <f t="shared" si="0"/>
        <v>32</v>
      </c>
      <c r="B38" s="22"/>
      <c r="C38" s="22"/>
      <c r="D38" s="22"/>
      <c r="E38" s="22"/>
      <c r="F38" s="22"/>
    </row>
    <row r="39" spans="1:10" x14ac:dyDescent="0.25">
      <c r="A39" s="14">
        <f t="shared" si="0"/>
        <v>33</v>
      </c>
      <c r="B39" s="22"/>
      <c r="C39" s="22"/>
      <c r="D39" s="22"/>
      <c r="E39" s="22"/>
      <c r="F39" s="22"/>
    </row>
    <row r="40" spans="1:10" x14ac:dyDescent="0.25">
      <c r="A40" s="14">
        <f t="shared" si="0"/>
        <v>34</v>
      </c>
      <c r="B40" s="22"/>
      <c r="C40" s="22"/>
      <c r="D40" s="22"/>
      <c r="E40" s="22"/>
      <c r="F40" s="22"/>
    </row>
    <row r="41" spans="1:10" x14ac:dyDescent="0.25">
      <c r="A41" s="14">
        <f t="shared" si="0"/>
        <v>35</v>
      </c>
      <c r="B41" s="22"/>
      <c r="C41" s="22"/>
      <c r="D41" s="22"/>
      <c r="E41" s="22"/>
      <c r="F41" s="22"/>
    </row>
    <row r="42" spans="1:10" x14ac:dyDescent="0.25">
      <c r="A42" s="14">
        <f t="shared" si="0"/>
        <v>36</v>
      </c>
      <c r="B42" s="22"/>
      <c r="C42" s="22"/>
      <c r="D42" s="22"/>
      <c r="E42" s="22"/>
      <c r="F42" s="22"/>
    </row>
    <row r="43" spans="1:10" x14ac:dyDescent="0.25">
      <c r="A43" s="14">
        <f t="shared" si="0"/>
        <v>37</v>
      </c>
      <c r="B43" s="22"/>
      <c r="C43" s="22"/>
      <c r="D43" s="22"/>
      <c r="E43" s="22"/>
      <c r="F43" s="22"/>
    </row>
    <row r="44" spans="1:10" x14ac:dyDescent="0.25">
      <c r="A44" s="14">
        <f t="shared" si="0"/>
        <v>38</v>
      </c>
      <c r="B44" s="22"/>
      <c r="C44" s="22"/>
      <c r="D44" s="22"/>
      <c r="E44" s="22"/>
      <c r="F44" s="22"/>
    </row>
    <row r="45" spans="1:10" x14ac:dyDescent="0.25">
      <c r="A45" s="14">
        <f t="shared" si="0"/>
        <v>39</v>
      </c>
      <c r="B45" s="22"/>
      <c r="C45" s="22"/>
      <c r="D45" s="22"/>
      <c r="E45" s="22"/>
      <c r="F45" s="22"/>
    </row>
    <row r="46" spans="1:10" x14ac:dyDescent="0.25">
      <c r="A46" s="14">
        <f t="shared" si="0"/>
        <v>40</v>
      </c>
      <c r="B46" s="22"/>
      <c r="C46" s="22"/>
      <c r="D46" s="22"/>
      <c r="E46" s="22"/>
      <c r="F46" s="22"/>
    </row>
  </sheetData>
  <sortState xmlns:xlrd2="http://schemas.microsoft.com/office/spreadsheetml/2017/richdata2" ref="B7:H10">
    <sortCondition ref="E7:E10"/>
    <sortCondition ref="D7:D10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10</vt:i4>
      </vt:variant>
    </vt:vector>
  </HeadingPairs>
  <TitlesOfParts>
    <vt:vector size="20" baseType="lpstr">
      <vt:lpstr>JANVIER 2026</vt:lpstr>
      <vt:lpstr>FEVRIER 2026</vt:lpstr>
      <vt:lpstr>MARS 2026</vt:lpstr>
      <vt:lpstr>AVRIL 2026</vt:lpstr>
      <vt:lpstr>MAI 2026</vt:lpstr>
      <vt:lpstr>JUIN 2026</vt:lpstr>
      <vt:lpstr>JUILLET 2026</vt:lpstr>
      <vt:lpstr>AOUT 2026</vt:lpstr>
      <vt:lpstr>SEPTEMBRE 2026</vt:lpstr>
      <vt:lpstr>OCTOBRE 2026</vt:lpstr>
      <vt:lpstr>'AOUT 2026'!Impression_des_titres</vt:lpstr>
      <vt:lpstr>'AVRIL 2026'!Impression_des_titres</vt:lpstr>
      <vt:lpstr>'FEVRIER 2026'!Impression_des_titres</vt:lpstr>
      <vt:lpstr>'JANVIER 2026'!Impression_des_titres</vt:lpstr>
      <vt:lpstr>'JUILLET 2026'!Impression_des_titres</vt:lpstr>
      <vt:lpstr>'JUIN 2026'!Impression_des_titres</vt:lpstr>
      <vt:lpstr>'MAI 2026'!Impression_des_titres</vt:lpstr>
      <vt:lpstr>'MARS 2026'!Impression_des_titres</vt:lpstr>
      <vt:lpstr>'OCTOBRE 2026'!Impression_des_titres</vt:lpstr>
      <vt:lpstr>'SEPTEMBRE 2026'!Impression_des_titres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HP</cp:lastModifiedBy>
  <cp:lastPrinted>2026-10-01T09:50:28Z</cp:lastPrinted>
  <dcterms:created xsi:type="dcterms:W3CDTF">2014-12-31T15:00:30Z</dcterms:created>
  <dcterms:modified xsi:type="dcterms:W3CDTF">2026-10-24T10:06:21Z</dcterms:modified>
</cp:coreProperties>
</file>