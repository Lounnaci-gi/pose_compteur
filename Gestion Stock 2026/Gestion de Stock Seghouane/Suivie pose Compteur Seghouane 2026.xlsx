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Seghouane\"/>
    </mc:Choice>
  </mc:AlternateContent>
  <xr:revisionPtr revIDLastSave="0" documentId="13_ncr:1_{E8C021CA-7D33-4B7A-997E-2535FD7C54C0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JANVIER 2026" sheetId="12" r:id="rId1"/>
    <sheet name="FEVRIER 2026" sheetId="13" r:id="rId2"/>
    <sheet name="MARS 2026" sheetId="14" r:id="rId3"/>
  </sheets>
  <definedNames>
    <definedName name="_xlnm.Print_Titles" localSheetId="1">'FEVRIER 2026'!$1:$6</definedName>
    <definedName name="_xlnm.Print_Titles" localSheetId="0">'JANVIER 2026'!$1:$6</definedName>
    <definedName name="_xlnm.Print_Titles" localSheetId="2">'MARS 2026'!$1:$6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4" l="1"/>
  <c r="A9" i="14" s="1"/>
  <c r="A10" i="14" s="1"/>
  <c r="A11" i="14" s="1"/>
  <c r="A12" i="14" s="1"/>
  <c r="A13" i="14" s="1"/>
  <c r="A14" i="14" s="1"/>
  <c r="A15" i="14" s="1"/>
  <c r="A16" i="14" s="1"/>
  <c r="A17" i="14" s="1"/>
  <c r="A18" i="14" s="1"/>
  <c r="A19" i="14" s="1"/>
  <c r="A20" i="14" s="1"/>
  <c r="A21" i="14" s="1"/>
  <c r="A22" i="14" s="1"/>
  <c r="A23" i="14" s="1"/>
  <c r="A24" i="14" s="1"/>
  <c r="A25" i="14" s="1"/>
  <c r="A26" i="14" s="1"/>
  <c r="A27" i="14" s="1"/>
  <c r="A28" i="14" s="1"/>
  <c r="A29" i="14" s="1"/>
  <c r="A30" i="14" s="1"/>
  <c r="A31" i="14" s="1"/>
  <c r="A32" i="14" s="1"/>
  <c r="A33" i="14" s="1"/>
  <c r="A34" i="14" s="1"/>
  <c r="A35" i="14" s="1"/>
  <c r="A36" i="14" s="1"/>
  <c r="A37" i="14" s="1"/>
  <c r="A38" i="14" s="1"/>
  <c r="A39" i="14" s="1"/>
  <c r="A40" i="14" s="1"/>
  <c r="A41" i="14" s="1"/>
  <c r="A42" i="14" s="1"/>
  <c r="A43" i="14" s="1"/>
  <c r="A44" i="14" s="1"/>
  <c r="A45" i="14" s="1"/>
  <c r="A46" i="14" s="1"/>
  <c r="K4" i="14"/>
  <c r="K3" i="14"/>
  <c r="K2" i="14"/>
  <c r="K5" i="14" s="1"/>
  <c r="A8" i="13"/>
  <c r="A9" i="13" s="1"/>
  <c r="A10" i="13" s="1"/>
  <c r="A11" i="13" s="1"/>
  <c r="A12" i="13" s="1"/>
  <c r="A13" i="13" s="1"/>
  <c r="A14" i="13" s="1"/>
  <c r="A15" i="13" s="1"/>
  <c r="A16" i="13" s="1"/>
  <c r="A17" i="13" s="1"/>
  <c r="A18" i="13" s="1"/>
  <c r="A19" i="13" s="1"/>
  <c r="A20" i="13" s="1"/>
  <c r="A21" i="13" s="1"/>
  <c r="A22" i="13" s="1"/>
  <c r="A23" i="13" s="1"/>
  <c r="A24" i="13" s="1"/>
  <c r="A25" i="13" s="1"/>
  <c r="A26" i="13" s="1"/>
  <c r="A27" i="13" s="1"/>
  <c r="A28" i="13" s="1"/>
  <c r="A29" i="13" s="1"/>
  <c r="A30" i="13" s="1"/>
  <c r="A31" i="13" s="1"/>
  <c r="A32" i="13" s="1"/>
  <c r="A33" i="13" s="1"/>
  <c r="A34" i="13" s="1"/>
  <c r="A35" i="13" s="1"/>
  <c r="A36" i="13" s="1"/>
  <c r="A37" i="13" s="1"/>
  <c r="A38" i="13" s="1"/>
  <c r="A39" i="13" s="1"/>
  <c r="A40" i="13" s="1"/>
  <c r="A41" i="13" s="1"/>
  <c r="A42" i="13" s="1"/>
  <c r="A43" i="13" s="1"/>
  <c r="A44" i="13" s="1"/>
  <c r="A45" i="13" s="1"/>
  <c r="A46" i="13" s="1"/>
  <c r="K4" i="13"/>
  <c r="K3" i="13"/>
  <c r="K2" i="13"/>
  <c r="A8" i="12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K4" i="12"/>
  <c r="K3" i="12"/>
  <c r="K2" i="12"/>
  <c r="K5" i="13" l="1"/>
  <c r="K5" i="12"/>
</calcChain>
</file>

<file path=xl/sharedStrings.xml><?xml version="1.0" encoding="utf-8"?>
<sst xmlns="http://schemas.openxmlformats.org/spreadsheetml/2006/main" count="71" uniqueCount="32">
  <si>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</si>
  <si>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</si>
  <si>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</si>
  <si>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</si>
  <si>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</si>
  <si>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</si>
  <si>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</si>
  <si>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</si>
  <si>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</si>
  <si>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</si>
  <si>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</si>
  <si>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</si>
  <si>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</si>
  <si>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</si>
  <si>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</si>
  <si>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</si>
  <si>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Anetnne Seghouane</t>
  </si>
  <si>
    <t>CC</t>
  </si>
  <si>
    <t>Mois de JANVIER 2026</t>
  </si>
  <si>
    <t>HA</t>
  </si>
  <si>
    <t>15/21</t>
  </si>
  <si>
    <t>2025177841</t>
  </si>
  <si>
    <t>2025177842</t>
  </si>
  <si>
    <t>NB(197/2025)</t>
  </si>
  <si>
    <t>Aouad med</t>
  </si>
  <si>
    <t>NB(206/2025)</t>
  </si>
  <si>
    <t>Dilmi ahmed</t>
  </si>
  <si>
    <t>Mois de FEVRIER 2026</t>
  </si>
  <si>
    <t>Mois de MARS 2026</t>
  </si>
  <si>
    <t>HA0708</t>
  </si>
  <si>
    <t>2025177860</t>
  </si>
  <si>
    <t>Elimination Forfait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</si>
</sst>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1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8" fillId="0" borderId="0"/>
    <xf numFmtId="0" fontId="1" fillId="0" borderId="0"/>
  </cellStyleXfs>
  <cellXfs count="29">
    <xf numFmtId="0" fontId="0" fillId="0" borderId="0" xfId="0"/>
    <xf numFmtId="0" fontId="1" fillId="0" borderId="0" xfId="1"/>
    <xf numFmtId="0" fontId="1" fillId="0" borderId="0" xfId="1" applyAlignment="1">
      <alignment vertical="center" wrapText="1"/>
    </xf>
    <xf numFmtId="0" fontId="1" fillId="0" borderId="0" xfId="1" applyAlignment="1">
      <alignment horizontal="center" vertical="center" wrapText="1"/>
    </xf>
    <xf numFmtId="0" fontId="1" fillId="0" borderId="0" xfId="1" applyAlignment="1">
      <alignment vertical="center"/>
    </xf>
    <xf numFmtId="0" fontId="2" fillId="0" borderId="0" xfId="1" applyFont="1" applyAlignment="1">
      <alignment vertical="center"/>
    </xf>
    <xf numFmtId="0" fontId="5" fillId="0" borderId="0" xfId="1" applyFont="1" applyAlignment="1">
      <alignment vertical="center"/>
    </xf>
    <xf numFmtId="0" fontId="4" fillId="0" borderId="0" xfId="1" applyFont="1" applyAlignment="1">
      <alignment vertical="center"/>
    </xf>
    <xf numFmtId="0" fontId="1" fillId="0" borderId="1" xfId="1" applyBorder="1" applyAlignment="1">
      <alignment horizontal="center" vertical="center" wrapText="1"/>
    </xf>
    <xf numFmtId="49" fontId="6" fillId="0" borderId="1" xfId="1" applyNumberFormat="1" applyFont="1" applyBorder="1" applyAlignment="1">
      <alignment horizontal="center" vertical="center" wrapText="1"/>
    </xf>
    <xf numFmtId="0" fontId="6" fillId="0" borderId="1" xfId="1" applyFont="1" applyBorder="1" applyAlignment="1">
      <alignment horizontal="center" vertical="center" wrapText="1"/>
    </xf>
    <xf numFmtId="49" fontId="8" fillId="0" borderId="0" xfId="1" applyNumberFormat="1" applyFont="1" applyAlignment="1">
      <alignment vertical="center" wrapText="1"/>
    </xf>
    <xf numFmtId="14" fontId="6" fillId="0" borderId="1" xfId="1" applyNumberFormat="1" applyFont="1" applyBorder="1" applyAlignment="1">
      <alignment horizontal="center" vertical="center" wrapText="1"/>
    </xf>
    <xf numFmtId="0" fontId="3" fillId="3" borderId="1" xfId="1" applyFont="1" applyFill="1" applyBorder="1" applyAlignment="1">
      <alignment horizontal="center" vertical="center" wrapText="1"/>
    </xf>
    <xf numFmtId="0" fontId="9" fillId="0" borderId="1" xfId="1" applyFont="1" applyBorder="1" applyAlignment="1">
      <alignment horizontal="center" vertical="center" wrapText="1"/>
    </xf>
    <xf numFmtId="0" fontId="9" fillId="0" borderId="0" xfId="1" applyFont="1" applyAlignment="1">
      <alignment horizontal="center" vertical="center" wrapText="1"/>
    </xf>
    <xf numFmtId="0" fontId="9" fillId="0" borderId="1" xfId="1" applyFont="1" applyBorder="1" applyAlignment="1">
      <alignment horizontal="right" vertical="center" wrapText="1"/>
    </xf>
    <xf numFmtId="0" fontId="2" fillId="2" borderId="1" xfId="1" applyFont="1" applyFill="1" applyBorder="1" applyAlignment="1">
      <alignment horizontal="center"/>
    </xf>
    <xf numFmtId="0" fontId="8" fillId="0" borderId="0" xfId="3" applyAlignment="1">
      <alignment vertical="center"/>
    </xf>
    <xf numFmtId="0" fontId="10" fillId="2" borderId="1" xfId="3" applyFont="1" applyFill="1" applyBorder="1" applyAlignment="1">
      <alignment horizontal="center" vertical="center"/>
    </xf>
    <xf numFmtId="49" fontId="7" fillId="0" borderId="1" xfId="1" applyNumberFormat="1" applyFont="1" applyBorder="1" applyAlignment="1">
      <alignment horizontal="center" vertical="top" wrapText="1"/>
    </xf>
    <xf numFmtId="49" fontId="1" fillId="0" borderId="0" xfId="1" applyNumberFormat="1" applyAlignment="1">
      <alignment vertical="center" wrapText="1"/>
    </xf>
    <xf numFmtId="0" fontId="0" fillId="0" borderId="1" xfId="0" applyBorder="1"/>
    <xf numFmtId="0" fontId="4" fillId="0" borderId="0" xfId="1" applyFont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5" fillId="0" borderId="3" xfId="3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2" fillId="0" borderId="0" xfId="1" applyFont="1" applyAlignment="1">
      <alignment horizontal="center" vertical="center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9530</xdr:colOff>
      <xdr:row>32</xdr:row>
      <xdr:rowOff>180975</xdr:rowOff>
    </xdr:from>
    <xdr:to>
      <xdr:col>7</xdr:col>
      <xdr:colOff>9525</xdr:colOff>
      <xdr:row>33</xdr:row>
      <xdr:rowOff>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CxnSpPr/>
      </xdr:nvCxnSpPr>
      <xdr:spPr>
        <a:xfrm flipH="1">
          <a:off x="600080" y="6448425"/>
          <a:ext cx="4562470" cy="95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9527</xdr:colOff>
      <xdr:row>8</xdr:row>
      <xdr:rowOff>28575</xdr:rowOff>
    </xdr:from>
    <xdr:to>
      <xdr:col>5</xdr:col>
      <xdr:colOff>1285875</xdr:colOff>
      <xdr:row>45</xdr:row>
      <xdr:rowOff>180975</xdr:rowOff>
    </xdr:to>
    <xdr:cxnSp macro="">
      <xdr:nvCxnSpPr>
        <xdr:cNvPr id="4" name="Connecteur droi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CxnSpPr/>
      </xdr:nvCxnSpPr>
      <xdr:spPr>
        <a:xfrm flipH="1">
          <a:off x="600077" y="1724025"/>
          <a:ext cx="4524373" cy="72009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9530</xdr:colOff>
      <xdr:row>32</xdr:row>
      <xdr:rowOff>180975</xdr:rowOff>
    </xdr:from>
    <xdr:to>
      <xdr:col>7</xdr:col>
      <xdr:colOff>9525</xdr:colOff>
      <xdr:row>33</xdr:row>
      <xdr:rowOff>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B02CB98D-4D8E-4CA8-B5BE-32A7A320F6D2}"/>
            </a:ext>
          </a:extLst>
        </xdr:cNvPr>
        <xdr:cNvCxnSpPr/>
      </xdr:nvCxnSpPr>
      <xdr:spPr>
        <a:xfrm flipH="1">
          <a:off x="600080" y="6448425"/>
          <a:ext cx="4562470" cy="95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9527</xdr:colOff>
      <xdr:row>6</xdr:row>
      <xdr:rowOff>38100</xdr:rowOff>
    </xdr:from>
    <xdr:to>
      <xdr:col>7</xdr:col>
      <xdr:colOff>19050</xdr:colOff>
      <xdr:row>45</xdr:row>
      <xdr:rowOff>180975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867DB517-7970-41C8-AA41-B25B8EC609BD}"/>
            </a:ext>
          </a:extLst>
        </xdr:cNvPr>
        <xdr:cNvCxnSpPr/>
      </xdr:nvCxnSpPr>
      <xdr:spPr>
        <a:xfrm flipH="1">
          <a:off x="600077" y="1352550"/>
          <a:ext cx="4571998" cy="75723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9527</xdr:colOff>
      <xdr:row>6</xdr:row>
      <xdr:rowOff>38100</xdr:rowOff>
    </xdr:from>
    <xdr:to>
      <xdr:col>7</xdr:col>
      <xdr:colOff>19050</xdr:colOff>
      <xdr:row>45</xdr:row>
      <xdr:rowOff>180975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1828E003-4982-4E9F-B5FC-0E29EE3AC21D}"/>
            </a:ext>
          </a:extLst>
        </xdr:cNvPr>
        <xdr:cNvCxnSpPr/>
      </xdr:nvCxnSpPr>
      <xdr:spPr>
        <a:xfrm flipH="1">
          <a:off x="600077" y="1352550"/>
          <a:ext cx="4571998" cy="75723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6"/>
  <sheetViews>
    <sheetView workbookViewId="0">
      <selection activeCell="M16" sqref="M1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2.42578125" hidden="1" customWidth="1"/>
    <col min="8" max="8" width="29.85546875" customWidth="1"/>
  </cols>
  <sheetData>
    <row r="1" spans="1:11" ht="18" x14ac:dyDescent="0.25">
      <c r="A1" s="23" t="s">
        <v>0</v>
      </c>
      <c r="B1" s="23"/>
      <c r="C1" s="23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7" t="s">
        <v>2</v>
      </c>
      <c r="B2" s="27"/>
      <c r="C2" s="27"/>
      <c r="D2" s="6"/>
      <c r="E2" s="28" t="s">
        <v>3</v>
      </c>
      <c r="F2" s="28"/>
      <c r="G2" s="4"/>
      <c r="H2" s="4"/>
      <c r="I2" s="24" t="s">
        <v>4</v>
      </c>
      <c r="J2" s="25"/>
      <c r="K2" s="17">
        <f>SUMIF(F7:F33,"Elimination*",G7:G33)</f>
        <v>0</v>
      </c>
    </row>
    <row r="3" spans="1:11" x14ac:dyDescent="0.25">
      <c r="A3" s="28" t="s">
        <v>5</v>
      </c>
      <c r="B3" s="28"/>
      <c r="C3" s="28"/>
      <c r="D3" s="5"/>
      <c r="E3" s="28" t="s">
        <v>16</v>
      </c>
      <c r="F3" s="28"/>
      <c r="G3" s="4"/>
      <c r="H3" s="4"/>
      <c r="I3" s="24" t="s">
        <v>6</v>
      </c>
      <c r="J3" s="25"/>
      <c r="K3" s="17">
        <f>SUMIF(F7:F33,"NB*",G7:G33)</f>
        <v>2</v>
      </c>
    </row>
    <row r="4" spans="1:11" ht="18" x14ac:dyDescent="0.25">
      <c r="A4" s="23" t="s">
        <v>7</v>
      </c>
      <c r="B4" s="23"/>
      <c r="C4" s="23"/>
      <c r="D4" s="23"/>
      <c r="E4" s="23"/>
      <c r="F4" s="23"/>
      <c r="G4" s="4"/>
      <c r="H4" s="4"/>
      <c r="I4" s="24" t="s">
        <v>8</v>
      </c>
      <c r="J4" s="25"/>
      <c r="K4" s="17">
        <f>SUMIF(F7:F33,"Ve*",G7:G33)</f>
        <v>0</v>
      </c>
    </row>
    <row r="5" spans="1:11" ht="15.75" x14ac:dyDescent="0.25">
      <c r="A5" s="26" t="s">
        <v>18</v>
      </c>
      <c r="B5" s="26"/>
      <c r="C5" s="26"/>
      <c r="D5" s="26"/>
      <c r="E5" s="26"/>
      <c r="F5" s="26"/>
      <c r="G5" s="18"/>
      <c r="H5" s="18"/>
      <c r="I5" s="24" t="s">
        <v>9</v>
      </c>
      <c r="J5" s="25"/>
      <c r="K5" s="19">
        <f>SUM(K2:K4)</f>
        <v>2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 t="s">
        <v>19</v>
      </c>
      <c r="C7" s="10" t="s">
        <v>20</v>
      </c>
      <c r="D7" s="9" t="s">
        <v>21</v>
      </c>
      <c r="E7" s="12">
        <v>46050</v>
      </c>
      <c r="F7" s="20" t="s">
        <v>23</v>
      </c>
      <c r="G7" s="16">
        <v>1</v>
      </c>
      <c r="H7" s="2" t="s">
        <v>24</v>
      </c>
      <c r="I7" s="15"/>
      <c r="J7" s="15"/>
      <c r="K7" s="1"/>
    </row>
    <row r="8" spans="1:11" ht="15" customHeight="1" x14ac:dyDescent="0.25">
      <c r="A8" s="14">
        <f>+A7+1</f>
        <v>2</v>
      </c>
      <c r="B8" s="10" t="s">
        <v>19</v>
      </c>
      <c r="C8" s="10" t="s">
        <v>20</v>
      </c>
      <c r="D8" s="9" t="s">
        <v>22</v>
      </c>
      <c r="E8" s="12">
        <v>46050</v>
      </c>
      <c r="F8" s="20" t="s">
        <v>25</v>
      </c>
      <c r="G8" s="16">
        <v>1</v>
      </c>
      <c r="H8" s="2" t="s">
        <v>26</v>
      </c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11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1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"/>
      <c r="I22" s="2"/>
      <c r="J22" s="2"/>
    </row>
    <row r="23" spans="1:10" ht="15" customHeight="1" x14ac:dyDescent="0.25">
      <c r="A23" s="14">
        <f t="shared" si="0"/>
        <v>17</v>
      </c>
      <c r="B23" s="10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2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0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2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x14ac:dyDescent="0.25">
      <c r="A34" s="14">
        <f t="shared" si="0"/>
        <v>28</v>
      </c>
      <c r="B34" s="22"/>
      <c r="C34" s="22"/>
      <c r="D34" s="22"/>
      <c r="E34" s="22"/>
      <c r="F34" s="22"/>
    </row>
    <row r="35" spans="1:10" x14ac:dyDescent="0.25">
      <c r="A35" s="14">
        <f t="shared" si="0"/>
        <v>29</v>
      </c>
      <c r="B35" s="22"/>
      <c r="C35" s="22"/>
      <c r="D35" s="22"/>
      <c r="E35" s="22"/>
      <c r="F35" s="22"/>
    </row>
    <row r="36" spans="1:10" x14ac:dyDescent="0.25">
      <c r="A36" s="14">
        <f t="shared" si="0"/>
        <v>30</v>
      </c>
      <c r="B36" s="22"/>
      <c r="C36" s="22"/>
      <c r="D36" s="22"/>
      <c r="E36" s="22"/>
      <c r="F36" s="22"/>
    </row>
    <row r="37" spans="1:10" x14ac:dyDescent="0.25">
      <c r="A37" s="14">
        <f t="shared" si="0"/>
        <v>31</v>
      </c>
      <c r="B37" s="22"/>
      <c r="C37" s="22"/>
      <c r="D37" s="22"/>
      <c r="E37" s="22"/>
      <c r="F37" s="22"/>
    </row>
    <row r="38" spans="1:10" x14ac:dyDescent="0.25">
      <c r="A38" s="14">
        <f t="shared" si="0"/>
        <v>32</v>
      </c>
      <c r="B38" s="22"/>
      <c r="C38" s="22"/>
      <c r="D38" s="22"/>
      <c r="E38" s="22"/>
      <c r="F38" s="22"/>
    </row>
    <row r="39" spans="1:10" x14ac:dyDescent="0.25">
      <c r="A39" s="14">
        <f t="shared" si="0"/>
        <v>33</v>
      </c>
      <c r="B39" s="22"/>
      <c r="C39" s="22"/>
      <c r="D39" s="22"/>
      <c r="E39" s="22"/>
      <c r="F39" s="22"/>
    </row>
    <row r="40" spans="1:10" x14ac:dyDescent="0.25">
      <c r="A40" s="14">
        <f t="shared" si="0"/>
        <v>34</v>
      </c>
      <c r="B40" s="22"/>
      <c r="C40" s="22"/>
      <c r="D40" s="22"/>
      <c r="E40" s="22"/>
      <c r="F40" s="22"/>
    </row>
    <row r="41" spans="1:10" x14ac:dyDescent="0.25">
      <c r="A41" s="14">
        <f t="shared" si="0"/>
        <v>35</v>
      </c>
      <c r="B41" s="22"/>
      <c r="C41" s="22"/>
      <c r="D41" s="22"/>
      <c r="E41" s="22"/>
      <c r="F41" s="22"/>
    </row>
    <row r="42" spans="1:10" x14ac:dyDescent="0.25">
      <c r="A42" s="14">
        <f t="shared" si="0"/>
        <v>36</v>
      </c>
      <c r="B42" s="22"/>
      <c r="C42" s="22"/>
      <c r="D42" s="22"/>
      <c r="E42" s="22"/>
      <c r="F42" s="22"/>
    </row>
    <row r="43" spans="1:10" x14ac:dyDescent="0.25">
      <c r="A43" s="14">
        <f t="shared" si="0"/>
        <v>37</v>
      </c>
      <c r="B43" s="22"/>
      <c r="C43" s="22"/>
      <c r="D43" s="22"/>
      <c r="E43" s="22"/>
      <c r="F43" s="22"/>
    </row>
    <row r="44" spans="1:10" x14ac:dyDescent="0.25">
      <c r="A44" s="14">
        <f t="shared" si="0"/>
        <v>38</v>
      </c>
      <c r="B44" s="22"/>
      <c r="C44" s="22"/>
      <c r="D44" s="22"/>
      <c r="E44" s="22"/>
      <c r="F44" s="22"/>
    </row>
    <row r="45" spans="1:10" x14ac:dyDescent="0.25">
      <c r="A45" s="14">
        <f t="shared" si="0"/>
        <v>39</v>
      </c>
      <c r="B45" s="22"/>
      <c r="C45" s="22"/>
      <c r="D45" s="22"/>
      <c r="E45" s="22"/>
      <c r="F45" s="22"/>
    </row>
    <row r="46" spans="1:10" x14ac:dyDescent="0.25">
      <c r="A46" s="14">
        <f t="shared" si="0"/>
        <v>40</v>
      </c>
      <c r="B46" s="22"/>
      <c r="C46" s="22"/>
      <c r="D46" s="22"/>
      <c r="E46" s="22"/>
      <c r="F46" s="22"/>
    </row>
  </sheetData>
  <sortState xmlns:xlrd2="http://schemas.microsoft.com/office/spreadsheetml/2017/richdata2" ref="B7:H16">
    <sortCondition ref="E7:E16"/>
    <sortCondition ref="D7:D16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201C0-4CDF-48F8-88D7-85E9214B37E9}">
  <dimension ref="A1:K46"/>
  <sheetViews>
    <sheetView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2.42578125" hidden="1" customWidth="1"/>
    <col min="8" max="8" width="29.85546875" customWidth="1"/>
  </cols>
  <sheetData>
    <row r="1" spans="1:11" ht="18" x14ac:dyDescent="0.25">
      <c r="A1" s="23" t="s">
        <v>0</v>
      </c>
      <c r="B1" s="23"/>
      <c r="C1" s="23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7" t="s">
        <v>2</v>
      </c>
      <c r="B2" s="27"/>
      <c r="C2" s="27"/>
      <c r="D2" s="6"/>
      <c r="E2" s="28" t="s">
        <v>3</v>
      </c>
      <c r="F2" s="28"/>
      <c r="G2" s="4"/>
      <c r="H2" s="4"/>
      <c r="I2" s="24" t="s">
        <v>4</v>
      </c>
      <c r="J2" s="25"/>
      <c r="K2" s="17">
        <f>SUMIF(F7:F33,"Elimination*",G7:G33)</f>
        <v>0</v>
      </c>
    </row>
    <row r="3" spans="1:11" x14ac:dyDescent="0.25">
      <c r="A3" s="28" t="s">
        <v>5</v>
      </c>
      <c r="B3" s="28"/>
      <c r="C3" s="28"/>
      <c r="D3" s="5"/>
      <c r="E3" s="28" t="s">
        <v>16</v>
      </c>
      <c r="F3" s="28"/>
      <c r="G3" s="4"/>
      <c r="H3" s="4"/>
      <c r="I3" s="24" t="s">
        <v>6</v>
      </c>
      <c r="J3" s="25"/>
      <c r="K3" s="17">
        <f>SUMIF(F7:F33,"NB*",G7:G33)</f>
        <v>0</v>
      </c>
    </row>
    <row r="4" spans="1:11" ht="18" x14ac:dyDescent="0.25">
      <c r="A4" s="23" t="s">
        <v>7</v>
      </c>
      <c r="B4" s="23"/>
      <c r="C4" s="23"/>
      <c r="D4" s="23"/>
      <c r="E4" s="23"/>
      <c r="F4" s="23"/>
      <c r="G4" s="4"/>
      <c r="H4" s="4"/>
      <c r="I4" s="24" t="s">
        <v>8</v>
      </c>
      <c r="J4" s="25"/>
      <c r="K4" s="17">
        <f>SUMIF(F7:F33,"Ve*",G7:G33)</f>
        <v>0</v>
      </c>
    </row>
    <row r="5" spans="1:11" ht="15.75" x14ac:dyDescent="0.25">
      <c r="A5" s="26" t="s">
        <v>27</v>
      </c>
      <c r="B5" s="26"/>
      <c r="C5" s="26"/>
      <c r="D5" s="26"/>
      <c r="E5" s="26"/>
      <c r="F5" s="26"/>
      <c r="G5" s="18"/>
      <c r="H5" s="18"/>
      <c r="I5" s="24" t="s">
        <v>9</v>
      </c>
      <c r="J5" s="25"/>
      <c r="K5" s="19">
        <f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9"/>
      <c r="E7" s="12"/>
      <c r="F7" s="20"/>
      <c r="G7" s="16">
        <v>1</v>
      </c>
      <c r="H7" s="2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11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1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"/>
      <c r="I22" s="2"/>
      <c r="J22" s="2"/>
    </row>
    <row r="23" spans="1:10" ht="15" customHeight="1" x14ac:dyDescent="0.25">
      <c r="A23" s="14">
        <f t="shared" si="0"/>
        <v>17</v>
      </c>
      <c r="B23" s="10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2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0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2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x14ac:dyDescent="0.25">
      <c r="A34" s="14">
        <f t="shared" si="0"/>
        <v>28</v>
      </c>
      <c r="B34" s="22"/>
      <c r="C34" s="22"/>
      <c r="D34" s="22"/>
      <c r="E34" s="22"/>
      <c r="F34" s="22"/>
    </row>
    <row r="35" spans="1:10" x14ac:dyDescent="0.25">
      <c r="A35" s="14">
        <f t="shared" si="0"/>
        <v>29</v>
      </c>
      <c r="B35" s="22"/>
      <c r="C35" s="22"/>
      <c r="D35" s="22"/>
      <c r="E35" s="22"/>
      <c r="F35" s="22"/>
    </row>
    <row r="36" spans="1:10" x14ac:dyDescent="0.25">
      <c r="A36" s="14">
        <f t="shared" si="0"/>
        <v>30</v>
      </c>
      <c r="B36" s="22"/>
      <c r="C36" s="22"/>
      <c r="D36" s="22"/>
      <c r="E36" s="22"/>
      <c r="F36" s="22"/>
    </row>
    <row r="37" spans="1:10" x14ac:dyDescent="0.25">
      <c r="A37" s="14">
        <f t="shared" si="0"/>
        <v>31</v>
      </c>
      <c r="B37" s="22"/>
      <c r="C37" s="22"/>
      <c r="D37" s="22"/>
      <c r="E37" s="22"/>
      <c r="F37" s="22"/>
    </row>
    <row r="38" spans="1:10" x14ac:dyDescent="0.25">
      <c r="A38" s="14">
        <f t="shared" si="0"/>
        <v>32</v>
      </c>
      <c r="B38" s="22"/>
      <c r="C38" s="22"/>
      <c r="D38" s="22"/>
      <c r="E38" s="22"/>
      <c r="F38" s="22"/>
    </row>
    <row r="39" spans="1:10" x14ac:dyDescent="0.25">
      <c r="A39" s="14">
        <f t="shared" si="0"/>
        <v>33</v>
      </c>
      <c r="B39" s="22"/>
      <c r="C39" s="22"/>
      <c r="D39" s="22"/>
      <c r="E39" s="22"/>
      <c r="F39" s="22"/>
    </row>
    <row r="40" spans="1:10" x14ac:dyDescent="0.25">
      <c r="A40" s="14">
        <f t="shared" si="0"/>
        <v>34</v>
      </c>
      <c r="B40" s="22"/>
      <c r="C40" s="22"/>
      <c r="D40" s="22"/>
      <c r="E40" s="22"/>
      <c r="F40" s="22"/>
    </row>
    <row r="41" spans="1:10" x14ac:dyDescent="0.25">
      <c r="A41" s="14">
        <f t="shared" si="0"/>
        <v>35</v>
      </c>
      <c r="B41" s="22"/>
      <c r="C41" s="22"/>
      <c r="D41" s="22"/>
      <c r="E41" s="22"/>
      <c r="F41" s="22"/>
    </row>
    <row r="42" spans="1:10" x14ac:dyDescent="0.25">
      <c r="A42" s="14">
        <f t="shared" si="0"/>
        <v>36</v>
      </c>
      <c r="B42" s="22"/>
      <c r="C42" s="22"/>
      <c r="D42" s="22"/>
      <c r="E42" s="22"/>
      <c r="F42" s="22"/>
    </row>
    <row r="43" spans="1:10" x14ac:dyDescent="0.25">
      <c r="A43" s="14">
        <f t="shared" si="0"/>
        <v>37</v>
      </c>
      <c r="B43" s="22"/>
      <c r="C43" s="22"/>
      <c r="D43" s="22"/>
      <c r="E43" s="22"/>
      <c r="F43" s="22"/>
    </row>
    <row r="44" spans="1:10" x14ac:dyDescent="0.25">
      <c r="A44" s="14">
        <f t="shared" si="0"/>
        <v>38</v>
      </c>
      <c r="B44" s="22"/>
      <c r="C44" s="22"/>
      <c r="D44" s="22"/>
      <c r="E44" s="22"/>
      <c r="F44" s="22"/>
    </row>
    <row r="45" spans="1:10" x14ac:dyDescent="0.25">
      <c r="A45" s="14">
        <f t="shared" si="0"/>
        <v>39</v>
      </c>
      <c r="B45" s="22"/>
      <c r="C45" s="22"/>
      <c r="D45" s="22"/>
      <c r="E45" s="22"/>
      <c r="F45" s="22"/>
    </row>
    <row r="46" spans="1:10" x14ac:dyDescent="0.25">
      <c r="A46" s="14">
        <f t="shared" si="0"/>
        <v>40</v>
      </c>
      <c r="B46" s="22"/>
      <c r="C46" s="22"/>
      <c r="D46" s="22"/>
      <c r="E46" s="22"/>
      <c r="F46" s="22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3EC1E-626C-41AA-9838-FF47E9E37DDC}">
  <dimension ref="A1:K46"/>
  <sheetViews>
    <sheetView tabSelected="1" workbookViewId="0">
      <selection activeCell="E8" sqref="E8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2.42578125" hidden="1" customWidth="1"/>
    <col min="8" max="8" width="29.85546875" customWidth="1"/>
  </cols>
  <sheetData>
    <row r="1" spans="1:11" ht="18" x14ac:dyDescent="0.25">
      <c r="A1" s="23" t="s">
        <v>0</v>
      </c>
      <c r="B1" s="23"/>
      <c r="C1" s="23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7" t="s">
        <v>2</v>
      </c>
      <c r="B2" s="27"/>
      <c r="C2" s="27"/>
      <c r="D2" s="6"/>
      <c r="E2" s="28" t="s">
        <v>3</v>
      </c>
      <c r="F2" s="28"/>
      <c r="G2" s="4"/>
      <c r="H2" s="4"/>
      <c r="I2" s="24" t="s">
        <v>4</v>
      </c>
      <c r="J2" s="25"/>
      <c r="K2" s="17">
        <f>SUMIF(F7:F33,"Elimination*",G7:G33)</f>
        <v>1</v>
      </c>
    </row>
    <row r="3" spans="1:11" x14ac:dyDescent="0.25">
      <c r="A3" s="28" t="s">
        <v>5</v>
      </c>
      <c r="B3" s="28"/>
      <c r="C3" s="28"/>
      <c r="D3" s="5"/>
      <c r="E3" s="28" t="s">
        <v>16</v>
      </c>
      <c r="F3" s="28"/>
      <c r="G3" s="4"/>
      <c r="H3" s="4"/>
      <c r="I3" s="24" t="s">
        <v>6</v>
      </c>
      <c r="J3" s="25"/>
      <c r="K3" s="17">
        <f>SUMIF(F7:F33,"NB*",G7:G33)</f>
        <v>0</v>
      </c>
    </row>
    <row r="4" spans="1:11" ht="18" x14ac:dyDescent="0.25">
      <c r="A4" s="23" t="s">
        <v>7</v>
      </c>
      <c r="B4" s="23"/>
      <c r="C4" s="23"/>
      <c r="D4" s="23"/>
      <c r="E4" s="23"/>
      <c r="F4" s="23"/>
      <c r="G4" s="4"/>
      <c r="H4" s="4"/>
      <c r="I4" s="24" t="s">
        <v>8</v>
      </c>
      <c r="J4" s="25"/>
      <c r="K4" s="17">
        <f>SUMIF(F7:F33,"Ve*",G7:G33)</f>
        <v>0</v>
      </c>
    </row>
    <row r="5" spans="1:11" ht="15.75" x14ac:dyDescent="0.25">
      <c r="A5" s="26" t="s">
        <v>28</v>
      </c>
      <c r="B5" s="26"/>
      <c r="C5" s="26"/>
      <c r="D5" s="26"/>
      <c r="E5" s="26"/>
      <c r="F5" s="26"/>
      <c r="G5" s="18"/>
      <c r="H5" s="18"/>
      <c r="I5" s="24" t="s">
        <v>9</v>
      </c>
      <c r="J5" s="25"/>
      <c r="K5" s="19">
        <f>SUM(K2:K4)</f>
        <v>1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 t="s">
        <v>29</v>
      </c>
      <c r="C7" s="10" t="s">
        <v>20</v>
      </c>
      <c r="D7" s="9" t="s">
        <v>30</v>
      </c>
      <c r="E7" s="12">
        <v>46097</v>
      </c>
      <c r="F7" s="20" t="s">
        <v>31</v>
      </c>
      <c r="G7" s="16">
        <v>1</v>
      </c>
      <c r="H7" s="2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11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1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"/>
      <c r="I22" s="2"/>
      <c r="J22" s="2"/>
    </row>
    <row r="23" spans="1:10" ht="15" customHeight="1" x14ac:dyDescent="0.25">
      <c r="A23" s="14">
        <f t="shared" si="0"/>
        <v>17</v>
      </c>
      <c r="B23" s="10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2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0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2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x14ac:dyDescent="0.25">
      <c r="A34" s="14">
        <f t="shared" si="0"/>
        <v>28</v>
      </c>
      <c r="B34" s="22"/>
      <c r="C34" s="22"/>
      <c r="D34" s="22"/>
      <c r="E34" s="22"/>
      <c r="F34" s="22"/>
    </row>
    <row r="35" spans="1:10" x14ac:dyDescent="0.25">
      <c r="A35" s="14">
        <f t="shared" si="0"/>
        <v>29</v>
      </c>
      <c r="B35" s="22"/>
      <c r="C35" s="22"/>
      <c r="D35" s="22"/>
      <c r="E35" s="22"/>
      <c r="F35" s="22"/>
    </row>
    <row r="36" spans="1:10" x14ac:dyDescent="0.25">
      <c r="A36" s="14">
        <f t="shared" si="0"/>
        <v>30</v>
      </c>
      <c r="B36" s="22"/>
      <c r="C36" s="22"/>
      <c r="D36" s="22"/>
      <c r="E36" s="22"/>
      <c r="F36" s="22"/>
    </row>
    <row r="37" spans="1:10" x14ac:dyDescent="0.25">
      <c r="A37" s="14">
        <f t="shared" si="0"/>
        <v>31</v>
      </c>
      <c r="B37" s="22"/>
      <c r="C37" s="22"/>
      <c r="D37" s="22"/>
      <c r="E37" s="22"/>
      <c r="F37" s="22"/>
    </row>
    <row r="38" spans="1:10" x14ac:dyDescent="0.25">
      <c r="A38" s="14">
        <f t="shared" si="0"/>
        <v>32</v>
      </c>
      <c r="B38" s="22"/>
      <c r="C38" s="22"/>
      <c r="D38" s="22"/>
      <c r="E38" s="22"/>
      <c r="F38" s="22"/>
    </row>
    <row r="39" spans="1:10" x14ac:dyDescent="0.25">
      <c r="A39" s="14">
        <f t="shared" si="0"/>
        <v>33</v>
      </c>
      <c r="B39" s="22"/>
      <c r="C39" s="22"/>
      <c r="D39" s="22"/>
      <c r="E39" s="22"/>
      <c r="F39" s="22"/>
    </row>
    <row r="40" spans="1:10" x14ac:dyDescent="0.25">
      <c r="A40" s="14">
        <f t="shared" si="0"/>
        <v>34</v>
      </c>
      <c r="B40" s="22"/>
      <c r="C40" s="22"/>
      <c r="D40" s="22"/>
      <c r="E40" s="22"/>
      <c r="F40" s="22"/>
    </row>
    <row r="41" spans="1:10" x14ac:dyDescent="0.25">
      <c r="A41" s="14">
        <f t="shared" si="0"/>
        <v>35</v>
      </c>
      <c r="B41" s="22"/>
      <c r="C41" s="22"/>
      <c r="D41" s="22"/>
      <c r="E41" s="22"/>
      <c r="F41" s="22"/>
    </row>
    <row r="42" spans="1:10" x14ac:dyDescent="0.25">
      <c r="A42" s="14">
        <f t="shared" si="0"/>
        <v>36</v>
      </c>
      <c r="B42" s="22"/>
      <c r="C42" s="22"/>
      <c r="D42" s="22"/>
      <c r="E42" s="22"/>
      <c r="F42" s="22"/>
    </row>
    <row r="43" spans="1:10" x14ac:dyDescent="0.25">
      <c r="A43" s="14">
        <f t="shared" si="0"/>
        <v>37</v>
      </c>
      <c r="B43" s="22"/>
      <c r="C43" s="22"/>
      <c r="D43" s="22"/>
      <c r="E43" s="22"/>
      <c r="F43" s="22"/>
    </row>
    <row r="44" spans="1:10" x14ac:dyDescent="0.25">
      <c r="A44" s="14">
        <f t="shared" si="0"/>
        <v>38</v>
      </c>
      <c r="B44" s="22"/>
      <c r="C44" s="22"/>
      <c r="D44" s="22"/>
      <c r="E44" s="22"/>
      <c r="F44" s="22"/>
    </row>
    <row r="45" spans="1:10" x14ac:dyDescent="0.25">
      <c r="A45" s="14">
        <f t="shared" si="0"/>
        <v>39</v>
      </c>
      <c r="B45" s="22"/>
      <c r="C45" s="22"/>
      <c r="D45" s="22"/>
      <c r="E45" s="22"/>
      <c r="F45" s="22"/>
    </row>
    <row r="46" spans="1:10" x14ac:dyDescent="0.25">
      <c r="A46" s="14">
        <f t="shared" si="0"/>
        <v>40</v>
      </c>
      <c r="B46" s="22"/>
      <c r="C46" s="22"/>
      <c r="D46" s="22"/>
      <c r="E46" s="22"/>
      <c r="F46" s="22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3</vt:i4>
      </vt:variant>
    </vt:vector>
  </HeadingPairs>
  <TitlesOfParts>
    <vt:vector size="6" baseType="lpstr">
      <vt:lpstr>JANVIER 2026</vt:lpstr>
      <vt:lpstr>FEVRIER 2026</vt:lpstr>
      <vt:lpstr>MARS 2026</vt:lpstr>
      <vt:lpstr>'FEVRIER 2026'!Impression_des_titres</vt:lpstr>
      <vt:lpstr>'JANVIER 2026'!Impression_des_titres</vt:lpstr>
      <vt:lpstr>'MARS 2026'!Impression_des_titres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2026-03-07T10:35:04Z</cp:lastPrinted>
  <dcterms:created xsi:type="dcterms:W3CDTF">2014-12-31T15:00:30Z</dcterms:created>
  <dcterms:modified xsi:type="dcterms:W3CDTF">2026-04-05T10:17:39Z</dcterms:modified>
</cp:coreProperties>
</file>