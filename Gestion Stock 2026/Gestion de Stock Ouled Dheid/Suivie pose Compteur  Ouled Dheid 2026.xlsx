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6\Gestion de Stock Ouled Dheid\"/>
    </mc:Choice>
  </mc:AlternateContent>
  <xr:revisionPtr revIDLastSave="0" documentId="13_ncr:1_{472257A6-AED8-4D00-A612-5C47A0089C12}" xr6:coauthVersionLast="47" xr6:coauthVersionMax="47" xr10:uidLastSave="{00000000-0000-0000-0000-000000000000}"/>
  <bookViews>
    <workbookView xWindow="-120" yWindow="-120" windowWidth="29040" windowHeight="15720" firstSheet="1" activeTab="9" xr2:uid="{00000000-000D-0000-FFFF-FFFF00000000}"/>
  </bookViews>
  <sheets>
    <sheet name="Janvier 2026" sheetId="1" r:id="rId1"/>
    <sheet name="Février 2026" sheetId="2" r:id="rId2"/>
    <sheet name="Mars 2026" sheetId="3" r:id="rId3"/>
    <sheet name="Avril 2026" sheetId="4" r:id="rId4"/>
    <sheet name="MAI 2026" sheetId="5" r:id="rId5"/>
    <sheet name="JUIN 2026" sheetId="6" r:id="rId6"/>
    <sheet name="JUILLET 2026" sheetId="7" r:id="rId7"/>
    <sheet name="AOUT 2026" sheetId="8" r:id="rId8"/>
    <sheet name="Septembre 2026" sheetId="9" r:id="rId9"/>
    <sheet name="Octobre 2026" sheetId="10" r:id="rId10"/>
  </sheets>
  <definedNames>
    <definedName name="_xlnm.Print_Titles" localSheetId="7">'AOUT 2026'!$1:$6</definedName>
    <definedName name="_xlnm.Print_Titles" localSheetId="3">'Avril 2026'!$1:$6</definedName>
    <definedName name="_xlnm.Print_Titles" localSheetId="1">'Février 2026'!$1:$6</definedName>
    <definedName name="_xlnm.Print_Titles" localSheetId="0">'Janvier 2026'!$1:$6</definedName>
    <definedName name="_xlnm.Print_Titles" localSheetId="6">'JUILLET 2026'!$1:$6</definedName>
    <definedName name="_xlnm.Print_Titles" localSheetId="5">'JUIN 2026'!$1:$6</definedName>
    <definedName name="_xlnm.Print_Titles" localSheetId="4">'MAI 2026'!$1:$6</definedName>
    <definedName name="_xlnm.Print_Titles" localSheetId="2">'Mars 2026'!$1:$6</definedName>
    <definedName name="_xlnm.Print_Titles" localSheetId="9">'Octobre 2026'!$1:$6</definedName>
    <definedName name="_xlnm.Print_Titles" localSheetId="8">'Septembre 2026'!$1:$6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K4" i="10"/>
  <c r="K3" i="10"/>
  <c r="K2" i="10"/>
  <c r="K5" i="10" s="1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K4" i="9"/>
  <c r="K3" i="9"/>
  <c r="K2" i="9"/>
  <c r="K5" i="9" s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K4" i="8"/>
  <c r="K3" i="8"/>
  <c r="K2" i="8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K4" i="7"/>
  <c r="K3" i="7"/>
  <c r="K2" i="7"/>
  <c r="K5" i="7" s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K4" i="6"/>
  <c r="K3" i="6"/>
  <c r="K2" i="6"/>
  <c r="K5" i="6" s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K4" i="5"/>
  <c r="K3" i="5"/>
  <c r="K2" i="5"/>
  <c r="K5" i="5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K4" i="4"/>
  <c r="K3" i="4"/>
  <c r="K2" i="4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K4" i="3"/>
  <c r="K3" i="3"/>
  <c r="K2" i="3"/>
  <c r="K5" i="3" s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K4" i="2"/>
  <c r="K3" i="2"/>
  <c r="K2" i="2"/>
  <c r="A8" i="1"/>
  <c r="A9" i="1" s="1"/>
  <c r="A10" i="1" s="1"/>
  <c r="A11" i="1" s="1"/>
  <c r="K5" i="8" l="1"/>
  <c r="K5" i="4"/>
  <c r="K5" i="2"/>
  <c r="A12" i="1"/>
  <c r="A13" i="1" s="1"/>
  <c r="A14" i="1" s="1"/>
  <c r="A15" i="1" s="1"/>
  <c r="A16" i="1" s="1"/>
  <c r="A17" i="1" s="1"/>
  <c r="A18" i="1" s="1"/>
  <c r="A19" i="1" s="1"/>
  <c r="A20" i="1" s="1"/>
  <c r="A21" i="1" s="1"/>
  <c r="K4" i="1"/>
  <c r="K3" i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K2" i="1"/>
  <c r="K5" i="1" s="1"/>
</calcChain>
</file>

<file path=xl/sharedStrings.xml><?xml version="1.0" encoding="utf-8"?>
<sst xmlns="http://schemas.openxmlformats.org/spreadsheetml/2006/main" count="243" uniqueCount="68">
  <si>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</si>
  <si>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</si>
  <si>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</si>
  <si>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</si>
  <si>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</si>
  <si>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</si>
  <si>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</si>
  <si>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</si>
  <si>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</si>
  <si>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</si>
  <si>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</si>
  <si>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</si>
  <si>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</si>
  <si>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</si>
  <si>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</si>
  <si>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</si>
  <si>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Ouled Dheid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</si>
  <si>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</si>
  <si>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BR</t>
  </si>
  <si>
    <t>15/21</t>
  </si>
  <si>
    <t>2025177368</t>
  </si>
  <si>
    <t>NB(071/2026)</t>
  </si>
  <si>
    <t>Benmeziane aissa</t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</si>
  <si>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</si>
  <si>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</si>
  <si>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</si>
  <si>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2025119575</t>
  </si>
  <si>
    <t>2025119580</t>
  </si>
  <si>
    <t>Benthaya toufik</t>
  </si>
  <si>
    <t>NB(344/2025)</t>
  </si>
  <si>
    <t>Benthaya aek</t>
  </si>
  <si>
    <t>NB(302/2025)</t>
  </si>
  <si>
    <t>BR0456</t>
  </si>
  <si>
    <t>2025177735</t>
  </si>
  <si>
    <t>Elimination Forfait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</si>
  <si>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</si>
  <si>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</si>
  <si>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</si>
  <si>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</si>
  <si>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2026144334</t>
  </si>
  <si>
    <t>NB(215/2025)</t>
  </si>
  <si>
    <t>Bouarif abdenour</t>
  </si>
  <si>
    <t>2026144357</t>
  </si>
  <si>
    <t>Benmeziane ahmed cherif</t>
  </si>
  <si>
    <t>NB(485/2023)</t>
  </si>
  <si>
    <t>20/27</t>
  </si>
  <si>
    <t>2026003693</t>
  </si>
  <si>
    <t>NB(195/2026)</t>
  </si>
  <si>
    <t>Azibi zhor</t>
  </si>
  <si>
    <t>2026003694</t>
  </si>
  <si>
    <t>Bouarif med</t>
  </si>
  <si>
    <t>NB(231/2026)</t>
  </si>
  <si>
    <t>2026003692</t>
  </si>
  <si>
    <t>Kechida bahia</t>
  </si>
  <si>
    <t>NB(230/2026)</t>
  </si>
  <si>
    <t>2026003695</t>
  </si>
  <si>
    <t>Bouktab boubakeur</t>
  </si>
  <si>
    <t>NB(196/2026)</t>
  </si>
  <si>
    <t>2026003699</t>
  </si>
  <si>
    <t>NB(/2023)</t>
  </si>
  <si>
    <t>Allali rafaa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</si>
  <si>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</si>
  <si>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2026003599</t>
  </si>
  <si>
    <t>NB(649/2023)</t>
  </si>
  <si>
    <t>Abba med b/abderahane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</si>
  <si>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</si>
  <si>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BR0850</t>
  </si>
  <si>
    <t>2026143415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</si>
</sst>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5</xdr:row>
      <xdr:rowOff>228600</xdr:rowOff>
    </xdr:from>
    <xdr:to>
      <xdr:col>6</xdr:col>
      <xdr:colOff>0</xdr:colOff>
      <xdr:row>46</xdr:row>
      <xdr:rowOff>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609602" y="1276350"/>
          <a:ext cx="4543423" cy="7658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7</xdr:row>
      <xdr:rowOff>19050</xdr:rowOff>
    </xdr:from>
    <xdr:to>
      <xdr:col>7</xdr:col>
      <xdr:colOff>9525</xdr:colOff>
      <xdr:row>46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7550055C-0FE6-4C72-A9BD-6BFEF0C3F28A}"/>
            </a:ext>
          </a:extLst>
        </xdr:cNvPr>
        <xdr:cNvCxnSpPr/>
      </xdr:nvCxnSpPr>
      <xdr:spPr>
        <a:xfrm flipH="1">
          <a:off x="609602" y="1524000"/>
          <a:ext cx="4552948" cy="7410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6</xdr:row>
      <xdr:rowOff>19050</xdr:rowOff>
    </xdr:from>
    <xdr:to>
      <xdr:col>5</xdr:col>
      <xdr:colOff>1266825</xdr:colOff>
      <xdr:row>46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C1249FFE-9EAE-4906-AD23-F4367D98B6CA}"/>
            </a:ext>
          </a:extLst>
        </xdr:cNvPr>
        <xdr:cNvCxnSpPr/>
      </xdr:nvCxnSpPr>
      <xdr:spPr>
        <a:xfrm flipH="1">
          <a:off x="609602" y="1333500"/>
          <a:ext cx="4495798" cy="7600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9</xdr:row>
      <xdr:rowOff>66675</xdr:rowOff>
    </xdr:from>
    <xdr:to>
      <xdr:col>5</xdr:col>
      <xdr:colOff>1200150</xdr:colOff>
      <xdr:row>46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6CCF9AD6-44FD-45BF-A2AB-4242B6D63B20}"/>
            </a:ext>
          </a:extLst>
        </xdr:cNvPr>
        <xdr:cNvCxnSpPr/>
      </xdr:nvCxnSpPr>
      <xdr:spPr>
        <a:xfrm flipH="1">
          <a:off x="609602" y="1952625"/>
          <a:ext cx="4429123" cy="6981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5</xdr:row>
      <xdr:rowOff>257175</xdr:rowOff>
    </xdr:from>
    <xdr:to>
      <xdr:col>5</xdr:col>
      <xdr:colOff>1200150</xdr:colOff>
      <xdr:row>46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E23B61F2-519E-412C-8338-3BB5A9C019AF}"/>
            </a:ext>
          </a:extLst>
        </xdr:cNvPr>
        <xdr:cNvCxnSpPr/>
      </xdr:nvCxnSpPr>
      <xdr:spPr>
        <a:xfrm flipH="1">
          <a:off x="609602" y="1304925"/>
          <a:ext cx="4429123" cy="762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5</xdr:row>
      <xdr:rowOff>257175</xdr:rowOff>
    </xdr:from>
    <xdr:to>
      <xdr:col>5</xdr:col>
      <xdr:colOff>1200150</xdr:colOff>
      <xdr:row>46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EDF4892-18C3-4A00-9180-133FE2D7B689}"/>
            </a:ext>
          </a:extLst>
        </xdr:cNvPr>
        <xdr:cNvCxnSpPr/>
      </xdr:nvCxnSpPr>
      <xdr:spPr>
        <a:xfrm flipH="1">
          <a:off x="609602" y="1304925"/>
          <a:ext cx="4429123" cy="762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5</xdr:row>
      <xdr:rowOff>257175</xdr:rowOff>
    </xdr:from>
    <xdr:to>
      <xdr:col>5</xdr:col>
      <xdr:colOff>1200150</xdr:colOff>
      <xdr:row>46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E4C07732-BA6D-448C-B8A4-F6B43682AA15}"/>
            </a:ext>
          </a:extLst>
        </xdr:cNvPr>
        <xdr:cNvCxnSpPr/>
      </xdr:nvCxnSpPr>
      <xdr:spPr>
        <a:xfrm flipH="1">
          <a:off x="609602" y="1304925"/>
          <a:ext cx="4429123" cy="762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14</xdr:row>
      <xdr:rowOff>57150</xdr:rowOff>
    </xdr:from>
    <xdr:to>
      <xdr:col>6</xdr:col>
      <xdr:colOff>0</xdr:colOff>
      <xdr:row>46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851280F-D641-4169-BC8C-903DFAA09C0C}"/>
            </a:ext>
          </a:extLst>
        </xdr:cNvPr>
        <xdr:cNvCxnSpPr/>
      </xdr:nvCxnSpPr>
      <xdr:spPr>
        <a:xfrm flipH="1">
          <a:off x="609602" y="2895600"/>
          <a:ext cx="4448173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7</xdr:row>
      <xdr:rowOff>19050</xdr:rowOff>
    </xdr:from>
    <xdr:to>
      <xdr:col>5</xdr:col>
      <xdr:colOff>1200150</xdr:colOff>
      <xdr:row>46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1315F7CB-BE30-4885-A5F7-E74661915C7E}"/>
            </a:ext>
          </a:extLst>
        </xdr:cNvPr>
        <xdr:cNvCxnSpPr/>
      </xdr:nvCxnSpPr>
      <xdr:spPr>
        <a:xfrm flipH="1">
          <a:off x="609602" y="1524000"/>
          <a:ext cx="4429123" cy="7410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7</xdr:row>
      <xdr:rowOff>19050</xdr:rowOff>
    </xdr:from>
    <xdr:to>
      <xdr:col>5</xdr:col>
      <xdr:colOff>1200150</xdr:colOff>
      <xdr:row>46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3297B86F-AD9F-4B57-B78D-71B9343106DC}"/>
            </a:ext>
          </a:extLst>
        </xdr:cNvPr>
        <xdr:cNvCxnSpPr/>
      </xdr:nvCxnSpPr>
      <xdr:spPr>
        <a:xfrm flipH="1">
          <a:off x="609602" y="1524000"/>
          <a:ext cx="4429123" cy="7410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workbookViewId="0">
      <selection activeCell="K25" sqref="K2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7">
        <f>SUMIF(F7:F35,"Elimination*",G7:G35)</f>
        <v>0</v>
      </c>
    </row>
    <row r="3" spans="1:11" x14ac:dyDescent="0.25">
      <c r="A3" s="27" t="s">
        <v>5</v>
      </c>
      <c r="B3" s="27"/>
      <c r="C3" s="27"/>
      <c r="D3" s="5"/>
      <c r="E3" s="27" t="s">
        <v>16</v>
      </c>
      <c r="F3" s="27"/>
      <c r="G3" s="4"/>
      <c r="H3" s="4"/>
      <c r="I3" s="23" t="s">
        <v>6</v>
      </c>
      <c r="J3" s="24"/>
      <c r="K3" s="17">
        <f>SUMIF(F7:F35,"NB*",G7:G35)</f>
        <v>0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7">
        <f>SUMIF(F7:F35,"Ve*",G7:G35)</f>
        <v>0</v>
      </c>
    </row>
    <row r="5" spans="1:11" ht="15.75" x14ac:dyDescent="0.25">
      <c r="A5" s="25" t="s">
        <v>17</v>
      </c>
      <c r="B5" s="25"/>
      <c r="C5" s="25"/>
      <c r="D5" s="25"/>
      <c r="E5" s="25"/>
      <c r="F5" s="25"/>
      <c r="G5" s="18"/>
      <c r="H5" s="18"/>
      <c r="I5" s="23" t="s">
        <v>9</v>
      </c>
      <c r="J5" s="24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1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1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"/>
      <c r="I14" s="2"/>
      <c r="J14" s="2"/>
      <c r="K14" s="1"/>
    </row>
    <row r="15" spans="1:11" ht="15" customHeight="1" x14ac:dyDescent="0.25">
      <c r="A15" s="14">
        <f t="shared" si="0"/>
        <v>9</v>
      </c>
      <c r="B15" s="10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0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2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"/>
      <c r="I27" s="1"/>
      <c r="J27" s="1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"/>
      <c r="I28" s="1"/>
      <c r="J28" s="1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/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/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/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x14ac:dyDescent="0.25">
      <c r="A36" s="14">
        <f t="shared" si="0"/>
        <v>30</v>
      </c>
      <c r="B36" s="12"/>
      <c r="C36" s="10"/>
      <c r="D36" s="9"/>
      <c r="E36" s="12"/>
      <c r="F36" s="20"/>
    </row>
    <row r="37" spans="1:10" x14ac:dyDescent="0.25">
      <c r="A37" s="14">
        <f t="shared" si="0"/>
        <v>31</v>
      </c>
      <c r="B37" s="12"/>
      <c r="C37" s="10"/>
      <c r="D37" s="9"/>
      <c r="E37" s="12"/>
      <c r="F37" s="20"/>
    </row>
    <row r="38" spans="1:10" x14ac:dyDescent="0.25">
      <c r="A38" s="14">
        <f t="shared" si="0"/>
        <v>32</v>
      </c>
      <c r="B38" s="12"/>
      <c r="C38" s="10"/>
      <c r="D38" s="9"/>
      <c r="E38" s="12"/>
      <c r="F38" s="20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sortState xmlns:xlrd2="http://schemas.microsoft.com/office/spreadsheetml/2017/richdata2" ref="B7:H15">
    <sortCondition ref="E7:E15"/>
    <sortCondition ref="D7:D15"/>
  </sortState>
  <mergeCells count="11">
    <mergeCell ref="A4:F4"/>
    <mergeCell ref="I4:J4"/>
    <mergeCell ref="A5:F5"/>
    <mergeCell ref="I5:J5"/>
    <mergeCell ref="A1:C1"/>
    <mergeCell ref="A2:C2"/>
    <mergeCell ref="I2:J2"/>
    <mergeCell ref="A3:C3"/>
    <mergeCell ref="I3:J3"/>
    <mergeCell ref="E2:F2"/>
    <mergeCell ref="E3:F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2889-2D56-491A-B560-C8E2648A734D}">
  <dimension ref="A1:K46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7">
        <f>SUMIF(F7:F35,"Elimination*",G7:G35)</f>
        <v>0</v>
      </c>
    </row>
    <row r="3" spans="1:11" x14ac:dyDescent="0.25">
      <c r="A3" s="27" t="s">
        <v>5</v>
      </c>
      <c r="B3" s="27"/>
      <c r="C3" s="27"/>
      <c r="D3" s="5"/>
      <c r="E3" s="27" t="s">
        <v>16</v>
      </c>
      <c r="F3" s="27"/>
      <c r="G3" s="4"/>
      <c r="H3" s="4"/>
      <c r="I3" s="23" t="s">
        <v>6</v>
      </c>
      <c r="J3" s="24"/>
      <c r="K3" s="17">
        <f>SUMIF(F7:F35,"NB*",G7:G35)</f>
        <v>1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7">
        <f>SUMIF(F7:F35,"Ve*",G7:G35)</f>
        <v>0</v>
      </c>
    </row>
    <row r="5" spans="1:11" ht="15.75" x14ac:dyDescent="0.25">
      <c r="A5" s="25" t="s">
        <v>23</v>
      </c>
      <c r="B5" s="25"/>
      <c r="C5" s="25"/>
      <c r="D5" s="25"/>
      <c r="E5" s="25"/>
      <c r="F5" s="25"/>
      <c r="G5" s="18"/>
      <c r="H5" s="18"/>
      <c r="I5" s="23" t="s">
        <v>9</v>
      </c>
      <c r="J5" s="24"/>
      <c r="K5" s="19">
        <f>SUM(K2:K4)</f>
        <v>1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10" t="s">
        <v>18</v>
      </c>
      <c r="C7" s="10" t="s">
        <v>19</v>
      </c>
      <c r="D7" s="9" t="s">
        <v>20</v>
      </c>
      <c r="E7" s="12">
        <v>46068</v>
      </c>
      <c r="F7" s="20" t="s">
        <v>21</v>
      </c>
      <c r="G7" s="16">
        <v>1</v>
      </c>
      <c r="H7" s="2" t="s">
        <v>22</v>
      </c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1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1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"/>
      <c r="I14" s="2"/>
      <c r="J14" s="2"/>
      <c r="K14" s="1"/>
    </row>
    <row r="15" spans="1:11" ht="15" customHeight="1" x14ac:dyDescent="0.25">
      <c r="A15" s="14">
        <f t="shared" si="0"/>
        <v>9</v>
      </c>
      <c r="B15" s="10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0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2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"/>
      <c r="I27" s="1"/>
      <c r="J27" s="1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"/>
      <c r="I28" s="1"/>
      <c r="J28" s="1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/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/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/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x14ac:dyDescent="0.25">
      <c r="A36" s="14">
        <f t="shared" si="0"/>
        <v>30</v>
      </c>
      <c r="B36" s="12"/>
      <c r="C36" s="10"/>
      <c r="D36" s="9"/>
      <c r="E36" s="12"/>
      <c r="F36" s="20"/>
    </row>
    <row r="37" spans="1:10" x14ac:dyDescent="0.25">
      <c r="A37" s="14">
        <f t="shared" si="0"/>
        <v>31</v>
      </c>
      <c r="B37" s="12"/>
      <c r="C37" s="10"/>
      <c r="D37" s="9"/>
      <c r="E37" s="12"/>
      <c r="F37" s="20"/>
    </row>
    <row r="38" spans="1:10" x14ac:dyDescent="0.25">
      <c r="A38" s="14">
        <f t="shared" si="0"/>
        <v>32</v>
      </c>
      <c r="B38" s="12"/>
      <c r="C38" s="10"/>
      <c r="D38" s="9"/>
      <c r="E38" s="12"/>
      <c r="F38" s="20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97F7-8943-431F-94DD-CB323148E37F}">
  <dimension ref="A1:K46"/>
  <sheetViews>
    <sheetView workbookViewId="0">
      <selection activeCell="H11" sqref="H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7">
        <f>SUMIF(F7:F35,"Elimination*",G7:G35)</f>
        <v>0</v>
      </c>
    </row>
    <row r="3" spans="1:11" x14ac:dyDescent="0.25">
      <c r="A3" s="27" t="s">
        <v>5</v>
      </c>
      <c r="B3" s="27"/>
      <c r="C3" s="27"/>
      <c r="D3" s="5"/>
      <c r="E3" s="27" t="s">
        <v>16</v>
      </c>
      <c r="F3" s="27"/>
      <c r="G3" s="4"/>
      <c r="H3" s="4"/>
      <c r="I3" s="23" t="s">
        <v>6</v>
      </c>
      <c r="J3" s="24"/>
      <c r="K3" s="17">
        <f>SUMIF(F7:F35,"NB*",G7:G35)</f>
        <v>0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7">
        <f>SUMIF(F7:F35,"Ve*",G7:G35)</f>
        <v>0</v>
      </c>
    </row>
    <row r="5" spans="1:11" ht="15.75" x14ac:dyDescent="0.25">
      <c r="A5" s="25" t="s">
        <v>24</v>
      </c>
      <c r="B5" s="25"/>
      <c r="C5" s="25"/>
      <c r="D5" s="25"/>
      <c r="E5" s="25"/>
      <c r="F5" s="25"/>
      <c r="G5" s="18"/>
      <c r="H5" s="18"/>
      <c r="I5" s="23" t="s">
        <v>9</v>
      </c>
      <c r="J5" s="24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1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1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"/>
      <c r="I14" s="2"/>
      <c r="J14" s="2"/>
      <c r="K14" s="1"/>
    </row>
    <row r="15" spans="1:11" ht="15" customHeight="1" x14ac:dyDescent="0.25">
      <c r="A15" s="14">
        <f t="shared" si="0"/>
        <v>9</v>
      </c>
      <c r="B15" s="10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0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2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"/>
      <c r="I27" s="1"/>
      <c r="J27" s="1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"/>
      <c r="I28" s="1"/>
      <c r="J28" s="1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/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/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/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x14ac:dyDescent="0.25">
      <c r="A36" s="14">
        <f t="shared" si="0"/>
        <v>30</v>
      </c>
      <c r="B36" s="12"/>
      <c r="C36" s="10"/>
      <c r="D36" s="9"/>
      <c r="E36" s="12"/>
      <c r="F36" s="20"/>
    </row>
    <row r="37" spans="1:10" x14ac:dyDescent="0.25">
      <c r="A37" s="14">
        <f t="shared" si="0"/>
        <v>31</v>
      </c>
      <c r="B37" s="12"/>
      <c r="C37" s="10"/>
      <c r="D37" s="9"/>
      <c r="E37" s="12"/>
      <c r="F37" s="20"/>
    </row>
    <row r="38" spans="1:10" x14ac:dyDescent="0.25">
      <c r="A38" s="14">
        <f t="shared" si="0"/>
        <v>32</v>
      </c>
      <c r="B38" s="12"/>
      <c r="C38" s="10"/>
      <c r="D38" s="9"/>
      <c r="E38" s="12"/>
      <c r="F38" s="20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F7B2-62D9-4B7D-A9D1-9F9ECF505E84}">
  <dimension ref="A1:K46"/>
  <sheetViews>
    <sheetView workbookViewId="0">
      <selection activeCell="F9" sqref="F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7">
        <f>SUMIF(F7:F35,"Elimination*",G7:G35)</f>
        <v>1</v>
      </c>
    </row>
    <row r="3" spans="1:11" x14ac:dyDescent="0.25">
      <c r="A3" s="27" t="s">
        <v>5</v>
      </c>
      <c r="B3" s="27"/>
      <c r="C3" s="27"/>
      <c r="D3" s="5"/>
      <c r="E3" s="27" t="s">
        <v>16</v>
      </c>
      <c r="F3" s="27"/>
      <c r="G3" s="4"/>
      <c r="H3" s="4"/>
      <c r="I3" s="23" t="s">
        <v>6</v>
      </c>
      <c r="J3" s="24"/>
      <c r="K3" s="17">
        <f>SUMIF(F7:F35,"NB*",G7:G35)</f>
        <v>2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7">
        <f>SUMIF(F7:F35,"Ve*",G7:G35)</f>
        <v>0</v>
      </c>
    </row>
    <row r="5" spans="1:11" ht="15.75" x14ac:dyDescent="0.25">
      <c r="A5" s="25" t="s">
        <v>25</v>
      </c>
      <c r="B5" s="25"/>
      <c r="C5" s="25"/>
      <c r="D5" s="25"/>
      <c r="E5" s="25"/>
      <c r="F5" s="25"/>
      <c r="G5" s="18"/>
      <c r="H5" s="18"/>
      <c r="I5" s="23" t="s">
        <v>9</v>
      </c>
      <c r="J5" s="24"/>
      <c r="K5" s="19">
        <f>SUM(K2:K4)</f>
        <v>3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10" t="s">
        <v>18</v>
      </c>
      <c r="C7" s="10" t="s">
        <v>19</v>
      </c>
      <c r="D7" s="9" t="s">
        <v>26</v>
      </c>
      <c r="E7" s="12">
        <v>46119</v>
      </c>
      <c r="F7" s="20" t="s">
        <v>29</v>
      </c>
      <c r="G7" s="16">
        <v>1</v>
      </c>
      <c r="H7" s="2" t="s">
        <v>28</v>
      </c>
      <c r="I7" s="15"/>
      <c r="J7" s="15"/>
      <c r="K7" s="1"/>
    </row>
    <row r="8" spans="1:11" ht="15" customHeight="1" x14ac:dyDescent="0.25">
      <c r="A8" s="14">
        <f>+A7+1</f>
        <v>2</v>
      </c>
      <c r="B8" s="10" t="s">
        <v>18</v>
      </c>
      <c r="C8" s="10" t="s">
        <v>19</v>
      </c>
      <c r="D8" s="9" t="s">
        <v>27</v>
      </c>
      <c r="E8" s="12">
        <v>46119</v>
      </c>
      <c r="F8" s="20" t="s">
        <v>31</v>
      </c>
      <c r="G8" s="16">
        <v>1</v>
      </c>
      <c r="H8" s="2" t="s">
        <v>30</v>
      </c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 t="s">
        <v>32</v>
      </c>
      <c r="C9" s="10" t="s">
        <v>19</v>
      </c>
      <c r="D9" s="9" t="s">
        <v>33</v>
      </c>
      <c r="E9" s="12">
        <v>46120</v>
      </c>
      <c r="F9" s="20" t="s">
        <v>34</v>
      </c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1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1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"/>
      <c r="I14" s="2"/>
      <c r="J14" s="2"/>
      <c r="K14" s="1"/>
    </row>
    <row r="15" spans="1:11" ht="15" customHeight="1" x14ac:dyDescent="0.25">
      <c r="A15" s="14">
        <f t="shared" si="0"/>
        <v>9</v>
      </c>
      <c r="B15" s="10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0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2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"/>
      <c r="I27" s="1"/>
      <c r="J27" s="1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"/>
      <c r="I28" s="1"/>
      <c r="J28" s="1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/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/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/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x14ac:dyDescent="0.25">
      <c r="A36" s="14">
        <f t="shared" si="0"/>
        <v>30</v>
      </c>
      <c r="B36" s="12"/>
      <c r="C36" s="10"/>
      <c r="D36" s="9"/>
      <c r="E36" s="12"/>
      <c r="F36" s="20"/>
    </row>
    <row r="37" spans="1:10" x14ac:dyDescent="0.25">
      <c r="A37" s="14">
        <f t="shared" si="0"/>
        <v>31</v>
      </c>
      <c r="B37" s="12"/>
      <c r="C37" s="10"/>
      <c r="D37" s="9"/>
      <c r="E37" s="12"/>
      <c r="F37" s="20"/>
    </row>
    <row r="38" spans="1:10" x14ac:dyDescent="0.25">
      <c r="A38" s="14">
        <f t="shared" si="0"/>
        <v>32</v>
      </c>
      <c r="B38" s="12"/>
      <c r="C38" s="10"/>
      <c r="D38" s="9"/>
      <c r="E38" s="12"/>
      <c r="F38" s="20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E61D-7D02-4DF4-8025-A3F4242A0042}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7">
        <f>SUMIF(F7:F35,"Elimination*",G7:G35)</f>
        <v>0</v>
      </c>
    </row>
    <row r="3" spans="1:11" x14ac:dyDescent="0.25">
      <c r="A3" s="27" t="s">
        <v>5</v>
      </c>
      <c r="B3" s="27"/>
      <c r="C3" s="27"/>
      <c r="D3" s="5"/>
      <c r="E3" s="27" t="s">
        <v>16</v>
      </c>
      <c r="F3" s="27"/>
      <c r="G3" s="4"/>
      <c r="H3" s="4"/>
      <c r="I3" s="23" t="s">
        <v>6</v>
      </c>
      <c r="J3" s="24"/>
      <c r="K3" s="17">
        <f>SUMIF(F7:F35,"NB*",G7:G35)</f>
        <v>0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7">
        <f>SUMIF(F7:F35,"Ve*",G7:G35)</f>
        <v>0</v>
      </c>
    </row>
    <row r="5" spans="1:11" ht="15.75" x14ac:dyDescent="0.25">
      <c r="A5" s="25" t="s">
        <v>35</v>
      </c>
      <c r="B5" s="25"/>
      <c r="C5" s="25"/>
      <c r="D5" s="25"/>
      <c r="E5" s="25"/>
      <c r="F5" s="25"/>
      <c r="G5" s="18"/>
      <c r="H5" s="18"/>
      <c r="I5" s="23" t="s">
        <v>9</v>
      </c>
      <c r="J5" s="24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1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1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"/>
      <c r="I14" s="2"/>
      <c r="J14" s="2"/>
      <c r="K14" s="1"/>
    </row>
    <row r="15" spans="1:11" ht="15" customHeight="1" x14ac:dyDescent="0.25">
      <c r="A15" s="14">
        <f t="shared" si="0"/>
        <v>9</v>
      </c>
      <c r="B15" s="10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0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2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"/>
      <c r="I27" s="1"/>
      <c r="J27" s="1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"/>
      <c r="I28" s="1"/>
      <c r="J28" s="1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/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/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/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x14ac:dyDescent="0.25">
      <c r="A36" s="14">
        <f t="shared" si="0"/>
        <v>30</v>
      </c>
      <c r="B36" s="12"/>
      <c r="C36" s="10"/>
      <c r="D36" s="9"/>
      <c r="E36" s="12"/>
      <c r="F36" s="20"/>
    </row>
    <row r="37" spans="1:10" x14ac:dyDescent="0.25">
      <c r="A37" s="14">
        <f t="shared" si="0"/>
        <v>31</v>
      </c>
      <c r="B37" s="12"/>
      <c r="C37" s="10"/>
      <c r="D37" s="9"/>
      <c r="E37" s="12"/>
      <c r="F37" s="20"/>
    </row>
    <row r="38" spans="1:10" x14ac:dyDescent="0.25">
      <c r="A38" s="14">
        <f t="shared" si="0"/>
        <v>32</v>
      </c>
      <c r="B38" s="12"/>
      <c r="C38" s="10"/>
      <c r="D38" s="9"/>
      <c r="E38" s="12"/>
      <c r="F38" s="20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7E5A-2635-4148-89DC-26AB9AF384C0}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7">
        <f>SUMIF(F7:F35,"Elimination*",G7:G35)</f>
        <v>0</v>
      </c>
    </row>
    <row r="3" spans="1:11" x14ac:dyDescent="0.25">
      <c r="A3" s="27" t="s">
        <v>5</v>
      </c>
      <c r="B3" s="27"/>
      <c r="C3" s="27"/>
      <c r="D3" s="5"/>
      <c r="E3" s="27" t="s">
        <v>16</v>
      </c>
      <c r="F3" s="27"/>
      <c r="G3" s="4"/>
      <c r="H3" s="4"/>
      <c r="I3" s="23" t="s">
        <v>6</v>
      </c>
      <c r="J3" s="24"/>
      <c r="K3" s="17">
        <f>SUMIF(F7:F35,"NB*",G7:G35)</f>
        <v>0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7">
        <f>SUMIF(F7:F35,"Ve*",G7:G35)</f>
        <v>0</v>
      </c>
    </row>
    <row r="5" spans="1:11" ht="15.75" x14ac:dyDescent="0.25">
      <c r="A5" s="25" t="s">
        <v>36</v>
      </c>
      <c r="B5" s="25"/>
      <c r="C5" s="25"/>
      <c r="D5" s="25"/>
      <c r="E5" s="25"/>
      <c r="F5" s="25"/>
      <c r="G5" s="18"/>
      <c r="H5" s="18"/>
      <c r="I5" s="23" t="s">
        <v>9</v>
      </c>
      <c r="J5" s="24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1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1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"/>
      <c r="I14" s="2"/>
      <c r="J14" s="2"/>
      <c r="K14" s="1"/>
    </row>
    <row r="15" spans="1:11" ht="15" customHeight="1" x14ac:dyDescent="0.25">
      <c r="A15" s="14">
        <f t="shared" si="0"/>
        <v>9</v>
      </c>
      <c r="B15" s="10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0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2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"/>
      <c r="I27" s="1"/>
      <c r="J27" s="1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"/>
      <c r="I28" s="1"/>
      <c r="J28" s="1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/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/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/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x14ac:dyDescent="0.25">
      <c r="A36" s="14">
        <f t="shared" si="0"/>
        <v>30</v>
      </c>
      <c r="B36" s="12"/>
      <c r="C36" s="10"/>
      <c r="D36" s="9"/>
      <c r="E36" s="12"/>
      <c r="F36" s="20"/>
    </row>
    <row r="37" spans="1:10" x14ac:dyDescent="0.25">
      <c r="A37" s="14">
        <f t="shared" si="0"/>
        <v>31</v>
      </c>
      <c r="B37" s="12"/>
      <c r="C37" s="10"/>
      <c r="D37" s="9"/>
      <c r="E37" s="12"/>
      <c r="F37" s="20"/>
    </row>
    <row r="38" spans="1:10" x14ac:dyDescent="0.25">
      <c r="A38" s="14">
        <f t="shared" si="0"/>
        <v>32</v>
      </c>
      <c r="B38" s="12"/>
      <c r="C38" s="10"/>
      <c r="D38" s="9"/>
      <c r="E38" s="12"/>
      <c r="F38" s="20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E4D0-4F64-4533-8B50-3142C9F29833}">
  <dimension ref="A1:K46"/>
  <sheetViews>
    <sheetView topLeftCell="A21"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7">
        <f>SUMIF(F7:F35,"Elimination*",G7:G35)</f>
        <v>0</v>
      </c>
    </row>
    <row r="3" spans="1:11" x14ac:dyDescent="0.25">
      <c r="A3" s="27" t="s">
        <v>5</v>
      </c>
      <c r="B3" s="27"/>
      <c r="C3" s="27"/>
      <c r="D3" s="5"/>
      <c r="E3" s="27" t="s">
        <v>16</v>
      </c>
      <c r="F3" s="27"/>
      <c r="G3" s="4"/>
      <c r="H3" s="4"/>
      <c r="I3" s="23" t="s">
        <v>6</v>
      </c>
      <c r="J3" s="24"/>
      <c r="K3" s="17">
        <f>SUMIF(F7:F35,"NB*",G7:G35)</f>
        <v>0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7">
        <f>SUMIF(F7:F35,"Ve*",G7:G35)</f>
        <v>0</v>
      </c>
    </row>
    <row r="5" spans="1:11" ht="15.75" x14ac:dyDescent="0.25">
      <c r="A5" s="25" t="s">
        <v>37</v>
      </c>
      <c r="B5" s="25"/>
      <c r="C5" s="25"/>
      <c r="D5" s="25"/>
      <c r="E5" s="25"/>
      <c r="F5" s="25"/>
      <c r="G5" s="18"/>
      <c r="H5" s="18"/>
      <c r="I5" s="23" t="s">
        <v>9</v>
      </c>
      <c r="J5" s="24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1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1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"/>
      <c r="I14" s="2"/>
      <c r="J14" s="2"/>
      <c r="K14" s="1"/>
    </row>
    <row r="15" spans="1:11" ht="15" customHeight="1" x14ac:dyDescent="0.25">
      <c r="A15" s="14">
        <f t="shared" si="0"/>
        <v>9</v>
      </c>
      <c r="B15" s="10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0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2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"/>
      <c r="I27" s="1"/>
      <c r="J27" s="1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"/>
      <c r="I28" s="1"/>
      <c r="J28" s="1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/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/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/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x14ac:dyDescent="0.25">
      <c r="A36" s="14">
        <f t="shared" si="0"/>
        <v>30</v>
      </c>
      <c r="B36" s="12"/>
      <c r="C36" s="10"/>
      <c r="D36" s="9"/>
      <c r="E36" s="12"/>
      <c r="F36" s="20"/>
    </row>
    <row r="37" spans="1:10" x14ac:dyDescent="0.25">
      <c r="A37" s="14">
        <f t="shared" si="0"/>
        <v>31</v>
      </c>
      <c r="B37" s="12"/>
      <c r="C37" s="10"/>
      <c r="D37" s="9"/>
      <c r="E37" s="12"/>
      <c r="F37" s="20"/>
    </row>
    <row r="38" spans="1:10" x14ac:dyDescent="0.25">
      <c r="A38" s="14">
        <f t="shared" si="0"/>
        <v>32</v>
      </c>
      <c r="B38" s="12"/>
      <c r="C38" s="10"/>
      <c r="D38" s="9"/>
      <c r="E38" s="12"/>
      <c r="F38" s="20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D159-A75C-4817-8C46-F4A91905AEFF}">
  <dimension ref="A1:K46"/>
  <sheetViews>
    <sheetView topLeftCell="A3" workbookViewId="0">
      <selection activeCell="F11" sqref="F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7">
        <f>SUMIF(F7:F35,"Elimination*",G7:G35)</f>
        <v>0</v>
      </c>
    </row>
    <row r="3" spans="1:11" x14ac:dyDescent="0.25">
      <c r="A3" s="27" t="s">
        <v>5</v>
      </c>
      <c r="B3" s="27"/>
      <c r="C3" s="27"/>
      <c r="D3" s="5"/>
      <c r="E3" s="27" t="s">
        <v>16</v>
      </c>
      <c r="F3" s="27"/>
      <c r="G3" s="4"/>
      <c r="H3" s="4"/>
      <c r="I3" s="23" t="s">
        <v>6</v>
      </c>
      <c r="J3" s="24"/>
      <c r="K3" s="17">
        <f>SUMIF(F7:F35,"NB*",G7:G35)</f>
        <v>7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7">
        <f>SUMIF(F7:F35,"Ve*",G7:G35)</f>
        <v>0</v>
      </c>
    </row>
    <row r="5" spans="1:11" ht="15.75" x14ac:dyDescent="0.25">
      <c r="A5" s="25" t="s">
        <v>38</v>
      </c>
      <c r="B5" s="25"/>
      <c r="C5" s="25"/>
      <c r="D5" s="25"/>
      <c r="E5" s="25"/>
      <c r="F5" s="25"/>
      <c r="G5" s="18"/>
      <c r="H5" s="18"/>
      <c r="I5" s="23" t="s">
        <v>9</v>
      </c>
      <c r="J5" s="24"/>
      <c r="K5" s="19">
        <f>SUM(K2:K4)</f>
        <v>7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10" t="s">
        <v>18</v>
      </c>
      <c r="C7" s="10" t="s">
        <v>45</v>
      </c>
      <c r="D7" s="9" t="s">
        <v>52</v>
      </c>
      <c r="E7" s="12">
        <v>46244</v>
      </c>
      <c r="F7" s="20" t="s">
        <v>54</v>
      </c>
      <c r="G7" s="16">
        <v>1</v>
      </c>
      <c r="H7" s="21" t="s">
        <v>53</v>
      </c>
      <c r="I7" s="15"/>
      <c r="J7" s="15"/>
      <c r="K7" s="1"/>
    </row>
    <row r="8" spans="1:11" ht="15" customHeight="1" x14ac:dyDescent="0.25">
      <c r="A8" s="14">
        <f>+A7+1</f>
        <v>2</v>
      </c>
      <c r="B8" s="10" t="s">
        <v>18</v>
      </c>
      <c r="C8" s="10" t="s">
        <v>45</v>
      </c>
      <c r="D8" s="9" t="s">
        <v>46</v>
      </c>
      <c r="E8" s="12">
        <v>46244</v>
      </c>
      <c r="F8" s="20" t="s">
        <v>47</v>
      </c>
      <c r="G8" s="16">
        <v>1</v>
      </c>
      <c r="H8" s="2" t="s">
        <v>48</v>
      </c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 t="s">
        <v>18</v>
      </c>
      <c r="C9" s="10" t="s">
        <v>45</v>
      </c>
      <c r="D9" s="9" t="s">
        <v>49</v>
      </c>
      <c r="E9" s="12">
        <v>46244</v>
      </c>
      <c r="F9" s="20" t="s">
        <v>51</v>
      </c>
      <c r="G9" s="16">
        <v>1</v>
      </c>
      <c r="H9" s="21" t="s">
        <v>50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10" t="s">
        <v>18</v>
      </c>
      <c r="C10" s="10" t="s">
        <v>45</v>
      </c>
      <c r="D10" s="9" t="s">
        <v>55</v>
      </c>
      <c r="E10" s="12">
        <v>46244</v>
      </c>
      <c r="F10" s="20" t="s">
        <v>57</v>
      </c>
      <c r="G10" s="16">
        <v>1</v>
      </c>
      <c r="H10" s="2" t="s">
        <v>56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10" t="s">
        <v>18</v>
      </c>
      <c r="C11" s="10" t="s">
        <v>19</v>
      </c>
      <c r="D11" s="9" t="s">
        <v>39</v>
      </c>
      <c r="E11" s="12">
        <v>46244</v>
      </c>
      <c r="F11" s="20" t="s">
        <v>40</v>
      </c>
      <c r="G11" s="16">
        <v>1</v>
      </c>
      <c r="H11" s="2" t="s">
        <v>41</v>
      </c>
      <c r="I11" s="2"/>
      <c r="J11" s="2"/>
      <c r="K11" s="1"/>
    </row>
    <row r="12" spans="1:11" ht="15" customHeight="1" x14ac:dyDescent="0.25">
      <c r="A12" s="14">
        <f t="shared" si="0"/>
        <v>6</v>
      </c>
      <c r="B12" s="10" t="s">
        <v>18</v>
      </c>
      <c r="C12" s="10" t="s">
        <v>19</v>
      </c>
      <c r="D12" s="9" t="s">
        <v>42</v>
      </c>
      <c r="E12" s="12">
        <v>46244</v>
      </c>
      <c r="F12" s="20" t="s">
        <v>44</v>
      </c>
      <c r="G12" s="16">
        <v>1</v>
      </c>
      <c r="H12" s="2" t="s">
        <v>43</v>
      </c>
      <c r="I12" s="2"/>
      <c r="J12" s="2"/>
      <c r="K12" s="1"/>
    </row>
    <row r="13" spans="1:11" ht="15" customHeight="1" x14ac:dyDescent="0.25">
      <c r="A13" s="14">
        <f t="shared" si="0"/>
        <v>7</v>
      </c>
      <c r="B13" s="10" t="s">
        <v>18</v>
      </c>
      <c r="C13" s="10" t="s">
        <v>45</v>
      </c>
      <c r="D13" s="9" t="s">
        <v>58</v>
      </c>
      <c r="E13" s="12">
        <v>46257</v>
      </c>
      <c r="F13" s="20" t="s">
        <v>59</v>
      </c>
      <c r="G13" s="16">
        <v>1</v>
      </c>
      <c r="H13" s="2" t="s">
        <v>60</v>
      </c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"/>
      <c r="I14" s="2"/>
      <c r="J14" s="2"/>
      <c r="K14" s="1"/>
    </row>
    <row r="15" spans="1:11" ht="15" customHeight="1" x14ac:dyDescent="0.25">
      <c r="A15" s="14">
        <f t="shared" si="0"/>
        <v>9</v>
      </c>
      <c r="B15" s="10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0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2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"/>
      <c r="I27" s="1"/>
      <c r="J27" s="1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"/>
      <c r="I28" s="1"/>
      <c r="J28" s="1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/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/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/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x14ac:dyDescent="0.25">
      <c r="A36" s="14">
        <f t="shared" si="0"/>
        <v>30</v>
      </c>
      <c r="B36" s="12"/>
      <c r="C36" s="10"/>
      <c r="D36" s="9"/>
      <c r="E36" s="12"/>
      <c r="F36" s="20"/>
    </row>
    <row r="37" spans="1:10" x14ac:dyDescent="0.25">
      <c r="A37" s="14">
        <f t="shared" si="0"/>
        <v>31</v>
      </c>
      <c r="B37" s="12"/>
      <c r="C37" s="10"/>
      <c r="D37" s="9"/>
      <c r="E37" s="12"/>
      <c r="F37" s="20"/>
    </row>
    <row r="38" spans="1:10" x14ac:dyDescent="0.25">
      <c r="A38" s="14">
        <f t="shared" si="0"/>
        <v>32</v>
      </c>
      <c r="B38" s="12"/>
      <c r="C38" s="10"/>
      <c r="D38" s="9"/>
      <c r="E38" s="12"/>
      <c r="F38" s="20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sortState xmlns:xlrd2="http://schemas.microsoft.com/office/spreadsheetml/2017/richdata2" ref="B7:H12">
    <sortCondition ref="E7:E12"/>
    <sortCondition ref="D7:D12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D4DE-2778-4596-A94B-A6259C7D08EE}">
  <dimension ref="A1:K46"/>
  <sheetViews>
    <sheetView topLeftCell="A3" workbookViewId="0">
      <selection activeCell="B8" sqref="B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7">
        <f>SUMIF(F7:F35,"Elimination*",G7:G35)</f>
        <v>0</v>
      </c>
    </row>
    <row r="3" spans="1:11" x14ac:dyDescent="0.25">
      <c r="A3" s="27" t="s">
        <v>5</v>
      </c>
      <c r="B3" s="27"/>
      <c r="C3" s="27"/>
      <c r="D3" s="5"/>
      <c r="E3" s="27" t="s">
        <v>16</v>
      </c>
      <c r="F3" s="27"/>
      <c r="G3" s="4"/>
      <c r="H3" s="4"/>
      <c r="I3" s="23" t="s">
        <v>6</v>
      </c>
      <c r="J3" s="24"/>
      <c r="K3" s="17">
        <f>SUMIF(F7:F35,"NB*",G7:G35)</f>
        <v>1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7">
        <f>SUMIF(F7:F35,"Ve*",G7:G35)</f>
        <v>0</v>
      </c>
    </row>
    <row r="5" spans="1:11" ht="15.75" x14ac:dyDescent="0.25">
      <c r="A5" s="25" t="s">
        <v>61</v>
      </c>
      <c r="B5" s="25"/>
      <c r="C5" s="25"/>
      <c r="D5" s="25"/>
      <c r="E5" s="25"/>
      <c r="F5" s="25"/>
      <c r="G5" s="18"/>
      <c r="H5" s="18"/>
      <c r="I5" s="23" t="s">
        <v>9</v>
      </c>
      <c r="J5" s="24"/>
      <c r="K5" s="19">
        <f>SUM(K2:K4)</f>
        <v>1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10" t="s">
        <v>18</v>
      </c>
      <c r="C7" s="10" t="s">
        <v>45</v>
      </c>
      <c r="D7" s="9" t="s">
        <v>62</v>
      </c>
      <c r="E7" s="12">
        <v>46287</v>
      </c>
      <c r="F7" s="20" t="s">
        <v>63</v>
      </c>
      <c r="G7" s="16">
        <v>1</v>
      </c>
      <c r="H7" s="21" t="s">
        <v>64</v>
      </c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1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"/>
      <c r="I14" s="2"/>
      <c r="J14" s="2"/>
      <c r="K14" s="1"/>
    </row>
    <row r="15" spans="1:11" ht="15" customHeight="1" x14ac:dyDescent="0.25">
      <c r="A15" s="14">
        <f t="shared" si="0"/>
        <v>9</v>
      </c>
      <c r="B15" s="10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0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2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"/>
      <c r="I27" s="1"/>
      <c r="J27" s="1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"/>
      <c r="I28" s="1"/>
      <c r="J28" s="1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/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/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/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x14ac:dyDescent="0.25">
      <c r="A36" s="14">
        <f t="shared" si="0"/>
        <v>30</v>
      </c>
      <c r="B36" s="12"/>
      <c r="C36" s="10"/>
      <c r="D36" s="9"/>
      <c r="E36" s="12"/>
      <c r="F36" s="20"/>
    </row>
    <row r="37" spans="1:10" x14ac:dyDescent="0.25">
      <c r="A37" s="14">
        <f t="shared" si="0"/>
        <v>31</v>
      </c>
      <c r="B37" s="12"/>
      <c r="C37" s="10"/>
      <c r="D37" s="9"/>
      <c r="E37" s="12"/>
      <c r="F37" s="20"/>
    </row>
    <row r="38" spans="1:10" x14ac:dyDescent="0.25">
      <c r="A38" s="14">
        <f t="shared" si="0"/>
        <v>32</v>
      </c>
      <c r="B38" s="12"/>
      <c r="C38" s="10"/>
      <c r="D38" s="9"/>
      <c r="E38" s="12"/>
      <c r="F38" s="20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A5E0-CBF6-4E2F-BFBE-B5D271815684}">
  <dimension ref="A1:K46"/>
  <sheetViews>
    <sheetView tabSelected="1" topLeftCell="A3" workbookViewId="0">
      <selection activeCell="H15" sqref="H1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7">
        <f>SUMIF(F7:F35,"Elimination*",G7:G35)</f>
        <v>1</v>
      </c>
    </row>
    <row r="3" spans="1:11" x14ac:dyDescent="0.25">
      <c r="A3" s="27" t="s">
        <v>5</v>
      </c>
      <c r="B3" s="27"/>
      <c r="C3" s="27"/>
      <c r="D3" s="5"/>
      <c r="E3" s="27" t="s">
        <v>16</v>
      </c>
      <c r="F3" s="27"/>
      <c r="G3" s="4"/>
      <c r="H3" s="4"/>
      <c r="I3" s="23" t="s">
        <v>6</v>
      </c>
      <c r="J3" s="24"/>
      <c r="K3" s="17">
        <f>SUMIF(F7:F35,"NB*",G7:G35)</f>
        <v>0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7">
        <f>SUMIF(F7:F35,"Ve*",G7:G35)</f>
        <v>0</v>
      </c>
    </row>
    <row r="5" spans="1:11" ht="15.75" x14ac:dyDescent="0.25">
      <c r="A5" s="25" t="s">
        <v>65</v>
      </c>
      <c r="B5" s="25"/>
      <c r="C5" s="25"/>
      <c r="D5" s="25"/>
      <c r="E5" s="25"/>
      <c r="F5" s="25"/>
      <c r="G5" s="18"/>
      <c r="H5" s="18"/>
      <c r="I5" s="23" t="s">
        <v>9</v>
      </c>
      <c r="J5" s="24"/>
      <c r="K5" s="19">
        <f>SUM(K2:K4)</f>
        <v>1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10" t="s">
        <v>66</v>
      </c>
      <c r="C7" s="10" t="s">
        <v>19</v>
      </c>
      <c r="D7" s="9" t="s">
        <v>67</v>
      </c>
      <c r="E7" s="12">
        <v>46313</v>
      </c>
      <c r="F7" s="20" t="s">
        <v>34</v>
      </c>
      <c r="G7" s="16">
        <v>1</v>
      </c>
      <c r="H7" s="21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1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"/>
      <c r="I14" s="2"/>
      <c r="J14" s="2"/>
      <c r="K14" s="1"/>
    </row>
    <row r="15" spans="1:11" ht="15" customHeight="1" x14ac:dyDescent="0.25">
      <c r="A15" s="14">
        <f t="shared" si="0"/>
        <v>9</v>
      </c>
      <c r="B15" s="10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0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2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"/>
      <c r="I27" s="1"/>
      <c r="J27" s="1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"/>
      <c r="I28" s="1"/>
      <c r="J28" s="1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/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/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/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x14ac:dyDescent="0.25">
      <c r="A36" s="14">
        <f t="shared" si="0"/>
        <v>30</v>
      </c>
      <c r="B36" s="12"/>
      <c r="C36" s="10"/>
      <c r="D36" s="9"/>
      <c r="E36" s="12"/>
      <c r="F36" s="20"/>
    </row>
    <row r="37" spans="1:10" x14ac:dyDescent="0.25">
      <c r="A37" s="14">
        <f t="shared" si="0"/>
        <v>31</v>
      </c>
      <c r="B37" s="12"/>
      <c r="C37" s="10"/>
      <c r="D37" s="9"/>
      <c r="E37" s="12"/>
      <c r="F37" s="20"/>
    </row>
    <row r="38" spans="1:10" x14ac:dyDescent="0.25">
      <c r="A38" s="14">
        <f t="shared" si="0"/>
        <v>32</v>
      </c>
      <c r="B38" s="12"/>
      <c r="C38" s="10"/>
      <c r="D38" s="9"/>
      <c r="E38" s="12"/>
      <c r="F38" s="20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10</vt:i4>
      </vt:variant>
    </vt:vector>
  </HeadingPairs>
  <TitlesOfParts>
    <vt:vector size="20" baseType="lpstr">
      <vt:lpstr>Janvier 2026</vt:lpstr>
      <vt:lpstr>Février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  <vt:lpstr>Octobre 2026</vt:lpstr>
      <vt:lpstr>'AOUT 2026'!Impression_des_titres</vt:lpstr>
      <vt:lpstr>'Avril 2026'!Impression_des_titres</vt:lpstr>
      <vt:lpstr>'Février 2026'!Impression_des_titres</vt:lpstr>
      <vt:lpstr>'Janvier 2026'!Impression_des_titres</vt:lpstr>
      <vt:lpstr>'JUILLET 2026'!Impression_des_titres</vt:lpstr>
      <vt:lpstr>'JUIN 2026'!Impression_des_titres</vt:lpstr>
      <vt:lpstr>'MAI 2026'!Impression_des_titres</vt:lpstr>
      <vt:lpstr>'Mars 2026'!Impression_des_titres</vt:lpstr>
      <vt:lpstr>'Octobre 2026'!Impression_des_titres</vt:lpstr>
      <vt:lpstr>'Septembre 2026'!Impression_des_titres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2026-08-01T11:57:17Z</cp:lastPrinted>
  <dcterms:created xsi:type="dcterms:W3CDTF">2014-12-31T15:00:30Z</dcterms:created>
  <dcterms:modified xsi:type="dcterms:W3CDTF">2026-10-18T15:00:29Z</dcterms:modified>
</cp:coreProperties>
</file>