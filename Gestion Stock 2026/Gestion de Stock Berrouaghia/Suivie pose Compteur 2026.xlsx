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9B6CA724-112E-4197-9B5E-53EEDD4D5D9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" r:id="rId1"/>
  </sheets>
  <definedNames>
    <definedName name="_xlnm.Print_Titles" localSheetId="0">'Janvier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<sst xmlns="http://schemas.openxmlformats.org/spreadsheetml/2006/main" count="206" uniqueCount="136">
  <si>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</si>
  <si>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</si>
  <si>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</si>
  <si>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</si>
  <si>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</si>
  <si>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</si>
  <si>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</si>
  <si>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</si>
  <si>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</si>
  <si>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</si>
  <si>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</si>
  <si>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</si>
  <si>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</si>
  <si>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</si>
  <si>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</si>
  <si>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</si>
  <si>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</si>
  <si>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</si>
  <si>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</si>
  <si>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</si>
  <si>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</si>
  <si>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</si>
  <si>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</si>
  <si>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</si>
  <si>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</si>
  <si>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</si>
  <si>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</si>
  <si>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</si>
  <si>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</si>
  <si>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</si>
  <si>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</si>
  <si>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</si>
  <si>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</si>
  <si>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</si>
  <si>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</si>
  <si>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</si>
  <si>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</si>
  <si>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</si>
  <si>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</si>
  <si>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</si>
  <si>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</si>
  <si>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</si>
  <si>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</si>
  <si>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</si>
  <si>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</si>
  <si>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</si>
  <si>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</si>
  <si>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</si>
  <si>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</si>
  <si>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720 bt 12 n38</t>
  </si>
  <si>
    <t>NB(706/2025)</t>
  </si>
  <si>
    <t>NB(011/2026)</t>
  </si>
  <si>
    <t>Hanniche zehour</t>
  </si>
  <si>
    <t>720 bt 5 n27</t>
  </si>
  <si>
    <t>NB(550/2025)</t>
  </si>
  <si>
    <t>Makhloufi messaoud</t>
  </si>
  <si>
    <t>Djennane toubal</t>
  </si>
  <si>
    <t>2025177277</t>
  </si>
  <si>
    <t>NB(416/2025)</t>
  </si>
  <si>
    <t>Youcef ezzine bensouna</t>
  </si>
  <si>
    <t>720 bt 14 n24</t>
  </si>
  <si>
    <t>2025177276</t>
  </si>
  <si>
    <t>Ghiatou ouardia</t>
  </si>
  <si>
    <t>720 bt 19 n34</t>
  </si>
  <si>
    <t>NB(705/2025)</t>
  </si>
  <si>
    <t>2025177961</t>
  </si>
  <si>
    <t>NB(611/2025)</t>
  </si>
  <si>
    <t>Benkortbi saad eddine</t>
  </si>
  <si>
    <t>720 bt 13 n21</t>
  </si>
  <si>
    <t>2025177962</t>
  </si>
  <si>
    <t>Belzekour noureddine</t>
  </si>
  <si>
    <t>720 bt 1 n5</t>
  </si>
  <si>
    <t>NB(759/2025)</t>
  </si>
  <si>
    <t>2025177279</t>
  </si>
  <si>
    <t>NB(761/2025)</t>
  </si>
  <si>
    <t>Anabi med</t>
  </si>
  <si>
    <t>720 bt 1 n30</t>
  </si>
  <si>
    <t>2025177280</t>
  </si>
  <si>
    <t>NB(623/2025)</t>
  </si>
  <si>
    <t>Ziane halima</t>
  </si>
  <si>
    <t>720 bt 16 n21</t>
  </si>
  <si>
    <t>B4</t>
  </si>
  <si>
    <t>2025177278</t>
  </si>
  <si>
    <t>Bouguessa youcef</t>
  </si>
  <si>
    <t>Ain omrane</t>
  </si>
  <si>
    <t>NB(659/2025)</t>
  </si>
  <si>
    <t>2025177324</t>
  </si>
  <si>
    <t>NB(002/2026)</t>
  </si>
  <si>
    <t>Reguieg chakib</t>
  </si>
  <si>
    <t>720 bt 1 n29</t>
  </si>
  <si>
    <t>2025177322</t>
  </si>
  <si>
    <t>Bedoui ines</t>
  </si>
  <si>
    <t>720 bt 8 n22</t>
  </si>
  <si>
    <t>2025177328</t>
  </si>
  <si>
    <t>Aouiche rabah</t>
  </si>
  <si>
    <t>720 bt 17 n8</t>
  </si>
  <si>
    <t>2025177275</t>
  </si>
  <si>
    <t>Kouidri benyouef</t>
  </si>
  <si>
    <t>720 bt 1 n11</t>
  </si>
  <si>
    <t>2025177325</t>
  </si>
  <si>
    <t>Boubakeur abdellah</t>
  </si>
  <si>
    <t>720 bt 16 n17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</si>
  <si>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</si>
  <si>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</si>
  <si>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</si>
  <si>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</si>
  <si>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</si>
  <si>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</si>
  <si>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</si>
  <si>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</si>
  <si>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Cité hantabli</t>
  </si>
  <si>
    <t>2025177271</t>
  </si>
  <si>
    <t>Lassar tayeb</t>
  </si>
  <si>
    <t>1ere tranche n3</t>
  </si>
  <si>
    <t>2025177321</t>
  </si>
  <si>
    <t>NB(498/2025)</t>
  </si>
  <si>
    <t>Kridi aek</t>
  </si>
  <si>
    <t>720 bt 8 n35</t>
  </si>
  <si>
    <t>2025177273</t>
  </si>
  <si>
    <t>NB(024/2026)</t>
  </si>
  <si>
    <t>Toumi f/zohra</t>
  </si>
  <si>
    <t>720 bt 13 n32</t>
  </si>
  <si>
    <t>NB(387/2025)</t>
  </si>
  <si>
    <t>Zaidi souhaib</t>
  </si>
  <si>
    <t>720 bt 17 n9</t>
  </si>
  <si>
    <t>2025177559</t>
  </si>
  <si>
    <t>Sahlaoui lyes</t>
  </si>
  <si>
    <t>720 bt 10 n31</t>
  </si>
  <si>
    <t>NB(556/2025)</t>
  </si>
  <si>
    <t>2025177330</t>
  </si>
  <si>
    <t>Belkahla rachid</t>
  </si>
  <si>
    <t>Djennane toubal bt A n15</t>
  </si>
  <si>
    <t>NB(755/2025)</t>
  </si>
  <si>
    <t>Fatmi aek</t>
  </si>
  <si>
    <t>720 bt 5 n3</t>
  </si>
  <si>
    <t>2025177272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</si>
</sst>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7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66685</xdr:colOff>
      <xdr:row>51</xdr:row>
      <xdr:rowOff>47625</xdr:rowOff>
    </xdr:from>
    <xdr:to>
      <xdr:col>7</xdr:col>
      <xdr:colOff>47625</xdr:colOff>
      <xdr:row>57</xdr:row>
      <xdr:rowOff>85725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57235" y="9934575"/>
          <a:ext cx="4448165" cy="1181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68"/>
  <sheetViews>
    <sheetView tabSelected="1" topLeftCell="A9" workbookViewId="0">
      <selection activeCell="H28" sqref="H2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4" t="s">
        <v>0</v>
      </c>
      <c r="B1" s="24"/>
      <c r="C1" s="2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5" t="s">
        <v>2</v>
      </c>
      <c r="B2" s="25"/>
      <c r="C2" s="25"/>
      <c r="D2" s="2"/>
      <c r="E2" s="5" t="s">
        <v>3</v>
      </c>
      <c r="F2" s="5"/>
      <c r="G2" s="3"/>
      <c r="H2" s="3"/>
      <c r="I2" s="22" t="s">
        <v>4</v>
      </c>
      <c r="J2" s="23"/>
      <c r="K2" s="6">
        <f>SUMIF(F7:F364,"Elimination*",G7:G364)</f>
        <v>0</v>
      </c>
    </row>
    <row r="3" spans="1:11" x14ac:dyDescent="0.25">
      <c r="A3" s="26" t="s">
        <v>5</v>
      </c>
      <c r="B3" s="26"/>
      <c r="C3" s="26"/>
      <c r="D3" s="5"/>
      <c r="E3" s="3" t="s">
        <v>6</v>
      </c>
      <c r="F3" s="3"/>
      <c r="G3" s="3"/>
      <c r="H3" s="3"/>
      <c r="I3" s="22" t="s">
        <v>7</v>
      </c>
      <c r="J3" s="23"/>
      <c r="K3" s="6">
        <f>SUMIF(F7:F364,"NB*",G7:G364)</f>
        <v>36</v>
      </c>
    </row>
    <row r="4" spans="1:11" ht="18" x14ac:dyDescent="0.25">
      <c r="A4" s="24" t="s">
        <v>8</v>
      </c>
      <c r="B4" s="24"/>
      <c r="C4" s="24"/>
      <c r="D4" s="24"/>
      <c r="E4" s="24"/>
      <c r="F4" s="24"/>
      <c r="G4" s="3"/>
      <c r="H4" s="3"/>
      <c r="I4" s="22" t="s">
        <v>9</v>
      </c>
      <c r="J4" s="23"/>
      <c r="K4" s="6">
        <f>SUMIF(F7:F364,"Ve*",G7:G364)</f>
        <v>0</v>
      </c>
    </row>
    <row r="5" spans="1:11" ht="15.75" x14ac:dyDescent="0.25">
      <c r="A5" s="21" t="s">
        <v>21</v>
      </c>
      <c r="B5" s="21"/>
      <c r="C5" s="21"/>
      <c r="D5" s="21"/>
      <c r="E5" s="21"/>
      <c r="F5" s="21"/>
      <c r="G5" s="7"/>
      <c r="H5" s="7"/>
      <c r="I5" s="22" t="s">
        <v>10</v>
      </c>
      <c r="J5" s="23"/>
      <c r="K5" s="8">
        <f>SUM(K2:K4)</f>
        <v>36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19</v>
      </c>
      <c r="C9" s="13" t="s">
        <v>18</v>
      </c>
      <c r="D9" s="13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3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2025177965</v>
      </c>
      <c r="E20" s="15">
        <v>46029</v>
      </c>
      <c r="F20" s="16" t="s">
        <v>51</v>
      </c>
      <c r="G20" s="17">
        <v>1</v>
      </c>
      <c r="H20" s="18" t="s">
        <v>52</v>
      </c>
      <c r="I20" s="20" t="s">
        <v>53</v>
      </c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2025177966</v>
      </c>
      <c r="E21" s="15">
        <v>46029</v>
      </c>
      <c r="F21" s="16" t="s">
        <v>50</v>
      </c>
      <c r="G21" s="17">
        <v>1</v>
      </c>
      <c r="H21" s="18" t="s">
        <v>48</v>
      </c>
      <c r="I21" s="20" t="s">
        <v>49</v>
      </c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2025177963</v>
      </c>
      <c r="E22" s="15">
        <v>46030</v>
      </c>
      <c r="F22" s="16" t="s">
        <v>122</v>
      </c>
      <c r="G22" s="17">
        <v>1</v>
      </c>
      <c r="H22" s="18" t="s">
        <v>123</v>
      </c>
      <c r="I22" s="20" t="s">
        <v>124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2025177964</v>
      </c>
      <c r="E23" s="15">
        <v>46030</v>
      </c>
      <c r="F23" s="16" t="s">
        <v>54</v>
      </c>
      <c r="G23" s="17">
        <v>1</v>
      </c>
      <c r="H23" s="18" t="s">
        <v>55</v>
      </c>
      <c r="I23" s="20" t="s">
        <v>56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61</v>
      </c>
      <c r="E24" s="15">
        <v>46033</v>
      </c>
      <c r="F24" s="16" t="s">
        <v>64</v>
      </c>
      <c r="G24" s="17">
        <v>1</v>
      </c>
      <c r="H24" s="18" t="s">
        <v>62</v>
      </c>
      <c r="I24" s="20" t="s">
        <v>63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57</v>
      </c>
      <c r="E25" s="15">
        <v>46033</v>
      </c>
      <c r="F25" s="16" t="s">
        <v>58</v>
      </c>
      <c r="G25" s="17">
        <v>1</v>
      </c>
      <c r="H25" s="18" t="s">
        <v>59</v>
      </c>
      <c r="I25" s="20" t="s">
        <v>60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65</v>
      </c>
      <c r="E26" s="15">
        <v>46033</v>
      </c>
      <c r="F26" s="16" t="s">
        <v>66</v>
      </c>
      <c r="G26" s="17">
        <v>1</v>
      </c>
      <c r="H26" s="18" t="s">
        <v>67</v>
      </c>
      <c r="I26" s="20" t="s">
        <v>68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69</v>
      </c>
      <c r="E27" s="15">
        <v>46033</v>
      </c>
      <c r="F27" s="16" t="s">
        <v>72</v>
      </c>
      <c r="G27" s="17">
        <v>1</v>
      </c>
      <c r="H27" s="18" t="s">
        <v>70</v>
      </c>
      <c r="I27" s="20" t="s">
        <v>71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135</v>
      </c>
      <c r="E28" s="15">
        <v>46035</v>
      </c>
      <c r="F28" s="16" t="s">
        <v>128</v>
      </c>
      <c r="G28" s="17">
        <v>1</v>
      </c>
      <c r="H28" s="4" t="s">
        <v>133</v>
      </c>
      <c r="I28" s="20" t="s">
        <v>134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118</v>
      </c>
      <c r="E29" s="15">
        <v>46035</v>
      </c>
      <c r="F29" s="16" t="s">
        <v>119</v>
      </c>
      <c r="G29" s="17">
        <v>1</v>
      </c>
      <c r="H29" s="4" t="s">
        <v>120</v>
      </c>
      <c r="I29" s="20" t="s">
        <v>121</v>
      </c>
      <c r="J29" s="20"/>
    </row>
    <row r="30" spans="1:10" ht="15" customHeight="1" x14ac:dyDescent="0.25">
      <c r="A30" s="12">
        <f t="shared" si="0"/>
        <v>24</v>
      </c>
      <c r="B30" s="15" t="s">
        <v>81</v>
      </c>
      <c r="C30" s="13" t="s">
        <v>18</v>
      </c>
      <c r="D30" s="14" t="s">
        <v>82</v>
      </c>
      <c r="E30" s="15">
        <v>46035</v>
      </c>
      <c r="F30" s="16" t="s">
        <v>85</v>
      </c>
      <c r="G30" s="17">
        <v>1</v>
      </c>
      <c r="H30" s="18" t="s">
        <v>83</v>
      </c>
      <c r="I30" s="20" t="s">
        <v>84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73</v>
      </c>
      <c r="E31" s="15">
        <v>46035</v>
      </c>
      <c r="F31" s="16" t="s">
        <v>74</v>
      </c>
      <c r="G31" s="17">
        <v>1</v>
      </c>
      <c r="H31" s="18" t="s">
        <v>75</v>
      </c>
      <c r="I31" s="20" t="s">
        <v>76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77</v>
      </c>
      <c r="E32" s="15">
        <v>46035</v>
      </c>
      <c r="F32" s="16" t="s">
        <v>78</v>
      </c>
      <c r="G32" s="17">
        <v>1</v>
      </c>
      <c r="H32" s="18" t="s">
        <v>79</v>
      </c>
      <c r="I32" s="20" t="s">
        <v>80</v>
      </c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111</v>
      </c>
      <c r="E33" s="15">
        <v>46036</v>
      </c>
      <c r="F33" s="16" t="s">
        <v>107</v>
      </c>
      <c r="G33" s="17">
        <v>1</v>
      </c>
      <c r="H33" s="4" t="s">
        <v>112</v>
      </c>
      <c r="I33" s="4" t="s">
        <v>113</v>
      </c>
      <c r="J33" s="4"/>
    </row>
    <row r="34" spans="1:10" ht="15" customHeight="1" x14ac:dyDescent="0.25">
      <c r="A34" s="12">
        <f t="shared" si="0"/>
        <v>28</v>
      </c>
      <c r="B34" s="15" t="s">
        <v>109</v>
      </c>
      <c r="C34" s="13" t="s">
        <v>18</v>
      </c>
      <c r="D34" s="14" t="s">
        <v>106</v>
      </c>
      <c r="E34" s="15">
        <v>46036</v>
      </c>
      <c r="F34" s="16" t="s">
        <v>107</v>
      </c>
      <c r="G34" s="17">
        <v>1</v>
      </c>
      <c r="H34" s="4" t="s">
        <v>108</v>
      </c>
      <c r="I34" s="20" t="s">
        <v>110</v>
      </c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96</v>
      </c>
      <c r="E35" s="15">
        <v>46036</v>
      </c>
      <c r="F35" s="16" t="s">
        <v>103</v>
      </c>
      <c r="G35" s="17">
        <v>1</v>
      </c>
      <c r="H35" s="4" t="s">
        <v>97</v>
      </c>
      <c r="I35" s="20" t="s">
        <v>98</v>
      </c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114</v>
      </c>
      <c r="E36" s="15">
        <v>46036</v>
      </c>
      <c r="F36" s="16" t="s">
        <v>115</v>
      </c>
      <c r="G36" s="17">
        <v>1</v>
      </c>
      <c r="H36" s="4" t="s">
        <v>116</v>
      </c>
      <c r="I36" s="20" t="s">
        <v>117</v>
      </c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90</v>
      </c>
      <c r="E37" s="15">
        <v>46036</v>
      </c>
      <c r="F37" s="16" t="s">
        <v>105</v>
      </c>
      <c r="G37" s="17">
        <v>1</v>
      </c>
      <c r="H37" s="4" t="s">
        <v>91</v>
      </c>
      <c r="I37" s="20" t="s">
        <v>92</v>
      </c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86</v>
      </c>
      <c r="E38" s="15">
        <v>46036</v>
      </c>
      <c r="F38" s="16" t="s">
        <v>87</v>
      </c>
      <c r="G38" s="17">
        <v>1</v>
      </c>
      <c r="H38" s="18" t="s">
        <v>88</v>
      </c>
      <c r="I38" s="20" t="s">
        <v>89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99</v>
      </c>
      <c r="E39" s="15">
        <v>46036</v>
      </c>
      <c r="F39" s="16" t="s">
        <v>102</v>
      </c>
      <c r="G39" s="17">
        <v>1</v>
      </c>
      <c r="H39" s="4" t="s">
        <v>100</v>
      </c>
      <c r="I39" s="20" t="s">
        <v>101</v>
      </c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93</v>
      </c>
      <c r="E40" s="15">
        <v>46036</v>
      </c>
      <c r="F40" s="16" t="s">
        <v>104</v>
      </c>
      <c r="G40" s="17">
        <v>1</v>
      </c>
      <c r="H40" s="18" t="s">
        <v>94</v>
      </c>
      <c r="I40" s="20" t="s">
        <v>95</v>
      </c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129</v>
      </c>
      <c r="E41" s="15">
        <v>46040</v>
      </c>
      <c r="F41" s="16" t="s">
        <v>132</v>
      </c>
      <c r="G41" s="17">
        <v>1</v>
      </c>
      <c r="H41" s="4" t="s">
        <v>130</v>
      </c>
      <c r="I41" s="20" t="s">
        <v>131</v>
      </c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125</v>
      </c>
      <c r="E42" s="15">
        <v>46040</v>
      </c>
      <c r="F42" s="16" t="s">
        <v>128</v>
      </c>
      <c r="G42" s="17">
        <v>1</v>
      </c>
      <c r="H42" s="4" t="s">
        <v>126</v>
      </c>
      <c r="I42" s="20" t="s">
        <v>127</v>
      </c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42">
    <sortCondition ref="E7:E42"/>
    <sortCondition ref="D7:D4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2025-11-09T12:55:48Z</cp:lastPrinted>
  <dcterms:created xsi:type="dcterms:W3CDTF">2019-01-07T07:24:45Z</dcterms:created>
  <dcterms:modified xsi:type="dcterms:W3CDTF">2026-01-18T13:45:47Z</dcterms:modified>
</cp:coreProperties>
</file>