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DE754BE8-8BC1-47A8-A1A5-06804B7AB7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" r:id="rId1"/>
  </sheets>
  <definedNames>
    <definedName name="_xlnm.Print_Titles" localSheetId="0">'Janvier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<sst xmlns="http://schemas.openxmlformats.org/spreadsheetml/2006/main" count="45" uniqueCount="37">
  <si>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</si>
  <si>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</si>
  <si>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</si>
  <si>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</si>
  <si>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</si>
  <si>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</si>
  <si>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</si>
  <si>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</si>
  <si>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</si>
  <si>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</si>
  <si>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</si>
  <si>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</si>
  <si>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</si>
  <si>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</si>
  <si>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</si>
  <si>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</si>
  <si>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</si>
  <si>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</si>
  <si>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</si>
  <si>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</si>
  <si>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</si>
  <si>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</si>
  <si>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</si>
  <si>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</si>
  <si>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</si>
  <si>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720 bl 11 n)18</t>
  </si>
  <si>
    <t>emir aek</t>
  </si>
  <si>
    <t>NB(363/2025)</t>
  </si>
  <si>
    <t>Ahmed messoud ali</t>
  </si>
  <si>
    <t>720 bl 1 n)7</t>
  </si>
  <si>
    <t>NB(740/2025)</t>
  </si>
  <si>
    <t>Rais mouloud</t>
  </si>
  <si>
    <t>720 bl 2 n)38</t>
  </si>
  <si>
    <t>NB(723/2025)</t>
  </si>
  <si>
    <t>Djouablia nawal</t>
  </si>
  <si>
    <t>720 bl 3 n)23</t>
  </si>
  <si>
    <t>NB(737/2025)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</si>
</sst>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7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19</xdr:row>
      <xdr:rowOff>19050</xdr:rowOff>
    </xdr:from>
    <xdr:to>
      <xdr:col>5</xdr:col>
      <xdr:colOff>1190625</xdr:colOff>
      <xdr:row>46</xdr:row>
      <xdr:rowOff>9525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10" y="3810000"/>
          <a:ext cx="4419590" cy="5133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68"/>
  <sheetViews>
    <sheetView tabSelected="1" workbookViewId="0">
      <selection activeCell="J18" sqref="J1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4" t="s">
        <v>0</v>
      </c>
      <c r="B1" s="24"/>
      <c r="C1" s="2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5" t="s">
        <v>2</v>
      </c>
      <c r="B2" s="25"/>
      <c r="C2" s="25"/>
      <c r="D2" s="2"/>
      <c r="E2" s="5" t="s">
        <v>3</v>
      </c>
      <c r="F2" s="5"/>
      <c r="G2" s="3"/>
      <c r="H2" s="3"/>
      <c r="I2" s="22" t="s">
        <v>4</v>
      </c>
      <c r="J2" s="23"/>
      <c r="K2" s="6">
        <f>SUMIF(F7:F364,"Elimination*",G7:G364)</f>
        <v>0</v>
      </c>
    </row>
    <row r="3" spans="1:11" x14ac:dyDescent="0.25">
      <c r="A3" s="26" t="s">
        <v>5</v>
      </c>
      <c r="B3" s="26"/>
      <c r="C3" s="26"/>
      <c r="D3" s="5"/>
      <c r="E3" s="3" t="s">
        <v>6</v>
      </c>
      <c r="F3" s="3"/>
      <c r="G3" s="3"/>
      <c r="H3" s="3"/>
      <c r="I3" s="22" t="s">
        <v>7</v>
      </c>
      <c r="J3" s="23"/>
      <c r="K3" s="6">
        <f>SUMIF(F7:F364,"NB*",G7:G364)</f>
        <v>5</v>
      </c>
    </row>
    <row r="4" spans="1:11" ht="18" x14ac:dyDescent="0.25">
      <c r="A4" s="24" t="s">
        <v>8</v>
      </c>
      <c r="B4" s="24"/>
      <c r="C4" s="24"/>
      <c r="D4" s="24"/>
      <c r="E4" s="24"/>
      <c r="F4" s="24"/>
      <c r="G4" s="3"/>
      <c r="H4" s="3"/>
      <c r="I4" s="22" t="s">
        <v>9</v>
      </c>
      <c r="J4" s="23"/>
      <c r="K4" s="6">
        <f>SUMIF(F7:F364,"Ve*",G7:G364)</f>
        <v>0</v>
      </c>
    </row>
    <row r="5" spans="1:11" ht="15.75" x14ac:dyDescent="0.25">
      <c r="A5" s="21" t="s">
        <v>21</v>
      </c>
      <c r="B5" s="21"/>
      <c r="C5" s="21"/>
      <c r="D5" s="21"/>
      <c r="E5" s="21"/>
      <c r="F5" s="21"/>
      <c r="G5" s="7"/>
      <c r="H5" s="7"/>
      <c r="I5" s="22" t="s">
        <v>10</v>
      </c>
      <c r="J5" s="23"/>
      <c r="K5" s="8">
        <f>SUM(K2:K4)</f>
        <v>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2025177952</v>
      </c>
      <c r="E7" s="15">
        <v>46026</v>
      </c>
      <c r="F7" s="16" t="s">
        <v>23</v>
      </c>
      <c r="G7" s="17">
        <v>1</v>
      </c>
      <c r="H7" s="18" t="s">
        <v>22</v>
      </c>
      <c r="I7" s="20" t="s">
        <v>25</v>
      </c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2025177957</v>
      </c>
      <c r="E8" s="15">
        <v>46026</v>
      </c>
      <c r="F8" s="16" t="s">
        <v>27</v>
      </c>
      <c r="G8" s="17">
        <v>1</v>
      </c>
      <c r="H8" s="18" t="s">
        <v>24</v>
      </c>
      <c r="I8" s="20" t="s">
        <v>26</v>
      </c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19</v>
      </c>
      <c r="C9" s="13" t="s">
        <v>18</v>
      </c>
      <c r="D9" s="13">
        <v>2025177958</v>
      </c>
      <c r="E9" s="15">
        <v>46026</v>
      </c>
      <c r="F9" s="16" t="s">
        <v>33</v>
      </c>
      <c r="G9" s="17">
        <v>1</v>
      </c>
      <c r="H9" s="18" t="s">
        <v>31</v>
      </c>
      <c r="I9" s="20" t="s">
        <v>32</v>
      </c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2025177959</v>
      </c>
      <c r="E10" s="15">
        <v>46026</v>
      </c>
      <c r="F10" s="16" t="s">
        <v>30</v>
      </c>
      <c r="G10" s="17">
        <v>1</v>
      </c>
      <c r="H10" s="18" t="s">
        <v>28</v>
      </c>
      <c r="I10" s="20" t="s">
        <v>29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3">
        <v>2025177960</v>
      </c>
      <c r="E11" s="15">
        <v>46026</v>
      </c>
      <c r="F11" s="16" t="s">
        <v>36</v>
      </c>
      <c r="G11" s="17">
        <v>1</v>
      </c>
      <c r="H11" s="18" t="s">
        <v>34</v>
      </c>
      <c r="I11" s="20" t="s">
        <v>35</v>
      </c>
      <c r="J11" s="20"/>
      <c r="K11" s="4"/>
    </row>
    <row r="12" spans="1:11" ht="15" customHeight="1" x14ac:dyDescent="0.25">
      <c r="A12" s="12">
        <f t="shared" si="0"/>
        <v>6</v>
      </c>
      <c r="B12" s="13"/>
      <c r="C12" s="13"/>
      <c r="D12" s="13"/>
      <c r="E12" s="15"/>
      <c r="F12" s="16"/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/>
      <c r="C13" s="13"/>
      <c r="D13" s="13"/>
      <c r="E13" s="15"/>
      <c r="F13" s="16"/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/>
      <c r="C14" s="13"/>
      <c r="D14" s="13"/>
      <c r="E14" s="15"/>
      <c r="F14" s="16"/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/>
      <c r="C15" s="13"/>
      <c r="D15" s="13"/>
      <c r="E15" s="15"/>
      <c r="F15" s="16"/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/>
      <c r="C16" s="13"/>
      <c r="D16" s="13"/>
      <c r="E16" s="15"/>
      <c r="F16" s="16"/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/>
      <c r="C17" s="13"/>
      <c r="D17" s="13"/>
      <c r="E17" s="15"/>
      <c r="F17" s="16"/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5"/>
      <c r="C18" s="13"/>
      <c r="D18" s="13"/>
      <c r="E18" s="15"/>
      <c r="F18" s="16"/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/>
      <c r="C19" s="13"/>
      <c r="D19" s="13"/>
      <c r="E19" s="15"/>
      <c r="F19" s="16"/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4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5"/>
      <c r="C21" s="13"/>
      <c r="D21" s="14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4"/>
      <c r="E22" s="15"/>
      <c r="F22" s="16"/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/>
      <c r="C23" s="13"/>
      <c r="D23" s="14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4"/>
      <c r="E24" s="15"/>
      <c r="F24" s="16"/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/>
      <c r="C25" s="13"/>
      <c r="D25" s="14"/>
      <c r="E25" s="15"/>
      <c r="F25" s="16"/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/>
      <c r="C26" s="13"/>
      <c r="D26" s="14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/>
      <c r="C27" s="13"/>
      <c r="D27" s="14"/>
      <c r="E27" s="15"/>
      <c r="F27" s="16"/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/>
      <c r="C28" s="13"/>
      <c r="D28" s="14"/>
      <c r="E28" s="15"/>
      <c r="F28" s="16"/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/>
      <c r="C29" s="13"/>
      <c r="D29" s="14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/>
      <c r="C31" s="13"/>
      <c r="D31" s="14"/>
      <c r="E31" s="15"/>
      <c r="F31" s="16"/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4"/>
      <c r="E32" s="15"/>
      <c r="F32" s="16"/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11">
    <sortCondition ref="E7:E11"/>
    <sortCondition ref="D7:D1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Janvier 2026</vt:lpstr>
      <vt:lpstr>'Janvier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2025-11-09T12:55:48Z</cp:lastPrinted>
  <dcterms:created xsi:type="dcterms:W3CDTF">2019-01-07T07:24:45Z</dcterms:created>
  <dcterms:modified xsi:type="dcterms:W3CDTF">2026-01-04T12:16:28Z</dcterms:modified>
</cp:coreProperties>
</file>