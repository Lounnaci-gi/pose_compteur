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7341F62E-7993-4886-8D17-B731B7642B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" r:id="rId1"/>
  </sheets>
  <definedNames>
    <definedName name="_xlnm.Print_Titles" localSheetId="0">'Janvier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<sst xmlns="http://schemas.openxmlformats.org/spreadsheetml/2006/main" count="366" uniqueCount="227">
  <si>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</si>
  <si>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</si>
  <si>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</si>
  <si>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</si>
  <si>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</si>
  <si>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</si>
  <si>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</si>
  <si>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</si>
  <si>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</si>
  <si>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</si>
  <si>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</si>
  <si>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</si>
  <si>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</si>
  <si>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</si>
  <si>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</si>
  <si>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</si>
  <si>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</si>
  <si>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</si>
  <si>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</si>
  <si>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</si>
  <si>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</si>
  <si>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</si>
  <si>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</si>
  <si>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</si>
  <si>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</si>
  <si>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</si>
  <si>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</si>
  <si>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</si>
  <si>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</si>
  <si>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</si>
  <si>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</si>
  <si>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</si>
  <si>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</si>
  <si>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</si>
  <si>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</si>
  <si>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</si>
  <si>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</si>
  <si>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</si>
  <si>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</si>
  <si>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</si>
  <si>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</si>
  <si>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</si>
  <si>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</si>
  <si>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</si>
  <si>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</si>
  <si>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</si>
  <si>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</si>
  <si>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</si>
  <si>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</si>
  <si>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</si>
  <si>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</si>
  <si>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</si>
  <si>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</si>
  <si>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</si>
  <si>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</si>
  <si>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</si>
  <si>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</si>
  <si>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</si>
  <si>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</si>
  <si>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</si>
  <si>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</si>
  <si>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</si>
  <si>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</si>
  <si>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</si>
  <si>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</si>
  <si>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</si>
  <si>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</si>
  <si>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</si>
  <si>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</si>
  <si>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720 bt 1 n30</t>
  </si>
  <si>
    <t>2025177280</t>
  </si>
  <si>
    <t>NB(623/2025)</t>
  </si>
  <si>
    <t>Ziane halima</t>
  </si>
  <si>
    <t>720 bt 16 n21</t>
  </si>
  <si>
    <t>B4</t>
  </si>
  <si>
    <t>2025177278</t>
  </si>
  <si>
    <t>Bouguessa youcef</t>
  </si>
  <si>
    <t>Ain omrane</t>
  </si>
  <si>
    <t>NB(659/2025)</t>
  </si>
  <si>
    <t>2025177324</t>
  </si>
  <si>
    <t>NB(002/2026)</t>
  </si>
  <si>
    <t>Reguieg chakib</t>
  </si>
  <si>
    <t>720 bt 1 n29</t>
  </si>
  <si>
    <t>2025177322</t>
  </si>
  <si>
    <t>Bedoui ines</t>
  </si>
  <si>
    <t>720 bt 8 n22</t>
  </si>
  <si>
    <t>Aouiche rabah</t>
  </si>
  <si>
    <t>720 bt 17 n8</t>
  </si>
  <si>
    <t>2025177275</t>
  </si>
  <si>
    <t>Kouidri benyouef</t>
  </si>
  <si>
    <t>720 bt 1 n11</t>
  </si>
  <si>
    <t>2025177325</t>
  </si>
  <si>
    <t>Boubakeur abdellah</t>
  </si>
  <si>
    <t>720 bt 16 n17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</si>
  <si>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</si>
  <si>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</si>
  <si>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</si>
  <si>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</si>
  <si>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</si>
  <si>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</si>
  <si>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</si>
  <si>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</si>
  <si>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Cité hantabli</t>
  </si>
  <si>
    <t>2025177271</t>
  </si>
  <si>
    <t>Lassar tayeb</t>
  </si>
  <si>
    <t>1ere tranche n3</t>
  </si>
  <si>
    <t>2025177321</t>
  </si>
  <si>
    <t>NB(498/2025)</t>
  </si>
  <si>
    <t>Kridi aek</t>
  </si>
  <si>
    <t>720 bt 8 n35</t>
  </si>
  <si>
    <t>2025177273</t>
  </si>
  <si>
    <t>NB(024/2026)</t>
  </si>
  <si>
    <t>Toumi f/zohra</t>
  </si>
  <si>
    <t>720 bt 13 n32</t>
  </si>
  <si>
    <t>NB(387/2025)</t>
  </si>
  <si>
    <t>Zaidi souhaib</t>
  </si>
  <si>
    <t>2025177559</t>
  </si>
  <si>
    <t>Sahlaoui lyes</t>
  </si>
  <si>
    <t>720 bt 10 n31</t>
  </si>
  <si>
    <t>NB(556/2025)</t>
  </si>
  <si>
    <t>2025177330</t>
  </si>
  <si>
    <t>Belkahla rachid</t>
  </si>
  <si>
    <t>Djennane toubal bt A n15</t>
  </si>
  <si>
    <t>NB(755/2025)</t>
  </si>
  <si>
    <t>Fatmi aek</t>
  </si>
  <si>
    <t>720 bt 5 n3</t>
  </si>
  <si>
    <t>2025177272</t>
  </si>
  <si>
    <t>2025177831</t>
  </si>
  <si>
    <t>NB(701/2025)</t>
  </si>
  <si>
    <t>Khelifa rabah</t>
  </si>
  <si>
    <t>2025177554</t>
  </si>
  <si>
    <t>Rahmani ali</t>
  </si>
  <si>
    <t>720 bt 2 n7</t>
  </si>
  <si>
    <t>NB(003/2026)</t>
  </si>
  <si>
    <t>2025177553</t>
  </si>
  <si>
    <t>NB(298/2025)</t>
  </si>
  <si>
    <t>Maadadi ismail</t>
  </si>
  <si>
    <t>Djennane toubal n682</t>
  </si>
  <si>
    <t>2025177863</t>
  </si>
  <si>
    <t>NB(009/2026)</t>
  </si>
  <si>
    <t>Metidji billel</t>
  </si>
  <si>
    <t>720 bt 2 n32</t>
  </si>
  <si>
    <t>2025177560</t>
  </si>
  <si>
    <t>Benalal ibrahim</t>
  </si>
  <si>
    <t>720 bt 1 n14</t>
  </si>
  <si>
    <t>NB(031/2026)</t>
  </si>
  <si>
    <t>2025177861</t>
  </si>
  <si>
    <t>NB(015/2026)</t>
  </si>
  <si>
    <t>Mehnaoui aek</t>
  </si>
  <si>
    <t>720 bt 9 n4</t>
  </si>
  <si>
    <t>2025177862</t>
  </si>
  <si>
    <t>Bensedgua kamel</t>
  </si>
  <si>
    <t>720 bt 10 n24</t>
  </si>
  <si>
    <t>NB(029/2026)</t>
  </si>
  <si>
    <t>2025177551</t>
  </si>
  <si>
    <t>NB(013/2026)</t>
  </si>
  <si>
    <t>Boulariah med</t>
  </si>
  <si>
    <t>720 bt 1 n22</t>
  </si>
  <si>
    <t>2025177556</t>
  </si>
  <si>
    <t>Belkhir nassira</t>
  </si>
  <si>
    <t>720 bt 17 n20</t>
  </si>
  <si>
    <t>NB(027/2026)</t>
  </si>
  <si>
    <t>2025177557</t>
  </si>
  <si>
    <t>Sabour abdelhafid</t>
  </si>
  <si>
    <t>720 bt 18 n25</t>
  </si>
  <si>
    <t>NB(033/2026)</t>
  </si>
  <si>
    <t>Boubakri fahima</t>
  </si>
  <si>
    <t>720 bt 16 n18</t>
  </si>
  <si>
    <t>2025177866</t>
  </si>
  <si>
    <t>Abdallah nacer</t>
  </si>
  <si>
    <t>720 bt 1 n33</t>
  </si>
  <si>
    <t>NB(008/2026)</t>
  </si>
  <si>
    <t>2025177323</t>
  </si>
  <si>
    <t>2025177865</t>
  </si>
  <si>
    <t>NB(484/2025)</t>
  </si>
  <si>
    <t>Zerrouki zerrouk</t>
  </si>
  <si>
    <t>720 bt 16 n7</t>
  </si>
  <si>
    <t>2025177867</t>
  </si>
  <si>
    <t>Alouaoui a/rahmane</t>
  </si>
  <si>
    <t>720 bt 12 n17</t>
  </si>
  <si>
    <t>NB(028/2026)</t>
  </si>
  <si>
    <t>Makhloufi aek</t>
  </si>
  <si>
    <t>720 bt 1 n4</t>
  </si>
  <si>
    <t>2025177869</t>
  </si>
  <si>
    <t>NB(030/2026)</t>
  </si>
  <si>
    <t>2025177864</t>
  </si>
  <si>
    <t>2025177868</t>
  </si>
  <si>
    <t>Benammar hichem</t>
  </si>
  <si>
    <t>720 bt 16 n34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</si>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</sst>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381010</xdr:colOff>
      <xdr:row>76</xdr:row>
      <xdr:rowOff>28575</xdr:rowOff>
    </xdr:from>
    <xdr:to>
      <xdr:col>5</xdr:col>
      <xdr:colOff>1200150</xdr:colOff>
      <xdr:row>80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971560" y="14678025"/>
          <a:ext cx="4067165" cy="733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89"/>
  <sheetViews>
    <sheetView tabSelected="1" topLeftCell="A42" zoomScaleNormal="100" workbookViewId="0">
      <selection activeCell="I68" sqref="I6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4" t="s">
        <v>0</v>
      </c>
      <c r="B1" s="24"/>
      <c r="C1" s="2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5" t="s">
        <v>2</v>
      </c>
      <c r="B2" s="25"/>
      <c r="C2" s="25"/>
      <c r="D2" s="2"/>
      <c r="E2" s="5" t="s">
        <v>3</v>
      </c>
      <c r="F2" s="5"/>
      <c r="G2" s="3"/>
      <c r="H2" s="3"/>
      <c r="I2" s="22" t="s">
        <v>4</v>
      </c>
      <c r="J2" s="23"/>
      <c r="K2" s="6">
        <f>SUMIF(F7:F364,"Elimination*",G7:G364)</f>
        <v>18</v>
      </c>
    </row>
    <row r="3" spans="1:11" x14ac:dyDescent="0.25">
      <c r="A3" s="26" t="s">
        <v>5</v>
      </c>
      <c r="B3" s="26"/>
      <c r="C3" s="26"/>
      <c r="D3" s="5"/>
      <c r="E3" s="3" t="s">
        <v>6</v>
      </c>
      <c r="F3" s="3"/>
      <c r="G3" s="3"/>
      <c r="H3" s="3"/>
      <c r="I3" s="22" t="s">
        <v>7</v>
      </c>
      <c r="J3" s="23"/>
      <c r="K3" s="6">
        <f>SUMIF(F7:F364,"NB*",G7:G364)</f>
        <v>52</v>
      </c>
    </row>
    <row r="4" spans="1:11" ht="18" x14ac:dyDescent="0.25">
      <c r="A4" s="24" t="s">
        <v>8</v>
      </c>
      <c r="B4" s="24"/>
      <c r="C4" s="24"/>
      <c r="D4" s="24"/>
      <c r="E4" s="24"/>
      <c r="F4" s="24"/>
      <c r="G4" s="3"/>
      <c r="H4" s="3"/>
      <c r="I4" s="22" t="s">
        <v>9</v>
      </c>
      <c r="J4" s="23"/>
      <c r="K4" s="6">
        <f>SUMIF(F7:F364,"Ve*",G7:G364)</f>
        <v>0</v>
      </c>
    </row>
    <row r="5" spans="1:11" ht="15.75" x14ac:dyDescent="0.25">
      <c r="A5" s="21" t="s">
        <v>21</v>
      </c>
      <c r="B5" s="21"/>
      <c r="C5" s="21"/>
      <c r="D5" s="21"/>
      <c r="E5" s="21"/>
      <c r="F5" s="21"/>
      <c r="G5" s="7"/>
      <c r="H5" s="7"/>
      <c r="I5" s="22" t="s">
        <v>10</v>
      </c>
      <c r="J5" s="23"/>
      <c r="K5" s="8">
        <f>SUM(K2:K4)</f>
        <v>70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3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2025177963</v>
      </c>
      <c r="E22" s="15">
        <v>46030</v>
      </c>
      <c r="F22" s="16" t="s">
        <v>114</v>
      </c>
      <c r="G22" s="17">
        <v>1</v>
      </c>
      <c r="H22" s="18" t="s">
        <v>115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126</v>
      </c>
      <c r="E28" s="15">
        <v>46035</v>
      </c>
      <c r="F28" s="16" t="s">
        <v>119</v>
      </c>
      <c r="G28" s="17">
        <v>1</v>
      </c>
      <c r="H28" s="4" t="s">
        <v>124</v>
      </c>
      <c r="I28" s="20" t="s">
        <v>125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110</v>
      </c>
      <c r="E29" s="15">
        <v>46035</v>
      </c>
      <c r="F29" s="16" t="s">
        <v>111</v>
      </c>
      <c r="G29" s="17">
        <v>1</v>
      </c>
      <c r="H29" s="4" t="s">
        <v>112</v>
      </c>
      <c r="I29" s="20" t="s">
        <v>113</v>
      </c>
      <c r="J29" s="20"/>
    </row>
    <row r="30" spans="1:10" ht="15" customHeight="1" x14ac:dyDescent="0.25">
      <c r="A30" s="12">
        <f t="shared" si="0"/>
        <v>24</v>
      </c>
      <c r="B30" s="15" t="s">
        <v>74</v>
      </c>
      <c r="C30" s="13" t="s">
        <v>18</v>
      </c>
      <c r="D30" s="14" t="s">
        <v>75</v>
      </c>
      <c r="E30" s="15">
        <v>46035</v>
      </c>
      <c r="F30" s="16" t="s">
        <v>78</v>
      </c>
      <c r="G30" s="17">
        <v>1</v>
      </c>
      <c r="H30" s="18" t="s">
        <v>76</v>
      </c>
      <c r="I30" s="20" t="s">
        <v>77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 t="s">
        <v>69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70</v>
      </c>
      <c r="E32" s="15">
        <v>46035</v>
      </c>
      <c r="F32" s="16" t="s">
        <v>71</v>
      </c>
      <c r="G32" s="17">
        <v>1</v>
      </c>
      <c r="H32" s="18" t="s">
        <v>72</v>
      </c>
      <c r="I32" s="20" t="s">
        <v>73</v>
      </c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103</v>
      </c>
      <c r="E33" s="15">
        <v>46036</v>
      </c>
      <c r="F33" s="16" t="s">
        <v>99</v>
      </c>
      <c r="G33" s="17">
        <v>1</v>
      </c>
      <c r="H33" s="4" t="s">
        <v>104</v>
      </c>
      <c r="I33" s="4" t="s">
        <v>105</v>
      </c>
      <c r="J33" s="4"/>
    </row>
    <row r="34" spans="1:10" ht="15" customHeight="1" x14ac:dyDescent="0.25">
      <c r="A34" s="12">
        <f t="shared" si="0"/>
        <v>28</v>
      </c>
      <c r="B34" s="15" t="s">
        <v>101</v>
      </c>
      <c r="C34" s="13" t="s">
        <v>18</v>
      </c>
      <c r="D34" s="14" t="s">
        <v>98</v>
      </c>
      <c r="E34" s="15">
        <v>46036</v>
      </c>
      <c r="F34" s="16" t="s">
        <v>99</v>
      </c>
      <c r="G34" s="17">
        <v>1</v>
      </c>
      <c r="H34" s="4" t="s">
        <v>100</v>
      </c>
      <c r="I34" s="20" t="s">
        <v>102</v>
      </c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88</v>
      </c>
      <c r="E35" s="15">
        <v>46036</v>
      </c>
      <c r="F35" s="16" t="s">
        <v>95</v>
      </c>
      <c r="G35" s="17">
        <v>1</v>
      </c>
      <c r="H35" s="4" t="s">
        <v>89</v>
      </c>
      <c r="I35" s="20" t="s">
        <v>90</v>
      </c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106</v>
      </c>
      <c r="E36" s="15">
        <v>46036</v>
      </c>
      <c r="F36" s="16" t="s">
        <v>107</v>
      </c>
      <c r="G36" s="17">
        <v>1</v>
      </c>
      <c r="H36" s="4" t="s">
        <v>108</v>
      </c>
      <c r="I36" s="20" t="s">
        <v>109</v>
      </c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83</v>
      </c>
      <c r="E37" s="15">
        <v>46036</v>
      </c>
      <c r="F37" s="16" t="s">
        <v>97</v>
      </c>
      <c r="G37" s="17">
        <v>1</v>
      </c>
      <c r="H37" s="4" t="s">
        <v>84</v>
      </c>
      <c r="I37" s="20" t="s">
        <v>85</v>
      </c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172</v>
      </c>
      <c r="E38" s="15">
        <v>46036</v>
      </c>
      <c r="F38" s="16" t="s">
        <v>96</v>
      </c>
      <c r="G38" s="17">
        <v>1</v>
      </c>
      <c r="H38" s="18" t="s">
        <v>86</v>
      </c>
      <c r="I38" s="20" t="s">
        <v>87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79</v>
      </c>
      <c r="E39" s="15">
        <v>46036</v>
      </c>
      <c r="F39" s="16" t="s">
        <v>80</v>
      </c>
      <c r="G39" s="17">
        <v>1</v>
      </c>
      <c r="H39" s="18" t="s">
        <v>81</v>
      </c>
      <c r="I39" s="20" t="s">
        <v>82</v>
      </c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91</v>
      </c>
      <c r="E40" s="15">
        <v>46036</v>
      </c>
      <c r="F40" s="16" t="s">
        <v>94</v>
      </c>
      <c r="G40" s="17">
        <v>1</v>
      </c>
      <c r="H40" s="4" t="s">
        <v>92</v>
      </c>
      <c r="I40" s="20" t="s">
        <v>93</v>
      </c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120</v>
      </c>
      <c r="E41" s="15">
        <v>46040</v>
      </c>
      <c r="F41" s="16" t="s">
        <v>123</v>
      </c>
      <c r="G41" s="17">
        <v>1</v>
      </c>
      <c r="H41" s="4" t="s">
        <v>121</v>
      </c>
      <c r="I41" s="20" t="s">
        <v>122</v>
      </c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116</v>
      </c>
      <c r="E42" s="15">
        <v>46040</v>
      </c>
      <c r="F42" s="16" t="s">
        <v>119</v>
      </c>
      <c r="G42" s="17">
        <v>1</v>
      </c>
      <c r="H42" s="4" t="s">
        <v>117</v>
      </c>
      <c r="I42" s="20" t="s">
        <v>118</v>
      </c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130</v>
      </c>
      <c r="E43" s="15">
        <v>46041</v>
      </c>
      <c r="F43" s="16" t="s">
        <v>133</v>
      </c>
      <c r="G43" s="17">
        <v>1</v>
      </c>
      <c r="H43" s="4" t="s">
        <v>131</v>
      </c>
      <c r="I43" s="20" t="s">
        <v>132</v>
      </c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127</v>
      </c>
      <c r="E44" s="15">
        <v>46041</v>
      </c>
      <c r="F44" s="16" t="s">
        <v>128</v>
      </c>
      <c r="G44" s="17">
        <v>1</v>
      </c>
      <c r="H44" s="4" t="s">
        <v>129</v>
      </c>
      <c r="I44" s="20" t="s">
        <v>102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134</v>
      </c>
      <c r="E45" s="15">
        <v>46042</v>
      </c>
      <c r="F45" s="16" t="s">
        <v>135</v>
      </c>
      <c r="G45" s="17">
        <v>1</v>
      </c>
      <c r="H45" s="4" t="s">
        <v>136</v>
      </c>
      <c r="I45" s="20" t="s">
        <v>137</v>
      </c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154</v>
      </c>
      <c r="E46" s="15">
        <v>46043</v>
      </c>
      <c r="F46" s="16" t="s">
        <v>155</v>
      </c>
      <c r="G46" s="17">
        <v>1</v>
      </c>
      <c r="H46" s="4" t="s">
        <v>156</v>
      </c>
      <c r="I46" s="20" t="s">
        <v>157</v>
      </c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158</v>
      </c>
      <c r="E47" s="15">
        <v>46043</v>
      </c>
      <c r="F47" s="16" t="s">
        <v>161</v>
      </c>
      <c r="G47" s="17">
        <v>1</v>
      </c>
      <c r="H47" s="4" t="s">
        <v>159</v>
      </c>
      <c r="I47" s="20" t="s">
        <v>160</v>
      </c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162</v>
      </c>
      <c r="E48" s="15">
        <v>46043</v>
      </c>
      <c r="F48" s="16" t="s">
        <v>165</v>
      </c>
      <c r="G48" s="17">
        <v>1</v>
      </c>
      <c r="H48" s="4" t="s">
        <v>163</v>
      </c>
      <c r="I48" s="20" t="s">
        <v>164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142</v>
      </c>
      <c r="E49" s="15">
        <v>46044</v>
      </c>
      <c r="F49" s="16" t="s">
        <v>145</v>
      </c>
      <c r="G49" s="17">
        <v>1</v>
      </c>
      <c r="H49" s="4" t="s">
        <v>143</v>
      </c>
      <c r="I49" s="20" t="s">
        <v>144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146</v>
      </c>
      <c r="E50" s="15">
        <v>46044</v>
      </c>
      <c r="F50" s="16" t="s">
        <v>147</v>
      </c>
      <c r="G50" s="17">
        <v>1</v>
      </c>
      <c r="H50" s="4" t="s">
        <v>148</v>
      </c>
      <c r="I50" s="20" t="s">
        <v>149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150</v>
      </c>
      <c r="E51" s="15">
        <v>46044</v>
      </c>
      <c r="F51" s="16" t="s">
        <v>153</v>
      </c>
      <c r="G51" s="17">
        <v>1</v>
      </c>
      <c r="H51" s="4" t="s">
        <v>151</v>
      </c>
      <c r="I51" s="20" t="s">
        <v>152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138</v>
      </c>
      <c r="E52" s="15">
        <v>46044</v>
      </c>
      <c r="F52" s="16" t="s">
        <v>139</v>
      </c>
      <c r="G52" s="17">
        <v>1</v>
      </c>
      <c r="H52" s="4" t="s">
        <v>140</v>
      </c>
      <c r="I52" s="20" t="s">
        <v>141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185</v>
      </c>
      <c r="E53" s="15">
        <v>46044</v>
      </c>
      <c r="F53" s="16" t="s">
        <v>153</v>
      </c>
      <c r="G53" s="17">
        <v>1</v>
      </c>
      <c r="H53" s="4" t="s">
        <v>166</v>
      </c>
      <c r="I53" s="20" t="s">
        <v>167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173</v>
      </c>
      <c r="E54" s="15">
        <v>46044</v>
      </c>
      <c r="F54" s="16" t="s">
        <v>174</v>
      </c>
      <c r="G54" s="17">
        <v>1</v>
      </c>
      <c r="H54" s="4" t="s">
        <v>175</v>
      </c>
      <c r="I54" s="20" t="s">
        <v>176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168</v>
      </c>
      <c r="E55" s="15">
        <v>46044</v>
      </c>
      <c r="F55" s="16" t="s">
        <v>171</v>
      </c>
      <c r="G55" s="17">
        <v>1</v>
      </c>
      <c r="H55" s="4" t="s">
        <v>169</v>
      </c>
      <c r="I55" s="20" t="s">
        <v>170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177</v>
      </c>
      <c r="E56" s="15">
        <v>46044</v>
      </c>
      <c r="F56" s="16" t="s">
        <v>180</v>
      </c>
      <c r="G56" s="17">
        <v>1</v>
      </c>
      <c r="H56" s="4" t="s">
        <v>178</v>
      </c>
      <c r="I56" s="20" t="s">
        <v>179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186</v>
      </c>
      <c r="E57" s="15">
        <v>46047</v>
      </c>
      <c r="F57" s="16" t="s">
        <v>189</v>
      </c>
      <c r="G57" s="17">
        <v>1</v>
      </c>
      <c r="H57" s="4" t="s">
        <v>187</v>
      </c>
      <c r="I57" s="20" t="s">
        <v>188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183</v>
      </c>
      <c r="E58" s="15">
        <v>46047</v>
      </c>
      <c r="F58" s="16" t="s">
        <v>184</v>
      </c>
      <c r="G58" s="17">
        <v>1</v>
      </c>
      <c r="H58" s="4" t="s">
        <v>181</v>
      </c>
      <c r="I58" s="20" t="s">
        <v>182</v>
      </c>
    </row>
    <row r="59" spans="1:9" x14ac:dyDescent="0.25">
      <c r="A59" s="12">
        <f t="shared" si="0"/>
        <v>53</v>
      </c>
      <c r="B59" s="15" t="s">
        <v>199</v>
      </c>
      <c r="C59" s="13" t="s">
        <v>18</v>
      </c>
      <c r="D59" s="14" t="s">
        <v>200</v>
      </c>
      <c r="E59" s="15">
        <v>46050</v>
      </c>
      <c r="F59" s="16" t="s">
        <v>192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198</v>
      </c>
      <c r="C60" s="13" t="s">
        <v>18</v>
      </c>
      <c r="D60" s="14" t="s">
        <v>197</v>
      </c>
      <c r="E60" s="15">
        <v>46050</v>
      </c>
      <c r="F60" s="16" t="s">
        <v>192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195</v>
      </c>
      <c r="C61" s="13" t="s">
        <v>18</v>
      </c>
      <c r="D61" s="14" t="s">
        <v>196</v>
      </c>
      <c r="E61" s="15">
        <v>46050</v>
      </c>
      <c r="F61" s="16" t="s">
        <v>192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190</v>
      </c>
      <c r="C62" s="13" t="s">
        <v>18</v>
      </c>
      <c r="D62" s="14" t="s">
        <v>191</v>
      </c>
      <c r="E62" s="15">
        <v>46050</v>
      </c>
      <c r="F62" s="16" t="s">
        <v>192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193</v>
      </c>
      <c r="C63" s="13" t="s">
        <v>18</v>
      </c>
      <c r="D63" s="14" t="s">
        <v>194</v>
      </c>
      <c r="E63" s="15">
        <v>46050</v>
      </c>
      <c r="F63" s="16" t="s">
        <v>192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219</v>
      </c>
      <c r="C64" s="13" t="s">
        <v>18</v>
      </c>
      <c r="D64" s="14" t="s">
        <v>220</v>
      </c>
      <c r="E64" s="15">
        <v>46050</v>
      </c>
      <c r="F64" s="16" t="s">
        <v>192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215</v>
      </c>
      <c r="C65" s="13" t="s">
        <v>18</v>
      </c>
      <c r="D65" s="14" t="s">
        <v>216</v>
      </c>
      <c r="E65" s="15">
        <v>46050</v>
      </c>
      <c r="F65" s="16" t="s">
        <v>192</v>
      </c>
      <c r="G65" s="17">
        <v>1</v>
      </c>
      <c r="H65" s="4"/>
    </row>
    <row r="66" spans="1:8" x14ac:dyDescent="0.25">
      <c r="A66" s="12">
        <f t="shared" si="0"/>
        <v>60</v>
      </c>
      <c r="B66" s="15" t="s">
        <v>213</v>
      </c>
      <c r="C66" s="13" t="s">
        <v>18</v>
      </c>
      <c r="D66" s="14" t="s">
        <v>214</v>
      </c>
      <c r="E66" s="15">
        <v>46050</v>
      </c>
      <c r="F66" s="16" t="s">
        <v>192</v>
      </c>
      <c r="G66" s="17">
        <v>1</v>
      </c>
      <c r="H66" s="4"/>
    </row>
    <row r="67" spans="1:8" x14ac:dyDescent="0.25">
      <c r="A67" s="12">
        <f t="shared" si="0"/>
        <v>61</v>
      </c>
      <c r="B67" s="15" t="s">
        <v>217</v>
      </c>
      <c r="C67" s="13" t="s">
        <v>18</v>
      </c>
      <c r="D67" s="14" t="s">
        <v>218</v>
      </c>
      <c r="E67" s="15">
        <v>46050</v>
      </c>
      <c r="F67" s="16" t="s">
        <v>192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207</v>
      </c>
      <c r="C68" s="13" t="s">
        <v>18</v>
      </c>
      <c r="D68" s="14" t="s">
        <v>208</v>
      </c>
      <c r="E68" s="15">
        <v>46050</v>
      </c>
      <c r="F68" s="16" t="s">
        <v>192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225</v>
      </c>
      <c r="C69" s="13" t="s">
        <v>18</v>
      </c>
      <c r="D69" s="14" t="s">
        <v>226</v>
      </c>
      <c r="E69" s="15">
        <v>46050</v>
      </c>
      <c r="F69" s="16" t="s">
        <v>192</v>
      </c>
      <c r="G69" s="17">
        <v>1</v>
      </c>
      <c r="H69" s="4"/>
    </row>
    <row r="70" spans="1:8" x14ac:dyDescent="0.25">
      <c r="A70" s="12">
        <f t="shared" si="0"/>
        <v>64</v>
      </c>
      <c r="B70" s="15" t="s">
        <v>223</v>
      </c>
      <c r="C70" s="13" t="s">
        <v>18</v>
      </c>
      <c r="D70" s="14" t="s">
        <v>224</v>
      </c>
      <c r="E70" s="15">
        <v>46050</v>
      </c>
      <c r="F70" s="16" t="s">
        <v>192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221</v>
      </c>
      <c r="C71" s="13" t="s">
        <v>18</v>
      </c>
      <c r="D71" s="14" t="s">
        <v>222</v>
      </c>
      <c r="E71" s="15">
        <v>46050</v>
      </c>
      <c r="F71" s="16" t="s">
        <v>192</v>
      </c>
      <c r="G71" s="17">
        <v>1</v>
      </c>
      <c r="H71" s="4"/>
    </row>
    <row r="72" spans="1:8" x14ac:dyDescent="0.25">
      <c r="A72" s="12">
        <f t="shared" si="0"/>
        <v>66</v>
      </c>
      <c r="B72" s="15" t="s">
        <v>203</v>
      </c>
      <c r="C72" s="13" t="s">
        <v>18</v>
      </c>
      <c r="D72" s="14" t="s">
        <v>204</v>
      </c>
      <c r="E72" s="15">
        <v>46050</v>
      </c>
      <c r="F72" s="16" t="s">
        <v>192</v>
      </c>
      <c r="G72" s="17">
        <v>1</v>
      </c>
      <c r="H72" s="4"/>
    </row>
    <row r="73" spans="1:8" x14ac:dyDescent="0.25">
      <c r="A73" s="12">
        <f t="shared" ref="A73:A89" si="1">+A72+1</f>
        <v>67</v>
      </c>
      <c r="B73" s="15" t="s">
        <v>209</v>
      </c>
      <c r="C73" s="13" t="s">
        <v>18</v>
      </c>
      <c r="D73" s="14" t="s">
        <v>210</v>
      </c>
      <c r="E73" s="15">
        <v>46050</v>
      </c>
      <c r="F73" s="16" t="s">
        <v>192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211</v>
      </c>
      <c r="C74" s="13" t="s">
        <v>18</v>
      </c>
      <c r="D74" s="14" t="s">
        <v>212</v>
      </c>
      <c r="E74" s="15">
        <v>46050</v>
      </c>
      <c r="F74" s="16" t="s">
        <v>192</v>
      </c>
      <c r="G74" s="17">
        <v>1</v>
      </c>
      <c r="H74" s="4"/>
    </row>
    <row r="75" spans="1:8" x14ac:dyDescent="0.25">
      <c r="A75" s="12">
        <f t="shared" si="1"/>
        <v>69</v>
      </c>
      <c r="B75" s="15" t="s">
        <v>201</v>
      </c>
      <c r="C75" s="13" t="s">
        <v>18</v>
      </c>
      <c r="D75" s="14" t="s">
        <v>202</v>
      </c>
      <c r="E75" s="15">
        <v>46050</v>
      </c>
      <c r="F75" s="16" t="s">
        <v>192</v>
      </c>
      <c r="G75" s="17">
        <v>1</v>
      </c>
      <c r="H75" s="4"/>
    </row>
    <row r="76" spans="1:8" x14ac:dyDescent="0.25">
      <c r="A76" s="12">
        <f t="shared" si="1"/>
        <v>70</v>
      </c>
      <c r="B76" s="15" t="s">
        <v>205</v>
      </c>
      <c r="C76" s="13" t="s">
        <v>18</v>
      </c>
      <c r="D76" s="14" t="s">
        <v>206</v>
      </c>
      <c r="E76" s="15">
        <v>46050</v>
      </c>
      <c r="F76" s="16" t="s">
        <v>192</v>
      </c>
      <c r="G76" s="17">
        <v>1</v>
      </c>
      <c r="H76" s="4"/>
    </row>
    <row r="77" spans="1:8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</sheetData>
  <sortState xmlns:xlrd2="http://schemas.microsoft.com/office/spreadsheetml/2017/richdata2" ref="B7:I76">
    <sortCondition ref="E7:E76"/>
    <sortCondition ref="D7:D7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2026-01-28T12:44:14Z</dcterms:modified>
</cp:coreProperties>
</file>