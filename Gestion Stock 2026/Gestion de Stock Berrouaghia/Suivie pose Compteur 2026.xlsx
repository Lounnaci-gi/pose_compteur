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477B1E7E-6696-478F-A5F1-081B270E246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anvier 2026" sheetId="1" r:id="rId1"/>
  </sheets>
  <definedNames>
    <definedName name="_xlnm.Print_Titles" localSheetId="0">'Janvier 2026'!$1:$6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" l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K4" i="1"/>
  <c r="K3" i="1"/>
  <c r="K2" i="1"/>
  <c r="A39" i="1" l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K5" i="1"/>
</calcChain>
</file>

<file path=xl/sharedStrings.xml><?xml version="1.0" encoding="utf-8"?>
<sst xmlns="http://schemas.openxmlformats.org/spreadsheetml/2006/main" count="175" uniqueCount="116">
  <si>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</si>
  <si>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</si>
  <si>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</si>
  <si>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</si>
  <si>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</si>
  <si>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</si>
  <si>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</si>
  <si>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</si>
  <si>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</si>
  <si>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</si>
  <si>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</si>
  <si>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</si>
  <si>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</si>
  <si>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</si>
  <si>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</si>
  <si>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</si>
  <si>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</si>
  <si>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</si>
  <si>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</si>
  <si>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B1</t>
  </si>
  <si>
    <t>ff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</si>
  <si>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</si>
  <si>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Bouyahia amel</t>
  </si>
  <si>
    <t>NB(766/2025)</t>
  </si>
  <si>
    <t xml:space="preserve">Boukhari barkahoum </t>
  </si>
  <si>
    <t>NB(363/2025)</t>
  </si>
  <si>
    <t>Ahmed messoud ali</t>
  </si>
  <si>
    <t>NB(740/2025)</t>
  </si>
  <si>
    <t>Rais mouloud</t>
  </si>
  <si>
    <t>NB(723/2025)</t>
  </si>
  <si>
    <t>Djouablia nawal</t>
  </si>
  <si>
    <t>NB(737/2025)</t>
  </si>
  <si>
    <t>NB(736/2025)</t>
  </si>
  <si>
    <t>Log fonct lycee bousmaha</t>
  </si>
  <si>
    <t>NB(747/2025)</t>
  </si>
  <si>
    <t>Akaba said</t>
  </si>
  <si>
    <t>NB(760/2025)</t>
  </si>
  <si>
    <t>Achit fatma</t>
  </si>
  <si>
    <t>Gheribi hamza</t>
  </si>
  <si>
    <t>NB(758/2025)</t>
  </si>
  <si>
    <t>Saidani med</t>
  </si>
  <si>
    <t>NB(748/2025)</t>
  </si>
  <si>
    <t>Rezrazi kamel</t>
  </si>
  <si>
    <t>NB(756/2025)</t>
  </si>
  <si>
    <t>Belhadj charaf eddine</t>
  </si>
  <si>
    <t>NB(762/2025)</t>
  </si>
  <si>
    <t>NB(630/2025)</t>
  </si>
  <si>
    <t>Sissani khaled</t>
  </si>
  <si>
    <t>Mezli aicha</t>
  </si>
  <si>
    <t>720 bt 12 n38</t>
  </si>
  <si>
    <t>NB(706/2025)</t>
  </si>
  <si>
    <t>NB(011/2026)</t>
  </si>
  <si>
    <t>Hanniche zehour</t>
  </si>
  <si>
    <t>720 bt 5 n27</t>
  </si>
  <si>
    <t>NB(550/2025)</t>
  </si>
  <si>
    <t>Makhloufi messaoud</t>
  </si>
  <si>
    <t>Djennane toubal</t>
  </si>
  <si>
    <t>2025177277</t>
  </si>
  <si>
    <t>NB(416/2025)</t>
  </si>
  <si>
    <t>Youcef ezzine bensouna</t>
  </si>
  <si>
    <t>720 bt 14 n24</t>
  </si>
  <si>
    <t>2025177276</t>
  </si>
  <si>
    <t>Ghiatou ouardia</t>
  </si>
  <si>
    <t>720 bt 19 n34</t>
  </si>
  <si>
    <t>NB(705/2025)</t>
  </si>
  <si>
    <t>2025177961</t>
  </si>
  <si>
    <t>NB(611/2025)</t>
  </si>
  <si>
    <t>Benkortbi saad eddine</t>
  </si>
  <si>
    <t>720 bt 13 n21</t>
  </si>
  <si>
    <t>2025177962</t>
  </si>
  <si>
    <t>Belzekour noureddine</t>
  </si>
  <si>
    <t>720 bt 1 n5</t>
  </si>
  <si>
    <t>NB(759/2025)</t>
  </si>
  <si>
    <t>2025177279</t>
  </si>
  <si>
    <t>NB(761/2025)</t>
  </si>
  <si>
    <t>Anabi med</t>
  </si>
  <si>
    <t>720 bt 1 n30</t>
  </si>
  <si>
    <t>2025177280</t>
  </si>
  <si>
    <t>NB(623/2025)</t>
  </si>
  <si>
    <t>Ziane halima</t>
  </si>
  <si>
    <t>720 bt 16 n21</t>
  </si>
  <si>
    <t>B4</t>
  </si>
  <si>
    <t>2025177278</t>
  </si>
  <si>
    <t>Bouguessa youcef</t>
  </si>
  <si>
    <t>Ain omrane</t>
  </si>
  <si>
    <t>NB(659/2025)</t>
  </si>
  <si>
    <t>720 bt 17 n2</t>
  </si>
  <si>
    <t>NB</t>
  </si>
  <si>
    <t>2025177324</t>
  </si>
  <si>
    <t>NB(002/2026)</t>
  </si>
  <si>
    <t>Reguieg chakib</t>
  </si>
  <si>
    <t>720 bt 1 n29</t>
  </si>
  <si>
    <t>2025177322</t>
  </si>
  <si>
    <t>Bedoui ines</t>
  </si>
  <si>
    <t>720 bt 8 n22</t>
  </si>
  <si>
    <t>2025177328</t>
  </si>
  <si>
    <t>Aouiche rabah</t>
  </si>
  <si>
    <t>720 bt 17 n8</t>
  </si>
  <si>
    <t>2025177275</t>
  </si>
  <si>
    <t>Kouidri benyouef</t>
  </si>
  <si>
    <t>720 bt 1 n11</t>
  </si>
  <si>
    <t>2025177325</t>
  </si>
  <si>
    <t>Boubakeur abdellah</t>
  </si>
  <si>
    <t>720 bt 16 n17</t>
  </si>
  <si>
    <t>NB(520/2025)</t>
  </si>
  <si>
    <t>NB(752/2025)</t>
  </si>
  <si>
    <t>NB(515/2025)</t>
  </si>
  <si>
    <t>NB(590/2025)</t>
  </si>
  <si>
    <t>2025177274</t>
  </si>
  <si>
    <t>NB(543/2025)</t>
  </si>
  <si>
    <t>Fergani bachir</t>
  </si>
  <si>
    <t>B2</t>
  </si>
  <si>
    <t>Cité hantabli</t>
  </si>
  <si>
    <t>2025177271</t>
  </si>
  <si>
    <t>Lassar tayeb</t>
  </si>
  <si>
    <t>1ere tranche n3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</si>
</sst>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27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19060</xdr:colOff>
      <xdr:row>38</xdr:row>
      <xdr:rowOff>47625</xdr:rowOff>
    </xdr:from>
    <xdr:to>
      <xdr:col>6</xdr:col>
      <xdr:colOff>0</xdr:colOff>
      <xdr:row>46</xdr:row>
      <xdr:rowOff>9525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10" y="7458075"/>
          <a:ext cx="4448165" cy="1485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68"/>
  <sheetViews>
    <sheetView tabSelected="1" workbookViewId="0">
      <selection activeCell="F18" sqref="F1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17.5703125" customWidth="1"/>
  </cols>
  <sheetData>
    <row r="1" spans="1:11" ht="18" x14ac:dyDescent="0.25">
      <c r="A1" s="24" t="s">
        <v>0</v>
      </c>
      <c r="B1" s="24"/>
      <c r="C1" s="24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5" t="s">
        <v>2</v>
      </c>
      <c r="B2" s="25"/>
      <c r="C2" s="25"/>
      <c r="D2" s="2"/>
      <c r="E2" s="5" t="s">
        <v>3</v>
      </c>
      <c r="F2" s="5"/>
      <c r="G2" s="3"/>
      <c r="H2" s="3"/>
      <c r="I2" s="22" t="s">
        <v>4</v>
      </c>
      <c r="J2" s="23"/>
      <c r="K2" s="6">
        <f>SUMIF(F7:F364,"Elimination*",G7:G364)</f>
        <v>0</v>
      </c>
    </row>
    <row r="3" spans="1:11" x14ac:dyDescent="0.25">
      <c r="A3" s="26" t="s">
        <v>5</v>
      </c>
      <c r="B3" s="26"/>
      <c r="C3" s="26"/>
      <c r="D3" s="5"/>
      <c r="E3" s="3" t="s">
        <v>6</v>
      </c>
      <c r="F3" s="3"/>
      <c r="G3" s="3"/>
      <c r="H3" s="3"/>
      <c r="I3" s="22" t="s">
        <v>7</v>
      </c>
      <c r="J3" s="23"/>
      <c r="K3" s="6">
        <f>SUMIF(F7:F364,"NB*",G7:G364)</f>
        <v>31</v>
      </c>
    </row>
    <row r="4" spans="1:11" ht="18" x14ac:dyDescent="0.25">
      <c r="A4" s="24" t="s">
        <v>8</v>
      </c>
      <c r="B4" s="24"/>
      <c r="C4" s="24"/>
      <c r="D4" s="24"/>
      <c r="E4" s="24"/>
      <c r="F4" s="24"/>
      <c r="G4" s="3"/>
      <c r="H4" s="3"/>
      <c r="I4" s="22" t="s">
        <v>9</v>
      </c>
      <c r="J4" s="23"/>
      <c r="K4" s="6">
        <f>SUMIF(F7:F364,"Ve*",G7:G364)</f>
        <v>0</v>
      </c>
    </row>
    <row r="5" spans="1:11" ht="15.75" x14ac:dyDescent="0.25">
      <c r="A5" s="21" t="s">
        <v>21</v>
      </c>
      <c r="B5" s="21"/>
      <c r="C5" s="21"/>
      <c r="D5" s="21"/>
      <c r="E5" s="21"/>
      <c r="F5" s="21"/>
      <c r="G5" s="7"/>
      <c r="H5" s="7"/>
      <c r="I5" s="22" t="s">
        <v>10</v>
      </c>
      <c r="J5" s="23"/>
      <c r="K5" s="8">
        <f>SUM(K2:K4)</f>
        <v>31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2025177951</v>
      </c>
      <c r="E7" s="15">
        <v>46026</v>
      </c>
      <c r="F7" s="16" t="s">
        <v>45</v>
      </c>
      <c r="G7" s="17">
        <v>1</v>
      </c>
      <c r="H7" s="18" t="s">
        <v>44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3">
        <v>2025177952</v>
      </c>
      <c r="E8" s="15">
        <v>46026</v>
      </c>
      <c r="F8" s="16" t="s">
        <v>23</v>
      </c>
      <c r="G8" s="17">
        <v>1</v>
      </c>
      <c r="H8" s="18" t="s">
        <v>22</v>
      </c>
      <c r="I8" s="20"/>
      <c r="J8" s="20"/>
      <c r="K8" s="4"/>
    </row>
    <row r="9" spans="1:11" ht="15" customHeight="1" x14ac:dyDescent="0.25">
      <c r="A9" s="12">
        <f t="shared" ref="A9:A68" si="0">+A8+1</f>
        <v>3</v>
      </c>
      <c r="B9" s="13" t="s">
        <v>19</v>
      </c>
      <c r="C9" s="13" t="s">
        <v>18</v>
      </c>
      <c r="D9" s="13">
        <v>2025177957</v>
      </c>
      <c r="E9" s="15">
        <v>46026</v>
      </c>
      <c r="F9" s="16" t="s">
        <v>25</v>
      </c>
      <c r="G9" s="17">
        <v>1</v>
      </c>
      <c r="H9" s="18" t="s">
        <v>24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2025177958</v>
      </c>
      <c r="E10" s="15">
        <v>46026</v>
      </c>
      <c r="F10" s="16" t="s">
        <v>29</v>
      </c>
      <c r="G10" s="17">
        <v>1</v>
      </c>
      <c r="H10" s="18" t="s">
        <v>28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3">
        <v>2025177959</v>
      </c>
      <c r="E11" s="15">
        <v>46026</v>
      </c>
      <c r="F11" s="16" t="s">
        <v>27</v>
      </c>
      <c r="G11" s="17">
        <v>1</v>
      </c>
      <c r="H11" s="18" t="s">
        <v>26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2025177960</v>
      </c>
      <c r="E12" s="15">
        <v>46026</v>
      </c>
      <c r="F12" s="16" t="s">
        <v>31</v>
      </c>
      <c r="G12" s="17">
        <v>1</v>
      </c>
      <c r="H12" s="18" t="s">
        <v>30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2025177970</v>
      </c>
      <c r="E13" s="15">
        <v>46026</v>
      </c>
      <c r="F13" s="16" t="s">
        <v>39</v>
      </c>
      <c r="G13" s="17">
        <v>1</v>
      </c>
      <c r="H13" s="18" t="s">
        <v>38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2025177953</v>
      </c>
      <c r="E14" s="15">
        <v>46027</v>
      </c>
      <c r="F14" s="16" t="s">
        <v>36</v>
      </c>
      <c r="G14" s="17">
        <v>1</v>
      </c>
      <c r="H14" s="18" t="s">
        <v>37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2025177954</v>
      </c>
      <c r="E15" s="15">
        <v>46027</v>
      </c>
      <c r="F15" s="16" t="s">
        <v>41</v>
      </c>
      <c r="G15" s="17">
        <v>1</v>
      </c>
      <c r="H15" s="18" t="s">
        <v>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2025177955</v>
      </c>
      <c r="E16" s="15">
        <v>46027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3">
        <v>2025177967</v>
      </c>
      <c r="E17" s="15">
        <v>46027</v>
      </c>
      <c r="F17" s="16" t="s">
        <v>46</v>
      </c>
      <c r="G17" s="17">
        <v>1</v>
      </c>
      <c r="H17" s="18" t="s">
        <v>47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3">
        <v>2025177968</v>
      </c>
      <c r="E18" s="15">
        <v>46027</v>
      </c>
      <c r="F18" s="16" t="s">
        <v>32</v>
      </c>
      <c r="G18" s="17">
        <v>1</v>
      </c>
      <c r="H18" s="18" t="s">
        <v>33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3">
        <v>2025177969</v>
      </c>
      <c r="E19" s="15">
        <v>46027</v>
      </c>
      <c r="F19" s="16" t="s">
        <v>43</v>
      </c>
      <c r="G19" s="17">
        <v>1</v>
      </c>
      <c r="H19" s="18" t="s">
        <v>42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3">
        <v>2025177965</v>
      </c>
      <c r="E20" s="15">
        <v>46029</v>
      </c>
      <c r="F20" s="16" t="s">
        <v>51</v>
      </c>
      <c r="G20" s="17">
        <v>1</v>
      </c>
      <c r="H20" s="18" t="s">
        <v>52</v>
      </c>
      <c r="I20" s="20" t="s">
        <v>53</v>
      </c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3">
        <v>2025177966</v>
      </c>
      <c r="E21" s="15">
        <v>46029</v>
      </c>
      <c r="F21" s="16" t="s">
        <v>50</v>
      </c>
      <c r="G21" s="17">
        <v>1</v>
      </c>
      <c r="H21" s="18" t="s">
        <v>48</v>
      </c>
      <c r="I21" s="20" t="s">
        <v>49</v>
      </c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2025177963</v>
      </c>
      <c r="E22" s="15">
        <v>46030</v>
      </c>
      <c r="F22" s="16" t="s">
        <v>87</v>
      </c>
      <c r="G22" s="17">
        <v>1</v>
      </c>
      <c r="H22" s="18"/>
      <c r="I22" s="20" t="s">
        <v>86</v>
      </c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2025177964</v>
      </c>
      <c r="E23" s="15">
        <v>46030</v>
      </c>
      <c r="F23" s="16" t="s">
        <v>54</v>
      </c>
      <c r="G23" s="17">
        <v>1</v>
      </c>
      <c r="H23" s="18" t="s">
        <v>55</v>
      </c>
      <c r="I23" s="20" t="s">
        <v>56</v>
      </c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4" t="s">
        <v>61</v>
      </c>
      <c r="E24" s="15">
        <v>46033</v>
      </c>
      <c r="F24" s="16" t="s">
        <v>64</v>
      </c>
      <c r="G24" s="17">
        <v>1</v>
      </c>
      <c r="H24" s="18" t="s">
        <v>62</v>
      </c>
      <c r="I24" s="20" t="s">
        <v>63</v>
      </c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4" t="s">
        <v>57</v>
      </c>
      <c r="E25" s="15">
        <v>46033</v>
      </c>
      <c r="F25" s="16" t="s">
        <v>58</v>
      </c>
      <c r="G25" s="17">
        <v>1</v>
      </c>
      <c r="H25" s="18" t="s">
        <v>59</v>
      </c>
      <c r="I25" s="20" t="s">
        <v>60</v>
      </c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4" t="s">
        <v>65</v>
      </c>
      <c r="E26" s="15">
        <v>46033</v>
      </c>
      <c r="F26" s="16" t="s">
        <v>66</v>
      </c>
      <c r="G26" s="17">
        <v>1</v>
      </c>
      <c r="H26" s="18" t="s">
        <v>67</v>
      </c>
      <c r="I26" s="20" t="s">
        <v>68</v>
      </c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4" t="s">
        <v>69</v>
      </c>
      <c r="E27" s="15">
        <v>46033</v>
      </c>
      <c r="F27" s="16" t="s">
        <v>72</v>
      </c>
      <c r="G27" s="17">
        <v>1</v>
      </c>
      <c r="H27" s="18" t="s">
        <v>70</v>
      </c>
      <c r="I27" s="20" t="s">
        <v>71</v>
      </c>
      <c r="J27" s="20"/>
    </row>
    <row r="28" spans="1:10" ht="15" customHeight="1" x14ac:dyDescent="0.25">
      <c r="A28" s="12">
        <f t="shared" si="0"/>
        <v>22</v>
      </c>
      <c r="B28" s="15" t="s">
        <v>81</v>
      </c>
      <c r="C28" s="13" t="s">
        <v>18</v>
      </c>
      <c r="D28" s="14" t="s">
        <v>82</v>
      </c>
      <c r="E28" s="15">
        <v>46035</v>
      </c>
      <c r="F28" s="16" t="s">
        <v>85</v>
      </c>
      <c r="G28" s="17">
        <v>1</v>
      </c>
      <c r="H28" s="18" t="s">
        <v>83</v>
      </c>
      <c r="I28" s="20" t="s">
        <v>84</v>
      </c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4" t="s">
        <v>73</v>
      </c>
      <c r="E29" s="15">
        <v>46035</v>
      </c>
      <c r="F29" s="16" t="s">
        <v>74</v>
      </c>
      <c r="G29" s="17">
        <v>1</v>
      </c>
      <c r="H29" s="18" t="s">
        <v>75</v>
      </c>
      <c r="I29" s="20" t="s">
        <v>76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4" t="s">
        <v>77</v>
      </c>
      <c r="E30" s="15">
        <v>46035</v>
      </c>
      <c r="F30" s="16" t="s">
        <v>78</v>
      </c>
      <c r="G30" s="17">
        <v>1</v>
      </c>
      <c r="H30" s="18" t="s">
        <v>79</v>
      </c>
      <c r="I30" s="20" t="s">
        <v>80</v>
      </c>
      <c r="J30" s="4"/>
    </row>
    <row r="31" spans="1:10" ht="15" customHeight="1" x14ac:dyDescent="0.25">
      <c r="A31" s="12">
        <f t="shared" si="0"/>
        <v>25</v>
      </c>
      <c r="B31" s="15" t="s">
        <v>19</v>
      </c>
      <c r="C31" s="13" t="s">
        <v>18</v>
      </c>
      <c r="D31" s="14" t="s">
        <v>113</v>
      </c>
      <c r="E31" s="15">
        <v>46036</v>
      </c>
      <c r="F31" s="16" t="s">
        <v>109</v>
      </c>
      <c r="G31" s="17">
        <v>1</v>
      </c>
      <c r="H31" s="4" t="s">
        <v>114</v>
      </c>
      <c r="I31" s="4" t="s">
        <v>115</v>
      </c>
      <c r="J31" s="4"/>
    </row>
    <row r="32" spans="1:10" ht="15" customHeight="1" x14ac:dyDescent="0.25">
      <c r="A32" s="12">
        <f t="shared" si="0"/>
        <v>26</v>
      </c>
      <c r="B32" s="15" t="s">
        <v>111</v>
      </c>
      <c r="C32" s="13" t="s">
        <v>18</v>
      </c>
      <c r="D32" s="14" t="s">
        <v>108</v>
      </c>
      <c r="E32" s="15">
        <v>46036</v>
      </c>
      <c r="F32" s="16" t="s">
        <v>109</v>
      </c>
      <c r="G32" s="17">
        <v>1</v>
      </c>
      <c r="H32" s="4" t="s">
        <v>110</v>
      </c>
      <c r="I32" s="20" t="s">
        <v>112</v>
      </c>
      <c r="J32" s="4"/>
    </row>
    <row r="33" spans="1:10" ht="15" customHeight="1" x14ac:dyDescent="0.25">
      <c r="A33" s="12">
        <f t="shared" si="0"/>
        <v>27</v>
      </c>
      <c r="B33" s="15" t="s">
        <v>19</v>
      </c>
      <c r="C33" s="13" t="s">
        <v>18</v>
      </c>
      <c r="D33" s="14" t="s">
        <v>98</v>
      </c>
      <c r="E33" s="15">
        <v>46036</v>
      </c>
      <c r="F33" s="16" t="s">
        <v>105</v>
      </c>
      <c r="G33" s="17">
        <v>1</v>
      </c>
      <c r="H33" s="4" t="s">
        <v>99</v>
      </c>
      <c r="I33" s="20" t="s">
        <v>100</v>
      </c>
      <c r="J33" s="4"/>
    </row>
    <row r="34" spans="1:10" ht="15" customHeight="1" x14ac:dyDescent="0.25">
      <c r="A34" s="12">
        <f t="shared" si="0"/>
        <v>28</v>
      </c>
      <c r="B34" s="15" t="s">
        <v>19</v>
      </c>
      <c r="C34" s="13" t="s">
        <v>18</v>
      </c>
      <c r="D34" s="14" t="s">
        <v>92</v>
      </c>
      <c r="E34" s="15">
        <v>46036</v>
      </c>
      <c r="F34" s="16" t="s">
        <v>107</v>
      </c>
      <c r="G34" s="17">
        <v>1</v>
      </c>
      <c r="H34" s="4" t="s">
        <v>93</v>
      </c>
      <c r="I34" s="20" t="s">
        <v>94</v>
      </c>
      <c r="J34" s="4"/>
    </row>
    <row r="35" spans="1:10" ht="15" customHeight="1" x14ac:dyDescent="0.25">
      <c r="A35" s="12">
        <f t="shared" si="0"/>
        <v>29</v>
      </c>
      <c r="B35" s="15" t="s">
        <v>19</v>
      </c>
      <c r="C35" s="13" t="s">
        <v>18</v>
      </c>
      <c r="D35" s="14" t="s">
        <v>88</v>
      </c>
      <c r="E35" s="15">
        <v>46036</v>
      </c>
      <c r="F35" s="16" t="s">
        <v>89</v>
      </c>
      <c r="G35" s="17">
        <v>1</v>
      </c>
      <c r="H35" s="18" t="s">
        <v>90</v>
      </c>
      <c r="I35" s="20" t="s">
        <v>91</v>
      </c>
      <c r="J35" s="4"/>
    </row>
    <row r="36" spans="1:10" ht="15" customHeight="1" x14ac:dyDescent="0.25">
      <c r="A36" s="12">
        <f t="shared" si="0"/>
        <v>30</v>
      </c>
      <c r="B36" s="15" t="s">
        <v>19</v>
      </c>
      <c r="C36" s="13" t="s">
        <v>18</v>
      </c>
      <c r="D36" s="14" t="s">
        <v>101</v>
      </c>
      <c r="E36" s="15">
        <v>46036</v>
      </c>
      <c r="F36" s="16" t="s">
        <v>104</v>
      </c>
      <c r="G36" s="17">
        <v>1</v>
      </c>
      <c r="H36" s="4" t="s">
        <v>102</v>
      </c>
      <c r="I36" s="20" t="s">
        <v>103</v>
      </c>
      <c r="J36" s="4"/>
    </row>
    <row r="37" spans="1:10" ht="15" customHeight="1" x14ac:dyDescent="0.25">
      <c r="A37" s="12">
        <f t="shared" si="0"/>
        <v>31</v>
      </c>
      <c r="B37" s="15" t="s">
        <v>19</v>
      </c>
      <c r="C37" s="13" t="s">
        <v>18</v>
      </c>
      <c r="D37" s="14" t="s">
        <v>95</v>
      </c>
      <c r="E37" s="15">
        <v>46036</v>
      </c>
      <c r="F37" s="16" t="s">
        <v>106</v>
      </c>
      <c r="G37" s="17">
        <v>1</v>
      </c>
      <c r="H37" s="18" t="s">
        <v>96</v>
      </c>
      <c r="I37" s="20" t="s">
        <v>97</v>
      </c>
      <c r="J37" s="4"/>
    </row>
    <row r="38" spans="1:10" ht="15" customHeight="1" x14ac:dyDescent="0.25">
      <c r="A38" s="12">
        <f t="shared" si="0"/>
        <v>32</v>
      </c>
      <c r="B38" s="15"/>
      <c r="C38" s="13"/>
      <c r="D38" s="14"/>
      <c r="E38" s="15"/>
      <c r="F38" s="16"/>
      <c r="G38" s="17">
        <v>1</v>
      </c>
      <c r="H38" s="4"/>
      <c r="I38" s="4"/>
      <c r="J38" s="4"/>
    </row>
    <row r="39" spans="1:10" x14ac:dyDescent="0.25">
      <c r="A39" s="12">
        <f t="shared" si="0"/>
        <v>33</v>
      </c>
      <c r="B39" s="15"/>
      <c r="C39" s="13"/>
      <c r="D39" s="14"/>
      <c r="E39" s="15"/>
      <c r="F39" s="16"/>
      <c r="G39" s="17">
        <v>1</v>
      </c>
      <c r="H39" s="4"/>
    </row>
    <row r="40" spans="1:10" x14ac:dyDescent="0.25">
      <c r="A40" s="12">
        <f>+A39+1</f>
        <v>34</v>
      </c>
      <c r="B40" s="15"/>
      <c r="C40" s="13"/>
      <c r="D40" s="14"/>
      <c r="E40" s="15"/>
      <c r="F40" s="16"/>
      <c r="G40" s="17">
        <v>1</v>
      </c>
      <c r="H40" s="4"/>
    </row>
    <row r="41" spans="1:10" x14ac:dyDescent="0.25">
      <c r="A41" s="12">
        <f t="shared" si="0"/>
        <v>35</v>
      </c>
      <c r="B41" s="15"/>
      <c r="C41" s="13"/>
      <c r="D41" s="14"/>
      <c r="E41" s="15"/>
      <c r="F41" s="16"/>
      <c r="G41" s="17">
        <v>1</v>
      </c>
      <c r="H41" s="4"/>
    </row>
    <row r="42" spans="1:10" x14ac:dyDescent="0.25">
      <c r="A42" s="12">
        <f t="shared" si="0"/>
        <v>36</v>
      </c>
      <c r="B42" s="15"/>
      <c r="C42" s="13"/>
      <c r="D42" s="14"/>
      <c r="E42" s="15"/>
      <c r="F42" s="16"/>
      <c r="G42" s="17">
        <v>1</v>
      </c>
      <c r="H42" s="4"/>
    </row>
    <row r="43" spans="1:10" x14ac:dyDescent="0.25">
      <c r="A43" s="12">
        <f t="shared" si="0"/>
        <v>37</v>
      </c>
      <c r="B43" s="15"/>
      <c r="C43" s="13"/>
      <c r="D43" s="14"/>
      <c r="E43" s="15"/>
      <c r="F43" s="16"/>
      <c r="G43" s="17">
        <v>1</v>
      </c>
      <c r="H43" s="4"/>
    </row>
    <row r="44" spans="1:10" x14ac:dyDescent="0.25">
      <c r="A44" s="12">
        <f t="shared" si="0"/>
        <v>38</v>
      </c>
      <c r="B44" s="15"/>
      <c r="C44" s="13"/>
      <c r="D44" s="14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5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4"/>
      <c r="E46" s="15"/>
      <c r="F46" s="16"/>
      <c r="G46" s="17">
        <v>1</v>
      </c>
      <c r="H46" s="4"/>
    </row>
    <row r="47" spans="1:10" x14ac:dyDescent="0.25">
      <c r="A47" s="12">
        <f t="shared" si="0"/>
        <v>41</v>
      </c>
      <c r="B47" s="15"/>
      <c r="C47" s="13"/>
      <c r="D47" s="14"/>
      <c r="E47" s="15"/>
      <c r="F47" s="16"/>
      <c r="G47" s="17">
        <v>1</v>
      </c>
      <c r="H47" s="4"/>
    </row>
    <row r="48" spans="1:10" x14ac:dyDescent="0.25">
      <c r="A48" s="12">
        <f t="shared" si="0"/>
        <v>42</v>
      </c>
      <c r="B48" s="15"/>
      <c r="C48" s="13"/>
      <c r="D48" s="14"/>
      <c r="E48" s="15"/>
      <c r="F48" s="16"/>
      <c r="G48" s="17">
        <v>1</v>
      </c>
      <c r="H48" s="4"/>
    </row>
    <row r="49" spans="1:8" x14ac:dyDescent="0.25">
      <c r="A49" s="12">
        <f t="shared" si="0"/>
        <v>43</v>
      </c>
      <c r="B49" s="15"/>
      <c r="C49" s="13"/>
      <c r="D49" s="14"/>
      <c r="E49" s="15"/>
      <c r="F49" s="16"/>
      <c r="G49" s="17">
        <v>1</v>
      </c>
      <c r="H49" s="4"/>
    </row>
    <row r="50" spans="1:8" x14ac:dyDescent="0.25">
      <c r="A50" s="12">
        <f t="shared" si="0"/>
        <v>44</v>
      </c>
      <c r="B50" s="15"/>
      <c r="C50" s="13"/>
      <c r="D50" s="14"/>
      <c r="E50" s="15"/>
      <c r="F50" s="16"/>
      <c r="G50" s="17">
        <v>1</v>
      </c>
      <c r="H50" s="4"/>
    </row>
    <row r="51" spans="1:8" x14ac:dyDescent="0.25">
      <c r="A51" s="12">
        <f t="shared" si="0"/>
        <v>45</v>
      </c>
      <c r="B51" s="15"/>
      <c r="C51" s="13"/>
      <c r="D51" s="14"/>
      <c r="E51" s="15"/>
      <c r="F51" s="16"/>
      <c r="G51" s="17">
        <v>1</v>
      </c>
      <c r="H51" s="4"/>
    </row>
    <row r="52" spans="1:8" x14ac:dyDescent="0.25">
      <c r="A52" s="12">
        <f t="shared" si="0"/>
        <v>46</v>
      </c>
      <c r="B52" s="15"/>
      <c r="C52" s="13"/>
      <c r="D52" s="14"/>
      <c r="E52" s="15"/>
      <c r="F52" s="16"/>
      <c r="G52" s="17">
        <v>1</v>
      </c>
      <c r="H52" s="4"/>
    </row>
    <row r="53" spans="1:8" x14ac:dyDescent="0.25">
      <c r="A53" s="12">
        <f t="shared" si="0"/>
        <v>47</v>
      </c>
      <c r="B53" s="15"/>
      <c r="C53" s="13"/>
      <c r="D53" s="14"/>
      <c r="E53" s="15"/>
      <c r="F53" s="16"/>
      <c r="G53" s="17">
        <v>1</v>
      </c>
      <c r="H53" s="4"/>
    </row>
    <row r="54" spans="1:8" x14ac:dyDescent="0.25">
      <c r="A54" s="12">
        <f t="shared" si="0"/>
        <v>48</v>
      </c>
      <c r="B54" s="15"/>
      <c r="C54" s="13"/>
      <c r="D54" s="14"/>
      <c r="E54" s="15"/>
      <c r="F54" s="16"/>
      <c r="G54" s="17">
        <v>1</v>
      </c>
      <c r="H54" s="4"/>
    </row>
    <row r="55" spans="1:8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</row>
    <row r="56" spans="1:8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</row>
    <row r="57" spans="1:8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</row>
    <row r="58" spans="1:8" x14ac:dyDescent="0.25">
      <c r="A58" s="12">
        <f t="shared" si="0"/>
        <v>52</v>
      </c>
      <c r="B58" s="15"/>
      <c r="C58" s="13"/>
      <c r="D58" s="14"/>
      <c r="E58" s="15"/>
      <c r="F58" s="16"/>
      <c r="G58" s="17">
        <v>1</v>
      </c>
      <c r="H58" s="4"/>
    </row>
    <row r="59" spans="1:8" x14ac:dyDescent="0.25">
      <c r="A59" s="12">
        <f t="shared" si="0"/>
        <v>53</v>
      </c>
      <c r="B59" s="15"/>
      <c r="C59" s="13"/>
      <c r="D59" s="14"/>
      <c r="E59" s="15"/>
      <c r="F59" s="16"/>
      <c r="G59" s="17">
        <v>1</v>
      </c>
      <c r="H59" s="4"/>
    </row>
    <row r="60" spans="1:8" x14ac:dyDescent="0.25">
      <c r="A60" s="12">
        <f t="shared" si="0"/>
        <v>54</v>
      </c>
      <c r="B60" s="15"/>
      <c r="C60" s="13"/>
      <c r="D60" s="14"/>
      <c r="E60" s="15"/>
      <c r="F60" s="16"/>
      <c r="G60" s="17">
        <v>1</v>
      </c>
      <c r="H60" s="4"/>
    </row>
    <row r="61" spans="1:8" x14ac:dyDescent="0.25">
      <c r="A61" s="12">
        <f t="shared" si="0"/>
        <v>55</v>
      </c>
      <c r="B61" s="15"/>
      <c r="C61" s="13"/>
      <c r="D61" s="14"/>
      <c r="E61" s="15"/>
      <c r="F61" s="16"/>
      <c r="G61" s="17">
        <v>1</v>
      </c>
      <c r="H61" s="4"/>
    </row>
    <row r="62" spans="1:8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8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</row>
    <row r="64" spans="1:8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8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</row>
    <row r="66" spans="1:8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</row>
    <row r="67" spans="1:8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8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</sheetData>
  <sortState xmlns:xlrd2="http://schemas.microsoft.com/office/spreadsheetml/2017/richdata2" ref="B7:I37">
    <sortCondition ref="E7:E37"/>
    <sortCondition ref="D7:D37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Janvier 2026</vt:lpstr>
      <vt:lpstr>'Janvier 2026'!Impression_des_titres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2025-11-09T12:55:48Z</cp:lastPrinted>
  <dcterms:created xsi:type="dcterms:W3CDTF">2019-01-07T07:24:45Z</dcterms:created>
  <dcterms:modified xsi:type="dcterms:W3CDTF">2026-01-15T07:37:37Z</dcterms:modified>
</cp:coreProperties>
</file>