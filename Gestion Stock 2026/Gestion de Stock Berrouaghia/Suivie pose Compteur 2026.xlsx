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479A2266-384B-4891-BA09-0EF0B280CE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<sst xmlns="http://schemas.openxmlformats.org/spreadsheetml/2006/main" count="405" uniqueCount="249">
  <si>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</si>
  <si>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</si>
  <si>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</si>
  <si>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</si>
  <si>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</si>
  <si>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</si>
  <si>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</si>
  <si>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</si>
  <si>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</si>
  <si>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</si>
  <si>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</si>
  <si>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</si>
  <si>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</si>
  <si>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</si>
  <si>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</si>
  <si>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</si>
  <si>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</si>
  <si>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</si>
  <si>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</si>
  <si>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</si>
  <si>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</si>
  <si>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</si>
  <si>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</si>
  <si>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</si>
  <si>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</si>
  <si>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</si>
  <si>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</si>
  <si>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</si>
  <si>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</si>
  <si>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</si>
  <si>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</si>
  <si>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</si>
  <si>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</si>
  <si>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</si>
  <si>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</si>
  <si>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</si>
  <si>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</si>
  <si>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</si>
  <si>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</si>
  <si>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</si>
  <si>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</si>
  <si>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</si>
  <si>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</si>
  <si>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</si>
  <si>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</si>
  <si>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</si>
  <si>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</si>
  <si>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</si>
  <si>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</si>
  <si>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</si>
  <si>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</si>
  <si>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</si>
  <si>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</si>
  <si>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</si>
  <si>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</si>
  <si>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</si>
  <si>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</si>
  <si>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</si>
  <si>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</si>
  <si>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</si>
  <si>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</si>
  <si>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</si>
  <si>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</si>
  <si>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</si>
  <si>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</si>
  <si>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</si>
  <si>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</si>
  <si>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</si>
  <si>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</si>
  <si>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</si>
  <si>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</si>
  <si>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</si>
  <si>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</si>
  <si>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</si>
  <si>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</si>
  <si>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</si>
  <si>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</si>
  <si>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</si>
  <si>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</si>
  <si>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</si>
  <si>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</si>
  <si>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</si>
  <si>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</si>
  <si>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</si>
  <si>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</si>
  <si>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</si>
  <si>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</si>
  <si>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</si>
  <si>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</si>
  <si>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</si>
  <si>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</si>
  <si>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</si>
  <si>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</si>
  <si>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</si>
  <si>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Cité hantabli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</si>
  <si>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</si>
  <si>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</si>
  <si>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</si>
  <si>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</si>
  <si>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</si>
  <si>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</si>
  <si>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</si>
  <si>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</si>
  <si>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</si>
  <si>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</si>
  <si>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</si>
  <si>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</si>
  <si>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</si>
  <si>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</si>
  <si>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</si>
  <si>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</si>
  <si>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</si>
  <si>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</si>
  <si>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</si>
  <si>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</si>
  <si>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</si>
  <si>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</si>
  <si>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</si>
  <si>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720 bt 2 n7</t>
  </si>
  <si>
    <t>NB(003/2026)</t>
  </si>
  <si>
    <t>2025177553</t>
  </si>
  <si>
    <t>NB(298/2025)</t>
  </si>
  <si>
    <t>Maadadi ismail</t>
  </si>
  <si>
    <t>Djennane toubal n682</t>
  </si>
  <si>
    <t>2025177863</t>
  </si>
  <si>
    <t>NB(009/2026)</t>
  </si>
  <si>
    <t>Metidji billel</t>
  </si>
  <si>
    <t>720 bt 2 n32</t>
  </si>
  <si>
    <t>2025177560</t>
  </si>
  <si>
    <t>Benalal ibrahim</t>
  </si>
  <si>
    <t>720 bt 1 n14</t>
  </si>
  <si>
    <t>NB(031/2026)</t>
  </si>
  <si>
    <t>2025177861</t>
  </si>
  <si>
    <t>NB(015/2026)</t>
  </si>
  <si>
    <t>Mehnaoui aek</t>
  </si>
  <si>
    <t>720 bt 9 n4</t>
  </si>
  <si>
    <t>2025177862</t>
  </si>
  <si>
    <t>Bensedgua kamel</t>
  </si>
  <si>
    <t>720 bt 10 n24</t>
  </si>
  <si>
    <t>NB(029/2026)</t>
  </si>
  <si>
    <t>2025177551</t>
  </si>
  <si>
    <t>NB(013/2026)</t>
  </si>
  <si>
    <t>Boulariah med</t>
  </si>
  <si>
    <t>720 bt 1 n22</t>
  </si>
  <si>
    <t>2025177556</t>
  </si>
  <si>
    <t>Belkhir nassira</t>
  </si>
  <si>
    <t>720 bt 17 n20</t>
  </si>
  <si>
    <t>NB(027/2026)</t>
  </si>
  <si>
    <t>2025177557</t>
  </si>
  <si>
    <t>Sabour abdelhafid</t>
  </si>
  <si>
    <t>720 bt 18 n25</t>
  </si>
  <si>
    <t>NB(033/2026)</t>
  </si>
  <si>
    <t>Boubakri fahima</t>
  </si>
  <si>
    <t>720 bt 16 n18</t>
  </si>
  <si>
    <t>2025177866</t>
  </si>
  <si>
    <t>Abdallah nacer</t>
  </si>
  <si>
    <t>720 bt 1 n33</t>
  </si>
  <si>
    <t>NB(008/2026)</t>
  </si>
  <si>
    <t>2025177323</t>
  </si>
  <si>
    <t>2025177865</t>
  </si>
  <si>
    <t>NB(484/2025)</t>
  </si>
  <si>
    <t>Zerrouki zerrouk</t>
  </si>
  <si>
    <t>720 bt 16 n7</t>
  </si>
  <si>
    <t>2025177867</t>
  </si>
  <si>
    <t>Alouaoui a/rahmane</t>
  </si>
  <si>
    <t>720 bt 12 n17</t>
  </si>
  <si>
    <t>NB(028/2026)</t>
  </si>
  <si>
    <t>Makhloufi aek</t>
  </si>
  <si>
    <t>720 bt 1 n4</t>
  </si>
  <si>
    <t>2025177869</t>
  </si>
  <si>
    <t>NB(030/2026)</t>
  </si>
  <si>
    <t>2025177864</t>
  </si>
  <si>
    <t>2025177868</t>
  </si>
  <si>
    <t>Benammar hichem</t>
  </si>
  <si>
    <t>720 bt 16 n34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</si>
  <si>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</si>
  <si>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</si>
  <si>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</si>
  <si>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</si>
  <si>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</si>
  <si>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</si>
  <si>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</si>
  <si>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</si>
  <si>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</si>
  <si>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</si>
  <si>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</si>
  <si>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</si>
  <si>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</si>
  <si>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</si>
  <si>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</si>
  <si>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</si>
  <si>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</si>
  <si>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</si>
  <si>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</si>
  <si>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</si>
  <si>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</si>
  <si>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</si>
  <si>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</si>
  <si>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</si>
  <si>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</si>
  <si>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</si>
  <si>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</si>
  <si>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</si>
  <si>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</si>
  <si>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</si>
  <si>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</si>
  <si>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</si>
  <si>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</si>
  <si>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</si>
  <si>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</si>
  <si>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</si>
  <si>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</si>
  <si>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</si>
  <si>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</si>
  <si>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</si>
  <si>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720 bt 2 n2</t>
  </si>
  <si>
    <t>NB(043/2026)</t>
  </si>
  <si>
    <t>2025177383</t>
  </si>
  <si>
    <t>Rabhallah aissa</t>
  </si>
  <si>
    <t>720 bt 9 n18</t>
  </si>
  <si>
    <t>NB(567/2025)</t>
  </si>
  <si>
    <t>2025177385</t>
  </si>
  <si>
    <t>Anabi farid</t>
  </si>
  <si>
    <t>720 bt 2 n9</t>
  </si>
  <si>
    <t>NB(034/2026)</t>
  </si>
  <si>
    <t>2025177381</t>
  </si>
  <si>
    <t>Benrekia med el fatah</t>
  </si>
  <si>
    <t>720 bt 8 n1</t>
  </si>
  <si>
    <t>NB(041/2026)</t>
  </si>
  <si>
    <t>2025177390</t>
  </si>
  <si>
    <t>Serrat bakir</t>
  </si>
  <si>
    <t>720 bt 10 n28</t>
  </si>
  <si>
    <t>NB(046/2026)</t>
  </si>
  <si>
    <t>2025177386</t>
  </si>
  <si>
    <t>Allali med</t>
  </si>
  <si>
    <t>720 bt 8 n30</t>
  </si>
  <si>
    <t>NB(697/2025)</t>
  </si>
  <si>
    <t>2025177388</t>
  </si>
  <si>
    <t>Chiker mahfoud</t>
  </si>
  <si>
    <t>720 bt 15 n20</t>
  </si>
  <si>
    <t>NB(017/2026)</t>
  </si>
  <si>
    <t>2025177781</t>
  </si>
  <si>
    <t>Zaoui mourad</t>
  </si>
  <si>
    <t>720 bt 02 n33</t>
  </si>
  <si>
    <t>NB(044/2026)</t>
  </si>
  <si>
    <t>2025177785</t>
  </si>
  <si>
    <t>Zouaoui said</t>
  </si>
  <si>
    <t>720 bt 16 n32</t>
  </si>
  <si>
    <t>NB(035/2026)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</si>
</sst>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49" fontId="12" fillId="0" borderId="2" xfId="1" applyNumberFormat="1" applyFont="1" applyBorder="1" applyAlignment="1">
      <alignment horizontal="center" vertical="top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86</xdr:row>
      <xdr:rowOff>9525</xdr:rowOff>
    </xdr:from>
    <xdr:to>
      <xdr:col>7</xdr:col>
      <xdr:colOff>47625</xdr:colOff>
      <xdr:row>87</xdr:row>
      <xdr:rowOff>57150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1656397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89"/>
  <sheetViews>
    <sheetView tabSelected="1" topLeftCell="A54" zoomScaleNormal="100" workbookViewId="0">
      <selection activeCell="D44" sqref="D4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4" t="s">
        <v>0</v>
      </c>
      <c r="B1" s="24"/>
      <c r="C1" s="2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5" t="s">
        <v>2</v>
      </c>
      <c r="B2" s="25"/>
      <c r="C2" s="25"/>
      <c r="D2" s="2"/>
      <c r="E2" s="5" t="s">
        <v>3</v>
      </c>
      <c r="F2" s="5"/>
      <c r="G2" s="3"/>
      <c r="H2" s="3"/>
      <c r="I2" s="22" t="s">
        <v>4</v>
      </c>
      <c r="J2" s="23"/>
      <c r="K2" s="6">
        <f>SUMIF(F7:F364,"Elimination*",G7:G364)</f>
        <v>18</v>
      </c>
    </row>
    <row r="3" spans="1:11" x14ac:dyDescent="0.25">
      <c r="A3" s="26" t="s">
        <v>5</v>
      </c>
      <c r="B3" s="26"/>
      <c r="C3" s="26"/>
      <c r="D3" s="5"/>
      <c r="E3" s="3" t="s">
        <v>6</v>
      </c>
      <c r="F3" s="3"/>
      <c r="G3" s="3"/>
      <c r="H3" s="3"/>
      <c r="I3" s="22" t="s">
        <v>7</v>
      </c>
      <c r="J3" s="23"/>
      <c r="K3" s="6">
        <f>SUMIF(F7:F364,"NB*",G7:G364)</f>
        <v>61</v>
      </c>
    </row>
    <row r="4" spans="1:11" ht="18" x14ac:dyDescent="0.25">
      <c r="A4" s="24" t="s">
        <v>8</v>
      </c>
      <c r="B4" s="24"/>
      <c r="C4" s="24"/>
      <c r="D4" s="24"/>
      <c r="E4" s="24"/>
      <c r="F4" s="24"/>
      <c r="G4" s="3"/>
      <c r="H4" s="3"/>
      <c r="I4" s="22" t="s">
        <v>9</v>
      </c>
      <c r="J4" s="23"/>
      <c r="K4" s="6">
        <f>SUMIF(F7:F364,"Ve*",G7:G364)</f>
        <v>0</v>
      </c>
    </row>
    <row r="5" spans="1:11" ht="15.75" x14ac:dyDescent="0.25">
      <c r="A5" s="21" t="s">
        <v>21</v>
      </c>
      <c r="B5" s="21"/>
      <c r="C5" s="21"/>
      <c r="D5" s="21"/>
      <c r="E5" s="21"/>
      <c r="F5" s="21"/>
      <c r="G5" s="7"/>
      <c r="H5" s="7"/>
      <c r="I5" s="22" t="s">
        <v>10</v>
      </c>
      <c r="J5" s="23"/>
      <c r="K5" s="8">
        <f>SUM(K2:K4)</f>
        <v>79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3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2025177963</v>
      </c>
      <c r="E22" s="15">
        <v>46030</v>
      </c>
      <c r="F22" s="16" t="s">
        <v>103</v>
      </c>
      <c r="G22" s="17">
        <v>1</v>
      </c>
      <c r="H22" s="18" t="s">
        <v>104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112</v>
      </c>
      <c r="E28" s="15">
        <v>46035</v>
      </c>
      <c r="F28" s="16" t="s">
        <v>107</v>
      </c>
      <c r="G28" s="17">
        <v>1</v>
      </c>
      <c r="H28" s="4" t="s">
        <v>111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100</v>
      </c>
      <c r="E29" s="15">
        <v>46035</v>
      </c>
      <c r="F29" s="16" t="s">
        <v>101</v>
      </c>
      <c r="G29" s="17">
        <v>1</v>
      </c>
      <c r="H29" s="4" t="s">
        <v>102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95</v>
      </c>
      <c r="E33" s="15">
        <v>46036</v>
      </c>
      <c r="F33" s="16" t="s">
        <v>91</v>
      </c>
      <c r="G33" s="17">
        <v>1</v>
      </c>
      <c r="H33" s="4" t="s">
        <v>96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97</v>
      </c>
      <c r="E36" s="15">
        <v>46036</v>
      </c>
      <c r="F36" s="16" t="s">
        <v>98</v>
      </c>
      <c r="G36" s="17">
        <v>1</v>
      </c>
      <c r="H36" s="4" t="s">
        <v>99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158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108</v>
      </c>
      <c r="E41" s="15">
        <v>46040</v>
      </c>
      <c r="F41" s="16" t="s">
        <v>110</v>
      </c>
      <c r="G41" s="17">
        <v>1</v>
      </c>
      <c r="H41" s="4" t="s">
        <v>109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105</v>
      </c>
      <c r="E42" s="15">
        <v>46040</v>
      </c>
      <c r="F42" s="16" t="s">
        <v>107</v>
      </c>
      <c r="G42" s="17">
        <v>1</v>
      </c>
      <c r="H42" s="4" t="s">
        <v>106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116</v>
      </c>
      <c r="E43" s="15">
        <v>46041</v>
      </c>
      <c r="F43" s="16" t="s">
        <v>119</v>
      </c>
      <c r="G43" s="17">
        <v>1</v>
      </c>
      <c r="H43" s="4" t="s">
        <v>117</v>
      </c>
      <c r="I43" s="20" t="s">
        <v>118</v>
      </c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113</v>
      </c>
      <c r="E44" s="15">
        <v>46041</v>
      </c>
      <c r="F44" s="16" t="s">
        <v>114</v>
      </c>
      <c r="G44" s="17">
        <v>1</v>
      </c>
      <c r="H44" s="4" t="s">
        <v>115</v>
      </c>
      <c r="I44" s="20" t="s">
        <v>94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120</v>
      </c>
      <c r="E45" s="15">
        <v>46042</v>
      </c>
      <c r="F45" s="16" t="s">
        <v>121</v>
      </c>
      <c r="G45" s="17">
        <v>1</v>
      </c>
      <c r="H45" s="4" t="s">
        <v>122</v>
      </c>
      <c r="I45" s="20" t="s">
        <v>123</v>
      </c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140</v>
      </c>
      <c r="E46" s="15">
        <v>46043</v>
      </c>
      <c r="F46" s="16" t="s">
        <v>141</v>
      </c>
      <c r="G46" s="17">
        <v>1</v>
      </c>
      <c r="H46" s="4" t="s">
        <v>142</v>
      </c>
      <c r="I46" s="20" t="s">
        <v>143</v>
      </c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144</v>
      </c>
      <c r="E47" s="15">
        <v>46043</v>
      </c>
      <c r="F47" s="16" t="s">
        <v>147</v>
      </c>
      <c r="G47" s="17">
        <v>1</v>
      </c>
      <c r="H47" s="4" t="s">
        <v>145</v>
      </c>
      <c r="I47" s="20" t="s">
        <v>146</v>
      </c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148</v>
      </c>
      <c r="E48" s="15">
        <v>46043</v>
      </c>
      <c r="F48" s="16" t="s">
        <v>151</v>
      </c>
      <c r="G48" s="17">
        <v>1</v>
      </c>
      <c r="H48" s="4" t="s">
        <v>149</v>
      </c>
      <c r="I48" s="20" t="s">
        <v>150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128</v>
      </c>
      <c r="E49" s="15">
        <v>46044</v>
      </c>
      <c r="F49" s="16" t="s">
        <v>131</v>
      </c>
      <c r="G49" s="17">
        <v>1</v>
      </c>
      <c r="H49" s="4" t="s">
        <v>129</v>
      </c>
      <c r="I49" s="20" t="s">
        <v>130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132</v>
      </c>
      <c r="E50" s="15">
        <v>46044</v>
      </c>
      <c r="F50" s="16" t="s">
        <v>133</v>
      </c>
      <c r="G50" s="17">
        <v>1</v>
      </c>
      <c r="H50" s="4" t="s">
        <v>134</v>
      </c>
      <c r="I50" s="20" t="s">
        <v>135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136</v>
      </c>
      <c r="E51" s="15">
        <v>46044</v>
      </c>
      <c r="F51" s="16" t="s">
        <v>139</v>
      </c>
      <c r="G51" s="17">
        <v>1</v>
      </c>
      <c r="H51" s="4" t="s">
        <v>137</v>
      </c>
      <c r="I51" s="20" t="s">
        <v>138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124</v>
      </c>
      <c r="E52" s="15">
        <v>46044</v>
      </c>
      <c r="F52" s="16" t="s">
        <v>125</v>
      </c>
      <c r="G52" s="17">
        <v>1</v>
      </c>
      <c r="H52" s="4" t="s">
        <v>126</v>
      </c>
      <c r="I52" s="20" t="s">
        <v>127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171</v>
      </c>
      <c r="E53" s="15">
        <v>46044</v>
      </c>
      <c r="F53" s="16" t="s">
        <v>139</v>
      </c>
      <c r="G53" s="17">
        <v>1</v>
      </c>
      <c r="H53" s="4" t="s">
        <v>152</v>
      </c>
      <c r="I53" s="20" t="s">
        <v>153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159</v>
      </c>
      <c r="E54" s="15">
        <v>46044</v>
      </c>
      <c r="F54" s="16" t="s">
        <v>160</v>
      </c>
      <c r="G54" s="17">
        <v>1</v>
      </c>
      <c r="H54" s="4" t="s">
        <v>161</v>
      </c>
      <c r="I54" s="20" t="s">
        <v>162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154</v>
      </c>
      <c r="E55" s="15">
        <v>46044</v>
      </c>
      <c r="F55" s="16" t="s">
        <v>157</v>
      </c>
      <c r="G55" s="17">
        <v>1</v>
      </c>
      <c r="H55" s="4" t="s">
        <v>155</v>
      </c>
      <c r="I55" s="20" t="s">
        <v>156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163</v>
      </c>
      <c r="E56" s="15">
        <v>46044</v>
      </c>
      <c r="F56" s="16" t="s">
        <v>166</v>
      </c>
      <c r="G56" s="17">
        <v>1</v>
      </c>
      <c r="H56" s="4" t="s">
        <v>164</v>
      </c>
      <c r="I56" s="20" t="s">
        <v>165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172</v>
      </c>
      <c r="E57" s="15">
        <v>46047</v>
      </c>
      <c r="F57" s="16" t="s">
        <v>175</v>
      </c>
      <c r="G57" s="17">
        <v>1</v>
      </c>
      <c r="H57" s="4" t="s">
        <v>173</v>
      </c>
      <c r="I57" s="20" t="s">
        <v>174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169</v>
      </c>
      <c r="E58" s="15">
        <v>46047</v>
      </c>
      <c r="F58" s="16" t="s">
        <v>170</v>
      </c>
      <c r="G58" s="17">
        <v>1</v>
      </c>
      <c r="H58" s="4" t="s">
        <v>167</v>
      </c>
      <c r="I58" s="20" t="s">
        <v>168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213</v>
      </c>
      <c r="E59" s="15">
        <v>46048</v>
      </c>
      <c r="F59" s="27" t="s">
        <v>216</v>
      </c>
      <c r="G59" s="17">
        <v>1</v>
      </c>
      <c r="H59" s="4" t="s">
        <v>214</v>
      </c>
      <c r="I59" s="20" t="s">
        <v>215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217</v>
      </c>
      <c r="E60" s="15">
        <v>46048</v>
      </c>
      <c r="F60" s="27" t="s">
        <v>220</v>
      </c>
      <c r="G60" s="17">
        <v>1</v>
      </c>
      <c r="H60" s="4" t="s">
        <v>218</v>
      </c>
      <c r="I60" s="20" t="s">
        <v>219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221</v>
      </c>
      <c r="E61" s="15">
        <v>46048</v>
      </c>
      <c r="F61" s="27" t="s">
        <v>224</v>
      </c>
      <c r="G61" s="17">
        <v>1</v>
      </c>
      <c r="H61" s="4" t="s">
        <v>222</v>
      </c>
      <c r="I61" s="20" t="s">
        <v>223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241</v>
      </c>
      <c r="E62" s="15">
        <v>46048</v>
      </c>
      <c r="F62" s="27" t="s">
        <v>244</v>
      </c>
      <c r="G62" s="17">
        <v>1</v>
      </c>
      <c r="H62" s="4" t="s">
        <v>242</v>
      </c>
      <c r="I62" s="20" t="s">
        <v>243</v>
      </c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245</v>
      </c>
      <c r="E63" s="15">
        <v>46048</v>
      </c>
      <c r="F63" s="27" t="s">
        <v>248</v>
      </c>
      <c r="G63" s="17">
        <v>1</v>
      </c>
      <c r="H63" s="4" t="s">
        <v>246</v>
      </c>
      <c r="I63" s="20" t="s">
        <v>247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225</v>
      </c>
      <c r="E64" s="15">
        <v>46049</v>
      </c>
      <c r="F64" s="27" t="s">
        <v>228</v>
      </c>
      <c r="G64" s="17">
        <v>1</v>
      </c>
      <c r="H64" s="4" t="s">
        <v>226</v>
      </c>
      <c r="I64" s="20" t="s">
        <v>227</v>
      </c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233</v>
      </c>
      <c r="E65" s="15">
        <v>46049</v>
      </c>
      <c r="F65" s="27" t="s">
        <v>236</v>
      </c>
      <c r="G65" s="17">
        <v>1</v>
      </c>
      <c r="H65" s="4" t="s">
        <v>234</v>
      </c>
      <c r="I65" s="20" t="s">
        <v>235</v>
      </c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229</v>
      </c>
      <c r="E66" s="15">
        <v>46049</v>
      </c>
      <c r="F66" s="27" t="s">
        <v>232</v>
      </c>
      <c r="G66" s="17">
        <v>1</v>
      </c>
      <c r="H66" s="4" t="s">
        <v>230</v>
      </c>
      <c r="I66" s="20" t="s">
        <v>231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237</v>
      </c>
      <c r="E67" s="15">
        <v>46050</v>
      </c>
      <c r="F67" s="27" t="s">
        <v>240</v>
      </c>
      <c r="G67" s="17">
        <v>1</v>
      </c>
      <c r="H67" s="4" t="s">
        <v>238</v>
      </c>
      <c r="I67" s="20" t="s">
        <v>239</v>
      </c>
    </row>
    <row r="68" spans="1:9" x14ac:dyDescent="0.25">
      <c r="A68" s="12">
        <f t="shared" si="0"/>
        <v>62</v>
      </c>
      <c r="B68" s="15" t="s">
        <v>185</v>
      </c>
      <c r="C68" s="13" t="s">
        <v>18</v>
      </c>
      <c r="D68" s="14" t="s">
        <v>186</v>
      </c>
      <c r="E68" s="15">
        <v>46050</v>
      </c>
      <c r="F68" s="16" t="s">
        <v>178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184</v>
      </c>
      <c r="C69" s="13" t="s">
        <v>18</v>
      </c>
      <c r="D69" s="14" t="s">
        <v>183</v>
      </c>
      <c r="E69" s="15">
        <v>46050</v>
      </c>
      <c r="F69" s="16" t="s">
        <v>178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181</v>
      </c>
      <c r="C70" s="13" t="s">
        <v>18</v>
      </c>
      <c r="D70" s="14" t="s">
        <v>182</v>
      </c>
      <c r="E70" s="15">
        <v>46050</v>
      </c>
      <c r="F70" s="16" t="s">
        <v>178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176</v>
      </c>
      <c r="C71" s="13" t="s">
        <v>18</v>
      </c>
      <c r="D71" s="14" t="s">
        <v>177</v>
      </c>
      <c r="E71" s="15">
        <v>46050</v>
      </c>
      <c r="F71" s="16" t="s">
        <v>178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179</v>
      </c>
      <c r="C72" s="13" t="s">
        <v>18</v>
      </c>
      <c r="D72" s="14" t="s">
        <v>180</v>
      </c>
      <c r="E72" s="15">
        <v>46050</v>
      </c>
      <c r="F72" s="16" t="s">
        <v>178</v>
      </c>
      <c r="G72" s="17">
        <v>1</v>
      </c>
      <c r="H72" s="4"/>
    </row>
    <row r="73" spans="1:9" x14ac:dyDescent="0.25">
      <c r="A73" s="12">
        <f t="shared" ref="A73:A89" si="1">+A72+1</f>
        <v>67</v>
      </c>
      <c r="B73" s="15" t="s">
        <v>205</v>
      </c>
      <c r="C73" s="13" t="s">
        <v>18</v>
      </c>
      <c r="D73" s="14" t="s">
        <v>206</v>
      </c>
      <c r="E73" s="15">
        <v>46050</v>
      </c>
      <c r="F73" s="16" t="s">
        <v>178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201</v>
      </c>
      <c r="C74" s="13" t="s">
        <v>18</v>
      </c>
      <c r="D74" s="14" t="s">
        <v>202</v>
      </c>
      <c r="E74" s="15">
        <v>46050</v>
      </c>
      <c r="F74" s="16" t="s">
        <v>178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199</v>
      </c>
      <c r="C75" s="13" t="s">
        <v>18</v>
      </c>
      <c r="D75" s="14" t="s">
        <v>200</v>
      </c>
      <c r="E75" s="15">
        <v>46050</v>
      </c>
      <c r="F75" s="16" t="s">
        <v>178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203</v>
      </c>
      <c r="C76" s="13" t="s">
        <v>18</v>
      </c>
      <c r="D76" s="14" t="s">
        <v>204</v>
      </c>
      <c r="E76" s="15">
        <v>46050</v>
      </c>
      <c r="F76" s="16" t="s">
        <v>178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193</v>
      </c>
      <c r="C77" s="13" t="s">
        <v>18</v>
      </c>
      <c r="D77" s="14" t="s">
        <v>194</v>
      </c>
      <c r="E77" s="15">
        <v>46050</v>
      </c>
      <c r="F77" s="16" t="s">
        <v>178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211</v>
      </c>
      <c r="C78" s="13" t="s">
        <v>18</v>
      </c>
      <c r="D78" s="14" t="s">
        <v>212</v>
      </c>
      <c r="E78" s="15">
        <v>46050</v>
      </c>
      <c r="F78" s="16" t="s">
        <v>178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209</v>
      </c>
      <c r="C79" s="13" t="s">
        <v>18</v>
      </c>
      <c r="D79" s="14" t="s">
        <v>210</v>
      </c>
      <c r="E79" s="15">
        <v>46050</v>
      </c>
      <c r="F79" s="16" t="s">
        <v>178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207</v>
      </c>
      <c r="C80" s="13" t="s">
        <v>18</v>
      </c>
      <c r="D80" s="14" t="s">
        <v>208</v>
      </c>
      <c r="E80" s="15">
        <v>46050</v>
      </c>
      <c r="F80" s="16" t="s">
        <v>178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189</v>
      </c>
      <c r="C81" s="13" t="s">
        <v>18</v>
      </c>
      <c r="D81" s="14" t="s">
        <v>190</v>
      </c>
      <c r="E81" s="15">
        <v>46050</v>
      </c>
      <c r="F81" s="16" t="s">
        <v>178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195</v>
      </c>
      <c r="C82" s="13" t="s">
        <v>18</v>
      </c>
      <c r="D82" s="14" t="s">
        <v>196</v>
      </c>
      <c r="E82" s="15">
        <v>46050</v>
      </c>
      <c r="F82" s="16" t="s">
        <v>178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197</v>
      </c>
      <c r="C83" s="13" t="s">
        <v>18</v>
      </c>
      <c r="D83" s="14" t="s">
        <v>198</v>
      </c>
      <c r="E83" s="15">
        <v>46050</v>
      </c>
      <c r="F83" s="16" t="s">
        <v>178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187</v>
      </c>
      <c r="C84" s="13" t="s">
        <v>18</v>
      </c>
      <c r="D84" s="14" t="s">
        <v>188</v>
      </c>
      <c r="E84" s="15">
        <v>46050</v>
      </c>
      <c r="F84" s="16" t="s">
        <v>178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191</v>
      </c>
      <c r="C85" s="13" t="s">
        <v>18</v>
      </c>
      <c r="D85" s="14" t="s">
        <v>192</v>
      </c>
      <c r="E85" s="15">
        <v>46050</v>
      </c>
      <c r="F85" s="16" t="s">
        <v>178</v>
      </c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</sheetData>
  <sortState xmlns:xlrd2="http://schemas.microsoft.com/office/spreadsheetml/2017/richdata2" ref="B7:I85">
    <sortCondition ref="E7:E85"/>
    <sortCondition ref="D7:D85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2026-01-29T12:45:40Z</dcterms:modified>
</cp:coreProperties>
</file>