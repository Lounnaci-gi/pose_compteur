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Berrouaghia\"/>
    </mc:Choice>
  </mc:AlternateContent>
  <xr:revisionPtr revIDLastSave="0" documentId="13_ncr:1_{A82B67A7-5C49-4078-867B-EB75125E25F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anvier 2026" sheetId="1" r:id="rId1"/>
  </sheets>
  <definedNames>
    <definedName name="_xlnm.Print_Titles" localSheetId="0">'Janvier 2026'!$1:$6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" l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K4" i="1"/>
  <c r="K3" i="1"/>
  <c r="K2" i="1"/>
  <c r="A39" i="1" l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K5" i="1"/>
</calcChain>
</file>

<file path=xl/sharedStrings.xml><?xml version="1.0" encoding="utf-8"?>
<sst xmlns="http://schemas.openxmlformats.org/spreadsheetml/2006/main" count="270" uniqueCount="173">
  <si>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</si>
  <si>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</si>
  <si>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</si>
  <si>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</si>
  <si>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</si>
  <si>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</si>
  <si>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 xml:space="preserve">              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</si>
  <si>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</si>
  <si>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</si>
  <si>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</si>
  <si>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</si>
  <si>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</si>
  <si>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</si>
  <si>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</si>
  <si>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</si>
  <si>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</si>
  <si>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</si>
  <si>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</si>
  <si>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15/21</t>
  </si>
  <si>
    <t>B1</t>
  </si>
  <si>
    <t>ff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</si>
  <si>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</si>
  <si>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Bouyahia amel</t>
  </si>
  <si>
    <t>NB(766/2025)</t>
  </si>
  <si>
    <t xml:space="preserve">Boukhari barkahoum </t>
  </si>
  <si>
    <t>NB(363/2025)</t>
  </si>
  <si>
    <t>Ahmed messoud ali</t>
  </si>
  <si>
    <t>NB(740/2025)</t>
  </si>
  <si>
    <t>Rais mouloud</t>
  </si>
  <si>
    <t>NB(723/2025)</t>
  </si>
  <si>
    <t>Djouablia nawal</t>
  </si>
  <si>
    <t>NB(737/2025)</t>
  </si>
  <si>
    <t>NB(736/2025)</t>
  </si>
  <si>
    <t>Log fonct lycee bousmaha</t>
  </si>
  <si>
    <t>NB(747/2025)</t>
  </si>
  <si>
    <t>Akaba said</t>
  </si>
  <si>
    <t>NB(760/2025)</t>
  </si>
  <si>
    <t>Achit fatma</t>
  </si>
  <si>
    <t>Gheribi hamza</t>
  </si>
  <si>
    <t>NB(758/2025)</t>
  </si>
  <si>
    <t>Saidani med</t>
  </si>
  <si>
    <t>NB(748/2025)</t>
  </si>
  <si>
    <t>Rezrazi kamel</t>
  </si>
  <si>
    <t>NB(756/2025)</t>
  </si>
  <si>
    <t>Belhadj charaf eddine</t>
  </si>
  <si>
    <t>NB(762/2025)</t>
  </si>
  <si>
    <t>NB(630/2025)</t>
  </si>
  <si>
    <t>Sissani khaled</t>
  </si>
  <si>
    <t>Mezli aicha</t>
  </si>
  <si>
    <t>NB(706/2025)</t>
  </si>
  <si>
    <t>NB(011/2026)</t>
  </si>
  <si>
    <t>Hanniche zehour</t>
  </si>
  <si>
    <t>NB(550/2025)</t>
  </si>
  <si>
    <t>Makhloufi messaoud</t>
  </si>
  <si>
    <t>2025177277</t>
  </si>
  <si>
    <t>NB(416/2025)</t>
  </si>
  <si>
    <t>Youcef ezzine bensouna</t>
  </si>
  <si>
    <t>2025177276</t>
  </si>
  <si>
    <t>Ghiatou ouardia</t>
  </si>
  <si>
    <t>NB(705/2025)</t>
  </si>
  <si>
    <t>2025177961</t>
  </si>
  <si>
    <t>NB(611/2025)</t>
  </si>
  <si>
    <t>Benkortbi saad eddine</t>
  </si>
  <si>
    <t>2025177962</t>
  </si>
  <si>
    <t>Belzekour noureddine</t>
  </si>
  <si>
    <t>NB(759/2025)</t>
  </si>
  <si>
    <t>2025177279</t>
  </si>
  <si>
    <t>NB(761/2025)</t>
  </si>
  <si>
    <t>Anabi med</t>
  </si>
  <si>
    <t>720 bt 1 n30</t>
  </si>
  <si>
    <t>2025177280</t>
  </si>
  <si>
    <t>NB(623/2025)</t>
  </si>
  <si>
    <t>Ziane halima</t>
  </si>
  <si>
    <t>720 bt 16 n21</t>
  </si>
  <si>
    <t>B4</t>
  </si>
  <si>
    <t>2025177278</t>
  </si>
  <si>
    <t>Bouguessa youcef</t>
  </si>
  <si>
    <t>Ain omrane</t>
  </si>
  <si>
    <t>NB(659/2025)</t>
  </si>
  <si>
    <t>2025177324</t>
  </si>
  <si>
    <t>NB(002/2026)</t>
  </si>
  <si>
    <t>Reguieg chakib</t>
  </si>
  <si>
    <t>720 bt 1 n29</t>
  </si>
  <si>
    <t>2025177322</t>
  </si>
  <si>
    <t>Bedoui ines</t>
  </si>
  <si>
    <t>720 bt 8 n22</t>
  </si>
  <si>
    <t>Aouiche rabah</t>
  </si>
  <si>
    <t>720 bt 17 n8</t>
  </si>
  <si>
    <t>2025177275</t>
  </si>
  <si>
    <t>Kouidri benyouef</t>
  </si>
  <si>
    <t>720 bt 1 n11</t>
  </si>
  <si>
    <t>2025177325</t>
  </si>
  <si>
    <t>Boubakeur abdellah</t>
  </si>
  <si>
    <t>720 bt 16 n17</t>
  </si>
  <si>
    <t>NB(520/2025)</t>
  </si>
  <si>
    <t>NB(752/2025)</t>
  </si>
  <si>
    <t>NB(515/2025)</t>
  </si>
  <si>
    <t>NB(590/2025)</t>
  </si>
  <si>
    <t>2025177274</t>
  </si>
  <si>
    <t>NB(543/2025)</t>
  </si>
  <si>
    <t>Fergani bachir</t>
  </si>
  <si>
    <t>B2</t>
  </si>
  <si>
    <t>Cité hantabli</t>
  </si>
  <si>
    <t>2025177271</t>
  </si>
  <si>
    <t>Lassar tayeb</t>
  </si>
  <si>
    <t>1ere tranche n3</t>
  </si>
  <si>
    <t>2025177321</t>
  </si>
  <si>
    <t>NB(498/2025)</t>
  </si>
  <si>
    <t>Kridi aek</t>
  </si>
  <si>
    <t>720 bt 8 n35</t>
  </si>
  <si>
    <t>2025177273</t>
  </si>
  <si>
    <t>NB(024/2026)</t>
  </si>
  <si>
    <t>Toumi f/zohra</t>
  </si>
  <si>
    <t>720 bt 13 n32</t>
  </si>
  <si>
    <t>NB(387/2025)</t>
  </si>
  <si>
    <t>Zaidi souhaib</t>
  </si>
  <si>
    <t>2025177559</t>
  </si>
  <si>
    <t>Sahlaoui lyes</t>
  </si>
  <si>
    <t>720 bt 10 n31</t>
  </si>
  <si>
    <t>NB(556/2025)</t>
  </si>
  <si>
    <t>2025177330</t>
  </si>
  <si>
    <t>Belkahla rachid</t>
  </si>
  <si>
    <t>Djennane toubal bt A n15</t>
  </si>
  <si>
    <t>NB(755/2025)</t>
  </si>
  <si>
    <t>Fatmi aek</t>
  </si>
  <si>
    <t>720 bt 5 n3</t>
  </si>
  <si>
    <t>2025177272</t>
  </si>
  <si>
    <t>2025177831</t>
  </si>
  <si>
    <t>NB(701/2025)</t>
  </si>
  <si>
    <t>Khelifa rabah</t>
  </si>
  <si>
    <t>2025177554</t>
  </si>
  <si>
    <t>Rahmani ali</t>
  </si>
  <si>
    <t>720 bt 2 n7</t>
  </si>
  <si>
    <t>NB(003/2026)</t>
  </si>
  <si>
    <t>2025177553</t>
  </si>
  <si>
    <t>NB(298/2025)</t>
  </si>
  <si>
    <t>Maadadi ismail</t>
  </si>
  <si>
    <t>Djennane toubal n682</t>
  </si>
  <si>
    <t>2025177863</t>
  </si>
  <si>
    <t>NB(009/2026)</t>
  </si>
  <si>
    <t>Metidji billel</t>
  </si>
  <si>
    <t>720 bt 2 n32</t>
  </si>
  <si>
    <t>2025177560</t>
  </si>
  <si>
    <t>Benalal ibrahim</t>
  </si>
  <si>
    <t>720 bt 1 n14</t>
  </si>
  <si>
    <t>NB(031/2026)</t>
  </si>
  <si>
    <t>2025177861</t>
  </si>
  <si>
    <t>NB(015/2026)</t>
  </si>
  <si>
    <t>Mehnaoui aek</t>
  </si>
  <si>
    <t>720 bt 9 n4</t>
  </si>
  <si>
    <t>2025177862</t>
  </si>
  <si>
    <t>Bensedgua kamel</t>
  </si>
  <si>
    <t>720 bt 10 n24</t>
  </si>
  <si>
    <t>NB(029/2026)</t>
  </si>
  <si>
    <t>2025177551</t>
  </si>
  <si>
    <t>NB(013/2026)</t>
  </si>
  <si>
    <t>Boulariah med</t>
  </si>
  <si>
    <t>720 bt 1 n22</t>
  </si>
  <si>
    <t>2025177556</t>
  </si>
  <si>
    <t>Belkhir nassira</t>
  </si>
  <si>
    <t>720 bt 17 n20</t>
  </si>
  <si>
    <t>NB(027/2026)</t>
  </si>
  <si>
    <t>2025177557</t>
  </si>
  <si>
    <t>Sabour abdelhafid</t>
  </si>
  <si>
    <t>720 bt 18 n25</t>
  </si>
  <si>
    <t>NB(033/2026)</t>
  </si>
  <si>
    <t>Boubakri fahima</t>
  </si>
  <si>
    <t>720 bt 16 n18</t>
  </si>
  <si>
    <t>2025177866</t>
  </si>
  <si>
    <t>Abdallah nacer</t>
  </si>
  <si>
    <t>720 bt 1 n33</t>
  </si>
  <si>
    <t>NB(008/2026)</t>
  </si>
  <si>
    <t>2025177323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</si>
</sst>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sz val="8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b/>
      <i/>
      <sz val="11"/>
      <name val="Arial"/>
      <family val="2"/>
    </font>
    <font>
      <b/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27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0" borderId="0" xfId="1"/>
    <xf numFmtId="0" fontId="4" fillId="0" borderId="0" xfId="1" applyFont="1" applyAlignment="1">
      <alignment vertical="center"/>
    </xf>
    <xf numFmtId="0" fontId="4" fillId="2" borderId="2" xfId="1" applyFont="1" applyFill="1" applyBorder="1" applyAlignment="1">
      <alignment horizontal="center"/>
    </xf>
    <xf numFmtId="0" fontId="1" fillId="0" borderId="0" xfId="2" applyAlignment="1">
      <alignment vertical="center"/>
    </xf>
    <xf numFmtId="0" fontId="6" fillId="2" borderId="2" xfId="2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49" fontId="8" fillId="0" borderId="2" xfId="1" applyNumberFormat="1" applyFont="1" applyBorder="1" applyAlignment="1">
      <alignment horizontal="center" vertical="center" wrapText="1"/>
    </xf>
    <xf numFmtId="14" fontId="8" fillId="0" borderId="2" xfId="1" applyNumberFormat="1" applyFont="1" applyBorder="1" applyAlignment="1">
      <alignment horizontal="center" vertical="center" wrapText="1"/>
    </xf>
    <xf numFmtId="49" fontId="9" fillId="0" borderId="2" xfId="1" applyNumberFormat="1" applyFont="1" applyBorder="1" applyAlignment="1">
      <alignment horizontal="center" vertical="top" wrapText="1"/>
    </xf>
    <xf numFmtId="0" fontId="5" fillId="0" borderId="2" xfId="1" applyFont="1" applyBorder="1" applyAlignment="1">
      <alignment horizontal="right" vertical="center" wrapText="1"/>
    </xf>
    <xf numFmtId="49" fontId="1" fillId="0" borderId="0" xfId="1" applyNumberFormat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0" fontId="1" fillId="0" borderId="0" xfId="1" applyAlignment="1">
      <alignment vertical="center" wrapText="1"/>
    </xf>
    <xf numFmtId="0" fontId="3" fillId="0" borderId="3" xfId="2" applyFont="1" applyBorder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19060</xdr:colOff>
      <xdr:row>57</xdr:row>
      <xdr:rowOff>142875</xdr:rowOff>
    </xdr:from>
    <xdr:to>
      <xdr:col>6</xdr:col>
      <xdr:colOff>0</xdr:colOff>
      <xdr:row>63</xdr:row>
      <xdr:rowOff>180975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9610" y="11172825"/>
          <a:ext cx="4448165" cy="11811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68"/>
  <sheetViews>
    <sheetView tabSelected="1" topLeftCell="A23" zoomScaleNormal="100" workbookViewId="0">
      <selection activeCell="H41" sqref="H41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4" t="s">
        <v>0</v>
      </c>
      <c r="B1" s="24"/>
      <c r="C1" s="24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5" t="s">
        <v>2</v>
      </c>
      <c r="B2" s="25"/>
      <c r="C2" s="25"/>
      <c r="D2" s="2"/>
      <c r="E2" s="5" t="s">
        <v>3</v>
      </c>
      <c r="F2" s="5"/>
      <c r="G2" s="3"/>
      <c r="H2" s="3"/>
      <c r="I2" s="22" t="s">
        <v>4</v>
      </c>
      <c r="J2" s="23"/>
      <c r="K2" s="6">
        <f>SUMIF(F7:F364,"Elimination*",G7:G364)</f>
        <v>0</v>
      </c>
    </row>
    <row r="3" spans="1:11" x14ac:dyDescent="0.25">
      <c r="A3" s="26" t="s">
        <v>5</v>
      </c>
      <c r="B3" s="26"/>
      <c r="C3" s="26"/>
      <c r="D3" s="5"/>
      <c r="E3" s="3" t="s">
        <v>6</v>
      </c>
      <c r="F3" s="3"/>
      <c r="G3" s="3"/>
      <c r="H3" s="3"/>
      <c r="I3" s="22" t="s">
        <v>7</v>
      </c>
      <c r="J3" s="23"/>
      <c r="K3" s="6">
        <f>SUMIF(F7:F364,"NB*",G7:G364)</f>
        <v>48</v>
      </c>
    </row>
    <row r="4" spans="1:11" ht="18" x14ac:dyDescent="0.25">
      <c r="A4" s="24" t="s">
        <v>8</v>
      </c>
      <c r="B4" s="24"/>
      <c r="C4" s="24"/>
      <c r="D4" s="24"/>
      <c r="E4" s="24"/>
      <c r="F4" s="24"/>
      <c r="G4" s="3"/>
      <c r="H4" s="3"/>
      <c r="I4" s="22" t="s">
        <v>9</v>
      </c>
      <c r="J4" s="23"/>
      <c r="K4" s="6">
        <f>SUMIF(F7:F364,"Ve*",G7:G364)</f>
        <v>0</v>
      </c>
    </row>
    <row r="5" spans="1:11" ht="15.75" x14ac:dyDescent="0.25">
      <c r="A5" s="21" t="s">
        <v>21</v>
      </c>
      <c r="B5" s="21"/>
      <c r="C5" s="21"/>
      <c r="D5" s="21"/>
      <c r="E5" s="21"/>
      <c r="F5" s="21"/>
      <c r="G5" s="7"/>
      <c r="H5" s="7"/>
      <c r="I5" s="22" t="s">
        <v>10</v>
      </c>
      <c r="J5" s="23"/>
      <c r="K5" s="8">
        <f>SUM(K2:K4)</f>
        <v>48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2025177951</v>
      </c>
      <c r="E7" s="15">
        <v>46026</v>
      </c>
      <c r="F7" s="16" t="s">
        <v>45</v>
      </c>
      <c r="G7" s="17">
        <v>1</v>
      </c>
      <c r="H7" s="18" t="s">
        <v>44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3">
        <v>2025177952</v>
      </c>
      <c r="E8" s="15">
        <v>46026</v>
      </c>
      <c r="F8" s="16" t="s">
        <v>23</v>
      </c>
      <c r="G8" s="17">
        <v>1</v>
      </c>
      <c r="H8" s="18" t="s">
        <v>22</v>
      </c>
      <c r="I8" s="20"/>
      <c r="J8" s="20"/>
      <c r="K8" s="4"/>
    </row>
    <row r="9" spans="1:11" ht="15" customHeight="1" x14ac:dyDescent="0.25">
      <c r="A9" s="12">
        <f t="shared" ref="A9:A68" si="0">+A8+1</f>
        <v>3</v>
      </c>
      <c r="B9" s="13" t="s">
        <v>19</v>
      </c>
      <c r="C9" s="13" t="s">
        <v>18</v>
      </c>
      <c r="D9" s="13">
        <v>2025177957</v>
      </c>
      <c r="E9" s="15">
        <v>46026</v>
      </c>
      <c r="F9" s="16" t="s">
        <v>25</v>
      </c>
      <c r="G9" s="17">
        <v>1</v>
      </c>
      <c r="H9" s="18" t="s">
        <v>24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3">
        <v>2025177958</v>
      </c>
      <c r="E10" s="15">
        <v>46026</v>
      </c>
      <c r="F10" s="16" t="s">
        <v>29</v>
      </c>
      <c r="G10" s="17">
        <v>1</v>
      </c>
      <c r="H10" s="18" t="s">
        <v>28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18</v>
      </c>
      <c r="D11" s="13">
        <v>2025177959</v>
      </c>
      <c r="E11" s="15">
        <v>46026</v>
      </c>
      <c r="F11" s="16" t="s">
        <v>27</v>
      </c>
      <c r="G11" s="17">
        <v>1</v>
      </c>
      <c r="H11" s="18" t="s">
        <v>26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3">
        <v>2025177960</v>
      </c>
      <c r="E12" s="15">
        <v>46026</v>
      </c>
      <c r="F12" s="16" t="s">
        <v>31</v>
      </c>
      <c r="G12" s="17">
        <v>1</v>
      </c>
      <c r="H12" s="18" t="s">
        <v>30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2025177970</v>
      </c>
      <c r="E13" s="15">
        <v>46026</v>
      </c>
      <c r="F13" s="16" t="s">
        <v>39</v>
      </c>
      <c r="G13" s="17">
        <v>1</v>
      </c>
      <c r="H13" s="18" t="s">
        <v>38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2025177953</v>
      </c>
      <c r="E14" s="15">
        <v>46027</v>
      </c>
      <c r="F14" s="16" t="s">
        <v>36</v>
      </c>
      <c r="G14" s="17">
        <v>1</v>
      </c>
      <c r="H14" s="18" t="s">
        <v>37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2025177954</v>
      </c>
      <c r="E15" s="15">
        <v>46027</v>
      </c>
      <c r="F15" s="16" t="s">
        <v>41</v>
      </c>
      <c r="G15" s="17">
        <v>1</v>
      </c>
      <c r="H15" s="18" t="s">
        <v>40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2025177955</v>
      </c>
      <c r="E16" s="15">
        <v>46027</v>
      </c>
      <c r="F16" s="16" t="s">
        <v>34</v>
      </c>
      <c r="G16" s="17">
        <v>1</v>
      </c>
      <c r="H16" s="18" t="s">
        <v>35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3">
        <v>2025177967</v>
      </c>
      <c r="E17" s="15">
        <v>46027</v>
      </c>
      <c r="F17" s="16" t="s">
        <v>46</v>
      </c>
      <c r="G17" s="17">
        <v>1</v>
      </c>
      <c r="H17" s="18" t="s">
        <v>47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3">
        <v>2025177968</v>
      </c>
      <c r="E18" s="15">
        <v>46027</v>
      </c>
      <c r="F18" s="16" t="s">
        <v>32</v>
      </c>
      <c r="G18" s="17">
        <v>1</v>
      </c>
      <c r="H18" s="18" t="s">
        <v>33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3">
        <v>2025177969</v>
      </c>
      <c r="E19" s="15">
        <v>46027</v>
      </c>
      <c r="F19" s="16" t="s">
        <v>43</v>
      </c>
      <c r="G19" s="17">
        <v>1</v>
      </c>
      <c r="H19" s="18" t="s">
        <v>42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3">
        <v>2025177965</v>
      </c>
      <c r="E20" s="15">
        <v>46029</v>
      </c>
      <c r="F20" s="16" t="s">
        <v>50</v>
      </c>
      <c r="G20" s="17">
        <v>1</v>
      </c>
      <c r="H20" s="18" t="s">
        <v>51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3">
        <v>2025177966</v>
      </c>
      <c r="E21" s="15">
        <v>46029</v>
      </c>
      <c r="F21" s="16" t="s">
        <v>49</v>
      </c>
      <c r="G21" s="17">
        <v>1</v>
      </c>
      <c r="H21" s="18" t="s">
        <v>48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3">
        <v>2025177963</v>
      </c>
      <c r="E22" s="15">
        <v>46030</v>
      </c>
      <c r="F22" s="16" t="s">
        <v>114</v>
      </c>
      <c r="G22" s="17">
        <v>1</v>
      </c>
      <c r="H22" s="18" t="s">
        <v>115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2025177964</v>
      </c>
      <c r="E23" s="15">
        <v>46030</v>
      </c>
      <c r="F23" s="16" t="s">
        <v>52</v>
      </c>
      <c r="G23" s="17">
        <v>1</v>
      </c>
      <c r="H23" s="18" t="s">
        <v>53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4" t="s">
        <v>57</v>
      </c>
      <c r="E24" s="15">
        <v>46033</v>
      </c>
      <c r="F24" s="16" t="s">
        <v>59</v>
      </c>
      <c r="G24" s="17">
        <v>1</v>
      </c>
      <c r="H24" s="18" t="s">
        <v>58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4" t="s">
        <v>54</v>
      </c>
      <c r="E25" s="15">
        <v>46033</v>
      </c>
      <c r="F25" s="16" t="s">
        <v>55</v>
      </c>
      <c r="G25" s="17">
        <v>1</v>
      </c>
      <c r="H25" s="18" t="s">
        <v>56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4" t="s">
        <v>60</v>
      </c>
      <c r="E26" s="15">
        <v>46033</v>
      </c>
      <c r="F26" s="16" t="s">
        <v>61</v>
      </c>
      <c r="G26" s="17">
        <v>1</v>
      </c>
      <c r="H26" s="18" t="s">
        <v>62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4" t="s">
        <v>63</v>
      </c>
      <c r="E27" s="15">
        <v>46033</v>
      </c>
      <c r="F27" s="16" t="s">
        <v>65</v>
      </c>
      <c r="G27" s="17">
        <v>1</v>
      </c>
      <c r="H27" s="18" t="s">
        <v>64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4" t="s">
        <v>126</v>
      </c>
      <c r="E28" s="15">
        <v>46035</v>
      </c>
      <c r="F28" s="16" t="s">
        <v>119</v>
      </c>
      <c r="G28" s="17">
        <v>1</v>
      </c>
      <c r="H28" s="4" t="s">
        <v>124</v>
      </c>
      <c r="I28" s="20" t="s">
        <v>125</v>
      </c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4" t="s">
        <v>110</v>
      </c>
      <c r="E29" s="15">
        <v>46035</v>
      </c>
      <c r="F29" s="16" t="s">
        <v>111</v>
      </c>
      <c r="G29" s="17">
        <v>1</v>
      </c>
      <c r="H29" s="4" t="s">
        <v>112</v>
      </c>
      <c r="I29" s="20" t="s">
        <v>113</v>
      </c>
      <c r="J29" s="20"/>
    </row>
    <row r="30" spans="1:10" ht="15" customHeight="1" x14ac:dyDescent="0.25">
      <c r="A30" s="12">
        <f t="shared" si="0"/>
        <v>24</v>
      </c>
      <c r="B30" s="15" t="s">
        <v>74</v>
      </c>
      <c r="C30" s="13" t="s">
        <v>18</v>
      </c>
      <c r="D30" s="14" t="s">
        <v>75</v>
      </c>
      <c r="E30" s="15">
        <v>46035</v>
      </c>
      <c r="F30" s="16" t="s">
        <v>78</v>
      </c>
      <c r="G30" s="17">
        <v>1</v>
      </c>
      <c r="H30" s="18" t="s">
        <v>76</v>
      </c>
      <c r="I30" s="20" t="s">
        <v>77</v>
      </c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4" t="s">
        <v>66</v>
      </c>
      <c r="E31" s="15">
        <v>46035</v>
      </c>
      <c r="F31" s="16" t="s">
        <v>67</v>
      </c>
      <c r="G31" s="17">
        <v>1</v>
      </c>
      <c r="H31" s="18" t="s">
        <v>68</v>
      </c>
      <c r="I31" s="20" t="s">
        <v>69</v>
      </c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4" t="s">
        <v>70</v>
      </c>
      <c r="E32" s="15">
        <v>46035</v>
      </c>
      <c r="F32" s="16" t="s">
        <v>71</v>
      </c>
      <c r="G32" s="17">
        <v>1</v>
      </c>
      <c r="H32" s="18" t="s">
        <v>72</v>
      </c>
      <c r="I32" s="20" t="s">
        <v>73</v>
      </c>
      <c r="J32" s="4"/>
    </row>
    <row r="33" spans="1:10" ht="15" customHeight="1" x14ac:dyDescent="0.25">
      <c r="A33" s="12">
        <f t="shared" si="0"/>
        <v>27</v>
      </c>
      <c r="B33" s="15" t="s">
        <v>19</v>
      </c>
      <c r="C33" s="13" t="s">
        <v>18</v>
      </c>
      <c r="D33" s="14" t="s">
        <v>103</v>
      </c>
      <c r="E33" s="15">
        <v>46036</v>
      </c>
      <c r="F33" s="16" t="s">
        <v>99</v>
      </c>
      <c r="G33" s="17">
        <v>1</v>
      </c>
      <c r="H33" s="4" t="s">
        <v>104</v>
      </c>
      <c r="I33" s="4" t="s">
        <v>105</v>
      </c>
      <c r="J33" s="4"/>
    </row>
    <row r="34" spans="1:10" ht="15" customHeight="1" x14ac:dyDescent="0.25">
      <c r="A34" s="12">
        <f t="shared" si="0"/>
        <v>28</v>
      </c>
      <c r="B34" s="15" t="s">
        <v>101</v>
      </c>
      <c r="C34" s="13" t="s">
        <v>18</v>
      </c>
      <c r="D34" s="14" t="s">
        <v>98</v>
      </c>
      <c r="E34" s="15">
        <v>46036</v>
      </c>
      <c r="F34" s="16" t="s">
        <v>99</v>
      </c>
      <c r="G34" s="17">
        <v>1</v>
      </c>
      <c r="H34" s="4" t="s">
        <v>100</v>
      </c>
      <c r="I34" s="20" t="s">
        <v>102</v>
      </c>
      <c r="J34" s="4"/>
    </row>
    <row r="35" spans="1:10" ht="15" customHeight="1" x14ac:dyDescent="0.25">
      <c r="A35" s="12">
        <f t="shared" si="0"/>
        <v>29</v>
      </c>
      <c r="B35" s="15" t="s">
        <v>19</v>
      </c>
      <c r="C35" s="13" t="s">
        <v>18</v>
      </c>
      <c r="D35" s="14" t="s">
        <v>88</v>
      </c>
      <c r="E35" s="15">
        <v>46036</v>
      </c>
      <c r="F35" s="16" t="s">
        <v>95</v>
      </c>
      <c r="G35" s="17">
        <v>1</v>
      </c>
      <c r="H35" s="4" t="s">
        <v>89</v>
      </c>
      <c r="I35" s="20" t="s">
        <v>90</v>
      </c>
      <c r="J35" s="4"/>
    </row>
    <row r="36" spans="1:10" ht="15" customHeight="1" x14ac:dyDescent="0.25">
      <c r="A36" s="12">
        <f t="shared" si="0"/>
        <v>30</v>
      </c>
      <c r="B36" s="15" t="s">
        <v>19</v>
      </c>
      <c r="C36" s="13" t="s">
        <v>18</v>
      </c>
      <c r="D36" s="14" t="s">
        <v>106</v>
      </c>
      <c r="E36" s="15">
        <v>46036</v>
      </c>
      <c r="F36" s="16" t="s">
        <v>107</v>
      </c>
      <c r="G36" s="17">
        <v>1</v>
      </c>
      <c r="H36" s="4" t="s">
        <v>108</v>
      </c>
      <c r="I36" s="20" t="s">
        <v>109</v>
      </c>
      <c r="J36" s="4"/>
    </row>
    <row r="37" spans="1:10" ht="15" customHeight="1" x14ac:dyDescent="0.25">
      <c r="A37" s="12">
        <f t="shared" si="0"/>
        <v>31</v>
      </c>
      <c r="B37" s="15" t="s">
        <v>19</v>
      </c>
      <c r="C37" s="13" t="s">
        <v>18</v>
      </c>
      <c r="D37" s="14" t="s">
        <v>83</v>
      </c>
      <c r="E37" s="15">
        <v>46036</v>
      </c>
      <c r="F37" s="16" t="s">
        <v>97</v>
      </c>
      <c r="G37" s="17">
        <v>1</v>
      </c>
      <c r="H37" s="4" t="s">
        <v>84</v>
      </c>
      <c r="I37" s="20" t="s">
        <v>85</v>
      </c>
      <c r="J37" s="4"/>
    </row>
    <row r="38" spans="1:10" ht="15" customHeight="1" x14ac:dyDescent="0.25">
      <c r="A38" s="12">
        <f t="shared" si="0"/>
        <v>32</v>
      </c>
      <c r="B38" s="15" t="s">
        <v>19</v>
      </c>
      <c r="C38" s="13" t="s">
        <v>18</v>
      </c>
      <c r="D38" s="14" t="s">
        <v>172</v>
      </c>
      <c r="E38" s="15">
        <v>46036</v>
      </c>
      <c r="F38" s="16" t="s">
        <v>96</v>
      </c>
      <c r="G38" s="17">
        <v>1</v>
      </c>
      <c r="H38" s="18" t="s">
        <v>86</v>
      </c>
      <c r="I38" s="20" t="s">
        <v>87</v>
      </c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4" t="s">
        <v>79</v>
      </c>
      <c r="E39" s="15">
        <v>46036</v>
      </c>
      <c r="F39" s="16" t="s">
        <v>80</v>
      </c>
      <c r="G39" s="17">
        <v>1</v>
      </c>
      <c r="H39" s="18" t="s">
        <v>81</v>
      </c>
      <c r="I39" s="20" t="s">
        <v>82</v>
      </c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4" t="s">
        <v>91</v>
      </c>
      <c r="E40" s="15">
        <v>46036</v>
      </c>
      <c r="F40" s="16" t="s">
        <v>94</v>
      </c>
      <c r="G40" s="17">
        <v>1</v>
      </c>
      <c r="H40" s="4" t="s">
        <v>92</v>
      </c>
      <c r="I40" s="20" t="s">
        <v>93</v>
      </c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4" t="s">
        <v>120</v>
      </c>
      <c r="E41" s="15">
        <v>46040</v>
      </c>
      <c r="F41" s="16" t="s">
        <v>123</v>
      </c>
      <c r="G41" s="17">
        <v>1</v>
      </c>
      <c r="H41" s="4" t="s">
        <v>121</v>
      </c>
      <c r="I41" s="20" t="s">
        <v>122</v>
      </c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4" t="s">
        <v>116</v>
      </c>
      <c r="E42" s="15">
        <v>46040</v>
      </c>
      <c r="F42" s="16" t="s">
        <v>119</v>
      </c>
      <c r="G42" s="17">
        <v>1</v>
      </c>
      <c r="H42" s="4" t="s">
        <v>117</v>
      </c>
      <c r="I42" s="20" t="s">
        <v>118</v>
      </c>
    </row>
    <row r="43" spans="1:10" x14ac:dyDescent="0.25">
      <c r="A43" s="12">
        <f t="shared" si="0"/>
        <v>37</v>
      </c>
      <c r="B43" s="13" t="s">
        <v>19</v>
      </c>
      <c r="C43" s="13" t="s">
        <v>18</v>
      </c>
      <c r="D43" s="14" t="s">
        <v>130</v>
      </c>
      <c r="E43" s="15">
        <v>46041</v>
      </c>
      <c r="F43" s="16" t="s">
        <v>133</v>
      </c>
      <c r="G43" s="17">
        <v>1</v>
      </c>
      <c r="H43" s="4" t="s">
        <v>131</v>
      </c>
      <c r="I43" s="20" t="s">
        <v>132</v>
      </c>
    </row>
    <row r="44" spans="1:10" x14ac:dyDescent="0.25">
      <c r="A44" s="12">
        <f t="shared" si="0"/>
        <v>38</v>
      </c>
      <c r="B44" s="15" t="s">
        <v>19</v>
      </c>
      <c r="C44" s="13" t="s">
        <v>18</v>
      </c>
      <c r="D44" s="14" t="s">
        <v>127</v>
      </c>
      <c r="E44" s="15">
        <v>46041</v>
      </c>
      <c r="F44" s="16" t="s">
        <v>128</v>
      </c>
      <c r="G44" s="17">
        <v>1</v>
      </c>
      <c r="H44" s="4" t="s">
        <v>129</v>
      </c>
      <c r="I44" s="20" t="s">
        <v>102</v>
      </c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4" t="s">
        <v>134</v>
      </c>
      <c r="E45" s="15">
        <v>46042</v>
      </c>
      <c r="F45" s="16" t="s">
        <v>135</v>
      </c>
      <c r="G45" s="17">
        <v>1</v>
      </c>
      <c r="H45" s="4" t="s">
        <v>136</v>
      </c>
      <c r="I45" s="20" t="s">
        <v>137</v>
      </c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4" t="s">
        <v>154</v>
      </c>
      <c r="E46" s="15">
        <v>46043</v>
      </c>
      <c r="F46" s="16" t="s">
        <v>155</v>
      </c>
      <c r="G46" s="17">
        <v>1</v>
      </c>
      <c r="H46" s="4" t="s">
        <v>156</v>
      </c>
      <c r="I46" s="20" t="s">
        <v>157</v>
      </c>
    </row>
    <row r="47" spans="1:10" x14ac:dyDescent="0.25">
      <c r="A47" s="12">
        <f t="shared" si="0"/>
        <v>41</v>
      </c>
      <c r="B47" s="15" t="s">
        <v>19</v>
      </c>
      <c r="C47" s="13" t="s">
        <v>18</v>
      </c>
      <c r="D47" s="14" t="s">
        <v>158</v>
      </c>
      <c r="E47" s="15">
        <v>46043</v>
      </c>
      <c r="F47" s="16" t="s">
        <v>161</v>
      </c>
      <c r="G47" s="17">
        <v>1</v>
      </c>
      <c r="H47" s="4" t="s">
        <v>159</v>
      </c>
      <c r="I47" s="20" t="s">
        <v>160</v>
      </c>
    </row>
    <row r="48" spans="1:10" x14ac:dyDescent="0.25">
      <c r="A48" s="12">
        <f t="shared" si="0"/>
        <v>42</v>
      </c>
      <c r="B48" s="15" t="s">
        <v>19</v>
      </c>
      <c r="C48" s="13" t="s">
        <v>18</v>
      </c>
      <c r="D48" s="14" t="s">
        <v>162</v>
      </c>
      <c r="E48" s="15">
        <v>46043</v>
      </c>
      <c r="F48" s="16" t="s">
        <v>165</v>
      </c>
      <c r="G48" s="17">
        <v>1</v>
      </c>
      <c r="H48" s="4" t="s">
        <v>163</v>
      </c>
      <c r="I48" s="20" t="s">
        <v>164</v>
      </c>
    </row>
    <row r="49" spans="1:9" x14ac:dyDescent="0.25">
      <c r="A49" s="12">
        <f t="shared" si="0"/>
        <v>43</v>
      </c>
      <c r="B49" s="13" t="s">
        <v>19</v>
      </c>
      <c r="C49" s="13" t="s">
        <v>18</v>
      </c>
      <c r="D49" s="14" t="s">
        <v>142</v>
      </c>
      <c r="E49" s="15">
        <v>46044</v>
      </c>
      <c r="F49" s="16" t="s">
        <v>145</v>
      </c>
      <c r="G49" s="17">
        <v>1</v>
      </c>
      <c r="H49" s="4" t="s">
        <v>143</v>
      </c>
      <c r="I49" s="20" t="s">
        <v>144</v>
      </c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4" t="s">
        <v>146</v>
      </c>
      <c r="E50" s="15">
        <v>46044</v>
      </c>
      <c r="F50" s="16" t="s">
        <v>147</v>
      </c>
      <c r="G50" s="17">
        <v>1</v>
      </c>
      <c r="H50" s="4" t="s">
        <v>148</v>
      </c>
      <c r="I50" s="20" t="s">
        <v>149</v>
      </c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4" t="s">
        <v>150</v>
      </c>
      <c r="E51" s="15">
        <v>46044</v>
      </c>
      <c r="F51" s="16" t="s">
        <v>153</v>
      </c>
      <c r="G51" s="17">
        <v>1</v>
      </c>
      <c r="H51" s="4" t="s">
        <v>151</v>
      </c>
      <c r="I51" s="20" t="s">
        <v>152</v>
      </c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4" t="s">
        <v>150</v>
      </c>
      <c r="E52" s="15">
        <v>46044</v>
      </c>
      <c r="F52" s="16" t="s">
        <v>153</v>
      </c>
      <c r="G52" s="17">
        <v>1</v>
      </c>
      <c r="H52" s="4" t="s">
        <v>166</v>
      </c>
      <c r="I52" s="20" t="s">
        <v>167</v>
      </c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4" t="s">
        <v>138</v>
      </c>
      <c r="E53" s="15">
        <v>46044</v>
      </c>
      <c r="F53" s="16" t="s">
        <v>139</v>
      </c>
      <c r="G53" s="17">
        <v>1</v>
      </c>
      <c r="H53" s="4" t="s">
        <v>140</v>
      </c>
      <c r="I53" s="20" t="s">
        <v>141</v>
      </c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4" t="s">
        <v>168</v>
      </c>
      <c r="E54" s="15">
        <v>46044</v>
      </c>
      <c r="F54" s="16" t="s">
        <v>171</v>
      </c>
      <c r="G54" s="17">
        <v>1</v>
      </c>
      <c r="H54" s="4" t="s">
        <v>169</v>
      </c>
      <c r="I54" s="20" t="s">
        <v>170</v>
      </c>
    </row>
    <row r="55" spans="1:9" x14ac:dyDescent="0.25">
      <c r="A55" s="12">
        <f t="shared" si="0"/>
        <v>49</v>
      </c>
      <c r="B55" s="15"/>
      <c r="C55" s="13"/>
      <c r="D55" s="14"/>
      <c r="E55" s="15"/>
      <c r="F55" s="16"/>
      <c r="G55" s="17">
        <v>1</v>
      </c>
      <c r="H55" s="4"/>
    </row>
    <row r="56" spans="1:9" x14ac:dyDescent="0.25">
      <c r="A56" s="12">
        <f t="shared" si="0"/>
        <v>50</v>
      </c>
      <c r="B56" s="15"/>
      <c r="C56" s="13"/>
      <c r="D56" s="14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4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4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4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4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4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8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</row>
    <row r="66" spans="1:8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</row>
    <row r="67" spans="1:8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8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</sheetData>
  <sortState xmlns:xlrd2="http://schemas.microsoft.com/office/spreadsheetml/2017/richdata2" ref="B7:I54">
    <sortCondition ref="E7:E54"/>
    <sortCondition ref="D7:D54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Janvier 2026</vt:lpstr>
      <vt:lpstr>'Janvier 2026'!Impression_des_titres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</dc:creator>
  <cp:lastModifiedBy>HP</cp:lastModifiedBy>
  <cp:lastPrinted>2025-11-09T12:55:48Z</cp:lastPrinted>
  <dcterms:created xsi:type="dcterms:W3CDTF">2019-01-07T07:24:45Z</dcterms:created>
  <dcterms:modified xsi:type="dcterms:W3CDTF">2026-01-22T14:31:28Z</dcterms:modified>
</cp:coreProperties>
</file>