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7FDF22ED-6A6B-45F3-93BC-D34414E4192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anvier 2026 (2)" sheetId="2" r:id="rId1"/>
    <sheet name="Février 2026" sheetId="1" r:id="rId2"/>
  </sheets>
  <definedNames>
    <definedName name="_xlnm.Print_Titles" localSheetId="1">'Février 2026'!$1:$6</definedName>
    <definedName name="_xlnm.Print_Titles" localSheetId="0">'Janvier 2026 (2)'!$1:$6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" l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K4" i="2"/>
  <c r="K3" i="2"/>
  <c r="K2" i="2"/>
  <c r="K5" i="2" s="1"/>
  <c r="A102" i="1" l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94" i="1"/>
  <c r="A95" i="1" s="1"/>
  <c r="A96" i="1" s="1"/>
  <c r="A97" i="1" s="1"/>
  <c r="A98" i="1" s="1"/>
  <c r="A99" i="1" s="1"/>
  <c r="A100" i="1" s="1"/>
  <c r="A101" i="1" s="1"/>
  <c r="A90" i="1"/>
  <c r="A91" i="1" s="1"/>
  <c r="A92" i="1" s="1"/>
  <c r="A93" i="1" s="1"/>
  <c r="A79" i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69" i="1"/>
  <c r="A70" i="1" s="1"/>
  <c r="A71" i="1" s="1"/>
  <c r="A72" i="1" s="1"/>
  <c r="A73" i="1" s="1"/>
  <c r="A74" i="1" s="1"/>
  <c r="A75" i="1" s="1"/>
  <c r="A76" i="1" s="1"/>
  <c r="A77" i="1" s="1"/>
  <c r="A78" i="1" s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K4" i="1"/>
  <c r="K3" i="1"/>
  <c r="K2" i="1"/>
  <c r="A39" i="1" l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K5" i="1"/>
</calcChain>
</file>

<file path=xl/sharedStrings.xml><?xml version="1.0" encoding="utf-8"?>
<sst xmlns="http://schemas.openxmlformats.org/spreadsheetml/2006/main" count="473" uniqueCount="263">
  <si>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</si>
  <si>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</si>
  <si>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</si>
  <si>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</si>
  <si>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</si>
  <si>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</si>
  <si>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</si>
  <si>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</si>
  <si>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</si>
  <si>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</si>
  <si>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</si>
  <si>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</si>
  <si>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</si>
  <si>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</si>
  <si>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</si>
  <si>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</si>
  <si>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</si>
  <si>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</si>
  <si>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</si>
  <si>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</si>
  <si>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</si>
  <si>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</si>
  <si>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</si>
  <si>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</si>
  <si>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</si>
  <si>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</si>
  <si>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</si>
  <si>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</si>
  <si>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</si>
  <si>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</si>
  <si>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</si>
  <si>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</si>
  <si>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</si>
  <si>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</si>
  <si>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</si>
  <si>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</si>
  <si>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</si>
  <si>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</si>
  <si>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</si>
  <si>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</si>
  <si>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</si>
  <si>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</si>
  <si>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</si>
  <si>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</si>
  <si>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</si>
  <si>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</si>
  <si>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</si>
  <si>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</si>
  <si>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</si>
  <si>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</si>
  <si>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</si>
  <si>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</si>
  <si>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</si>
  <si>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</si>
  <si>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</si>
  <si>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</si>
  <si>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</si>
  <si>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</si>
  <si>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</si>
  <si>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</si>
  <si>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</si>
  <si>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</si>
  <si>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</si>
  <si>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</si>
  <si>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</si>
  <si>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</si>
  <si>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</si>
  <si>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</si>
  <si>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</si>
  <si>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</si>
  <si>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</si>
  <si>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</si>
  <si>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</si>
  <si>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</si>
  <si>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</si>
  <si>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</si>
  <si>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</si>
  <si>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</si>
  <si>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</si>
  <si>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</si>
  <si>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</si>
  <si>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</si>
  <si>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</si>
  <si>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</si>
  <si>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</si>
  <si>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</si>
  <si>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</si>
  <si>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</si>
  <si>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</si>
  <si>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</si>
  <si>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</si>
  <si>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</si>
  <si>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</si>
  <si>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</si>
  <si>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</si>
  <si>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</si>
  <si>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</si>
  <si>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</si>
  <si>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</si>
  <si>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</si>
  <si>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</si>
  <si>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</si>
  <si>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</si>
  <si>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</si>
  <si>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</si>
  <si>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</si>
  <si>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</si>
  <si>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</si>
  <si>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</si>
  <si>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</si>
  <si>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</si>
  <si>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</si>
  <si>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</si>
  <si>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</si>
  <si>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</si>
  <si>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</si>
  <si>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</si>
  <si>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</si>
  <si>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</si>
  <si>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</si>
  <si>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</si>
  <si>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</si>
  <si>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</si>
  <si>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</si>
  <si>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</si>
  <si>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</si>
  <si>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</si>
  <si>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</si>
  <si>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</si>
  <si>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</si>
  <si>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</si>
  <si>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</si>
  <si>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</si>
  <si>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</si>
  <si>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</si>
  <si>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</si>
  <si>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</si>
  <si>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</si>
  <si>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</si>
  <si>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</si>
  <si>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</si>
  <si>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</si>
  <si>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</si>
  <si>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</si>
  <si>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</si>
  <si>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</si>
  <si>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</si>
  <si>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</si>
  <si>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</si>
  <si>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</si>
  <si>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</si>
  <si>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</si>
  <si>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</si>
  <si>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</si>
  <si>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</si>
  <si>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</si>
  <si>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</si>
  <si>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</si>
  <si>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</si>
  <si>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</si>
  <si>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</si>
  <si>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</si>
  <si>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</si>
  <si>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</si>
  <si>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</si>
  <si>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</si>
  <si>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</si>
  <si>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</si>
  <si>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</si>
  <si>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</si>
  <si>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</si>
  <si>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</si>
  <si>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</si>
  <si>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</si>
  <si>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</si>
  <si>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</si>
  <si>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</si>
  <si>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</si>
  <si>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</si>
  <si>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</si>
  <si>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</si>
  <si>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</si>
  <si>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</si>
  <si>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</si>
  <si>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</si>
  <si>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</si>
  <si>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</si>
  <si>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</si>
  <si>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</si>
  <si>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</si>
  <si>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</si>
  <si>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</si>
  <si>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</si>
  <si>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</si>
  <si>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</si>
  <si>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</si>
  <si>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</si>
  <si>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</si>
  <si>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</si>
  <si>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</si>
  <si>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</si>
  <si>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</si>
  <si>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</si>
  <si>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</si>
  <si>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</si>
  <si>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</si>
  <si>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</si>
  <si>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</si>
  <si>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</si>
  <si>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</si>
  <si>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</si>
  <si>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</si>
  <si>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</si>
  <si>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</si>
  <si>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</si>
  <si>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</si>
  <si>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</si>
  <si>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</si>
  <si>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</si>
  <si>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</si>
  <si>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</si>
  <si>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</si>
  <si>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</si>
  <si>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</si>
  <si>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</si>
  <si>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</si>
  <si>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</si>
  <si>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</si>
  <si>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</si>
  <si>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</si>
  <si>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</si>
  <si>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</si>
  <si>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</si>
  <si>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</si>
  <si>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</si>
  <si>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</si>
  <si>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</si>
  <si>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</si>
  <si>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B20352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</si>
  <si>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</si>
  <si>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</si>
  <si>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</si>
  <si>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</si>
  <si>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</si>
  <si>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</si>
  <si>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</si>
  <si>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</si>
  <si>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</si>
  <si>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</si>
  <si>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</si>
  <si>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</si>
  <si>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</si>
  <si>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</si>
  <si>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</si>
  <si>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</si>
  <si>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</si>
  <si>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</si>
  <si>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</si>
  <si>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</si>
  <si>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</si>
  <si>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</si>
  <si>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</si>
  <si>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80 lsp bt02 n)30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</si>
</sst>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8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38110</xdr:colOff>
      <xdr:row>106</xdr:row>
      <xdr:rowOff>66675</xdr:rowOff>
    </xdr:from>
    <xdr:to>
      <xdr:col>7</xdr:col>
      <xdr:colOff>47625</xdr:colOff>
      <xdr:row>107</xdr:row>
      <xdr:rowOff>114300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628660" y="20431125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38110</xdr:colOff>
      <xdr:row>106</xdr:row>
      <xdr:rowOff>66675</xdr:rowOff>
    </xdr:from>
    <xdr:to>
      <xdr:col>7</xdr:col>
      <xdr:colOff>47625</xdr:colOff>
      <xdr:row>107</xdr:row>
      <xdr:rowOff>114300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28660" y="20431125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7"/>
  <sheetViews>
    <sheetView tabSelected="1" topLeftCell="A72" zoomScaleNormal="100" workbookViewId="0">
      <selection activeCell="D82" sqref="D8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5" t="s">
        <v>0</v>
      </c>
      <c r="B1" s="25"/>
      <c r="C1" s="25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6" t="s">
        <v>2</v>
      </c>
      <c r="B2" s="26"/>
      <c r="C2" s="26"/>
      <c r="D2" s="2"/>
      <c r="E2" s="5" t="s">
        <v>3</v>
      </c>
      <c r="F2" s="5"/>
      <c r="G2" s="3"/>
      <c r="H2" s="3"/>
      <c r="I2" s="23" t="s">
        <v>4</v>
      </c>
      <c r="J2" s="24"/>
      <c r="K2" s="6">
        <f>SUMIF(F7:F364,"Elimination*",G7:G364)</f>
        <v>35</v>
      </c>
    </row>
    <row r="3" spans="1:11" x14ac:dyDescent="0.25">
      <c r="A3" s="27" t="s">
        <v>5</v>
      </c>
      <c r="B3" s="27"/>
      <c r="C3" s="27"/>
      <c r="D3" s="5"/>
      <c r="E3" s="3" t="s">
        <v>6</v>
      </c>
      <c r="F3" s="3"/>
      <c r="G3" s="3"/>
      <c r="H3" s="3"/>
      <c r="I3" s="23" t="s">
        <v>7</v>
      </c>
      <c r="J3" s="24"/>
      <c r="K3" s="6">
        <f>SUMIF(F7:F364,"NB*",G7:G364)</f>
        <v>61</v>
      </c>
    </row>
    <row r="4" spans="1:11" ht="18" x14ac:dyDescent="0.25">
      <c r="A4" s="25" t="s">
        <v>8</v>
      </c>
      <c r="B4" s="25"/>
      <c r="C4" s="25"/>
      <c r="D4" s="25"/>
      <c r="E4" s="25"/>
      <c r="F4" s="25"/>
      <c r="G4" s="3"/>
      <c r="H4" s="3"/>
      <c r="I4" s="23" t="s">
        <v>9</v>
      </c>
      <c r="J4" s="24"/>
      <c r="K4" s="6">
        <f>SUMIF(F7:F364,"Ve*",G7:G364)</f>
        <v>0</v>
      </c>
    </row>
    <row r="5" spans="1:11" ht="15.75" x14ac:dyDescent="0.25">
      <c r="A5" s="22" t="s">
        <v>21</v>
      </c>
      <c r="B5" s="22"/>
      <c r="C5" s="22"/>
      <c r="D5" s="22"/>
      <c r="E5" s="22"/>
      <c r="F5" s="22"/>
      <c r="G5" s="7"/>
      <c r="H5" s="7"/>
      <c r="I5" s="23" t="s">
        <v>10</v>
      </c>
      <c r="J5" s="24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3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3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3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3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19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93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7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238</v>
      </c>
      <c r="C86" s="13" t="s">
        <v>18</v>
      </c>
      <c r="D86" s="14" t="s">
        <v>239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246</v>
      </c>
      <c r="C91" s="13" t="s">
        <v>18</v>
      </c>
      <c r="D91" s="14" t="s">
        <v>247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244</v>
      </c>
      <c r="C92" s="13" t="s">
        <v>18</v>
      </c>
      <c r="D92" s="14" t="s">
        <v>245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255</v>
      </c>
      <c r="C96" s="13" t="s">
        <v>18</v>
      </c>
      <c r="D96" s="14" t="s">
        <v>256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254</v>
      </c>
      <c r="C97" s="13" t="s">
        <v>18</v>
      </c>
      <c r="D97" s="14" t="s">
        <v>257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252</v>
      </c>
      <c r="C98" s="13" t="s">
        <v>18</v>
      </c>
      <c r="D98" s="14" t="s">
        <v>253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250</v>
      </c>
      <c r="C99" s="13" t="s">
        <v>18</v>
      </c>
      <c r="D99" s="14" t="s">
        <v>251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248</v>
      </c>
      <c r="C100" s="13" t="s">
        <v>18</v>
      </c>
      <c r="D100" s="14" t="s">
        <v>249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242</v>
      </c>
      <c r="C101" s="13" t="s">
        <v>18</v>
      </c>
      <c r="D101" s="14" t="s">
        <v>243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240</v>
      </c>
      <c r="C102" s="13" t="s">
        <v>18</v>
      </c>
      <c r="D102" s="14" t="s">
        <v>241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zoomScaleNormal="100" workbookViewId="0">
      <selection activeCell="I8" sqref="I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5" t="s">
        <v>0</v>
      </c>
      <c r="B1" s="25"/>
      <c r="C1" s="25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6" t="s">
        <v>2</v>
      </c>
      <c r="B2" s="26"/>
      <c r="C2" s="26"/>
      <c r="D2" s="2"/>
      <c r="E2" s="5" t="s">
        <v>3</v>
      </c>
      <c r="F2" s="5"/>
      <c r="G2" s="3"/>
      <c r="H2" s="3"/>
      <c r="I2" s="23" t="s">
        <v>4</v>
      </c>
      <c r="J2" s="24"/>
      <c r="K2" s="6">
        <f>SUMIF(F7:F364,"Elimination*",G7:G364)</f>
        <v>0</v>
      </c>
    </row>
    <row r="3" spans="1:11" x14ac:dyDescent="0.25">
      <c r="A3" s="27" t="s">
        <v>5</v>
      </c>
      <c r="B3" s="27"/>
      <c r="C3" s="27"/>
      <c r="D3" s="5"/>
      <c r="E3" s="3" t="s">
        <v>6</v>
      </c>
      <c r="F3" s="3"/>
      <c r="G3" s="3"/>
      <c r="H3" s="3"/>
      <c r="I3" s="23" t="s">
        <v>7</v>
      </c>
      <c r="J3" s="24"/>
      <c r="K3" s="6">
        <f>SUMIF(F7:F364,"NB*",G7:G364)</f>
        <v>1</v>
      </c>
    </row>
    <row r="4" spans="1:11" ht="18" x14ac:dyDescent="0.25">
      <c r="A4" s="25" t="s">
        <v>8</v>
      </c>
      <c r="B4" s="25"/>
      <c r="C4" s="25"/>
      <c r="D4" s="25"/>
      <c r="E4" s="25"/>
      <c r="F4" s="25"/>
      <c r="G4" s="3"/>
      <c r="H4" s="3"/>
      <c r="I4" s="23" t="s">
        <v>9</v>
      </c>
      <c r="J4" s="24"/>
      <c r="K4" s="6">
        <f>SUMIF(F7:F364,"Ve*",G7:G364)</f>
        <v>0</v>
      </c>
    </row>
    <row r="5" spans="1:11" ht="15.75" x14ac:dyDescent="0.25">
      <c r="A5" s="22" t="s">
        <v>259</v>
      </c>
      <c r="B5" s="22"/>
      <c r="C5" s="22"/>
      <c r="D5" s="22"/>
      <c r="E5" s="22"/>
      <c r="F5" s="22"/>
      <c r="G5" s="7"/>
      <c r="H5" s="7"/>
      <c r="I5" s="23" t="s">
        <v>10</v>
      </c>
      <c r="J5" s="24"/>
      <c r="K5" s="8">
        <f>SUM(K2:K4)</f>
        <v>1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258</v>
      </c>
      <c r="C7" s="13" t="s">
        <v>18</v>
      </c>
      <c r="D7" s="13">
        <v>2025177384</v>
      </c>
      <c r="E7" s="15">
        <v>46054</v>
      </c>
      <c r="F7" s="16" t="s">
        <v>260</v>
      </c>
      <c r="G7" s="17">
        <v>1</v>
      </c>
      <c r="H7" s="18" t="s">
        <v>261</v>
      </c>
      <c r="I7" s="20" t="s">
        <v>262</v>
      </c>
      <c r="J7" s="19"/>
      <c r="K7" s="4"/>
    </row>
    <row r="8" spans="1:11" ht="15" customHeight="1" x14ac:dyDescent="0.25">
      <c r="A8" s="12">
        <f>+A7+1</f>
        <v>2</v>
      </c>
      <c r="B8" s="13"/>
      <c r="C8" s="13"/>
      <c r="D8" s="13"/>
      <c r="E8" s="15"/>
      <c r="F8" s="16"/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/>
      <c r="C9" s="13"/>
      <c r="D9" s="13"/>
      <c r="E9" s="15"/>
      <c r="F9" s="16"/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/>
      <c r="C10" s="13"/>
      <c r="D10" s="13"/>
      <c r="E10" s="15"/>
      <c r="F10" s="16"/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/>
      <c r="C11" s="13"/>
      <c r="D11" s="13"/>
      <c r="E11" s="15"/>
      <c r="F11" s="16"/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/>
      <c r="C12" s="13"/>
      <c r="D12" s="13"/>
      <c r="E12" s="15"/>
      <c r="F12" s="16"/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/>
      <c r="C13" s="13"/>
      <c r="D13" s="13"/>
      <c r="E13" s="15"/>
      <c r="F13" s="16"/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/>
      <c r="C14" s="13"/>
      <c r="D14" s="13"/>
      <c r="E14" s="15"/>
      <c r="F14" s="16"/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/>
      <c r="C15" s="13"/>
      <c r="D15" s="13"/>
      <c r="E15" s="15"/>
      <c r="F15" s="16"/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/>
      <c r="C16" s="13"/>
      <c r="D16" s="13"/>
      <c r="E16" s="15"/>
      <c r="F16" s="16"/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/>
      <c r="C17" s="13"/>
      <c r="D17" s="13"/>
      <c r="E17" s="15"/>
      <c r="F17" s="16"/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/>
      <c r="C18" s="13"/>
      <c r="D18" s="13"/>
      <c r="E18" s="15"/>
      <c r="F18" s="16"/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/>
      <c r="C19" s="13"/>
      <c r="D19" s="13"/>
      <c r="E19" s="15"/>
      <c r="F19" s="16"/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/>
      <c r="C20" s="13"/>
      <c r="D20" s="13"/>
      <c r="E20" s="15"/>
      <c r="F20" s="16"/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/>
      <c r="C21" s="13"/>
      <c r="D21" s="13"/>
      <c r="E21" s="15"/>
      <c r="F21" s="16"/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/>
      <c r="C22" s="13"/>
      <c r="D22" s="13"/>
      <c r="E22" s="15"/>
      <c r="F22" s="16"/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/>
      <c r="C23" s="13"/>
      <c r="D23" s="13"/>
      <c r="E23" s="15"/>
      <c r="F23" s="16"/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/>
      <c r="C24" s="13"/>
      <c r="D24" s="14"/>
      <c r="E24" s="15"/>
      <c r="F24" s="16"/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/>
      <c r="C25" s="13"/>
      <c r="D25" s="14"/>
      <c r="E25" s="15"/>
      <c r="F25" s="16"/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/>
      <c r="C26" s="13"/>
      <c r="D26" s="14"/>
      <c r="E26" s="15"/>
      <c r="F26" s="16"/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/>
      <c r="C27" s="13"/>
      <c r="D27" s="14"/>
      <c r="E27" s="15"/>
      <c r="F27" s="16"/>
      <c r="G27" s="17">
        <v>1</v>
      </c>
      <c r="H27" s="18"/>
      <c r="I27" s="20"/>
      <c r="J27" s="20"/>
    </row>
    <row r="28" spans="1:10" ht="15" customHeight="1" x14ac:dyDescent="0.25">
      <c r="A28" s="12">
        <f t="shared" si="0"/>
        <v>22</v>
      </c>
      <c r="B28" s="13"/>
      <c r="C28" s="13"/>
      <c r="D28" s="14"/>
      <c r="E28" s="15"/>
      <c r="F28" s="16"/>
      <c r="G28" s="17">
        <v>1</v>
      </c>
      <c r="H28" s="4"/>
      <c r="I28" s="20"/>
      <c r="J28" s="20"/>
    </row>
    <row r="29" spans="1:10" ht="15" customHeight="1" x14ac:dyDescent="0.25">
      <c r="A29" s="12">
        <f t="shared" si="0"/>
        <v>23</v>
      </c>
      <c r="B29" s="13"/>
      <c r="C29" s="13"/>
      <c r="D29" s="14"/>
      <c r="E29" s="15"/>
      <c r="F29" s="16"/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/>
      <c r="C30" s="13"/>
      <c r="D30" s="14"/>
      <c r="E30" s="15"/>
      <c r="F30" s="16"/>
      <c r="G30" s="17">
        <v>1</v>
      </c>
      <c r="H30" s="18"/>
      <c r="I30" s="20"/>
      <c r="J30" s="4"/>
    </row>
    <row r="31" spans="1:10" ht="15" customHeight="1" x14ac:dyDescent="0.25">
      <c r="A31" s="12">
        <f t="shared" si="0"/>
        <v>25</v>
      </c>
      <c r="B31" s="13"/>
      <c r="C31" s="13"/>
      <c r="D31" s="14"/>
      <c r="E31" s="15"/>
      <c r="F31" s="16"/>
      <c r="G31" s="17">
        <v>1</v>
      </c>
      <c r="H31" s="18"/>
      <c r="I31" s="20"/>
      <c r="J31" s="4"/>
    </row>
    <row r="32" spans="1:10" ht="15" customHeight="1" x14ac:dyDescent="0.25">
      <c r="A32" s="12">
        <f t="shared" si="0"/>
        <v>26</v>
      </c>
      <c r="B32" s="13"/>
      <c r="C32" s="13"/>
      <c r="D32" s="14"/>
      <c r="E32" s="15"/>
      <c r="F32" s="16"/>
      <c r="G32" s="17">
        <v>1</v>
      </c>
      <c r="H32" s="18"/>
      <c r="I32" s="20"/>
      <c r="J32" s="4"/>
    </row>
    <row r="33" spans="1:10" ht="15" customHeight="1" x14ac:dyDescent="0.25">
      <c r="A33" s="12">
        <f t="shared" si="0"/>
        <v>27</v>
      </c>
      <c r="B33" s="15"/>
      <c r="C33" s="13"/>
      <c r="D33" s="14"/>
      <c r="E33" s="15"/>
      <c r="F33" s="16"/>
      <c r="G33" s="17">
        <v>1</v>
      </c>
      <c r="H33" s="4"/>
      <c r="I33" s="4"/>
      <c r="J33" s="4"/>
    </row>
    <row r="34" spans="1:10" ht="15" customHeight="1" x14ac:dyDescent="0.25">
      <c r="A34" s="12">
        <f t="shared" si="0"/>
        <v>28</v>
      </c>
      <c r="B34" s="15"/>
      <c r="C34" s="13"/>
      <c r="D34" s="14"/>
      <c r="E34" s="15"/>
      <c r="F34" s="16"/>
      <c r="G34" s="17">
        <v>1</v>
      </c>
      <c r="H34" s="4"/>
      <c r="I34" s="20"/>
      <c r="J34" s="4"/>
    </row>
    <row r="35" spans="1:10" ht="15" customHeight="1" x14ac:dyDescent="0.25">
      <c r="A35" s="12">
        <f t="shared" si="0"/>
        <v>29</v>
      </c>
      <c r="B35" s="15"/>
      <c r="C35" s="13"/>
      <c r="D35" s="14"/>
      <c r="E35" s="15"/>
      <c r="F35" s="16"/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/>
      <c r="C36" s="13"/>
      <c r="D36" s="14"/>
      <c r="E36" s="15"/>
      <c r="F36" s="16"/>
      <c r="G36" s="17">
        <v>1</v>
      </c>
      <c r="H36" s="4"/>
      <c r="I36" s="20"/>
      <c r="J36" s="4"/>
    </row>
    <row r="37" spans="1:10" ht="15" customHeight="1" x14ac:dyDescent="0.25">
      <c r="A37" s="12">
        <f t="shared" si="0"/>
        <v>31</v>
      </c>
      <c r="B37" s="15"/>
      <c r="C37" s="13"/>
      <c r="D37" s="14"/>
      <c r="E37" s="15"/>
      <c r="F37" s="16"/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/>
      <c r="C38" s="13"/>
      <c r="D38" s="14"/>
      <c r="E38" s="15"/>
      <c r="F38" s="16"/>
      <c r="G38" s="17">
        <v>1</v>
      </c>
      <c r="H38" s="18"/>
      <c r="I38" s="20"/>
      <c r="J38" s="4"/>
    </row>
    <row r="39" spans="1:10" x14ac:dyDescent="0.25">
      <c r="A39" s="12">
        <f t="shared" si="0"/>
        <v>33</v>
      </c>
      <c r="B39" s="15"/>
      <c r="C39" s="13"/>
      <c r="D39" s="14"/>
      <c r="E39" s="15"/>
      <c r="F39" s="16"/>
      <c r="G39" s="17">
        <v>1</v>
      </c>
      <c r="H39" s="18"/>
      <c r="I39" s="20"/>
    </row>
    <row r="40" spans="1:10" x14ac:dyDescent="0.25">
      <c r="A40" s="12">
        <f>+A39+1</f>
        <v>34</v>
      </c>
      <c r="B40" s="15"/>
      <c r="C40" s="13"/>
      <c r="D40" s="14"/>
      <c r="E40" s="15"/>
      <c r="F40" s="16"/>
      <c r="G40" s="17">
        <v>1</v>
      </c>
      <c r="H40" s="4"/>
      <c r="I40" s="20"/>
    </row>
    <row r="41" spans="1:10" x14ac:dyDescent="0.25">
      <c r="A41" s="12">
        <f t="shared" si="0"/>
        <v>35</v>
      </c>
      <c r="B41" s="13"/>
      <c r="C41" s="13"/>
      <c r="D41" s="14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4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4"/>
      <c r="E43" s="15"/>
      <c r="F43" s="16"/>
      <c r="G43" s="17">
        <v>1</v>
      </c>
      <c r="H43" s="4"/>
      <c r="I43" s="20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4"/>
      <c r="I44" s="20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  <c r="I45" s="20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  <c r="I46" s="20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  <c r="I48" s="20"/>
    </row>
    <row r="49" spans="1:9" x14ac:dyDescent="0.25">
      <c r="A49" s="12">
        <f t="shared" si="0"/>
        <v>43</v>
      </c>
      <c r="B49" s="13"/>
      <c r="C49" s="13"/>
      <c r="D49" s="14"/>
      <c r="E49" s="15"/>
      <c r="F49" s="16"/>
      <c r="G49" s="17">
        <v>1</v>
      </c>
      <c r="H49" s="4"/>
      <c r="I49" s="20"/>
    </row>
    <row r="50" spans="1:9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  <c r="I50" s="20"/>
    </row>
    <row r="51" spans="1:9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  <c r="I51" s="20"/>
    </row>
    <row r="52" spans="1:9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  <c r="I52" s="20"/>
    </row>
    <row r="53" spans="1:9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  <c r="I53" s="20"/>
    </row>
    <row r="54" spans="1:9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  <c r="I54" s="20"/>
    </row>
    <row r="55" spans="1:9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  <c r="I55" s="20"/>
    </row>
    <row r="56" spans="1:9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  <c r="I56" s="20"/>
    </row>
    <row r="57" spans="1:9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  <c r="I58" s="20"/>
    </row>
    <row r="59" spans="1:9" x14ac:dyDescent="0.25">
      <c r="A59" s="12">
        <f t="shared" si="0"/>
        <v>53</v>
      </c>
      <c r="B59" s="15"/>
      <c r="C59" s="13"/>
      <c r="D59" s="14"/>
      <c r="E59" s="15"/>
      <c r="F59" s="21"/>
      <c r="G59" s="17">
        <v>1</v>
      </c>
      <c r="H59" s="4"/>
      <c r="I59" s="20"/>
    </row>
    <row r="60" spans="1:9" x14ac:dyDescent="0.25">
      <c r="A60" s="12">
        <f t="shared" si="0"/>
        <v>54</v>
      </c>
      <c r="B60" s="15"/>
      <c r="C60" s="13"/>
      <c r="D60" s="14"/>
      <c r="E60" s="15"/>
      <c r="F60" s="21"/>
      <c r="G60" s="17">
        <v>1</v>
      </c>
      <c r="H60" s="4"/>
      <c r="I60" s="20"/>
    </row>
    <row r="61" spans="1:9" x14ac:dyDescent="0.25">
      <c r="A61" s="12">
        <f t="shared" si="0"/>
        <v>55</v>
      </c>
      <c r="B61" s="15"/>
      <c r="C61" s="13"/>
      <c r="D61" s="14"/>
      <c r="E61" s="15"/>
      <c r="F61" s="21"/>
      <c r="G61" s="17">
        <v>1</v>
      </c>
      <c r="H61" s="4"/>
      <c r="I61" s="20"/>
    </row>
    <row r="62" spans="1:9" x14ac:dyDescent="0.25">
      <c r="A62" s="12">
        <f t="shared" si="0"/>
        <v>56</v>
      </c>
      <c r="B62" s="15"/>
      <c r="C62" s="13"/>
      <c r="D62" s="14"/>
      <c r="E62" s="15"/>
      <c r="F62" s="21"/>
      <c r="G62" s="17">
        <v>1</v>
      </c>
      <c r="H62" s="4"/>
      <c r="I62" s="20"/>
    </row>
    <row r="63" spans="1:9" x14ac:dyDescent="0.25">
      <c r="A63" s="12">
        <f t="shared" si="0"/>
        <v>57</v>
      </c>
      <c r="B63" s="15"/>
      <c r="C63" s="13"/>
      <c r="D63" s="14"/>
      <c r="E63" s="15"/>
      <c r="F63" s="21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21"/>
      <c r="G64" s="17">
        <v>1</v>
      </c>
      <c r="H64" s="4"/>
      <c r="I64" s="20"/>
    </row>
    <row r="65" spans="1:9" x14ac:dyDescent="0.25">
      <c r="A65" s="12">
        <f t="shared" si="0"/>
        <v>59</v>
      </c>
      <c r="B65" s="15"/>
      <c r="C65" s="13"/>
      <c r="D65" s="14"/>
      <c r="E65" s="15"/>
      <c r="F65" s="21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21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21"/>
      <c r="G67" s="17">
        <v>1</v>
      </c>
      <c r="H67" s="4"/>
      <c r="I67" s="20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0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1">+A72+1</f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3"/>
      <c r="D98" s="14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02">
    <sortCondition ref="E7:E102"/>
    <sortCondition ref="D7:D102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2</vt:i4>
      </vt:variant>
    </vt:vector>
  </HeadingPairs>
  <TitlesOfParts>
    <vt:vector size="4" baseType="lpstr">
      <vt:lpstr>Janvier 2026 (2)</vt:lpstr>
      <vt:lpstr>Février 2026</vt:lpstr>
      <vt:lpstr>'Février 2026'!Impression_des_titres</vt:lpstr>
      <vt:lpstr>'Janvier 2026 (2)'!Impression_des_titres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2025-11-09T12:55:48Z</cp:lastPrinted>
  <dcterms:created xsi:type="dcterms:W3CDTF">2019-01-07T07:24:45Z</dcterms:created>
  <dcterms:modified xsi:type="dcterms:W3CDTF">2026-02-01T09:28:59Z</dcterms:modified>
</cp:coreProperties>
</file>