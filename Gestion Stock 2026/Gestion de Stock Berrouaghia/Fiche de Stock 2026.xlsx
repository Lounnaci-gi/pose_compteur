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8E0904D5-EA40-4A09-9942-156D0BEA021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34" r:id="rId1"/>
    <sheet name="FEVRIER 2026" sheetId="35" r:id="rId2"/>
    <sheet name="MARS 2026" sheetId="36" r:id="rId3"/>
    <sheet name="AVRIL 2026" sheetId="3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37" l="1"/>
  <c r="J40" i="37"/>
  <c r="I40" i="37"/>
  <c r="H40" i="37"/>
  <c r="G40" i="37"/>
  <c r="E40" i="37"/>
  <c r="D40" i="37"/>
  <c r="C40" i="37"/>
  <c r="B40" i="37"/>
  <c r="K39" i="37"/>
  <c r="F39" i="37"/>
  <c r="L39" i="37" s="1"/>
  <c r="K38" i="37"/>
  <c r="F38" i="37"/>
  <c r="L38" i="37" s="1"/>
  <c r="K37" i="37"/>
  <c r="F37" i="37"/>
  <c r="K36" i="37"/>
  <c r="F36" i="37"/>
  <c r="L36" i="37" s="1"/>
  <c r="K35" i="37"/>
  <c r="F35" i="37"/>
  <c r="L35" i="37" s="1"/>
  <c r="K34" i="37"/>
  <c r="F34" i="37"/>
  <c r="K33" i="37"/>
  <c r="F33" i="37"/>
  <c r="K32" i="37"/>
  <c r="F32" i="37"/>
  <c r="L32" i="37" s="1"/>
  <c r="K31" i="37"/>
  <c r="F31" i="37"/>
  <c r="L31" i="37" s="1"/>
  <c r="K30" i="37"/>
  <c r="F30" i="37"/>
  <c r="K29" i="37"/>
  <c r="F29" i="37"/>
  <c r="K28" i="37"/>
  <c r="F28" i="37"/>
  <c r="L28" i="37" s="1"/>
  <c r="K27" i="37"/>
  <c r="F27" i="37"/>
  <c r="L27" i="37" s="1"/>
  <c r="K26" i="37"/>
  <c r="L26" i="37" s="1"/>
  <c r="F26" i="37"/>
  <c r="K25" i="37"/>
  <c r="F25" i="37"/>
  <c r="K24" i="37"/>
  <c r="F24" i="37"/>
  <c r="L24" i="37" s="1"/>
  <c r="K23" i="37"/>
  <c r="F23" i="37"/>
  <c r="L23" i="37" s="1"/>
  <c r="K22" i="37"/>
  <c r="F22" i="37"/>
  <c r="K21" i="37"/>
  <c r="F21" i="37"/>
  <c r="K20" i="37"/>
  <c r="F20" i="37"/>
  <c r="L20" i="37" s="1"/>
  <c r="K19" i="37"/>
  <c r="F19" i="37"/>
  <c r="L19" i="37" s="1"/>
  <c r="K18" i="37"/>
  <c r="L18" i="37" s="1"/>
  <c r="F18" i="37"/>
  <c r="K17" i="37"/>
  <c r="F17" i="37"/>
  <c r="K16" i="37"/>
  <c r="F16" i="37"/>
  <c r="L16" i="37" s="1"/>
  <c r="K15" i="37"/>
  <c r="F15" i="37"/>
  <c r="L15" i="37" s="1"/>
  <c r="K14" i="37"/>
  <c r="L14" i="37" s="1"/>
  <c r="F14" i="37"/>
  <c r="K13" i="37"/>
  <c r="F13" i="37"/>
  <c r="K12" i="37"/>
  <c r="F12" i="37"/>
  <c r="L12" i="37" s="1"/>
  <c r="K11" i="37"/>
  <c r="F11" i="37"/>
  <c r="L11" i="37" s="1"/>
  <c r="K10" i="37"/>
  <c r="F10" i="37"/>
  <c r="K9" i="37"/>
  <c r="F9" i="37"/>
  <c r="F40" i="37" s="1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F37" i="36"/>
  <c r="L37" i="36" s="1"/>
  <c r="K36" i="36"/>
  <c r="F36" i="36"/>
  <c r="L36" i="36" s="1"/>
  <c r="K35" i="36"/>
  <c r="F35" i="36"/>
  <c r="L35" i="36" s="1"/>
  <c r="K34" i="36"/>
  <c r="F34" i="36"/>
  <c r="K33" i="36"/>
  <c r="F33" i="36"/>
  <c r="L33" i="36" s="1"/>
  <c r="K32" i="36"/>
  <c r="F32" i="36"/>
  <c r="L32" i="36" s="1"/>
  <c r="K31" i="36"/>
  <c r="F31" i="36"/>
  <c r="L31" i="36" s="1"/>
  <c r="K30" i="36"/>
  <c r="F30" i="36"/>
  <c r="L30" i="36" s="1"/>
  <c r="K29" i="36"/>
  <c r="F29" i="36"/>
  <c r="L29" i="36" s="1"/>
  <c r="K28" i="36"/>
  <c r="L28" i="36" s="1"/>
  <c r="F28" i="36"/>
  <c r="K27" i="36"/>
  <c r="F27" i="36"/>
  <c r="L27" i="36" s="1"/>
  <c r="K26" i="36"/>
  <c r="F26" i="36"/>
  <c r="L26" i="36" s="1"/>
  <c r="K25" i="36"/>
  <c r="F25" i="36"/>
  <c r="L25" i="36" s="1"/>
  <c r="K24" i="36"/>
  <c r="F24" i="36"/>
  <c r="L24" i="36" s="1"/>
  <c r="K23" i="36"/>
  <c r="F23" i="36"/>
  <c r="L23" i="36" s="1"/>
  <c r="K22" i="36"/>
  <c r="F22" i="36"/>
  <c r="L22" i="36" s="1"/>
  <c r="K21" i="36"/>
  <c r="F21" i="36"/>
  <c r="L21" i="36" s="1"/>
  <c r="K20" i="36"/>
  <c r="F20" i="36"/>
  <c r="L20" i="36" s="1"/>
  <c r="K19" i="36"/>
  <c r="F19" i="36"/>
  <c r="L19" i="36" s="1"/>
  <c r="K18" i="36"/>
  <c r="F18" i="36"/>
  <c r="L18" i="36" s="1"/>
  <c r="K17" i="36"/>
  <c r="F17" i="36"/>
  <c r="L17" i="36" s="1"/>
  <c r="K16" i="36"/>
  <c r="F16" i="36"/>
  <c r="L16" i="36" s="1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L11" i="36" s="1"/>
  <c r="K10" i="36"/>
  <c r="F10" i="36"/>
  <c r="K9" i="36"/>
  <c r="K40" i="36" s="1"/>
  <c r="F9" i="36"/>
  <c r="J40" i="35"/>
  <c r="I40" i="35"/>
  <c r="H40" i="35"/>
  <c r="G40" i="35"/>
  <c r="E40" i="35"/>
  <c r="D40" i="35"/>
  <c r="C40" i="35"/>
  <c r="B40" i="35"/>
  <c r="K39" i="35"/>
  <c r="F39" i="35"/>
  <c r="L39" i="35" s="1"/>
  <c r="K38" i="35"/>
  <c r="F38" i="35"/>
  <c r="L38" i="35" s="1"/>
  <c r="K37" i="35"/>
  <c r="F37" i="35"/>
  <c r="L37" i="35" s="1"/>
  <c r="K36" i="35"/>
  <c r="F36" i="35"/>
  <c r="K35" i="35"/>
  <c r="F35" i="35"/>
  <c r="L35" i="35" s="1"/>
  <c r="K34" i="35"/>
  <c r="F34" i="35"/>
  <c r="L34" i="35" s="1"/>
  <c r="K33" i="35"/>
  <c r="F33" i="35"/>
  <c r="L33" i="35" s="1"/>
  <c r="K32" i="35"/>
  <c r="F32" i="35"/>
  <c r="L32" i="35" s="1"/>
  <c r="K31" i="35"/>
  <c r="F31" i="35"/>
  <c r="L31" i="35" s="1"/>
  <c r="K30" i="35"/>
  <c r="F30" i="35"/>
  <c r="L30" i="35" s="1"/>
  <c r="K29" i="35"/>
  <c r="F29" i="35"/>
  <c r="L29" i="35" s="1"/>
  <c r="K28" i="35"/>
  <c r="F28" i="35"/>
  <c r="L28" i="35" s="1"/>
  <c r="K27" i="35"/>
  <c r="F27" i="35"/>
  <c r="K26" i="35"/>
  <c r="F26" i="35"/>
  <c r="K25" i="35"/>
  <c r="F25" i="35"/>
  <c r="K24" i="35"/>
  <c r="F24" i="35"/>
  <c r="K23" i="35"/>
  <c r="F23" i="35"/>
  <c r="K22" i="35"/>
  <c r="F22" i="35"/>
  <c r="L22" i="35" s="1"/>
  <c r="K21" i="35"/>
  <c r="F21" i="35"/>
  <c r="L21" i="35" s="1"/>
  <c r="K20" i="35"/>
  <c r="F20" i="35"/>
  <c r="L20" i="35" s="1"/>
  <c r="K19" i="35"/>
  <c r="F19" i="35"/>
  <c r="L19" i="35" s="1"/>
  <c r="K18" i="35"/>
  <c r="F18" i="35"/>
  <c r="L18" i="35" s="1"/>
  <c r="K17" i="35"/>
  <c r="F17" i="35"/>
  <c r="L17" i="35" s="1"/>
  <c r="L16" i="35"/>
  <c r="K16" i="35"/>
  <c r="F16" i="35"/>
  <c r="K15" i="35"/>
  <c r="F15" i="35"/>
  <c r="L15" i="35" s="1"/>
  <c r="K14" i="35"/>
  <c r="F14" i="35"/>
  <c r="L14" i="35" s="1"/>
  <c r="K13" i="35"/>
  <c r="F13" i="35"/>
  <c r="L13" i="35" s="1"/>
  <c r="K12" i="35"/>
  <c r="F12" i="35"/>
  <c r="L12" i="35" s="1"/>
  <c r="K11" i="35"/>
  <c r="F11" i="35"/>
  <c r="L11" i="35" s="1"/>
  <c r="K10" i="35"/>
  <c r="F10" i="35"/>
  <c r="L10" i="35" s="1"/>
  <c r="K9" i="35"/>
  <c r="F9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33" i="37" l="1"/>
  <c r="L10" i="37"/>
  <c r="L21" i="37"/>
  <c r="L22" i="37"/>
  <c r="L34" i="37"/>
  <c r="L17" i="37"/>
  <c r="L29" i="37"/>
  <c r="L30" i="37"/>
  <c r="L13" i="37"/>
  <c r="L25" i="37"/>
  <c r="L37" i="37"/>
  <c r="L9" i="37"/>
  <c r="L40" i="37" s="1"/>
  <c r="G46" i="37" s="1"/>
  <c r="G47" i="37" s="1"/>
  <c r="G49" i="37" s="1"/>
  <c r="L34" i="36"/>
  <c r="L13" i="36"/>
  <c r="L12" i="36"/>
  <c r="L10" i="36"/>
  <c r="L9" i="36"/>
  <c r="F40" i="36"/>
  <c r="L27" i="35"/>
  <c r="L25" i="35"/>
  <c r="L26" i="35"/>
  <c r="L24" i="35"/>
  <c r="L23" i="35"/>
  <c r="K40" i="35"/>
  <c r="L36" i="35"/>
  <c r="F40" i="35"/>
  <c r="L9" i="35"/>
  <c r="L28" i="34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6" l="1"/>
  <c r="G46" i="36" s="1"/>
  <c r="G47" i="36" s="1"/>
  <c r="G49" i="36" s="1"/>
  <c r="L40" i="35"/>
  <c r="G46" i="35" s="1"/>
  <c r="G47" i="35" s="1"/>
  <c r="G49" i="35" s="1"/>
  <c r="L40" i="34"/>
  <c r="G46" i="34" s="1"/>
  <c r="G47" i="34" s="1"/>
  <c r="G49" i="34" s="1"/>
</calcChain>
</file>

<file path=xl/sharedStrings.xml><?xml version="1.0" encoding="utf-8"?>
<sst xmlns="http://schemas.openxmlformats.org/spreadsheetml/2006/main" count="140" uniqueCount="40">
  <si>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</si>
  <si>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</si>
  <si>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</si>
  <si>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</si>
  <si>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</si>
  <si>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</si>
  <si>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</si>
  <si>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</si>
  <si>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</si>
  <si>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</si>
  <si>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</si>
  <si>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</si>
  <si>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</si>
  <si>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</si>
  <si>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</si>
  <si>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</si>
  <si>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</si>
  <si>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</si>
  <si>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</si>
  <si>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</si>
  <si>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</si>
  <si>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</si>
  <si>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</si>
  <si>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</si>
  <si>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</si>
  <si>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</si>
  <si>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</si>
  <si>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</si>
  <si>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</si>
  <si>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</si>
  <si>
    <t>1 Compteurs DN 15/21 Destination Antenne Zoubiria</t>
  </si>
  <si>
    <t>1 Compteurs DN 15/21 Destination Antenne Robea</t>
  </si>
  <si>
    <t>2 Compteurs DN 15/21 Destination Antenne Seghouane</t>
  </si>
  <si>
    <t>16 Compteurs DN 15/21 Destination Antenne Tlathet Douairs</t>
  </si>
  <si>
    <t>Mois de FEVRIER 2026</t>
  </si>
  <si>
    <t>2 Compteurs DN 15/21 Destination Antenne Zoubiria</t>
  </si>
  <si>
    <t>1 Compteurs DN 15/21 Destination Antenne Ouled dhied</t>
  </si>
  <si>
    <t>Mois de MARS 2026</t>
  </si>
  <si>
    <t>1 Compteurs DN 15/21 Destination Antenne Seghouane</t>
  </si>
  <si>
    <t>Mois de AVRIL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</si>
</sst>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5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7" fillId="2" borderId="22" xfId="3" applyFill="1" applyBorder="1" applyAlignment="1" applyProtection="1">
      <alignment horizontal="center" vertical="center" wrapText="1"/>
      <protection locked="0"/>
    </xf>
    <xf numFmtId="0" fontId="7" fillId="2" borderId="23" xfId="3" applyFill="1" applyBorder="1" applyAlignment="1" applyProtection="1">
      <alignment horizontal="center" vertical="center" wrapText="1"/>
      <protection locked="0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5369A9B-4B5C-45C7-BEA5-EAE54033CEF4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1598B05-57E1-48DC-BCC9-A5B827D62813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09F360-3BFB-4277-B76B-1D5E1BE3D27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7"/>
  <sheetViews>
    <sheetView topLeftCell="A26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28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447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96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351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321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30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30</v>
      </c>
    </row>
    <row r="55" spans="1:12" x14ac:dyDescent="0.25">
      <c r="A55" t="s">
        <v>31</v>
      </c>
    </row>
    <row r="56" spans="1:12" x14ac:dyDescent="0.25">
      <c r="A56" t="s">
        <v>32</v>
      </c>
    </row>
    <row r="57" spans="1:12" x14ac:dyDescent="0.25">
      <c r="A57" t="s">
        <v>33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89F73-A3BB-4886-8995-5105552B61B3}">
  <dimension ref="A1:L54"/>
  <sheetViews>
    <sheetView topLeftCell="A21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1</v>
      </c>
      <c r="C9" s="19"/>
      <c r="D9" s="19">
        <v>1</v>
      </c>
      <c r="E9" s="20"/>
      <c r="F9" s="17">
        <f>SUM(B9:E9)</f>
        <v>2</v>
      </c>
      <c r="G9" s="41">
        <v>21</v>
      </c>
      <c r="H9" s="29"/>
      <c r="I9" s="29"/>
      <c r="J9" s="29"/>
      <c r="K9" s="15">
        <f>SUM(G9:J9)</f>
        <v>21</v>
      </c>
      <c r="L9" s="7">
        <f>SUM(F9+K9)</f>
        <v>23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11</v>
      </c>
      <c r="H11" s="25"/>
      <c r="I11" s="22"/>
      <c r="J11" s="22"/>
      <c r="K11" s="15">
        <f t="shared" si="1"/>
        <v>11</v>
      </c>
      <c r="L11" s="7">
        <f t="shared" si="2"/>
        <v>11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2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1</v>
      </c>
      <c r="H13" s="25"/>
      <c r="I13" s="25"/>
      <c r="J13" s="22"/>
      <c r="K13" s="15">
        <f t="shared" si="1"/>
        <v>1</v>
      </c>
      <c r="L13" s="7">
        <f t="shared" si="2"/>
        <v>1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5</v>
      </c>
      <c r="C17" s="25"/>
      <c r="D17" s="25"/>
      <c r="E17" s="24"/>
      <c r="F17" s="17">
        <f t="shared" si="0"/>
        <v>5</v>
      </c>
      <c r="G17" s="30"/>
      <c r="H17" s="25"/>
      <c r="I17" s="25"/>
      <c r="J17" s="30"/>
      <c r="K17" s="15">
        <f t="shared" si="1"/>
        <v>0</v>
      </c>
      <c r="L17" s="7">
        <f t="shared" si="2"/>
        <v>5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3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>
        <v>2</v>
      </c>
      <c r="C19" s="25"/>
      <c r="D19" s="25"/>
      <c r="E19" s="23"/>
      <c r="F19" s="17">
        <f t="shared" si="0"/>
        <v>2</v>
      </c>
      <c r="G19" s="30"/>
      <c r="H19" s="25"/>
      <c r="I19" s="25"/>
      <c r="J19" s="30"/>
      <c r="K19" s="15">
        <f t="shared" si="1"/>
        <v>0</v>
      </c>
      <c r="L19" s="7">
        <f t="shared" si="2"/>
        <v>2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2</v>
      </c>
      <c r="C23" s="22"/>
      <c r="D23" s="25"/>
      <c r="E23" s="23"/>
      <c r="F23" s="17">
        <f t="shared" si="0"/>
        <v>2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3</v>
      </c>
    </row>
    <row r="24" spans="1:12" ht="15.75" thickBot="1" x14ac:dyDescent="0.3">
      <c r="A24" s="8">
        <v>16</v>
      </c>
      <c r="B24" s="21">
        <v>3</v>
      </c>
      <c r="C24" s="22"/>
      <c r="D24" s="25"/>
      <c r="E24" s="23"/>
      <c r="F24" s="17">
        <f t="shared" si="0"/>
        <v>3</v>
      </c>
      <c r="G24" s="30">
        <v>10</v>
      </c>
      <c r="H24" s="25"/>
      <c r="I24" s="25"/>
      <c r="J24" s="30"/>
      <c r="K24" s="15">
        <f t="shared" si="1"/>
        <v>10</v>
      </c>
      <c r="L24" s="7">
        <f t="shared" si="2"/>
        <v>13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>
        <v>10</v>
      </c>
      <c r="H25" s="25"/>
      <c r="I25" s="25">
        <v>1</v>
      </c>
      <c r="J25" s="30"/>
      <c r="K25" s="15">
        <f t="shared" si="1"/>
        <v>11</v>
      </c>
      <c r="L25" s="7">
        <f t="shared" si="2"/>
        <v>12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>
        <v>10</v>
      </c>
      <c r="H26" s="25"/>
      <c r="I26" s="25"/>
      <c r="J26" s="30"/>
      <c r="K26" s="15">
        <f t="shared" si="1"/>
        <v>10</v>
      </c>
      <c r="L26" s="7">
        <f t="shared" si="2"/>
        <v>10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4</v>
      </c>
      <c r="H27" s="25"/>
      <c r="I27" s="25"/>
      <c r="J27" s="30"/>
      <c r="K27" s="15">
        <f t="shared" si="1"/>
        <v>4</v>
      </c>
      <c r="L27" s="7">
        <f t="shared" si="2"/>
        <v>4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5</v>
      </c>
      <c r="C30" s="22"/>
      <c r="D30" s="25"/>
      <c r="E30" s="23"/>
      <c r="F30" s="17">
        <f t="shared" si="0"/>
        <v>5</v>
      </c>
      <c r="G30" s="30">
        <v>1</v>
      </c>
      <c r="H30" s="25"/>
      <c r="I30" s="25"/>
      <c r="J30" s="30"/>
      <c r="K30" s="15">
        <f t="shared" si="1"/>
        <v>1</v>
      </c>
      <c r="L30" s="7">
        <f t="shared" si="2"/>
        <v>6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5"/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>
        <v>2</v>
      </c>
      <c r="C34" s="25"/>
      <c r="D34" s="25"/>
      <c r="E34" s="23"/>
      <c r="F34" s="17">
        <f t="shared" si="0"/>
        <v>2</v>
      </c>
      <c r="G34" s="30"/>
      <c r="H34" s="25"/>
      <c r="I34" s="22"/>
      <c r="J34" s="22"/>
      <c r="K34" s="15">
        <f t="shared" si="1"/>
        <v>0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33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34</v>
      </c>
      <c r="G40" s="16">
        <f>SUM(G9:G39)</f>
        <v>69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70</v>
      </c>
      <c r="L40" s="16">
        <f t="shared" si="4"/>
        <v>104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321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104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217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214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3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36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00B2E-2FD7-43CB-9225-C8475A854F7A}">
  <dimension ref="A1:L53"/>
  <sheetViews>
    <sheetView topLeftCell="A25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37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1</v>
      </c>
      <c r="C9" s="48"/>
      <c r="D9" s="48"/>
      <c r="E9" s="49"/>
      <c r="F9" s="17">
        <f>SUM(B9:E9)</f>
        <v>1</v>
      </c>
      <c r="G9" s="41">
        <v>1</v>
      </c>
      <c r="H9" s="47"/>
      <c r="I9" s="47">
        <v>1</v>
      </c>
      <c r="J9" s="47"/>
      <c r="K9" s="15">
        <f>SUM(G9:J9)</f>
        <v>2</v>
      </c>
      <c r="L9" s="7">
        <f>SUM(F9+K9)</f>
        <v>3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>
        <v>1</v>
      </c>
      <c r="H10" s="25"/>
      <c r="I10" s="25"/>
      <c r="J10" s="25"/>
      <c r="K10" s="15">
        <f t="shared" ref="K10:K39" si="1">SUM(G10:J10)</f>
        <v>1</v>
      </c>
      <c r="L10" s="7">
        <f t="shared" ref="L10:L39" si="2">SUM(F10+K10)</f>
        <v>2</v>
      </c>
    </row>
    <row r="11" spans="1:12" ht="15.75" thickBot="1" x14ac:dyDescent="0.3">
      <c r="A11" s="8">
        <v>3</v>
      </c>
      <c r="B11" s="21">
        <v>5</v>
      </c>
      <c r="C11" s="25"/>
      <c r="D11" s="25"/>
      <c r="E11" s="24"/>
      <c r="F11" s="17">
        <f t="shared" si="0"/>
        <v>5</v>
      </c>
      <c r="G11" s="30"/>
      <c r="H11" s="25"/>
      <c r="I11" s="25"/>
      <c r="J11" s="25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4"/>
      <c r="F12" s="17">
        <f t="shared" si="0"/>
        <v>1</v>
      </c>
      <c r="G12" s="30">
        <v>2</v>
      </c>
      <c r="H12" s="25"/>
      <c r="I12" s="25"/>
      <c r="J12" s="25"/>
      <c r="K12" s="15">
        <f t="shared" si="1"/>
        <v>2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>
        <v>2</v>
      </c>
      <c r="H13" s="25"/>
      <c r="I13" s="25"/>
      <c r="J13" s="25"/>
      <c r="K13" s="15">
        <f t="shared" si="1"/>
        <v>2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4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3</v>
      </c>
      <c r="C24" s="25"/>
      <c r="D24" s="25"/>
      <c r="E24" s="24"/>
      <c r="F24" s="17">
        <f t="shared" si="0"/>
        <v>3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4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4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5"/>
      <c r="D31" s="25"/>
      <c r="E31" s="24"/>
      <c r="F31" s="17">
        <f t="shared" si="0"/>
        <v>3</v>
      </c>
      <c r="G31" s="30"/>
      <c r="H31" s="25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5"/>
      <c r="D33" s="25"/>
      <c r="E33" s="24"/>
      <c r="F33" s="17">
        <f t="shared" si="0"/>
        <v>2</v>
      </c>
      <c r="G33" s="30"/>
      <c r="H33" s="25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>
        <v>2</v>
      </c>
      <c r="E34" s="24"/>
      <c r="F34" s="17">
        <f t="shared" si="0"/>
        <v>3</v>
      </c>
      <c r="G34" s="30">
        <v>1</v>
      </c>
      <c r="H34" s="25"/>
      <c r="I34" s="25"/>
      <c r="J34" s="25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>
        <v>1</v>
      </c>
      <c r="E37" s="24"/>
      <c r="F37" s="17">
        <f t="shared" si="0"/>
        <v>1</v>
      </c>
      <c r="G37" s="30"/>
      <c r="H37" s="25"/>
      <c r="I37" s="25"/>
      <c r="J37" s="25"/>
      <c r="K37" s="15">
        <f t="shared" si="1"/>
        <v>0</v>
      </c>
      <c r="L37" s="7">
        <f t="shared" si="2"/>
        <v>1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3</v>
      </c>
      <c r="C39" s="44"/>
      <c r="D39" s="44"/>
      <c r="E39" s="50"/>
      <c r="F39" s="17">
        <f t="shared" si="0"/>
        <v>3</v>
      </c>
      <c r="G39" s="30">
        <v>1</v>
      </c>
      <c r="H39" s="25"/>
      <c r="I39" s="25"/>
      <c r="J39" s="25"/>
      <c r="K39" s="15">
        <f t="shared" si="1"/>
        <v>1</v>
      </c>
      <c r="L39" s="7">
        <f t="shared" si="2"/>
        <v>4</v>
      </c>
    </row>
    <row r="40" spans="1:12" ht="15.75" thickBot="1" x14ac:dyDescent="0.3">
      <c r="A40" s="10"/>
      <c r="B40" s="46">
        <f>SUM(B9:B39)</f>
        <v>31</v>
      </c>
      <c r="C40" s="46">
        <f t="shared" ref="C40:E40" si="3">SUM(C9:C39)</f>
        <v>0</v>
      </c>
      <c r="D40" s="46">
        <f t="shared" si="3"/>
        <v>3</v>
      </c>
      <c r="E40" s="46">
        <f t="shared" si="3"/>
        <v>0</v>
      </c>
      <c r="F40" s="45">
        <f>SUM(F9:F39)</f>
        <v>34</v>
      </c>
      <c r="G40" s="16">
        <f>SUM(G9:G39)</f>
        <v>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10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214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44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170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169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38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B34D2-8B86-4C57-A168-32452A755D66}">
  <dimension ref="A1:L51"/>
  <sheetViews>
    <sheetView tabSelected="1" topLeftCell="A18" workbookViewId="0">
      <selection activeCell="G44" sqref="G44:H4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3</v>
      </c>
      <c r="C9" s="48"/>
      <c r="D9" s="48"/>
      <c r="E9" s="49"/>
      <c r="F9" s="17">
        <f>SUM(B9:E9)</f>
        <v>3</v>
      </c>
      <c r="G9" s="41"/>
      <c r="H9" s="47"/>
      <c r="I9" s="47"/>
      <c r="J9" s="47"/>
      <c r="K9" s="15">
        <f>SUM(G9:J9)</f>
        <v>0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3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3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169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3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166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165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2026</vt:lpstr>
      <vt:lpstr>FEVRIER 2026</vt:lpstr>
      <vt:lpstr>MARS 2026</vt:lpstr>
      <vt:lpstr>AVRIL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2025-12-07T09:32:25Z</cp:lastPrinted>
  <dcterms:created xsi:type="dcterms:W3CDTF">2014-12-31T15:22:06Z</dcterms:created>
  <dcterms:modified xsi:type="dcterms:W3CDTF">2026-04-07T12:35:27Z</dcterms:modified>
</cp:coreProperties>
</file>