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9B6044F0-D324-4EBC-A4C0-1E794F369897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  <sheet name="MAI 2026" sheetId="38" r:id="rId5"/>
    <sheet name="Juin 2026" sheetId="39" r:id="rId6"/>
    <sheet name="Juillet 2026" sheetId="40" r:id="rId7"/>
    <sheet name="Aout 2026" sheetId="41" r:id="rId8"/>
    <sheet name="Septembre 2026" sheetId="4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42" l="1"/>
  <c r="I40" i="42"/>
  <c r="H40" i="42"/>
  <c r="G40" i="42"/>
  <c r="E40" i="42"/>
  <c r="D40" i="42"/>
  <c r="C40" i="42"/>
  <c r="B40" i="42"/>
  <c r="K39" i="42"/>
  <c r="F39" i="42"/>
  <c r="L39" i="42" s="1"/>
  <c r="K38" i="42"/>
  <c r="F38" i="42"/>
  <c r="L38" i="42" s="1"/>
  <c r="K37" i="42"/>
  <c r="F37" i="42"/>
  <c r="L37" i="42" s="1"/>
  <c r="K36" i="42"/>
  <c r="F36" i="42"/>
  <c r="L36" i="42" s="1"/>
  <c r="K35" i="42"/>
  <c r="F35" i="42"/>
  <c r="L35" i="42" s="1"/>
  <c r="K34" i="42"/>
  <c r="F34" i="42"/>
  <c r="L34" i="42" s="1"/>
  <c r="K33" i="42"/>
  <c r="F33" i="42"/>
  <c r="L33" i="42" s="1"/>
  <c r="K32" i="42"/>
  <c r="F32" i="42"/>
  <c r="L32" i="42" s="1"/>
  <c r="K31" i="42"/>
  <c r="F31" i="42"/>
  <c r="L31" i="42" s="1"/>
  <c r="K30" i="42"/>
  <c r="F30" i="42"/>
  <c r="L30" i="42" s="1"/>
  <c r="K29" i="42"/>
  <c r="F29" i="42"/>
  <c r="L29" i="42" s="1"/>
  <c r="K28" i="42"/>
  <c r="F28" i="42"/>
  <c r="L28" i="42" s="1"/>
  <c r="K27" i="42"/>
  <c r="F27" i="42"/>
  <c r="L27" i="42" s="1"/>
  <c r="K26" i="42"/>
  <c r="F26" i="42"/>
  <c r="L26" i="42" s="1"/>
  <c r="K25" i="42"/>
  <c r="F25" i="42"/>
  <c r="L25" i="42" s="1"/>
  <c r="K24" i="42"/>
  <c r="F24" i="42"/>
  <c r="L24" i="42" s="1"/>
  <c r="K23" i="42"/>
  <c r="F23" i="42"/>
  <c r="L23" i="42" s="1"/>
  <c r="K22" i="42"/>
  <c r="F22" i="42"/>
  <c r="L22" i="42" s="1"/>
  <c r="K21" i="42"/>
  <c r="F21" i="42"/>
  <c r="L21" i="42" s="1"/>
  <c r="K20" i="42"/>
  <c r="F20" i="42"/>
  <c r="L20" i="42" s="1"/>
  <c r="K19" i="42"/>
  <c r="F19" i="42"/>
  <c r="L19" i="42" s="1"/>
  <c r="K18" i="42"/>
  <c r="F18" i="42"/>
  <c r="L18" i="42" s="1"/>
  <c r="K17" i="42"/>
  <c r="F17" i="42"/>
  <c r="L17" i="42" s="1"/>
  <c r="K16" i="42"/>
  <c r="F16" i="42"/>
  <c r="L16" i="42" s="1"/>
  <c r="K15" i="42"/>
  <c r="F15" i="42"/>
  <c r="L15" i="42" s="1"/>
  <c r="K14" i="42"/>
  <c r="F14" i="42"/>
  <c r="L14" i="42" s="1"/>
  <c r="K13" i="42"/>
  <c r="F13" i="42"/>
  <c r="L13" i="42" s="1"/>
  <c r="K12" i="42"/>
  <c r="F12" i="42"/>
  <c r="L12" i="42" s="1"/>
  <c r="K11" i="42"/>
  <c r="F11" i="42"/>
  <c r="K10" i="42"/>
  <c r="F10" i="42"/>
  <c r="L10" i="42" s="1"/>
  <c r="K9" i="42"/>
  <c r="F9" i="42"/>
  <c r="L9" i="42" s="1"/>
  <c r="K40" i="41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L37" i="41" s="1"/>
  <c r="K36" i="41"/>
  <c r="F36" i="41"/>
  <c r="L36" i="41" s="1"/>
  <c r="K35" i="41"/>
  <c r="F35" i="41"/>
  <c r="L35" i="41" s="1"/>
  <c r="K34" i="41"/>
  <c r="F34" i="41"/>
  <c r="L34" i="41" s="1"/>
  <c r="K33" i="41"/>
  <c r="F33" i="41"/>
  <c r="L33" i="41" s="1"/>
  <c r="K32" i="41"/>
  <c r="F32" i="41"/>
  <c r="L32" i="41" s="1"/>
  <c r="K31" i="41"/>
  <c r="F31" i="41"/>
  <c r="L31" i="41" s="1"/>
  <c r="K30" i="41"/>
  <c r="F30" i="41"/>
  <c r="L30" i="41" s="1"/>
  <c r="K29" i="41"/>
  <c r="F29" i="41"/>
  <c r="L29" i="41" s="1"/>
  <c r="K28" i="41"/>
  <c r="F28" i="41"/>
  <c r="L28" i="41" s="1"/>
  <c r="K27" i="41"/>
  <c r="F27" i="41"/>
  <c r="L27" i="41" s="1"/>
  <c r="K26" i="41"/>
  <c r="F26" i="41"/>
  <c r="L26" i="41" s="1"/>
  <c r="K25" i="41"/>
  <c r="F25" i="41"/>
  <c r="L25" i="41" s="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L20" i="41" s="1"/>
  <c r="K19" i="41"/>
  <c r="F19" i="41"/>
  <c r="L19" i="41" s="1"/>
  <c r="K18" i="41"/>
  <c r="F18" i="41"/>
  <c r="L18" i="41" s="1"/>
  <c r="K17" i="41"/>
  <c r="F17" i="41"/>
  <c r="L17" i="41" s="1"/>
  <c r="K16" i="41"/>
  <c r="F16" i="41"/>
  <c r="L16" i="41" s="1"/>
  <c r="K15" i="41"/>
  <c r="F15" i="41"/>
  <c r="L15" i="41" s="1"/>
  <c r="K14" i="41"/>
  <c r="F14" i="41"/>
  <c r="L14" i="41" s="1"/>
  <c r="K13" i="41"/>
  <c r="F13" i="41"/>
  <c r="L13" i="41" s="1"/>
  <c r="K12" i="41"/>
  <c r="F12" i="41"/>
  <c r="L12" i="41" s="1"/>
  <c r="K11" i="41"/>
  <c r="F11" i="41"/>
  <c r="L11" i="41" s="1"/>
  <c r="K10" i="41"/>
  <c r="F10" i="41"/>
  <c r="L10" i="41" s="1"/>
  <c r="K9" i="41"/>
  <c r="F9" i="41"/>
  <c r="L9" i="41" s="1"/>
  <c r="K40" i="42" l="1"/>
  <c r="F40" i="42"/>
  <c r="L11" i="42"/>
  <c r="L40" i="42" s="1"/>
  <c r="G46" i="42" s="1"/>
  <c r="G47" i="42" s="1"/>
  <c r="G49" i="42" s="1"/>
  <c r="L40" i="41"/>
  <c r="G46" i="41" s="1"/>
  <c r="G47" i="41" s="1"/>
  <c r="G49" i="41" s="1"/>
  <c r="F40" i="41"/>
  <c r="J40" i="40" l="1"/>
  <c r="I40" i="40"/>
  <c r="H40" i="40"/>
  <c r="G40" i="40"/>
  <c r="E40" i="40"/>
  <c r="D40" i="40"/>
  <c r="C40" i="40"/>
  <c r="B40" i="40"/>
  <c r="L39" i="40"/>
  <c r="K39" i="40"/>
  <c r="F39" i="40"/>
  <c r="K38" i="40"/>
  <c r="F38" i="40"/>
  <c r="L38" i="40" s="1"/>
  <c r="K37" i="40"/>
  <c r="F37" i="40"/>
  <c r="K36" i="40"/>
  <c r="F36" i="40"/>
  <c r="L36" i="40" s="1"/>
  <c r="K35" i="40"/>
  <c r="F35" i="40"/>
  <c r="L35" i="40" s="1"/>
  <c r="K34" i="40"/>
  <c r="F34" i="40"/>
  <c r="L34" i="40" s="1"/>
  <c r="K33" i="40"/>
  <c r="L33" i="40" s="1"/>
  <c r="F33" i="40"/>
  <c r="K32" i="40"/>
  <c r="F32" i="40"/>
  <c r="K31" i="40"/>
  <c r="F31" i="40"/>
  <c r="L31" i="40" s="1"/>
  <c r="K30" i="40"/>
  <c r="F30" i="40"/>
  <c r="L30" i="40" s="1"/>
  <c r="K29" i="40"/>
  <c r="F29" i="40"/>
  <c r="K28" i="40"/>
  <c r="F28" i="40"/>
  <c r="L28" i="40" s="1"/>
  <c r="K27" i="40"/>
  <c r="F27" i="40"/>
  <c r="L27" i="40" s="1"/>
  <c r="K26" i="40"/>
  <c r="F26" i="40"/>
  <c r="K25" i="40"/>
  <c r="F25" i="40"/>
  <c r="K24" i="40"/>
  <c r="F24" i="40"/>
  <c r="L24" i="40" s="1"/>
  <c r="K23" i="40"/>
  <c r="F23" i="40"/>
  <c r="K22" i="40"/>
  <c r="F22" i="40"/>
  <c r="L22" i="40" s="1"/>
  <c r="K21" i="40"/>
  <c r="F21" i="40"/>
  <c r="K20" i="40"/>
  <c r="F20" i="40"/>
  <c r="K19" i="40"/>
  <c r="F19" i="40"/>
  <c r="L19" i="40" s="1"/>
  <c r="K18" i="40"/>
  <c r="F18" i="40"/>
  <c r="L18" i="40" s="1"/>
  <c r="K17" i="40"/>
  <c r="F17" i="40"/>
  <c r="K16" i="40"/>
  <c r="F16" i="40"/>
  <c r="L16" i="40" s="1"/>
  <c r="K15" i="40"/>
  <c r="L15" i="40" s="1"/>
  <c r="F15" i="40"/>
  <c r="K14" i="40"/>
  <c r="L14" i="40" s="1"/>
  <c r="F14" i="40"/>
  <c r="K13" i="40"/>
  <c r="L13" i="40" s="1"/>
  <c r="F13" i="40"/>
  <c r="K12" i="40"/>
  <c r="F12" i="40"/>
  <c r="L12" i="40" s="1"/>
  <c r="K11" i="40"/>
  <c r="F11" i="40"/>
  <c r="L10" i="40"/>
  <c r="K10" i="40"/>
  <c r="F10" i="40"/>
  <c r="K9" i="40"/>
  <c r="F9" i="40"/>
  <c r="J40" i="39"/>
  <c r="I40" i="39"/>
  <c r="H40" i="39"/>
  <c r="G40" i="39"/>
  <c r="E40" i="39"/>
  <c r="D40" i="39"/>
  <c r="C40" i="39"/>
  <c r="B40" i="39"/>
  <c r="K39" i="39"/>
  <c r="F39" i="39"/>
  <c r="L39" i="39" s="1"/>
  <c r="L38" i="39"/>
  <c r="K38" i="39"/>
  <c r="F38" i="39"/>
  <c r="K37" i="39"/>
  <c r="F37" i="39"/>
  <c r="L37" i="39" s="1"/>
  <c r="K36" i="39"/>
  <c r="F36" i="39"/>
  <c r="L36" i="39" s="1"/>
  <c r="K35" i="39"/>
  <c r="F35" i="39"/>
  <c r="L35" i="39" s="1"/>
  <c r="L34" i="39"/>
  <c r="K34" i="39"/>
  <c r="F34" i="39"/>
  <c r="K33" i="39"/>
  <c r="F33" i="39"/>
  <c r="L33" i="39" s="1"/>
  <c r="K32" i="39"/>
  <c r="F32" i="39"/>
  <c r="L32" i="39" s="1"/>
  <c r="K31" i="39"/>
  <c r="F31" i="39"/>
  <c r="L31" i="39" s="1"/>
  <c r="L30" i="39"/>
  <c r="K30" i="39"/>
  <c r="F30" i="39"/>
  <c r="K29" i="39"/>
  <c r="F29" i="39"/>
  <c r="L29" i="39" s="1"/>
  <c r="K28" i="39"/>
  <c r="F28" i="39"/>
  <c r="L28" i="39" s="1"/>
  <c r="K27" i="39"/>
  <c r="F27" i="39"/>
  <c r="K26" i="39"/>
  <c r="L26" i="39" s="1"/>
  <c r="F26" i="39"/>
  <c r="K25" i="39"/>
  <c r="F25" i="39"/>
  <c r="L25" i="39" s="1"/>
  <c r="K24" i="39"/>
  <c r="F24" i="39"/>
  <c r="L24" i="39" s="1"/>
  <c r="K23" i="39"/>
  <c r="F23" i="39"/>
  <c r="L23" i="39" s="1"/>
  <c r="K22" i="39"/>
  <c r="L22" i="39" s="1"/>
  <c r="F22" i="39"/>
  <c r="K21" i="39"/>
  <c r="F21" i="39"/>
  <c r="L21" i="39" s="1"/>
  <c r="K20" i="39"/>
  <c r="F20" i="39"/>
  <c r="L20" i="39" s="1"/>
  <c r="K19" i="39"/>
  <c r="F19" i="39"/>
  <c r="L19" i="39" s="1"/>
  <c r="K18" i="39"/>
  <c r="F18" i="39"/>
  <c r="L18" i="39" s="1"/>
  <c r="K17" i="39"/>
  <c r="F17" i="39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L12" i="39" s="1"/>
  <c r="K11" i="39"/>
  <c r="F11" i="39"/>
  <c r="L11" i="39" s="1"/>
  <c r="K10" i="39"/>
  <c r="F10" i="39"/>
  <c r="K9" i="39"/>
  <c r="F9" i="39"/>
  <c r="J40" i="38"/>
  <c r="I40" i="38"/>
  <c r="H40" i="38"/>
  <c r="G40" i="38"/>
  <c r="E40" i="38"/>
  <c r="D40" i="38"/>
  <c r="C40" i="38"/>
  <c r="B40" i="38"/>
  <c r="K39" i="38"/>
  <c r="L39" i="38" s="1"/>
  <c r="F39" i="38"/>
  <c r="L38" i="38"/>
  <c r="K38" i="38"/>
  <c r="F38" i="38"/>
  <c r="K37" i="38"/>
  <c r="F37" i="38"/>
  <c r="L37" i="38" s="1"/>
  <c r="K36" i="38"/>
  <c r="F36" i="38"/>
  <c r="L36" i="38" s="1"/>
  <c r="K35" i="38"/>
  <c r="L35" i="38" s="1"/>
  <c r="F35" i="38"/>
  <c r="K34" i="38"/>
  <c r="F34" i="38"/>
  <c r="K33" i="38"/>
  <c r="F33" i="38"/>
  <c r="L33" i="38" s="1"/>
  <c r="K32" i="38"/>
  <c r="F32" i="38"/>
  <c r="L32" i="38" s="1"/>
  <c r="K31" i="38"/>
  <c r="F31" i="38"/>
  <c r="K30" i="38"/>
  <c r="F30" i="38"/>
  <c r="K29" i="38"/>
  <c r="F29" i="38"/>
  <c r="L29" i="38" s="1"/>
  <c r="K28" i="38"/>
  <c r="F28" i="38"/>
  <c r="L28" i="38" s="1"/>
  <c r="K27" i="38"/>
  <c r="L27" i="38" s="1"/>
  <c r="F27" i="38"/>
  <c r="K26" i="38"/>
  <c r="L26" i="38" s="1"/>
  <c r="F26" i="38"/>
  <c r="K25" i="38"/>
  <c r="F25" i="38"/>
  <c r="L25" i="38" s="1"/>
  <c r="K24" i="38"/>
  <c r="F24" i="38"/>
  <c r="L24" i="38" s="1"/>
  <c r="K23" i="38"/>
  <c r="F23" i="38"/>
  <c r="K22" i="38"/>
  <c r="L22" i="38" s="1"/>
  <c r="F22" i="38"/>
  <c r="K21" i="38"/>
  <c r="F21" i="38"/>
  <c r="K20" i="38"/>
  <c r="F20" i="38"/>
  <c r="L20" i="38" s="1"/>
  <c r="K19" i="38"/>
  <c r="F19" i="38"/>
  <c r="K18" i="38"/>
  <c r="F18" i="38"/>
  <c r="L18" i="38" s="1"/>
  <c r="K17" i="38"/>
  <c r="F17" i="38"/>
  <c r="K16" i="38"/>
  <c r="F16" i="38"/>
  <c r="K15" i="38"/>
  <c r="F15" i="38"/>
  <c r="K14" i="38"/>
  <c r="F14" i="38"/>
  <c r="L14" i="38" s="1"/>
  <c r="K13" i="38"/>
  <c r="F13" i="38"/>
  <c r="K12" i="38"/>
  <c r="F12" i="38"/>
  <c r="K11" i="38"/>
  <c r="F11" i="38"/>
  <c r="K10" i="38"/>
  <c r="F10" i="38"/>
  <c r="L10" i="38" s="1"/>
  <c r="K9" i="38"/>
  <c r="F9" i="38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3" i="40" l="1"/>
  <c r="L11" i="40"/>
  <c r="K40" i="40"/>
  <c r="L20" i="40"/>
  <c r="L26" i="40"/>
  <c r="L32" i="40"/>
  <c r="L21" i="40"/>
  <c r="L37" i="40"/>
  <c r="L29" i="40"/>
  <c r="L25" i="40"/>
  <c r="L17" i="40"/>
  <c r="F40" i="40"/>
  <c r="L9" i="40"/>
  <c r="L14" i="39"/>
  <c r="L9" i="39"/>
  <c r="L17" i="39"/>
  <c r="L40" i="39" s="1"/>
  <c r="G46" i="39" s="1"/>
  <c r="G47" i="39" s="1"/>
  <c r="G49" i="39" s="1"/>
  <c r="K40" i="39"/>
  <c r="L10" i="39"/>
  <c r="L16" i="39"/>
  <c r="L27" i="39"/>
  <c r="F40" i="39"/>
  <c r="L12" i="38"/>
  <c r="L11" i="38"/>
  <c r="L34" i="38"/>
  <c r="L30" i="38"/>
  <c r="L31" i="38"/>
  <c r="K40" i="38"/>
  <c r="L16" i="38"/>
  <c r="L23" i="38"/>
  <c r="L13" i="38"/>
  <c r="L17" i="38"/>
  <c r="L15" i="38"/>
  <c r="F40" i="38"/>
  <c r="L19" i="38"/>
  <c r="L21" i="38"/>
  <c r="L9" i="38"/>
  <c r="F40" i="37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40" l="1"/>
  <c r="G46" i="40" s="1"/>
  <c r="G47" i="40" s="1"/>
  <c r="G49" i="40" s="1"/>
  <c r="L40" i="38"/>
  <c r="G46" i="38" s="1"/>
  <c r="G47" i="38" s="1"/>
  <c r="G49" i="38" s="1"/>
  <c r="L40" i="37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<sst xmlns="http://schemas.openxmlformats.org/spreadsheetml/2006/main" count="322" uniqueCount="61">
  <si>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</si>
  <si>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</si>
  <si>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</si>
  <si>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</si>
  <si>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</si>
  <si>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</si>
  <si>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</si>
  <si>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</si>
  <si>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</si>
  <si>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</si>
  <si>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</si>
  <si>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</si>
  <si>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</si>
  <si>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</si>
  <si>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</si>
  <si>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</si>
  <si>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</si>
  <si>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</si>
  <si>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</si>
  <si>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</si>
  <si>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</si>
  <si>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</si>
  <si>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</si>
  <si>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</si>
  <si>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</si>
  <si>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</si>
  <si>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</si>
  <si>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</si>
  <si>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</si>
  <si>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</si>
  <si>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</si>
  <si>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</si>
  <si>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</si>
  <si>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</si>
  <si>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</si>
  <si>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</si>
  <si>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</si>
  <si>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</si>
  <si>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</si>
  <si>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</si>
  <si>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</si>
  <si>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</si>
  <si>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</si>
  <si>
    <t>Mois de MAI 2026</t>
  </si>
  <si>
    <t>01 Compteurs DN 15/21 Destination Seghouane</t>
  </si>
  <si>
    <t>01 Compteurs DN 100 Destination Seghouane</t>
  </si>
  <si>
    <t>06 Compteurs DN 15/21 Destination Tlathet Douairs</t>
  </si>
  <si>
    <t>03 Compteurs DN 15/21 Destination Zoubiria</t>
  </si>
  <si>
    <t>06 Compteurs : 2 (DN 15/21) , 1 (DN 100) ,1 (DN 80), 1 (DN 65) , 1 (DN 50)  Destination Antenne Robea</t>
  </si>
  <si>
    <t>Mois de JUIN 2026</t>
  </si>
  <si>
    <t>01 Compteurs DN 80 Destination Seghouane</t>
  </si>
  <si>
    <t>Mois de JUILLET 2026</t>
  </si>
  <si>
    <t>05 Compteurs DN 15/21 Destination Tlathet Douairs</t>
  </si>
  <si>
    <t>Mois de AOUT 2026</t>
  </si>
  <si>
    <t>06 Compteurs DN 20/27 Destination Tlathet douairs</t>
  </si>
  <si>
    <t>22 Compteurs DN 20/27 &amp; 09 Compteurs DN 15/21 Destination Zoubiria</t>
  </si>
  <si>
    <t>04 Compteurs DN 20/27 &amp; 02 Compteurs DN 15/21 Destination Seghouane</t>
  </si>
  <si>
    <t>02 Compteurs DN 20/27 &amp; 01 Compteur DN 15/821 Destination Robea</t>
  </si>
  <si>
    <t>05 Compteurs DN 20/27 &amp; 02 Compteurs DN 15/21 Destination Ouled Dhied</t>
  </si>
  <si>
    <t>Mois de SEPTEMBRE 2026</t>
  </si>
  <si>
    <t>10 Compteurs DN 15/21 Destination Agence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</si>
</sst>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7A68D-7CC6-45A0-8CF6-B93CA6C05DB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C2786F-FD9B-43D1-A972-2B2BC3307CB1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92DCE8F-D89D-4744-9839-EC1BCE96B4A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70B73A8-822B-46C9-9D51-6261FCBE8A39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1F2CC46-F60A-4CE8-9179-A4A5247719A5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28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96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351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321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321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104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217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214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214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170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opLeftCell="A24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169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80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90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78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12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50D4-1E58-46AE-A24B-2DF70BC2C7B6}">
  <dimension ref="A1:L57"/>
  <sheetViews>
    <sheetView topLeftCell="A23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5"/>
      <c r="D11" s="25"/>
      <c r="E11" s="24">
        <v>1</v>
      </c>
      <c r="F11" s="17">
        <f t="shared" si="0"/>
        <v>1</v>
      </c>
      <c r="G11" s="30">
        <v>1</v>
      </c>
      <c r="H11" s="25"/>
      <c r="I11" s="25"/>
      <c r="J11" s="25">
        <v>1</v>
      </c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>
        <v>1</v>
      </c>
      <c r="I12" s="25"/>
      <c r="J12" s="25">
        <v>1</v>
      </c>
      <c r="K12" s="15">
        <f t="shared" si="1"/>
        <v>2</v>
      </c>
      <c r="L12" s="7">
        <f t="shared" si="2"/>
        <v>2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15</v>
      </c>
      <c r="C14" s="25"/>
      <c r="D14" s="25"/>
      <c r="E14" s="24"/>
      <c r="F14" s="17">
        <f t="shared" si="0"/>
        <v>15</v>
      </c>
      <c r="G14" s="30"/>
      <c r="H14" s="25"/>
      <c r="I14" s="25"/>
      <c r="J14" s="30"/>
      <c r="K14" s="15">
        <f t="shared" si="1"/>
        <v>0</v>
      </c>
      <c r="L14" s="7">
        <f t="shared" si="2"/>
        <v>15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6</v>
      </c>
      <c r="C21" s="25"/>
      <c r="D21" s="25">
        <v>2</v>
      </c>
      <c r="E21" s="24"/>
      <c r="F21" s="17">
        <f t="shared" si="0"/>
        <v>8</v>
      </c>
      <c r="G21" s="30"/>
      <c r="H21" s="25"/>
      <c r="I21" s="25"/>
      <c r="J21" s="30"/>
      <c r="K21" s="15">
        <f t="shared" si="1"/>
        <v>0</v>
      </c>
      <c r="L21" s="7">
        <f t="shared" si="2"/>
        <v>8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>
        <v>1</v>
      </c>
      <c r="I29" s="25">
        <v>1</v>
      </c>
      <c r="J29" s="30">
        <v>2</v>
      </c>
      <c r="K29" s="15">
        <f t="shared" si="1"/>
        <v>4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4"/>
      <c r="F34" s="17">
        <f t="shared" si="0"/>
        <v>1</v>
      </c>
      <c r="G34" s="30"/>
      <c r="H34" s="25"/>
      <c r="I34" s="25"/>
      <c r="J34" s="25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23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26</v>
      </c>
      <c r="G40" s="16">
        <f>SUM(G9:G39)</f>
        <v>2</v>
      </c>
      <c r="H40" s="16">
        <f t="shared" ref="H40:L40" si="4">SUM(H9:H39)</f>
        <v>2</v>
      </c>
      <c r="I40" s="16">
        <f t="shared" si="4"/>
        <v>1</v>
      </c>
      <c r="J40" s="16">
        <f t="shared" si="4"/>
        <v>4</v>
      </c>
      <c r="K40" s="16">
        <f t="shared" si="4"/>
        <v>9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78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35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35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78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61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17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44</v>
      </c>
    </row>
    <row r="55" spans="1:12" x14ac:dyDescent="0.25">
      <c r="A55" t="s">
        <v>45</v>
      </c>
    </row>
    <row r="56" spans="1:12" x14ac:dyDescent="0.25">
      <c r="A56" t="s">
        <v>46</v>
      </c>
    </row>
    <row r="57" spans="1:12" x14ac:dyDescent="0.25">
      <c r="A57" t="s">
        <v>47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BB1E5-D117-4942-B6E6-8CE0BCAB38BB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>
        <v>1</v>
      </c>
      <c r="H9" s="47"/>
      <c r="I9" s="47">
        <v>2</v>
      </c>
      <c r="J9" s="47"/>
      <c r="K9" s="15">
        <f>SUM(G9:J9)</f>
        <v>3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>
        <v>2</v>
      </c>
      <c r="H14" s="25"/>
      <c r="I14" s="25"/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3</v>
      </c>
      <c r="H17" s="25"/>
      <c r="I17" s="25"/>
      <c r="J17" s="30"/>
      <c r="K17" s="15">
        <f t="shared" si="1"/>
        <v>3</v>
      </c>
      <c r="L17" s="7">
        <f t="shared" si="2"/>
        <v>3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>
        <v>1</v>
      </c>
      <c r="E21" s="24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4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5">
        <v>1</v>
      </c>
      <c r="D32" s="25"/>
      <c r="E32" s="24"/>
      <c r="F32" s="17">
        <f t="shared" si="0"/>
        <v>3</v>
      </c>
      <c r="G32" s="30"/>
      <c r="H32" s="25"/>
      <c r="I32" s="30"/>
      <c r="J32" s="30"/>
      <c r="K32" s="15">
        <f t="shared" si="1"/>
        <v>0</v>
      </c>
      <c r="L32" s="7">
        <f t="shared" si="2"/>
        <v>3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>
        <v>1</v>
      </c>
      <c r="H35" s="25"/>
      <c r="I35" s="25"/>
      <c r="J35" s="25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13</v>
      </c>
      <c r="C37" s="25"/>
      <c r="D37" s="25"/>
      <c r="E37" s="24"/>
      <c r="F37" s="17">
        <f t="shared" si="0"/>
        <v>13</v>
      </c>
      <c r="G37" s="30"/>
      <c r="H37" s="25"/>
      <c r="I37" s="25"/>
      <c r="J37" s="25"/>
      <c r="K37" s="15">
        <f t="shared" si="1"/>
        <v>0</v>
      </c>
      <c r="L37" s="7">
        <f t="shared" si="2"/>
        <v>13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1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7</v>
      </c>
      <c r="H40" s="16">
        <f t="shared" ref="H40:L40" si="4">SUM(H9:H39)</f>
        <v>0</v>
      </c>
      <c r="I40" s="16">
        <f t="shared" si="4"/>
        <v>2</v>
      </c>
      <c r="J40" s="16">
        <f t="shared" si="4"/>
        <v>0</v>
      </c>
      <c r="K40" s="16">
        <f t="shared" si="4"/>
        <v>9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61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104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28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137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136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50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6B94-475F-4BBD-A031-80A440D6F908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51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4">
        <v>1</v>
      </c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4</v>
      </c>
      <c r="C23" s="25"/>
      <c r="D23" s="25"/>
      <c r="E23" s="24"/>
      <c r="F23" s="17">
        <f t="shared" si="0"/>
        <v>4</v>
      </c>
      <c r="G23" s="30"/>
      <c r="H23" s="25"/>
      <c r="I23" s="25"/>
      <c r="J23" s="30"/>
      <c r="K23" s="15">
        <f t="shared" si="1"/>
        <v>0</v>
      </c>
      <c r="L23" s="7">
        <f t="shared" si="2"/>
        <v>4</v>
      </c>
    </row>
    <row r="24" spans="1:12" ht="15.75" thickBot="1" x14ac:dyDescent="0.3">
      <c r="A24" s="8">
        <v>16</v>
      </c>
      <c r="B24" s="21">
        <v>1</v>
      </c>
      <c r="C24" s="25"/>
      <c r="D24" s="25"/>
      <c r="E24" s="24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5"/>
      <c r="D29" s="25"/>
      <c r="E29" s="24"/>
      <c r="F29" s="17">
        <f t="shared" si="0"/>
        <v>1</v>
      </c>
      <c r="G29" s="30"/>
      <c r="H29" s="25"/>
      <c r="I29" s="25"/>
      <c r="J29" s="30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>
        <v>3</v>
      </c>
      <c r="C30" s="25"/>
      <c r="D30" s="25"/>
      <c r="E30" s="24"/>
      <c r="F30" s="17">
        <f t="shared" si="0"/>
        <v>3</v>
      </c>
      <c r="G30" s="30"/>
      <c r="H30" s="25"/>
      <c r="I30" s="25"/>
      <c r="J30" s="30"/>
      <c r="K30" s="15">
        <f t="shared" si="1"/>
        <v>0</v>
      </c>
      <c r="L30" s="7">
        <f t="shared" si="2"/>
        <v>3</v>
      </c>
    </row>
    <row r="31" spans="1:12" ht="15.75" thickBot="1" x14ac:dyDescent="0.3">
      <c r="A31" s="8">
        <v>23</v>
      </c>
      <c r="B31" s="21">
        <v>12</v>
      </c>
      <c r="C31" s="25"/>
      <c r="D31" s="25"/>
      <c r="E31" s="24"/>
      <c r="F31" s="17">
        <f t="shared" si="0"/>
        <v>12</v>
      </c>
      <c r="G31" s="30"/>
      <c r="H31" s="25"/>
      <c r="I31" s="30"/>
      <c r="J31" s="30"/>
      <c r="K31" s="15">
        <f t="shared" si="1"/>
        <v>0</v>
      </c>
      <c r="L31" s="7">
        <f t="shared" si="2"/>
        <v>12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7</v>
      </c>
      <c r="C35" s="25"/>
      <c r="D35" s="25">
        <v>2</v>
      </c>
      <c r="E35" s="24"/>
      <c r="F35" s="17">
        <f t="shared" si="0"/>
        <v>9</v>
      </c>
      <c r="G35" s="40"/>
      <c r="H35" s="25"/>
      <c r="I35" s="25"/>
      <c r="J35" s="25"/>
      <c r="K35" s="15">
        <f t="shared" si="1"/>
        <v>0</v>
      </c>
      <c r="L35" s="7">
        <f t="shared" si="2"/>
        <v>9</v>
      </c>
    </row>
    <row r="36" spans="1:12" ht="15.75" thickBot="1" x14ac:dyDescent="0.3">
      <c r="A36" s="8">
        <v>28</v>
      </c>
      <c r="B36" s="21">
        <v>5</v>
      </c>
      <c r="C36" s="25"/>
      <c r="D36" s="25"/>
      <c r="E36" s="24"/>
      <c r="F36" s="17">
        <f t="shared" si="0"/>
        <v>5</v>
      </c>
      <c r="G36" s="30"/>
      <c r="H36" s="25"/>
      <c r="I36" s="25"/>
      <c r="J36" s="25"/>
      <c r="K36" s="15">
        <f t="shared" si="1"/>
        <v>0</v>
      </c>
      <c r="L36" s="7">
        <f t="shared" si="2"/>
        <v>5</v>
      </c>
    </row>
    <row r="37" spans="1:12" ht="15.75" thickBot="1" x14ac:dyDescent="0.3">
      <c r="A37" s="8">
        <v>29</v>
      </c>
      <c r="B37" s="21">
        <v>6</v>
      </c>
      <c r="C37" s="25"/>
      <c r="D37" s="25"/>
      <c r="E37" s="24"/>
      <c r="F37" s="17">
        <f t="shared" si="0"/>
        <v>6</v>
      </c>
      <c r="G37" s="30"/>
      <c r="H37" s="25"/>
      <c r="I37" s="25"/>
      <c r="J37" s="25"/>
      <c r="K37" s="15">
        <f t="shared" si="1"/>
        <v>0</v>
      </c>
      <c r="L37" s="7">
        <f t="shared" si="2"/>
        <v>6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41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44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136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92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87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5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52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FFA0-F96C-4640-9A86-15F748383A76}">
  <dimension ref="A1:L57"/>
  <sheetViews>
    <sheetView topLeftCell="A35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53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2</v>
      </c>
      <c r="C9" s="48"/>
      <c r="D9" s="48"/>
      <c r="E9" s="49"/>
      <c r="F9" s="17">
        <f>SUM(B9:E9)</f>
        <v>2</v>
      </c>
      <c r="G9" s="41"/>
      <c r="H9" s="47"/>
      <c r="I9" s="47"/>
      <c r="J9" s="47"/>
      <c r="K9" s="15">
        <f>SUM(G9:J9)</f>
        <v>0</v>
      </c>
      <c r="L9" s="7">
        <f>SUM(F9+K9)</f>
        <v>2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>
        <v>1</v>
      </c>
      <c r="C11" s="25"/>
      <c r="D11" s="25"/>
      <c r="E11" s="24"/>
      <c r="F11" s="17">
        <f t="shared" si="0"/>
        <v>1</v>
      </c>
      <c r="G11" s="30"/>
      <c r="H11" s="25"/>
      <c r="I11" s="25"/>
      <c r="J11" s="25"/>
      <c r="K11" s="15">
        <f t="shared" si="1"/>
        <v>0</v>
      </c>
      <c r="L11" s="7">
        <f t="shared" si="2"/>
        <v>1</v>
      </c>
    </row>
    <row r="12" spans="1:12" ht="15.75" thickBot="1" x14ac:dyDescent="0.3">
      <c r="A12" s="8">
        <v>4</v>
      </c>
      <c r="B12" s="21">
        <v>11</v>
      </c>
      <c r="C12" s="25"/>
      <c r="D12" s="25"/>
      <c r="E12" s="24"/>
      <c r="F12" s="17">
        <f t="shared" si="0"/>
        <v>11</v>
      </c>
      <c r="G12" s="30"/>
      <c r="H12" s="25"/>
      <c r="I12" s="25"/>
      <c r="J12" s="25"/>
      <c r="K12" s="15">
        <f t="shared" si="1"/>
        <v>0</v>
      </c>
      <c r="L12" s="7">
        <f t="shared" si="2"/>
        <v>11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/>
      <c r="H13" s="25"/>
      <c r="I13" s="25"/>
      <c r="J13" s="25"/>
      <c r="K13" s="15">
        <f t="shared" si="1"/>
        <v>0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4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2</v>
      </c>
      <c r="C17" s="25"/>
      <c r="D17" s="25"/>
      <c r="E17" s="24"/>
      <c r="F17" s="17">
        <f t="shared" si="0"/>
        <v>2</v>
      </c>
      <c r="G17" s="30"/>
      <c r="H17" s="25"/>
      <c r="I17" s="25"/>
      <c r="J17" s="30"/>
      <c r="K17" s="15">
        <f t="shared" si="1"/>
        <v>0</v>
      </c>
      <c r="L17" s="7">
        <f t="shared" si="2"/>
        <v>2</v>
      </c>
    </row>
    <row r="18" spans="1:12" ht="15.75" thickBot="1" x14ac:dyDescent="0.3">
      <c r="A18" s="8">
        <v>10</v>
      </c>
      <c r="B18" s="21">
        <v>21</v>
      </c>
      <c r="C18" s="25"/>
      <c r="D18" s="25"/>
      <c r="E18" s="24"/>
      <c r="F18" s="17">
        <f t="shared" si="0"/>
        <v>21</v>
      </c>
      <c r="G18" s="30"/>
      <c r="H18" s="25"/>
      <c r="I18" s="25"/>
      <c r="J18" s="30"/>
      <c r="K18" s="15">
        <f t="shared" si="1"/>
        <v>0</v>
      </c>
      <c r="L18" s="7">
        <f t="shared" si="2"/>
        <v>21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4</v>
      </c>
      <c r="C20" s="25"/>
      <c r="D20" s="25">
        <v>1</v>
      </c>
      <c r="E20" s="24"/>
      <c r="F20" s="17">
        <f t="shared" si="0"/>
        <v>5</v>
      </c>
      <c r="G20" s="30"/>
      <c r="H20" s="25"/>
      <c r="I20" s="25"/>
      <c r="J20" s="30"/>
      <c r="K20" s="15">
        <f t="shared" si="1"/>
        <v>0</v>
      </c>
      <c r="L20" s="7">
        <f t="shared" si="2"/>
        <v>5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7</v>
      </c>
      <c r="C23" s="25"/>
      <c r="D23" s="25"/>
      <c r="E23" s="24"/>
      <c r="F23" s="17">
        <f t="shared" si="0"/>
        <v>7</v>
      </c>
      <c r="G23" s="30"/>
      <c r="H23" s="25"/>
      <c r="I23" s="25"/>
      <c r="J23" s="30"/>
      <c r="K23" s="15">
        <f t="shared" si="1"/>
        <v>0</v>
      </c>
      <c r="L23" s="7">
        <f t="shared" si="2"/>
        <v>7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4"/>
      <c r="F25" s="17">
        <f t="shared" si="0"/>
        <v>2</v>
      </c>
      <c r="G25" s="30"/>
      <c r="H25" s="25"/>
      <c r="I25" s="25"/>
      <c r="J25" s="30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3</v>
      </c>
      <c r="C27" s="25"/>
      <c r="D27" s="25">
        <v>2</v>
      </c>
      <c r="E27" s="24"/>
      <c r="F27" s="17">
        <f t="shared" si="0"/>
        <v>5</v>
      </c>
      <c r="G27" s="30"/>
      <c r="H27" s="25"/>
      <c r="I27" s="25"/>
      <c r="J27" s="30"/>
      <c r="K27" s="15">
        <f t="shared" si="1"/>
        <v>0</v>
      </c>
      <c r="L27" s="7">
        <f t="shared" si="2"/>
        <v>5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7</v>
      </c>
      <c r="C30" s="25"/>
      <c r="D30" s="25"/>
      <c r="E30" s="24"/>
      <c r="F30" s="17">
        <f t="shared" si="0"/>
        <v>7</v>
      </c>
      <c r="G30" s="30"/>
      <c r="H30" s="25"/>
      <c r="I30" s="25"/>
      <c r="J30" s="30"/>
      <c r="K30" s="15">
        <f t="shared" si="1"/>
        <v>0</v>
      </c>
      <c r="L30" s="7">
        <f t="shared" si="2"/>
        <v>7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>
        <v>1</v>
      </c>
      <c r="E32" s="24"/>
      <c r="F32" s="17">
        <f t="shared" si="0"/>
        <v>1</v>
      </c>
      <c r="G32" s="30"/>
      <c r="H32" s="25"/>
      <c r="I32" s="30"/>
      <c r="J32" s="30"/>
      <c r="K32" s="15">
        <f t="shared" si="1"/>
        <v>0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7</v>
      </c>
      <c r="C34" s="25"/>
      <c r="D34" s="25"/>
      <c r="E34" s="24"/>
      <c r="F34" s="17">
        <f t="shared" si="0"/>
        <v>7</v>
      </c>
      <c r="G34" s="30"/>
      <c r="H34" s="25"/>
      <c r="I34" s="25"/>
      <c r="J34" s="25"/>
      <c r="K34" s="15">
        <f t="shared" si="1"/>
        <v>0</v>
      </c>
      <c r="L34" s="7">
        <f t="shared" si="2"/>
        <v>7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5</v>
      </c>
      <c r="C37" s="25"/>
      <c r="D37" s="25"/>
      <c r="E37" s="24">
        <v>1</v>
      </c>
      <c r="F37" s="17">
        <f t="shared" si="0"/>
        <v>6</v>
      </c>
      <c r="G37" s="30"/>
      <c r="H37" s="25"/>
      <c r="I37" s="25"/>
      <c r="J37" s="25"/>
      <c r="K37" s="15">
        <f t="shared" si="1"/>
        <v>0</v>
      </c>
      <c r="L37" s="7">
        <f t="shared" si="2"/>
        <v>6</v>
      </c>
    </row>
    <row r="38" spans="1:12" ht="15.75" thickBot="1" x14ac:dyDescent="0.3">
      <c r="A38" s="8">
        <v>30</v>
      </c>
      <c r="B38" s="21">
        <v>1</v>
      </c>
      <c r="C38" s="25"/>
      <c r="D38" s="25"/>
      <c r="E38" s="24"/>
      <c r="F38" s="17">
        <f t="shared" si="0"/>
        <v>1</v>
      </c>
      <c r="G38" s="30">
        <v>1</v>
      </c>
      <c r="H38" s="25"/>
      <c r="I38" s="25"/>
      <c r="J38" s="25"/>
      <c r="K38" s="15">
        <f t="shared" si="1"/>
        <v>1</v>
      </c>
      <c r="L38" s="7">
        <f t="shared" si="2"/>
        <v>2</v>
      </c>
    </row>
    <row r="39" spans="1:12" ht="15.75" thickBot="1" x14ac:dyDescent="0.3">
      <c r="A39" s="9">
        <v>31</v>
      </c>
      <c r="B39" s="26">
        <v>1</v>
      </c>
      <c r="C39" s="44"/>
      <c r="D39" s="44">
        <v>1</v>
      </c>
      <c r="E39" s="50"/>
      <c r="F39" s="17">
        <f t="shared" si="0"/>
        <v>2</v>
      </c>
      <c r="G39" s="30"/>
      <c r="H39" s="25"/>
      <c r="I39" s="25"/>
      <c r="J39" s="25"/>
      <c r="K39" s="15">
        <f t="shared" si="1"/>
        <v>0</v>
      </c>
      <c r="L39" s="7">
        <f t="shared" si="2"/>
        <v>2</v>
      </c>
    </row>
    <row r="40" spans="1:12" ht="15.75" thickBot="1" x14ac:dyDescent="0.3">
      <c r="A40" s="10"/>
      <c r="B40" s="46">
        <f>SUM(B9:B39)</f>
        <v>78</v>
      </c>
      <c r="C40" s="46">
        <f t="shared" ref="C40:E40" si="3">SUM(C9:C39)</f>
        <v>0</v>
      </c>
      <c r="D40" s="46">
        <f t="shared" si="3"/>
        <v>5</v>
      </c>
      <c r="E40" s="46">
        <f t="shared" si="3"/>
        <v>1</v>
      </c>
      <c r="F40" s="45">
        <f>SUM(F9:F39)</f>
        <v>84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85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87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250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85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252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199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53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55</v>
      </c>
    </row>
    <row r="54" spans="1:12" x14ac:dyDescent="0.25">
      <c r="A54" t="s">
        <v>54</v>
      </c>
    </row>
    <row r="55" spans="1:12" x14ac:dyDescent="0.25">
      <c r="A55" t="s">
        <v>56</v>
      </c>
    </row>
    <row r="56" spans="1:12" x14ac:dyDescent="0.25">
      <c r="A56" t="s">
        <v>57</v>
      </c>
    </row>
    <row r="57" spans="1:12" x14ac:dyDescent="0.25">
      <c r="A57" t="s">
        <v>58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00ADE-1C5F-4984-8711-D6F609FB26BE}">
  <dimension ref="A1:L53"/>
  <sheetViews>
    <sheetView tabSelected="1" topLeftCell="A25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59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4</v>
      </c>
      <c r="C10" s="25"/>
      <c r="D10" s="25"/>
      <c r="E10" s="24"/>
      <c r="F10" s="17">
        <f t="shared" ref="F10:F39" si="0">SUM(B10:E10)</f>
        <v>4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1</v>
      </c>
      <c r="C13" s="25"/>
      <c r="D13" s="25"/>
      <c r="E13" s="24"/>
      <c r="F13" s="17">
        <f t="shared" si="0"/>
        <v>1</v>
      </c>
      <c r="G13" s="30"/>
      <c r="H13" s="25"/>
      <c r="I13" s="25"/>
      <c r="J13" s="25"/>
      <c r="K13" s="15">
        <f t="shared" si="1"/>
        <v>0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6</v>
      </c>
      <c r="C17" s="25"/>
      <c r="D17" s="25">
        <v>2</v>
      </c>
      <c r="E17" s="24"/>
      <c r="F17" s="17">
        <f t="shared" si="0"/>
        <v>8</v>
      </c>
      <c r="G17" s="30"/>
      <c r="H17" s="25"/>
      <c r="I17" s="25"/>
      <c r="J17" s="30"/>
      <c r="K17" s="15">
        <f t="shared" si="1"/>
        <v>0</v>
      </c>
      <c r="L17" s="7">
        <f t="shared" si="2"/>
        <v>8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>
        <v>4</v>
      </c>
      <c r="C21" s="25"/>
      <c r="D21" s="25"/>
      <c r="E21" s="24"/>
      <c r="F21" s="17">
        <f t="shared" si="0"/>
        <v>4</v>
      </c>
      <c r="G21" s="30"/>
      <c r="H21" s="25"/>
      <c r="I21" s="25"/>
      <c r="J21" s="30"/>
      <c r="K21" s="15">
        <f t="shared" si="1"/>
        <v>0</v>
      </c>
      <c r="L21" s="7">
        <f t="shared" si="2"/>
        <v>4</v>
      </c>
    </row>
    <row r="22" spans="1:12" ht="15.75" thickBot="1" x14ac:dyDescent="0.3">
      <c r="A22" s="8">
        <v>14</v>
      </c>
      <c r="B22" s="21">
        <v>4</v>
      </c>
      <c r="C22" s="25"/>
      <c r="D22" s="25"/>
      <c r="E22" s="24"/>
      <c r="F22" s="17">
        <f t="shared" si="0"/>
        <v>4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5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7</v>
      </c>
      <c r="C24" s="25"/>
      <c r="D24" s="25"/>
      <c r="E24" s="24"/>
      <c r="F24" s="17">
        <f t="shared" si="0"/>
        <v>7</v>
      </c>
      <c r="G24" s="30"/>
      <c r="H24" s="25"/>
      <c r="I24" s="25"/>
      <c r="J24" s="30"/>
      <c r="K24" s="15">
        <f t="shared" si="1"/>
        <v>0</v>
      </c>
      <c r="L24" s="7">
        <f t="shared" si="2"/>
        <v>7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4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4</v>
      </c>
      <c r="C31" s="25"/>
      <c r="D31" s="25">
        <v>2</v>
      </c>
      <c r="E31" s="24"/>
      <c r="F31" s="17">
        <f t="shared" si="0"/>
        <v>6</v>
      </c>
      <c r="G31" s="30"/>
      <c r="H31" s="25"/>
      <c r="I31" s="30"/>
      <c r="J31" s="30"/>
      <c r="K31" s="15">
        <f t="shared" si="1"/>
        <v>0</v>
      </c>
      <c r="L31" s="7">
        <f t="shared" si="2"/>
        <v>6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4</v>
      </c>
      <c r="E40" s="46">
        <f t="shared" si="3"/>
        <v>0</v>
      </c>
      <c r="F40" s="45">
        <f>SUM(F9:F39)</f>
        <v>37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39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199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39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160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199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-39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60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2026-09-06T12:39:13Z</cp:lastPrinted>
  <dcterms:created xsi:type="dcterms:W3CDTF">2014-12-31T15:22:06Z</dcterms:created>
  <dcterms:modified xsi:type="dcterms:W3CDTF">2026-09-23T13:19:17Z</dcterms:modified>
</cp:coreProperties>
</file>