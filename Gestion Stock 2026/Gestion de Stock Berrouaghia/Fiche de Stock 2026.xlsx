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C5E97EB-A93F-4497-871D-BA515F60CEE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  <sheet name="MAI 2026" sheetId="3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8" l="1"/>
  <c r="I40" i="38"/>
  <c r="H40" i="38"/>
  <c r="G40" i="38"/>
  <c r="E40" i="38"/>
  <c r="D40" i="38"/>
  <c r="C40" i="38"/>
  <c r="B40" i="38"/>
  <c r="K39" i="38"/>
  <c r="L39" i="38" s="1"/>
  <c r="F39" i="38"/>
  <c r="L38" i="38"/>
  <c r="K38" i="38"/>
  <c r="F38" i="38"/>
  <c r="K37" i="38"/>
  <c r="F37" i="38"/>
  <c r="L37" i="38" s="1"/>
  <c r="K36" i="38"/>
  <c r="F36" i="38"/>
  <c r="L36" i="38" s="1"/>
  <c r="K35" i="38"/>
  <c r="L35" i="38" s="1"/>
  <c r="F35" i="38"/>
  <c r="K34" i="38"/>
  <c r="F34" i="38"/>
  <c r="K33" i="38"/>
  <c r="F33" i="38"/>
  <c r="L33" i="38" s="1"/>
  <c r="K32" i="38"/>
  <c r="F32" i="38"/>
  <c r="L32" i="38" s="1"/>
  <c r="K31" i="38"/>
  <c r="F31" i="38"/>
  <c r="K30" i="38"/>
  <c r="F30" i="38"/>
  <c r="K29" i="38"/>
  <c r="F29" i="38"/>
  <c r="L29" i="38" s="1"/>
  <c r="K28" i="38"/>
  <c r="F28" i="38"/>
  <c r="L28" i="38" s="1"/>
  <c r="K27" i="38"/>
  <c r="L27" i="38" s="1"/>
  <c r="F27" i="38"/>
  <c r="K26" i="38"/>
  <c r="L26" i="38" s="1"/>
  <c r="F26" i="38"/>
  <c r="K25" i="38"/>
  <c r="F25" i="38"/>
  <c r="L25" i="38" s="1"/>
  <c r="K24" i="38"/>
  <c r="F24" i="38"/>
  <c r="L24" i="38" s="1"/>
  <c r="K23" i="38"/>
  <c r="F23" i="38"/>
  <c r="K22" i="38"/>
  <c r="L22" i="38" s="1"/>
  <c r="F22" i="38"/>
  <c r="K21" i="38"/>
  <c r="F21" i="38"/>
  <c r="K20" i="38"/>
  <c r="F20" i="38"/>
  <c r="L20" i="38" s="1"/>
  <c r="K19" i="38"/>
  <c r="F19" i="38"/>
  <c r="K18" i="38"/>
  <c r="F18" i="38"/>
  <c r="L18" i="38" s="1"/>
  <c r="K17" i="38"/>
  <c r="F17" i="38"/>
  <c r="K16" i="38"/>
  <c r="F16" i="38"/>
  <c r="K15" i="38"/>
  <c r="F15" i="38"/>
  <c r="K14" i="38"/>
  <c r="F14" i="38"/>
  <c r="L14" i="38" s="1"/>
  <c r="K13" i="38"/>
  <c r="F13" i="38"/>
  <c r="K12" i="38"/>
  <c r="F12" i="38"/>
  <c r="K11" i="38"/>
  <c r="F11" i="38"/>
  <c r="K10" i="38"/>
  <c r="F10" i="38"/>
  <c r="L10" i="38" s="1"/>
  <c r="K9" i="38"/>
  <c r="F9" i="38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12" i="38" l="1"/>
  <c r="L11" i="38"/>
  <c r="L34" i="38"/>
  <c r="L30" i="38"/>
  <c r="L31" i="38"/>
  <c r="K40" i="38"/>
  <c r="L16" i="38"/>
  <c r="L23" i="38"/>
  <c r="L13" i="38"/>
  <c r="L17" i="38"/>
  <c r="L15" i="38"/>
  <c r="F40" i="38"/>
  <c r="L19" i="38"/>
  <c r="L21" i="38"/>
  <c r="L9" i="38"/>
  <c r="F40" i="37"/>
  <c r="L16" i="37"/>
  <c r="K40" i="37"/>
  <c r="L33" i="37"/>
  <c r="L10" i="37"/>
  <c r="L21" i="37"/>
  <c r="L22" i="37"/>
  <c r="L34" i="37"/>
  <c r="L17" i="37"/>
  <c r="L29" i="37"/>
  <c r="L30" i="37"/>
  <c r="L13" i="37"/>
  <c r="L25" i="37"/>
  <c r="L37" i="37"/>
  <c r="L9" i="37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8" l="1"/>
  <c r="G46" i="38" s="1"/>
  <c r="G47" i="38" s="1"/>
  <c r="G49" i="38" s="1"/>
  <c r="L40" i="37"/>
  <c r="G46" i="37" s="1"/>
  <c r="G47" i="37" s="1"/>
  <c r="G49" i="37" s="1"/>
  <c r="L40" i="36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<sst xmlns="http://schemas.openxmlformats.org/spreadsheetml/2006/main" count="182" uniqueCount="49">
  <si>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</si>
  <si>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</si>
  <si>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</si>
  <si>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</si>
  <si>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</si>
  <si>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</si>
  <si>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</si>
  <si>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</si>
  <si>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</si>
  <si>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</si>
  <si>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</si>
  <si>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</si>
  <si>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</si>
  <si>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</si>
  <si>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</si>
  <si>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</si>
  <si>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</si>
  <si>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</si>
  <si>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</si>
  <si>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</si>
  <si>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</si>
  <si>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</si>
  <si>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</si>
  <si>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</si>
  <si>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</si>
  <si>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</si>
  <si>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</si>
  <si>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</si>
  <si>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</si>
  <si>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</si>
  <si>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</si>
  <si>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</si>
  <si>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</si>
  <si>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</si>
  <si>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</si>
  <si>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</si>
  <si>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</si>
  <si>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</si>
  <si>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</si>
  <si>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</si>
  <si>
    <t>3 Compteurs DN 15/21 Destination Antenne Oueld dhied</t>
  </si>
  <si>
    <t>6 Compteurs DN 15/21 Destination Antenne Tlathet-douairs</t>
  </si>
  <si>
    <t>1 Compteurs DN 30 Destination Agence Beni Slimane</t>
  </si>
  <si>
    <t>Mois de MAI 2026</t>
  </si>
  <si>
    <t>01 Compteurs DN 15/21 Destination Seghouane</t>
  </si>
  <si>
    <t>01 Compteurs DN 100 Destination Seghouane</t>
  </si>
  <si>
    <t>06 Compteurs DN 15/21 Destination Tlathet Douairs</t>
  </si>
  <si>
    <t>03 Compteurs DN 15/21 Destination Zoubiria</t>
  </si>
  <si>
    <t>06 Compteurs : 2 (DN 15/21) , 1 (DN 100) ,1 (DN 80), 1 (DN 65) , 1 (DN 50)  Destination Antenne Robea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</si>
</sst>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7A68D-7CC6-45A0-8CF6-B93CA6C05DB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28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447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96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351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321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30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34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321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104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217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214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3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37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214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44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170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169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6"/>
  <sheetViews>
    <sheetView topLeftCell="A32" workbookViewId="0">
      <selection activeCell="A57" sqref="A5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>
        <v>3</v>
      </c>
      <c r="H13" s="25"/>
      <c r="I13" s="25">
        <v>1</v>
      </c>
      <c r="J13" s="25"/>
      <c r="K13" s="15">
        <f t="shared" si="1"/>
        <v>4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>
        <v>7</v>
      </c>
      <c r="H15" s="25"/>
      <c r="I15" s="25"/>
      <c r="J15" s="30"/>
      <c r="K15" s="15">
        <f t="shared" si="1"/>
        <v>7</v>
      </c>
      <c r="L15" s="7">
        <f t="shared" si="2"/>
        <v>10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>
        <v>12</v>
      </c>
      <c r="H16" s="25"/>
      <c r="I16" s="25"/>
      <c r="J16" s="30"/>
      <c r="K16" s="15">
        <f t="shared" si="1"/>
        <v>12</v>
      </c>
      <c r="L16" s="7">
        <f t="shared" si="2"/>
        <v>12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>
        <v>2</v>
      </c>
      <c r="E20" s="24"/>
      <c r="F20" s="17">
        <f t="shared" si="0"/>
        <v>4</v>
      </c>
      <c r="G20" s="30"/>
      <c r="H20" s="25"/>
      <c r="I20" s="25"/>
      <c r="J20" s="30"/>
      <c r="K20" s="15">
        <f t="shared" si="1"/>
        <v>0</v>
      </c>
      <c r="L20" s="7">
        <f t="shared" si="2"/>
        <v>4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4"/>
      <c r="F22" s="17">
        <f t="shared" si="0"/>
        <v>1</v>
      </c>
      <c r="G22" s="30"/>
      <c r="H22" s="25"/>
      <c r="I22" s="25"/>
      <c r="J22" s="30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>
        <v>1</v>
      </c>
      <c r="C23" s="25"/>
      <c r="D23" s="25"/>
      <c r="E23" s="24"/>
      <c r="F23" s="17">
        <f t="shared" si="0"/>
        <v>1</v>
      </c>
      <c r="G23" s="30">
        <v>1</v>
      </c>
      <c r="H23" s="25">
        <v>1</v>
      </c>
      <c r="I23" s="25"/>
      <c r="J23" s="30"/>
      <c r="K23" s="15">
        <f t="shared" si="1"/>
        <v>2</v>
      </c>
      <c r="L23" s="7">
        <f t="shared" si="2"/>
        <v>3</v>
      </c>
    </row>
    <row r="24" spans="1:12" ht="15.75" thickBot="1" x14ac:dyDescent="0.3">
      <c r="A24" s="8">
        <v>16</v>
      </c>
      <c r="B24" s="21">
        <v>2</v>
      </c>
      <c r="C24" s="25"/>
      <c r="D24" s="25"/>
      <c r="E24" s="24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>
        <v>1</v>
      </c>
      <c r="J26" s="30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>
        <v>9</v>
      </c>
      <c r="H29" s="25"/>
      <c r="I29" s="25"/>
      <c r="J29" s="30"/>
      <c r="K29" s="15">
        <f t="shared" si="1"/>
        <v>9</v>
      </c>
      <c r="L29" s="7">
        <f t="shared" si="2"/>
        <v>9</v>
      </c>
    </row>
    <row r="30" spans="1:12" ht="15.75" thickBot="1" x14ac:dyDescent="0.3">
      <c r="A30" s="8">
        <v>22</v>
      </c>
      <c r="B30" s="21">
        <v>4</v>
      </c>
      <c r="C30" s="25"/>
      <c r="D30" s="25"/>
      <c r="E30" s="24"/>
      <c r="F30" s="17">
        <f t="shared" si="0"/>
        <v>4</v>
      </c>
      <c r="G30" s="30"/>
      <c r="H30" s="25"/>
      <c r="I30" s="25"/>
      <c r="J30" s="30"/>
      <c r="K30" s="15">
        <f t="shared" si="1"/>
        <v>0</v>
      </c>
      <c r="L30" s="7">
        <f t="shared" si="2"/>
        <v>4</v>
      </c>
    </row>
    <row r="31" spans="1:12" ht="15.75" thickBot="1" x14ac:dyDescent="0.3">
      <c r="A31" s="8">
        <v>23</v>
      </c>
      <c r="B31" s="21">
        <v>1</v>
      </c>
      <c r="C31" s="25"/>
      <c r="D31" s="25"/>
      <c r="E31" s="24"/>
      <c r="F31" s="17">
        <f t="shared" si="0"/>
        <v>1</v>
      </c>
      <c r="G31" s="30"/>
      <c r="H31" s="25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>
        <v>10</v>
      </c>
      <c r="H33" s="25"/>
      <c r="I33" s="30"/>
      <c r="J33" s="30"/>
      <c r="K33" s="15">
        <f t="shared" si="1"/>
        <v>10</v>
      </c>
      <c r="L33" s="7">
        <f t="shared" si="2"/>
        <v>10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4"/>
      <c r="F34" s="17">
        <f t="shared" si="0"/>
        <v>4</v>
      </c>
      <c r="G34" s="30"/>
      <c r="H34" s="25"/>
      <c r="I34" s="25"/>
      <c r="J34" s="25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4"/>
      <c r="F35" s="17">
        <f t="shared" si="0"/>
        <v>1</v>
      </c>
      <c r="G35" s="40"/>
      <c r="H35" s="25">
        <v>1</v>
      </c>
      <c r="I35" s="25"/>
      <c r="J35" s="25"/>
      <c r="K35" s="15">
        <f t="shared" si="1"/>
        <v>1</v>
      </c>
      <c r="L35" s="7">
        <f t="shared" si="2"/>
        <v>2</v>
      </c>
    </row>
    <row r="36" spans="1:12" ht="15.75" thickBot="1" x14ac:dyDescent="0.3">
      <c r="A36" s="8">
        <v>28</v>
      </c>
      <c r="B36" s="21">
        <v>3</v>
      </c>
      <c r="C36" s="25"/>
      <c r="D36" s="25"/>
      <c r="E36" s="24"/>
      <c r="F36" s="17">
        <f t="shared" si="0"/>
        <v>3</v>
      </c>
      <c r="G36" s="30"/>
      <c r="H36" s="25"/>
      <c r="I36" s="25"/>
      <c r="J36" s="25"/>
      <c r="K36" s="15">
        <f t="shared" si="1"/>
        <v>0</v>
      </c>
      <c r="L36" s="7">
        <f t="shared" si="2"/>
        <v>3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>
        <v>3</v>
      </c>
      <c r="H37" s="25"/>
      <c r="I37" s="25"/>
      <c r="J37" s="25"/>
      <c r="K37" s="15">
        <f t="shared" si="1"/>
        <v>3</v>
      </c>
      <c r="L37" s="7">
        <f t="shared" si="2"/>
        <v>3</v>
      </c>
    </row>
    <row r="38" spans="1:12" ht="15.75" thickBot="1" x14ac:dyDescent="0.3">
      <c r="A38" s="8">
        <v>30</v>
      </c>
      <c r="B38" s="21">
        <v>2</v>
      </c>
      <c r="C38" s="25"/>
      <c r="D38" s="25"/>
      <c r="E38" s="24"/>
      <c r="F38" s="17">
        <f t="shared" si="0"/>
        <v>2</v>
      </c>
      <c r="G38" s="30"/>
      <c r="H38" s="25"/>
      <c r="I38" s="25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31</v>
      </c>
      <c r="G40" s="16">
        <f>SUM(G9:G39)</f>
        <v>45</v>
      </c>
      <c r="H40" s="16">
        <f t="shared" ref="H40:L40" si="4">SUM(H9:H39)</f>
        <v>2</v>
      </c>
      <c r="I40" s="16">
        <f t="shared" si="4"/>
        <v>2</v>
      </c>
      <c r="J40" s="16">
        <f t="shared" si="4"/>
        <v>0</v>
      </c>
      <c r="K40" s="16">
        <f t="shared" si="4"/>
        <v>49</v>
      </c>
      <c r="L40" s="16">
        <f t="shared" si="4"/>
        <v>80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169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1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80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90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78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12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40</v>
      </c>
    </row>
    <row r="55" spans="1:12" x14ac:dyDescent="0.25">
      <c r="A55" t="s">
        <v>41</v>
      </c>
    </row>
    <row r="56" spans="1:12" x14ac:dyDescent="0.25">
      <c r="A56" t="s">
        <v>42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50D4-1E58-46AE-A24B-2DF70BC2C7B6}">
  <dimension ref="A1:L57"/>
  <sheetViews>
    <sheetView tabSelected="1" topLeftCell="A21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43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5"/>
      <c r="D11" s="25"/>
      <c r="E11" s="24">
        <v>1</v>
      </c>
      <c r="F11" s="17">
        <f t="shared" si="0"/>
        <v>1</v>
      </c>
      <c r="G11" s="30">
        <v>1</v>
      </c>
      <c r="H11" s="25"/>
      <c r="I11" s="25"/>
      <c r="J11" s="25">
        <v>1</v>
      </c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>
        <v>1</v>
      </c>
      <c r="I12" s="25"/>
      <c r="J12" s="25">
        <v>1</v>
      </c>
      <c r="K12" s="15">
        <f t="shared" si="1"/>
        <v>2</v>
      </c>
      <c r="L12" s="7">
        <f t="shared" si="2"/>
        <v>2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15</v>
      </c>
      <c r="C14" s="25"/>
      <c r="D14" s="25"/>
      <c r="E14" s="24"/>
      <c r="F14" s="17">
        <f t="shared" si="0"/>
        <v>15</v>
      </c>
      <c r="G14" s="30"/>
      <c r="H14" s="25"/>
      <c r="I14" s="25"/>
      <c r="J14" s="30"/>
      <c r="K14" s="15">
        <f t="shared" si="1"/>
        <v>0</v>
      </c>
      <c r="L14" s="7">
        <f t="shared" si="2"/>
        <v>15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6</v>
      </c>
      <c r="C21" s="25"/>
      <c r="D21" s="25">
        <v>2</v>
      </c>
      <c r="E21" s="24"/>
      <c r="F21" s="17">
        <f t="shared" si="0"/>
        <v>8</v>
      </c>
      <c r="G21" s="30"/>
      <c r="H21" s="25"/>
      <c r="I21" s="25"/>
      <c r="J21" s="30"/>
      <c r="K21" s="15">
        <f t="shared" si="1"/>
        <v>0</v>
      </c>
      <c r="L21" s="7">
        <f t="shared" si="2"/>
        <v>8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>
        <v>1</v>
      </c>
      <c r="I29" s="25">
        <v>1</v>
      </c>
      <c r="J29" s="30">
        <v>2</v>
      </c>
      <c r="K29" s="15">
        <f t="shared" si="1"/>
        <v>4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4"/>
      <c r="F34" s="17">
        <f t="shared" si="0"/>
        <v>1</v>
      </c>
      <c r="G34" s="30"/>
      <c r="H34" s="25"/>
      <c r="I34" s="25"/>
      <c r="J34" s="25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23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26</v>
      </c>
      <c r="G40" s="16">
        <f>SUM(G9:G39)</f>
        <v>2</v>
      </c>
      <c r="H40" s="16">
        <f t="shared" ref="H40:L40" si="4">SUM(H9:H39)</f>
        <v>2</v>
      </c>
      <c r="I40" s="16">
        <f t="shared" si="4"/>
        <v>1</v>
      </c>
      <c r="J40" s="16">
        <f t="shared" si="4"/>
        <v>4</v>
      </c>
      <c r="K40" s="16">
        <f t="shared" si="4"/>
        <v>9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78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35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35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78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61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17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44</v>
      </c>
    </row>
    <row r="55" spans="1:12" x14ac:dyDescent="0.25">
      <c r="A55" t="s">
        <v>45</v>
      </c>
    </row>
    <row r="56" spans="1:12" x14ac:dyDescent="0.25">
      <c r="A56" t="s">
        <v>46</v>
      </c>
    </row>
    <row r="57" spans="1:12" x14ac:dyDescent="0.25">
      <c r="A57" t="s">
        <v>47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2026</vt:lpstr>
      <vt:lpstr>FEVRIER 2026</vt:lpstr>
      <vt:lpstr>MARS 2026</vt:lpstr>
      <vt:lpstr>AVRIL 2026</vt:lpstr>
      <vt:lpstr>MAI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2026-06-10T11:09:11Z</cp:lastPrinted>
  <dcterms:created xsi:type="dcterms:W3CDTF">2014-12-31T15:22:06Z</dcterms:created>
  <dcterms:modified xsi:type="dcterms:W3CDTF">2026-06-10T11:09:22Z</dcterms:modified>
</cp:coreProperties>
</file>