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6\Gestion de Stock Berrouaghia\"/>
    </mc:Choice>
  </mc:AlternateContent>
  <xr:revisionPtr revIDLastSave="0" documentId="13_ncr:1_{AD778333-8946-4D8D-B24A-2FA54BA850D0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JANVIER 2026" sheetId="34" r:id="rId1"/>
    <sheet name="FEVRIER 2026" sheetId="35" r:id="rId2"/>
    <sheet name="MARS 2026" sheetId="36" r:id="rId3"/>
    <sheet name="AVRIL 2026" sheetId="37" r:id="rId4"/>
    <sheet name="MAI 2026" sheetId="38" r:id="rId5"/>
    <sheet name="Juin 2026" sheetId="39" r:id="rId6"/>
    <sheet name="Juillet 2026" sheetId="40" r:id="rId7"/>
    <sheet name="Aout 2026" sheetId="41" r:id="rId8"/>
    <sheet name="Septembre 2026" sheetId="4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" i="42" l="1"/>
  <c r="I40" i="42"/>
  <c r="H40" i="42"/>
  <c r="G40" i="42"/>
  <c r="E40" i="42"/>
  <c r="D40" i="42"/>
  <c r="C40" i="42"/>
  <c r="B40" i="42"/>
  <c r="K39" i="42"/>
  <c r="F39" i="42"/>
  <c r="L39" i="42" s="1"/>
  <c r="K38" i="42"/>
  <c r="F38" i="42"/>
  <c r="L38" i="42" s="1"/>
  <c r="K37" i="42"/>
  <c r="F37" i="42"/>
  <c r="L37" i="42" s="1"/>
  <c r="K36" i="42"/>
  <c r="F36" i="42"/>
  <c r="L36" i="42" s="1"/>
  <c r="K35" i="42"/>
  <c r="F35" i="42"/>
  <c r="L35" i="42" s="1"/>
  <c r="K34" i="42"/>
  <c r="F34" i="42"/>
  <c r="L34" i="42" s="1"/>
  <c r="K33" i="42"/>
  <c r="F33" i="42"/>
  <c r="L33" i="42" s="1"/>
  <c r="K32" i="42"/>
  <c r="F32" i="42"/>
  <c r="L32" i="42" s="1"/>
  <c r="K31" i="42"/>
  <c r="F31" i="42"/>
  <c r="L31" i="42" s="1"/>
  <c r="K30" i="42"/>
  <c r="F30" i="42"/>
  <c r="L30" i="42" s="1"/>
  <c r="K29" i="42"/>
  <c r="F29" i="42"/>
  <c r="L29" i="42" s="1"/>
  <c r="K28" i="42"/>
  <c r="F28" i="42"/>
  <c r="L28" i="42" s="1"/>
  <c r="K27" i="42"/>
  <c r="F27" i="42"/>
  <c r="L27" i="42" s="1"/>
  <c r="K26" i="42"/>
  <c r="F26" i="42"/>
  <c r="L26" i="42" s="1"/>
  <c r="K25" i="42"/>
  <c r="F25" i="42"/>
  <c r="L25" i="42" s="1"/>
  <c r="K24" i="42"/>
  <c r="F24" i="42"/>
  <c r="L24" i="42" s="1"/>
  <c r="K23" i="42"/>
  <c r="F23" i="42"/>
  <c r="L23" i="42" s="1"/>
  <c r="K22" i="42"/>
  <c r="F22" i="42"/>
  <c r="K21" i="42"/>
  <c r="F21" i="42"/>
  <c r="L21" i="42" s="1"/>
  <c r="K20" i="42"/>
  <c r="F20" i="42"/>
  <c r="L20" i="42" s="1"/>
  <c r="K19" i="42"/>
  <c r="F19" i="42"/>
  <c r="L19" i="42" s="1"/>
  <c r="K18" i="42"/>
  <c r="F18" i="42"/>
  <c r="L18" i="42" s="1"/>
  <c r="K17" i="42"/>
  <c r="F17" i="42"/>
  <c r="L17" i="42" s="1"/>
  <c r="K16" i="42"/>
  <c r="F16" i="42"/>
  <c r="L16" i="42" s="1"/>
  <c r="K15" i="42"/>
  <c r="F15" i="42"/>
  <c r="L15" i="42" s="1"/>
  <c r="K14" i="42"/>
  <c r="F14" i="42"/>
  <c r="L14" i="42" s="1"/>
  <c r="K13" i="42"/>
  <c r="F13" i="42"/>
  <c r="L13" i="42" s="1"/>
  <c r="K12" i="42"/>
  <c r="F12" i="42"/>
  <c r="L12" i="42" s="1"/>
  <c r="K11" i="42"/>
  <c r="F11" i="42"/>
  <c r="K10" i="42"/>
  <c r="F10" i="42"/>
  <c r="L10" i="42" s="1"/>
  <c r="K9" i="42"/>
  <c r="F9" i="42"/>
  <c r="L9" i="42" s="1"/>
  <c r="K40" i="41"/>
  <c r="J40" i="41"/>
  <c r="I40" i="41"/>
  <c r="H40" i="41"/>
  <c r="G40" i="41"/>
  <c r="E40" i="41"/>
  <c r="D40" i="41"/>
  <c r="C40" i="41"/>
  <c r="B40" i="41"/>
  <c r="K39" i="41"/>
  <c r="F39" i="41"/>
  <c r="L39" i="41" s="1"/>
  <c r="K38" i="41"/>
  <c r="F38" i="41"/>
  <c r="L38" i="41" s="1"/>
  <c r="K37" i="41"/>
  <c r="F37" i="41"/>
  <c r="L37" i="41" s="1"/>
  <c r="K36" i="41"/>
  <c r="F36" i="41"/>
  <c r="L36" i="41" s="1"/>
  <c r="K35" i="41"/>
  <c r="F35" i="41"/>
  <c r="L35" i="41" s="1"/>
  <c r="K34" i="41"/>
  <c r="F34" i="41"/>
  <c r="L34" i="41" s="1"/>
  <c r="K33" i="41"/>
  <c r="F33" i="41"/>
  <c r="L33" i="41" s="1"/>
  <c r="K32" i="41"/>
  <c r="F32" i="41"/>
  <c r="L32" i="41" s="1"/>
  <c r="K31" i="41"/>
  <c r="F31" i="41"/>
  <c r="L31" i="41" s="1"/>
  <c r="K30" i="41"/>
  <c r="F30" i="41"/>
  <c r="L30" i="41" s="1"/>
  <c r="K29" i="41"/>
  <c r="F29" i="41"/>
  <c r="L29" i="41" s="1"/>
  <c r="K28" i="41"/>
  <c r="F28" i="41"/>
  <c r="L28" i="41" s="1"/>
  <c r="K27" i="41"/>
  <c r="F27" i="41"/>
  <c r="L27" i="41" s="1"/>
  <c r="K26" i="41"/>
  <c r="F26" i="41"/>
  <c r="L26" i="41" s="1"/>
  <c r="K25" i="41"/>
  <c r="F25" i="41"/>
  <c r="L25" i="41" s="1"/>
  <c r="K24" i="41"/>
  <c r="F24" i="41"/>
  <c r="L24" i="41" s="1"/>
  <c r="K23" i="41"/>
  <c r="F23" i="41"/>
  <c r="L23" i="41" s="1"/>
  <c r="K22" i="41"/>
  <c r="F22" i="41"/>
  <c r="L22" i="41" s="1"/>
  <c r="K21" i="41"/>
  <c r="F21" i="41"/>
  <c r="L21" i="41" s="1"/>
  <c r="K20" i="41"/>
  <c r="F20" i="41"/>
  <c r="L20" i="41" s="1"/>
  <c r="K19" i="41"/>
  <c r="F19" i="41"/>
  <c r="L19" i="41" s="1"/>
  <c r="K18" i="41"/>
  <c r="F18" i="41"/>
  <c r="L18" i="41" s="1"/>
  <c r="K17" i="41"/>
  <c r="F17" i="41"/>
  <c r="L17" i="41" s="1"/>
  <c r="K16" i="41"/>
  <c r="F16" i="41"/>
  <c r="L16" i="41" s="1"/>
  <c r="K15" i="41"/>
  <c r="F15" i="41"/>
  <c r="L15" i="41" s="1"/>
  <c r="K14" i="41"/>
  <c r="F14" i="41"/>
  <c r="L14" i="41" s="1"/>
  <c r="K13" i="41"/>
  <c r="F13" i="41"/>
  <c r="L13" i="41" s="1"/>
  <c r="K12" i="41"/>
  <c r="F12" i="41"/>
  <c r="L12" i="41" s="1"/>
  <c r="K11" i="41"/>
  <c r="F11" i="41"/>
  <c r="L11" i="41" s="1"/>
  <c r="K10" i="41"/>
  <c r="F10" i="41"/>
  <c r="L10" i="41" s="1"/>
  <c r="K9" i="41"/>
  <c r="F9" i="41"/>
  <c r="L9" i="41" s="1"/>
  <c r="L22" i="42" l="1"/>
  <c r="K40" i="42"/>
  <c r="F40" i="42"/>
  <c r="L11" i="42"/>
  <c r="L40" i="42" s="1"/>
  <c r="G46" i="42" s="1"/>
  <c r="G47" i="42" s="1"/>
  <c r="G49" i="42" s="1"/>
  <c r="L40" i="41"/>
  <c r="G46" i="41" s="1"/>
  <c r="G47" i="41" s="1"/>
  <c r="G49" i="41" s="1"/>
  <c r="F40" i="41"/>
  <c r="J40" i="40" l="1"/>
  <c r="I40" i="40"/>
  <c r="H40" i="40"/>
  <c r="G40" i="40"/>
  <c r="E40" i="40"/>
  <c r="D40" i="40"/>
  <c r="C40" i="40"/>
  <c r="B40" i="40"/>
  <c r="L39" i="40"/>
  <c r="K39" i="40"/>
  <c r="F39" i="40"/>
  <c r="K38" i="40"/>
  <c r="F38" i="40"/>
  <c r="L38" i="40" s="1"/>
  <c r="K37" i="40"/>
  <c r="F37" i="40"/>
  <c r="K36" i="40"/>
  <c r="F36" i="40"/>
  <c r="L36" i="40" s="1"/>
  <c r="K35" i="40"/>
  <c r="F35" i="40"/>
  <c r="L35" i="40" s="1"/>
  <c r="K34" i="40"/>
  <c r="F34" i="40"/>
  <c r="L34" i="40" s="1"/>
  <c r="K33" i="40"/>
  <c r="L33" i="40" s="1"/>
  <c r="F33" i="40"/>
  <c r="K32" i="40"/>
  <c r="F32" i="40"/>
  <c r="K31" i="40"/>
  <c r="F31" i="40"/>
  <c r="L31" i="40" s="1"/>
  <c r="K30" i="40"/>
  <c r="F30" i="40"/>
  <c r="L30" i="40" s="1"/>
  <c r="K29" i="40"/>
  <c r="F29" i="40"/>
  <c r="K28" i="40"/>
  <c r="F28" i="40"/>
  <c r="L28" i="40" s="1"/>
  <c r="K27" i="40"/>
  <c r="F27" i="40"/>
  <c r="L27" i="40" s="1"/>
  <c r="K26" i="40"/>
  <c r="F26" i="40"/>
  <c r="K25" i="40"/>
  <c r="F25" i="40"/>
  <c r="K24" i="40"/>
  <c r="F24" i="40"/>
  <c r="L24" i="40" s="1"/>
  <c r="K23" i="40"/>
  <c r="F23" i="40"/>
  <c r="K22" i="40"/>
  <c r="F22" i="40"/>
  <c r="L22" i="40" s="1"/>
  <c r="K21" i="40"/>
  <c r="F21" i="40"/>
  <c r="K20" i="40"/>
  <c r="F20" i="40"/>
  <c r="K19" i="40"/>
  <c r="F19" i="40"/>
  <c r="L19" i="40" s="1"/>
  <c r="K18" i="40"/>
  <c r="F18" i="40"/>
  <c r="L18" i="40" s="1"/>
  <c r="K17" i="40"/>
  <c r="F17" i="40"/>
  <c r="K16" i="40"/>
  <c r="F16" i="40"/>
  <c r="L16" i="40" s="1"/>
  <c r="K15" i="40"/>
  <c r="L15" i="40" s="1"/>
  <c r="F15" i="40"/>
  <c r="K14" i="40"/>
  <c r="L14" i="40" s="1"/>
  <c r="F14" i="40"/>
  <c r="K13" i="40"/>
  <c r="L13" i="40" s="1"/>
  <c r="F13" i="40"/>
  <c r="K12" i="40"/>
  <c r="F12" i="40"/>
  <c r="L12" i="40" s="1"/>
  <c r="K11" i="40"/>
  <c r="F11" i="40"/>
  <c r="L10" i="40"/>
  <c r="K10" i="40"/>
  <c r="F10" i="40"/>
  <c r="K9" i="40"/>
  <c r="F9" i="40"/>
  <c r="J40" i="39"/>
  <c r="I40" i="39"/>
  <c r="H40" i="39"/>
  <c r="G40" i="39"/>
  <c r="E40" i="39"/>
  <c r="D40" i="39"/>
  <c r="C40" i="39"/>
  <c r="B40" i="39"/>
  <c r="K39" i="39"/>
  <c r="F39" i="39"/>
  <c r="L39" i="39" s="1"/>
  <c r="L38" i="39"/>
  <c r="K38" i="39"/>
  <c r="F38" i="39"/>
  <c r="K37" i="39"/>
  <c r="F37" i="39"/>
  <c r="L37" i="39" s="1"/>
  <c r="K36" i="39"/>
  <c r="F36" i="39"/>
  <c r="L36" i="39" s="1"/>
  <c r="K35" i="39"/>
  <c r="F35" i="39"/>
  <c r="L35" i="39" s="1"/>
  <c r="L34" i="39"/>
  <c r="K34" i="39"/>
  <c r="F34" i="39"/>
  <c r="K33" i="39"/>
  <c r="F33" i="39"/>
  <c r="L33" i="39" s="1"/>
  <c r="K32" i="39"/>
  <c r="F32" i="39"/>
  <c r="L32" i="39" s="1"/>
  <c r="K31" i="39"/>
  <c r="F31" i="39"/>
  <c r="L31" i="39" s="1"/>
  <c r="L30" i="39"/>
  <c r="K30" i="39"/>
  <c r="F30" i="39"/>
  <c r="K29" i="39"/>
  <c r="F29" i="39"/>
  <c r="L29" i="39" s="1"/>
  <c r="K28" i="39"/>
  <c r="F28" i="39"/>
  <c r="L28" i="39" s="1"/>
  <c r="K27" i="39"/>
  <c r="F27" i="39"/>
  <c r="K26" i="39"/>
  <c r="L26" i="39" s="1"/>
  <c r="F26" i="39"/>
  <c r="K25" i="39"/>
  <c r="F25" i="39"/>
  <c r="L25" i="39" s="1"/>
  <c r="K24" i="39"/>
  <c r="F24" i="39"/>
  <c r="L24" i="39" s="1"/>
  <c r="K23" i="39"/>
  <c r="F23" i="39"/>
  <c r="L23" i="39" s="1"/>
  <c r="K22" i="39"/>
  <c r="L22" i="39" s="1"/>
  <c r="F22" i="39"/>
  <c r="K21" i="39"/>
  <c r="F21" i="39"/>
  <c r="L21" i="39" s="1"/>
  <c r="K20" i="39"/>
  <c r="F20" i="39"/>
  <c r="L20" i="39" s="1"/>
  <c r="K19" i="39"/>
  <c r="F19" i="39"/>
  <c r="L19" i="39" s="1"/>
  <c r="K18" i="39"/>
  <c r="F18" i="39"/>
  <c r="L18" i="39" s="1"/>
  <c r="K17" i="39"/>
  <c r="F17" i="39"/>
  <c r="K16" i="39"/>
  <c r="F16" i="39"/>
  <c r="K15" i="39"/>
  <c r="F15" i="39"/>
  <c r="L15" i="39" s="1"/>
  <c r="K14" i="39"/>
  <c r="F14" i="39"/>
  <c r="K13" i="39"/>
  <c r="F13" i="39"/>
  <c r="L13" i="39" s="1"/>
  <c r="K12" i="39"/>
  <c r="F12" i="39"/>
  <c r="L12" i="39" s="1"/>
  <c r="K11" i="39"/>
  <c r="F11" i="39"/>
  <c r="L11" i="39" s="1"/>
  <c r="K10" i="39"/>
  <c r="F10" i="39"/>
  <c r="K9" i="39"/>
  <c r="F9" i="39"/>
  <c r="J40" i="38"/>
  <c r="I40" i="38"/>
  <c r="H40" i="38"/>
  <c r="G40" i="38"/>
  <c r="E40" i="38"/>
  <c r="D40" i="38"/>
  <c r="C40" i="38"/>
  <c r="B40" i="38"/>
  <c r="K39" i="38"/>
  <c r="L39" i="38" s="1"/>
  <c r="F39" i="38"/>
  <c r="L38" i="38"/>
  <c r="K38" i="38"/>
  <c r="F38" i="38"/>
  <c r="K37" i="38"/>
  <c r="F37" i="38"/>
  <c r="L37" i="38" s="1"/>
  <c r="K36" i="38"/>
  <c r="F36" i="38"/>
  <c r="L36" i="38" s="1"/>
  <c r="K35" i="38"/>
  <c r="L35" i="38" s="1"/>
  <c r="F35" i="38"/>
  <c r="K34" i="38"/>
  <c r="F34" i="38"/>
  <c r="K33" i="38"/>
  <c r="F33" i="38"/>
  <c r="L33" i="38" s="1"/>
  <c r="K32" i="38"/>
  <c r="F32" i="38"/>
  <c r="L32" i="38" s="1"/>
  <c r="K31" i="38"/>
  <c r="F31" i="38"/>
  <c r="K30" i="38"/>
  <c r="F30" i="38"/>
  <c r="K29" i="38"/>
  <c r="F29" i="38"/>
  <c r="L29" i="38" s="1"/>
  <c r="K28" i="38"/>
  <c r="F28" i="38"/>
  <c r="L28" i="38" s="1"/>
  <c r="K27" i="38"/>
  <c r="L27" i="38" s="1"/>
  <c r="F27" i="38"/>
  <c r="K26" i="38"/>
  <c r="L26" i="38" s="1"/>
  <c r="F26" i="38"/>
  <c r="K25" i="38"/>
  <c r="F25" i="38"/>
  <c r="L25" i="38" s="1"/>
  <c r="K24" i="38"/>
  <c r="F24" i="38"/>
  <c r="L24" i="38" s="1"/>
  <c r="K23" i="38"/>
  <c r="F23" i="38"/>
  <c r="K22" i="38"/>
  <c r="L22" i="38" s="1"/>
  <c r="F22" i="38"/>
  <c r="K21" i="38"/>
  <c r="F21" i="38"/>
  <c r="K20" i="38"/>
  <c r="F20" i="38"/>
  <c r="L20" i="38" s="1"/>
  <c r="K19" i="38"/>
  <c r="F19" i="38"/>
  <c r="K18" i="38"/>
  <c r="F18" i="38"/>
  <c r="L18" i="38" s="1"/>
  <c r="K17" i="38"/>
  <c r="F17" i="38"/>
  <c r="K16" i="38"/>
  <c r="F16" i="38"/>
  <c r="K15" i="38"/>
  <c r="F15" i="38"/>
  <c r="K14" i="38"/>
  <c r="F14" i="38"/>
  <c r="L14" i="38" s="1"/>
  <c r="K13" i="38"/>
  <c r="F13" i="38"/>
  <c r="K12" i="38"/>
  <c r="F12" i="38"/>
  <c r="K11" i="38"/>
  <c r="F11" i="38"/>
  <c r="K10" i="38"/>
  <c r="F10" i="38"/>
  <c r="L10" i="38" s="1"/>
  <c r="K9" i="38"/>
  <c r="F9" i="38"/>
  <c r="J40" i="37"/>
  <c r="I40" i="37"/>
  <c r="H40" i="37"/>
  <c r="G40" i="37"/>
  <c r="E40" i="37"/>
  <c r="D40" i="37"/>
  <c r="C40" i="37"/>
  <c r="B40" i="37"/>
  <c r="K39" i="37"/>
  <c r="F39" i="37"/>
  <c r="L39" i="37" s="1"/>
  <c r="K38" i="37"/>
  <c r="F38" i="37"/>
  <c r="L38" i="37" s="1"/>
  <c r="K37" i="37"/>
  <c r="F37" i="37"/>
  <c r="K36" i="37"/>
  <c r="F36" i="37"/>
  <c r="L36" i="37" s="1"/>
  <c r="K35" i="37"/>
  <c r="F35" i="37"/>
  <c r="L35" i="37" s="1"/>
  <c r="K34" i="37"/>
  <c r="F34" i="37"/>
  <c r="K33" i="37"/>
  <c r="F33" i="37"/>
  <c r="K32" i="37"/>
  <c r="F32" i="37"/>
  <c r="L32" i="37" s="1"/>
  <c r="K31" i="37"/>
  <c r="F31" i="37"/>
  <c r="L31" i="37" s="1"/>
  <c r="K30" i="37"/>
  <c r="F30" i="37"/>
  <c r="K29" i="37"/>
  <c r="F29" i="37"/>
  <c r="K28" i="37"/>
  <c r="F28" i="37"/>
  <c r="L28" i="37" s="1"/>
  <c r="K27" i="37"/>
  <c r="F27" i="37"/>
  <c r="L27" i="37" s="1"/>
  <c r="K26" i="37"/>
  <c r="L26" i="37" s="1"/>
  <c r="F26" i="37"/>
  <c r="K25" i="37"/>
  <c r="F25" i="37"/>
  <c r="K24" i="37"/>
  <c r="F24" i="37"/>
  <c r="L24" i="37" s="1"/>
  <c r="K23" i="37"/>
  <c r="F23" i="37"/>
  <c r="L23" i="37" s="1"/>
  <c r="K22" i="37"/>
  <c r="F22" i="37"/>
  <c r="K21" i="37"/>
  <c r="F21" i="37"/>
  <c r="K20" i="37"/>
  <c r="F20" i="37"/>
  <c r="L20" i="37" s="1"/>
  <c r="K19" i="37"/>
  <c r="F19" i="37"/>
  <c r="L19" i="37" s="1"/>
  <c r="K18" i="37"/>
  <c r="L18" i="37" s="1"/>
  <c r="F18" i="37"/>
  <c r="K17" i="37"/>
  <c r="F17" i="37"/>
  <c r="K16" i="37"/>
  <c r="F16" i="37"/>
  <c r="K15" i="37"/>
  <c r="F15" i="37"/>
  <c r="L15" i="37" s="1"/>
  <c r="K14" i="37"/>
  <c r="L14" i="37" s="1"/>
  <c r="F14" i="37"/>
  <c r="K13" i="37"/>
  <c r="F13" i="37"/>
  <c r="K12" i="37"/>
  <c r="F12" i="37"/>
  <c r="L12" i="37" s="1"/>
  <c r="K11" i="37"/>
  <c r="F11" i="37"/>
  <c r="L11" i="37" s="1"/>
  <c r="K10" i="37"/>
  <c r="F10" i="37"/>
  <c r="K9" i="37"/>
  <c r="F9" i="37"/>
  <c r="J40" i="36"/>
  <c r="I40" i="36"/>
  <c r="H40" i="36"/>
  <c r="G40" i="36"/>
  <c r="E40" i="36"/>
  <c r="D40" i="36"/>
  <c r="C40" i="36"/>
  <c r="B40" i="36"/>
  <c r="K39" i="36"/>
  <c r="F39" i="36"/>
  <c r="L39" i="36" s="1"/>
  <c r="K38" i="36"/>
  <c r="F38" i="36"/>
  <c r="L38" i="36" s="1"/>
  <c r="K37" i="36"/>
  <c r="F37" i="36"/>
  <c r="L37" i="36" s="1"/>
  <c r="K36" i="36"/>
  <c r="F36" i="36"/>
  <c r="L36" i="36" s="1"/>
  <c r="K35" i="36"/>
  <c r="F35" i="36"/>
  <c r="L35" i="36" s="1"/>
  <c r="K34" i="36"/>
  <c r="F34" i="36"/>
  <c r="K33" i="36"/>
  <c r="F33" i="36"/>
  <c r="L33" i="36" s="1"/>
  <c r="K32" i="36"/>
  <c r="F32" i="36"/>
  <c r="L32" i="36" s="1"/>
  <c r="K31" i="36"/>
  <c r="F31" i="36"/>
  <c r="L31" i="36" s="1"/>
  <c r="K30" i="36"/>
  <c r="F30" i="36"/>
  <c r="L30" i="36" s="1"/>
  <c r="K29" i="36"/>
  <c r="F29" i="36"/>
  <c r="L29" i="36" s="1"/>
  <c r="K28" i="36"/>
  <c r="L28" i="36" s="1"/>
  <c r="F28" i="36"/>
  <c r="K27" i="36"/>
  <c r="F27" i="36"/>
  <c r="L27" i="36" s="1"/>
  <c r="K26" i="36"/>
  <c r="F26" i="36"/>
  <c r="L26" i="36" s="1"/>
  <c r="K25" i="36"/>
  <c r="F25" i="36"/>
  <c r="L25" i="36" s="1"/>
  <c r="K24" i="36"/>
  <c r="F24" i="36"/>
  <c r="L24" i="36" s="1"/>
  <c r="K23" i="36"/>
  <c r="F23" i="36"/>
  <c r="L23" i="36" s="1"/>
  <c r="K22" i="36"/>
  <c r="F22" i="36"/>
  <c r="L22" i="36" s="1"/>
  <c r="K21" i="36"/>
  <c r="F21" i="36"/>
  <c r="L21" i="36" s="1"/>
  <c r="K20" i="36"/>
  <c r="F20" i="36"/>
  <c r="L20" i="36" s="1"/>
  <c r="K19" i="36"/>
  <c r="F19" i="36"/>
  <c r="L19" i="36" s="1"/>
  <c r="K18" i="36"/>
  <c r="F18" i="36"/>
  <c r="L18" i="36" s="1"/>
  <c r="K17" i="36"/>
  <c r="F17" i="36"/>
  <c r="L17" i="36" s="1"/>
  <c r="K16" i="36"/>
  <c r="F16" i="36"/>
  <c r="L16" i="36" s="1"/>
  <c r="K15" i="36"/>
  <c r="F15" i="36"/>
  <c r="L15" i="36" s="1"/>
  <c r="K14" i="36"/>
  <c r="F14" i="36"/>
  <c r="L14" i="36" s="1"/>
  <c r="K13" i="36"/>
  <c r="F13" i="36"/>
  <c r="K12" i="36"/>
  <c r="F12" i="36"/>
  <c r="K11" i="36"/>
  <c r="F11" i="36"/>
  <c r="L11" i="36" s="1"/>
  <c r="K10" i="36"/>
  <c r="F10" i="36"/>
  <c r="K9" i="36"/>
  <c r="K40" i="36" s="1"/>
  <c r="F9" i="36"/>
  <c r="J40" i="35"/>
  <c r="I40" i="35"/>
  <c r="H40" i="35"/>
  <c r="G40" i="35"/>
  <c r="E40" i="35"/>
  <c r="D40" i="35"/>
  <c r="C40" i="35"/>
  <c r="B40" i="35"/>
  <c r="K39" i="35"/>
  <c r="F39" i="35"/>
  <c r="L39" i="35" s="1"/>
  <c r="K38" i="35"/>
  <c r="F38" i="35"/>
  <c r="L38" i="35" s="1"/>
  <c r="K37" i="35"/>
  <c r="F37" i="35"/>
  <c r="L37" i="35" s="1"/>
  <c r="K36" i="35"/>
  <c r="F36" i="35"/>
  <c r="K35" i="35"/>
  <c r="F35" i="35"/>
  <c r="L35" i="35" s="1"/>
  <c r="K34" i="35"/>
  <c r="F34" i="35"/>
  <c r="L34" i="35" s="1"/>
  <c r="K33" i="35"/>
  <c r="F33" i="35"/>
  <c r="L33" i="35" s="1"/>
  <c r="K32" i="35"/>
  <c r="F32" i="35"/>
  <c r="L32" i="35" s="1"/>
  <c r="K31" i="35"/>
  <c r="F31" i="35"/>
  <c r="L31" i="35" s="1"/>
  <c r="K30" i="35"/>
  <c r="F30" i="35"/>
  <c r="L30" i="35" s="1"/>
  <c r="K29" i="35"/>
  <c r="F29" i="35"/>
  <c r="L29" i="35" s="1"/>
  <c r="K28" i="35"/>
  <c r="F28" i="35"/>
  <c r="L28" i="35" s="1"/>
  <c r="K27" i="35"/>
  <c r="F27" i="35"/>
  <c r="K26" i="35"/>
  <c r="F26" i="35"/>
  <c r="K25" i="35"/>
  <c r="F25" i="35"/>
  <c r="K24" i="35"/>
  <c r="F24" i="35"/>
  <c r="K23" i="35"/>
  <c r="F23" i="35"/>
  <c r="K22" i="35"/>
  <c r="F22" i="35"/>
  <c r="L22" i="35" s="1"/>
  <c r="K21" i="35"/>
  <c r="F21" i="35"/>
  <c r="L21" i="35" s="1"/>
  <c r="K20" i="35"/>
  <c r="F20" i="35"/>
  <c r="L20" i="35" s="1"/>
  <c r="K19" i="35"/>
  <c r="F19" i="35"/>
  <c r="L19" i="35" s="1"/>
  <c r="K18" i="35"/>
  <c r="F18" i="35"/>
  <c r="L18" i="35" s="1"/>
  <c r="K17" i="35"/>
  <c r="F17" i="35"/>
  <c r="L17" i="35" s="1"/>
  <c r="L16" i="35"/>
  <c r="K16" i="35"/>
  <c r="F16" i="35"/>
  <c r="K15" i="35"/>
  <c r="F15" i="35"/>
  <c r="L15" i="35" s="1"/>
  <c r="K14" i="35"/>
  <c r="F14" i="35"/>
  <c r="L14" i="35" s="1"/>
  <c r="K13" i="35"/>
  <c r="F13" i="35"/>
  <c r="L13" i="35" s="1"/>
  <c r="K12" i="35"/>
  <c r="F12" i="35"/>
  <c r="L12" i="35" s="1"/>
  <c r="K11" i="35"/>
  <c r="F11" i="35"/>
  <c r="L11" i="35" s="1"/>
  <c r="K10" i="35"/>
  <c r="F10" i="35"/>
  <c r="L10" i="35" s="1"/>
  <c r="K9" i="35"/>
  <c r="F9" i="35"/>
  <c r="J40" i="34"/>
  <c r="I40" i="34"/>
  <c r="H40" i="34"/>
  <c r="G40" i="34"/>
  <c r="E40" i="34"/>
  <c r="D40" i="34"/>
  <c r="C40" i="34"/>
  <c r="B40" i="34"/>
  <c r="K39" i="34"/>
  <c r="F39" i="34"/>
  <c r="L39" i="34" s="1"/>
  <c r="K38" i="34"/>
  <c r="F38" i="34"/>
  <c r="K37" i="34"/>
  <c r="F37" i="34"/>
  <c r="L37" i="34" s="1"/>
  <c r="K36" i="34"/>
  <c r="F36" i="34"/>
  <c r="L36" i="34" s="1"/>
  <c r="K35" i="34"/>
  <c r="F35" i="34"/>
  <c r="K34" i="34"/>
  <c r="F34" i="34"/>
  <c r="K33" i="34"/>
  <c r="F33" i="34"/>
  <c r="K32" i="34"/>
  <c r="F32" i="34"/>
  <c r="K31" i="34"/>
  <c r="F31" i="34"/>
  <c r="K30" i="34"/>
  <c r="F30" i="34"/>
  <c r="L30" i="34" s="1"/>
  <c r="K29" i="34"/>
  <c r="F29" i="34"/>
  <c r="K28" i="34"/>
  <c r="F28" i="34"/>
  <c r="K27" i="34"/>
  <c r="F27" i="34"/>
  <c r="K26" i="34"/>
  <c r="F26" i="34"/>
  <c r="K25" i="34"/>
  <c r="F25" i="34"/>
  <c r="K24" i="34"/>
  <c r="F24" i="34"/>
  <c r="L24" i="34" s="1"/>
  <c r="K23" i="34"/>
  <c r="F23" i="34"/>
  <c r="K22" i="34"/>
  <c r="F22" i="34"/>
  <c r="K21" i="34"/>
  <c r="F21" i="34"/>
  <c r="L21" i="34" s="1"/>
  <c r="K20" i="34"/>
  <c r="F20" i="34"/>
  <c r="K19" i="34"/>
  <c r="F19" i="34"/>
  <c r="K18" i="34"/>
  <c r="F18" i="34"/>
  <c r="K17" i="34"/>
  <c r="F17" i="34"/>
  <c r="L17" i="34" s="1"/>
  <c r="K16" i="34"/>
  <c r="F16" i="34"/>
  <c r="L16" i="34" s="1"/>
  <c r="K15" i="34"/>
  <c r="F15" i="34"/>
  <c r="K14" i="34"/>
  <c r="F14" i="34"/>
  <c r="K13" i="34"/>
  <c r="F13" i="34"/>
  <c r="K12" i="34"/>
  <c r="F12" i="34"/>
  <c r="K11" i="34"/>
  <c r="F11" i="34"/>
  <c r="K10" i="34"/>
  <c r="F10" i="34"/>
  <c r="K9" i="34"/>
  <c r="F9" i="34"/>
  <c r="L9" i="34" s="1"/>
  <c r="L23" i="40" l="1"/>
  <c r="L11" i="40"/>
  <c r="K40" i="40"/>
  <c r="L20" i="40"/>
  <c r="L26" i="40"/>
  <c r="L32" i="40"/>
  <c r="L21" i="40"/>
  <c r="L37" i="40"/>
  <c r="L29" i="40"/>
  <c r="L25" i="40"/>
  <c r="L17" i="40"/>
  <c r="F40" i="40"/>
  <c r="L9" i="40"/>
  <c r="L14" i="39"/>
  <c r="L9" i="39"/>
  <c r="L17" i="39"/>
  <c r="L40" i="39" s="1"/>
  <c r="G46" i="39" s="1"/>
  <c r="G47" i="39" s="1"/>
  <c r="G49" i="39" s="1"/>
  <c r="K40" i="39"/>
  <c r="L10" i="39"/>
  <c r="L16" i="39"/>
  <c r="L27" i="39"/>
  <c r="F40" i="39"/>
  <c r="L12" i="38"/>
  <c r="L11" i="38"/>
  <c r="L34" i="38"/>
  <c r="L30" i="38"/>
  <c r="L31" i="38"/>
  <c r="K40" i="38"/>
  <c r="L16" i="38"/>
  <c r="L23" i="38"/>
  <c r="L13" i="38"/>
  <c r="L17" i="38"/>
  <c r="L15" i="38"/>
  <c r="F40" i="38"/>
  <c r="L19" i="38"/>
  <c r="L21" i="38"/>
  <c r="L9" i="38"/>
  <c r="F40" i="37"/>
  <c r="L16" i="37"/>
  <c r="K40" i="37"/>
  <c r="L33" i="37"/>
  <c r="L10" i="37"/>
  <c r="L21" i="37"/>
  <c r="L22" i="37"/>
  <c r="L34" i="37"/>
  <c r="L17" i="37"/>
  <c r="L29" i="37"/>
  <c r="L30" i="37"/>
  <c r="L13" i="37"/>
  <c r="L25" i="37"/>
  <c r="L37" i="37"/>
  <c r="L9" i="37"/>
  <c r="L34" i="36"/>
  <c r="L13" i="36"/>
  <c r="L12" i="36"/>
  <c r="L10" i="36"/>
  <c r="L9" i="36"/>
  <c r="F40" i="36"/>
  <c r="L27" i="35"/>
  <c r="L25" i="35"/>
  <c r="L26" i="35"/>
  <c r="L24" i="35"/>
  <c r="L23" i="35"/>
  <c r="K40" i="35"/>
  <c r="L36" i="35"/>
  <c r="F40" i="35"/>
  <c r="L9" i="35"/>
  <c r="L28" i="34"/>
  <c r="L14" i="34"/>
  <c r="L20" i="34"/>
  <c r="L32" i="34"/>
  <c r="L38" i="34"/>
  <c r="L29" i="34"/>
  <c r="L33" i="34"/>
  <c r="L22" i="34"/>
  <c r="L18" i="34"/>
  <c r="L10" i="34"/>
  <c r="L11" i="34"/>
  <c r="L26" i="34"/>
  <c r="L25" i="34"/>
  <c r="L13" i="34"/>
  <c r="L12" i="34"/>
  <c r="K40" i="34"/>
  <c r="L34" i="34"/>
  <c r="L27" i="34"/>
  <c r="L31" i="34"/>
  <c r="L19" i="34"/>
  <c r="L35" i="34"/>
  <c r="L15" i="34"/>
  <c r="L23" i="34"/>
  <c r="F40" i="34"/>
  <c r="L40" i="40" l="1"/>
  <c r="G46" i="40" s="1"/>
  <c r="G47" i="40" s="1"/>
  <c r="G49" i="40" s="1"/>
  <c r="L40" i="38"/>
  <c r="G46" i="38" s="1"/>
  <c r="G47" i="38" s="1"/>
  <c r="G49" i="38" s="1"/>
  <c r="L40" i="37"/>
  <c r="G46" i="37" s="1"/>
  <c r="G47" i="37" s="1"/>
  <c r="G49" i="37" s="1"/>
  <c r="L40" i="36"/>
  <c r="G46" i="36" s="1"/>
  <c r="G47" i="36" s="1"/>
  <c r="G49" i="36" s="1"/>
  <c r="L40" i="35"/>
  <c r="G46" i="35" s="1"/>
  <c r="G47" i="35" s="1"/>
  <c r="G49" i="35" s="1"/>
  <c r="L40" i="34"/>
  <c r="G46" i="34" s="1"/>
  <c r="G47" i="34" s="1"/>
  <c r="G49" i="34" s="1"/>
</calcChain>
</file>

<file path=xl/sharedStrings.xml><?xml version="1.0" encoding="utf-8"?>
<sst xmlns="http://schemas.openxmlformats.org/spreadsheetml/2006/main" count="327" uniqueCount="66">
  <si>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</si>
  <si>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</si>
  <si>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</si>
  <si>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</si>
  <si>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</si>
  <si>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</si>
  <si>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</si>
  <si>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</si>
  <si>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</si>
  <si>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</si>
  <si>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</si>
  <si>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</si>
  <si>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</si>
  <si>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</si>
  <si>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</si>
  <si>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</si>
  <si>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</si>
  <si>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</si>
  <si>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</si>
  <si>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</si>
  <si>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</si>
  <si>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</si>
  <si>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</si>
  <si>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</si>
  <si>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</si>
  <si>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</si>
  <si>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</si>
  <si>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</si>
  <si>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Mois de JANVIER 2026</t>
  </si>
  <si>
    <t>10 Compteurs DN 15/21 Destination Centre Beni Slimane</t>
  </si>
  <si>
    <t>1 Compteurs DN 15/21 Destination Antenne Zoubiria</t>
  </si>
  <si>
    <t>1 Compteurs DN 15/21 Destination Antenne Robea</t>
  </si>
  <si>
    <t>2 Compteurs DN 15/21 Destination Antenne Seghouane</t>
  </si>
  <si>
    <t>16 Compteurs DN 15/21 Destination Antenne Tlathet Douairs</t>
  </si>
  <si>
    <t>Mois de FEVRIER 2026</t>
  </si>
  <si>
    <t>2 Compteurs DN 15/21 Destination Antenne Zoubiria</t>
  </si>
  <si>
    <t>1 Compteurs DN 15/21 Destination Antenne Ouled dhied</t>
  </si>
  <si>
    <t>Mois de MARS 2026</t>
  </si>
  <si>
    <t>1 Compteurs DN 15/21 Destination Antenne Seghouane</t>
  </si>
  <si>
    <t>Mois de AVRIL 2026</t>
  </si>
  <si>
    <t>3 Compteurs DN 15/21 Destination Antenne Oueld dhied</t>
  </si>
  <si>
    <t>6 Compteurs DN 15/21 Destination Antenne Tlathet-douairs</t>
  </si>
  <si>
    <t>1 Compteurs DN 30 Destination Agence Beni Slimane</t>
  </si>
  <si>
    <t>Mois de MAI 2026</t>
  </si>
  <si>
    <t>01 Compteurs DN 15/21 Destination Seghouane</t>
  </si>
  <si>
    <t>01 Compteurs DN 100 Destination Seghouane</t>
  </si>
  <si>
    <t>06 Compteurs DN 15/21 Destination Tlathet Douairs</t>
  </si>
  <si>
    <t>03 Compteurs DN 15/21 Destination Zoubiria</t>
  </si>
  <si>
    <t>06 Compteurs : 2 (DN 15/21) , 1 (DN 100) ,1 (DN 80), 1 (DN 65) , 1 (DN 50)  Destination Antenne Robea</t>
  </si>
  <si>
    <t>Mois de JUIN 2026</t>
  </si>
  <si>
    <t>01 Compteurs DN 80 Destination Seghouane</t>
  </si>
  <si>
    <t>Mois de JUILLET 2026</t>
  </si>
  <si>
    <t>05 Compteurs DN 15/21 Destination Tlathet Douairs</t>
  </si>
  <si>
    <t>Mois de AOUT 2026</t>
  </si>
  <si>
    <t>06 Compteurs DN 20/27 Destination Tlathet douairs</t>
  </si>
  <si>
    <t>22 Compteurs DN 20/27 &amp; 09 Compteurs DN 15/21 Destination Zoubiria</t>
  </si>
  <si>
    <t>04 Compteurs DN 20/27 &amp; 02 Compteurs DN 15/21 Destination Seghouane</t>
  </si>
  <si>
    <t>05 Compteurs DN 20/27 &amp; 02 Compteurs DN 15/21 Destination Ouled Dhied</t>
  </si>
  <si>
    <t>Mois de SEPTEMBRE 2026</t>
  </si>
  <si>
    <t>10 Compteurs DN 15/21 Destination Agence Beni Slimane</t>
  </si>
  <si>
    <t>02 Compteurs DN 20/27 &amp; 01 Compteur DN 15/21 Destination Robea</t>
  </si>
  <si>
    <t>02 Compteurs DN 15/21  Destination Antenne Seghouane</t>
  </si>
  <si>
    <t>02 Compteurs DN 20/27  Destination Antenne Robea</t>
  </si>
  <si>
    <t>01 Compteurs DN 20/27 Destination Antenne Ouled Dhied</t>
  </si>
  <si>
    <t>08 Compteurs DN 20/27  Destination Antenne Tlathet douairs</t>
  </si>
  <si>
    <t>08 Compteurs DN 20/27 &amp; 02 Compteurs DN 15/21 Destination Antenne Zoubiria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</si>
</sst>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7" fillId="0" borderId="0"/>
    <xf numFmtId="0" fontId="1" fillId="0" borderId="0"/>
  </cellStyleXfs>
  <cellXfs count="85">
    <xf numFmtId="0" fontId="0" fillId="0" borderId="0" xfId="0"/>
    <xf numFmtId="0" fontId="9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9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9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9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3" xfId="3" applyNumberFormat="1" applyBorder="1" applyAlignment="1" applyProtection="1">
      <alignment horizontal="center" vertical="center" wrapText="1"/>
      <protection locked="0"/>
    </xf>
    <xf numFmtId="1" fontId="7" fillId="0" borderId="24" xfId="3" applyNumberFormat="1" applyBorder="1" applyAlignment="1" applyProtection="1">
      <alignment horizontal="center" vertical="center" wrapText="1"/>
      <protection locked="0"/>
    </xf>
    <xf numFmtId="0" fontId="1" fillId="2" borderId="0" xfId="3" applyFont="1" applyFill="1" applyAlignment="1">
      <alignment horizontal="center" vertical="center"/>
    </xf>
    <xf numFmtId="0" fontId="10" fillId="2" borderId="7" xfId="3" applyFont="1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horizontal="center" vertical="center" wrapText="1"/>
      <protection locked="0"/>
    </xf>
    <xf numFmtId="0" fontId="7" fillId="2" borderId="22" xfId="3" applyFill="1" applyBorder="1" applyAlignment="1" applyProtection="1">
      <alignment horizontal="center" vertical="center" wrapText="1"/>
      <protection locked="0"/>
    </xf>
    <xf numFmtId="0" fontId="7" fillId="2" borderId="23" xfId="3" applyFill="1" applyBorder="1" applyAlignment="1" applyProtection="1">
      <alignment horizontal="center" vertical="center" wrapText="1"/>
      <protection locked="0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1" fillId="2" borderId="15" xfId="3" applyNumberFormat="1" applyFon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4" fillId="0" borderId="0" xfId="3" applyFont="1" applyAlignment="1">
      <alignment horizontal="center" vertical="center" wrapText="1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1" fillId="0" borderId="33" xfId="3" applyFont="1" applyBorder="1" applyAlignment="1">
      <alignment horizontal="center" vertical="center" wrapText="1"/>
    </xf>
    <xf numFmtId="0" fontId="11" fillId="0" borderId="34" xfId="3" applyFont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</cellXfs>
  <cellStyles count="5">
    <cellStyle name="Euro" xfId="2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5369A9B-4B5C-45C7-BEA5-EAE54033CEF4}"/>
            </a:ext>
          </a:extLst>
        </xdr:cNvPr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1598B05-57E1-48DC-BCC9-A5B827D62813}"/>
            </a:ext>
          </a:extLst>
        </xdr:cNvPr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F09F360-3BFB-4277-B76B-1D5E1BE3D278}"/>
            </a:ext>
          </a:extLst>
        </xdr:cNvPr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307A68D-7CC6-45A0-8CF6-B93CA6C05DBB}"/>
            </a:ext>
          </a:extLst>
        </xdr:cNvPr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FC2786F-FD9B-43D1-A972-2B2BC3307CB1}"/>
            </a:ext>
          </a:extLst>
        </xdr:cNvPr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92DCE8F-D89D-4744-9839-EC1BCE96B4A8}"/>
            </a:ext>
          </a:extLst>
        </xdr:cNvPr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70B73A8-822B-46C9-9D51-6261FCBE8A39}"/>
            </a:ext>
          </a:extLst>
        </xdr:cNvPr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1F2CC46-F60A-4CE8-9179-A4A5247719A5}"/>
            </a:ext>
          </a:extLst>
        </xdr:cNvPr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L57"/>
  <sheetViews>
    <sheetView topLeftCell="A26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2" t="s">
        <v>0</v>
      </c>
      <c r="B1" s="82"/>
      <c r="C1" s="82"/>
      <c r="D1" s="82"/>
      <c r="E1" s="31"/>
      <c r="F1" s="32"/>
      <c r="G1" s="83" t="s">
        <v>1</v>
      </c>
      <c r="H1" s="83"/>
      <c r="I1" s="83"/>
      <c r="J1" s="83"/>
      <c r="K1" s="83"/>
      <c r="L1" s="83"/>
    </row>
    <row r="2" spans="1:12" ht="15.75" x14ac:dyDescent="0.25">
      <c r="A2" s="83" t="s">
        <v>2</v>
      </c>
      <c r="B2" s="83"/>
      <c r="C2" s="83"/>
      <c r="D2" s="83"/>
      <c r="E2" s="31"/>
      <c r="F2" s="32"/>
      <c r="G2" s="84" t="s">
        <v>3</v>
      </c>
      <c r="H2" s="84"/>
      <c r="I2" s="84"/>
      <c r="J2" s="84"/>
      <c r="K2" s="84"/>
      <c r="L2" s="84"/>
    </row>
    <row r="3" spans="1:12" x14ac:dyDescent="0.25">
      <c r="A3" s="84" t="s">
        <v>4</v>
      </c>
      <c r="B3" s="84"/>
      <c r="C3" s="84"/>
      <c r="D3" s="84"/>
      <c r="E3" s="31"/>
      <c r="F3" s="32"/>
      <c r="G3" s="32"/>
      <c r="H3" s="31"/>
      <c r="I3" s="31"/>
      <c r="J3" s="31"/>
      <c r="K3" s="32"/>
      <c r="L3" s="1"/>
    </row>
    <row r="4" spans="1:12" ht="18" x14ac:dyDescent="0.25">
      <c r="A4" s="82" t="s">
        <v>5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2" x14ac:dyDescent="0.25">
      <c r="A5" s="71" t="s">
        <v>28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3"/>
      <c r="I6" s="73"/>
      <c r="J6" s="12"/>
      <c r="K6" s="33"/>
      <c r="L6" s="3"/>
    </row>
    <row r="7" spans="1:12" x14ac:dyDescent="0.25">
      <c r="A7" s="74" t="s">
        <v>7</v>
      </c>
      <c r="B7" s="76" t="s">
        <v>8</v>
      </c>
      <c r="C7" s="77"/>
      <c r="D7" s="77"/>
      <c r="E7" s="77"/>
      <c r="F7" s="78"/>
      <c r="G7" s="79" t="s">
        <v>9</v>
      </c>
      <c r="H7" s="77"/>
      <c r="I7" s="77"/>
      <c r="J7" s="77"/>
      <c r="K7" s="78"/>
      <c r="L7" s="80" t="s">
        <v>10</v>
      </c>
    </row>
    <row r="8" spans="1:12" ht="15.75" thickBot="1" x14ac:dyDescent="0.3">
      <c r="A8" s="75"/>
      <c r="B8" s="34" t="s">
        <v>11</v>
      </c>
      <c r="C8" s="35" t="s">
        <v>12</v>
      </c>
      <c r="D8" s="35" t="s">
        <v>13</v>
      </c>
      <c r="E8" s="35" t="s">
        <v>14</v>
      </c>
      <c r="F8" s="36" t="s">
        <v>15</v>
      </c>
      <c r="G8" s="37" t="s">
        <v>11</v>
      </c>
      <c r="H8" s="35" t="s">
        <v>12</v>
      </c>
      <c r="I8" s="35" t="s">
        <v>13</v>
      </c>
      <c r="J8" s="35" t="s">
        <v>14</v>
      </c>
      <c r="K8" s="36" t="s">
        <v>16</v>
      </c>
      <c r="L8" s="81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1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5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>
        <v>7</v>
      </c>
      <c r="C12" s="25"/>
      <c r="D12" s="25"/>
      <c r="E12" s="23"/>
      <c r="F12" s="17">
        <f t="shared" si="0"/>
        <v>7</v>
      </c>
      <c r="G12" s="30"/>
      <c r="H12" s="25"/>
      <c r="I12" s="25"/>
      <c r="J12" s="22"/>
      <c r="K12" s="15">
        <f t="shared" si="1"/>
        <v>0</v>
      </c>
      <c r="L12" s="7">
        <f t="shared" si="2"/>
        <v>7</v>
      </c>
    </row>
    <row r="13" spans="1:12" ht="15.75" thickBot="1" x14ac:dyDescent="0.3">
      <c r="A13" s="8">
        <v>5</v>
      </c>
      <c r="B13" s="21">
        <v>6</v>
      </c>
      <c r="C13" s="25"/>
      <c r="D13" s="25"/>
      <c r="E13" s="23"/>
      <c r="F13" s="17">
        <f t="shared" si="0"/>
        <v>6</v>
      </c>
      <c r="G13" s="30"/>
      <c r="H13" s="25"/>
      <c r="I13" s="25"/>
      <c r="J13" s="22"/>
      <c r="K13" s="15">
        <f t="shared" si="1"/>
        <v>0</v>
      </c>
      <c r="L13" s="7">
        <f t="shared" si="2"/>
        <v>6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>
        <v>2</v>
      </c>
      <c r="C15" s="25"/>
      <c r="D15" s="25"/>
      <c r="E15" s="24"/>
      <c r="F15" s="17">
        <f t="shared" si="0"/>
        <v>2</v>
      </c>
      <c r="G15" s="30"/>
      <c r="H15" s="25"/>
      <c r="I15" s="25"/>
      <c r="J15" s="30"/>
      <c r="K15" s="15">
        <f t="shared" si="1"/>
        <v>0</v>
      </c>
      <c r="L15" s="7">
        <f t="shared" si="2"/>
        <v>2</v>
      </c>
    </row>
    <row r="16" spans="1:12" ht="15.75" thickBot="1" x14ac:dyDescent="0.3">
      <c r="A16" s="8">
        <v>8</v>
      </c>
      <c r="B16" s="21">
        <v>2</v>
      </c>
      <c r="C16" s="25"/>
      <c r="D16" s="25"/>
      <c r="E16" s="23"/>
      <c r="F16" s="17">
        <f t="shared" si="0"/>
        <v>2</v>
      </c>
      <c r="G16" s="30"/>
      <c r="H16" s="25"/>
      <c r="I16" s="25"/>
      <c r="J16" s="30"/>
      <c r="K16" s="15">
        <f t="shared" si="1"/>
        <v>0</v>
      </c>
      <c r="L16" s="7">
        <f t="shared" si="2"/>
        <v>2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25"/>
      <c r="J17" s="30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0"/>
      <c r="H18" s="25"/>
      <c r="I18" s="25"/>
      <c r="J18" s="30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>
        <v>4</v>
      </c>
      <c r="C19" s="25"/>
      <c r="D19" s="25"/>
      <c r="E19" s="23"/>
      <c r="F19" s="17">
        <f t="shared" si="0"/>
        <v>4</v>
      </c>
      <c r="G19" s="30"/>
      <c r="H19" s="25"/>
      <c r="I19" s="25"/>
      <c r="J19" s="30"/>
      <c r="K19" s="15">
        <f t="shared" si="1"/>
        <v>0</v>
      </c>
      <c r="L19" s="7">
        <f t="shared" si="2"/>
        <v>4</v>
      </c>
    </row>
    <row r="20" spans="1:12" ht="15.75" thickBot="1" x14ac:dyDescent="0.3">
      <c r="A20" s="8">
        <v>12</v>
      </c>
      <c r="B20" s="21"/>
      <c r="C20" s="25"/>
      <c r="D20" s="25"/>
      <c r="E20" s="24"/>
      <c r="F20" s="17">
        <f t="shared" si="0"/>
        <v>0</v>
      </c>
      <c r="G20" s="30"/>
      <c r="H20" s="25"/>
      <c r="I20" s="25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>
        <v>5</v>
      </c>
      <c r="C21" s="25"/>
      <c r="D21" s="25"/>
      <c r="E21" s="23"/>
      <c r="F21" s="17">
        <f t="shared" si="0"/>
        <v>5</v>
      </c>
      <c r="G21" s="30"/>
      <c r="H21" s="25"/>
      <c r="I21" s="25"/>
      <c r="J21" s="30"/>
      <c r="K21" s="15">
        <f t="shared" si="1"/>
        <v>0</v>
      </c>
      <c r="L21" s="7">
        <f t="shared" si="2"/>
        <v>5</v>
      </c>
    </row>
    <row r="22" spans="1:12" ht="15.75" thickBot="1" x14ac:dyDescent="0.3">
      <c r="A22" s="8">
        <v>14</v>
      </c>
      <c r="B22" s="21">
        <v>8</v>
      </c>
      <c r="C22" s="25"/>
      <c r="D22" s="25"/>
      <c r="E22" s="23"/>
      <c r="F22" s="17">
        <f t="shared" si="0"/>
        <v>8</v>
      </c>
      <c r="G22" s="30"/>
      <c r="H22" s="25"/>
      <c r="I22" s="25"/>
      <c r="J22" s="30"/>
      <c r="K22" s="15">
        <f t="shared" si="1"/>
        <v>0</v>
      </c>
      <c r="L22" s="7">
        <f t="shared" si="2"/>
        <v>8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5"/>
      <c r="I23" s="25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25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3"/>
      <c r="D25" s="25"/>
      <c r="E25" s="23"/>
      <c r="F25" s="17">
        <f t="shared" si="0"/>
        <v>0</v>
      </c>
      <c r="G25" s="30"/>
      <c r="H25" s="25"/>
      <c r="I25" s="25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>
        <v>2</v>
      </c>
      <c r="C26" s="25"/>
      <c r="D26" s="25"/>
      <c r="E26" s="23"/>
      <c r="F26" s="17">
        <f t="shared" si="0"/>
        <v>2</v>
      </c>
      <c r="G26" s="30"/>
      <c r="H26" s="25"/>
      <c r="I26" s="25"/>
      <c r="J26" s="30"/>
      <c r="K26" s="15">
        <f t="shared" si="1"/>
        <v>0</v>
      </c>
      <c r="L26" s="7">
        <f t="shared" si="2"/>
        <v>2</v>
      </c>
    </row>
    <row r="27" spans="1:12" ht="15.75" thickBot="1" x14ac:dyDescent="0.3">
      <c r="A27" s="8">
        <v>19</v>
      </c>
      <c r="B27" s="21">
        <v>2</v>
      </c>
      <c r="C27" s="25"/>
      <c r="D27" s="25"/>
      <c r="E27" s="23"/>
      <c r="F27" s="17">
        <f t="shared" si="0"/>
        <v>2</v>
      </c>
      <c r="G27" s="30"/>
      <c r="H27" s="25"/>
      <c r="I27" s="25"/>
      <c r="J27" s="30"/>
      <c r="K27" s="15">
        <f t="shared" si="1"/>
        <v>0</v>
      </c>
      <c r="L27" s="7">
        <f t="shared" si="2"/>
        <v>2</v>
      </c>
    </row>
    <row r="28" spans="1:12" ht="15.75" thickBot="1" x14ac:dyDescent="0.3">
      <c r="A28" s="8">
        <v>20</v>
      </c>
      <c r="B28" s="21">
        <v>1</v>
      </c>
      <c r="C28" s="22"/>
      <c r="D28" s="25"/>
      <c r="E28" s="23"/>
      <c r="F28" s="17">
        <f t="shared" si="0"/>
        <v>1</v>
      </c>
      <c r="G28" s="30"/>
      <c r="H28" s="25"/>
      <c r="I28" s="25"/>
      <c r="J28" s="30"/>
      <c r="K28" s="15">
        <f t="shared" si="1"/>
        <v>0</v>
      </c>
      <c r="L28" s="7">
        <f t="shared" si="2"/>
        <v>1</v>
      </c>
    </row>
    <row r="29" spans="1:12" ht="15.75" thickBot="1" x14ac:dyDescent="0.3">
      <c r="A29" s="8">
        <v>21</v>
      </c>
      <c r="B29" s="21">
        <v>3</v>
      </c>
      <c r="C29" s="22"/>
      <c r="D29" s="25"/>
      <c r="E29" s="24"/>
      <c r="F29" s="17">
        <f t="shared" si="0"/>
        <v>3</v>
      </c>
      <c r="G29" s="30"/>
      <c r="H29" s="25"/>
      <c r="I29" s="25"/>
      <c r="J29" s="30"/>
      <c r="K29" s="15">
        <f t="shared" si="1"/>
        <v>0</v>
      </c>
      <c r="L29" s="7">
        <f t="shared" si="2"/>
        <v>3</v>
      </c>
    </row>
    <row r="30" spans="1:12" ht="15.75" thickBot="1" x14ac:dyDescent="0.3">
      <c r="A30" s="8">
        <v>22</v>
      </c>
      <c r="B30" s="21">
        <v>8</v>
      </c>
      <c r="C30" s="22"/>
      <c r="D30" s="25"/>
      <c r="E30" s="23"/>
      <c r="F30" s="17">
        <f t="shared" si="0"/>
        <v>8</v>
      </c>
      <c r="G30" s="30"/>
      <c r="H30" s="25"/>
      <c r="I30" s="25"/>
      <c r="J30" s="30"/>
      <c r="K30" s="15">
        <f t="shared" si="1"/>
        <v>0</v>
      </c>
      <c r="L30" s="7">
        <f t="shared" si="2"/>
        <v>8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5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>
        <v>2</v>
      </c>
      <c r="C33" s="22"/>
      <c r="D33" s="25"/>
      <c r="E33" s="23"/>
      <c r="F33" s="17">
        <f t="shared" si="0"/>
        <v>2</v>
      </c>
      <c r="G33" s="30"/>
      <c r="H33" s="22"/>
      <c r="I33" s="30"/>
      <c r="J33" s="30"/>
      <c r="K33" s="15">
        <f t="shared" si="1"/>
        <v>0</v>
      </c>
      <c r="L33" s="7">
        <f t="shared" si="2"/>
        <v>2</v>
      </c>
    </row>
    <row r="34" spans="1:12" ht="15.75" thickBot="1" x14ac:dyDescent="0.3">
      <c r="A34" s="8">
        <v>26</v>
      </c>
      <c r="B34" s="21">
        <v>5</v>
      </c>
      <c r="C34" s="25"/>
      <c r="D34" s="25"/>
      <c r="E34" s="23"/>
      <c r="F34" s="17">
        <f t="shared" si="0"/>
        <v>5</v>
      </c>
      <c r="G34" s="30"/>
      <c r="H34" s="25"/>
      <c r="I34" s="22"/>
      <c r="J34" s="22"/>
      <c r="K34" s="15">
        <f t="shared" si="1"/>
        <v>0</v>
      </c>
      <c r="L34" s="7">
        <f t="shared" si="2"/>
        <v>5</v>
      </c>
    </row>
    <row r="35" spans="1:12" ht="15.75" thickBot="1" x14ac:dyDescent="0.3">
      <c r="A35" s="8">
        <v>27</v>
      </c>
      <c r="B35" s="21">
        <v>3</v>
      </c>
      <c r="C35" s="25"/>
      <c r="D35" s="25"/>
      <c r="E35" s="23"/>
      <c r="F35" s="17">
        <f t="shared" si="0"/>
        <v>3</v>
      </c>
      <c r="G35" s="40"/>
      <c r="H35" s="22"/>
      <c r="I35" s="22"/>
      <c r="J35" s="22"/>
      <c r="K35" s="15">
        <f t="shared" si="1"/>
        <v>0</v>
      </c>
      <c r="L35" s="7">
        <f t="shared" si="2"/>
        <v>3</v>
      </c>
    </row>
    <row r="36" spans="1:12" ht="15.75" thickBot="1" x14ac:dyDescent="0.3">
      <c r="A36" s="8">
        <v>28</v>
      </c>
      <c r="B36" s="21">
        <v>1</v>
      </c>
      <c r="C36" s="22"/>
      <c r="D36" s="25"/>
      <c r="E36" s="23"/>
      <c r="F36" s="17">
        <f t="shared" si="0"/>
        <v>1</v>
      </c>
      <c r="G36" s="30">
        <v>18</v>
      </c>
      <c r="H36" s="25"/>
      <c r="I36" s="25"/>
      <c r="J36" s="22"/>
      <c r="K36" s="15">
        <f t="shared" si="1"/>
        <v>18</v>
      </c>
      <c r="L36" s="7">
        <f t="shared" si="2"/>
        <v>19</v>
      </c>
    </row>
    <row r="37" spans="1:12" ht="15.75" thickBot="1" x14ac:dyDescent="0.3">
      <c r="A37" s="8">
        <v>29</v>
      </c>
      <c r="B37" s="21"/>
      <c r="C37" s="25"/>
      <c r="D37" s="22"/>
      <c r="E37" s="23"/>
      <c r="F37" s="17">
        <f t="shared" si="0"/>
        <v>0</v>
      </c>
      <c r="G37" s="30">
        <v>17</v>
      </c>
      <c r="H37" s="25"/>
      <c r="I37" s="22"/>
      <c r="J37" s="22"/>
      <c r="K37" s="15">
        <f t="shared" si="1"/>
        <v>17</v>
      </c>
      <c r="L37" s="7">
        <f t="shared" si="2"/>
        <v>17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44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6">
        <f>SUM(B9:B39)</f>
        <v>61</v>
      </c>
      <c r="C40" s="46">
        <f t="shared" ref="C40:E40" si="3">SUM(C9:C39)</f>
        <v>0</v>
      </c>
      <c r="D40" s="46">
        <f t="shared" si="3"/>
        <v>0</v>
      </c>
      <c r="E40" s="46">
        <f t="shared" si="3"/>
        <v>0</v>
      </c>
      <c r="F40" s="45">
        <f>SUM(F9:F39)</f>
        <v>61</v>
      </c>
      <c r="G40" s="16">
        <f>SUM(G9:G39)</f>
        <v>35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35</v>
      </c>
      <c r="L40" s="16">
        <f t="shared" si="4"/>
        <v>96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4"/>
      <c r="B42" s="64"/>
      <c r="C42" s="64"/>
      <c r="D42" s="64"/>
      <c r="E42" s="64"/>
      <c r="F42" s="64"/>
      <c r="G42" s="65" t="s">
        <v>17</v>
      </c>
      <c r="H42" s="66"/>
      <c r="I42" s="66" t="s">
        <v>18</v>
      </c>
      <c r="J42" s="67"/>
      <c r="K42" s="11"/>
      <c r="L42" s="13"/>
    </row>
    <row r="43" spans="1:12" ht="15.75" thickBot="1" x14ac:dyDescent="0.3">
      <c r="A43" s="14"/>
      <c r="B43" s="51" t="s">
        <v>19</v>
      </c>
      <c r="C43" s="52"/>
      <c r="D43" s="52"/>
      <c r="E43" s="52"/>
      <c r="F43" s="52"/>
      <c r="G43" s="62">
        <v>447</v>
      </c>
      <c r="H43" s="68"/>
      <c r="I43" s="69"/>
      <c r="J43" s="70"/>
      <c r="K43" s="11"/>
      <c r="L43" s="13"/>
    </row>
    <row r="44" spans="1:12" ht="15.75" thickBot="1" x14ac:dyDescent="0.3">
      <c r="A44" s="14"/>
      <c r="B44" s="51" t="s">
        <v>20</v>
      </c>
      <c r="C44" s="52"/>
      <c r="D44" s="52"/>
      <c r="E44" s="52"/>
      <c r="F44" s="52"/>
      <c r="G44" s="53">
        <v>0</v>
      </c>
      <c r="H44" s="54"/>
      <c r="I44" s="53"/>
      <c r="J44" s="54"/>
      <c r="K44" s="11"/>
      <c r="L44" s="13"/>
    </row>
    <row r="45" spans="1:12" ht="15.75" thickBot="1" x14ac:dyDescent="0.3">
      <c r="A45" s="14"/>
      <c r="B45" s="59" t="s">
        <v>21</v>
      </c>
      <c r="C45" s="59"/>
      <c r="D45" s="59"/>
      <c r="E45" s="59"/>
      <c r="F45" s="51"/>
      <c r="G45" s="60">
        <v>0</v>
      </c>
      <c r="H45" s="61"/>
      <c r="I45" s="62"/>
      <c r="J45" s="63"/>
      <c r="K45" s="11"/>
      <c r="L45" s="13"/>
    </row>
    <row r="46" spans="1:12" ht="15.75" thickBot="1" x14ac:dyDescent="0.3">
      <c r="A46" s="14"/>
      <c r="B46" s="51" t="s">
        <v>22</v>
      </c>
      <c r="C46" s="52"/>
      <c r="D46" s="52"/>
      <c r="E46" s="52"/>
      <c r="F46" s="52"/>
      <c r="G46" s="58">
        <f>L40+G45</f>
        <v>96</v>
      </c>
      <c r="H46" s="54"/>
      <c r="I46" s="53"/>
      <c r="J46" s="54"/>
      <c r="K46" s="11"/>
      <c r="L46" s="13"/>
    </row>
    <row r="47" spans="1:12" ht="15.75" thickBot="1" x14ac:dyDescent="0.3">
      <c r="A47" s="4"/>
      <c r="B47" s="51" t="s">
        <v>23</v>
      </c>
      <c r="C47" s="52"/>
      <c r="D47" s="52"/>
      <c r="E47" s="52"/>
      <c r="F47" s="52"/>
      <c r="G47" s="58">
        <f>G43+G44-G46</f>
        <v>351</v>
      </c>
      <c r="H47" s="54"/>
      <c r="I47" s="53"/>
      <c r="J47" s="54"/>
      <c r="K47" s="11"/>
      <c r="L47" s="3"/>
    </row>
    <row r="48" spans="1:12" ht="15.75" thickBot="1" x14ac:dyDescent="0.3">
      <c r="A48" s="4"/>
      <c r="B48" s="51" t="s">
        <v>24</v>
      </c>
      <c r="C48" s="52"/>
      <c r="D48" s="52"/>
      <c r="E48" s="52"/>
      <c r="F48" s="52"/>
      <c r="G48" s="53">
        <v>321</v>
      </c>
      <c r="H48" s="54"/>
      <c r="I48" s="53"/>
      <c r="J48" s="54"/>
      <c r="K48" s="11"/>
      <c r="L48" s="3"/>
    </row>
    <row r="49" spans="1:12" ht="15.75" thickBot="1" x14ac:dyDescent="0.3">
      <c r="A49" s="4"/>
      <c r="B49" s="51" t="s">
        <v>25</v>
      </c>
      <c r="C49" s="52"/>
      <c r="D49" s="52"/>
      <c r="E49" s="52"/>
      <c r="F49" s="52"/>
      <c r="G49" s="55">
        <f>G47-G48</f>
        <v>30</v>
      </c>
      <c r="H49" s="56"/>
      <c r="I49" s="57"/>
      <c r="J49" s="56"/>
      <c r="K49" s="11"/>
      <c r="L49" s="3"/>
    </row>
    <row r="50" spans="1:12" x14ac:dyDescent="0.25">
      <c r="A50" s="5" t="s">
        <v>26</v>
      </c>
      <c r="B50" s="32"/>
      <c r="C50" s="38"/>
      <c r="D50" s="38"/>
      <c r="E50" s="38"/>
      <c r="F50" s="32"/>
      <c r="G50" s="42"/>
      <c r="H50" s="38"/>
      <c r="I50" s="39" t="s">
        <v>27</v>
      </c>
      <c r="J50" s="38"/>
      <c r="K50" s="32"/>
      <c r="L50" s="1"/>
    </row>
    <row r="51" spans="1:12" ht="3" customHeight="1" x14ac:dyDescent="0.25"/>
    <row r="53" spans="1:12" x14ac:dyDescent="0.25">
      <c r="A53" t="s">
        <v>29</v>
      </c>
    </row>
    <row r="54" spans="1:12" x14ac:dyDescent="0.25">
      <c r="A54" t="s">
        <v>30</v>
      </c>
    </row>
    <row r="55" spans="1:12" x14ac:dyDescent="0.25">
      <c r="A55" t="s">
        <v>31</v>
      </c>
    </row>
    <row r="56" spans="1:12" x14ac:dyDescent="0.25">
      <c r="A56" t="s">
        <v>32</v>
      </c>
    </row>
    <row r="57" spans="1:12" x14ac:dyDescent="0.25">
      <c r="A57" t="s">
        <v>33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89F73-A3BB-4886-8995-5105552B61B3}">
  <dimension ref="A1:L54"/>
  <sheetViews>
    <sheetView topLeftCell="A21" workbookViewId="0">
      <selection activeCell="G51" sqref="G5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2" t="s">
        <v>0</v>
      </c>
      <c r="B1" s="82"/>
      <c r="C1" s="82"/>
      <c r="D1" s="82"/>
      <c r="E1" s="31"/>
      <c r="F1" s="32"/>
      <c r="G1" s="83" t="s">
        <v>1</v>
      </c>
      <c r="H1" s="83"/>
      <c r="I1" s="83"/>
      <c r="J1" s="83"/>
      <c r="K1" s="83"/>
      <c r="L1" s="83"/>
    </row>
    <row r="2" spans="1:12" ht="15.75" x14ac:dyDescent="0.25">
      <c r="A2" s="83" t="s">
        <v>2</v>
      </c>
      <c r="B2" s="83"/>
      <c r="C2" s="83"/>
      <c r="D2" s="83"/>
      <c r="E2" s="31"/>
      <c r="F2" s="32"/>
      <c r="G2" s="84" t="s">
        <v>3</v>
      </c>
      <c r="H2" s="84"/>
      <c r="I2" s="84"/>
      <c r="J2" s="84"/>
      <c r="K2" s="84"/>
      <c r="L2" s="84"/>
    </row>
    <row r="3" spans="1:12" x14ac:dyDescent="0.25">
      <c r="A3" s="84" t="s">
        <v>4</v>
      </c>
      <c r="B3" s="84"/>
      <c r="C3" s="84"/>
      <c r="D3" s="84"/>
      <c r="E3" s="31"/>
      <c r="F3" s="32"/>
      <c r="G3" s="32"/>
      <c r="H3" s="31"/>
      <c r="I3" s="31"/>
      <c r="J3" s="31"/>
      <c r="K3" s="32"/>
      <c r="L3" s="1"/>
    </row>
    <row r="4" spans="1:12" ht="18" x14ac:dyDescent="0.25">
      <c r="A4" s="82" t="s">
        <v>5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2" x14ac:dyDescent="0.25">
      <c r="A5" s="71" t="s">
        <v>34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3"/>
      <c r="I6" s="73"/>
      <c r="J6" s="12"/>
      <c r="K6" s="33"/>
      <c r="L6" s="3"/>
    </row>
    <row r="7" spans="1:12" x14ac:dyDescent="0.25">
      <c r="A7" s="74" t="s">
        <v>7</v>
      </c>
      <c r="B7" s="76" t="s">
        <v>8</v>
      </c>
      <c r="C7" s="77"/>
      <c r="D7" s="77"/>
      <c r="E7" s="77"/>
      <c r="F7" s="78"/>
      <c r="G7" s="79" t="s">
        <v>9</v>
      </c>
      <c r="H7" s="77"/>
      <c r="I7" s="77"/>
      <c r="J7" s="77"/>
      <c r="K7" s="78"/>
      <c r="L7" s="80" t="s">
        <v>10</v>
      </c>
    </row>
    <row r="8" spans="1:12" ht="15.75" thickBot="1" x14ac:dyDescent="0.3">
      <c r="A8" s="75"/>
      <c r="B8" s="34" t="s">
        <v>11</v>
      </c>
      <c r="C8" s="35" t="s">
        <v>12</v>
      </c>
      <c r="D8" s="35" t="s">
        <v>13</v>
      </c>
      <c r="E8" s="35" t="s">
        <v>14</v>
      </c>
      <c r="F8" s="36" t="s">
        <v>15</v>
      </c>
      <c r="G8" s="37" t="s">
        <v>11</v>
      </c>
      <c r="H8" s="35" t="s">
        <v>12</v>
      </c>
      <c r="I8" s="35" t="s">
        <v>13</v>
      </c>
      <c r="J8" s="35" t="s">
        <v>14</v>
      </c>
      <c r="K8" s="36" t="s">
        <v>16</v>
      </c>
      <c r="L8" s="81"/>
    </row>
    <row r="9" spans="1:12" ht="15.75" thickBot="1" x14ac:dyDescent="0.3">
      <c r="A9" s="6">
        <v>1</v>
      </c>
      <c r="B9" s="18">
        <v>1</v>
      </c>
      <c r="C9" s="19"/>
      <c r="D9" s="19">
        <v>1</v>
      </c>
      <c r="E9" s="20"/>
      <c r="F9" s="17">
        <f>SUM(B9:E9)</f>
        <v>2</v>
      </c>
      <c r="G9" s="41">
        <v>21</v>
      </c>
      <c r="H9" s="29"/>
      <c r="I9" s="29"/>
      <c r="J9" s="29"/>
      <c r="K9" s="15">
        <f>SUM(G9:J9)</f>
        <v>21</v>
      </c>
      <c r="L9" s="7">
        <f>SUM(F9+K9)</f>
        <v>23</v>
      </c>
    </row>
    <row r="10" spans="1:12" ht="15.75" thickBot="1" x14ac:dyDescent="0.3">
      <c r="A10" s="8">
        <v>2</v>
      </c>
      <c r="B10" s="21">
        <v>5</v>
      </c>
      <c r="C10" s="25"/>
      <c r="D10" s="22"/>
      <c r="E10" s="23"/>
      <c r="F10" s="17">
        <f t="shared" ref="F10:F39" si="0">SUM(B10:E10)</f>
        <v>5</v>
      </c>
      <c r="G10" s="30"/>
      <c r="H10" s="25"/>
      <c r="I10" s="22"/>
      <c r="J10" s="25"/>
      <c r="K10" s="15">
        <f t="shared" ref="K10:K39" si="1">SUM(G10:J10)</f>
        <v>0</v>
      </c>
      <c r="L10" s="7">
        <f t="shared" ref="L10:L39" si="2">SUM(F10+K10)</f>
        <v>5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>
        <v>11</v>
      </c>
      <c r="H11" s="25"/>
      <c r="I11" s="22"/>
      <c r="J11" s="22"/>
      <c r="K11" s="15">
        <f t="shared" si="1"/>
        <v>11</v>
      </c>
      <c r="L11" s="7">
        <f t="shared" si="2"/>
        <v>11</v>
      </c>
    </row>
    <row r="12" spans="1:12" ht="15.75" thickBot="1" x14ac:dyDescent="0.3">
      <c r="A12" s="8">
        <v>4</v>
      </c>
      <c r="B12" s="21">
        <v>3</v>
      </c>
      <c r="C12" s="25"/>
      <c r="D12" s="25"/>
      <c r="E12" s="23"/>
      <c r="F12" s="17">
        <f t="shared" si="0"/>
        <v>3</v>
      </c>
      <c r="G12" s="30"/>
      <c r="H12" s="25"/>
      <c r="I12" s="25"/>
      <c r="J12" s="22"/>
      <c r="K12" s="15">
        <f t="shared" si="1"/>
        <v>0</v>
      </c>
      <c r="L12" s="7">
        <f t="shared" si="2"/>
        <v>3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>
        <v>1</v>
      </c>
      <c r="H13" s="25"/>
      <c r="I13" s="25"/>
      <c r="J13" s="22"/>
      <c r="K13" s="15">
        <f t="shared" si="1"/>
        <v>1</v>
      </c>
      <c r="L13" s="7">
        <f t="shared" si="2"/>
        <v>1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4"/>
      <c r="F15" s="17">
        <f t="shared" si="0"/>
        <v>0</v>
      </c>
      <c r="G15" s="30"/>
      <c r="H15" s="25"/>
      <c r="I15" s="25"/>
      <c r="J15" s="30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5"/>
      <c r="J16" s="30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>
        <v>5</v>
      </c>
      <c r="C17" s="25"/>
      <c r="D17" s="25"/>
      <c r="E17" s="24"/>
      <c r="F17" s="17">
        <f t="shared" si="0"/>
        <v>5</v>
      </c>
      <c r="G17" s="30"/>
      <c r="H17" s="25"/>
      <c r="I17" s="25"/>
      <c r="J17" s="30"/>
      <c r="K17" s="15">
        <f t="shared" si="1"/>
        <v>0</v>
      </c>
      <c r="L17" s="7">
        <f t="shared" si="2"/>
        <v>5</v>
      </c>
    </row>
    <row r="18" spans="1:12" ht="15.75" thickBot="1" x14ac:dyDescent="0.3">
      <c r="A18" s="8">
        <v>10</v>
      </c>
      <c r="B18" s="21">
        <v>1</v>
      </c>
      <c r="C18" s="25"/>
      <c r="D18" s="25"/>
      <c r="E18" s="23"/>
      <c r="F18" s="17">
        <f t="shared" si="0"/>
        <v>1</v>
      </c>
      <c r="G18" s="30"/>
      <c r="H18" s="25"/>
      <c r="I18" s="25"/>
      <c r="J18" s="30"/>
      <c r="K18" s="15">
        <f t="shared" si="1"/>
        <v>0</v>
      </c>
      <c r="L18" s="7">
        <f t="shared" si="2"/>
        <v>1</v>
      </c>
    </row>
    <row r="19" spans="1:12" ht="15.75" thickBot="1" x14ac:dyDescent="0.3">
      <c r="A19" s="8">
        <v>11</v>
      </c>
      <c r="B19" s="21">
        <v>2</v>
      </c>
      <c r="C19" s="25"/>
      <c r="D19" s="25"/>
      <c r="E19" s="23"/>
      <c r="F19" s="17">
        <f t="shared" si="0"/>
        <v>2</v>
      </c>
      <c r="G19" s="30"/>
      <c r="H19" s="25"/>
      <c r="I19" s="25"/>
      <c r="J19" s="30"/>
      <c r="K19" s="15">
        <f t="shared" si="1"/>
        <v>0</v>
      </c>
      <c r="L19" s="7">
        <f t="shared" si="2"/>
        <v>2</v>
      </c>
    </row>
    <row r="20" spans="1:12" ht="15.75" thickBot="1" x14ac:dyDescent="0.3">
      <c r="A20" s="8">
        <v>12</v>
      </c>
      <c r="B20" s="21">
        <v>2</v>
      </c>
      <c r="C20" s="25"/>
      <c r="D20" s="25"/>
      <c r="E20" s="24"/>
      <c r="F20" s="17">
        <f t="shared" si="0"/>
        <v>2</v>
      </c>
      <c r="G20" s="30"/>
      <c r="H20" s="25"/>
      <c r="I20" s="25"/>
      <c r="J20" s="30"/>
      <c r="K20" s="15">
        <f t="shared" si="1"/>
        <v>0</v>
      </c>
      <c r="L20" s="7">
        <f t="shared" si="2"/>
        <v>2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0"/>
      <c r="H21" s="25"/>
      <c r="I21" s="25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0"/>
      <c r="H22" s="25"/>
      <c r="I22" s="25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>
        <v>2</v>
      </c>
      <c r="C23" s="22"/>
      <c r="D23" s="25"/>
      <c r="E23" s="23"/>
      <c r="F23" s="17">
        <f t="shared" si="0"/>
        <v>2</v>
      </c>
      <c r="G23" s="30">
        <v>1</v>
      </c>
      <c r="H23" s="25"/>
      <c r="I23" s="25"/>
      <c r="J23" s="30"/>
      <c r="K23" s="15">
        <f t="shared" si="1"/>
        <v>1</v>
      </c>
      <c r="L23" s="7">
        <f t="shared" si="2"/>
        <v>3</v>
      </c>
    </row>
    <row r="24" spans="1:12" ht="15.75" thickBot="1" x14ac:dyDescent="0.3">
      <c r="A24" s="8">
        <v>16</v>
      </c>
      <c r="B24" s="21">
        <v>3</v>
      </c>
      <c r="C24" s="22"/>
      <c r="D24" s="25"/>
      <c r="E24" s="23"/>
      <c r="F24" s="17">
        <f t="shared" si="0"/>
        <v>3</v>
      </c>
      <c r="G24" s="30">
        <v>10</v>
      </c>
      <c r="H24" s="25"/>
      <c r="I24" s="25"/>
      <c r="J24" s="30"/>
      <c r="K24" s="15">
        <f t="shared" si="1"/>
        <v>10</v>
      </c>
      <c r="L24" s="7">
        <f t="shared" si="2"/>
        <v>13</v>
      </c>
    </row>
    <row r="25" spans="1:12" ht="15.75" thickBot="1" x14ac:dyDescent="0.3">
      <c r="A25" s="8">
        <v>17</v>
      </c>
      <c r="B25" s="21">
        <v>1</v>
      </c>
      <c r="C25" s="43"/>
      <c r="D25" s="25"/>
      <c r="E25" s="23"/>
      <c r="F25" s="17">
        <f t="shared" si="0"/>
        <v>1</v>
      </c>
      <c r="G25" s="30">
        <v>10</v>
      </c>
      <c r="H25" s="25"/>
      <c r="I25" s="25">
        <v>1</v>
      </c>
      <c r="J25" s="30"/>
      <c r="K25" s="15">
        <f t="shared" si="1"/>
        <v>11</v>
      </c>
      <c r="L25" s="7">
        <f t="shared" si="2"/>
        <v>12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>
        <v>10</v>
      </c>
      <c r="H26" s="25"/>
      <c r="I26" s="25"/>
      <c r="J26" s="30"/>
      <c r="K26" s="15">
        <f t="shared" si="1"/>
        <v>10</v>
      </c>
      <c r="L26" s="7">
        <f t="shared" si="2"/>
        <v>10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>
        <v>4</v>
      </c>
      <c r="H27" s="25"/>
      <c r="I27" s="25"/>
      <c r="J27" s="30"/>
      <c r="K27" s="15">
        <f t="shared" si="1"/>
        <v>4</v>
      </c>
      <c r="L27" s="7">
        <f t="shared" si="2"/>
        <v>4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25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>
        <v>5</v>
      </c>
      <c r="C30" s="22"/>
      <c r="D30" s="25"/>
      <c r="E30" s="23"/>
      <c r="F30" s="17">
        <f t="shared" si="0"/>
        <v>5</v>
      </c>
      <c r="G30" s="30">
        <v>1</v>
      </c>
      <c r="H30" s="25"/>
      <c r="I30" s="25"/>
      <c r="J30" s="30"/>
      <c r="K30" s="15">
        <f t="shared" si="1"/>
        <v>1</v>
      </c>
      <c r="L30" s="7">
        <f t="shared" si="2"/>
        <v>6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5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>
        <v>1</v>
      </c>
      <c r="C33" s="22"/>
      <c r="D33" s="25"/>
      <c r="E33" s="23"/>
      <c r="F33" s="17">
        <f t="shared" si="0"/>
        <v>1</v>
      </c>
      <c r="G33" s="30"/>
      <c r="H33" s="22"/>
      <c r="I33" s="30"/>
      <c r="J33" s="30"/>
      <c r="K33" s="15">
        <f t="shared" si="1"/>
        <v>0</v>
      </c>
      <c r="L33" s="7">
        <f t="shared" si="2"/>
        <v>1</v>
      </c>
    </row>
    <row r="34" spans="1:12" ht="15.75" thickBot="1" x14ac:dyDescent="0.3">
      <c r="A34" s="8">
        <v>26</v>
      </c>
      <c r="B34" s="21">
        <v>2</v>
      </c>
      <c r="C34" s="25"/>
      <c r="D34" s="25"/>
      <c r="E34" s="23"/>
      <c r="F34" s="17">
        <f t="shared" si="0"/>
        <v>2</v>
      </c>
      <c r="G34" s="30"/>
      <c r="H34" s="25"/>
      <c r="I34" s="22"/>
      <c r="J34" s="22"/>
      <c r="K34" s="15">
        <f t="shared" si="1"/>
        <v>0</v>
      </c>
      <c r="L34" s="7">
        <f t="shared" si="2"/>
        <v>2</v>
      </c>
    </row>
    <row r="35" spans="1:12" ht="15.75" thickBot="1" x14ac:dyDescent="0.3">
      <c r="A35" s="8">
        <v>27</v>
      </c>
      <c r="B35" s="21"/>
      <c r="C35" s="25"/>
      <c r="D35" s="25"/>
      <c r="E35" s="23"/>
      <c r="F35" s="17">
        <f t="shared" si="0"/>
        <v>0</v>
      </c>
      <c r="G35" s="40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5"/>
      <c r="E36" s="23"/>
      <c r="F36" s="17">
        <f t="shared" si="0"/>
        <v>0</v>
      </c>
      <c r="G36" s="30"/>
      <c r="H36" s="25"/>
      <c r="I36" s="25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5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44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6">
        <f>SUM(B9:B39)</f>
        <v>33</v>
      </c>
      <c r="C40" s="46">
        <f t="shared" ref="C40:E40" si="3">SUM(C9:C39)</f>
        <v>0</v>
      </c>
      <c r="D40" s="46">
        <f t="shared" si="3"/>
        <v>1</v>
      </c>
      <c r="E40" s="46">
        <f t="shared" si="3"/>
        <v>0</v>
      </c>
      <c r="F40" s="45">
        <f>SUM(F9:F39)</f>
        <v>34</v>
      </c>
      <c r="G40" s="16">
        <f>SUM(G9:G39)</f>
        <v>69</v>
      </c>
      <c r="H40" s="16">
        <f t="shared" ref="H40:L40" si="4">SUM(H9:H39)</f>
        <v>0</v>
      </c>
      <c r="I40" s="16">
        <f t="shared" si="4"/>
        <v>1</v>
      </c>
      <c r="J40" s="16">
        <f t="shared" si="4"/>
        <v>0</v>
      </c>
      <c r="K40" s="16">
        <f t="shared" si="4"/>
        <v>70</v>
      </c>
      <c r="L40" s="16">
        <f t="shared" si="4"/>
        <v>104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4"/>
      <c r="B42" s="64"/>
      <c r="C42" s="64"/>
      <c r="D42" s="64"/>
      <c r="E42" s="64"/>
      <c r="F42" s="64"/>
      <c r="G42" s="65" t="s">
        <v>17</v>
      </c>
      <c r="H42" s="66"/>
      <c r="I42" s="66" t="s">
        <v>18</v>
      </c>
      <c r="J42" s="67"/>
      <c r="K42" s="11"/>
      <c r="L42" s="13"/>
    </row>
    <row r="43" spans="1:12" ht="15.75" thickBot="1" x14ac:dyDescent="0.3">
      <c r="A43" s="14"/>
      <c r="B43" s="51" t="s">
        <v>19</v>
      </c>
      <c r="C43" s="52"/>
      <c r="D43" s="52"/>
      <c r="E43" s="52"/>
      <c r="F43" s="52"/>
      <c r="G43" s="62">
        <v>321</v>
      </c>
      <c r="H43" s="68"/>
      <c r="I43" s="69"/>
      <c r="J43" s="70"/>
      <c r="K43" s="11"/>
      <c r="L43" s="13"/>
    </row>
    <row r="44" spans="1:12" ht="15.75" thickBot="1" x14ac:dyDescent="0.3">
      <c r="A44" s="14"/>
      <c r="B44" s="51" t="s">
        <v>20</v>
      </c>
      <c r="C44" s="52"/>
      <c r="D44" s="52"/>
      <c r="E44" s="52"/>
      <c r="F44" s="52"/>
      <c r="G44" s="53">
        <v>0</v>
      </c>
      <c r="H44" s="54"/>
      <c r="I44" s="53"/>
      <c r="J44" s="54"/>
      <c r="K44" s="11"/>
      <c r="L44" s="13"/>
    </row>
    <row r="45" spans="1:12" ht="15.75" thickBot="1" x14ac:dyDescent="0.3">
      <c r="A45" s="14"/>
      <c r="B45" s="59" t="s">
        <v>21</v>
      </c>
      <c r="C45" s="59"/>
      <c r="D45" s="59"/>
      <c r="E45" s="59"/>
      <c r="F45" s="51"/>
      <c r="G45" s="60">
        <v>0</v>
      </c>
      <c r="H45" s="61"/>
      <c r="I45" s="62"/>
      <c r="J45" s="63"/>
      <c r="K45" s="11"/>
      <c r="L45" s="13"/>
    </row>
    <row r="46" spans="1:12" ht="15.75" thickBot="1" x14ac:dyDescent="0.3">
      <c r="A46" s="14"/>
      <c r="B46" s="51" t="s">
        <v>22</v>
      </c>
      <c r="C46" s="52"/>
      <c r="D46" s="52"/>
      <c r="E46" s="52"/>
      <c r="F46" s="52"/>
      <c r="G46" s="58">
        <f>L40+G45</f>
        <v>104</v>
      </c>
      <c r="H46" s="54"/>
      <c r="I46" s="53"/>
      <c r="J46" s="54"/>
      <c r="K46" s="11"/>
      <c r="L46" s="13"/>
    </row>
    <row r="47" spans="1:12" ht="15.75" thickBot="1" x14ac:dyDescent="0.3">
      <c r="A47" s="4"/>
      <c r="B47" s="51" t="s">
        <v>23</v>
      </c>
      <c r="C47" s="52"/>
      <c r="D47" s="52"/>
      <c r="E47" s="52"/>
      <c r="F47" s="52"/>
      <c r="G47" s="58">
        <f>G43+G44-G46</f>
        <v>217</v>
      </c>
      <c r="H47" s="54"/>
      <c r="I47" s="53"/>
      <c r="J47" s="54"/>
      <c r="K47" s="11"/>
      <c r="L47" s="3"/>
    </row>
    <row r="48" spans="1:12" ht="15.75" thickBot="1" x14ac:dyDescent="0.3">
      <c r="A48" s="4"/>
      <c r="B48" s="51" t="s">
        <v>24</v>
      </c>
      <c r="C48" s="52"/>
      <c r="D48" s="52"/>
      <c r="E48" s="52"/>
      <c r="F48" s="52"/>
      <c r="G48" s="53">
        <v>214</v>
      </c>
      <c r="H48" s="54"/>
      <c r="I48" s="53"/>
      <c r="J48" s="54"/>
      <c r="K48" s="11"/>
      <c r="L48" s="3"/>
    </row>
    <row r="49" spans="1:12" ht="15.75" thickBot="1" x14ac:dyDescent="0.3">
      <c r="A49" s="4"/>
      <c r="B49" s="51" t="s">
        <v>25</v>
      </c>
      <c r="C49" s="52"/>
      <c r="D49" s="52"/>
      <c r="E49" s="52"/>
      <c r="F49" s="52"/>
      <c r="G49" s="55">
        <f>G47-G48</f>
        <v>3</v>
      </c>
      <c r="H49" s="56"/>
      <c r="I49" s="57"/>
      <c r="J49" s="56"/>
      <c r="K49" s="11"/>
      <c r="L49" s="3"/>
    </row>
    <row r="50" spans="1:12" x14ac:dyDescent="0.25">
      <c r="A50" s="5" t="s">
        <v>26</v>
      </c>
      <c r="B50" s="32"/>
      <c r="C50" s="38"/>
      <c r="D50" s="38"/>
      <c r="E50" s="38"/>
      <c r="F50" s="32"/>
      <c r="G50" s="42"/>
      <c r="H50" s="38"/>
      <c r="I50" s="39" t="s">
        <v>27</v>
      </c>
      <c r="J50" s="38"/>
      <c r="K50" s="32"/>
      <c r="L50" s="1"/>
    </row>
    <row r="51" spans="1:12" ht="3" customHeight="1" x14ac:dyDescent="0.25"/>
    <row r="53" spans="1:12" x14ac:dyDescent="0.25">
      <c r="A53" t="s">
        <v>35</v>
      </c>
    </row>
    <row r="54" spans="1:12" x14ac:dyDescent="0.25">
      <c r="A54" t="s">
        <v>36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0B2E-2FD7-43CB-9225-C8475A854F7A}">
  <dimension ref="A1:L53"/>
  <sheetViews>
    <sheetView topLeftCell="A25" workbookViewId="0">
      <selection activeCell="A53" sqref="A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2" t="s">
        <v>0</v>
      </c>
      <c r="B1" s="82"/>
      <c r="C1" s="82"/>
      <c r="D1" s="82"/>
      <c r="E1" s="31"/>
      <c r="F1" s="32"/>
      <c r="G1" s="83" t="s">
        <v>1</v>
      </c>
      <c r="H1" s="83"/>
      <c r="I1" s="83"/>
      <c r="J1" s="83"/>
      <c r="K1" s="83"/>
      <c r="L1" s="83"/>
    </row>
    <row r="2" spans="1:12" ht="15.75" x14ac:dyDescent="0.25">
      <c r="A2" s="83" t="s">
        <v>2</v>
      </c>
      <c r="B2" s="83"/>
      <c r="C2" s="83"/>
      <c r="D2" s="83"/>
      <c r="E2" s="31"/>
      <c r="F2" s="32"/>
      <c r="G2" s="84" t="s">
        <v>3</v>
      </c>
      <c r="H2" s="84"/>
      <c r="I2" s="84"/>
      <c r="J2" s="84"/>
      <c r="K2" s="84"/>
      <c r="L2" s="84"/>
    </row>
    <row r="3" spans="1:12" x14ac:dyDescent="0.25">
      <c r="A3" s="84" t="s">
        <v>4</v>
      </c>
      <c r="B3" s="84"/>
      <c r="C3" s="84"/>
      <c r="D3" s="84"/>
      <c r="E3" s="31"/>
      <c r="F3" s="32"/>
      <c r="G3" s="32"/>
      <c r="H3" s="31"/>
      <c r="I3" s="31"/>
      <c r="J3" s="31"/>
      <c r="K3" s="32"/>
      <c r="L3" s="1"/>
    </row>
    <row r="4" spans="1:12" ht="18" x14ac:dyDescent="0.25">
      <c r="A4" s="82" t="s">
        <v>5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2" x14ac:dyDescent="0.25">
      <c r="A5" s="71" t="s">
        <v>37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3"/>
      <c r="I6" s="73"/>
      <c r="J6" s="12"/>
      <c r="K6" s="33"/>
      <c r="L6" s="3"/>
    </row>
    <row r="7" spans="1:12" x14ac:dyDescent="0.25">
      <c r="A7" s="74" t="s">
        <v>7</v>
      </c>
      <c r="B7" s="76" t="s">
        <v>8</v>
      </c>
      <c r="C7" s="77"/>
      <c r="D7" s="77"/>
      <c r="E7" s="77"/>
      <c r="F7" s="78"/>
      <c r="G7" s="79" t="s">
        <v>9</v>
      </c>
      <c r="H7" s="77"/>
      <c r="I7" s="77"/>
      <c r="J7" s="77"/>
      <c r="K7" s="78"/>
      <c r="L7" s="80" t="s">
        <v>10</v>
      </c>
    </row>
    <row r="8" spans="1:12" ht="15.75" thickBot="1" x14ac:dyDescent="0.3">
      <c r="A8" s="75"/>
      <c r="B8" s="34" t="s">
        <v>11</v>
      </c>
      <c r="C8" s="35" t="s">
        <v>12</v>
      </c>
      <c r="D8" s="35" t="s">
        <v>13</v>
      </c>
      <c r="E8" s="35" t="s">
        <v>14</v>
      </c>
      <c r="F8" s="36" t="s">
        <v>15</v>
      </c>
      <c r="G8" s="37" t="s">
        <v>11</v>
      </c>
      <c r="H8" s="35" t="s">
        <v>12</v>
      </c>
      <c r="I8" s="35" t="s">
        <v>13</v>
      </c>
      <c r="J8" s="35" t="s">
        <v>14</v>
      </c>
      <c r="K8" s="36" t="s">
        <v>16</v>
      </c>
      <c r="L8" s="81"/>
    </row>
    <row r="9" spans="1:12" ht="15.75" thickBot="1" x14ac:dyDescent="0.3">
      <c r="A9" s="6">
        <v>1</v>
      </c>
      <c r="B9" s="18">
        <v>1</v>
      </c>
      <c r="C9" s="48"/>
      <c r="D9" s="48"/>
      <c r="E9" s="49"/>
      <c r="F9" s="17">
        <f>SUM(B9:E9)</f>
        <v>1</v>
      </c>
      <c r="G9" s="41">
        <v>1</v>
      </c>
      <c r="H9" s="47"/>
      <c r="I9" s="47">
        <v>1</v>
      </c>
      <c r="J9" s="47"/>
      <c r="K9" s="15">
        <f>SUM(G9:J9)</f>
        <v>2</v>
      </c>
      <c r="L9" s="7">
        <f>SUM(F9+K9)</f>
        <v>3</v>
      </c>
    </row>
    <row r="10" spans="1:12" ht="15.75" thickBot="1" x14ac:dyDescent="0.3">
      <c r="A10" s="8">
        <v>2</v>
      </c>
      <c r="B10" s="21">
        <v>1</v>
      </c>
      <c r="C10" s="25"/>
      <c r="D10" s="25"/>
      <c r="E10" s="24"/>
      <c r="F10" s="17">
        <f t="shared" ref="F10:F39" si="0">SUM(B10:E10)</f>
        <v>1</v>
      </c>
      <c r="G10" s="30">
        <v>1</v>
      </c>
      <c r="H10" s="25"/>
      <c r="I10" s="25"/>
      <c r="J10" s="25"/>
      <c r="K10" s="15">
        <f t="shared" ref="K10:K39" si="1">SUM(G10:J10)</f>
        <v>1</v>
      </c>
      <c r="L10" s="7">
        <f t="shared" ref="L10:L39" si="2">SUM(F10+K10)</f>
        <v>2</v>
      </c>
    </row>
    <row r="11" spans="1:12" ht="15.75" thickBot="1" x14ac:dyDescent="0.3">
      <c r="A11" s="8">
        <v>3</v>
      </c>
      <c r="B11" s="21">
        <v>5</v>
      </c>
      <c r="C11" s="25"/>
      <c r="D11" s="25"/>
      <c r="E11" s="24"/>
      <c r="F11" s="17">
        <f t="shared" si="0"/>
        <v>5</v>
      </c>
      <c r="G11" s="30"/>
      <c r="H11" s="25"/>
      <c r="I11" s="25"/>
      <c r="J11" s="25"/>
      <c r="K11" s="15">
        <f t="shared" si="1"/>
        <v>0</v>
      </c>
      <c r="L11" s="7">
        <f t="shared" si="2"/>
        <v>5</v>
      </c>
    </row>
    <row r="12" spans="1:12" ht="15.75" thickBot="1" x14ac:dyDescent="0.3">
      <c r="A12" s="8">
        <v>4</v>
      </c>
      <c r="B12" s="21">
        <v>1</v>
      </c>
      <c r="C12" s="25"/>
      <c r="D12" s="25"/>
      <c r="E12" s="24"/>
      <c r="F12" s="17">
        <f t="shared" si="0"/>
        <v>1</v>
      </c>
      <c r="G12" s="30">
        <v>2</v>
      </c>
      <c r="H12" s="25"/>
      <c r="I12" s="25"/>
      <c r="J12" s="25"/>
      <c r="K12" s="15">
        <f t="shared" si="1"/>
        <v>2</v>
      </c>
      <c r="L12" s="7">
        <f t="shared" si="2"/>
        <v>3</v>
      </c>
    </row>
    <row r="13" spans="1:12" ht="15.75" thickBot="1" x14ac:dyDescent="0.3">
      <c r="A13" s="8">
        <v>5</v>
      </c>
      <c r="B13" s="21"/>
      <c r="C13" s="25"/>
      <c r="D13" s="25"/>
      <c r="E13" s="24"/>
      <c r="F13" s="17">
        <f t="shared" si="0"/>
        <v>0</v>
      </c>
      <c r="G13" s="30">
        <v>2</v>
      </c>
      <c r="H13" s="25"/>
      <c r="I13" s="25"/>
      <c r="J13" s="25"/>
      <c r="K13" s="15">
        <f t="shared" si="1"/>
        <v>2</v>
      </c>
      <c r="L13" s="7">
        <f t="shared" si="2"/>
        <v>2</v>
      </c>
    </row>
    <row r="14" spans="1:12" ht="15.75" thickBot="1" x14ac:dyDescent="0.3">
      <c r="A14" s="8">
        <v>6</v>
      </c>
      <c r="B14" s="21"/>
      <c r="C14" s="25"/>
      <c r="D14" s="25"/>
      <c r="E14" s="24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4"/>
      <c r="F15" s="17">
        <f t="shared" si="0"/>
        <v>0</v>
      </c>
      <c r="G15" s="30"/>
      <c r="H15" s="25"/>
      <c r="I15" s="25"/>
      <c r="J15" s="30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4"/>
      <c r="F16" s="17">
        <f t="shared" si="0"/>
        <v>0</v>
      </c>
      <c r="G16" s="30"/>
      <c r="H16" s="25"/>
      <c r="I16" s="25"/>
      <c r="J16" s="30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25"/>
      <c r="J17" s="30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10</v>
      </c>
      <c r="C18" s="25"/>
      <c r="D18" s="25"/>
      <c r="E18" s="24"/>
      <c r="F18" s="17">
        <f t="shared" si="0"/>
        <v>10</v>
      </c>
      <c r="G18" s="30"/>
      <c r="H18" s="25"/>
      <c r="I18" s="25"/>
      <c r="J18" s="30"/>
      <c r="K18" s="15">
        <f t="shared" si="1"/>
        <v>0</v>
      </c>
      <c r="L18" s="7">
        <f t="shared" si="2"/>
        <v>10</v>
      </c>
    </row>
    <row r="19" spans="1:12" ht="15.75" thickBot="1" x14ac:dyDescent="0.3">
      <c r="A19" s="8">
        <v>11</v>
      </c>
      <c r="B19" s="21"/>
      <c r="C19" s="25"/>
      <c r="D19" s="25"/>
      <c r="E19" s="24"/>
      <c r="F19" s="17">
        <f t="shared" si="0"/>
        <v>0</v>
      </c>
      <c r="G19" s="30"/>
      <c r="H19" s="25"/>
      <c r="I19" s="25"/>
      <c r="J19" s="30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4"/>
      <c r="F20" s="17">
        <f t="shared" si="0"/>
        <v>0</v>
      </c>
      <c r="G20" s="30"/>
      <c r="H20" s="25"/>
      <c r="I20" s="25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4"/>
      <c r="F21" s="17">
        <f t="shared" si="0"/>
        <v>0</v>
      </c>
      <c r="G21" s="30"/>
      <c r="H21" s="25"/>
      <c r="I21" s="25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4"/>
      <c r="F22" s="17">
        <f t="shared" si="0"/>
        <v>0</v>
      </c>
      <c r="G22" s="30"/>
      <c r="H22" s="25"/>
      <c r="I22" s="25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5"/>
      <c r="D23" s="25"/>
      <c r="E23" s="24"/>
      <c r="F23" s="17">
        <f t="shared" si="0"/>
        <v>0</v>
      </c>
      <c r="G23" s="30"/>
      <c r="H23" s="25"/>
      <c r="I23" s="25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>
        <v>3</v>
      </c>
      <c r="C24" s="25"/>
      <c r="D24" s="25"/>
      <c r="E24" s="24"/>
      <c r="F24" s="17">
        <f t="shared" si="0"/>
        <v>3</v>
      </c>
      <c r="G24" s="30">
        <v>1</v>
      </c>
      <c r="H24" s="25"/>
      <c r="I24" s="25"/>
      <c r="J24" s="30"/>
      <c r="K24" s="15">
        <f t="shared" si="1"/>
        <v>1</v>
      </c>
      <c r="L24" s="7">
        <f t="shared" si="2"/>
        <v>4</v>
      </c>
    </row>
    <row r="25" spans="1:12" ht="15.75" thickBot="1" x14ac:dyDescent="0.3">
      <c r="A25" s="8">
        <v>17</v>
      </c>
      <c r="B25" s="21"/>
      <c r="C25" s="43"/>
      <c r="D25" s="25"/>
      <c r="E25" s="24"/>
      <c r="F25" s="17">
        <f t="shared" si="0"/>
        <v>0</v>
      </c>
      <c r="G25" s="30"/>
      <c r="H25" s="25"/>
      <c r="I25" s="25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4"/>
      <c r="F26" s="17">
        <f t="shared" si="0"/>
        <v>0</v>
      </c>
      <c r="G26" s="30"/>
      <c r="H26" s="25"/>
      <c r="I26" s="25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>
        <v>1</v>
      </c>
      <c r="C27" s="25"/>
      <c r="D27" s="25"/>
      <c r="E27" s="24"/>
      <c r="F27" s="17">
        <f t="shared" si="0"/>
        <v>1</v>
      </c>
      <c r="G27" s="30"/>
      <c r="H27" s="25"/>
      <c r="I27" s="25"/>
      <c r="J27" s="30"/>
      <c r="K27" s="15">
        <f t="shared" si="1"/>
        <v>0</v>
      </c>
      <c r="L27" s="7">
        <f t="shared" si="2"/>
        <v>1</v>
      </c>
    </row>
    <row r="28" spans="1:12" ht="15.75" thickBot="1" x14ac:dyDescent="0.3">
      <c r="A28" s="8">
        <v>20</v>
      </c>
      <c r="B28" s="21"/>
      <c r="C28" s="25"/>
      <c r="D28" s="25"/>
      <c r="E28" s="24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5"/>
      <c r="D29" s="25"/>
      <c r="E29" s="24"/>
      <c r="F29" s="17">
        <f t="shared" si="0"/>
        <v>0</v>
      </c>
      <c r="G29" s="30"/>
      <c r="H29" s="25"/>
      <c r="I29" s="25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5"/>
      <c r="D30" s="25"/>
      <c r="E30" s="24"/>
      <c r="F30" s="17">
        <f t="shared" si="0"/>
        <v>0</v>
      </c>
      <c r="G30" s="30"/>
      <c r="H30" s="25"/>
      <c r="I30" s="25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3</v>
      </c>
      <c r="C31" s="25"/>
      <c r="D31" s="25"/>
      <c r="E31" s="24"/>
      <c r="F31" s="17">
        <f t="shared" si="0"/>
        <v>3</v>
      </c>
      <c r="G31" s="30"/>
      <c r="H31" s="25"/>
      <c r="I31" s="30"/>
      <c r="J31" s="30"/>
      <c r="K31" s="15">
        <f t="shared" si="1"/>
        <v>0</v>
      </c>
      <c r="L31" s="7">
        <f t="shared" si="2"/>
        <v>3</v>
      </c>
    </row>
    <row r="32" spans="1:12" ht="15.75" thickBot="1" x14ac:dyDescent="0.3">
      <c r="A32" s="8">
        <v>24</v>
      </c>
      <c r="B32" s="21"/>
      <c r="C32" s="25"/>
      <c r="D32" s="25"/>
      <c r="E32" s="24"/>
      <c r="F32" s="17">
        <f t="shared" si="0"/>
        <v>0</v>
      </c>
      <c r="G32" s="30"/>
      <c r="H32" s="25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>
        <v>2</v>
      </c>
      <c r="C33" s="25"/>
      <c r="D33" s="25"/>
      <c r="E33" s="24"/>
      <c r="F33" s="17">
        <f t="shared" si="0"/>
        <v>2</v>
      </c>
      <c r="G33" s="30"/>
      <c r="H33" s="25"/>
      <c r="I33" s="30"/>
      <c r="J33" s="30"/>
      <c r="K33" s="15">
        <f t="shared" si="1"/>
        <v>0</v>
      </c>
      <c r="L33" s="7">
        <f t="shared" si="2"/>
        <v>2</v>
      </c>
    </row>
    <row r="34" spans="1:12" ht="15.75" thickBot="1" x14ac:dyDescent="0.3">
      <c r="A34" s="8">
        <v>26</v>
      </c>
      <c r="B34" s="21">
        <v>1</v>
      </c>
      <c r="C34" s="25"/>
      <c r="D34" s="25">
        <v>2</v>
      </c>
      <c r="E34" s="24"/>
      <c r="F34" s="17">
        <f t="shared" si="0"/>
        <v>3</v>
      </c>
      <c r="G34" s="30">
        <v>1</v>
      </c>
      <c r="H34" s="25"/>
      <c r="I34" s="25"/>
      <c r="J34" s="25"/>
      <c r="K34" s="15">
        <f t="shared" si="1"/>
        <v>1</v>
      </c>
      <c r="L34" s="7">
        <f t="shared" si="2"/>
        <v>4</v>
      </c>
    </row>
    <row r="35" spans="1:12" ht="15.75" thickBot="1" x14ac:dyDescent="0.3">
      <c r="A35" s="8">
        <v>27</v>
      </c>
      <c r="B35" s="21"/>
      <c r="C35" s="25"/>
      <c r="D35" s="25"/>
      <c r="E35" s="24"/>
      <c r="F35" s="17">
        <f t="shared" si="0"/>
        <v>0</v>
      </c>
      <c r="G35" s="40"/>
      <c r="H35" s="25"/>
      <c r="I35" s="25"/>
      <c r="J35" s="25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5"/>
      <c r="D36" s="25"/>
      <c r="E36" s="24"/>
      <c r="F36" s="17">
        <f t="shared" si="0"/>
        <v>0</v>
      </c>
      <c r="G36" s="30"/>
      <c r="H36" s="25"/>
      <c r="I36" s="25"/>
      <c r="J36" s="25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5"/>
      <c r="D37" s="25">
        <v>1</v>
      </c>
      <c r="E37" s="24"/>
      <c r="F37" s="17">
        <f t="shared" si="0"/>
        <v>1</v>
      </c>
      <c r="G37" s="30"/>
      <c r="H37" s="25"/>
      <c r="I37" s="25"/>
      <c r="J37" s="25"/>
      <c r="K37" s="15">
        <f t="shared" si="1"/>
        <v>0</v>
      </c>
      <c r="L37" s="7">
        <f t="shared" si="2"/>
        <v>1</v>
      </c>
    </row>
    <row r="38" spans="1:12" ht="15.75" thickBot="1" x14ac:dyDescent="0.3">
      <c r="A38" s="8">
        <v>30</v>
      </c>
      <c r="B38" s="21"/>
      <c r="C38" s="25"/>
      <c r="D38" s="25"/>
      <c r="E38" s="24"/>
      <c r="F38" s="17">
        <f t="shared" si="0"/>
        <v>0</v>
      </c>
      <c r="G38" s="30"/>
      <c r="H38" s="25"/>
      <c r="I38" s="25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>
        <v>3</v>
      </c>
      <c r="C39" s="44"/>
      <c r="D39" s="44"/>
      <c r="E39" s="50"/>
      <c r="F39" s="17">
        <f t="shared" si="0"/>
        <v>3</v>
      </c>
      <c r="G39" s="30">
        <v>1</v>
      </c>
      <c r="H39" s="25"/>
      <c r="I39" s="25"/>
      <c r="J39" s="25"/>
      <c r="K39" s="15">
        <f t="shared" si="1"/>
        <v>1</v>
      </c>
      <c r="L39" s="7">
        <f t="shared" si="2"/>
        <v>4</v>
      </c>
    </row>
    <row r="40" spans="1:12" ht="15.75" thickBot="1" x14ac:dyDescent="0.3">
      <c r="A40" s="10"/>
      <c r="B40" s="46">
        <f>SUM(B9:B39)</f>
        <v>31</v>
      </c>
      <c r="C40" s="46">
        <f t="shared" ref="C40:E40" si="3">SUM(C9:C39)</f>
        <v>0</v>
      </c>
      <c r="D40" s="46">
        <f t="shared" si="3"/>
        <v>3</v>
      </c>
      <c r="E40" s="46">
        <f t="shared" si="3"/>
        <v>0</v>
      </c>
      <c r="F40" s="45">
        <f>SUM(F9:F39)</f>
        <v>34</v>
      </c>
      <c r="G40" s="16">
        <f>SUM(G9:G39)</f>
        <v>9</v>
      </c>
      <c r="H40" s="16">
        <f t="shared" ref="H40:L40" si="4">SUM(H9:H39)</f>
        <v>0</v>
      </c>
      <c r="I40" s="16">
        <f t="shared" si="4"/>
        <v>1</v>
      </c>
      <c r="J40" s="16">
        <f t="shared" si="4"/>
        <v>0</v>
      </c>
      <c r="K40" s="16">
        <f t="shared" si="4"/>
        <v>10</v>
      </c>
      <c r="L40" s="16">
        <f t="shared" si="4"/>
        <v>44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4"/>
      <c r="B42" s="64"/>
      <c r="C42" s="64"/>
      <c r="D42" s="64"/>
      <c r="E42" s="64"/>
      <c r="F42" s="64"/>
      <c r="G42" s="65" t="s">
        <v>17</v>
      </c>
      <c r="H42" s="66"/>
      <c r="I42" s="66" t="s">
        <v>18</v>
      </c>
      <c r="J42" s="67"/>
      <c r="K42" s="11"/>
      <c r="L42" s="13"/>
    </row>
    <row r="43" spans="1:12" ht="15.75" thickBot="1" x14ac:dyDescent="0.3">
      <c r="A43" s="14"/>
      <c r="B43" s="51" t="s">
        <v>19</v>
      </c>
      <c r="C43" s="52"/>
      <c r="D43" s="52"/>
      <c r="E43" s="52"/>
      <c r="F43" s="52"/>
      <c r="G43" s="62">
        <v>214</v>
      </c>
      <c r="H43" s="68"/>
      <c r="I43" s="69"/>
      <c r="J43" s="70"/>
      <c r="K43" s="11"/>
      <c r="L43" s="13"/>
    </row>
    <row r="44" spans="1:12" ht="15.75" thickBot="1" x14ac:dyDescent="0.3">
      <c r="A44" s="14"/>
      <c r="B44" s="51" t="s">
        <v>20</v>
      </c>
      <c r="C44" s="52"/>
      <c r="D44" s="52"/>
      <c r="E44" s="52"/>
      <c r="F44" s="52"/>
      <c r="G44" s="53">
        <v>0</v>
      </c>
      <c r="H44" s="54"/>
      <c r="I44" s="53"/>
      <c r="J44" s="54"/>
      <c r="K44" s="11"/>
      <c r="L44" s="13"/>
    </row>
    <row r="45" spans="1:12" ht="15.75" thickBot="1" x14ac:dyDescent="0.3">
      <c r="A45" s="14"/>
      <c r="B45" s="59" t="s">
        <v>21</v>
      </c>
      <c r="C45" s="59"/>
      <c r="D45" s="59"/>
      <c r="E45" s="59"/>
      <c r="F45" s="51"/>
      <c r="G45" s="60">
        <v>0</v>
      </c>
      <c r="H45" s="61"/>
      <c r="I45" s="62"/>
      <c r="J45" s="63"/>
      <c r="K45" s="11"/>
      <c r="L45" s="13"/>
    </row>
    <row r="46" spans="1:12" ht="15.75" thickBot="1" x14ac:dyDescent="0.3">
      <c r="A46" s="14"/>
      <c r="B46" s="51" t="s">
        <v>22</v>
      </c>
      <c r="C46" s="52"/>
      <c r="D46" s="52"/>
      <c r="E46" s="52"/>
      <c r="F46" s="52"/>
      <c r="G46" s="58">
        <f>L40+G45</f>
        <v>44</v>
      </c>
      <c r="H46" s="54"/>
      <c r="I46" s="53"/>
      <c r="J46" s="54"/>
      <c r="K46" s="11"/>
      <c r="L46" s="13"/>
    </row>
    <row r="47" spans="1:12" ht="15.75" thickBot="1" x14ac:dyDescent="0.3">
      <c r="A47" s="4"/>
      <c r="B47" s="51" t="s">
        <v>23</v>
      </c>
      <c r="C47" s="52"/>
      <c r="D47" s="52"/>
      <c r="E47" s="52"/>
      <c r="F47" s="52"/>
      <c r="G47" s="58">
        <f>G43+G44-G46</f>
        <v>170</v>
      </c>
      <c r="H47" s="54"/>
      <c r="I47" s="53"/>
      <c r="J47" s="54"/>
      <c r="K47" s="11"/>
      <c r="L47" s="3"/>
    </row>
    <row r="48" spans="1:12" ht="15.75" thickBot="1" x14ac:dyDescent="0.3">
      <c r="A48" s="4"/>
      <c r="B48" s="51" t="s">
        <v>24</v>
      </c>
      <c r="C48" s="52"/>
      <c r="D48" s="52"/>
      <c r="E48" s="52"/>
      <c r="F48" s="52"/>
      <c r="G48" s="53">
        <v>169</v>
      </c>
      <c r="H48" s="54"/>
      <c r="I48" s="53"/>
      <c r="J48" s="54"/>
      <c r="K48" s="11"/>
      <c r="L48" s="3"/>
    </row>
    <row r="49" spans="1:12" ht="15.75" thickBot="1" x14ac:dyDescent="0.3">
      <c r="A49" s="4"/>
      <c r="B49" s="51" t="s">
        <v>25</v>
      </c>
      <c r="C49" s="52"/>
      <c r="D49" s="52"/>
      <c r="E49" s="52"/>
      <c r="F49" s="52"/>
      <c r="G49" s="55">
        <f>G47-G48</f>
        <v>1</v>
      </c>
      <c r="H49" s="56"/>
      <c r="I49" s="57"/>
      <c r="J49" s="56"/>
      <c r="K49" s="11"/>
      <c r="L49" s="3"/>
    </row>
    <row r="50" spans="1:12" x14ac:dyDescent="0.25">
      <c r="A50" s="5" t="s">
        <v>26</v>
      </c>
      <c r="B50" s="32"/>
      <c r="C50" s="38"/>
      <c r="D50" s="38"/>
      <c r="E50" s="38"/>
      <c r="F50" s="32"/>
      <c r="G50" s="42"/>
      <c r="H50" s="38"/>
      <c r="I50" s="39" t="s">
        <v>27</v>
      </c>
      <c r="J50" s="38"/>
      <c r="K50" s="32"/>
      <c r="L50" s="1"/>
    </row>
    <row r="51" spans="1:12" ht="3" customHeight="1" x14ac:dyDescent="0.25"/>
    <row r="53" spans="1:12" x14ac:dyDescent="0.25">
      <c r="A53" t="s">
        <v>38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34D2-8B86-4C57-A168-32452A755D66}">
  <dimension ref="A1:L56"/>
  <sheetViews>
    <sheetView topLeftCell="A24" workbookViewId="0">
      <selection activeCell="A56" sqref="A5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2" t="s">
        <v>0</v>
      </c>
      <c r="B1" s="82"/>
      <c r="C1" s="82"/>
      <c r="D1" s="82"/>
      <c r="E1" s="31"/>
      <c r="F1" s="32"/>
      <c r="G1" s="83" t="s">
        <v>1</v>
      </c>
      <c r="H1" s="83"/>
      <c r="I1" s="83"/>
      <c r="J1" s="83"/>
      <c r="K1" s="83"/>
      <c r="L1" s="83"/>
    </row>
    <row r="2" spans="1:12" ht="15.75" x14ac:dyDescent="0.25">
      <c r="A2" s="83" t="s">
        <v>2</v>
      </c>
      <c r="B2" s="83"/>
      <c r="C2" s="83"/>
      <c r="D2" s="83"/>
      <c r="E2" s="31"/>
      <c r="F2" s="32"/>
      <c r="G2" s="84" t="s">
        <v>3</v>
      </c>
      <c r="H2" s="84"/>
      <c r="I2" s="84"/>
      <c r="J2" s="84"/>
      <c r="K2" s="84"/>
      <c r="L2" s="84"/>
    </row>
    <row r="3" spans="1:12" x14ac:dyDescent="0.25">
      <c r="A3" s="84" t="s">
        <v>4</v>
      </c>
      <c r="B3" s="84"/>
      <c r="C3" s="84"/>
      <c r="D3" s="84"/>
      <c r="E3" s="31"/>
      <c r="F3" s="32"/>
      <c r="G3" s="32"/>
      <c r="H3" s="31"/>
      <c r="I3" s="31"/>
      <c r="J3" s="31"/>
      <c r="K3" s="32"/>
      <c r="L3" s="1"/>
    </row>
    <row r="4" spans="1:12" ht="18" x14ac:dyDescent="0.25">
      <c r="A4" s="82" t="s">
        <v>5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2" x14ac:dyDescent="0.25">
      <c r="A5" s="71" t="s">
        <v>39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3"/>
      <c r="I6" s="73"/>
      <c r="J6" s="12"/>
      <c r="K6" s="33"/>
      <c r="L6" s="3"/>
    </row>
    <row r="7" spans="1:12" x14ac:dyDescent="0.25">
      <c r="A7" s="74" t="s">
        <v>7</v>
      </c>
      <c r="B7" s="76" t="s">
        <v>8</v>
      </c>
      <c r="C7" s="77"/>
      <c r="D7" s="77"/>
      <c r="E7" s="77"/>
      <c r="F7" s="78"/>
      <c r="G7" s="79" t="s">
        <v>9</v>
      </c>
      <c r="H7" s="77"/>
      <c r="I7" s="77"/>
      <c r="J7" s="77"/>
      <c r="K7" s="78"/>
      <c r="L7" s="80" t="s">
        <v>10</v>
      </c>
    </row>
    <row r="8" spans="1:12" ht="15.75" thickBot="1" x14ac:dyDescent="0.3">
      <c r="A8" s="75"/>
      <c r="B8" s="34" t="s">
        <v>11</v>
      </c>
      <c r="C8" s="35" t="s">
        <v>12</v>
      </c>
      <c r="D8" s="35" t="s">
        <v>13</v>
      </c>
      <c r="E8" s="35" t="s">
        <v>14</v>
      </c>
      <c r="F8" s="36" t="s">
        <v>15</v>
      </c>
      <c r="G8" s="37" t="s">
        <v>11</v>
      </c>
      <c r="H8" s="35" t="s">
        <v>12</v>
      </c>
      <c r="I8" s="35" t="s">
        <v>13</v>
      </c>
      <c r="J8" s="35" t="s">
        <v>14</v>
      </c>
      <c r="K8" s="36" t="s">
        <v>16</v>
      </c>
      <c r="L8" s="81"/>
    </row>
    <row r="9" spans="1:12" ht="15.75" thickBot="1" x14ac:dyDescent="0.3">
      <c r="A9" s="6">
        <v>1</v>
      </c>
      <c r="B9" s="18">
        <v>3</v>
      </c>
      <c r="C9" s="48"/>
      <c r="D9" s="48"/>
      <c r="E9" s="49"/>
      <c r="F9" s="17">
        <f>SUM(B9:E9)</f>
        <v>3</v>
      </c>
      <c r="G9" s="41"/>
      <c r="H9" s="47"/>
      <c r="I9" s="47"/>
      <c r="J9" s="47"/>
      <c r="K9" s="15">
        <f>SUM(G9:J9)</f>
        <v>0</v>
      </c>
      <c r="L9" s="7">
        <f>SUM(F9+K9)</f>
        <v>3</v>
      </c>
    </row>
    <row r="10" spans="1:12" ht="15.75" thickBot="1" x14ac:dyDescent="0.3">
      <c r="A10" s="8">
        <v>2</v>
      </c>
      <c r="B10" s="21"/>
      <c r="C10" s="25"/>
      <c r="D10" s="25"/>
      <c r="E10" s="24"/>
      <c r="F10" s="17">
        <f t="shared" ref="F10:F39" si="0">SUM(B10:E10)</f>
        <v>0</v>
      </c>
      <c r="G10" s="30"/>
      <c r="H10" s="25"/>
      <c r="I10" s="25"/>
      <c r="J10" s="25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5"/>
      <c r="D11" s="25"/>
      <c r="E11" s="24"/>
      <c r="F11" s="17">
        <f t="shared" si="0"/>
        <v>0</v>
      </c>
      <c r="G11" s="30"/>
      <c r="H11" s="25"/>
      <c r="I11" s="25"/>
      <c r="J11" s="25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4"/>
      <c r="F12" s="17">
        <f t="shared" si="0"/>
        <v>0</v>
      </c>
      <c r="G12" s="30"/>
      <c r="H12" s="25"/>
      <c r="I12" s="25"/>
      <c r="J12" s="25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>
        <v>2</v>
      </c>
      <c r="C13" s="25"/>
      <c r="D13" s="25"/>
      <c r="E13" s="24"/>
      <c r="F13" s="17">
        <f t="shared" si="0"/>
        <v>2</v>
      </c>
      <c r="G13" s="30">
        <v>3</v>
      </c>
      <c r="H13" s="25"/>
      <c r="I13" s="25">
        <v>1</v>
      </c>
      <c r="J13" s="25"/>
      <c r="K13" s="15">
        <f t="shared" si="1"/>
        <v>4</v>
      </c>
      <c r="L13" s="7">
        <f t="shared" si="2"/>
        <v>6</v>
      </c>
    </row>
    <row r="14" spans="1:12" ht="15.75" thickBot="1" x14ac:dyDescent="0.3">
      <c r="A14" s="8">
        <v>6</v>
      </c>
      <c r="B14" s="21"/>
      <c r="C14" s="25"/>
      <c r="D14" s="25"/>
      <c r="E14" s="24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>
        <v>3</v>
      </c>
      <c r="C15" s="25"/>
      <c r="D15" s="25"/>
      <c r="E15" s="24"/>
      <c r="F15" s="17">
        <f t="shared" si="0"/>
        <v>3</v>
      </c>
      <c r="G15" s="30">
        <v>7</v>
      </c>
      <c r="H15" s="25"/>
      <c r="I15" s="25"/>
      <c r="J15" s="30"/>
      <c r="K15" s="15">
        <f t="shared" si="1"/>
        <v>7</v>
      </c>
      <c r="L15" s="7">
        <f t="shared" si="2"/>
        <v>10</v>
      </c>
    </row>
    <row r="16" spans="1:12" ht="15.75" thickBot="1" x14ac:dyDescent="0.3">
      <c r="A16" s="8">
        <v>8</v>
      </c>
      <c r="B16" s="21"/>
      <c r="C16" s="25"/>
      <c r="D16" s="25"/>
      <c r="E16" s="24"/>
      <c r="F16" s="17">
        <f t="shared" si="0"/>
        <v>0</v>
      </c>
      <c r="G16" s="30">
        <v>12</v>
      </c>
      <c r="H16" s="25"/>
      <c r="I16" s="25"/>
      <c r="J16" s="30"/>
      <c r="K16" s="15">
        <f t="shared" si="1"/>
        <v>12</v>
      </c>
      <c r="L16" s="7">
        <f t="shared" si="2"/>
        <v>12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25"/>
      <c r="J17" s="30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4"/>
      <c r="F18" s="17">
        <f t="shared" si="0"/>
        <v>0</v>
      </c>
      <c r="G18" s="30"/>
      <c r="H18" s="25"/>
      <c r="I18" s="25"/>
      <c r="J18" s="30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4"/>
      <c r="F19" s="17">
        <f t="shared" si="0"/>
        <v>0</v>
      </c>
      <c r="G19" s="30"/>
      <c r="H19" s="25"/>
      <c r="I19" s="25"/>
      <c r="J19" s="30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>
        <v>2</v>
      </c>
      <c r="C20" s="25"/>
      <c r="D20" s="25">
        <v>2</v>
      </c>
      <c r="E20" s="24"/>
      <c r="F20" s="17">
        <f t="shared" si="0"/>
        <v>4</v>
      </c>
      <c r="G20" s="30"/>
      <c r="H20" s="25"/>
      <c r="I20" s="25"/>
      <c r="J20" s="30"/>
      <c r="K20" s="15">
        <f t="shared" si="1"/>
        <v>0</v>
      </c>
      <c r="L20" s="7">
        <f t="shared" si="2"/>
        <v>4</v>
      </c>
    </row>
    <row r="21" spans="1:12" ht="15.75" thickBot="1" x14ac:dyDescent="0.3">
      <c r="A21" s="8">
        <v>13</v>
      </c>
      <c r="B21" s="21"/>
      <c r="C21" s="25"/>
      <c r="D21" s="25"/>
      <c r="E21" s="24"/>
      <c r="F21" s="17">
        <f t="shared" si="0"/>
        <v>0</v>
      </c>
      <c r="G21" s="30"/>
      <c r="H21" s="25"/>
      <c r="I21" s="25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>
        <v>1</v>
      </c>
      <c r="C22" s="25"/>
      <c r="D22" s="25"/>
      <c r="E22" s="24"/>
      <c r="F22" s="17">
        <f t="shared" si="0"/>
        <v>1</v>
      </c>
      <c r="G22" s="30"/>
      <c r="H22" s="25"/>
      <c r="I22" s="25"/>
      <c r="J22" s="30"/>
      <c r="K22" s="15">
        <f t="shared" si="1"/>
        <v>0</v>
      </c>
      <c r="L22" s="7">
        <f t="shared" si="2"/>
        <v>1</v>
      </c>
    </row>
    <row r="23" spans="1:12" ht="15.75" thickBot="1" x14ac:dyDescent="0.3">
      <c r="A23" s="8">
        <v>15</v>
      </c>
      <c r="B23" s="21">
        <v>1</v>
      </c>
      <c r="C23" s="25"/>
      <c r="D23" s="25"/>
      <c r="E23" s="24"/>
      <c r="F23" s="17">
        <f t="shared" si="0"/>
        <v>1</v>
      </c>
      <c r="G23" s="30">
        <v>1</v>
      </c>
      <c r="H23" s="25">
        <v>1</v>
      </c>
      <c r="I23" s="25"/>
      <c r="J23" s="30"/>
      <c r="K23" s="15">
        <f t="shared" si="1"/>
        <v>2</v>
      </c>
      <c r="L23" s="7">
        <f t="shared" si="2"/>
        <v>3</v>
      </c>
    </row>
    <row r="24" spans="1:12" ht="15.75" thickBot="1" x14ac:dyDescent="0.3">
      <c r="A24" s="8">
        <v>16</v>
      </c>
      <c r="B24" s="21">
        <v>2</v>
      </c>
      <c r="C24" s="25"/>
      <c r="D24" s="25"/>
      <c r="E24" s="24"/>
      <c r="F24" s="17">
        <f t="shared" si="0"/>
        <v>2</v>
      </c>
      <c r="G24" s="30"/>
      <c r="H24" s="25"/>
      <c r="I24" s="25"/>
      <c r="J24" s="30"/>
      <c r="K24" s="15">
        <f t="shared" si="1"/>
        <v>0</v>
      </c>
      <c r="L24" s="7">
        <f t="shared" si="2"/>
        <v>2</v>
      </c>
    </row>
    <row r="25" spans="1:12" ht="15.75" thickBot="1" x14ac:dyDescent="0.3">
      <c r="A25" s="8">
        <v>17</v>
      </c>
      <c r="B25" s="21"/>
      <c r="C25" s="43"/>
      <c r="D25" s="25"/>
      <c r="E25" s="24"/>
      <c r="F25" s="17">
        <f t="shared" si="0"/>
        <v>0</v>
      </c>
      <c r="G25" s="30"/>
      <c r="H25" s="25"/>
      <c r="I25" s="25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4"/>
      <c r="F26" s="17">
        <f t="shared" si="0"/>
        <v>0</v>
      </c>
      <c r="G26" s="30"/>
      <c r="H26" s="25"/>
      <c r="I26" s="25">
        <v>1</v>
      </c>
      <c r="J26" s="30"/>
      <c r="K26" s="15">
        <f t="shared" si="1"/>
        <v>1</v>
      </c>
      <c r="L26" s="7">
        <f t="shared" si="2"/>
        <v>1</v>
      </c>
    </row>
    <row r="27" spans="1:12" ht="15.75" thickBot="1" x14ac:dyDescent="0.3">
      <c r="A27" s="8">
        <v>19</v>
      </c>
      <c r="B27" s="21"/>
      <c r="C27" s="25"/>
      <c r="D27" s="25"/>
      <c r="E27" s="24"/>
      <c r="F27" s="17">
        <f t="shared" si="0"/>
        <v>0</v>
      </c>
      <c r="G27" s="30"/>
      <c r="H27" s="25"/>
      <c r="I27" s="25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5"/>
      <c r="D28" s="25"/>
      <c r="E28" s="24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5"/>
      <c r="D29" s="25"/>
      <c r="E29" s="24"/>
      <c r="F29" s="17">
        <f t="shared" si="0"/>
        <v>0</v>
      </c>
      <c r="G29" s="30">
        <v>9</v>
      </c>
      <c r="H29" s="25"/>
      <c r="I29" s="25"/>
      <c r="J29" s="30"/>
      <c r="K29" s="15">
        <f t="shared" si="1"/>
        <v>9</v>
      </c>
      <c r="L29" s="7">
        <f t="shared" si="2"/>
        <v>9</v>
      </c>
    </row>
    <row r="30" spans="1:12" ht="15.75" thickBot="1" x14ac:dyDescent="0.3">
      <c r="A30" s="8">
        <v>22</v>
      </c>
      <c r="B30" s="21">
        <v>4</v>
      </c>
      <c r="C30" s="25"/>
      <c r="D30" s="25"/>
      <c r="E30" s="24"/>
      <c r="F30" s="17">
        <f t="shared" si="0"/>
        <v>4</v>
      </c>
      <c r="G30" s="30"/>
      <c r="H30" s="25"/>
      <c r="I30" s="25"/>
      <c r="J30" s="30"/>
      <c r="K30" s="15">
        <f t="shared" si="1"/>
        <v>0</v>
      </c>
      <c r="L30" s="7">
        <f t="shared" si="2"/>
        <v>4</v>
      </c>
    </row>
    <row r="31" spans="1:12" ht="15.75" thickBot="1" x14ac:dyDescent="0.3">
      <c r="A31" s="8">
        <v>23</v>
      </c>
      <c r="B31" s="21">
        <v>1</v>
      </c>
      <c r="C31" s="25"/>
      <c r="D31" s="25"/>
      <c r="E31" s="24"/>
      <c r="F31" s="17">
        <f t="shared" si="0"/>
        <v>1</v>
      </c>
      <c r="G31" s="30"/>
      <c r="H31" s="25"/>
      <c r="I31" s="30"/>
      <c r="J31" s="30"/>
      <c r="K31" s="15">
        <f t="shared" si="1"/>
        <v>0</v>
      </c>
      <c r="L31" s="7">
        <f t="shared" si="2"/>
        <v>1</v>
      </c>
    </row>
    <row r="32" spans="1:12" ht="15.75" thickBot="1" x14ac:dyDescent="0.3">
      <c r="A32" s="8">
        <v>24</v>
      </c>
      <c r="B32" s="21"/>
      <c r="C32" s="25"/>
      <c r="D32" s="25"/>
      <c r="E32" s="24"/>
      <c r="F32" s="17">
        <f t="shared" si="0"/>
        <v>0</v>
      </c>
      <c r="G32" s="30"/>
      <c r="H32" s="25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5"/>
      <c r="D33" s="25"/>
      <c r="E33" s="24"/>
      <c r="F33" s="17">
        <f t="shared" si="0"/>
        <v>0</v>
      </c>
      <c r="G33" s="30">
        <v>10</v>
      </c>
      <c r="H33" s="25"/>
      <c r="I33" s="30"/>
      <c r="J33" s="30"/>
      <c r="K33" s="15">
        <f t="shared" si="1"/>
        <v>10</v>
      </c>
      <c r="L33" s="7">
        <f t="shared" si="2"/>
        <v>10</v>
      </c>
    </row>
    <row r="34" spans="1:12" ht="15.75" thickBot="1" x14ac:dyDescent="0.3">
      <c r="A34" s="8">
        <v>26</v>
      </c>
      <c r="B34" s="21">
        <v>4</v>
      </c>
      <c r="C34" s="25"/>
      <c r="D34" s="25"/>
      <c r="E34" s="24"/>
      <c r="F34" s="17">
        <f t="shared" si="0"/>
        <v>4</v>
      </c>
      <c r="G34" s="30"/>
      <c r="H34" s="25"/>
      <c r="I34" s="25"/>
      <c r="J34" s="25"/>
      <c r="K34" s="15">
        <f t="shared" si="1"/>
        <v>0</v>
      </c>
      <c r="L34" s="7">
        <f t="shared" si="2"/>
        <v>4</v>
      </c>
    </row>
    <row r="35" spans="1:12" ht="15.75" thickBot="1" x14ac:dyDescent="0.3">
      <c r="A35" s="8">
        <v>27</v>
      </c>
      <c r="B35" s="21">
        <v>1</v>
      </c>
      <c r="C35" s="25"/>
      <c r="D35" s="25"/>
      <c r="E35" s="24"/>
      <c r="F35" s="17">
        <f t="shared" si="0"/>
        <v>1</v>
      </c>
      <c r="G35" s="40"/>
      <c r="H35" s="25">
        <v>1</v>
      </c>
      <c r="I35" s="25"/>
      <c r="J35" s="25"/>
      <c r="K35" s="15">
        <f t="shared" si="1"/>
        <v>1</v>
      </c>
      <c r="L35" s="7">
        <f t="shared" si="2"/>
        <v>2</v>
      </c>
    </row>
    <row r="36" spans="1:12" ht="15.75" thickBot="1" x14ac:dyDescent="0.3">
      <c r="A36" s="8">
        <v>28</v>
      </c>
      <c r="B36" s="21">
        <v>3</v>
      </c>
      <c r="C36" s="25"/>
      <c r="D36" s="25"/>
      <c r="E36" s="24"/>
      <c r="F36" s="17">
        <f t="shared" si="0"/>
        <v>3</v>
      </c>
      <c r="G36" s="30"/>
      <c r="H36" s="25"/>
      <c r="I36" s="25"/>
      <c r="J36" s="25"/>
      <c r="K36" s="15">
        <f t="shared" si="1"/>
        <v>0</v>
      </c>
      <c r="L36" s="7">
        <f t="shared" si="2"/>
        <v>3</v>
      </c>
    </row>
    <row r="37" spans="1:12" ht="15.75" thickBot="1" x14ac:dyDescent="0.3">
      <c r="A37" s="8">
        <v>29</v>
      </c>
      <c r="B37" s="21"/>
      <c r="C37" s="25"/>
      <c r="D37" s="25"/>
      <c r="E37" s="24"/>
      <c r="F37" s="17">
        <f t="shared" si="0"/>
        <v>0</v>
      </c>
      <c r="G37" s="30">
        <v>3</v>
      </c>
      <c r="H37" s="25"/>
      <c r="I37" s="25"/>
      <c r="J37" s="25"/>
      <c r="K37" s="15">
        <f t="shared" si="1"/>
        <v>3</v>
      </c>
      <c r="L37" s="7">
        <f t="shared" si="2"/>
        <v>3</v>
      </c>
    </row>
    <row r="38" spans="1:12" ht="15.75" thickBot="1" x14ac:dyDescent="0.3">
      <c r="A38" s="8">
        <v>30</v>
      </c>
      <c r="B38" s="21">
        <v>2</v>
      </c>
      <c r="C38" s="25"/>
      <c r="D38" s="25"/>
      <c r="E38" s="24"/>
      <c r="F38" s="17">
        <f t="shared" si="0"/>
        <v>2</v>
      </c>
      <c r="G38" s="30"/>
      <c r="H38" s="25"/>
      <c r="I38" s="25"/>
      <c r="J38" s="25"/>
      <c r="K38" s="15">
        <f t="shared" si="1"/>
        <v>0</v>
      </c>
      <c r="L38" s="7">
        <f t="shared" si="2"/>
        <v>2</v>
      </c>
    </row>
    <row r="39" spans="1:12" ht="15.75" thickBot="1" x14ac:dyDescent="0.3">
      <c r="A39" s="9">
        <v>31</v>
      </c>
      <c r="B39" s="26"/>
      <c r="C39" s="44"/>
      <c r="D39" s="44"/>
      <c r="E39" s="50"/>
      <c r="F39" s="17">
        <f t="shared" si="0"/>
        <v>0</v>
      </c>
      <c r="G39" s="30"/>
      <c r="H39" s="25"/>
      <c r="I39" s="25"/>
      <c r="J39" s="25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6">
        <f>SUM(B9:B39)</f>
        <v>29</v>
      </c>
      <c r="C40" s="46">
        <f t="shared" ref="C40:E40" si="3">SUM(C9:C39)</f>
        <v>0</v>
      </c>
      <c r="D40" s="46">
        <f t="shared" si="3"/>
        <v>2</v>
      </c>
      <c r="E40" s="46">
        <f t="shared" si="3"/>
        <v>0</v>
      </c>
      <c r="F40" s="45">
        <f>SUM(F9:F39)</f>
        <v>31</v>
      </c>
      <c r="G40" s="16">
        <f>SUM(G9:G39)</f>
        <v>45</v>
      </c>
      <c r="H40" s="16">
        <f t="shared" ref="H40:L40" si="4">SUM(H9:H39)</f>
        <v>2</v>
      </c>
      <c r="I40" s="16">
        <f t="shared" si="4"/>
        <v>2</v>
      </c>
      <c r="J40" s="16">
        <f t="shared" si="4"/>
        <v>0</v>
      </c>
      <c r="K40" s="16">
        <f t="shared" si="4"/>
        <v>49</v>
      </c>
      <c r="L40" s="16">
        <f t="shared" si="4"/>
        <v>80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4"/>
      <c r="B42" s="64"/>
      <c r="C42" s="64"/>
      <c r="D42" s="64"/>
      <c r="E42" s="64"/>
      <c r="F42" s="64"/>
      <c r="G42" s="65" t="s">
        <v>17</v>
      </c>
      <c r="H42" s="66"/>
      <c r="I42" s="66" t="s">
        <v>18</v>
      </c>
      <c r="J42" s="67"/>
      <c r="K42" s="11"/>
      <c r="L42" s="13"/>
    </row>
    <row r="43" spans="1:12" ht="15.75" thickBot="1" x14ac:dyDescent="0.3">
      <c r="A43" s="14"/>
      <c r="B43" s="51" t="s">
        <v>19</v>
      </c>
      <c r="C43" s="52"/>
      <c r="D43" s="52"/>
      <c r="E43" s="52"/>
      <c r="F43" s="52"/>
      <c r="G43" s="62">
        <v>169</v>
      </c>
      <c r="H43" s="68"/>
      <c r="I43" s="69"/>
      <c r="J43" s="70"/>
      <c r="K43" s="11"/>
      <c r="L43" s="13"/>
    </row>
    <row r="44" spans="1:12" ht="15.75" thickBot="1" x14ac:dyDescent="0.3">
      <c r="A44" s="14"/>
      <c r="B44" s="51" t="s">
        <v>20</v>
      </c>
      <c r="C44" s="52"/>
      <c r="D44" s="52"/>
      <c r="E44" s="52"/>
      <c r="F44" s="52"/>
      <c r="G44" s="53">
        <v>1</v>
      </c>
      <c r="H44" s="54"/>
      <c r="I44" s="53"/>
      <c r="J44" s="54"/>
      <c r="K44" s="11"/>
      <c r="L44" s="13"/>
    </row>
    <row r="45" spans="1:12" ht="15.75" thickBot="1" x14ac:dyDescent="0.3">
      <c r="A45" s="14"/>
      <c r="B45" s="59" t="s">
        <v>21</v>
      </c>
      <c r="C45" s="59"/>
      <c r="D45" s="59"/>
      <c r="E45" s="59"/>
      <c r="F45" s="51"/>
      <c r="G45" s="60">
        <v>0</v>
      </c>
      <c r="H45" s="61"/>
      <c r="I45" s="62"/>
      <c r="J45" s="63"/>
      <c r="K45" s="11"/>
      <c r="L45" s="13"/>
    </row>
    <row r="46" spans="1:12" ht="15.75" thickBot="1" x14ac:dyDescent="0.3">
      <c r="A46" s="14"/>
      <c r="B46" s="51" t="s">
        <v>22</v>
      </c>
      <c r="C46" s="52"/>
      <c r="D46" s="52"/>
      <c r="E46" s="52"/>
      <c r="F46" s="52"/>
      <c r="G46" s="58">
        <f>L40+G45</f>
        <v>80</v>
      </c>
      <c r="H46" s="54"/>
      <c r="I46" s="53"/>
      <c r="J46" s="54"/>
      <c r="K46" s="11"/>
      <c r="L46" s="13"/>
    </row>
    <row r="47" spans="1:12" ht="15.75" thickBot="1" x14ac:dyDescent="0.3">
      <c r="A47" s="4"/>
      <c r="B47" s="51" t="s">
        <v>23</v>
      </c>
      <c r="C47" s="52"/>
      <c r="D47" s="52"/>
      <c r="E47" s="52"/>
      <c r="F47" s="52"/>
      <c r="G47" s="58">
        <f>G43+G44-G46</f>
        <v>90</v>
      </c>
      <c r="H47" s="54"/>
      <c r="I47" s="53"/>
      <c r="J47" s="54"/>
      <c r="K47" s="11"/>
      <c r="L47" s="3"/>
    </row>
    <row r="48" spans="1:12" ht="15.75" thickBot="1" x14ac:dyDescent="0.3">
      <c r="A48" s="4"/>
      <c r="B48" s="51" t="s">
        <v>24</v>
      </c>
      <c r="C48" s="52"/>
      <c r="D48" s="52"/>
      <c r="E48" s="52"/>
      <c r="F48" s="52"/>
      <c r="G48" s="53">
        <v>78</v>
      </c>
      <c r="H48" s="54"/>
      <c r="I48" s="53"/>
      <c r="J48" s="54"/>
      <c r="K48" s="11"/>
      <c r="L48" s="3"/>
    </row>
    <row r="49" spans="1:12" ht="15.75" thickBot="1" x14ac:dyDescent="0.3">
      <c r="A49" s="4"/>
      <c r="B49" s="51" t="s">
        <v>25</v>
      </c>
      <c r="C49" s="52"/>
      <c r="D49" s="52"/>
      <c r="E49" s="52"/>
      <c r="F49" s="52"/>
      <c r="G49" s="55">
        <f>G47-G48</f>
        <v>12</v>
      </c>
      <c r="H49" s="56"/>
      <c r="I49" s="57"/>
      <c r="J49" s="56"/>
      <c r="K49" s="11"/>
      <c r="L49" s="3"/>
    </row>
    <row r="50" spans="1:12" x14ac:dyDescent="0.25">
      <c r="A50" s="5" t="s">
        <v>26</v>
      </c>
      <c r="B50" s="32"/>
      <c r="C50" s="38"/>
      <c r="D50" s="38"/>
      <c r="E50" s="38"/>
      <c r="F50" s="32"/>
      <c r="G50" s="42"/>
      <c r="H50" s="38"/>
      <c r="I50" s="39" t="s">
        <v>27</v>
      </c>
      <c r="J50" s="38"/>
      <c r="K50" s="32"/>
      <c r="L50" s="1"/>
    </row>
    <row r="51" spans="1:12" ht="3" customHeight="1" x14ac:dyDescent="0.25"/>
    <row r="53" spans="1:12" x14ac:dyDescent="0.25">
      <c r="A53" t="s">
        <v>35</v>
      </c>
    </row>
    <row r="54" spans="1:12" x14ac:dyDescent="0.25">
      <c r="A54" t="s">
        <v>40</v>
      </c>
    </row>
    <row r="55" spans="1:12" x14ac:dyDescent="0.25">
      <c r="A55" t="s">
        <v>41</v>
      </c>
    </row>
    <row r="56" spans="1:12" x14ac:dyDescent="0.25">
      <c r="A56" t="s">
        <v>42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50D4-1E58-46AE-A24B-2DF70BC2C7B6}">
  <dimension ref="A1:L57"/>
  <sheetViews>
    <sheetView topLeftCell="A23" workbookViewId="0">
      <selection activeCell="A56" sqref="A5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2" t="s">
        <v>0</v>
      </c>
      <c r="B1" s="82"/>
      <c r="C1" s="82"/>
      <c r="D1" s="82"/>
      <c r="E1" s="31"/>
      <c r="F1" s="32"/>
      <c r="G1" s="83" t="s">
        <v>1</v>
      </c>
      <c r="H1" s="83"/>
      <c r="I1" s="83"/>
      <c r="J1" s="83"/>
      <c r="K1" s="83"/>
      <c r="L1" s="83"/>
    </row>
    <row r="2" spans="1:12" ht="15.75" x14ac:dyDescent="0.25">
      <c r="A2" s="83" t="s">
        <v>2</v>
      </c>
      <c r="B2" s="83"/>
      <c r="C2" s="83"/>
      <c r="D2" s="83"/>
      <c r="E2" s="31"/>
      <c r="F2" s="32"/>
      <c r="G2" s="84" t="s">
        <v>3</v>
      </c>
      <c r="H2" s="84"/>
      <c r="I2" s="84"/>
      <c r="J2" s="84"/>
      <c r="K2" s="84"/>
      <c r="L2" s="84"/>
    </row>
    <row r="3" spans="1:12" x14ac:dyDescent="0.25">
      <c r="A3" s="84" t="s">
        <v>4</v>
      </c>
      <c r="B3" s="84"/>
      <c r="C3" s="84"/>
      <c r="D3" s="84"/>
      <c r="E3" s="31"/>
      <c r="F3" s="32"/>
      <c r="G3" s="32"/>
      <c r="H3" s="31"/>
      <c r="I3" s="31"/>
      <c r="J3" s="31"/>
      <c r="K3" s="32"/>
      <c r="L3" s="1"/>
    </row>
    <row r="4" spans="1:12" ht="18" x14ac:dyDescent="0.25">
      <c r="A4" s="82" t="s">
        <v>5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2" x14ac:dyDescent="0.25">
      <c r="A5" s="71" t="s">
        <v>43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3"/>
      <c r="I6" s="73"/>
      <c r="J6" s="12"/>
      <c r="K6" s="33"/>
      <c r="L6" s="3"/>
    </row>
    <row r="7" spans="1:12" x14ac:dyDescent="0.25">
      <c r="A7" s="74" t="s">
        <v>7</v>
      </c>
      <c r="B7" s="76" t="s">
        <v>8</v>
      </c>
      <c r="C7" s="77"/>
      <c r="D7" s="77"/>
      <c r="E7" s="77"/>
      <c r="F7" s="78"/>
      <c r="G7" s="79" t="s">
        <v>9</v>
      </c>
      <c r="H7" s="77"/>
      <c r="I7" s="77"/>
      <c r="J7" s="77"/>
      <c r="K7" s="78"/>
      <c r="L7" s="80" t="s">
        <v>10</v>
      </c>
    </row>
    <row r="8" spans="1:12" ht="15.75" thickBot="1" x14ac:dyDescent="0.3">
      <c r="A8" s="75"/>
      <c r="B8" s="34" t="s">
        <v>11</v>
      </c>
      <c r="C8" s="35" t="s">
        <v>12</v>
      </c>
      <c r="D8" s="35" t="s">
        <v>13</v>
      </c>
      <c r="E8" s="35" t="s">
        <v>14</v>
      </c>
      <c r="F8" s="36" t="s">
        <v>15</v>
      </c>
      <c r="G8" s="37" t="s">
        <v>11</v>
      </c>
      <c r="H8" s="35" t="s">
        <v>12</v>
      </c>
      <c r="I8" s="35" t="s">
        <v>13</v>
      </c>
      <c r="J8" s="35" t="s">
        <v>14</v>
      </c>
      <c r="K8" s="36" t="s">
        <v>16</v>
      </c>
      <c r="L8" s="81"/>
    </row>
    <row r="9" spans="1:12" ht="15.75" thickBot="1" x14ac:dyDescent="0.3">
      <c r="A9" s="6">
        <v>1</v>
      </c>
      <c r="B9" s="18"/>
      <c r="C9" s="48"/>
      <c r="D9" s="48"/>
      <c r="E9" s="49"/>
      <c r="F9" s="17">
        <f>SUM(B9:E9)</f>
        <v>0</v>
      </c>
      <c r="G9" s="41"/>
      <c r="H9" s="47"/>
      <c r="I9" s="47"/>
      <c r="J9" s="47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>
        <v>1</v>
      </c>
      <c r="C10" s="25"/>
      <c r="D10" s="25"/>
      <c r="E10" s="24"/>
      <c r="F10" s="17">
        <f t="shared" ref="F10:F39" si="0">SUM(B10:E10)</f>
        <v>1</v>
      </c>
      <c r="G10" s="30"/>
      <c r="H10" s="25"/>
      <c r="I10" s="25"/>
      <c r="J10" s="25"/>
      <c r="K10" s="15">
        <f t="shared" ref="K10:K39" si="1">SUM(G10:J10)</f>
        <v>0</v>
      </c>
      <c r="L10" s="7">
        <f t="shared" ref="L10:L39" si="2">SUM(F10+K10)</f>
        <v>1</v>
      </c>
    </row>
    <row r="11" spans="1:12" ht="15.75" thickBot="1" x14ac:dyDescent="0.3">
      <c r="A11" s="8">
        <v>3</v>
      </c>
      <c r="B11" s="21"/>
      <c r="C11" s="25"/>
      <c r="D11" s="25"/>
      <c r="E11" s="24">
        <v>1</v>
      </c>
      <c r="F11" s="17">
        <f t="shared" si="0"/>
        <v>1</v>
      </c>
      <c r="G11" s="30">
        <v>1</v>
      </c>
      <c r="H11" s="25"/>
      <c r="I11" s="25"/>
      <c r="J11" s="25">
        <v>1</v>
      </c>
      <c r="K11" s="15">
        <f t="shared" si="1"/>
        <v>2</v>
      </c>
      <c r="L11" s="7">
        <f t="shared" si="2"/>
        <v>3</v>
      </c>
    </row>
    <row r="12" spans="1:12" ht="15.75" thickBot="1" x14ac:dyDescent="0.3">
      <c r="A12" s="8">
        <v>4</v>
      </c>
      <c r="B12" s="21"/>
      <c r="C12" s="25"/>
      <c r="D12" s="25"/>
      <c r="E12" s="24"/>
      <c r="F12" s="17">
        <f t="shared" si="0"/>
        <v>0</v>
      </c>
      <c r="G12" s="30"/>
      <c r="H12" s="25">
        <v>1</v>
      </c>
      <c r="I12" s="25"/>
      <c r="J12" s="25">
        <v>1</v>
      </c>
      <c r="K12" s="15">
        <f t="shared" si="1"/>
        <v>2</v>
      </c>
      <c r="L12" s="7">
        <f t="shared" si="2"/>
        <v>2</v>
      </c>
    </row>
    <row r="13" spans="1:12" ht="15.75" thickBot="1" x14ac:dyDescent="0.3">
      <c r="A13" s="8">
        <v>5</v>
      </c>
      <c r="B13" s="21"/>
      <c r="C13" s="25"/>
      <c r="D13" s="25"/>
      <c r="E13" s="24"/>
      <c r="F13" s="17">
        <f t="shared" si="0"/>
        <v>0</v>
      </c>
      <c r="G13" s="30"/>
      <c r="H13" s="25"/>
      <c r="I13" s="25"/>
      <c r="J13" s="25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>
        <v>15</v>
      </c>
      <c r="C14" s="25"/>
      <c r="D14" s="25"/>
      <c r="E14" s="24"/>
      <c r="F14" s="17">
        <f t="shared" si="0"/>
        <v>15</v>
      </c>
      <c r="G14" s="30"/>
      <c r="H14" s="25"/>
      <c r="I14" s="25"/>
      <c r="J14" s="30"/>
      <c r="K14" s="15">
        <f t="shared" si="1"/>
        <v>0</v>
      </c>
      <c r="L14" s="7">
        <f t="shared" si="2"/>
        <v>15</v>
      </c>
    </row>
    <row r="15" spans="1:12" ht="15.75" thickBot="1" x14ac:dyDescent="0.3">
      <c r="A15" s="8">
        <v>7</v>
      </c>
      <c r="B15" s="21"/>
      <c r="C15" s="25"/>
      <c r="D15" s="25"/>
      <c r="E15" s="24"/>
      <c r="F15" s="17">
        <f t="shared" si="0"/>
        <v>0</v>
      </c>
      <c r="G15" s="30"/>
      <c r="H15" s="25"/>
      <c r="I15" s="25"/>
      <c r="J15" s="30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4"/>
      <c r="F16" s="17">
        <f t="shared" si="0"/>
        <v>0</v>
      </c>
      <c r="G16" s="30"/>
      <c r="H16" s="25"/>
      <c r="I16" s="25"/>
      <c r="J16" s="30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>
        <v>1</v>
      </c>
      <c r="H17" s="25"/>
      <c r="I17" s="25"/>
      <c r="J17" s="30"/>
      <c r="K17" s="15">
        <f t="shared" si="1"/>
        <v>1</v>
      </c>
      <c r="L17" s="7">
        <f t="shared" si="2"/>
        <v>1</v>
      </c>
    </row>
    <row r="18" spans="1:12" ht="15.75" thickBot="1" x14ac:dyDescent="0.3">
      <c r="A18" s="8">
        <v>10</v>
      </c>
      <c r="B18" s="21"/>
      <c r="C18" s="25"/>
      <c r="D18" s="25"/>
      <c r="E18" s="24"/>
      <c r="F18" s="17">
        <f t="shared" si="0"/>
        <v>0</v>
      </c>
      <c r="G18" s="30"/>
      <c r="H18" s="25"/>
      <c r="I18" s="25"/>
      <c r="J18" s="30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4"/>
      <c r="F19" s="17">
        <f t="shared" si="0"/>
        <v>0</v>
      </c>
      <c r="G19" s="30"/>
      <c r="H19" s="25"/>
      <c r="I19" s="25"/>
      <c r="J19" s="30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4"/>
      <c r="F20" s="17">
        <f t="shared" si="0"/>
        <v>0</v>
      </c>
      <c r="G20" s="30"/>
      <c r="H20" s="25"/>
      <c r="I20" s="25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>
        <v>6</v>
      </c>
      <c r="C21" s="25"/>
      <c r="D21" s="25">
        <v>2</v>
      </c>
      <c r="E21" s="24"/>
      <c r="F21" s="17">
        <f t="shared" si="0"/>
        <v>8</v>
      </c>
      <c r="G21" s="30"/>
      <c r="H21" s="25"/>
      <c r="I21" s="25"/>
      <c r="J21" s="30"/>
      <c r="K21" s="15">
        <f t="shared" si="1"/>
        <v>0</v>
      </c>
      <c r="L21" s="7">
        <f t="shared" si="2"/>
        <v>8</v>
      </c>
    </row>
    <row r="22" spans="1:12" ht="15.75" thickBot="1" x14ac:dyDescent="0.3">
      <c r="A22" s="8">
        <v>14</v>
      </c>
      <c r="B22" s="21"/>
      <c r="C22" s="25"/>
      <c r="D22" s="25"/>
      <c r="E22" s="24"/>
      <c r="F22" s="17">
        <f t="shared" si="0"/>
        <v>0</v>
      </c>
      <c r="G22" s="30"/>
      <c r="H22" s="25"/>
      <c r="I22" s="25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5"/>
      <c r="D23" s="25"/>
      <c r="E23" s="24"/>
      <c r="F23" s="17">
        <f t="shared" si="0"/>
        <v>0</v>
      </c>
      <c r="G23" s="30"/>
      <c r="H23" s="25"/>
      <c r="I23" s="25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5"/>
      <c r="D24" s="25"/>
      <c r="E24" s="24"/>
      <c r="F24" s="17">
        <f t="shared" si="0"/>
        <v>0</v>
      </c>
      <c r="G24" s="30"/>
      <c r="H24" s="25"/>
      <c r="I24" s="25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3"/>
      <c r="D25" s="25"/>
      <c r="E25" s="24"/>
      <c r="F25" s="17">
        <f t="shared" si="0"/>
        <v>0</v>
      </c>
      <c r="G25" s="30"/>
      <c r="H25" s="25"/>
      <c r="I25" s="25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4"/>
      <c r="F26" s="17">
        <f t="shared" si="0"/>
        <v>0</v>
      </c>
      <c r="G26" s="30"/>
      <c r="H26" s="25"/>
      <c r="I26" s="25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4"/>
      <c r="F27" s="17">
        <f t="shared" si="0"/>
        <v>0</v>
      </c>
      <c r="G27" s="30"/>
      <c r="H27" s="25"/>
      <c r="I27" s="25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5"/>
      <c r="D28" s="25"/>
      <c r="E28" s="24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5"/>
      <c r="D29" s="25"/>
      <c r="E29" s="24"/>
      <c r="F29" s="17">
        <f t="shared" si="0"/>
        <v>0</v>
      </c>
      <c r="G29" s="30"/>
      <c r="H29" s="25">
        <v>1</v>
      </c>
      <c r="I29" s="25">
        <v>1</v>
      </c>
      <c r="J29" s="30">
        <v>2</v>
      </c>
      <c r="K29" s="15">
        <f t="shared" si="1"/>
        <v>4</v>
      </c>
      <c r="L29" s="7">
        <f t="shared" si="2"/>
        <v>4</v>
      </c>
    </row>
    <row r="30" spans="1:12" ht="15.75" thickBot="1" x14ac:dyDescent="0.3">
      <c r="A30" s="8">
        <v>22</v>
      </c>
      <c r="B30" s="21"/>
      <c r="C30" s="25"/>
      <c r="D30" s="25"/>
      <c r="E30" s="24"/>
      <c r="F30" s="17">
        <f t="shared" si="0"/>
        <v>0</v>
      </c>
      <c r="G30" s="30"/>
      <c r="H30" s="25"/>
      <c r="I30" s="25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5"/>
      <c r="D31" s="25"/>
      <c r="E31" s="24"/>
      <c r="F31" s="17">
        <f t="shared" si="0"/>
        <v>0</v>
      </c>
      <c r="G31" s="30"/>
      <c r="H31" s="25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5"/>
      <c r="D32" s="25"/>
      <c r="E32" s="24"/>
      <c r="F32" s="17">
        <f t="shared" si="0"/>
        <v>0</v>
      </c>
      <c r="G32" s="30"/>
      <c r="H32" s="25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5"/>
      <c r="D33" s="25"/>
      <c r="E33" s="24"/>
      <c r="F33" s="17">
        <f t="shared" si="0"/>
        <v>0</v>
      </c>
      <c r="G33" s="30"/>
      <c r="H33" s="25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>
        <v>1</v>
      </c>
      <c r="C34" s="25"/>
      <c r="D34" s="25"/>
      <c r="E34" s="24"/>
      <c r="F34" s="17">
        <f t="shared" si="0"/>
        <v>1</v>
      </c>
      <c r="G34" s="30"/>
      <c r="H34" s="25"/>
      <c r="I34" s="25"/>
      <c r="J34" s="25"/>
      <c r="K34" s="15">
        <f t="shared" si="1"/>
        <v>0</v>
      </c>
      <c r="L34" s="7">
        <f t="shared" si="2"/>
        <v>1</v>
      </c>
    </row>
    <row r="35" spans="1:12" ht="15.75" thickBot="1" x14ac:dyDescent="0.3">
      <c r="A35" s="8">
        <v>27</v>
      </c>
      <c r="B35" s="21"/>
      <c r="C35" s="25"/>
      <c r="D35" s="25"/>
      <c r="E35" s="24"/>
      <c r="F35" s="17">
        <f t="shared" si="0"/>
        <v>0</v>
      </c>
      <c r="G35" s="40"/>
      <c r="H35" s="25"/>
      <c r="I35" s="25"/>
      <c r="J35" s="25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5"/>
      <c r="D36" s="25"/>
      <c r="E36" s="24"/>
      <c r="F36" s="17">
        <f t="shared" si="0"/>
        <v>0</v>
      </c>
      <c r="G36" s="30"/>
      <c r="H36" s="25"/>
      <c r="I36" s="25"/>
      <c r="J36" s="25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5"/>
      <c r="D37" s="25"/>
      <c r="E37" s="24"/>
      <c r="F37" s="17">
        <f t="shared" si="0"/>
        <v>0</v>
      </c>
      <c r="G37" s="30"/>
      <c r="H37" s="25"/>
      <c r="I37" s="25"/>
      <c r="J37" s="25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5"/>
      <c r="D38" s="25"/>
      <c r="E38" s="24"/>
      <c r="F38" s="17">
        <f t="shared" si="0"/>
        <v>0</v>
      </c>
      <c r="G38" s="30"/>
      <c r="H38" s="25"/>
      <c r="I38" s="25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44"/>
      <c r="D39" s="44"/>
      <c r="E39" s="50"/>
      <c r="F39" s="17">
        <f t="shared" si="0"/>
        <v>0</v>
      </c>
      <c r="G39" s="30"/>
      <c r="H39" s="25"/>
      <c r="I39" s="25"/>
      <c r="J39" s="25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6">
        <f>SUM(B9:B39)</f>
        <v>23</v>
      </c>
      <c r="C40" s="46">
        <f t="shared" ref="C40:E40" si="3">SUM(C9:C39)</f>
        <v>0</v>
      </c>
      <c r="D40" s="46">
        <f t="shared" si="3"/>
        <v>2</v>
      </c>
      <c r="E40" s="46">
        <f t="shared" si="3"/>
        <v>1</v>
      </c>
      <c r="F40" s="45">
        <f>SUM(F9:F39)</f>
        <v>26</v>
      </c>
      <c r="G40" s="16">
        <f>SUM(G9:G39)</f>
        <v>2</v>
      </c>
      <c r="H40" s="16">
        <f t="shared" ref="H40:L40" si="4">SUM(H9:H39)</f>
        <v>2</v>
      </c>
      <c r="I40" s="16">
        <f t="shared" si="4"/>
        <v>1</v>
      </c>
      <c r="J40" s="16">
        <f t="shared" si="4"/>
        <v>4</v>
      </c>
      <c r="K40" s="16">
        <f t="shared" si="4"/>
        <v>9</v>
      </c>
      <c r="L40" s="16">
        <f t="shared" si="4"/>
        <v>35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4"/>
      <c r="B42" s="64"/>
      <c r="C42" s="64"/>
      <c r="D42" s="64"/>
      <c r="E42" s="64"/>
      <c r="F42" s="64"/>
      <c r="G42" s="65" t="s">
        <v>17</v>
      </c>
      <c r="H42" s="66"/>
      <c r="I42" s="66" t="s">
        <v>18</v>
      </c>
      <c r="J42" s="67"/>
      <c r="K42" s="11"/>
      <c r="L42" s="13"/>
    </row>
    <row r="43" spans="1:12" ht="15.75" thickBot="1" x14ac:dyDescent="0.3">
      <c r="A43" s="14"/>
      <c r="B43" s="51" t="s">
        <v>19</v>
      </c>
      <c r="C43" s="52"/>
      <c r="D43" s="52"/>
      <c r="E43" s="52"/>
      <c r="F43" s="52"/>
      <c r="G43" s="62">
        <v>78</v>
      </c>
      <c r="H43" s="68"/>
      <c r="I43" s="69"/>
      <c r="J43" s="70"/>
      <c r="K43" s="11"/>
      <c r="L43" s="13"/>
    </row>
    <row r="44" spans="1:12" ht="15.75" thickBot="1" x14ac:dyDescent="0.3">
      <c r="A44" s="14"/>
      <c r="B44" s="51" t="s">
        <v>20</v>
      </c>
      <c r="C44" s="52"/>
      <c r="D44" s="52"/>
      <c r="E44" s="52"/>
      <c r="F44" s="52"/>
      <c r="G44" s="53">
        <v>35</v>
      </c>
      <c r="H44" s="54"/>
      <c r="I44" s="53"/>
      <c r="J44" s="54"/>
      <c r="K44" s="11"/>
      <c r="L44" s="13"/>
    </row>
    <row r="45" spans="1:12" ht="15.75" thickBot="1" x14ac:dyDescent="0.3">
      <c r="A45" s="14"/>
      <c r="B45" s="59" t="s">
        <v>21</v>
      </c>
      <c r="C45" s="59"/>
      <c r="D45" s="59"/>
      <c r="E45" s="59"/>
      <c r="F45" s="51"/>
      <c r="G45" s="60">
        <v>0</v>
      </c>
      <c r="H45" s="61"/>
      <c r="I45" s="62"/>
      <c r="J45" s="63"/>
      <c r="K45" s="11"/>
      <c r="L45" s="13"/>
    </row>
    <row r="46" spans="1:12" ht="15.75" thickBot="1" x14ac:dyDescent="0.3">
      <c r="A46" s="14"/>
      <c r="B46" s="51" t="s">
        <v>22</v>
      </c>
      <c r="C46" s="52"/>
      <c r="D46" s="52"/>
      <c r="E46" s="52"/>
      <c r="F46" s="52"/>
      <c r="G46" s="58">
        <f>L40+G45</f>
        <v>35</v>
      </c>
      <c r="H46" s="54"/>
      <c r="I46" s="53"/>
      <c r="J46" s="54"/>
      <c r="K46" s="11"/>
      <c r="L46" s="13"/>
    </row>
    <row r="47" spans="1:12" ht="15.75" thickBot="1" x14ac:dyDescent="0.3">
      <c r="A47" s="4"/>
      <c r="B47" s="51" t="s">
        <v>23</v>
      </c>
      <c r="C47" s="52"/>
      <c r="D47" s="52"/>
      <c r="E47" s="52"/>
      <c r="F47" s="52"/>
      <c r="G47" s="58">
        <f>G43+G44-G46</f>
        <v>78</v>
      </c>
      <c r="H47" s="54"/>
      <c r="I47" s="53"/>
      <c r="J47" s="54"/>
      <c r="K47" s="11"/>
      <c r="L47" s="3"/>
    </row>
    <row r="48" spans="1:12" ht="15.75" thickBot="1" x14ac:dyDescent="0.3">
      <c r="A48" s="4"/>
      <c r="B48" s="51" t="s">
        <v>24</v>
      </c>
      <c r="C48" s="52"/>
      <c r="D48" s="52"/>
      <c r="E48" s="52"/>
      <c r="F48" s="52"/>
      <c r="G48" s="53">
        <v>61</v>
      </c>
      <c r="H48" s="54"/>
      <c r="I48" s="53"/>
      <c r="J48" s="54"/>
      <c r="K48" s="11"/>
      <c r="L48" s="3"/>
    </row>
    <row r="49" spans="1:12" ht="15.75" thickBot="1" x14ac:dyDescent="0.3">
      <c r="A49" s="4"/>
      <c r="B49" s="51" t="s">
        <v>25</v>
      </c>
      <c r="C49" s="52"/>
      <c r="D49" s="52"/>
      <c r="E49" s="52"/>
      <c r="F49" s="52"/>
      <c r="G49" s="55">
        <f>G47-G48</f>
        <v>17</v>
      </c>
      <c r="H49" s="56"/>
      <c r="I49" s="57"/>
      <c r="J49" s="56"/>
      <c r="K49" s="11"/>
      <c r="L49" s="3"/>
    </row>
    <row r="50" spans="1:12" x14ac:dyDescent="0.25">
      <c r="A50" s="5" t="s">
        <v>26</v>
      </c>
      <c r="B50" s="32"/>
      <c r="C50" s="38"/>
      <c r="D50" s="38"/>
      <c r="E50" s="38"/>
      <c r="F50" s="32"/>
      <c r="G50" s="42"/>
      <c r="H50" s="38"/>
      <c r="I50" s="39" t="s">
        <v>27</v>
      </c>
      <c r="J50" s="38"/>
      <c r="K50" s="32"/>
      <c r="L50" s="1"/>
    </row>
    <row r="51" spans="1:12" ht="3" customHeight="1" x14ac:dyDescent="0.25"/>
    <row r="53" spans="1:12" x14ac:dyDescent="0.25">
      <c r="A53" t="s">
        <v>48</v>
      </c>
    </row>
    <row r="54" spans="1:12" x14ac:dyDescent="0.25">
      <c r="A54" t="s">
        <v>44</v>
      </c>
    </row>
    <row r="55" spans="1:12" x14ac:dyDescent="0.25">
      <c r="A55" t="s">
        <v>45</v>
      </c>
    </row>
    <row r="56" spans="1:12" x14ac:dyDescent="0.25">
      <c r="A56" t="s">
        <v>46</v>
      </c>
    </row>
    <row r="57" spans="1:12" x14ac:dyDescent="0.25">
      <c r="A57" t="s">
        <v>47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B1E5-D117-4942-B6E6-8CE0BCAB38BB}">
  <dimension ref="A1:L53"/>
  <sheetViews>
    <sheetView topLeftCell="A21" workbookViewId="0">
      <selection activeCell="A53" sqref="A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2" t="s">
        <v>0</v>
      </c>
      <c r="B1" s="82"/>
      <c r="C1" s="82"/>
      <c r="D1" s="82"/>
      <c r="E1" s="31"/>
      <c r="F1" s="32"/>
      <c r="G1" s="83" t="s">
        <v>1</v>
      </c>
      <c r="H1" s="83"/>
      <c r="I1" s="83"/>
      <c r="J1" s="83"/>
      <c r="K1" s="83"/>
      <c r="L1" s="83"/>
    </row>
    <row r="2" spans="1:12" ht="15.75" x14ac:dyDescent="0.25">
      <c r="A2" s="83" t="s">
        <v>2</v>
      </c>
      <c r="B2" s="83"/>
      <c r="C2" s="83"/>
      <c r="D2" s="83"/>
      <c r="E2" s="31"/>
      <c r="F2" s="32"/>
      <c r="G2" s="84" t="s">
        <v>3</v>
      </c>
      <c r="H2" s="84"/>
      <c r="I2" s="84"/>
      <c r="J2" s="84"/>
      <c r="K2" s="84"/>
      <c r="L2" s="84"/>
    </row>
    <row r="3" spans="1:12" x14ac:dyDescent="0.25">
      <c r="A3" s="84" t="s">
        <v>4</v>
      </c>
      <c r="B3" s="84"/>
      <c r="C3" s="84"/>
      <c r="D3" s="84"/>
      <c r="E3" s="31"/>
      <c r="F3" s="32"/>
      <c r="G3" s="32"/>
      <c r="H3" s="31"/>
      <c r="I3" s="31"/>
      <c r="J3" s="31"/>
      <c r="K3" s="32"/>
      <c r="L3" s="1"/>
    </row>
    <row r="4" spans="1:12" ht="18" x14ac:dyDescent="0.25">
      <c r="A4" s="82" t="s">
        <v>5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2" x14ac:dyDescent="0.25">
      <c r="A5" s="71" t="s">
        <v>49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3"/>
      <c r="I6" s="73"/>
      <c r="J6" s="12"/>
      <c r="K6" s="33"/>
      <c r="L6" s="3"/>
    </row>
    <row r="7" spans="1:12" x14ac:dyDescent="0.25">
      <c r="A7" s="74" t="s">
        <v>7</v>
      </c>
      <c r="B7" s="76" t="s">
        <v>8</v>
      </c>
      <c r="C7" s="77"/>
      <c r="D7" s="77"/>
      <c r="E7" s="77"/>
      <c r="F7" s="78"/>
      <c r="G7" s="79" t="s">
        <v>9</v>
      </c>
      <c r="H7" s="77"/>
      <c r="I7" s="77"/>
      <c r="J7" s="77"/>
      <c r="K7" s="78"/>
      <c r="L7" s="80" t="s">
        <v>10</v>
      </c>
    </row>
    <row r="8" spans="1:12" ht="15.75" thickBot="1" x14ac:dyDescent="0.3">
      <c r="A8" s="75"/>
      <c r="B8" s="34" t="s">
        <v>11</v>
      </c>
      <c r="C8" s="35" t="s">
        <v>12</v>
      </c>
      <c r="D8" s="35" t="s">
        <v>13</v>
      </c>
      <c r="E8" s="35" t="s">
        <v>14</v>
      </c>
      <c r="F8" s="36" t="s">
        <v>15</v>
      </c>
      <c r="G8" s="37" t="s">
        <v>11</v>
      </c>
      <c r="H8" s="35" t="s">
        <v>12</v>
      </c>
      <c r="I8" s="35" t="s">
        <v>13</v>
      </c>
      <c r="J8" s="35" t="s">
        <v>14</v>
      </c>
      <c r="K8" s="36" t="s">
        <v>16</v>
      </c>
      <c r="L8" s="81"/>
    </row>
    <row r="9" spans="1:12" ht="15.75" thickBot="1" x14ac:dyDescent="0.3">
      <c r="A9" s="6">
        <v>1</v>
      </c>
      <c r="B9" s="18"/>
      <c r="C9" s="48"/>
      <c r="D9" s="48"/>
      <c r="E9" s="49"/>
      <c r="F9" s="17">
        <f>SUM(B9:E9)</f>
        <v>0</v>
      </c>
      <c r="G9" s="41">
        <v>1</v>
      </c>
      <c r="H9" s="47"/>
      <c r="I9" s="47">
        <v>2</v>
      </c>
      <c r="J9" s="47"/>
      <c r="K9" s="15">
        <f>SUM(G9:J9)</f>
        <v>3</v>
      </c>
      <c r="L9" s="7">
        <f>SUM(F9+K9)</f>
        <v>3</v>
      </c>
    </row>
    <row r="10" spans="1:12" ht="15.75" thickBot="1" x14ac:dyDescent="0.3">
      <c r="A10" s="8">
        <v>2</v>
      </c>
      <c r="B10" s="21"/>
      <c r="C10" s="25"/>
      <c r="D10" s="25"/>
      <c r="E10" s="24"/>
      <c r="F10" s="17">
        <f t="shared" ref="F10:F39" si="0">SUM(B10:E10)</f>
        <v>0</v>
      </c>
      <c r="G10" s="30"/>
      <c r="H10" s="25"/>
      <c r="I10" s="25"/>
      <c r="J10" s="25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5"/>
      <c r="D11" s="25"/>
      <c r="E11" s="24"/>
      <c r="F11" s="17">
        <f t="shared" si="0"/>
        <v>0</v>
      </c>
      <c r="G11" s="30"/>
      <c r="H11" s="25"/>
      <c r="I11" s="25"/>
      <c r="J11" s="25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4"/>
      <c r="F12" s="17">
        <f t="shared" si="0"/>
        <v>0</v>
      </c>
      <c r="G12" s="30"/>
      <c r="H12" s="25"/>
      <c r="I12" s="25"/>
      <c r="J12" s="25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4"/>
      <c r="F13" s="17">
        <f t="shared" si="0"/>
        <v>0</v>
      </c>
      <c r="G13" s="30"/>
      <c r="H13" s="25"/>
      <c r="I13" s="25"/>
      <c r="J13" s="25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4"/>
      <c r="F14" s="17">
        <f t="shared" si="0"/>
        <v>0</v>
      </c>
      <c r="G14" s="30">
        <v>2</v>
      </c>
      <c r="H14" s="25"/>
      <c r="I14" s="25"/>
      <c r="J14" s="30"/>
      <c r="K14" s="15">
        <f t="shared" si="1"/>
        <v>2</v>
      </c>
      <c r="L14" s="7">
        <f t="shared" si="2"/>
        <v>2</v>
      </c>
    </row>
    <row r="15" spans="1:12" ht="15.75" thickBot="1" x14ac:dyDescent="0.3">
      <c r="A15" s="8">
        <v>7</v>
      </c>
      <c r="B15" s="21"/>
      <c r="C15" s="25"/>
      <c r="D15" s="25"/>
      <c r="E15" s="24"/>
      <c r="F15" s="17">
        <f t="shared" si="0"/>
        <v>0</v>
      </c>
      <c r="G15" s="30"/>
      <c r="H15" s="25"/>
      <c r="I15" s="25"/>
      <c r="J15" s="30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4"/>
      <c r="F16" s="17">
        <f t="shared" si="0"/>
        <v>0</v>
      </c>
      <c r="G16" s="30"/>
      <c r="H16" s="25"/>
      <c r="I16" s="25"/>
      <c r="J16" s="30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>
        <v>3</v>
      </c>
      <c r="H17" s="25"/>
      <c r="I17" s="25"/>
      <c r="J17" s="30"/>
      <c r="K17" s="15">
        <f t="shared" si="1"/>
        <v>3</v>
      </c>
      <c r="L17" s="7">
        <f t="shared" si="2"/>
        <v>3</v>
      </c>
    </row>
    <row r="18" spans="1:12" ht="15.75" thickBot="1" x14ac:dyDescent="0.3">
      <c r="A18" s="8">
        <v>10</v>
      </c>
      <c r="B18" s="21">
        <v>1</v>
      </c>
      <c r="C18" s="25"/>
      <c r="D18" s="25"/>
      <c r="E18" s="24"/>
      <c r="F18" s="17">
        <f t="shared" si="0"/>
        <v>1</v>
      </c>
      <c r="G18" s="30"/>
      <c r="H18" s="25"/>
      <c r="I18" s="25"/>
      <c r="J18" s="30"/>
      <c r="K18" s="15">
        <f t="shared" si="1"/>
        <v>0</v>
      </c>
      <c r="L18" s="7">
        <f t="shared" si="2"/>
        <v>1</v>
      </c>
    </row>
    <row r="19" spans="1:12" ht="15.75" thickBot="1" x14ac:dyDescent="0.3">
      <c r="A19" s="8">
        <v>11</v>
      </c>
      <c r="B19" s="21"/>
      <c r="C19" s="25"/>
      <c r="D19" s="25"/>
      <c r="E19" s="24"/>
      <c r="F19" s="17">
        <f t="shared" si="0"/>
        <v>0</v>
      </c>
      <c r="G19" s="30"/>
      <c r="H19" s="25"/>
      <c r="I19" s="25"/>
      <c r="J19" s="30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4"/>
      <c r="F20" s="17">
        <f t="shared" si="0"/>
        <v>0</v>
      </c>
      <c r="G20" s="30"/>
      <c r="H20" s="25"/>
      <c r="I20" s="25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>
        <v>1</v>
      </c>
      <c r="E21" s="24"/>
      <c r="F21" s="17">
        <f t="shared" si="0"/>
        <v>1</v>
      </c>
      <c r="G21" s="30"/>
      <c r="H21" s="25"/>
      <c r="I21" s="25"/>
      <c r="J21" s="30"/>
      <c r="K21" s="15">
        <f t="shared" si="1"/>
        <v>0</v>
      </c>
      <c r="L21" s="7">
        <f t="shared" si="2"/>
        <v>1</v>
      </c>
    </row>
    <row r="22" spans="1:12" ht="15.75" thickBot="1" x14ac:dyDescent="0.3">
      <c r="A22" s="8">
        <v>14</v>
      </c>
      <c r="B22" s="21"/>
      <c r="C22" s="25"/>
      <c r="D22" s="25"/>
      <c r="E22" s="24"/>
      <c r="F22" s="17">
        <f t="shared" si="0"/>
        <v>0</v>
      </c>
      <c r="G22" s="30"/>
      <c r="H22" s="25"/>
      <c r="I22" s="25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5"/>
      <c r="D23" s="25"/>
      <c r="E23" s="24"/>
      <c r="F23" s="17">
        <f t="shared" si="0"/>
        <v>0</v>
      </c>
      <c r="G23" s="30"/>
      <c r="H23" s="25"/>
      <c r="I23" s="25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5"/>
      <c r="D24" s="25"/>
      <c r="E24" s="24"/>
      <c r="F24" s="17">
        <f t="shared" si="0"/>
        <v>0</v>
      </c>
      <c r="G24" s="30"/>
      <c r="H24" s="25"/>
      <c r="I24" s="25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>
        <v>1</v>
      </c>
      <c r="C25" s="43"/>
      <c r="D25" s="25"/>
      <c r="E25" s="24"/>
      <c r="F25" s="17">
        <f t="shared" si="0"/>
        <v>1</v>
      </c>
      <c r="G25" s="30"/>
      <c r="H25" s="25"/>
      <c r="I25" s="25"/>
      <c r="J25" s="30"/>
      <c r="K25" s="15">
        <f t="shared" si="1"/>
        <v>0</v>
      </c>
      <c r="L25" s="7">
        <f t="shared" si="2"/>
        <v>1</v>
      </c>
    </row>
    <row r="26" spans="1:12" ht="15.75" thickBot="1" x14ac:dyDescent="0.3">
      <c r="A26" s="8">
        <v>18</v>
      </c>
      <c r="B26" s="21"/>
      <c r="C26" s="25"/>
      <c r="D26" s="25"/>
      <c r="E26" s="24"/>
      <c r="F26" s="17">
        <f t="shared" si="0"/>
        <v>0</v>
      </c>
      <c r="G26" s="30"/>
      <c r="H26" s="25"/>
      <c r="I26" s="25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4"/>
      <c r="F27" s="17">
        <f t="shared" si="0"/>
        <v>0</v>
      </c>
      <c r="G27" s="30"/>
      <c r="H27" s="25"/>
      <c r="I27" s="25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5"/>
      <c r="D28" s="25"/>
      <c r="E28" s="24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5"/>
      <c r="D29" s="25"/>
      <c r="E29" s="24"/>
      <c r="F29" s="17">
        <f t="shared" si="0"/>
        <v>0</v>
      </c>
      <c r="G29" s="30"/>
      <c r="H29" s="25"/>
      <c r="I29" s="25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5"/>
      <c r="D30" s="25"/>
      <c r="E30" s="24"/>
      <c r="F30" s="17">
        <f t="shared" si="0"/>
        <v>0</v>
      </c>
      <c r="G30" s="30"/>
      <c r="H30" s="25"/>
      <c r="I30" s="25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5"/>
      <c r="D31" s="25"/>
      <c r="E31" s="24"/>
      <c r="F31" s="17">
        <f t="shared" si="0"/>
        <v>0</v>
      </c>
      <c r="G31" s="30"/>
      <c r="H31" s="25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>
        <v>2</v>
      </c>
      <c r="C32" s="25">
        <v>1</v>
      </c>
      <c r="D32" s="25"/>
      <c r="E32" s="24"/>
      <c r="F32" s="17">
        <f t="shared" si="0"/>
        <v>3</v>
      </c>
      <c r="G32" s="30"/>
      <c r="H32" s="25"/>
      <c r="I32" s="30"/>
      <c r="J32" s="30"/>
      <c r="K32" s="15">
        <f t="shared" si="1"/>
        <v>0</v>
      </c>
      <c r="L32" s="7">
        <f t="shared" si="2"/>
        <v>3</v>
      </c>
    </row>
    <row r="33" spans="1:12" ht="15.75" thickBot="1" x14ac:dyDescent="0.3">
      <c r="A33" s="8">
        <v>25</v>
      </c>
      <c r="B33" s="21"/>
      <c r="C33" s="25"/>
      <c r="D33" s="25"/>
      <c r="E33" s="24"/>
      <c r="F33" s="17">
        <f t="shared" si="0"/>
        <v>0</v>
      </c>
      <c r="G33" s="30"/>
      <c r="H33" s="25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5"/>
      <c r="D34" s="25"/>
      <c r="E34" s="24"/>
      <c r="F34" s="17">
        <f t="shared" si="0"/>
        <v>0</v>
      </c>
      <c r="G34" s="30"/>
      <c r="H34" s="25"/>
      <c r="I34" s="25"/>
      <c r="J34" s="25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5"/>
      <c r="D35" s="25"/>
      <c r="E35" s="24"/>
      <c r="F35" s="17">
        <f t="shared" si="0"/>
        <v>0</v>
      </c>
      <c r="G35" s="40">
        <v>1</v>
      </c>
      <c r="H35" s="25"/>
      <c r="I35" s="25"/>
      <c r="J35" s="25"/>
      <c r="K35" s="15">
        <f t="shared" si="1"/>
        <v>1</v>
      </c>
      <c r="L35" s="7">
        <f t="shared" si="2"/>
        <v>1</v>
      </c>
    </row>
    <row r="36" spans="1:12" ht="15.75" thickBot="1" x14ac:dyDescent="0.3">
      <c r="A36" s="8">
        <v>28</v>
      </c>
      <c r="B36" s="21"/>
      <c r="C36" s="25"/>
      <c r="D36" s="25"/>
      <c r="E36" s="24"/>
      <c r="F36" s="17">
        <f t="shared" si="0"/>
        <v>0</v>
      </c>
      <c r="G36" s="30"/>
      <c r="H36" s="25"/>
      <c r="I36" s="25"/>
      <c r="J36" s="25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>
        <v>13</v>
      </c>
      <c r="C37" s="25"/>
      <c r="D37" s="25"/>
      <c r="E37" s="24"/>
      <c r="F37" s="17">
        <f t="shared" si="0"/>
        <v>13</v>
      </c>
      <c r="G37" s="30"/>
      <c r="H37" s="25"/>
      <c r="I37" s="25"/>
      <c r="J37" s="25"/>
      <c r="K37" s="15">
        <f t="shared" si="1"/>
        <v>0</v>
      </c>
      <c r="L37" s="7">
        <f t="shared" si="2"/>
        <v>13</v>
      </c>
    </row>
    <row r="38" spans="1:12" ht="15.75" thickBot="1" x14ac:dyDescent="0.3">
      <c r="A38" s="8">
        <v>30</v>
      </c>
      <c r="B38" s="21"/>
      <c r="C38" s="25"/>
      <c r="D38" s="25"/>
      <c r="E38" s="24"/>
      <c r="F38" s="17">
        <f t="shared" si="0"/>
        <v>0</v>
      </c>
      <c r="G38" s="30"/>
      <c r="H38" s="25"/>
      <c r="I38" s="25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44"/>
      <c r="D39" s="44"/>
      <c r="E39" s="50"/>
      <c r="F39" s="17">
        <f t="shared" si="0"/>
        <v>0</v>
      </c>
      <c r="G39" s="30"/>
      <c r="H39" s="25"/>
      <c r="I39" s="25"/>
      <c r="J39" s="25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6">
        <f>SUM(B9:B39)</f>
        <v>17</v>
      </c>
      <c r="C40" s="46">
        <f t="shared" ref="C40:E40" si="3">SUM(C9:C39)</f>
        <v>1</v>
      </c>
      <c r="D40" s="46">
        <f t="shared" si="3"/>
        <v>1</v>
      </c>
      <c r="E40" s="46">
        <f t="shared" si="3"/>
        <v>0</v>
      </c>
      <c r="F40" s="45">
        <f>SUM(F9:F39)</f>
        <v>19</v>
      </c>
      <c r="G40" s="16">
        <f>SUM(G9:G39)</f>
        <v>7</v>
      </c>
      <c r="H40" s="16">
        <f t="shared" ref="H40:L40" si="4">SUM(H9:H39)</f>
        <v>0</v>
      </c>
      <c r="I40" s="16">
        <f t="shared" si="4"/>
        <v>2</v>
      </c>
      <c r="J40" s="16">
        <f t="shared" si="4"/>
        <v>0</v>
      </c>
      <c r="K40" s="16">
        <f t="shared" si="4"/>
        <v>9</v>
      </c>
      <c r="L40" s="16">
        <f t="shared" si="4"/>
        <v>28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4"/>
      <c r="B42" s="64"/>
      <c r="C42" s="64"/>
      <c r="D42" s="64"/>
      <c r="E42" s="64"/>
      <c r="F42" s="64"/>
      <c r="G42" s="65" t="s">
        <v>17</v>
      </c>
      <c r="H42" s="66"/>
      <c r="I42" s="66" t="s">
        <v>18</v>
      </c>
      <c r="J42" s="67"/>
      <c r="K42" s="11"/>
      <c r="L42" s="13"/>
    </row>
    <row r="43" spans="1:12" ht="15.75" thickBot="1" x14ac:dyDescent="0.3">
      <c r="A43" s="14"/>
      <c r="B43" s="51" t="s">
        <v>19</v>
      </c>
      <c r="C43" s="52"/>
      <c r="D43" s="52"/>
      <c r="E43" s="52"/>
      <c r="F43" s="52"/>
      <c r="G43" s="62">
        <v>61</v>
      </c>
      <c r="H43" s="68"/>
      <c r="I43" s="69"/>
      <c r="J43" s="70"/>
      <c r="K43" s="11"/>
      <c r="L43" s="13"/>
    </row>
    <row r="44" spans="1:12" ht="15.75" thickBot="1" x14ac:dyDescent="0.3">
      <c r="A44" s="14"/>
      <c r="B44" s="51" t="s">
        <v>20</v>
      </c>
      <c r="C44" s="52"/>
      <c r="D44" s="52"/>
      <c r="E44" s="52"/>
      <c r="F44" s="52"/>
      <c r="G44" s="53">
        <v>104</v>
      </c>
      <c r="H44" s="54"/>
      <c r="I44" s="53"/>
      <c r="J44" s="54"/>
      <c r="K44" s="11"/>
      <c r="L44" s="13"/>
    </row>
    <row r="45" spans="1:12" ht="15.75" thickBot="1" x14ac:dyDescent="0.3">
      <c r="A45" s="14"/>
      <c r="B45" s="59" t="s">
        <v>21</v>
      </c>
      <c r="C45" s="59"/>
      <c r="D45" s="59"/>
      <c r="E45" s="59"/>
      <c r="F45" s="51"/>
      <c r="G45" s="60">
        <v>0</v>
      </c>
      <c r="H45" s="61"/>
      <c r="I45" s="62"/>
      <c r="J45" s="63"/>
      <c r="K45" s="11"/>
      <c r="L45" s="13"/>
    </row>
    <row r="46" spans="1:12" ht="15.75" thickBot="1" x14ac:dyDescent="0.3">
      <c r="A46" s="14"/>
      <c r="B46" s="51" t="s">
        <v>22</v>
      </c>
      <c r="C46" s="52"/>
      <c r="D46" s="52"/>
      <c r="E46" s="52"/>
      <c r="F46" s="52"/>
      <c r="G46" s="58">
        <f>L40+G45</f>
        <v>28</v>
      </c>
      <c r="H46" s="54"/>
      <c r="I46" s="53"/>
      <c r="J46" s="54"/>
      <c r="K46" s="11"/>
      <c r="L46" s="13"/>
    </row>
    <row r="47" spans="1:12" ht="15.75" thickBot="1" x14ac:dyDescent="0.3">
      <c r="A47" s="4"/>
      <c r="B47" s="51" t="s">
        <v>23</v>
      </c>
      <c r="C47" s="52"/>
      <c r="D47" s="52"/>
      <c r="E47" s="52"/>
      <c r="F47" s="52"/>
      <c r="G47" s="58">
        <f>G43+G44-G46</f>
        <v>137</v>
      </c>
      <c r="H47" s="54"/>
      <c r="I47" s="53"/>
      <c r="J47" s="54"/>
      <c r="K47" s="11"/>
      <c r="L47" s="3"/>
    </row>
    <row r="48" spans="1:12" ht="15.75" thickBot="1" x14ac:dyDescent="0.3">
      <c r="A48" s="4"/>
      <c r="B48" s="51" t="s">
        <v>24</v>
      </c>
      <c r="C48" s="52"/>
      <c r="D48" s="52"/>
      <c r="E48" s="52"/>
      <c r="F48" s="52"/>
      <c r="G48" s="53">
        <v>136</v>
      </c>
      <c r="H48" s="54"/>
      <c r="I48" s="53"/>
      <c r="J48" s="54"/>
      <c r="K48" s="11"/>
      <c r="L48" s="3"/>
    </row>
    <row r="49" spans="1:12" ht="15.75" thickBot="1" x14ac:dyDescent="0.3">
      <c r="A49" s="4"/>
      <c r="B49" s="51" t="s">
        <v>25</v>
      </c>
      <c r="C49" s="52"/>
      <c r="D49" s="52"/>
      <c r="E49" s="52"/>
      <c r="F49" s="52"/>
      <c r="G49" s="55">
        <f>G47-G48</f>
        <v>1</v>
      </c>
      <c r="H49" s="56"/>
      <c r="I49" s="57"/>
      <c r="J49" s="56"/>
      <c r="K49" s="11"/>
      <c r="L49" s="3"/>
    </row>
    <row r="50" spans="1:12" x14ac:dyDescent="0.25">
      <c r="A50" s="5" t="s">
        <v>26</v>
      </c>
      <c r="B50" s="32"/>
      <c r="C50" s="38"/>
      <c r="D50" s="38"/>
      <c r="E50" s="38"/>
      <c r="F50" s="32"/>
      <c r="G50" s="42"/>
      <c r="H50" s="38"/>
      <c r="I50" s="39" t="s">
        <v>27</v>
      </c>
      <c r="J50" s="38"/>
      <c r="K50" s="32"/>
      <c r="L50" s="1"/>
    </row>
    <row r="51" spans="1:12" ht="3" customHeight="1" x14ac:dyDescent="0.25"/>
    <row r="53" spans="1:12" x14ac:dyDescent="0.25">
      <c r="A53" t="s">
        <v>50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C6B94-475F-4BBD-A031-80A440D6F908}">
  <dimension ref="A1:L53"/>
  <sheetViews>
    <sheetView topLeftCell="A21" workbookViewId="0">
      <selection activeCell="A53" sqref="A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2" t="s">
        <v>0</v>
      </c>
      <c r="B1" s="82"/>
      <c r="C1" s="82"/>
      <c r="D1" s="82"/>
      <c r="E1" s="31"/>
      <c r="F1" s="32"/>
      <c r="G1" s="83" t="s">
        <v>1</v>
      </c>
      <c r="H1" s="83"/>
      <c r="I1" s="83"/>
      <c r="J1" s="83"/>
      <c r="K1" s="83"/>
      <c r="L1" s="83"/>
    </row>
    <row r="2" spans="1:12" ht="15.75" x14ac:dyDescent="0.25">
      <c r="A2" s="83" t="s">
        <v>2</v>
      </c>
      <c r="B2" s="83"/>
      <c r="C2" s="83"/>
      <c r="D2" s="83"/>
      <c r="E2" s="31"/>
      <c r="F2" s="32"/>
      <c r="G2" s="84" t="s">
        <v>3</v>
      </c>
      <c r="H2" s="84"/>
      <c r="I2" s="84"/>
      <c r="J2" s="84"/>
      <c r="K2" s="84"/>
      <c r="L2" s="84"/>
    </row>
    <row r="3" spans="1:12" x14ac:dyDescent="0.25">
      <c r="A3" s="84" t="s">
        <v>4</v>
      </c>
      <c r="B3" s="84"/>
      <c r="C3" s="84"/>
      <c r="D3" s="84"/>
      <c r="E3" s="31"/>
      <c r="F3" s="32"/>
      <c r="G3" s="32"/>
      <c r="H3" s="31"/>
      <c r="I3" s="31"/>
      <c r="J3" s="31"/>
      <c r="K3" s="32"/>
      <c r="L3" s="1"/>
    </row>
    <row r="4" spans="1:12" ht="18" x14ac:dyDescent="0.25">
      <c r="A4" s="82" t="s">
        <v>5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2" x14ac:dyDescent="0.25">
      <c r="A5" s="71" t="s">
        <v>51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3"/>
      <c r="I6" s="73"/>
      <c r="J6" s="12"/>
      <c r="K6" s="33"/>
      <c r="L6" s="3"/>
    </row>
    <row r="7" spans="1:12" x14ac:dyDescent="0.25">
      <c r="A7" s="74" t="s">
        <v>7</v>
      </c>
      <c r="B7" s="76" t="s">
        <v>8</v>
      </c>
      <c r="C7" s="77"/>
      <c r="D7" s="77"/>
      <c r="E7" s="77"/>
      <c r="F7" s="78"/>
      <c r="G7" s="79" t="s">
        <v>9</v>
      </c>
      <c r="H7" s="77"/>
      <c r="I7" s="77"/>
      <c r="J7" s="77"/>
      <c r="K7" s="78"/>
      <c r="L7" s="80" t="s">
        <v>10</v>
      </c>
    </row>
    <row r="8" spans="1:12" ht="15.75" thickBot="1" x14ac:dyDescent="0.3">
      <c r="A8" s="75"/>
      <c r="B8" s="34" t="s">
        <v>11</v>
      </c>
      <c r="C8" s="35" t="s">
        <v>12</v>
      </c>
      <c r="D8" s="35" t="s">
        <v>13</v>
      </c>
      <c r="E8" s="35" t="s">
        <v>14</v>
      </c>
      <c r="F8" s="36" t="s">
        <v>15</v>
      </c>
      <c r="G8" s="37" t="s">
        <v>11</v>
      </c>
      <c r="H8" s="35" t="s">
        <v>12</v>
      </c>
      <c r="I8" s="35" t="s">
        <v>13</v>
      </c>
      <c r="J8" s="35" t="s">
        <v>14</v>
      </c>
      <c r="K8" s="36" t="s">
        <v>16</v>
      </c>
      <c r="L8" s="81"/>
    </row>
    <row r="9" spans="1:12" ht="15.75" thickBot="1" x14ac:dyDescent="0.3">
      <c r="A9" s="6">
        <v>1</v>
      </c>
      <c r="B9" s="18"/>
      <c r="C9" s="48"/>
      <c r="D9" s="48"/>
      <c r="E9" s="49"/>
      <c r="F9" s="17">
        <f>SUM(B9:E9)</f>
        <v>0</v>
      </c>
      <c r="G9" s="41"/>
      <c r="H9" s="47"/>
      <c r="I9" s="47"/>
      <c r="J9" s="47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5"/>
      <c r="E10" s="24"/>
      <c r="F10" s="17">
        <f t="shared" ref="F10:F39" si="0">SUM(B10:E10)</f>
        <v>0</v>
      </c>
      <c r="G10" s="30"/>
      <c r="H10" s="25"/>
      <c r="I10" s="25"/>
      <c r="J10" s="25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5"/>
      <c r="D11" s="25"/>
      <c r="E11" s="24"/>
      <c r="F11" s="17">
        <f t="shared" si="0"/>
        <v>0</v>
      </c>
      <c r="G11" s="30"/>
      <c r="H11" s="25"/>
      <c r="I11" s="25"/>
      <c r="J11" s="25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4"/>
      <c r="F12" s="17">
        <f t="shared" si="0"/>
        <v>0</v>
      </c>
      <c r="G12" s="30"/>
      <c r="H12" s="25"/>
      <c r="I12" s="25"/>
      <c r="J12" s="25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4"/>
      <c r="F13" s="17">
        <f t="shared" si="0"/>
        <v>0</v>
      </c>
      <c r="G13" s="30"/>
      <c r="H13" s="25"/>
      <c r="I13" s="25"/>
      <c r="J13" s="25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4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4"/>
      <c r="F15" s="17">
        <f t="shared" si="0"/>
        <v>0</v>
      </c>
      <c r="G15" s="30"/>
      <c r="H15" s="25"/>
      <c r="I15" s="25"/>
      <c r="J15" s="30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>
        <v>2</v>
      </c>
      <c r="C16" s="25"/>
      <c r="D16" s="25"/>
      <c r="E16" s="24">
        <v>1</v>
      </c>
      <c r="F16" s="17">
        <f t="shared" si="0"/>
        <v>3</v>
      </c>
      <c r="G16" s="30"/>
      <c r="H16" s="25"/>
      <c r="I16" s="25"/>
      <c r="J16" s="30"/>
      <c r="K16" s="15">
        <f t="shared" si="1"/>
        <v>0</v>
      </c>
      <c r="L16" s="7">
        <f t="shared" si="2"/>
        <v>3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25"/>
      <c r="J17" s="30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4"/>
      <c r="F18" s="17">
        <f t="shared" si="0"/>
        <v>0</v>
      </c>
      <c r="G18" s="30"/>
      <c r="H18" s="25"/>
      <c r="I18" s="25"/>
      <c r="J18" s="30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4"/>
      <c r="F19" s="17">
        <f t="shared" si="0"/>
        <v>0</v>
      </c>
      <c r="G19" s="30"/>
      <c r="H19" s="25"/>
      <c r="I19" s="25"/>
      <c r="J19" s="30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4"/>
      <c r="F20" s="17">
        <f t="shared" si="0"/>
        <v>0</v>
      </c>
      <c r="G20" s="30"/>
      <c r="H20" s="25"/>
      <c r="I20" s="25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4"/>
      <c r="F21" s="17">
        <f t="shared" si="0"/>
        <v>0</v>
      </c>
      <c r="G21" s="30"/>
      <c r="H21" s="25"/>
      <c r="I21" s="25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4"/>
      <c r="F22" s="17">
        <f t="shared" si="0"/>
        <v>0</v>
      </c>
      <c r="G22" s="30"/>
      <c r="H22" s="25"/>
      <c r="I22" s="25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>
        <v>4</v>
      </c>
      <c r="C23" s="25"/>
      <c r="D23" s="25"/>
      <c r="E23" s="24"/>
      <c r="F23" s="17">
        <f t="shared" si="0"/>
        <v>4</v>
      </c>
      <c r="G23" s="30"/>
      <c r="H23" s="25"/>
      <c r="I23" s="25"/>
      <c r="J23" s="30"/>
      <c r="K23" s="15">
        <f t="shared" si="1"/>
        <v>0</v>
      </c>
      <c r="L23" s="7">
        <f t="shared" si="2"/>
        <v>4</v>
      </c>
    </row>
    <row r="24" spans="1:12" ht="15.75" thickBot="1" x14ac:dyDescent="0.3">
      <c r="A24" s="8">
        <v>16</v>
      </c>
      <c r="B24" s="21">
        <v>1</v>
      </c>
      <c r="C24" s="25"/>
      <c r="D24" s="25"/>
      <c r="E24" s="24"/>
      <c r="F24" s="17">
        <f t="shared" si="0"/>
        <v>1</v>
      </c>
      <c r="G24" s="30"/>
      <c r="H24" s="25"/>
      <c r="I24" s="25"/>
      <c r="J24" s="30"/>
      <c r="K24" s="15">
        <f t="shared" si="1"/>
        <v>0</v>
      </c>
      <c r="L24" s="7">
        <f t="shared" si="2"/>
        <v>1</v>
      </c>
    </row>
    <row r="25" spans="1:12" ht="15.75" thickBot="1" x14ac:dyDescent="0.3">
      <c r="A25" s="8">
        <v>17</v>
      </c>
      <c r="B25" s="21"/>
      <c r="C25" s="43"/>
      <c r="D25" s="25"/>
      <c r="E25" s="24"/>
      <c r="F25" s="17">
        <f t="shared" si="0"/>
        <v>0</v>
      </c>
      <c r="G25" s="30"/>
      <c r="H25" s="25"/>
      <c r="I25" s="25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4"/>
      <c r="F26" s="17">
        <f t="shared" si="0"/>
        <v>0</v>
      </c>
      <c r="G26" s="30"/>
      <c r="H26" s="25"/>
      <c r="I26" s="25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4"/>
      <c r="F27" s="17">
        <f t="shared" si="0"/>
        <v>0</v>
      </c>
      <c r="G27" s="30"/>
      <c r="H27" s="25"/>
      <c r="I27" s="25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5"/>
      <c r="D28" s="25"/>
      <c r="E28" s="24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>
        <v>1</v>
      </c>
      <c r="C29" s="25"/>
      <c r="D29" s="25"/>
      <c r="E29" s="24"/>
      <c r="F29" s="17">
        <f t="shared" si="0"/>
        <v>1</v>
      </c>
      <c r="G29" s="30"/>
      <c r="H29" s="25"/>
      <c r="I29" s="25"/>
      <c r="J29" s="30"/>
      <c r="K29" s="15">
        <f t="shared" si="1"/>
        <v>0</v>
      </c>
      <c r="L29" s="7">
        <f t="shared" si="2"/>
        <v>1</v>
      </c>
    </row>
    <row r="30" spans="1:12" ht="15.75" thickBot="1" x14ac:dyDescent="0.3">
      <c r="A30" s="8">
        <v>22</v>
      </c>
      <c r="B30" s="21">
        <v>3</v>
      </c>
      <c r="C30" s="25"/>
      <c r="D30" s="25"/>
      <c r="E30" s="24"/>
      <c r="F30" s="17">
        <f t="shared" si="0"/>
        <v>3</v>
      </c>
      <c r="G30" s="30"/>
      <c r="H30" s="25"/>
      <c r="I30" s="25"/>
      <c r="J30" s="30"/>
      <c r="K30" s="15">
        <f t="shared" si="1"/>
        <v>0</v>
      </c>
      <c r="L30" s="7">
        <f t="shared" si="2"/>
        <v>3</v>
      </c>
    </row>
    <row r="31" spans="1:12" ht="15.75" thickBot="1" x14ac:dyDescent="0.3">
      <c r="A31" s="8">
        <v>23</v>
      </c>
      <c r="B31" s="21">
        <v>12</v>
      </c>
      <c r="C31" s="25"/>
      <c r="D31" s="25"/>
      <c r="E31" s="24"/>
      <c r="F31" s="17">
        <f t="shared" si="0"/>
        <v>12</v>
      </c>
      <c r="G31" s="30"/>
      <c r="H31" s="25"/>
      <c r="I31" s="30"/>
      <c r="J31" s="30"/>
      <c r="K31" s="15">
        <f t="shared" si="1"/>
        <v>0</v>
      </c>
      <c r="L31" s="7">
        <f t="shared" si="2"/>
        <v>12</v>
      </c>
    </row>
    <row r="32" spans="1:12" ht="15.75" thickBot="1" x14ac:dyDescent="0.3">
      <c r="A32" s="8">
        <v>24</v>
      </c>
      <c r="B32" s="21"/>
      <c r="C32" s="25"/>
      <c r="D32" s="25"/>
      <c r="E32" s="24"/>
      <c r="F32" s="17">
        <f t="shared" si="0"/>
        <v>0</v>
      </c>
      <c r="G32" s="30"/>
      <c r="H32" s="25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5"/>
      <c r="D33" s="25"/>
      <c r="E33" s="24"/>
      <c r="F33" s="17">
        <f t="shared" si="0"/>
        <v>0</v>
      </c>
      <c r="G33" s="30"/>
      <c r="H33" s="25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5"/>
      <c r="D34" s="25"/>
      <c r="E34" s="24"/>
      <c r="F34" s="17">
        <f t="shared" si="0"/>
        <v>0</v>
      </c>
      <c r="G34" s="30"/>
      <c r="H34" s="25"/>
      <c r="I34" s="25"/>
      <c r="J34" s="25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>
        <v>7</v>
      </c>
      <c r="C35" s="25"/>
      <c r="D35" s="25">
        <v>2</v>
      </c>
      <c r="E35" s="24"/>
      <c r="F35" s="17">
        <f t="shared" si="0"/>
        <v>9</v>
      </c>
      <c r="G35" s="40"/>
      <c r="H35" s="25"/>
      <c r="I35" s="25"/>
      <c r="J35" s="25"/>
      <c r="K35" s="15">
        <f t="shared" si="1"/>
        <v>0</v>
      </c>
      <c r="L35" s="7">
        <f t="shared" si="2"/>
        <v>9</v>
      </c>
    </row>
    <row r="36" spans="1:12" ht="15.75" thickBot="1" x14ac:dyDescent="0.3">
      <c r="A36" s="8">
        <v>28</v>
      </c>
      <c r="B36" s="21">
        <v>5</v>
      </c>
      <c r="C36" s="25"/>
      <c r="D36" s="25"/>
      <c r="E36" s="24"/>
      <c r="F36" s="17">
        <f t="shared" si="0"/>
        <v>5</v>
      </c>
      <c r="G36" s="30"/>
      <c r="H36" s="25"/>
      <c r="I36" s="25"/>
      <c r="J36" s="25"/>
      <c r="K36" s="15">
        <f t="shared" si="1"/>
        <v>0</v>
      </c>
      <c r="L36" s="7">
        <f t="shared" si="2"/>
        <v>5</v>
      </c>
    </row>
    <row r="37" spans="1:12" ht="15.75" thickBot="1" x14ac:dyDescent="0.3">
      <c r="A37" s="8">
        <v>29</v>
      </c>
      <c r="B37" s="21">
        <v>6</v>
      </c>
      <c r="C37" s="25"/>
      <c r="D37" s="25"/>
      <c r="E37" s="24"/>
      <c r="F37" s="17">
        <f t="shared" si="0"/>
        <v>6</v>
      </c>
      <c r="G37" s="30"/>
      <c r="H37" s="25"/>
      <c r="I37" s="25"/>
      <c r="J37" s="25"/>
      <c r="K37" s="15">
        <f t="shared" si="1"/>
        <v>0</v>
      </c>
      <c r="L37" s="7">
        <f t="shared" si="2"/>
        <v>6</v>
      </c>
    </row>
    <row r="38" spans="1:12" ht="15.75" thickBot="1" x14ac:dyDescent="0.3">
      <c r="A38" s="8">
        <v>30</v>
      </c>
      <c r="B38" s="21"/>
      <c r="C38" s="25"/>
      <c r="D38" s="25"/>
      <c r="E38" s="24"/>
      <c r="F38" s="17">
        <f t="shared" si="0"/>
        <v>0</v>
      </c>
      <c r="G38" s="30"/>
      <c r="H38" s="25"/>
      <c r="I38" s="25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44"/>
      <c r="D39" s="44"/>
      <c r="E39" s="50"/>
      <c r="F39" s="17">
        <f t="shared" si="0"/>
        <v>0</v>
      </c>
      <c r="G39" s="30"/>
      <c r="H39" s="25"/>
      <c r="I39" s="25"/>
      <c r="J39" s="25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6">
        <f>SUM(B9:B39)</f>
        <v>41</v>
      </c>
      <c r="C40" s="46">
        <f t="shared" ref="C40:E40" si="3">SUM(C9:C39)</f>
        <v>0</v>
      </c>
      <c r="D40" s="46">
        <f t="shared" si="3"/>
        <v>2</v>
      </c>
      <c r="E40" s="46">
        <f t="shared" si="3"/>
        <v>1</v>
      </c>
      <c r="F40" s="45">
        <f>SUM(F9:F39)</f>
        <v>44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44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4"/>
      <c r="B42" s="64"/>
      <c r="C42" s="64"/>
      <c r="D42" s="64"/>
      <c r="E42" s="64"/>
      <c r="F42" s="64"/>
      <c r="G42" s="65" t="s">
        <v>17</v>
      </c>
      <c r="H42" s="66"/>
      <c r="I42" s="66" t="s">
        <v>18</v>
      </c>
      <c r="J42" s="67"/>
      <c r="K42" s="11"/>
      <c r="L42" s="13"/>
    </row>
    <row r="43" spans="1:12" ht="15.75" thickBot="1" x14ac:dyDescent="0.3">
      <c r="A43" s="14"/>
      <c r="B43" s="51" t="s">
        <v>19</v>
      </c>
      <c r="C43" s="52"/>
      <c r="D43" s="52"/>
      <c r="E43" s="52"/>
      <c r="F43" s="52"/>
      <c r="G43" s="62">
        <v>136</v>
      </c>
      <c r="H43" s="68"/>
      <c r="I43" s="69"/>
      <c r="J43" s="70"/>
      <c r="K43" s="11"/>
      <c r="L43" s="13"/>
    </row>
    <row r="44" spans="1:12" ht="15.75" thickBot="1" x14ac:dyDescent="0.3">
      <c r="A44" s="14"/>
      <c r="B44" s="51" t="s">
        <v>20</v>
      </c>
      <c r="C44" s="52"/>
      <c r="D44" s="52"/>
      <c r="E44" s="52"/>
      <c r="F44" s="52"/>
      <c r="G44" s="53">
        <v>0</v>
      </c>
      <c r="H44" s="54"/>
      <c r="I44" s="53"/>
      <c r="J44" s="54"/>
      <c r="K44" s="11"/>
      <c r="L44" s="13"/>
    </row>
    <row r="45" spans="1:12" ht="15.75" thickBot="1" x14ac:dyDescent="0.3">
      <c r="A45" s="14"/>
      <c r="B45" s="59" t="s">
        <v>21</v>
      </c>
      <c r="C45" s="59"/>
      <c r="D45" s="59"/>
      <c r="E45" s="59"/>
      <c r="F45" s="51"/>
      <c r="G45" s="60">
        <v>0</v>
      </c>
      <c r="H45" s="61"/>
      <c r="I45" s="62"/>
      <c r="J45" s="63"/>
      <c r="K45" s="11"/>
      <c r="L45" s="13"/>
    </row>
    <row r="46" spans="1:12" ht="15.75" thickBot="1" x14ac:dyDescent="0.3">
      <c r="A46" s="14"/>
      <c r="B46" s="51" t="s">
        <v>22</v>
      </c>
      <c r="C46" s="52"/>
      <c r="D46" s="52"/>
      <c r="E46" s="52"/>
      <c r="F46" s="52"/>
      <c r="G46" s="58">
        <f>L40+G45</f>
        <v>44</v>
      </c>
      <c r="H46" s="54"/>
      <c r="I46" s="53"/>
      <c r="J46" s="54"/>
      <c r="K46" s="11"/>
      <c r="L46" s="13"/>
    </row>
    <row r="47" spans="1:12" ht="15.75" thickBot="1" x14ac:dyDescent="0.3">
      <c r="A47" s="4"/>
      <c r="B47" s="51" t="s">
        <v>23</v>
      </c>
      <c r="C47" s="52"/>
      <c r="D47" s="52"/>
      <c r="E47" s="52"/>
      <c r="F47" s="52"/>
      <c r="G47" s="58">
        <f>G43+G44-G46</f>
        <v>92</v>
      </c>
      <c r="H47" s="54"/>
      <c r="I47" s="53"/>
      <c r="J47" s="54"/>
      <c r="K47" s="11"/>
      <c r="L47" s="3"/>
    </row>
    <row r="48" spans="1:12" ht="15.75" thickBot="1" x14ac:dyDescent="0.3">
      <c r="A48" s="4"/>
      <c r="B48" s="51" t="s">
        <v>24</v>
      </c>
      <c r="C48" s="52"/>
      <c r="D48" s="52"/>
      <c r="E48" s="52"/>
      <c r="F48" s="52"/>
      <c r="G48" s="53">
        <v>87</v>
      </c>
      <c r="H48" s="54"/>
      <c r="I48" s="53"/>
      <c r="J48" s="54"/>
      <c r="K48" s="11"/>
      <c r="L48" s="3"/>
    </row>
    <row r="49" spans="1:12" ht="15.75" thickBot="1" x14ac:dyDescent="0.3">
      <c r="A49" s="4"/>
      <c r="B49" s="51" t="s">
        <v>25</v>
      </c>
      <c r="C49" s="52"/>
      <c r="D49" s="52"/>
      <c r="E49" s="52"/>
      <c r="F49" s="52"/>
      <c r="G49" s="55">
        <f>G47-G48</f>
        <v>5</v>
      </c>
      <c r="H49" s="56"/>
      <c r="I49" s="57"/>
      <c r="J49" s="56"/>
      <c r="K49" s="11"/>
      <c r="L49" s="3"/>
    </row>
    <row r="50" spans="1:12" x14ac:dyDescent="0.25">
      <c r="A50" s="5" t="s">
        <v>26</v>
      </c>
      <c r="B50" s="32"/>
      <c r="C50" s="38"/>
      <c r="D50" s="38"/>
      <c r="E50" s="38"/>
      <c r="F50" s="32"/>
      <c r="G50" s="42"/>
      <c r="H50" s="38"/>
      <c r="I50" s="39" t="s">
        <v>27</v>
      </c>
      <c r="J50" s="38"/>
      <c r="K50" s="32"/>
      <c r="L50" s="1"/>
    </row>
    <row r="51" spans="1:12" ht="3" customHeight="1" x14ac:dyDescent="0.25"/>
    <row r="53" spans="1:12" x14ac:dyDescent="0.25">
      <c r="A53" t="s">
        <v>52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FFA0-F96C-4640-9A86-15F748383A76}">
  <dimension ref="A1:L57"/>
  <sheetViews>
    <sheetView topLeftCell="A35" workbookViewId="0">
      <selection activeCell="A53" sqref="A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2" t="s">
        <v>0</v>
      </c>
      <c r="B1" s="82"/>
      <c r="C1" s="82"/>
      <c r="D1" s="82"/>
      <c r="E1" s="31"/>
      <c r="F1" s="32"/>
      <c r="G1" s="83" t="s">
        <v>1</v>
      </c>
      <c r="H1" s="83"/>
      <c r="I1" s="83"/>
      <c r="J1" s="83"/>
      <c r="K1" s="83"/>
      <c r="L1" s="83"/>
    </row>
    <row r="2" spans="1:12" ht="15.75" x14ac:dyDescent="0.25">
      <c r="A2" s="83" t="s">
        <v>2</v>
      </c>
      <c r="B2" s="83"/>
      <c r="C2" s="83"/>
      <c r="D2" s="83"/>
      <c r="E2" s="31"/>
      <c r="F2" s="32"/>
      <c r="G2" s="84" t="s">
        <v>3</v>
      </c>
      <c r="H2" s="84"/>
      <c r="I2" s="84"/>
      <c r="J2" s="84"/>
      <c r="K2" s="84"/>
      <c r="L2" s="84"/>
    </row>
    <row r="3" spans="1:12" x14ac:dyDescent="0.25">
      <c r="A3" s="84" t="s">
        <v>4</v>
      </c>
      <c r="B3" s="84"/>
      <c r="C3" s="84"/>
      <c r="D3" s="84"/>
      <c r="E3" s="31"/>
      <c r="F3" s="32"/>
      <c r="G3" s="32"/>
      <c r="H3" s="31"/>
      <c r="I3" s="31"/>
      <c r="J3" s="31"/>
      <c r="K3" s="32"/>
      <c r="L3" s="1"/>
    </row>
    <row r="4" spans="1:12" ht="18" x14ac:dyDescent="0.25">
      <c r="A4" s="82" t="s">
        <v>5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2" x14ac:dyDescent="0.25">
      <c r="A5" s="71" t="s">
        <v>53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3"/>
      <c r="I6" s="73"/>
      <c r="J6" s="12"/>
      <c r="K6" s="33"/>
      <c r="L6" s="3"/>
    </row>
    <row r="7" spans="1:12" x14ac:dyDescent="0.25">
      <c r="A7" s="74" t="s">
        <v>7</v>
      </c>
      <c r="B7" s="76" t="s">
        <v>8</v>
      </c>
      <c r="C7" s="77"/>
      <c r="D7" s="77"/>
      <c r="E7" s="77"/>
      <c r="F7" s="78"/>
      <c r="G7" s="79" t="s">
        <v>9</v>
      </c>
      <c r="H7" s="77"/>
      <c r="I7" s="77"/>
      <c r="J7" s="77"/>
      <c r="K7" s="78"/>
      <c r="L7" s="80" t="s">
        <v>10</v>
      </c>
    </row>
    <row r="8" spans="1:12" ht="15.75" thickBot="1" x14ac:dyDescent="0.3">
      <c r="A8" s="75"/>
      <c r="B8" s="34" t="s">
        <v>11</v>
      </c>
      <c r="C8" s="35" t="s">
        <v>12</v>
      </c>
      <c r="D8" s="35" t="s">
        <v>13</v>
      </c>
      <c r="E8" s="35" t="s">
        <v>14</v>
      </c>
      <c r="F8" s="36" t="s">
        <v>15</v>
      </c>
      <c r="G8" s="37" t="s">
        <v>11</v>
      </c>
      <c r="H8" s="35" t="s">
        <v>12</v>
      </c>
      <c r="I8" s="35" t="s">
        <v>13</v>
      </c>
      <c r="J8" s="35" t="s">
        <v>14</v>
      </c>
      <c r="K8" s="36" t="s">
        <v>16</v>
      </c>
      <c r="L8" s="81"/>
    </row>
    <row r="9" spans="1:12" ht="15.75" thickBot="1" x14ac:dyDescent="0.3">
      <c r="A9" s="6">
        <v>1</v>
      </c>
      <c r="B9" s="18">
        <v>2</v>
      </c>
      <c r="C9" s="48"/>
      <c r="D9" s="48"/>
      <c r="E9" s="49"/>
      <c r="F9" s="17">
        <f>SUM(B9:E9)</f>
        <v>2</v>
      </c>
      <c r="G9" s="41"/>
      <c r="H9" s="47"/>
      <c r="I9" s="47"/>
      <c r="J9" s="47"/>
      <c r="K9" s="15">
        <f>SUM(G9:J9)</f>
        <v>0</v>
      </c>
      <c r="L9" s="7">
        <f>SUM(F9+K9)</f>
        <v>2</v>
      </c>
    </row>
    <row r="10" spans="1:12" ht="15.75" thickBot="1" x14ac:dyDescent="0.3">
      <c r="A10" s="8">
        <v>2</v>
      </c>
      <c r="B10" s="21">
        <v>1</v>
      </c>
      <c r="C10" s="25"/>
      <c r="D10" s="25"/>
      <c r="E10" s="24"/>
      <c r="F10" s="17">
        <f t="shared" ref="F10:F39" si="0">SUM(B10:E10)</f>
        <v>1</v>
      </c>
      <c r="G10" s="30"/>
      <c r="H10" s="25"/>
      <c r="I10" s="25"/>
      <c r="J10" s="25"/>
      <c r="K10" s="15">
        <f t="shared" ref="K10:K39" si="1">SUM(G10:J10)</f>
        <v>0</v>
      </c>
      <c r="L10" s="7">
        <f t="shared" ref="L10:L39" si="2">SUM(F10+K10)</f>
        <v>1</v>
      </c>
    </row>
    <row r="11" spans="1:12" ht="15.75" thickBot="1" x14ac:dyDescent="0.3">
      <c r="A11" s="8">
        <v>3</v>
      </c>
      <c r="B11" s="21">
        <v>1</v>
      </c>
      <c r="C11" s="25"/>
      <c r="D11" s="25"/>
      <c r="E11" s="24"/>
      <c r="F11" s="17">
        <f t="shared" si="0"/>
        <v>1</v>
      </c>
      <c r="G11" s="30"/>
      <c r="H11" s="25"/>
      <c r="I11" s="25"/>
      <c r="J11" s="25"/>
      <c r="K11" s="15">
        <f t="shared" si="1"/>
        <v>0</v>
      </c>
      <c r="L11" s="7">
        <f t="shared" si="2"/>
        <v>1</v>
      </c>
    </row>
    <row r="12" spans="1:12" ht="15.75" thickBot="1" x14ac:dyDescent="0.3">
      <c r="A12" s="8">
        <v>4</v>
      </c>
      <c r="B12" s="21">
        <v>11</v>
      </c>
      <c r="C12" s="25"/>
      <c r="D12" s="25"/>
      <c r="E12" s="24"/>
      <c r="F12" s="17">
        <f t="shared" si="0"/>
        <v>11</v>
      </c>
      <c r="G12" s="30"/>
      <c r="H12" s="25"/>
      <c r="I12" s="25"/>
      <c r="J12" s="25"/>
      <c r="K12" s="15">
        <f t="shared" si="1"/>
        <v>0</v>
      </c>
      <c r="L12" s="7">
        <f t="shared" si="2"/>
        <v>11</v>
      </c>
    </row>
    <row r="13" spans="1:12" ht="15.75" thickBot="1" x14ac:dyDescent="0.3">
      <c r="A13" s="8">
        <v>5</v>
      </c>
      <c r="B13" s="21">
        <v>2</v>
      </c>
      <c r="C13" s="25"/>
      <c r="D13" s="25"/>
      <c r="E13" s="24"/>
      <c r="F13" s="17">
        <f t="shared" si="0"/>
        <v>2</v>
      </c>
      <c r="G13" s="30"/>
      <c r="H13" s="25"/>
      <c r="I13" s="25"/>
      <c r="J13" s="25"/>
      <c r="K13" s="15">
        <f t="shared" si="1"/>
        <v>0</v>
      </c>
      <c r="L13" s="7">
        <f t="shared" si="2"/>
        <v>2</v>
      </c>
    </row>
    <row r="14" spans="1:12" ht="15.75" thickBot="1" x14ac:dyDescent="0.3">
      <c r="A14" s="8">
        <v>6</v>
      </c>
      <c r="B14" s="21"/>
      <c r="C14" s="25"/>
      <c r="D14" s="25"/>
      <c r="E14" s="24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4"/>
      <c r="F15" s="17">
        <f t="shared" si="0"/>
        <v>0</v>
      </c>
      <c r="G15" s="30"/>
      <c r="H15" s="25"/>
      <c r="I15" s="25"/>
      <c r="J15" s="30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>
        <v>1</v>
      </c>
      <c r="C16" s="25"/>
      <c r="D16" s="25"/>
      <c r="E16" s="24"/>
      <c r="F16" s="17">
        <f t="shared" si="0"/>
        <v>1</v>
      </c>
      <c r="G16" s="30"/>
      <c r="H16" s="25"/>
      <c r="I16" s="25"/>
      <c r="J16" s="30"/>
      <c r="K16" s="15">
        <f t="shared" si="1"/>
        <v>0</v>
      </c>
      <c r="L16" s="7">
        <f t="shared" si="2"/>
        <v>1</v>
      </c>
    </row>
    <row r="17" spans="1:12" ht="15.75" thickBot="1" x14ac:dyDescent="0.3">
      <c r="A17" s="8">
        <v>9</v>
      </c>
      <c r="B17" s="21">
        <v>2</v>
      </c>
      <c r="C17" s="25"/>
      <c r="D17" s="25"/>
      <c r="E17" s="24"/>
      <c r="F17" s="17">
        <f t="shared" si="0"/>
        <v>2</v>
      </c>
      <c r="G17" s="30"/>
      <c r="H17" s="25"/>
      <c r="I17" s="25"/>
      <c r="J17" s="30"/>
      <c r="K17" s="15">
        <f t="shared" si="1"/>
        <v>0</v>
      </c>
      <c r="L17" s="7">
        <f t="shared" si="2"/>
        <v>2</v>
      </c>
    </row>
    <row r="18" spans="1:12" ht="15.75" thickBot="1" x14ac:dyDescent="0.3">
      <c r="A18" s="8">
        <v>10</v>
      </c>
      <c r="B18" s="21">
        <v>21</v>
      </c>
      <c r="C18" s="25"/>
      <c r="D18" s="25"/>
      <c r="E18" s="24"/>
      <c r="F18" s="17">
        <f t="shared" si="0"/>
        <v>21</v>
      </c>
      <c r="G18" s="30"/>
      <c r="H18" s="25"/>
      <c r="I18" s="25"/>
      <c r="J18" s="30"/>
      <c r="K18" s="15">
        <f t="shared" si="1"/>
        <v>0</v>
      </c>
      <c r="L18" s="7">
        <f t="shared" si="2"/>
        <v>21</v>
      </c>
    </row>
    <row r="19" spans="1:12" ht="15.75" thickBot="1" x14ac:dyDescent="0.3">
      <c r="A19" s="8">
        <v>11</v>
      </c>
      <c r="B19" s="21"/>
      <c r="C19" s="25"/>
      <c r="D19" s="25"/>
      <c r="E19" s="24"/>
      <c r="F19" s="17">
        <f t="shared" si="0"/>
        <v>0</v>
      </c>
      <c r="G19" s="30"/>
      <c r="H19" s="25"/>
      <c r="I19" s="25"/>
      <c r="J19" s="30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>
        <v>4</v>
      </c>
      <c r="C20" s="25"/>
      <c r="D20" s="25">
        <v>1</v>
      </c>
      <c r="E20" s="24"/>
      <c r="F20" s="17">
        <f t="shared" si="0"/>
        <v>5</v>
      </c>
      <c r="G20" s="30"/>
      <c r="H20" s="25"/>
      <c r="I20" s="25"/>
      <c r="J20" s="30"/>
      <c r="K20" s="15">
        <f t="shared" si="1"/>
        <v>0</v>
      </c>
      <c r="L20" s="7">
        <f t="shared" si="2"/>
        <v>5</v>
      </c>
    </row>
    <row r="21" spans="1:12" ht="15.75" thickBot="1" x14ac:dyDescent="0.3">
      <c r="A21" s="8">
        <v>13</v>
      </c>
      <c r="B21" s="21"/>
      <c r="C21" s="25"/>
      <c r="D21" s="25"/>
      <c r="E21" s="24"/>
      <c r="F21" s="17">
        <f t="shared" si="0"/>
        <v>0</v>
      </c>
      <c r="G21" s="30"/>
      <c r="H21" s="25"/>
      <c r="I21" s="25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4"/>
      <c r="F22" s="17">
        <f t="shared" si="0"/>
        <v>0</v>
      </c>
      <c r="G22" s="30"/>
      <c r="H22" s="25"/>
      <c r="I22" s="25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>
        <v>7</v>
      </c>
      <c r="C23" s="25"/>
      <c r="D23" s="25"/>
      <c r="E23" s="24"/>
      <c r="F23" s="17">
        <f t="shared" si="0"/>
        <v>7</v>
      </c>
      <c r="G23" s="30"/>
      <c r="H23" s="25"/>
      <c r="I23" s="25"/>
      <c r="J23" s="30"/>
      <c r="K23" s="15">
        <f t="shared" si="1"/>
        <v>0</v>
      </c>
      <c r="L23" s="7">
        <f t="shared" si="2"/>
        <v>7</v>
      </c>
    </row>
    <row r="24" spans="1:12" ht="15.75" thickBot="1" x14ac:dyDescent="0.3">
      <c r="A24" s="8">
        <v>16</v>
      </c>
      <c r="B24" s="21"/>
      <c r="C24" s="25"/>
      <c r="D24" s="25"/>
      <c r="E24" s="24"/>
      <c r="F24" s="17">
        <f t="shared" si="0"/>
        <v>0</v>
      </c>
      <c r="G24" s="30"/>
      <c r="H24" s="25"/>
      <c r="I24" s="25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>
        <v>2</v>
      </c>
      <c r="C25" s="43"/>
      <c r="D25" s="25"/>
      <c r="E25" s="24"/>
      <c r="F25" s="17">
        <f t="shared" si="0"/>
        <v>2</v>
      </c>
      <c r="G25" s="30"/>
      <c r="H25" s="25"/>
      <c r="I25" s="25"/>
      <c r="J25" s="30"/>
      <c r="K25" s="15">
        <f t="shared" si="1"/>
        <v>0</v>
      </c>
      <c r="L25" s="7">
        <f t="shared" si="2"/>
        <v>2</v>
      </c>
    </row>
    <row r="26" spans="1:12" ht="15.75" thickBot="1" x14ac:dyDescent="0.3">
      <c r="A26" s="8">
        <v>18</v>
      </c>
      <c r="B26" s="21"/>
      <c r="C26" s="25"/>
      <c r="D26" s="25"/>
      <c r="E26" s="24"/>
      <c r="F26" s="17">
        <f t="shared" si="0"/>
        <v>0</v>
      </c>
      <c r="G26" s="30"/>
      <c r="H26" s="25"/>
      <c r="I26" s="25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>
        <v>3</v>
      </c>
      <c r="C27" s="25"/>
      <c r="D27" s="25">
        <v>2</v>
      </c>
      <c r="E27" s="24"/>
      <c r="F27" s="17">
        <f t="shared" si="0"/>
        <v>5</v>
      </c>
      <c r="G27" s="30"/>
      <c r="H27" s="25"/>
      <c r="I27" s="25"/>
      <c r="J27" s="30"/>
      <c r="K27" s="15">
        <f t="shared" si="1"/>
        <v>0</v>
      </c>
      <c r="L27" s="7">
        <f t="shared" si="2"/>
        <v>5</v>
      </c>
    </row>
    <row r="28" spans="1:12" ht="15.75" thickBot="1" x14ac:dyDescent="0.3">
      <c r="A28" s="8">
        <v>20</v>
      </c>
      <c r="B28" s="21"/>
      <c r="C28" s="25"/>
      <c r="D28" s="25"/>
      <c r="E28" s="24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5"/>
      <c r="D29" s="25"/>
      <c r="E29" s="24"/>
      <c r="F29" s="17">
        <f t="shared" si="0"/>
        <v>0</v>
      </c>
      <c r="G29" s="30"/>
      <c r="H29" s="25"/>
      <c r="I29" s="25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>
        <v>7</v>
      </c>
      <c r="C30" s="25"/>
      <c r="D30" s="25"/>
      <c r="E30" s="24"/>
      <c r="F30" s="17">
        <f t="shared" si="0"/>
        <v>7</v>
      </c>
      <c r="G30" s="30"/>
      <c r="H30" s="25"/>
      <c r="I30" s="25"/>
      <c r="J30" s="30"/>
      <c r="K30" s="15">
        <f t="shared" si="1"/>
        <v>0</v>
      </c>
      <c r="L30" s="7">
        <f t="shared" si="2"/>
        <v>7</v>
      </c>
    </row>
    <row r="31" spans="1:12" ht="15.75" thickBot="1" x14ac:dyDescent="0.3">
      <c r="A31" s="8">
        <v>23</v>
      </c>
      <c r="B31" s="21"/>
      <c r="C31" s="25"/>
      <c r="D31" s="25"/>
      <c r="E31" s="24"/>
      <c r="F31" s="17">
        <f t="shared" si="0"/>
        <v>0</v>
      </c>
      <c r="G31" s="30"/>
      <c r="H31" s="25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5"/>
      <c r="D32" s="25">
        <v>1</v>
      </c>
      <c r="E32" s="24"/>
      <c r="F32" s="17">
        <f t="shared" si="0"/>
        <v>1</v>
      </c>
      <c r="G32" s="30"/>
      <c r="H32" s="25"/>
      <c r="I32" s="30"/>
      <c r="J32" s="30"/>
      <c r="K32" s="15">
        <f t="shared" si="1"/>
        <v>0</v>
      </c>
      <c r="L32" s="7">
        <f t="shared" si="2"/>
        <v>1</v>
      </c>
    </row>
    <row r="33" spans="1:12" ht="15.75" thickBot="1" x14ac:dyDescent="0.3">
      <c r="A33" s="8">
        <v>25</v>
      </c>
      <c r="B33" s="21"/>
      <c r="C33" s="25"/>
      <c r="D33" s="25"/>
      <c r="E33" s="24"/>
      <c r="F33" s="17">
        <f t="shared" si="0"/>
        <v>0</v>
      </c>
      <c r="G33" s="30"/>
      <c r="H33" s="25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>
        <v>7</v>
      </c>
      <c r="C34" s="25"/>
      <c r="D34" s="25"/>
      <c r="E34" s="24"/>
      <c r="F34" s="17">
        <f t="shared" si="0"/>
        <v>7</v>
      </c>
      <c r="G34" s="30"/>
      <c r="H34" s="25"/>
      <c r="I34" s="25"/>
      <c r="J34" s="25"/>
      <c r="K34" s="15">
        <f t="shared" si="1"/>
        <v>0</v>
      </c>
      <c r="L34" s="7">
        <f t="shared" si="2"/>
        <v>7</v>
      </c>
    </row>
    <row r="35" spans="1:12" ht="15.75" thickBot="1" x14ac:dyDescent="0.3">
      <c r="A35" s="8">
        <v>27</v>
      </c>
      <c r="B35" s="21"/>
      <c r="C35" s="25"/>
      <c r="D35" s="25"/>
      <c r="E35" s="24"/>
      <c r="F35" s="17">
        <f t="shared" si="0"/>
        <v>0</v>
      </c>
      <c r="G35" s="40"/>
      <c r="H35" s="25"/>
      <c r="I35" s="25"/>
      <c r="J35" s="25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5"/>
      <c r="D36" s="25"/>
      <c r="E36" s="24"/>
      <c r="F36" s="17">
        <f t="shared" si="0"/>
        <v>0</v>
      </c>
      <c r="G36" s="30"/>
      <c r="H36" s="25"/>
      <c r="I36" s="25"/>
      <c r="J36" s="25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>
        <v>5</v>
      </c>
      <c r="C37" s="25"/>
      <c r="D37" s="25"/>
      <c r="E37" s="24">
        <v>1</v>
      </c>
      <c r="F37" s="17">
        <f t="shared" si="0"/>
        <v>6</v>
      </c>
      <c r="G37" s="30"/>
      <c r="H37" s="25"/>
      <c r="I37" s="25"/>
      <c r="J37" s="25"/>
      <c r="K37" s="15">
        <f t="shared" si="1"/>
        <v>0</v>
      </c>
      <c r="L37" s="7">
        <f t="shared" si="2"/>
        <v>6</v>
      </c>
    </row>
    <row r="38" spans="1:12" ht="15.75" thickBot="1" x14ac:dyDescent="0.3">
      <c r="A38" s="8">
        <v>30</v>
      </c>
      <c r="B38" s="21">
        <v>1</v>
      </c>
      <c r="C38" s="25"/>
      <c r="D38" s="25"/>
      <c r="E38" s="24"/>
      <c r="F38" s="17">
        <f t="shared" si="0"/>
        <v>1</v>
      </c>
      <c r="G38" s="30">
        <v>1</v>
      </c>
      <c r="H38" s="25"/>
      <c r="I38" s="25"/>
      <c r="J38" s="25"/>
      <c r="K38" s="15">
        <f t="shared" si="1"/>
        <v>1</v>
      </c>
      <c r="L38" s="7">
        <f t="shared" si="2"/>
        <v>2</v>
      </c>
    </row>
    <row r="39" spans="1:12" ht="15.75" thickBot="1" x14ac:dyDescent="0.3">
      <c r="A39" s="9">
        <v>31</v>
      </c>
      <c r="B39" s="26">
        <v>1</v>
      </c>
      <c r="C39" s="44"/>
      <c r="D39" s="44">
        <v>1</v>
      </c>
      <c r="E39" s="50"/>
      <c r="F39" s="17">
        <f t="shared" si="0"/>
        <v>2</v>
      </c>
      <c r="G39" s="30"/>
      <c r="H39" s="25"/>
      <c r="I39" s="25"/>
      <c r="J39" s="25"/>
      <c r="K39" s="15">
        <f t="shared" si="1"/>
        <v>0</v>
      </c>
      <c r="L39" s="7">
        <f t="shared" si="2"/>
        <v>2</v>
      </c>
    </row>
    <row r="40" spans="1:12" ht="15.75" thickBot="1" x14ac:dyDescent="0.3">
      <c r="A40" s="10"/>
      <c r="B40" s="46">
        <f>SUM(B9:B39)</f>
        <v>78</v>
      </c>
      <c r="C40" s="46">
        <f t="shared" ref="C40:E40" si="3">SUM(C9:C39)</f>
        <v>0</v>
      </c>
      <c r="D40" s="46">
        <f t="shared" si="3"/>
        <v>5</v>
      </c>
      <c r="E40" s="46">
        <f t="shared" si="3"/>
        <v>1</v>
      </c>
      <c r="F40" s="45">
        <f>SUM(F9:F39)</f>
        <v>84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85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4"/>
      <c r="B42" s="64"/>
      <c r="C42" s="64"/>
      <c r="D42" s="64"/>
      <c r="E42" s="64"/>
      <c r="F42" s="64"/>
      <c r="G42" s="65" t="s">
        <v>17</v>
      </c>
      <c r="H42" s="66"/>
      <c r="I42" s="66" t="s">
        <v>18</v>
      </c>
      <c r="J42" s="67"/>
      <c r="K42" s="11"/>
      <c r="L42" s="13"/>
    </row>
    <row r="43" spans="1:12" ht="15.75" thickBot="1" x14ac:dyDescent="0.3">
      <c r="A43" s="14"/>
      <c r="B43" s="51" t="s">
        <v>19</v>
      </c>
      <c r="C43" s="52"/>
      <c r="D43" s="52"/>
      <c r="E43" s="52"/>
      <c r="F43" s="52"/>
      <c r="G43" s="62">
        <v>87</v>
      </c>
      <c r="H43" s="68"/>
      <c r="I43" s="69"/>
      <c r="J43" s="70"/>
      <c r="K43" s="11"/>
      <c r="L43" s="13"/>
    </row>
    <row r="44" spans="1:12" ht="15.75" thickBot="1" x14ac:dyDescent="0.3">
      <c r="A44" s="14"/>
      <c r="B44" s="51" t="s">
        <v>20</v>
      </c>
      <c r="C44" s="52"/>
      <c r="D44" s="52"/>
      <c r="E44" s="52"/>
      <c r="F44" s="52"/>
      <c r="G44" s="53">
        <v>250</v>
      </c>
      <c r="H44" s="54"/>
      <c r="I44" s="53"/>
      <c r="J44" s="54"/>
      <c r="K44" s="11"/>
      <c r="L44" s="13"/>
    </row>
    <row r="45" spans="1:12" ht="15.75" thickBot="1" x14ac:dyDescent="0.3">
      <c r="A45" s="14"/>
      <c r="B45" s="59" t="s">
        <v>21</v>
      </c>
      <c r="C45" s="59"/>
      <c r="D45" s="59"/>
      <c r="E45" s="59"/>
      <c r="F45" s="51"/>
      <c r="G45" s="60">
        <v>0</v>
      </c>
      <c r="H45" s="61"/>
      <c r="I45" s="62"/>
      <c r="J45" s="63"/>
      <c r="K45" s="11"/>
      <c r="L45" s="13"/>
    </row>
    <row r="46" spans="1:12" ht="15.75" thickBot="1" x14ac:dyDescent="0.3">
      <c r="A46" s="14"/>
      <c r="B46" s="51" t="s">
        <v>22</v>
      </c>
      <c r="C46" s="52"/>
      <c r="D46" s="52"/>
      <c r="E46" s="52"/>
      <c r="F46" s="52"/>
      <c r="G46" s="58">
        <f>L40+G45</f>
        <v>85</v>
      </c>
      <c r="H46" s="54"/>
      <c r="I46" s="53"/>
      <c r="J46" s="54"/>
      <c r="K46" s="11"/>
      <c r="L46" s="13"/>
    </row>
    <row r="47" spans="1:12" ht="15.75" thickBot="1" x14ac:dyDescent="0.3">
      <c r="A47" s="4"/>
      <c r="B47" s="51" t="s">
        <v>23</v>
      </c>
      <c r="C47" s="52"/>
      <c r="D47" s="52"/>
      <c r="E47" s="52"/>
      <c r="F47" s="52"/>
      <c r="G47" s="58">
        <f>G43+G44-G46</f>
        <v>252</v>
      </c>
      <c r="H47" s="54"/>
      <c r="I47" s="53"/>
      <c r="J47" s="54"/>
      <c r="K47" s="11"/>
      <c r="L47" s="3"/>
    </row>
    <row r="48" spans="1:12" ht="15.75" thickBot="1" x14ac:dyDescent="0.3">
      <c r="A48" s="4"/>
      <c r="B48" s="51" t="s">
        <v>24</v>
      </c>
      <c r="C48" s="52"/>
      <c r="D48" s="52"/>
      <c r="E48" s="52"/>
      <c r="F48" s="52"/>
      <c r="G48" s="53">
        <v>199</v>
      </c>
      <c r="H48" s="54"/>
      <c r="I48" s="53"/>
      <c r="J48" s="54"/>
      <c r="K48" s="11"/>
      <c r="L48" s="3"/>
    </row>
    <row r="49" spans="1:12" ht="15.75" thickBot="1" x14ac:dyDescent="0.3">
      <c r="A49" s="4"/>
      <c r="B49" s="51" t="s">
        <v>25</v>
      </c>
      <c r="C49" s="52"/>
      <c r="D49" s="52"/>
      <c r="E49" s="52"/>
      <c r="F49" s="52"/>
      <c r="G49" s="55">
        <f>G47-G48</f>
        <v>53</v>
      </c>
      <c r="H49" s="56"/>
      <c r="I49" s="57"/>
      <c r="J49" s="56"/>
      <c r="K49" s="11"/>
      <c r="L49" s="3"/>
    </row>
    <row r="50" spans="1:12" x14ac:dyDescent="0.25">
      <c r="A50" s="5" t="s">
        <v>26</v>
      </c>
      <c r="B50" s="32"/>
      <c r="C50" s="38"/>
      <c r="D50" s="38"/>
      <c r="E50" s="38"/>
      <c r="F50" s="32"/>
      <c r="G50" s="42"/>
      <c r="H50" s="38"/>
      <c r="I50" s="39" t="s">
        <v>27</v>
      </c>
      <c r="J50" s="38"/>
      <c r="K50" s="32"/>
      <c r="L50" s="1"/>
    </row>
    <row r="51" spans="1:12" ht="3" customHeight="1" x14ac:dyDescent="0.25"/>
    <row r="53" spans="1:12" x14ac:dyDescent="0.25">
      <c r="A53" t="s">
        <v>55</v>
      </c>
    </row>
    <row r="54" spans="1:12" x14ac:dyDescent="0.25">
      <c r="A54" t="s">
        <v>54</v>
      </c>
    </row>
    <row r="55" spans="1:12" x14ac:dyDescent="0.25">
      <c r="A55" t="s">
        <v>56</v>
      </c>
    </row>
    <row r="56" spans="1:12" x14ac:dyDescent="0.25">
      <c r="A56" t="s">
        <v>60</v>
      </c>
    </row>
    <row r="57" spans="1:12" x14ac:dyDescent="0.25">
      <c r="A57" t="s">
        <v>57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0ADE-1C5F-4984-8711-D6F609FB26BE}">
  <dimension ref="A1:L58"/>
  <sheetViews>
    <sheetView tabSelected="1" topLeftCell="A24" workbookViewId="0">
      <selection activeCell="L58" sqref="A1:L5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2" t="s">
        <v>0</v>
      </c>
      <c r="B1" s="82"/>
      <c r="C1" s="82"/>
      <c r="D1" s="82"/>
      <c r="E1" s="31"/>
      <c r="F1" s="32"/>
      <c r="G1" s="83" t="s">
        <v>1</v>
      </c>
      <c r="H1" s="83"/>
      <c r="I1" s="83"/>
      <c r="J1" s="83"/>
      <c r="K1" s="83"/>
      <c r="L1" s="83"/>
    </row>
    <row r="2" spans="1:12" ht="15.75" x14ac:dyDescent="0.25">
      <c r="A2" s="83" t="s">
        <v>2</v>
      </c>
      <c r="B2" s="83"/>
      <c r="C2" s="83"/>
      <c r="D2" s="83"/>
      <c r="E2" s="31"/>
      <c r="F2" s="32"/>
      <c r="G2" s="84" t="s">
        <v>3</v>
      </c>
      <c r="H2" s="84"/>
      <c r="I2" s="84"/>
      <c r="J2" s="84"/>
      <c r="K2" s="84"/>
      <c r="L2" s="84"/>
    </row>
    <row r="3" spans="1:12" x14ac:dyDescent="0.25">
      <c r="A3" s="84" t="s">
        <v>4</v>
      </c>
      <c r="B3" s="84"/>
      <c r="C3" s="84"/>
      <c r="D3" s="84"/>
      <c r="E3" s="31"/>
      <c r="F3" s="32"/>
      <c r="G3" s="32"/>
      <c r="H3" s="31"/>
      <c r="I3" s="31"/>
      <c r="J3" s="31"/>
      <c r="K3" s="32"/>
      <c r="L3" s="1"/>
    </row>
    <row r="4" spans="1:12" ht="18" x14ac:dyDescent="0.25">
      <c r="A4" s="82" t="s">
        <v>5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2" x14ac:dyDescent="0.25">
      <c r="A5" s="71" t="s">
        <v>58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3"/>
      <c r="I6" s="73"/>
      <c r="J6" s="12"/>
      <c r="K6" s="33"/>
      <c r="L6" s="3"/>
    </row>
    <row r="7" spans="1:12" x14ac:dyDescent="0.25">
      <c r="A7" s="74" t="s">
        <v>7</v>
      </c>
      <c r="B7" s="76" t="s">
        <v>8</v>
      </c>
      <c r="C7" s="77"/>
      <c r="D7" s="77"/>
      <c r="E7" s="77"/>
      <c r="F7" s="78"/>
      <c r="G7" s="79" t="s">
        <v>9</v>
      </c>
      <c r="H7" s="77"/>
      <c r="I7" s="77"/>
      <c r="J7" s="77"/>
      <c r="K7" s="78"/>
      <c r="L7" s="80" t="s">
        <v>10</v>
      </c>
    </row>
    <row r="8" spans="1:12" ht="15.75" thickBot="1" x14ac:dyDescent="0.3">
      <c r="A8" s="75"/>
      <c r="B8" s="34" t="s">
        <v>11</v>
      </c>
      <c r="C8" s="35" t="s">
        <v>12</v>
      </c>
      <c r="D8" s="35" t="s">
        <v>13</v>
      </c>
      <c r="E8" s="35" t="s">
        <v>14</v>
      </c>
      <c r="F8" s="36" t="s">
        <v>15</v>
      </c>
      <c r="G8" s="37" t="s">
        <v>11</v>
      </c>
      <c r="H8" s="35" t="s">
        <v>12</v>
      </c>
      <c r="I8" s="35" t="s">
        <v>13</v>
      </c>
      <c r="J8" s="35" t="s">
        <v>14</v>
      </c>
      <c r="K8" s="36" t="s">
        <v>16</v>
      </c>
      <c r="L8" s="81"/>
    </row>
    <row r="9" spans="1:12" ht="15.75" thickBot="1" x14ac:dyDescent="0.3">
      <c r="A9" s="6">
        <v>1</v>
      </c>
      <c r="B9" s="18"/>
      <c r="C9" s="48"/>
      <c r="D9" s="48"/>
      <c r="E9" s="49"/>
      <c r="F9" s="17">
        <f>SUM(B9:E9)</f>
        <v>0</v>
      </c>
      <c r="G9" s="41"/>
      <c r="H9" s="47"/>
      <c r="I9" s="47"/>
      <c r="J9" s="47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>
        <v>4</v>
      </c>
      <c r="C10" s="25"/>
      <c r="D10" s="25"/>
      <c r="E10" s="24"/>
      <c r="F10" s="17">
        <f t="shared" ref="F10:F39" si="0">SUM(B10:E10)</f>
        <v>4</v>
      </c>
      <c r="G10" s="30">
        <v>1</v>
      </c>
      <c r="H10" s="25"/>
      <c r="I10" s="25"/>
      <c r="J10" s="25"/>
      <c r="K10" s="15">
        <f t="shared" ref="K10:K39" si="1">SUM(G10:J10)</f>
        <v>1</v>
      </c>
      <c r="L10" s="7">
        <f t="shared" ref="L10:L39" si="2">SUM(F10+K10)</f>
        <v>5</v>
      </c>
    </row>
    <row r="11" spans="1:12" ht="15.75" thickBot="1" x14ac:dyDescent="0.3">
      <c r="A11" s="8">
        <v>3</v>
      </c>
      <c r="B11" s="21"/>
      <c r="C11" s="25"/>
      <c r="D11" s="25"/>
      <c r="E11" s="24"/>
      <c r="F11" s="17">
        <f t="shared" si="0"/>
        <v>0</v>
      </c>
      <c r="G11" s="30"/>
      <c r="H11" s="25"/>
      <c r="I11" s="25"/>
      <c r="J11" s="25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4"/>
      <c r="F12" s="17">
        <f t="shared" si="0"/>
        <v>0</v>
      </c>
      <c r="G12" s="30"/>
      <c r="H12" s="25"/>
      <c r="I12" s="25"/>
      <c r="J12" s="25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>
        <v>1</v>
      </c>
      <c r="C13" s="25"/>
      <c r="D13" s="25"/>
      <c r="E13" s="24"/>
      <c r="F13" s="17">
        <f t="shared" si="0"/>
        <v>1</v>
      </c>
      <c r="G13" s="30"/>
      <c r="H13" s="25"/>
      <c r="I13" s="25"/>
      <c r="J13" s="25"/>
      <c r="K13" s="15">
        <f t="shared" si="1"/>
        <v>0</v>
      </c>
      <c r="L13" s="7">
        <f t="shared" si="2"/>
        <v>1</v>
      </c>
    </row>
    <row r="14" spans="1:12" ht="15.75" thickBot="1" x14ac:dyDescent="0.3">
      <c r="A14" s="8">
        <v>6</v>
      </c>
      <c r="B14" s="21"/>
      <c r="C14" s="25"/>
      <c r="D14" s="25"/>
      <c r="E14" s="24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4"/>
      <c r="F15" s="17">
        <f t="shared" si="0"/>
        <v>0</v>
      </c>
      <c r="G15" s="30"/>
      <c r="H15" s="25"/>
      <c r="I15" s="25"/>
      <c r="J15" s="30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4"/>
      <c r="F16" s="17">
        <f t="shared" si="0"/>
        <v>0</v>
      </c>
      <c r="G16" s="30"/>
      <c r="H16" s="25"/>
      <c r="I16" s="25"/>
      <c r="J16" s="30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>
        <v>6</v>
      </c>
      <c r="C17" s="25"/>
      <c r="D17" s="25">
        <v>2</v>
      </c>
      <c r="E17" s="24"/>
      <c r="F17" s="17">
        <f t="shared" si="0"/>
        <v>8</v>
      </c>
      <c r="G17" s="30"/>
      <c r="H17" s="25"/>
      <c r="I17" s="25"/>
      <c r="J17" s="30"/>
      <c r="K17" s="15">
        <f t="shared" si="1"/>
        <v>0</v>
      </c>
      <c r="L17" s="7">
        <f t="shared" si="2"/>
        <v>8</v>
      </c>
    </row>
    <row r="18" spans="1:12" ht="15.75" thickBot="1" x14ac:dyDescent="0.3">
      <c r="A18" s="8">
        <v>10</v>
      </c>
      <c r="B18" s="21"/>
      <c r="C18" s="25"/>
      <c r="D18" s="25"/>
      <c r="E18" s="24"/>
      <c r="F18" s="17">
        <f t="shared" si="0"/>
        <v>0</v>
      </c>
      <c r="G18" s="30"/>
      <c r="H18" s="25"/>
      <c r="I18" s="25"/>
      <c r="J18" s="30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4"/>
      <c r="F19" s="17">
        <f t="shared" si="0"/>
        <v>0</v>
      </c>
      <c r="G19" s="30"/>
      <c r="H19" s="25"/>
      <c r="I19" s="25"/>
      <c r="J19" s="30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>
        <v>1</v>
      </c>
      <c r="C20" s="25"/>
      <c r="D20" s="25"/>
      <c r="E20" s="24"/>
      <c r="F20" s="17">
        <f t="shared" si="0"/>
        <v>1</v>
      </c>
      <c r="G20" s="30"/>
      <c r="H20" s="25"/>
      <c r="I20" s="25"/>
      <c r="J20" s="30"/>
      <c r="K20" s="15">
        <f t="shared" si="1"/>
        <v>0</v>
      </c>
      <c r="L20" s="7">
        <f t="shared" si="2"/>
        <v>1</v>
      </c>
    </row>
    <row r="21" spans="1:12" ht="15.75" thickBot="1" x14ac:dyDescent="0.3">
      <c r="A21" s="8">
        <v>13</v>
      </c>
      <c r="B21" s="21">
        <v>4</v>
      </c>
      <c r="C21" s="25"/>
      <c r="D21" s="25"/>
      <c r="E21" s="24"/>
      <c r="F21" s="17">
        <f t="shared" si="0"/>
        <v>4</v>
      </c>
      <c r="G21" s="30"/>
      <c r="H21" s="25"/>
      <c r="I21" s="25"/>
      <c r="J21" s="30"/>
      <c r="K21" s="15">
        <f t="shared" si="1"/>
        <v>0</v>
      </c>
      <c r="L21" s="7">
        <f t="shared" si="2"/>
        <v>4</v>
      </c>
    </row>
    <row r="22" spans="1:12" ht="15.75" thickBot="1" x14ac:dyDescent="0.3">
      <c r="A22" s="8">
        <v>14</v>
      </c>
      <c r="B22" s="21">
        <v>4</v>
      </c>
      <c r="C22" s="25"/>
      <c r="D22" s="25"/>
      <c r="E22" s="24"/>
      <c r="F22" s="17">
        <f t="shared" si="0"/>
        <v>4</v>
      </c>
      <c r="G22" s="30">
        <v>1</v>
      </c>
      <c r="H22" s="25"/>
      <c r="I22" s="25"/>
      <c r="J22" s="30"/>
      <c r="K22" s="15">
        <f t="shared" si="1"/>
        <v>1</v>
      </c>
      <c r="L22" s="7">
        <f t="shared" si="2"/>
        <v>5</v>
      </c>
    </row>
    <row r="23" spans="1:12" ht="15.75" thickBot="1" x14ac:dyDescent="0.3">
      <c r="A23" s="8">
        <v>15</v>
      </c>
      <c r="B23" s="21"/>
      <c r="C23" s="25"/>
      <c r="D23" s="25"/>
      <c r="E23" s="24"/>
      <c r="F23" s="17">
        <f t="shared" si="0"/>
        <v>0</v>
      </c>
      <c r="G23" s="30"/>
      <c r="H23" s="25"/>
      <c r="I23" s="25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>
        <v>7</v>
      </c>
      <c r="C24" s="25"/>
      <c r="D24" s="25"/>
      <c r="E24" s="24"/>
      <c r="F24" s="17">
        <f t="shared" si="0"/>
        <v>7</v>
      </c>
      <c r="G24" s="30"/>
      <c r="H24" s="25"/>
      <c r="I24" s="25"/>
      <c r="J24" s="30"/>
      <c r="K24" s="15">
        <f t="shared" si="1"/>
        <v>0</v>
      </c>
      <c r="L24" s="7">
        <f t="shared" si="2"/>
        <v>7</v>
      </c>
    </row>
    <row r="25" spans="1:12" ht="15.75" thickBot="1" x14ac:dyDescent="0.3">
      <c r="A25" s="8">
        <v>17</v>
      </c>
      <c r="B25" s="21"/>
      <c r="C25" s="43"/>
      <c r="D25" s="25"/>
      <c r="E25" s="24"/>
      <c r="F25" s="17">
        <f t="shared" si="0"/>
        <v>0</v>
      </c>
      <c r="G25" s="30"/>
      <c r="H25" s="25"/>
      <c r="I25" s="25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4"/>
      <c r="F26" s="17">
        <f t="shared" si="0"/>
        <v>0</v>
      </c>
      <c r="G26" s="30"/>
      <c r="H26" s="25"/>
      <c r="I26" s="25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>
        <v>2</v>
      </c>
      <c r="C27" s="25"/>
      <c r="D27" s="25"/>
      <c r="E27" s="24"/>
      <c r="F27" s="17">
        <f t="shared" si="0"/>
        <v>2</v>
      </c>
      <c r="G27" s="30"/>
      <c r="H27" s="25"/>
      <c r="I27" s="25"/>
      <c r="J27" s="30"/>
      <c r="K27" s="15">
        <f t="shared" si="1"/>
        <v>0</v>
      </c>
      <c r="L27" s="7">
        <f t="shared" si="2"/>
        <v>2</v>
      </c>
    </row>
    <row r="28" spans="1:12" ht="15.75" thickBot="1" x14ac:dyDescent="0.3">
      <c r="A28" s="8">
        <v>20</v>
      </c>
      <c r="B28" s="21"/>
      <c r="C28" s="25"/>
      <c r="D28" s="25"/>
      <c r="E28" s="24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5"/>
      <c r="D29" s="25"/>
      <c r="E29" s="24"/>
      <c r="F29" s="17">
        <f t="shared" si="0"/>
        <v>0</v>
      </c>
      <c r="G29" s="30"/>
      <c r="H29" s="25"/>
      <c r="I29" s="25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5"/>
      <c r="D30" s="25"/>
      <c r="E30" s="24"/>
      <c r="F30" s="17">
        <f t="shared" si="0"/>
        <v>0</v>
      </c>
      <c r="G30" s="30"/>
      <c r="H30" s="25"/>
      <c r="I30" s="25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8</v>
      </c>
      <c r="C31" s="25"/>
      <c r="D31" s="25">
        <v>2</v>
      </c>
      <c r="E31" s="24"/>
      <c r="F31" s="17">
        <f t="shared" si="0"/>
        <v>10</v>
      </c>
      <c r="G31" s="30"/>
      <c r="H31" s="25"/>
      <c r="I31" s="30"/>
      <c r="J31" s="30"/>
      <c r="K31" s="15">
        <f t="shared" si="1"/>
        <v>0</v>
      </c>
      <c r="L31" s="7">
        <f t="shared" si="2"/>
        <v>10</v>
      </c>
    </row>
    <row r="32" spans="1:12" ht="15.75" thickBot="1" x14ac:dyDescent="0.3">
      <c r="A32" s="8">
        <v>24</v>
      </c>
      <c r="B32" s="21"/>
      <c r="C32" s="25"/>
      <c r="D32" s="25"/>
      <c r="E32" s="24"/>
      <c r="F32" s="17">
        <f t="shared" si="0"/>
        <v>0</v>
      </c>
      <c r="G32" s="30"/>
      <c r="H32" s="25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5"/>
      <c r="D33" s="25"/>
      <c r="E33" s="24"/>
      <c r="F33" s="17">
        <f t="shared" si="0"/>
        <v>0</v>
      </c>
      <c r="G33" s="30"/>
      <c r="H33" s="25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5"/>
      <c r="D34" s="25"/>
      <c r="E34" s="24"/>
      <c r="F34" s="17">
        <f t="shared" si="0"/>
        <v>0</v>
      </c>
      <c r="G34" s="30"/>
      <c r="H34" s="25"/>
      <c r="I34" s="25"/>
      <c r="J34" s="25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5"/>
      <c r="D35" s="25"/>
      <c r="E35" s="24"/>
      <c r="F35" s="17">
        <f t="shared" si="0"/>
        <v>0</v>
      </c>
      <c r="G35" s="40"/>
      <c r="H35" s="25"/>
      <c r="I35" s="25"/>
      <c r="J35" s="25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5"/>
      <c r="D36" s="25"/>
      <c r="E36" s="24"/>
      <c r="F36" s="17">
        <f t="shared" si="0"/>
        <v>0</v>
      </c>
      <c r="G36" s="30"/>
      <c r="H36" s="25"/>
      <c r="I36" s="25"/>
      <c r="J36" s="25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>
        <v>6</v>
      </c>
      <c r="C37" s="25"/>
      <c r="D37" s="25"/>
      <c r="E37" s="24"/>
      <c r="F37" s="17">
        <f t="shared" si="0"/>
        <v>6</v>
      </c>
      <c r="G37" s="30"/>
      <c r="H37" s="25"/>
      <c r="I37" s="25"/>
      <c r="J37" s="25"/>
      <c r="K37" s="15">
        <f t="shared" si="1"/>
        <v>0</v>
      </c>
      <c r="L37" s="7">
        <f t="shared" si="2"/>
        <v>6</v>
      </c>
    </row>
    <row r="38" spans="1:12" ht="15.75" thickBot="1" x14ac:dyDescent="0.3">
      <c r="A38" s="8">
        <v>30</v>
      </c>
      <c r="B38" s="21">
        <v>2</v>
      </c>
      <c r="C38" s="25"/>
      <c r="D38" s="25">
        <v>1</v>
      </c>
      <c r="E38" s="24"/>
      <c r="F38" s="17">
        <f t="shared" si="0"/>
        <v>3</v>
      </c>
      <c r="G38" s="30"/>
      <c r="H38" s="25"/>
      <c r="I38" s="25"/>
      <c r="J38" s="25"/>
      <c r="K38" s="15">
        <f t="shared" si="1"/>
        <v>0</v>
      </c>
      <c r="L38" s="7">
        <f t="shared" si="2"/>
        <v>3</v>
      </c>
    </row>
    <row r="39" spans="1:12" ht="15.75" thickBot="1" x14ac:dyDescent="0.3">
      <c r="A39" s="9">
        <v>31</v>
      </c>
      <c r="B39" s="26"/>
      <c r="C39" s="44"/>
      <c r="D39" s="44"/>
      <c r="E39" s="50"/>
      <c r="F39" s="17">
        <f t="shared" si="0"/>
        <v>0</v>
      </c>
      <c r="G39" s="30"/>
      <c r="H39" s="25"/>
      <c r="I39" s="25"/>
      <c r="J39" s="25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6">
        <f>SUM(B9:B39)</f>
        <v>45</v>
      </c>
      <c r="C40" s="46">
        <f t="shared" ref="C40:E40" si="3">SUM(C9:C39)</f>
        <v>0</v>
      </c>
      <c r="D40" s="46">
        <f t="shared" si="3"/>
        <v>5</v>
      </c>
      <c r="E40" s="46">
        <f t="shared" si="3"/>
        <v>0</v>
      </c>
      <c r="F40" s="45">
        <f>SUM(F9:F39)</f>
        <v>50</v>
      </c>
      <c r="G40" s="16">
        <f>SUM(G9:G39)</f>
        <v>2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2</v>
      </c>
      <c r="L40" s="16">
        <f t="shared" si="4"/>
        <v>52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4"/>
      <c r="B42" s="64"/>
      <c r="C42" s="64"/>
      <c r="D42" s="64"/>
      <c r="E42" s="64"/>
      <c r="F42" s="64"/>
      <c r="G42" s="65" t="s">
        <v>17</v>
      </c>
      <c r="H42" s="66"/>
      <c r="I42" s="66" t="s">
        <v>18</v>
      </c>
      <c r="J42" s="67"/>
      <c r="K42" s="11"/>
      <c r="L42" s="13"/>
    </row>
    <row r="43" spans="1:12" ht="15.75" thickBot="1" x14ac:dyDescent="0.3">
      <c r="A43" s="14"/>
      <c r="B43" s="51" t="s">
        <v>19</v>
      </c>
      <c r="C43" s="52"/>
      <c r="D43" s="52"/>
      <c r="E43" s="52"/>
      <c r="F43" s="52"/>
      <c r="G43" s="62">
        <v>199</v>
      </c>
      <c r="H43" s="68"/>
      <c r="I43" s="69"/>
      <c r="J43" s="70"/>
      <c r="K43" s="11"/>
      <c r="L43" s="13"/>
    </row>
    <row r="44" spans="1:12" ht="15.75" thickBot="1" x14ac:dyDescent="0.3">
      <c r="A44" s="14"/>
      <c r="B44" s="51" t="s">
        <v>20</v>
      </c>
      <c r="C44" s="52"/>
      <c r="D44" s="52"/>
      <c r="E44" s="52"/>
      <c r="F44" s="52"/>
      <c r="G44" s="53">
        <v>0</v>
      </c>
      <c r="H44" s="54"/>
      <c r="I44" s="53"/>
      <c r="J44" s="54"/>
      <c r="K44" s="11"/>
      <c r="L44" s="13"/>
    </row>
    <row r="45" spans="1:12" ht="15.75" thickBot="1" x14ac:dyDescent="0.3">
      <c r="A45" s="14"/>
      <c r="B45" s="59" t="s">
        <v>21</v>
      </c>
      <c r="C45" s="59"/>
      <c r="D45" s="59"/>
      <c r="E45" s="59"/>
      <c r="F45" s="51"/>
      <c r="G45" s="60">
        <v>0</v>
      </c>
      <c r="H45" s="61"/>
      <c r="I45" s="62"/>
      <c r="J45" s="63"/>
      <c r="K45" s="11"/>
      <c r="L45" s="13"/>
    </row>
    <row r="46" spans="1:12" ht="15.75" thickBot="1" x14ac:dyDescent="0.3">
      <c r="A46" s="14"/>
      <c r="B46" s="51" t="s">
        <v>22</v>
      </c>
      <c r="C46" s="52"/>
      <c r="D46" s="52"/>
      <c r="E46" s="52"/>
      <c r="F46" s="52"/>
      <c r="G46" s="58">
        <f>L40+G45</f>
        <v>52</v>
      </c>
      <c r="H46" s="54"/>
      <c r="I46" s="53"/>
      <c r="J46" s="54"/>
      <c r="K46" s="11"/>
      <c r="L46" s="13"/>
    </row>
    <row r="47" spans="1:12" ht="15.75" thickBot="1" x14ac:dyDescent="0.3">
      <c r="A47" s="4"/>
      <c r="B47" s="51" t="s">
        <v>23</v>
      </c>
      <c r="C47" s="52"/>
      <c r="D47" s="52"/>
      <c r="E47" s="52"/>
      <c r="F47" s="52"/>
      <c r="G47" s="58">
        <f>G43+G44-G46</f>
        <v>147</v>
      </c>
      <c r="H47" s="54"/>
      <c r="I47" s="53"/>
      <c r="J47" s="54"/>
      <c r="K47" s="11"/>
      <c r="L47" s="3"/>
    </row>
    <row r="48" spans="1:12" ht="15.75" thickBot="1" x14ac:dyDescent="0.3">
      <c r="A48" s="4"/>
      <c r="B48" s="51" t="s">
        <v>24</v>
      </c>
      <c r="C48" s="52"/>
      <c r="D48" s="52"/>
      <c r="E48" s="52"/>
      <c r="F48" s="52"/>
      <c r="G48" s="53">
        <v>114</v>
      </c>
      <c r="H48" s="54"/>
      <c r="I48" s="53"/>
      <c r="J48" s="54"/>
      <c r="K48" s="11"/>
      <c r="L48" s="3"/>
    </row>
    <row r="49" spans="1:12" ht="15.75" thickBot="1" x14ac:dyDescent="0.3">
      <c r="A49" s="4"/>
      <c r="B49" s="51" t="s">
        <v>25</v>
      </c>
      <c r="C49" s="52"/>
      <c r="D49" s="52"/>
      <c r="E49" s="52"/>
      <c r="F49" s="52"/>
      <c r="G49" s="55">
        <f>G47-G48</f>
        <v>33</v>
      </c>
      <c r="H49" s="56"/>
      <c r="I49" s="57"/>
      <c r="J49" s="56"/>
      <c r="K49" s="11"/>
      <c r="L49" s="3"/>
    </row>
    <row r="50" spans="1:12" x14ac:dyDescent="0.25">
      <c r="A50" s="5" t="s">
        <v>26</v>
      </c>
      <c r="B50" s="32"/>
      <c r="C50" s="38"/>
      <c r="D50" s="38"/>
      <c r="E50" s="38"/>
      <c r="F50" s="32"/>
      <c r="G50" s="42"/>
      <c r="H50" s="38"/>
      <c r="I50" s="39" t="s">
        <v>27</v>
      </c>
      <c r="J50" s="38"/>
      <c r="K50" s="32"/>
      <c r="L50" s="1"/>
    </row>
    <row r="51" spans="1:12" ht="3" customHeight="1" x14ac:dyDescent="0.25"/>
    <row r="53" spans="1:12" x14ac:dyDescent="0.25">
      <c r="A53" t="s">
        <v>63</v>
      </c>
    </row>
    <row r="54" spans="1:12" x14ac:dyDescent="0.25">
      <c r="A54" t="s">
        <v>62</v>
      </c>
    </row>
    <row r="55" spans="1:12" x14ac:dyDescent="0.25">
      <c r="A55" t="s">
        <v>61</v>
      </c>
    </row>
    <row r="56" spans="1:12" x14ac:dyDescent="0.25">
      <c r="A56" t="s">
        <v>64</v>
      </c>
    </row>
    <row r="57" spans="1:12" x14ac:dyDescent="0.25">
      <c r="A57" t="s">
        <v>65</v>
      </c>
    </row>
    <row r="58" spans="1:12" x14ac:dyDescent="0.25">
      <c r="A58" t="s">
        <v>59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JANVIER 2026</vt:lpstr>
      <vt:lpstr>FEVRIER 2026</vt:lpstr>
      <vt:lpstr>MARS 2026</vt:lpstr>
      <vt:lpstr>AVRIL 2026</vt:lpstr>
      <vt:lpstr>MAI 2026</vt:lpstr>
      <vt:lpstr>Juin 2026</vt:lpstr>
      <vt:lpstr>Juillet 2026</vt:lpstr>
      <vt:lpstr>Aout 2026</vt:lpstr>
      <vt:lpstr>Septembre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HP</cp:lastModifiedBy>
  <cp:lastPrinted>2026-10-01T10:05:52Z</cp:lastPrinted>
  <dcterms:created xsi:type="dcterms:W3CDTF">2014-12-31T15:22:06Z</dcterms:created>
  <dcterms:modified xsi:type="dcterms:W3CDTF">2026-10-01T10:05:54Z</dcterms:modified>
</cp:coreProperties>
</file>