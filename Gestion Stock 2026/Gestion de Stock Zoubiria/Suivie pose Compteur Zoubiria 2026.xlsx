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Zoubiria\"/>
    </mc:Choice>
  </mc:AlternateContent>
  <xr:revisionPtr revIDLastSave="0" documentId="13_ncr:1_{04B0E127-6996-4BDA-9028-8A2787DEE283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  <sheet name="OCTOBRE 2026" sheetId="21" r:id="rId10"/>
  </sheets>
  <definedNames>
    <definedName name="_xlnm.Print_Titles" localSheetId="7">'AOUT 2026'!$1:$6</definedName>
    <definedName name="_xlnm.Print_Titles" localSheetId="3">'AVRIL 2026'!$1:$6</definedName>
    <definedName name="_xlnm.Print_Titles" localSheetId="1">'FEVRIER 2026'!$1:$6</definedName>
    <definedName name="_xlnm.Print_Titles" localSheetId="0">'JANVIER 2026'!$1:$6</definedName>
    <definedName name="_xlnm.Print_Titles" localSheetId="6">'JUILLET 2026'!$1:$6</definedName>
    <definedName name="_xlnm.Print_Titles" localSheetId="5">'JUIN 2026'!$1:$6</definedName>
    <definedName name="_xlnm.Print_Titles" localSheetId="4">'MAI 2026'!$1:$6</definedName>
    <definedName name="_xlnm.Print_Titles" localSheetId="2">'MARS 2026'!$1:$6</definedName>
    <definedName name="_xlnm.Print_Titles" localSheetId="9">'OCTOBRE 2026'!$1:$6</definedName>
    <definedName name="_xlnm.Print_Titles" localSheetId="8">'SEPTEMBRE 2026'!$1:$6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A9" i="20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8" i="20"/>
  <c r="K4" i="20"/>
  <c r="K3" i="20"/>
  <c r="K2" i="20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6" s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s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21" l="1"/>
  <c r="K5" i="20"/>
  <c r="K5" i="19"/>
  <c r="K5" i="14"/>
  <c r="K5" i="12"/>
</calcChain>
</file>

<file path=xl/sharedStrings.xml><?xml version="1.0" encoding="utf-8"?>
<sst xmlns="http://schemas.openxmlformats.org/spreadsheetml/2006/main" count="386" uniqueCount="146">
  <si>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</si>
  <si>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</si>
  <si>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</si>
  <si>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</si>
  <si>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</si>
  <si>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</si>
  <si>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</si>
  <si>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</si>
  <si>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</si>
  <si>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</si>
  <si>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</si>
  <si>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</si>
  <si>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</si>
  <si>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</si>
  <si>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</si>
  <si>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</si>
  <si>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Zoubiria</t>
  </si>
  <si>
    <t>cc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</si>
  <si>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</si>
  <si>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131190</t>
  </si>
  <si>
    <t>15/21</t>
  </si>
  <si>
    <t>2025177843</t>
  </si>
  <si>
    <t>Elimination Forfait</t>
  </si>
  <si>
    <t>2025177220</t>
  </si>
  <si>
    <t>131957</t>
  </si>
  <si>
    <t>2025177680</t>
  </si>
  <si>
    <t>Amari lakhdar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</si>
  <si>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</si>
  <si>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132293</t>
  </si>
  <si>
    <t>NB</t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</si>
  <si>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</si>
  <si>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</si>
  <si>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13</t>
  </si>
  <si>
    <t>2025177477</t>
  </si>
  <si>
    <t>Hosni mhamed</t>
  </si>
  <si>
    <t>NB(157/2026)</t>
  </si>
  <si>
    <t>2025177480</t>
  </si>
  <si>
    <t>NB(158/2026)</t>
  </si>
  <si>
    <t>Benmoussa aek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</si>
  <si>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</si>
  <si>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2025177177</t>
  </si>
  <si>
    <t>NB(165/2026)</t>
  </si>
  <si>
    <t>Bouketab mahfoud</t>
  </si>
  <si>
    <t>2025177174</t>
  </si>
  <si>
    <t>NB(122/2026)</t>
  </si>
  <si>
    <t>Abrous med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</si>
  <si>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</si>
  <si>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 xml:space="preserve">Mois de JUILLET </t>
    </r>
    <r>
      <rPr>
        <b/>
        <sz val="11"/>
        <rFont val="Arial"/>
        <family val="2"/>
      </rPr>
      <t>2026</t>
    </r>
  </si>
  <si>
    <r>
      <t xml:space="preserve">Mois de AOUT </t>
    </r>
    <r>
      <rPr>
        <b/>
        <sz val="11"/>
        <rFont val="Arial"/>
        <family val="2"/>
      </rPr>
      <t>2026</t>
    </r>
  </si>
  <si>
    <t>20/27</t>
  </si>
  <si>
    <t>Houti med</t>
  </si>
  <si>
    <t>NB(271/2026)</t>
  </si>
  <si>
    <t>NB(259/2026)</t>
  </si>
  <si>
    <t>Benzaidoun aissa</t>
  </si>
  <si>
    <t>Ammad daoud</t>
  </si>
  <si>
    <t>NB(254/2026)</t>
  </si>
  <si>
    <t>Berkani rabah</t>
  </si>
  <si>
    <t xml:space="preserve">Laref abdelnebi </t>
  </si>
  <si>
    <t>NB(279/2026)</t>
  </si>
  <si>
    <t>NB(640/2024)</t>
  </si>
  <si>
    <t>Chekou aissa</t>
  </si>
  <si>
    <t>NB(098/2026)</t>
  </si>
  <si>
    <t>Barkat benazouz</t>
  </si>
  <si>
    <t>NB(249/2026)</t>
  </si>
  <si>
    <t>Zoulikha hadda</t>
  </si>
  <si>
    <t>NB(281/2026)</t>
  </si>
  <si>
    <t>Soualhi ahmed</t>
  </si>
  <si>
    <t>NB(278/2026)</t>
  </si>
  <si>
    <t>Laref salem</t>
  </si>
  <si>
    <t>NB(287/2026)</t>
  </si>
  <si>
    <t>Laref farid</t>
  </si>
  <si>
    <t>NB(454/2025)</t>
  </si>
  <si>
    <t>Djellal ahmed</t>
  </si>
  <si>
    <t>NB(296/2026)</t>
  </si>
  <si>
    <t>Ammad fatiha</t>
  </si>
  <si>
    <t>NB(260/2026)</t>
  </si>
  <si>
    <t>Laref fatiha</t>
  </si>
  <si>
    <t>NB(290/2026)</t>
  </si>
  <si>
    <t>NB(167/2025)</t>
  </si>
  <si>
    <t>Boulariah med</t>
  </si>
  <si>
    <t>Tamen sid ali</t>
  </si>
  <si>
    <t>NB(293/2026)</t>
  </si>
  <si>
    <t>Lakli boudaya</t>
  </si>
  <si>
    <t>NB(294/2026)</t>
  </si>
  <si>
    <t>2026144293</t>
  </si>
  <si>
    <t>NB(079/2026)</t>
  </si>
  <si>
    <t>Bouras hamida</t>
  </si>
  <si>
    <t>2026143581</t>
  </si>
  <si>
    <t>Guettas miloud</t>
  </si>
  <si>
    <t>NB(554/2025)</t>
  </si>
  <si>
    <t>2026144291</t>
  </si>
  <si>
    <t>NB(248/2025)</t>
  </si>
  <si>
    <t>2026144296</t>
  </si>
  <si>
    <t>Zenkar yagoub</t>
  </si>
  <si>
    <t>NB(426/2025)</t>
  </si>
  <si>
    <t>2026144292</t>
  </si>
  <si>
    <t>Lasheb aek</t>
  </si>
  <si>
    <t>NB(037/2026)</t>
  </si>
  <si>
    <t>2026144298</t>
  </si>
  <si>
    <t>Chemim yahia</t>
  </si>
  <si>
    <t>NB(118/2026)</t>
  </si>
  <si>
    <t>2026144300</t>
  </si>
  <si>
    <t>Chemim ahmed</t>
  </si>
  <si>
    <t>NB(116/2026)</t>
  </si>
  <si>
    <t>2026144299</t>
  </si>
  <si>
    <t>Chemim abdenour</t>
  </si>
  <si>
    <t>NB(117/2026)</t>
  </si>
  <si>
    <t>Bensadat aissa</t>
  </si>
  <si>
    <t>NB(019/2026)</t>
  </si>
  <si>
    <t>Bensadat boualem</t>
  </si>
  <si>
    <t>NB(020/2026)</t>
  </si>
  <si>
    <t>Bensadat aek</t>
  </si>
  <si>
    <t>NB(021/2026)</t>
  </si>
  <si>
    <t>Bensadat menouar</t>
  </si>
  <si>
    <t>NB(018/2026)</t>
  </si>
  <si>
    <t>Tarfaoui aek</t>
  </si>
  <si>
    <t>NB(220/2026)</t>
  </si>
  <si>
    <t>2026004011</t>
  </si>
  <si>
    <t>2026004012</t>
  </si>
  <si>
    <t>2026004013</t>
  </si>
  <si>
    <t>2026004014</t>
  </si>
  <si>
    <t>2026004015</t>
  </si>
  <si>
    <t>2026004016</t>
  </si>
  <si>
    <t>2026004017</t>
  </si>
  <si>
    <t>2026004018</t>
  </si>
  <si>
    <t>130148</t>
  </si>
  <si>
    <t>2026144266</t>
  </si>
  <si>
    <r>
      <t xml:space="preserve">Mois de SEPTEMBRE </t>
    </r>
    <r>
      <rPr>
        <b/>
        <sz val="11"/>
        <rFont val="Arial"/>
        <family val="2"/>
      </rPr>
      <t>2026</t>
    </r>
  </si>
  <si>
    <t>NB(272/2026)</t>
  </si>
  <si>
    <t>Djellal med</t>
  </si>
  <si>
    <t>NB(109/2026)</t>
  </si>
  <si>
    <t>Amraoui benyoucef</t>
  </si>
  <si>
    <t>Amraoui khadidja</t>
  </si>
  <si>
    <t>Ammad ali</t>
  </si>
  <si>
    <t>NB(362/2026)</t>
  </si>
  <si>
    <t>Berrached aek</t>
  </si>
  <si>
    <t>NB(291/2026)</t>
  </si>
  <si>
    <t>Ziouer khaled</t>
  </si>
  <si>
    <t>NB(203/2026)</t>
  </si>
  <si>
    <t>Djaoui brahim</t>
  </si>
  <si>
    <t>NB(332/2026)</t>
  </si>
  <si>
    <t>NB(102/2026)</t>
  </si>
  <si>
    <t>Zaghdar bensahla</t>
  </si>
  <si>
    <t>NB(370/2026)</t>
  </si>
  <si>
    <t>Louas ahmed</t>
  </si>
  <si>
    <r>
      <t xml:space="preserve">Mois de OCTOBRE </t>
    </r>
    <r>
      <rPr>
        <b/>
        <sz val="11"/>
        <rFont val="Arial"/>
        <family val="2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</si>
</sst>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32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16" fontId="1" fillId="0" borderId="0" xfId="1" applyNumberFormat="1" applyAlignment="1">
      <alignment vertical="center" wrapText="1"/>
    </xf>
    <xf numFmtId="49" fontId="14" fillId="0" borderId="1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4" fontId="14" fillId="0" borderId="1" xfId="1" applyNumberFormat="1" applyFont="1" applyBorder="1" applyAlignment="1">
      <alignment horizontal="center" vertical="center" wrapText="1"/>
    </xf>
    <xf numFmtId="49" fontId="15" fillId="0" borderId="1" xfId="1" applyNumberFormat="1" applyFont="1" applyBorder="1" applyAlignment="1">
      <alignment horizontal="center" vertical="top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7</xdr:row>
      <xdr:rowOff>47625</xdr:rowOff>
    </xdr:from>
    <xdr:to>
      <xdr:col>5</xdr:col>
      <xdr:colOff>1171575</xdr:colOff>
      <xdr:row>45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09602" y="1552575"/>
          <a:ext cx="4067173" cy="7362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8</xdr:row>
      <xdr:rowOff>38100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D256A2FC-D98A-4D2D-943F-11C50CB0DF8F}"/>
            </a:ext>
          </a:extLst>
        </xdr:cNvPr>
        <xdr:cNvCxnSpPr/>
      </xdr:nvCxnSpPr>
      <xdr:spPr>
        <a:xfrm flipH="1">
          <a:off x="609602" y="1733550"/>
          <a:ext cx="4067173" cy="7181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38100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46FDAACF-DF97-4249-B82D-0495A45E187C}"/>
            </a:ext>
          </a:extLst>
        </xdr:cNvPr>
        <xdr:cNvCxnSpPr/>
      </xdr:nvCxnSpPr>
      <xdr:spPr>
        <a:xfrm flipH="1">
          <a:off x="609602" y="1352550"/>
          <a:ext cx="4076698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8</xdr:row>
      <xdr:rowOff>28575</xdr:rowOff>
    </xdr:from>
    <xdr:to>
      <xdr:col>5</xdr:col>
      <xdr:colOff>1162050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EF2AE9C-ECFB-4625-91AF-534FA0CA0797}"/>
            </a:ext>
          </a:extLst>
        </xdr:cNvPr>
        <xdr:cNvCxnSpPr/>
      </xdr:nvCxnSpPr>
      <xdr:spPr>
        <a:xfrm flipH="1">
          <a:off x="609602" y="1724025"/>
          <a:ext cx="4057648" cy="7191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9</xdr:row>
      <xdr:rowOff>47625</xdr:rowOff>
    </xdr:from>
    <xdr:to>
      <xdr:col>5</xdr:col>
      <xdr:colOff>1171575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BA4504FE-58A9-40E0-AB4B-DCBF68A206CC}"/>
            </a:ext>
          </a:extLst>
        </xdr:cNvPr>
        <xdr:cNvCxnSpPr/>
      </xdr:nvCxnSpPr>
      <xdr:spPr>
        <a:xfrm flipH="1">
          <a:off x="609602" y="1933575"/>
          <a:ext cx="4067173" cy="6981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47625</xdr:rowOff>
    </xdr:from>
    <xdr:to>
      <xdr:col>5</xdr:col>
      <xdr:colOff>1162050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F1E5C4DD-013E-490F-9210-63C99AE21262}"/>
            </a:ext>
          </a:extLst>
        </xdr:cNvPr>
        <xdr:cNvCxnSpPr/>
      </xdr:nvCxnSpPr>
      <xdr:spPr>
        <a:xfrm flipH="1">
          <a:off x="609602" y="1362075"/>
          <a:ext cx="4057648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6</xdr:row>
      <xdr:rowOff>47625</xdr:rowOff>
    </xdr:from>
    <xdr:to>
      <xdr:col>5</xdr:col>
      <xdr:colOff>1162050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26A85F78-CD96-4DB0-A432-3C7718EDA0D5}"/>
            </a:ext>
          </a:extLst>
        </xdr:cNvPr>
        <xdr:cNvCxnSpPr/>
      </xdr:nvCxnSpPr>
      <xdr:spPr>
        <a:xfrm flipH="1">
          <a:off x="609602" y="1362075"/>
          <a:ext cx="4057648" cy="7553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37</xdr:row>
      <xdr:rowOff>57150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33E9102D-B090-487C-BCF1-34ACE3628D14}"/>
            </a:ext>
          </a:extLst>
        </xdr:cNvPr>
        <xdr:cNvCxnSpPr/>
      </xdr:nvCxnSpPr>
      <xdr:spPr>
        <a:xfrm flipH="1">
          <a:off x="609602" y="7277100"/>
          <a:ext cx="4076698" cy="1638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15</xdr:row>
      <xdr:rowOff>180975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8CDF7FE1-2A6F-48D8-B531-A3D721FB84E6}"/>
            </a:ext>
          </a:extLst>
        </xdr:cNvPr>
        <xdr:cNvCxnSpPr/>
      </xdr:nvCxnSpPr>
      <xdr:spPr>
        <a:xfrm flipH="1">
          <a:off x="609602" y="3209925"/>
          <a:ext cx="4076698" cy="5705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19052</xdr:colOff>
      <xdr:row>9</xdr:row>
      <xdr:rowOff>47625</xdr:rowOff>
    </xdr:from>
    <xdr:to>
      <xdr:col>5</xdr:col>
      <xdr:colOff>1152525</xdr:colOff>
      <xdr:row>45</xdr:row>
      <xdr:rowOff>171450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32EBF8B1-86FD-4126-898B-92EA6257DAA3}"/>
            </a:ext>
          </a:extLst>
        </xdr:cNvPr>
        <xdr:cNvCxnSpPr/>
      </xdr:nvCxnSpPr>
      <xdr:spPr>
        <a:xfrm flipH="1">
          <a:off x="609602" y="1933575"/>
          <a:ext cx="4048123" cy="6981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O12" sqref="O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1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0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18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 t="s">
        <v>19</v>
      </c>
      <c r="C7" s="10" t="s">
        <v>20</v>
      </c>
      <c r="D7" s="9" t="s">
        <v>21</v>
      </c>
      <c r="E7" s="12">
        <v>46050</v>
      </c>
      <c r="F7" s="19" t="s">
        <v>22</v>
      </c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I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34E7-8933-4E60-A0AC-A17FE2A39089}">
  <dimension ref="A1:K46"/>
  <sheetViews>
    <sheetView workbookViewId="0">
      <selection activeCell="B7" sqref="B7:F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1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1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27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 t="s">
        <v>28</v>
      </c>
      <c r="C7" s="10" t="s">
        <v>20</v>
      </c>
      <c r="D7" s="9" t="s">
        <v>23</v>
      </c>
      <c r="E7" s="12">
        <v>46062</v>
      </c>
      <c r="F7" s="19" t="s">
        <v>29</v>
      </c>
      <c r="G7" s="15">
        <v>1</v>
      </c>
      <c r="H7" s="20" t="s">
        <v>26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24</v>
      </c>
      <c r="C8" s="10" t="s">
        <v>20</v>
      </c>
      <c r="D8" s="9" t="s">
        <v>25</v>
      </c>
      <c r="E8" s="12">
        <v>46062</v>
      </c>
      <c r="F8" s="19" t="s">
        <v>22</v>
      </c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1A12-1E48-4B0E-8755-3544D84B7B06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0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0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30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3CFD-16FA-4457-9C1D-128F252DF9C3}">
  <dimension ref="A1:K46"/>
  <sheetViews>
    <sheetView workbookViewId="0">
      <selection activeCell="H9" sqref="H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0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2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31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9" t="s">
        <v>32</v>
      </c>
      <c r="C7" s="10" t="s">
        <v>20</v>
      </c>
      <c r="D7" s="9" t="s">
        <v>33</v>
      </c>
      <c r="E7" s="12">
        <v>46134</v>
      </c>
      <c r="F7" s="19" t="s">
        <v>35</v>
      </c>
      <c r="G7" s="15">
        <v>1</v>
      </c>
      <c r="H7" s="20" t="s">
        <v>34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32</v>
      </c>
      <c r="C8" s="10" t="s">
        <v>20</v>
      </c>
      <c r="D8" s="9" t="s">
        <v>36</v>
      </c>
      <c r="E8" s="12">
        <v>46134</v>
      </c>
      <c r="F8" s="19" t="s">
        <v>37</v>
      </c>
      <c r="G8" s="15">
        <v>1</v>
      </c>
      <c r="H8" s="2" t="s">
        <v>38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D8A8-A20F-4ADD-84DE-C29A53D550E7}">
  <dimension ref="A1:K46"/>
  <sheetViews>
    <sheetView topLeftCell="A6" workbookViewId="0">
      <selection activeCell="F7" sqref="F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1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2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39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3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>
        <v>131332</v>
      </c>
      <c r="C7" s="10" t="s">
        <v>20</v>
      </c>
      <c r="D7" s="10">
        <v>2025177164</v>
      </c>
      <c r="E7" s="12">
        <v>46146</v>
      </c>
      <c r="F7" s="19" t="s">
        <v>22</v>
      </c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32</v>
      </c>
      <c r="C8" s="10" t="s">
        <v>20</v>
      </c>
      <c r="D8" s="9" t="s">
        <v>43</v>
      </c>
      <c r="E8" s="12">
        <v>46152</v>
      </c>
      <c r="F8" s="19" t="s">
        <v>44</v>
      </c>
      <c r="G8" s="15">
        <v>1</v>
      </c>
      <c r="H8" s="2" t="s">
        <v>45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32</v>
      </c>
      <c r="C9" s="10" t="s">
        <v>20</v>
      </c>
      <c r="D9" s="9" t="s">
        <v>40</v>
      </c>
      <c r="E9" s="12">
        <v>46152</v>
      </c>
      <c r="F9" s="19" t="s">
        <v>41</v>
      </c>
      <c r="G9" s="15">
        <v>1</v>
      </c>
      <c r="H9" s="2" t="s">
        <v>42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A7C-940D-441D-B2FE-44C611D514ED}">
  <dimension ref="A1:K46"/>
  <sheetViews>
    <sheetView workbookViewId="0">
      <selection activeCell="H15" sqref="H1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0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0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46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10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C62E-9CA2-4BB0-8AED-B8DC2DE9F13D}">
  <dimension ref="A1:K46"/>
  <sheetViews>
    <sheetView workbookViewId="0">
      <selection activeCell="B6" sqref="B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0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0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47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10"/>
      <c r="E7" s="12"/>
      <c r="F7" s="19"/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19B1-116B-4C2F-B6D6-D26E17C273E5}">
  <dimension ref="A1:K46"/>
  <sheetViews>
    <sheetView topLeftCell="A14" workbookViewId="0">
      <selection activeCell="F37" sqref="F3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  <col min="9" max="9" width="24.71093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0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30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48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30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>
        <v>13</v>
      </c>
      <c r="C7" s="10" t="s">
        <v>49</v>
      </c>
      <c r="D7" s="10">
        <v>2026003666</v>
      </c>
      <c r="E7" s="12">
        <v>46236</v>
      </c>
      <c r="F7" s="19" t="s">
        <v>71</v>
      </c>
      <c r="G7" s="15">
        <v>1</v>
      </c>
      <c r="H7" s="2" t="s">
        <v>70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10">
        <v>13</v>
      </c>
      <c r="C8" s="10" t="s">
        <v>49</v>
      </c>
      <c r="D8" s="10">
        <v>2026003667</v>
      </c>
      <c r="E8" s="12">
        <v>46236</v>
      </c>
      <c r="F8" s="19" t="s">
        <v>73</v>
      </c>
      <c r="G8" s="15">
        <v>1</v>
      </c>
      <c r="H8" s="20" t="s">
        <v>72</v>
      </c>
      <c r="I8" s="2"/>
      <c r="J8" s="2"/>
      <c r="K8" s="1"/>
    </row>
    <row r="9" spans="1:11" ht="15" customHeight="1" x14ac:dyDescent="0.25">
      <c r="A9" s="14">
        <f t="shared" si="0"/>
        <v>3</v>
      </c>
      <c r="B9" s="10">
        <v>13</v>
      </c>
      <c r="C9" s="10" t="s">
        <v>49</v>
      </c>
      <c r="D9" s="10">
        <v>2026003668</v>
      </c>
      <c r="E9" s="12">
        <v>46236</v>
      </c>
      <c r="F9" s="19" t="s">
        <v>75</v>
      </c>
      <c r="G9" s="15">
        <v>1</v>
      </c>
      <c r="H9" s="2" t="s">
        <v>74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10">
        <v>13</v>
      </c>
      <c r="C10" s="10" t="s">
        <v>49</v>
      </c>
      <c r="D10" s="10">
        <v>2026003669</v>
      </c>
      <c r="E10" s="12">
        <v>46236</v>
      </c>
      <c r="F10" s="19" t="s">
        <v>77</v>
      </c>
      <c r="G10" s="15">
        <v>1</v>
      </c>
      <c r="H10" s="20" t="s">
        <v>76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10">
        <v>13</v>
      </c>
      <c r="C11" s="10" t="s">
        <v>49</v>
      </c>
      <c r="D11" s="10">
        <v>2026003671</v>
      </c>
      <c r="E11" s="12">
        <v>46236</v>
      </c>
      <c r="F11" s="19" t="s">
        <v>51</v>
      </c>
      <c r="G11" s="15">
        <v>1</v>
      </c>
      <c r="H11" s="20" t="s">
        <v>50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10">
        <v>13</v>
      </c>
      <c r="C12" s="10" t="s">
        <v>49</v>
      </c>
      <c r="D12" s="10">
        <v>2026003672</v>
      </c>
      <c r="E12" s="12">
        <v>46236</v>
      </c>
      <c r="F12" s="19" t="s">
        <v>52</v>
      </c>
      <c r="G12" s="15">
        <v>1</v>
      </c>
      <c r="H12" s="2" t="s">
        <v>53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10">
        <v>13</v>
      </c>
      <c r="C13" s="10" t="s">
        <v>49</v>
      </c>
      <c r="D13" s="10">
        <v>2026003673</v>
      </c>
      <c r="E13" s="12">
        <v>46236</v>
      </c>
      <c r="F13" s="19" t="s">
        <v>55</v>
      </c>
      <c r="G13" s="15">
        <v>1</v>
      </c>
      <c r="H13" s="2" t="s">
        <v>54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10">
        <v>13</v>
      </c>
      <c r="C14" s="10" t="s">
        <v>49</v>
      </c>
      <c r="D14" s="10">
        <v>2026003674</v>
      </c>
      <c r="E14" s="12">
        <v>46236</v>
      </c>
      <c r="F14" s="19" t="s">
        <v>59</v>
      </c>
      <c r="G14" s="15">
        <v>1</v>
      </c>
      <c r="H14" s="2" t="s">
        <v>56</v>
      </c>
      <c r="I14" s="2"/>
      <c r="J14" s="2"/>
    </row>
    <row r="15" spans="1:11" ht="15" customHeight="1" x14ac:dyDescent="0.25">
      <c r="A15" s="14">
        <f t="shared" si="0"/>
        <v>9</v>
      </c>
      <c r="B15" s="10">
        <v>13</v>
      </c>
      <c r="C15" s="10" t="s">
        <v>49</v>
      </c>
      <c r="D15" s="10">
        <v>2026003675</v>
      </c>
      <c r="E15" s="12">
        <v>46236</v>
      </c>
      <c r="F15" s="19" t="s">
        <v>58</v>
      </c>
      <c r="G15" s="15">
        <v>1</v>
      </c>
      <c r="H15" s="2" t="s">
        <v>57</v>
      </c>
      <c r="I15" s="2"/>
      <c r="J15" s="2"/>
    </row>
    <row r="16" spans="1:11" ht="15" customHeight="1" x14ac:dyDescent="0.25">
      <c r="A16" s="14">
        <f t="shared" si="0"/>
        <v>10</v>
      </c>
      <c r="B16" s="10">
        <v>13</v>
      </c>
      <c r="C16" s="10" t="s">
        <v>49</v>
      </c>
      <c r="D16" s="10">
        <v>2026003676</v>
      </c>
      <c r="E16" s="12">
        <v>46236</v>
      </c>
      <c r="F16" s="19" t="s">
        <v>61</v>
      </c>
      <c r="G16" s="15">
        <v>1</v>
      </c>
      <c r="H16" s="2" t="s">
        <v>60</v>
      </c>
      <c r="I16" s="2"/>
      <c r="J16" s="2"/>
    </row>
    <row r="17" spans="1:10" ht="15" customHeight="1" x14ac:dyDescent="0.25">
      <c r="A17" s="14">
        <f t="shared" si="0"/>
        <v>11</v>
      </c>
      <c r="B17" s="10">
        <v>13</v>
      </c>
      <c r="C17" s="10" t="s">
        <v>49</v>
      </c>
      <c r="D17" s="10">
        <v>2026003677</v>
      </c>
      <c r="E17" s="12">
        <v>46236</v>
      </c>
      <c r="F17" s="19" t="s">
        <v>63</v>
      </c>
      <c r="G17" s="15">
        <v>1</v>
      </c>
      <c r="H17" s="20" t="s">
        <v>62</v>
      </c>
      <c r="I17" s="2"/>
      <c r="J17" s="2"/>
    </row>
    <row r="18" spans="1:10" ht="15" customHeight="1" x14ac:dyDescent="0.25">
      <c r="A18" s="14">
        <f t="shared" si="0"/>
        <v>12</v>
      </c>
      <c r="B18" s="10">
        <v>13</v>
      </c>
      <c r="C18" s="10" t="s">
        <v>49</v>
      </c>
      <c r="D18" s="10">
        <v>2026003678</v>
      </c>
      <c r="E18" s="12">
        <v>46236</v>
      </c>
      <c r="F18" s="19" t="s">
        <v>65</v>
      </c>
      <c r="G18" s="15">
        <v>1</v>
      </c>
      <c r="H18" s="20" t="s">
        <v>64</v>
      </c>
      <c r="I18" s="2"/>
      <c r="J18" s="2"/>
    </row>
    <row r="19" spans="1:10" ht="15" customHeight="1" x14ac:dyDescent="0.25">
      <c r="A19" s="14">
        <f t="shared" si="0"/>
        <v>13</v>
      </c>
      <c r="B19" s="10">
        <v>13</v>
      </c>
      <c r="C19" s="10" t="s">
        <v>49</v>
      </c>
      <c r="D19" s="10">
        <v>2026003679</v>
      </c>
      <c r="E19" s="12">
        <v>46236</v>
      </c>
      <c r="F19" s="19" t="s">
        <v>67</v>
      </c>
      <c r="G19" s="15">
        <v>1</v>
      </c>
      <c r="H19" s="20" t="s">
        <v>66</v>
      </c>
      <c r="I19" s="2"/>
      <c r="J19" s="2"/>
    </row>
    <row r="20" spans="1:10" ht="15" customHeight="1" x14ac:dyDescent="0.25">
      <c r="A20" s="14">
        <f t="shared" si="0"/>
        <v>14</v>
      </c>
      <c r="B20" s="10">
        <v>13</v>
      </c>
      <c r="C20" s="10" t="s">
        <v>49</v>
      </c>
      <c r="D20" s="10">
        <v>2026003680</v>
      </c>
      <c r="E20" s="12">
        <v>46236</v>
      </c>
      <c r="F20" s="19" t="s">
        <v>69</v>
      </c>
      <c r="G20" s="15">
        <v>1</v>
      </c>
      <c r="H20" s="20" t="s">
        <v>68</v>
      </c>
      <c r="I20" s="2"/>
      <c r="J20" s="2"/>
    </row>
    <row r="21" spans="1:10" ht="15" customHeight="1" x14ac:dyDescent="0.25">
      <c r="A21" s="14">
        <f t="shared" si="0"/>
        <v>15</v>
      </c>
      <c r="B21" s="9" t="s">
        <v>32</v>
      </c>
      <c r="C21" s="10" t="s">
        <v>49</v>
      </c>
      <c r="D21" s="9" t="s">
        <v>117</v>
      </c>
      <c r="E21" s="12">
        <v>46244</v>
      </c>
      <c r="F21" s="19" t="s">
        <v>116</v>
      </c>
      <c r="G21" s="15">
        <v>1</v>
      </c>
      <c r="H21" s="1" t="s">
        <v>115</v>
      </c>
      <c r="I21" s="1"/>
      <c r="J21" s="2"/>
    </row>
    <row r="22" spans="1:10" ht="15" customHeight="1" x14ac:dyDescent="0.25">
      <c r="A22" s="14">
        <f t="shared" si="0"/>
        <v>16</v>
      </c>
      <c r="B22" s="9" t="s">
        <v>32</v>
      </c>
      <c r="C22" s="10" t="s">
        <v>49</v>
      </c>
      <c r="D22" s="9" t="s">
        <v>118</v>
      </c>
      <c r="E22" s="12">
        <v>46244</v>
      </c>
      <c r="F22" s="19" t="s">
        <v>114</v>
      </c>
      <c r="G22" s="15">
        <v>1</v>
      </c>
      <c r="H22" s="1" t="s">
        <v>113</v>
      </c>
      <c r="I22" s="1"/>
      <c r="J22" s="2"/>
    </row>
    <row r="23" spans="1:10" ht="15" customHeight="1" x14ac:dyDescent="0.25">
      <c r="A23" s="14">
        <f t="shared" si="0"/>
        <v>17</v>
      </c>
      <c r="B23" s="9" t="s">
        <v>32</v>
      </c>
      <c r="C23" s="10" t="s">
        <v>49</v>
      </c>
      <c r="D23" s="9" t="s">
        <v>119</v>
      </c>
      <c r="E23" s="12">
        <v>46244</v>
      </c>
      <c r="F23" s="19" t="s">
        <v>112</v>
      </c>
      <c r="G23" s="15">
        <v>1</v>
      </c>
      <c r="H23" s="1" t="s">
        <v>111</v>
      </c>
      <c r="I23" s="1"/>
      <c r="J23" s="2"/>
    </row>
    <row r="24" spans="1:10" ht="15" customHeight="1" x14ac:dyDescent="0.25">
      <c r="A24" s="14">
        <f t="shared" si="0"/>
        <v>18</v>
      </c>
      <c r="B24" s="9" t="s">
        <v>32</v>
      </c>
      <c r="C24" s="10" t="s">
        <v>49</v>
      </c>
      <c r="D24" s="9" t="s">
        <v>120</v>
      </c>
      <c r="E24" s="12">
        <v>46244</v>
      </c>
      <c r="F24" s="19" t="s">
        <v>108</v>
      </c>
      <c r="G24" s="15">
        <v>1</v>
      </c>
      <c r="H24" s="1" t="s">
        <v>107</v>
      </c>
      <c r="I24" s="1"/>
      <c r="J24" s="2"/>
    </row>
    <row r="25" spans="1:10" ht="15" customHeight="1" x14ac:dyDescent="0.25">
      <c r="A25" s="14">
        <f t="shared" si="0"/>
        <v>19</v>
      </c>
      <c r="B25" s="9" t="s">
        <v>32</v>
      </c>
      <c r="C25" s="10" t="s">
        <v>49</v>
      </c>
      <c r="D25" s="9" t="s">
        <v>121</v>
      </c>
      <c r="E25" s="12">
        <v>46244</v>
      </c>
      <c r="F25" s="19" t="s">
        <v>110</v>
      </c>
      <c r="G25" s="15">
        <v>1</v>
      </c>
      <c r="H25" s="1" t="s">
        <v>109</v>
      </c>
      <c r="I25" s="1"/>
      <c r="J25" s="2"/>
    </row>
    <row r="26" spans="1:10" ht="15" customHeight="1" x14ac:dyDescent="0.25">
      <c r="A26" s="14">
        <f t="shared" si="0"/>
        <v>20</v>
      </c>
      <c r="B26" s="9" t="s">
        <v>32</v>
      </c>
      <c r="C26" s="10" t="s">
        <v>49</v>
      </c>
      <c r="D26" s="9" t="s">
        <v>122</v>
      </c>
      <c r="E26" s="12">
        <v>46244</v>
      </c>
      <c r="F26" s="19" t="s">
        <v>78</v>
      </c>
      <c r="G26" s="15">
        <v>1</v>
      </c>
      <c r="H26" s="20" t="s">
        <v>79</v>
      </c>
      <c r="I26" s="2"/>
      <c r="J26" s="2"/>
    </row>
    <row r="27" spans="1:10" ht="15" customHeight="1" x14ac:dyDescent="0.25">
      <c r="A27" s="14">
        <f t="shared" si="0"/>
        <v>21</v>
      </c>
      <c r="B27" s="9" t="s">
        <v>32</v>
      </c>
      <c r="C27" s="10" t="s">
        <v>49</v>
      </c>
      <c r="D27" s="9" t="s">
        <v>123</v>
      </c>
      <c r="E27" s="12">
        <v>46244</v>
      </c>
      <c r="F27" s="19" t="s">
        <v>81</v>
      </c>
      <c r="G27" s="15">
        <v>1</v>
      </c>
      <c r="H27" s="20" t="s">
        <v>80</v>
      </c>
      <c r="I27" s="2"/>
      <c r="J27" s="2"/>
    </row>
    <row r="28" spans="1:10" ht="15" customHeight="1" x14ac:dyDescent="0.25">
      <c r="A28" s="14">
        <f t="shared" si="0"/>
        <v>22</v>
      </c>
      <c r="B28" s="9" t="s">
        <v>32</v>
      </c>
      <c r="C28" s="10" t="s">
        <v>49</v>
      </c>
      <c r="D28" s="9" t="s">
        <v>124</v>
      </c>
      <c r="E28" s="12">
        <v>46244</v>
      </c>
      <c r="F28" s="19" t="s">
        <v>83</v>
      </c>
      <c r="G28" s="15">
        <v>1</v>
      </c>
      <c r="H28" s="20" t="s">
        <v>82</v>
      </c>
      <c r="I28" s="21"/>
      <c r="J28" s="2"/>
    </row>
    <row r="29" spans="1:10" ht="15" customHeight="1" x14ac:dyDescent="0.25">
      <c r="A29" s="14">
        <f t="shared" si="0"/>
        <v>23</v>
      </c>
      <c r="B29" s="9" t="s">
        <v>32</v>
      </c>
      <c r="C29" s="10" t="s">
        <v>20</v>
      </c>
      <c r="D29" s="9" t="s">
        <v>87</v>
      </c>
      <c r="E29" s="12">
        <v>46244</v>
      </c>
      <c r="F29" s="19" t="s">
        <v>89</v>
      </c>
      <c r="G29" s="15">
        <v>1</v>
      </c>
      <c r="H29" s="20" t="s">
        <v>88</v>
      </c>
      <c r="I29" s="2"/>
      <c r="J29" s="1"/>
    </row>
    <row r="30" spans="1:10" ht="15" customHeight="1" x14ac:dyDescent="0.25">
      <c r="A30" s="14">
        <f t="shared" si="0"/>
        <v>24</v>
      </c>
      <c r="B30" s="22" t="s">
        <v>32</v>
      </c>
      <c r="C30" s="23" t="s">
        <v>20</v>
      </c>
      <c r="D30" s="22" t="s">
        <v>90</v>
      </c>
      <c r="E30" s="24">
        <v>46244</v>
      </c>
      <c r="F30" s="25" t="s">
        <v>91</v>
      </c>
      <c r="G30" s="15">
        <v>1</v>
      </c>
      <c r="H30" s="20" t="s">
        <v>26</v>
      </c>
      <c r="I30" s="2"/>
      <c r="J30" s="1"/>
    </row>
    <row r="31" spans="1:10" ht="15" customHeight="1" x14ac:dyDescent="0.25">
      <c r="A31" s="14">
        <f t="shared" si="0"/>
        <v>25</v>
      </c>
      <c r="B31" s="9" t="s">
        <v>32</v>
      </c>
      <c r="C31" s="10" t="s">
        <v>20</v>
      </c>
      <c r="D31" s="9" t="s">
        <v>95</v>
      </c>
      <c r="E31" s="12">
        <v>46244</v>
      </c>
      <c r="F31" s="19" t="s">
        <v>97</v>
      </c>
      <c r="G31" s="15">
        <v>1</v>
      </c>
      <c r="H31" s="20" t="s">
        <v>96</v>
      </c>
      <c r="I31" s="2"/>
      <c r="J31" s="1"/>
    </row>
    <row r="32" spans="1:10" ht="15" customHeight="1" x14ac:dyDescent="0.25">
      <c r="A32" s="14">
        <f t="shared" si="0"/>
        <v>26</v>
      </c>
      <c r="B32" s="9" t="s">
        <v>32</v>
      </c>
      <c r="C32" s="10" t="s">
        <v>20</v>
      </c>
      <c r="D32" s="9" t="s">
        <v>84</v>
      </c>
      <c r="E32" s="12">
        <v>46244</v>
      </c>
      <c r="F32" s="19" t="s">
        <v>85</v>
      </c>
      <c r="G32" s="15">
        <v>1</v>
      </c>
      <c r="H32" s="20" t="s">
        <v>86</v>
      </c>
      <c r="I32" s="2"/>
      <c r="J32" s="1"/>
    </row>
    <row r="33" spans="1:10" ht="15" customHeight="1" x14ac:dyDescent="0.25">
      <c r="A33" s="14">
        <f t="shared" si="0"/>
        <v>27</v>
      </c>
      <c r="B33" s="9" t="s">
        <v>32</v>
      </c>
      <c r="C33" s="10" t="s">
        <v>20</v>
      </c>
      <c r="D33" s="9" t="s">
        <v>92</v>
      </c>
      <c r="E33" s="12">
        <v>46244</v>
      </c>
      <c r="F33" s="19" t="s">
        <v>94</v>
      </c>
      <c r="G33" s="15">
        <v>1</v>
      </c>
      <c r="H33" s="20" t="s">
        <v>93</v>
      </c>
      <c r="I33" s="2"/>
      <c r="J33" s="1"/>
    </row>
    <row r="34" spans="1:10" ht="15" customHeight="1" x14ac:dyDescent="0.25">
      <c r="A34" s="14">
        <f t="shared" si="0"/>
        <v>28</v>
      </c>
      <c r="B34" s="9" t="s">
        <v>32</v>
      </c>
      <c r="C34" s="10" t="s">
        <v>20</v>
      </c>
      <c r="D34" s="9" t="s">
        <v>98</v>
      </c>
      <c r="E34" s="12">
        <v>46244</v>
      </c>
      <c r="F34" s="19" t="s">
        <v>100</v>
      </c>
      <c r="G34" s="15">
        <v>1</v>
      </c>
      <c r="H34" s="1" t="s">
        <v>99</v>
      </c>
      <c r="I34" s="1"/>
      <c r="J34" s="1"/>
    </row>
    <row r="35" spans="1:10" ht="15" customHeight="1" x14ac:dyDescent="0.25">
      <c r="A35" s="14">
        <f t="shared" si="0"/>
        <v>29</v>
      </c>
      <c r="B35" s="9" t="s">
        <v>32</v>
      </c>
      <c r="C35" s="10" t="s">
        <v>20</v>
      </c>
      <c r="D35" s="9" t="s">
        <v>104</v>
      </c>
      <c r="E35" s="12">
        <v>46244</v>
      </c>
      <c r="F35" s="19" t="s">
        <v>106</v>
      </c>
      <c r="G35" s="15">
        <v>1</v>
      </c>
      <c r="H35" s="1" t="s">
        <v>105</v>
      </c>
      <c r="I35" s="1"/>
      <c r="J35" s="1"/>
    </row>
    <row r="36" spans="1:10" ht="15" customHeight="1" x14ac:dyDescent="0.25">
      <c r="A36" s="14">
        <f t="shared" si="0"/>
        <v>30</v>
      </c>
      <c r="B36" s="9" t="s">
        <v>32</v>
      </c>
      <c r="C36" s="10" t="s">
        <v>20</v>
      </c>
      <c r="D36" s="9" t="s">
        <v>101</v>
      </c>
      <c r="E36" s="12">
        <v>46244</v>
      </c>
      <c r="F36" s="19" t="s">
        <v>103</v>
      </c>
      <c r="G36" s="15">
        <v>1</v>
      </c>
      <c r="H36" s="1" t="s">
        <v>102</v>
      </c>
      <c r="I36" s="1"/>
      <c r="J36" s="1"/>
    </row>
    <row r="37" spans="1:10" x14ac:dyDescent="0.25">
      <c r="A37" s="14">
        <f t="shared" si="0"/>
        <v>31</v>
      </c>
      <c r="B37" s="9" t="s">
        <v>125</v>
      </c>
      <c r="C37" s="10" t="s">
        <v>20</v>
      </c>
      <c r="D37" s="9" t="s">
        <v>126</v>
      </c>
      <c r="E37" s="12">
        <v>46265</v>
      </c>
      <c r="F37" s="19" t="s">
        <v>22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I36">
    <sortCondition ref="E7:E36"/>
    <sortCondition ref="D7:D3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honeticPr fontId="13" type="noConversion"/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53CF-2220-448E-A89E-134DF0870589}">
  <dimension ref="A1:K46"/>
  <sheetViews>
    <sheetView workbookViewId="0">
      <selection activeCell="F14" sqref="F14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  <col min="9" max="9" width="24.71093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1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9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127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10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>
        <v>13</v>
      </c>
      <c r="C7" s="10" t="s">
        <v>49</v>
      </c>
      <c r="D7" s="10">
        <v>2026003649</v>
      </c>
      <c r="E7" s="12">
        <v>46272</v>
      </c>
      <c r="F7" s="19" t="s">
        <v>138</v>
      </c>
      <c r="G7" s="15">
        <v>1</v>
      </c>
      <c r="H7" s="2" t="s">
        <v>137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10">
        <v>13</v>
      </c>
      <c r="C8" s="10" t="s">
        <v>49</v>
      </c>
      <c r="D8" s="10">
        <v>2026004091</v>
      </c>
      <c r="E8" s="12">
        <v>46272</v>
      </c>
      <c r="F8" s="19" t="s">
        <v>130</v>
      </c>
      <c r="G8" s="15">
        <v>1</v>
      </c>
      <c r="H8" s="20" t="s">
        <v>129</v>
      </c>
      <c r="I8" s="2"/>
      <c r="J8" s="2"/>
      <c r="K8" s="1"/>
    </row>
    <row r="9" spans="1:11" ht="15" customHeight="1" x14ac:dyDescent="0.25">
      <c r="A9" s="14">
        <f t="shared" si="0"/>
        <v>3</v>
      </c>
      <c r="B9" s="10">
        <v>13</v>
      </c>
      <c r="C9" s="10" t="s">
        <v>49</v>
      </c>
      <c r="D9" s="10">
        <v>2026004092</v>
      </c>
      <c r="E9" s="12">
        <v>46272</v>
      </c>
      <c r="F9" s="19" t="s">
        <v>128</v>
      </c>
      <c r="G9" s="15">
        <v>1</v>
      </c>
      <c r="H9" s="2" t="s">
        <v>131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10">
        <v>13</v>
      </c>
      <c r="C10" s="10" t="s">
        <v>49</v>
      </c>
      <c r="D10" s="10">
        <v>2026004093</v>
      </c>
      <c r="E10" s="12">
        <v>46272</v>
      </c>
      <c r="F10" s="19" t="s">
        <v>134</v>
      </c>
      <c r="G10" s="15">
        <v>1</v>
      </c>
      <c r="H10" s="20" t="s">
        <v>133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10">
        <v>13</v>
      </c>
      <c r="C11" s="10" t="s">
        <v>49</v>
      </c>
      <c r="D11" s="10">
        <v>2026004094</v>
      </c>
      <c r="E11" s="12">
        <v>46272</v>
      </c>
      <c r="F11" s="19" t="s">
        <v>136</v>
      </c>
      <c r="G11" s="15">
        <v>1</v>
      </c>
      <c r="H11" s="20" t="s">
        <v>135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10">
        <v>13</v>
      </c>
      <c r="C12" s="10" t="s">
        <v>49</v>
      </c>
      <c r="D12" s="10">
        <v>2026004095</v>
      </c>
      <c r="E12" s="12">
        <v>46272</v>
      </c>
      <c r="F12" s="19" t="s">
        <v>130</v>
      </c>
      <c r="G12" s="15">
        <v>1</v>
      </c>
      <c r="H12" s="2" t="s">
        <v>132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10">
        <v>13</v>
      </c>
      <c r="C13" s="10" t="s">
        <v>49</v>
      </c>
      <c r="D13" s="10">
        <v>2026004098</v>
      </c>
      <c r="E13" s="12">
        <v>46272</v>
      </c>
      <c r="F13" s="19" t="s">
        <v>140</v>
      </c>
      <c r="G13" s="15">
        <v>1</v>
      </c>
      <c r="H13" s="2" t="s">
        <v>139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10">
        <v>131965</v>
      </c>
      <c r="C14" s="10" t="s">
        <v>20</v>
      </c>
      <c r="D14" s="10">
        <v>2026143454</v>
      </c>
      <c r="E14" s="12">
        <v>46273</v>
      </c>
      <c r="F14" s="19" t="s">
        <v>22</v>
      </c>
      <c r="G14" s="15">
        <v>1</v>
      </c>
      <c r="H14" s="2"/>
      <c r="I14" s="2"/>
      <c r="J14" s="2"/>
    </row>
    <row r="15" spans="1:11" ht="15" customHeight="1" x14ac:dyDescent="0.25">
      <c r="A15" s="14">
        <f t="shared" si="0"/>
        <v>9</v>
      </c>
      <c r="B15" s="10">
        <v>13</v>
      </c>
      <c r="C15" s="10" t="s">
        <v>49</v>
      </c>
      <c r="D15" s="10">
        <v>2026003635</v>
      </c>
      <c r="E15" s="12">
        <v>46294</v>
      </c>
      <c r="F15" s="19" t="s">
        <v>143</v>
      </c>
      <c r="G15" s="15">
        <v>1</v>
      </c>
      <c r="H15" s="2" t="s">
        <v>144</v>
      </c>
      <c r="I15" s="2"/>
      <c r="J15" s="2"/>
    </row>
    <row r="16" spans="1:11" ht="15" customHeight="1" x14ac:dyDescent="0.25">
      <c r="A16" s="14">
        <f t="shared" si="0"/>
        <v>10</v>
      </c>
      <c r="B16" s="10">
        <v>13</v>
      </c>
      <c r="C16" s="10" t="s">
        <v>20</v>
      </c>
      <c r="D16" s="10">
        <v>2026143433</v>
      </c>
      <c r="E16" s="12">
        <v>46294</v>
      </c>
      <c r="F16" s="19" t="s">
        <v>141</v>
      </c>
      <c r="G16" s="15">
        <v>1</v>
      </c>
      <c r="H16" s="2" t="s">
        <v>142</v>
      </c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10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10"/>
      <c r="C18" s="10"/>
      <c r="D18" s="10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10"/>
      <c r="C19" s="10"/>
      <c r="D19" s="10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10"/>
      <c r="C20" s="10"/>
      <c r="D20" s="10"/>
      <c r="E20" s="12"/>
      <c r="F20" s="19"/>
      <c r="G20" s="15">
        <v>1</v>
      </c>
      <c r="H20" s="20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1"/>
      <c r="I21" s="1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1"/>
      <c r="I22" s="1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"/>
      <c r="I23" s="1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"/>
      <c r="I24" s="1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"/>
      <c r="I25" s="1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0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1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0"/>
      <c r="I29" s="2"/>
      <c r="J29" s="1"/>
    </row>
    <row r="30" spans="1:10" ht="15" customHeight="1" x14ac:dyDescent="0.25">
      <c r="A30" s="14">
        <f t="shared" si="0"/>
        <v>24</v>
      </c>
      <c r="B30" s="22"/>
      <c r="C30" s="23"/>
      <c r="D30" s="22"/>
      <c r="E30" s="24"/>
      <c r="F30" s="25"/>
      <c r="G30" s="15">
        <v>1</v>
      </c>
      <c r="H30" s="20"/>
      <c r="I30" s="2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20"/>
      <c r="I31" s="2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20"/>
      <c r="I32" s="2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20"/>
      <c r="I33" s="2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0332-9A23-48B9-B246-E874BB4025A5}">
  <dimension ref="A1:K46"/>
  <sheetViews>
    <sheetView tabSelected="1" workbookViewId="0">
      <selection activeCell="H16" sqref="H1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  <col min="9" max="9" width="24.7109375" customWidth="1"/>
  </cols>
  <sheetData>
    <row r="1" spans="1:11" ht="18" x14ac:dyDescent="0.25">
      <c r="A1" s="26" t="s">
        <v>0</v>
      </c>
      <c r="B1" s="26"/>
      <c r="C1" s="26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0" t="s">
        <v>2</v>
      </c>
      <c r="B2" s="30"/>
      <c r="C2" s="30"/>
      <c r="D2" s="6"/>
      <c r="E2" s="31" t="s">
        <v>3</v>
      </c>
      <c r="F2" s="31"/>
      <c r="G2" s="4"/>
      <c r="H2" s="4"/>
      <c r="I2" s="27" t="s">
        <v>4</v>
      </c>
      <c r="J2" s="28"/>
      <c r="K2" s="16">
        <f>SUMIF(F7:F36,"Elimination*",G7:G36)</f>
        <v>3</v>
      </c>
    </row>
    <row r="3" spans="1:11" x14ac:dyDescent="0.25">
      <c r="A3" s="31" t="s">
        <v>5</v>
      </c>
      <c r="B3" s="31"/>
      <c r="C3" s="31"/>
      <c r="D3" s="5"/>
      <c r="E3" s="31" t="s">
        <v>16</v>
      </c>
      <c r="F3" s="31"/>
      <c r="G3" s="4"/>
      <c r="H3" s="4"/>
      <c r="I3" s="27" t="s">
        <v>6</v>
      </c>
      <c r="J3" s="28"/>
      <c r="K3" s="16">
        <f>SUMIF(F7:F36,"NB*",G7:G36)</f>
        <v>0</v>
      </c>
    </row>
    <row r="4" spans="1:11" ht="18" x14ac:dyDescent="0.25">
      <c r="A4" s="26" t="s">
        <v>7</v>
      </c>
      <c r="B4" s="26"/>
      <c r="C4" s="26"/>
      <c r="D4" s="26"/>
      <c r="E4" s="26"/>
      <c r="F4" s="26"/>
      <c r="G4" s="4"/>
      <c r="H4" s="4"/>
      <c r="I4" s="27" t="s">
        <v>8</v>
      </c>
      <c r="J4" s="28"/>
      <c r="K4" s="16">
        <f>SUMIF(F7:F36,"Ve*",G7:G36)</f>
        <v>0</v>
      </c>
    </row>
    <row r="5" spans="1:11" ht="15.75" x14ac:dyDescent="0.25">
      <c r="A5" s="29" t="s">
        <v>145</v>
      </c>
      <c r="B5" s="29"/>
      <c r="C5" s="29"/>
      <c r="D5" s="29"/>
      <c r="E5" s="29"/>
      <c r="F5" s="29"/>
      <c r="G5" s="17"/>
      <c r="H5" s="17"/>
      <c r="I5" s="27" t="s">
        <v>9</v>
      </c>
      <c r="J5" s="28"/>
      <c r="K5" s="18">
        <f>SUM(K2:K4)</f>
        <v>3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>
        <v>131295</v>
      </c>
      <c r="C7" s="10" t="s">
        <v>20</v>
      </c>
      <c r="D7" s="10">
        <v>2026143565</v>
      </c>
      <c r="E7" s="12">
        <v>46306</v>
      </c>
      <c r="F7" s="19" t="s">
        <v>22</v>
      </c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10">
        <v>130096</v>
      </c>
      <c r="C8" s="10" t="s">
        <v>20</v>
      </c>
      <c r="D8" s="10">
        <v>2026143566</v>
      </c>
      <c r="E8" s="12">
        <v>46307</v>
      </c>
      <c r="F8" s="19" t="s">
        <v>22</v>
      </c>
      <c r="G8" s="15">
        <v>1</v>
      </c>
      <c r="H8" s="20"/>
      <c r="I8" s="2"/>
      <c r="J8" s="2"/>
      <c r="K8" s="1"/>
    </row>
    <row r="9" spans="1:11" ht="15" customHeight="1" x14ac:dyDescent="0.25">
      <c r="A9" s="14">
        <f t="shared" si="0"/>
        <v>3</v>
      </c>
      <c r="B9" s="10">
        <v>131261</v>
      </c>
      <c r="C9" s="10" t="s">
        <v>20</v>
      </c>
      <c r="D9" s="10">
        <v>2026144371</v>
      </c>
      <c r="E9" s="12">
        <v>46307</v>
      </c>
      <c r="F9" s="19" t="s">
        <v>22</v>
      </c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10"/>
      <c r="E10" s="12"/>
      <c r="F10" s="19"/>
      <c r="G10" s="15">
        <v>1</v>
      </c>
      <c r="H10" s="20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10"/>
      <c r="E11" s="12"/>
      <c r="F11" s="19"/>
      <c r="G11" s="15">
        <v>1</v>
      </c>
      <c r="H11" s="20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10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10"/>
      <c r="E13" s="12"/>
      <c r="F13" s="19"/>
      <c r="G13" s="15">
        <v>1</v>
      </c>
      <c r="H13" s="2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10"/>
      <c r="E14" s="12"/>
      <c r="F14" s="19"/>
      <c r="G14" s="15">
        <v>1</v>
      </c>
      <c r="H14" s="2"/>
      <c r="I14" s="2"/>
      <c r="J14" s="2"/>
    </row>
    <row r="15" spans="1:11" ht="15" customHeight="1" x14ac:dyDescent="0.25">
      <c r="A15" s="14">
        <f t="shared" si="0"/>
        <v>9</v>
      </c>
      <c r="B15" s="10"/>
      <c r="C15" s="10"/>
      <c r="D15" s="10"/>
      <c r="E15" s="12"/>
      <c r="F15" s="19"/>
      <c r="G15" s="15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10"/>
      <c r="E16" s="12"/>
      <c r="F16" s="19"/>
      <c r="G16" s="15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0"/>
      <c r="C17" s="10"/>
      <c r="D17" s="10"/>
      <c r="E17" s="12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10"/>
      <c r="C18" s="10"/>
      <c r="D18" s="10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10"/>
      <c r="C19" s="10"/>
      <c r="D19" s="10"/>
      <c r="E19" s="12"/>
      <c r="F19" s="19"/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10"/>
      <c r="C20" s="10"/>
      <c r="D20" s="10"/>
      <c r="E20" s="12"/>
      <c r="F20" s="19"/>
      <c r="G20" s="15">
        <v>1</v>
      </c>
      <c r="H20" s="20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1"/>
      <c r="I21" s="1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1"/>
      <c r="I22" s="1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"/>
      <c r="I23" s="1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"/>
      <c r="I24" s="1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"/>
      <c r="I25" s="1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20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1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20"/>
      <c r="I29" s="2"/>
      <c r="J29" s="1"/>
    </row>
    <row r="30" spans="1:10" ht="15" customHeight="1" x14ac:dyDescent="0.25">
      <c r="A30" s="14">
        <f t="shared" si="0"/>
        <v>24</v>
      </c>
      <c r="B30" s="22"/>
      <c r="C30" s="23"/>
      <c r="D30" s="22"/>
      <c r="E30" s="24"/>
      <c r="F30" s="25"/>
      <c r="G30" s="15">
        <v>1</v>
      </c>
      <c r="H30" s="20"/>
      <c r="I30" s="2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20"/>
      <c r="I31" s="2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20"/>
      <c r="I32" s="2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20"/>
      <c r="I33" s="2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</row>
  </sheetData>
  <sortState xmlns:xlrd2="http://schemas.microsoft.com/office/spreadsheetml/2017/richdata2" ref="B7:F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'AOUT 2026'!Impression_des_titres</vt:lpstr>
      <vt:lpstr>'AVRIL 2026'!Impression_des_titres</vt:lpstr>
      <vt:lpstr>'FEVRIER 2026'!Impression_des_titres</vt:lpstr>
      <vt:lpstr>'JANVIER 2026'!Impression_des_titres</vt:lpstr>
      <vt:lpstr>'JUILLET 2026'!Impression_des_titres</vt:lpstr>
      <vt:lpstr>'JUIN 2026'!Impression_des_titres</vt:lpstr>
      <vt:lpstr>'MAI 2026'!Impression_des_titres</vt:lpstr>
      <vt:lpstr>'MARS 2026'!Impression_des_titres</vt:lpstr>
      <vt:lpstr>'OCTOBRE 2026'!Impression_des_titres</vt:lpstr>
      <vt:lpstr>'SEPTEMBRE 2026'!Impression_des_titres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2026-10-01T09:55:08Z</cp:lastPrinted>
  <dcterms:created xsi:type="dcterms:W3CDTF">2014-12-31T15:00:30Z</dcterms:created>
  <dcterms:modified xsi:type="dcterms:W3CDTF">2026-10-12T14:57:21Z</dcterms:modified>
</cp:coreProperties>
</file>