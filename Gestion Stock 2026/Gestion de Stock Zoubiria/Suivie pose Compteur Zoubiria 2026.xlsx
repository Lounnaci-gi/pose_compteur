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Zoubiria\"/>
    </mc:Choice>
  </mc:AlternateContent>
  <xr:revisionPtr revIDLastSave="0" documentId="13_ncr:1_{B0322EF0-DDAC-4779-A17E-DE883CDF2947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</sheets>
  <definedNames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7" l="1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K4" i="17"/>
  <c r="K3" i="17"/>
  <c r="K2" i="17"/>
  <c r="K5" i="17" s="1"/>
  <c r="A8" i="16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K4" i="16"/>
  <c r="K3" i="16"/>
  <c r="K2" i="16"/>
  <c r="K5" i="16" s="1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s="1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s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4" l="1"/>
  <c r="K5" i="12"/>
</calcChain>
</file>

<file path=xl/sharedStrings.xml><?xml version="1.0" encoding="utf-8"?>
<sst xmlns="http://schemas.openxmlformats.org/spreadsheetml/2006/main" count="149" uniqueCount="47">
  <si>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</si>
  <si>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</si>
  <si>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</si>
  <si>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</si>
  <si>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</si>
  <si>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</si>
  <si>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</si>
  <si>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</si>
  <si>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</si>
  <si>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</si>
  <si>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</si>
  <si>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</si>
  <si>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</si>
  <si>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</si>
  <si>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</si>
  <si>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</si>
  <si>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Zoubiria</t>
  </si>
  <si>
    <t>cc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</si>
  <si>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</si>
  <si>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131190</t>
  </si>
  <si>
    <t>15/21</t>
  </si>
  <si>
    <t>2025177843</t>
  </si>
  <si>
    <t>Elimination Forfait</t>
  </si>
  <si>
    <t>2025177220</t>
  </si>
  <si>
    <t>131957</t>
  </si>
  <si>
    <t>2025177680</t>
  </si>
  <si>
    <t>Amari lakhdar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</si>
  <si>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</si>
  <si>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132293</t>
  </si>
  <si>
    <t>NB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</si>
  <si>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</si>
  <si>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</si>
  <si>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</t>
  </si>
  <si>
    <t>2025177477</t>
  </si>
  <si>
    <t>Hosni mhamed</t>
  </si>
  <si>
    <t>NB(157/2026)</t>
  </si>
  <si>
    <t>2025177480</t>
  </si>
  <si>
    <t>NB(158/2026)</t>
  </si>
  <si>
    <t>Benmoussa aek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</si>
  <si>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</si>
  <si>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2025177177</t>
  </si>
  <si>
    <t>NB(165/2026)</t>
  </si>
  <si>
    <t>Bouketab mahfoud</t>
  </si>
  <si>
    <t>2025177174</t>
  </si>
  <si>
    <t>NB(122/2026)</t>
  </si>
  <si>
    <t>Abrous med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</si>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</sst>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7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7</xdr:row>
      <xdr:rowOff>47625</xdr:rowOff>
    </xdr:from>
    <xdr:to>
      <xdr:col>5</xdr:col>
      <xdr:colOff>1171575</xdr:colOff>
      <xdr:row>45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2" y="1552575"/>
          <a:ext cx="4067173" cy="7362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8</xdr:row>
      <xdr:rowOff>38100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D256A2FC-D98A-4D2D-943F-11C50CB0DF8F}"/>
            </a:ext>
          </a:extLst>
        </xdr:cNvPr>
        <xdr:cNvCxnSpPr/>
      </xdr:nvCxnSpPr>
      <xdr:spPr>
        <a:xfrm flipH="1">
          <a:off x="609602" y="1733550"/>
          <a:ext cx="4067173" cy="7181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38100</xdr:rowOff>
    </xdr:from>
    <xdr:to>
      <xdr:col>6</xdr:col>
      <xdr:colOff>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46FDAACF-DF97-4249-B82D-0495A45E187C}"/>
            </a:ext>
          </a:extLst>
        </xdr:cNvPr>
        <xdr:cNvCxnSpPr/>
      </xdr:nvCxnSpPr>
      <xdr:spPr>
        <a:xfrm flipH="1">
          <a:off x="609602" y="1352550"/>
          <a:ext cx="4076698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8</xdr:row>
      <xdr:rowOff>28575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EF2AE9C-ECFB-4625-91AF-534FA0CA0797}"/>
            </a:ext>
          </a:extLst>
        </xdr:cNvPr>
        <xdr:cNvCxnSpPr/>
      </xdr:nvCxnSpPr>
      <xdr:spPr>
        <a:xfrm flipH="1">
          <a:off x="609602" y="1724025"/>
          <a:ext cx="4057648" cy="7191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9</xdr:row>
      <xdr:rowOff>47625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BA4504FE-58A9-40E0-AB4B-DCBF68A206CC}"/>
            </a:ext>
          </a:extLst>
        </xdr:cNvPr>
        <xdr:cNvCxnSpPr/>
      </xdr:nvCxnSpPr>
      <xdr:spPr>
        <a:xfrm flipH="1">
          <a:off x="609602" y="1933575"/>
          <a:ext cx="4067173" cy="6981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47625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F1E5C4DD-013E-490F-9210-63C99AE21262}"/>
            </a:ext>
          </a:extLst>
        </xdr:cNvPr>
        <xdr:cNvCxnSpPr/>
      </xdr:nvCxnSpPr>
      <xdr:spPr>
        <a:xfrm flipH="1">
          <a:off x="609602" y="1362075"/>
          <a:ext cx="4057648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O12" sqref="O1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>SUMIF(F7:F36,"Elimination*",G7:G36)</f>
        <v>1</v>
      </c>
    </row>
    <row r="3" spans="1:11" x14ac:dyDescent="0.25">
      <c r="A3" s="26" t="s">
        <v>5</v>
      </c>
      <c r="B3" s="26"/>
      <c r="C3" s="26"/>
      <c r="D3" s="5"/>
      <c r="E3" s="26" t="s">
        <v>16</v>
      </c>
      <c r="F3" s="26"/>
      <c r="G3" s="4"/>
      <c r="H3" s="4"/>
      <c r="I3" s="22" t="s">
        <v>6</v>
      </c>
      <c r="J3" s="23"/>
      <c r="K3" s="16">
        <f>SUMIF(F7:F36,"NB*",G7:G36)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SUMIF(F7:F36,"Ve*",G7:G36)</f>
        <v>0</v>
      </c>
    </row>
    <row r="5" spans="1:11" ht="15.75" x14ac:dyDescent="0.25">
      <c r="A5" s="24" t="s">
        <v>18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21</v>
      </c>
      <c r="E7" s="12">
        <v>46050</v>
      </c>
      <c r="F7" s="19" t="s">
        <v>22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I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534E7-8933-4E60-A0AC-A17FE2A39089}">
  <dimension ref="A1:K46"/>
  <sheetViews>
    <sheetView workbookViewId="0">
      <selection activeCell="B7" sqref="B7:F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>SUMIF(F7:F36,"Elimination*",G7:G36)</f>
        <v>1</v>
      </c>
    </row>
    <row r="3" spans="1:11" x14ac:dyDescent="0.25">
      <c r="A3" s="26" t="s">
        <v>5</v>
      </c>
      <c r="B3" s="26"/>
      <c r="C3" s="26"/>
      <c r="D3" s="5"/>
      <c r="E3" s="26" t="s">
        <v>16</v>
      </c>
      <c r="F3" s="26"/>
      <c r="G3" s="4"/>
      <c r="H3" s="4"/>
      <c r="I3" s="22" t="s">
        <v>6</v>
      </c>
      <c r="J3" s="23"/>
      <c r="K3" s="16">
        <f>SUMIF(F7:F36,"NB*",G7:G36)</f>
        <v>1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SUMIF(F7:F36,"Ve*",G7:G36)</f>
        <v>0</v>
      </c>
    </row>
    <row r="5" spans="1:11" ht="15.75" x14ac:dyDescent="0.25">
      <c r="A5" s="24" t="s">
        <v>27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28</v>
      </c>
      <c r="C7" s="10" t="s">
        <v>20</v>
      </c>
      <c r="D7" s="9" t="s">
        <v>23</v>
      </c>
      <c r="E7" s="12">
        <v>46062</v>
      </c>
      <c r="F7" s="19" t="s">
        <v>29</v>
      </c>
      <c r="G7" s="15">
        <v>1</v>
      </c>
      <c r="H7" s="20" t="s">
        <v>26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24</v>
      </c>
      <c r="C8" s="10" t="s">
        <v>20</v>
      </c>
      <c r="D8" s="9" t="s">
        <v>25</v>
      </c>
      <c r="E8" s="12">
        <v>46062</v>
      </c>
      <c r="F8" s="19" t="s">
        <v>22</v>
      </c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1A12-1E48-4B0E-8755-3544D84B7B06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>SUMIF(F7:F36,"Elimination*",G7:G36)</f>
        <v>0</v>
      </c>
    </row>
    <row r="3" spans="1:11" x14ac:dyDescent="0.25">
      <c r="A3" s="26" t="s">
        <v>5</v>
      </c>
      <c r="B3" s="26"/>
      <c r="C3" s="26"/>
      <c r="D3" s="5"/>
      <c r="E3" s="26" t="s">
        <v>16</v>
      </c>
      <c r="F3" s="26"/>
      <c r="G3" s="4"/>
      <c r="H3" s="4"/>
      <c r="I3" s="22" t="s">
        <v>6</v>
      </c>
      <c r="J3" s="23"/>
      <c r="K3" s="16">
        <f>SUMIF(F7:F36,"NB*",G7:G36)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SUMIF(F7:F36,"Ve*",G7:G36)</f>
        <v>0</v>
      </c>
    </row>
    <row r="5" spans="1:11" ht="15.75" x14ac:dyDescent="0.25">
      <c r="A5" s="24" t="s">
        <v>30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93CFD-16FA-4457-9C1D-128F252DF9C3}">
  <dimension ref="A1:K46"/>
  <sheetViews>
    <sheetView workbookViewId="0">
      <selection activeCell="H9" sqref="H9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>SUMIF(F7:F36,"Elimination*",G7:G36)</f>
        <v>0</v>
      </c>
    </row>
    <row r="3" spans="1:11" x14ac:dyDescent="0.25">
      <c r="A3" s="26" t="s">
        <v>5</v>
      </c>
      <c r="B3" s="26"/>
      <c r="C3" s="26"/>
      <c r="D3" s="5"/>
      <c r="E3" s="26" t="s">
        <v>16</v>
      </c>
      <c r="F3" s="26"/>
      <c r="G3" s="4"/>
      <c r="H3" s="4"/>
      <c r="I3" s="22" t="s">
        <v>6</v>
      </c>
      <c r="J3" s="23"/>
      <c r="K3" s="16">
        <f>SUMIF(F7:F36,"NB*",G7:G36)</f>
        <v>2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SUMIF(F7:F36,"Ve*",G7:G36)</f>
        <v>0</v>
      </c>
    </row>
    <row r="5" spans="1:11" ht="15.75" x14ac:dyDescent="0.25">
      <c r="A5" s="24" t="s">
        <v>31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32</v>
      </c>
      <c r="C7" s="10" t="s">
        <v>20</v>
      </c>
      <c r="D7" s="9" t="s">
        <v>33</v>
      </c>
      <c r="E7" s="12">
        <v>46134</v>
      </c>
      <c r="F7" s="19" t="s">
        <v>35</v>
      </c>
      <c r="G7" s="15">
        <v>1</v>
      </c>
      <c r="H7" s="20" t="s">
        <v>34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32</v>
      </c>
      <c r="C8" s="10" t="s">
        <v>20</v>
      </c>
      <c r="D8" s="9" t="s">
        <v>36</v>
      </c>
      <c r="E8" s="12">
        <v>46134</v>
      </c>
      <c r="F8" s="19" t="s">
        <v>37</v>
      </c>
      <c r="G8" s="15">
        <v>1</v>
      </c>
      <c r="H8" s="2" t="s">
        <v>38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D8A8-A20F-4ADD-84DE-C29A53D550E7}">
  <dimension ref="A1:K46"/>
  <sheetViews>
    <sheetView topLeftCell="A6" workbookViewId="0">
      <selection activeCell="H16" sqref="H1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>SUMIF(F7:F36,"Elimination*",G7:G36)</f>
        <v>1</v>
      </c>
    </row>
    <row r="3" spans="1:11" x14ac:dyDescent="0.25">
      <c r="A3" s="26" t="s">
        <v>5</v>
      </c>
      <c r="B3" s="26"/>
      <c r="C3" s="26"/>
      <c r="D3" s="5"/>
      <c r="E3" s="26" t="s">
        <v>16</v>
      </c>
      <c r="F3" s="26"/>
      <c r="G3" s="4"/>
      <c r="H3" s="4"/>
      <c r="I3" s="22" t="s">
        <v>6</v>
      </c>
      <c r="J3" s="23"/>
      <c r="K3" s="16">
        <f>SUMIF(F7:F36,"NB*",G7:G36)</f>
        <v>2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SUMIF(F7:F36,"Ve*",G7:G36)</f>
        <v>0</v>
      </c>
    </row>
    <row r="5" spans="1:11" ht="15.75" x14ac:dyDescent="0.25">
      <c r="A5" s="24" t="s">
        <v>39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>SUM(K2:K4)</f>
        <v>3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>
        <v>131332</v>
      </c>
      <c r="C7" s="10" t="s">
        <v>20</v>
      </c>
      <c r="D7" s="10">
        <v>2025177164</v>
      </c>
      <c r="E7" s="12">
        <v>46146</v>
      </c>
      <c r="F7" s="19" t="s">
        <v>22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32</v>
      </c>
      <c r="C8" s="10" t="s">
        <v>20</v>
      </c>
      <c r="D8" s="9" t="s">
        <v>43</v>
      </c>
      <c r="E8" s="12">
        <v>46152</v>
      </c>
      <c r="F8" s="19" t="s">
        <v>44</v>
      </c>
      <c r="G8" s="15">
        <v>1</v>
      </c>
      <c r="H8" s="2" t="s">
        <v>45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32</v>
      </c>
      <c r="C9" s="10" t="s">
        <v>20</v>
      </c>
      <c r="D9" s="9" t="s">
        <v>40</v>
      </c>
      <c r="E9" s="12">
        <v>46152</v>
      </c>
      <c r="F9" s="19" t="s">
        <v>41</v>
      </c>
      <c r="G9" s="15">
        <v>1</v>
      </c>
      <c r="H9" s="2" t="s">
        <v>42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H9">
    <sortCondition ref="E7:E9"/>
    <sortCondition ref="D7:D9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22A7C-940D-441D-B2FE-44C611D514ED}">
  <dimension ref="A1:K46"/>
  <sheetViews>
    <sheetView tabSelected="1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>SUMIF(F7:F36,"Elimination*",G7:G36)</f>
        <v>0</v>
      </c>
    </row>
    <row r="3" spans="1:11" x14ac:dyDescent="0.25">
      <c r="A3" s="26" t="s">
        <v>5</v>
      </c>
      <c r="B3" s="26"/>
      <c r="C3" s="26"/>
      <c r="D3" s="5"/>
      <c r="E3" s="26" t="s">
        <v>16</v>
      </c>
      <c r="F3" s="26"/>
      <c r="G3" s="4"/>
      <c r="H3" s="4"/>
      <c r="I3" s="22" t="s">
        <v>6</v>
      </c>
      <c r="J3" s="23"/>
      <c r="K3" s="16">
        <f>SUMIF(F7:F36,"NB*",G7:G36)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SUMIF(F7:F36,"Ve*",G7:G36)</f>
        <v>0</v>
      </c>
    </row>
    <row r="5" spans="1:11" ht="15.75" x14ac:dyDescent="0.25">
      <c r="A5" s="24" t="s">
        <v>46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10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6</vt:i4>
      </vt:variant>
      <vt:variant>
        <vt:lpstr>Plages nommées</vt:lpstr>
      </vt:variant>
      <vt:variant>
        <vt:i4>6</vt:i4>
      </vt:variant>
    </vt:vector>
  </HeadingPairs>
  <TitlesOfParts>
    <vt:vector size="12" baseType="lpstr">
      <vt:lpstr>JANVIER 2026</vt:lpstr>
      <vt:lpstr>FEVRIER 2026</vt:lpstr>
      <vt:lpstr>MARS 2026</vt:lpstr>
      <vt:lpstr>AVRIL 2026</vt:lpstr>
      <vt:lpstr>MAI 2026</vt:lpstr>
      <vt:lpstr>JUIN 2026</vt:lpstr>
      <vt:lpstr>'AVRIL 2026'!Impression_des_titres</vt:lpstr>
      <vt:lpstr>'FEVRIER 2026'!Impression_des_titres</vt:lpstr>
      <vt:lpstr>'JANVIER 2026'!Impression_des_titres</vt:lpstr>
      <vt:lpstr>'JUIN 2026'!Impression_des_titres</vt:lpstr>
      <vt:lpstr>'MAI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2026-07-08T14:24:12Z</cp:lastPrinted>
  <dcterms:created xsi:type="dcterms:W3CDTF">2014-12-31T15:00:30Z</dcterms:created>
  <dcterms:modified xsi:type="dcterms:W3CDTF">2026-07-08T14:24:14Z</dcterms:modified>
</cp:coreProperties>
</file>