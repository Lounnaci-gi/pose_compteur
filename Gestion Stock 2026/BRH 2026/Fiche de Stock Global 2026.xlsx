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750732DF-6016-46FA-B1A6-81FFD4B8DFE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  <sheet name="JUILLET 2026" sheetId="19" r:id="rId7"/>
    <sheet name="AOUT 2026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0" l="1"/>
  <c r="I40" i="20"/>
  <c r="H40" i="20"/>
  <c r="G40" i="20"/>
  <c r="E40" i="20"/>
  <c r="D40" i="20"/>
  <c r="C40" i="20"/>
  <c r="B40" i="20"/>
  <c r="K39" i="20"/>
  <c r="F39" i="20"/>
  <c r="K38" i="20"/>
  <c r="L38" i="20" s="1"/>
  <c r="F38" i="20"/>
  <c r="K37" i="20"/>
  <c r="F37" i="20"/>
  <c r="L37" i="20" s="1"/>
  <c r="K36" i="20"/>
  <c r="F36" i="20"/>
  <c r="L36" i="20" s="1"/>
  <c r="K35" i="20"/>
  <c r="F35" i="20"/>
  <c r="K34" i="20"/>
  <c r="F34" i="20"/>
  <c r="L34" i="20" s="1"/>
  <c r="K33" i="20"/>
  <c r="F33" i="20"/>
  <c r="L33" i="20" s="1"/>
  <c r="K32" i="20"/>
  <c r="F32" i="20"/>
  <c r="L32" i="20" s="1"/>
  <c r="K31" i="20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L26" i="20" s="1"/>
  <c r="K25" i="20"/>
  <c r="F25" i="20"/>
  <c r="L25" i="20" s="1"/>
  <c r="K24" i="20"/>
  <c r="F24" i="20"/>
  <c r="L24" i="20" s="1"/>
  <c r="K23" i="20"/>
  <c r="F23" i="20"/>
  <c r="L22" i="20"/>
  <c r="K22" i="20"/>
  <c r="F22" i="20"/>
  <c r="K21" i="20"/>
  <c r="F21" i="20"/>
  <c r="L21" i="20" s="1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F9" i="20"/>
  <c r="L9" i="20" s="1"/>
  <c r="J40" i="19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L32" i="19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K19" i="19"/>
  <c r="F19" i="19"/>
  <c r="K18" i="19"/>
  <c r="F18" i="19"/>
  <c r="L18" i="19" s="1"/>
  <c r="K17" i="19"/>
  <c r="F17" i="19"/>
  <c r="L17" i="19" s="1"/>
  <c r="K16" i="19"/>
  <c r="F16" i="19"/>
  <c r="K15" i="19"/>
  <c r="L15" i="19" s="1"/>
  <c r="F15" i="19"/>
  <c r="K14" i="19"/>
  <c r="F14" i="19"/>
  <c r="L14" i="19" s="1"/>
  <c r="K13" i="19"/>
  <c r="F13" i="19"/>
  <c r="L13" i="19" s="1"/>
  <c r="K12" i="19"/>
  <c r="L12" i="19" s="1"/>
  <c r="F12" i="19"/>
  <c r="K11" i="19"/>
  <c r="L11" i="19" s="1"/>
  <c r="F11" i="19"/>
  <c r="K10" i="19"/>
  <c r="F10" i="19"/>
  <c r="L10" i="19" s="1"/>
  <c r="K9" i="19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K40" i="20" l="1"/>
  <c r="L39" i="20"/>
  <c r="L31" i="20"/>
  <c r="L27" i="20"/>
  <c r="L11" i="20"/>
  <c r="L23" i="20"/>
  <c r="L19" i="20"/>
  <c r="L35" i="20"/>
  <c r="L15" i="20"/>
  <c r="F40" i="20"/>
  <c r="L35" i="19"/>
  <c r="L16" i="19"/>
  <c r="L9" i="19"/>
  <c r="L20" i="19"/>
  <c r="L26" i="19"/>
  <c r="K40" i="19"/>
  <c r="L27" i="19"/>
  <c r="L23" i="19"/>
  <c r="L19" i="19"/>
  <c r="L31" i="19"/>
  <c r="F40" i="19"/>
  <c r="L32" i="18"/>
  <c r="L15" i="18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20" l="1"/>
  <c r="G46" i="20" s="1"/>
  <c r="G47" i="20" s="1"/>
  <c r="G49" i="20" s="1"/>
  <c r="L40" i="19"/>
  <c r="G46" i="19" s="1"/>
  <c r="G47" i="19" s="1"/>
  <c r="G49" i="19" s="1"/>
  <c r="L40" i="17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<sst xmlns="http://schemas.openxmlformats.org/spreadsheetml/2006/main" count="266" uniqueCount="38">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</sst>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FACDC54-9CB3-45BE-B6F5-38EAF092D09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24F5287-3F7A-454E-996F-F61527012EEF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28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447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116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331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321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30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321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107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214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214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31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214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45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169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169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32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169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91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79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78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1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34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78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35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52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61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61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opLeftCell="A16" workbookViewId="0">
      <selection activeCell="C53" sqref="C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35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>
        <v>1</v>
      </c>
      <c r="H9" s="67"/>
      <c r="I9" s="67">
        <v>2</v>
      </c>
      <c r="J9" s="67"/>
      <c r="K9" s="11">
        <f>SUM(G9:J9)</f>
        <v>3</v>
      </c>
      <c r="L9" s="5">
        <f>SUM(F9+K9)</f>
        <v>3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>
        <v>2</v>
      </c>
      <c r="H14" s="42"/>
      <c r="I14" s="42"/>
      <c r="J14" s="38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3</v>
      </c>
      <c r="H17" s="42"/>
      <c r="I17" s="42"/>
      <c r="J17" s="38"/>
      <c r="K17" s="11">
        <f t="shared" si="1"/>
        <v>3</v>
      </c>
      <c r="L17" s="5">
        <f t="shared" si="2"/>
        <v>3</v>
      </c>
    </row>
    <row r="18" spans="1:12" ht="15" customHeight="1" thickBot="1" x14ac:dyDescent="0.3">
      <c r="A18" s="47">
        <v>10</v>
      </c>
      <c r="B18" s="62">
        <v>1</v>
      </c>
      <c r="C18" s="42"/>
      <c r="D18" s="42"/>
      <c r="E18" s="39"/>
      <c r="F18" s="13">
        <f t="shared" si="0"/>
        <v>1</v>
      </c>
      <c r="G18" s="38"/>
      <c r="H18" s="42"/>
      <c r="I18" s="42"/>
      <c r="J18" s="38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>
        <v>1</v>
      </c>
      <c r="E21" s="39"/>
      <c r="F21" s="13">
        <f t="shared" si="0"/>
        <v>1</v>
      </c>
      <c r="G21" s="38"/>
      <c r="H21" s="42"/>
      <c r="I21" s="42"/>
      <c r="J21" s="38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1</v>
      </c>
      <c r="C25" s="63"/>
      <c r="D25" s="42"/>
      <c r="E25" s="39"/>
      <c r="F25" s="13">
        <f t="shared" si="0"/>
        <v>1</v>
      </c>
      <c r="G25" s="38"/>
      <c r="H25" s="42"/>
      <c r="I25" s="42"/>
      <c r="J25" s="38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>
        <v>1</v>
      </c>
      <c r="I31" s="38"/>
      <c r="J31" s="38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62">
        <v>2</v>
      </c>
      <c r="C32" s="42">
        <v>1</v>
      </c>
      <c r="D32" s="42"/>
      <c r="E32" s="39"/>
      <c r="F32" s="13">
        <f t="shared" si="0"/>
        <v>3</v>
      </c>
      <c r="G32" s="38"/>
      <c r="H32" s="42"/>
      <c r="I32" s="38"/>
      <c r="J32" s="38"/>
      <c r="K32" s="11">
        <f t="shared" si="1"/>
        <v>0</v>
      </c>
      <c r="L32" s="5">
        <f t="shared" si="2"/>
        <v>3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>
        <v>1</v>
      </c>
      <c r="H35" s="42"/>
      <c r="I35" s="42"/>
      <c r="J35" s="42"/>
      <c r="K35" s="11">
        <f t="shared" si="1"/>
        <v>1</v>
      </c>
      <c r="L35" s="5">
        <f t="shared" si="2"/>
        <v>1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13</v>
      </c>
      <c r="C37" s="42"/>
      <c r="D37" s="42"/>
      <c r="E37" s="39"/>
      <c r="F37" s="13">
        <f t="shared" si="0"/>
        <v>13</v>
      </c>
      <c r="G37" s="38"/>
      <c r="H37" s="42"/>
      <c r="I37" s="42"/>
      <c r="J37" s="42"/>
      <c r="K37" s="11">
        <f t="shared" si="1"/>
        <v>0</v>
      </c>
      <c r="L37" s="5">
        <f t="shared" si="2"/>
        <v>13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17</v>
      </c>
      <c r="C40" s="52">
        <f t="shared" ref="C40:E40" si="3">SUM(C9:C39)</f>
        <v>1</v>
      </c>
      <c r="D40" s="52">
        <f t="shared" si="3"/>
        <v>1</v>
      </c>
      <c r="E40" s="52">
        <f t="shared" si="3"/>
        <v>0</v>
      </c>
      <c r="F40" s="51">
        <f>SUM(F9:F39)</f>
        <v>19</v>
      </c>
      <c r="G40" s="12">
        <f>SUM(G9:G39)</f>
        <v>7</v>
      </c>
      <c r="H40" s="12">
        <f t="shared" ref="H40:L40" si="4">SUM(H9:H39)</f>
        <v>1</v>
      </c>
      <c r="I40" s="12">
        <f t="shared" si="4"/>
        <v>2</v>
      </c>
      <c r="J40" s="12">
        <f t="shared" si="4"/>
        <v>0</v>
      </c>
      <c r="K40" s="12">
        <f t="shared" si="4"/>
        <v>10</v>
      </c>
      <c r="L40" s="12">
        <f t="shared" si="4"/>
        <v>29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61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104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29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136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136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AAD-D8C4-49DD-A0A4-94D453B22565}">
  <dimension ref="A1:L52"/>
  <sheetViews>
    <sheetView topLeftCell="A16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36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2</v>
      </c>
      <c r="C16" s="42"/>
      <c r="D16" s="42"/>
      <c r="E16" s="39">
        <v>1</v>
      </c>
      <c r="F16" s="13">
        <f t="shared" si="0"/>
        <v>3</v>
      </c>
      <c r="G16" s="38"/>
      <c r="H16" s="42"/>
      <c r="I16" s="42"/>
      <c r="J16" s="38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/>
      <c r="H17" s="42"/>
      <c r="I17" s="42"/>
      <c r="J17" s="38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</v>
      </c>
      <c r="C20" s="42"/>
      <c r="D20" s="42"/>
      <c r="E20" s="39"/>
      <c r="F20" s="13">
        <f t="shared" si="0"/>
        <v>1</v>
      </c>
      <c r="G20" s="38"/>
      <c r="H20" s="42"/>
      <c r="I20" s="42"/>
      <c r="J20" s="38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4</v>
      </c>
      <c r="C23" s="42"/>
      <c r="D23" s="42"/>
      <c r="E23" s="39"/>
      <c r="F23" s="13">
        <f t="shared" si="0"/>
        <v>4</v>
      </c>
      <c r="G23" s="38"/>
      <c r="H23" s="42"/>
      <c r="I23" s="42"/>
      <c r="J23" s="38"/>
      <c r="K23" s="11">
        <f t="shared" si="1"/>
        <v>0</v>
      </c>
      <c r="L23" s="5">
        <f t="shared" si="2"/>
        <v>4</v>
      </c>
    </row>
    <row r="24" spans="1:12" ht="15" customHeight="1" thickBot="1" x14ac:dyDescent="0.3">
      <c r="A24" s="47">
        <v>16</v>
      </c>
      <c r="B24" s="62">
        <v>1</v>
      </c>
      <c r="C24" s="42"/>
      <c r="D24" s="42"/>
      <c r="E24" s="39"/>
      <c r="F24" s="13">
        <f t="shared" si="0"/>
        <v>1</v>
      </c>
      <c r="G24" s="38"/>
      <c r="H24" s="42"/>
      <c r="I24" s="42"/>
      <c r="J24" s="38"/>
      <c r="K24" s="11">
        <f t="shared" si="1"/>
        <v>0</v>
      </c>
      <c r="L24" s="5">
        <f t="shared" si="2"/>
        <v>1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>
        <v>1</v>
      </c>
      <c r="C29" s="42"/>
      <c r="D29" s="42"/>
      <c r="E29" s="39"/>
      <c r="F29" s="13">
        <f t="shared" si="0"/>
        <v>1</v>
      </c>
      <c r="G29" s="38"/>
      <c r="H29" s="42"/>
      <c r="I29" s="42"/>
      <c r="J29" s="38"/>
      <c r="K29" s="11">
        <f t="shared" si="1"/>
        <v>0</v>
      </c>
      <c r="L29" s="5">
        <f t="shared" si="2"/>
        <v>1</v>
      </c>
    </row>
    <row r="30" spans="1:12" ht="15" customHeight="1" thickBot="1" x14ac:dyDescent="0.3">
      <c r="A30" s="47">
        <v>22</v>
      </c>
      <c r="B30" s="62">
        <v>3</v>
      </c>
      <c r="C30" s="42"/>
      <c r="D30" s="42"/>
      <c r="E30" s="39"/>
      <c r="F30" s="13">
        <f t="shared" si="0"/>
        <v>3</v>
      </c>
      <c r="G30" s="38"/>
      <c r="H30" s="42"/>
      <c r="I30" s="42"/>
      <c r="J30" s="38"/>
      <c r="K30" s="11">
        <f t="shared" si="1"/>
        <v>0</v>
      </c>
      <c r="L30" s="5">
        <f t="shared" si="2"/>
        <v>3</v>
      </c>
    </row>
    <row r="31" spans="1:12" ht="15" customHeight="1" thickBot="1" x14ac:dyDescent="0.3">
      <c r="A31" s="47">
        <v>23</v>
      </c>
      <c r="B31" s="62">
        <v>12</v>
      </c>
      <c r="C31" s="42"/>
      <c r="D31" s="42"/>
      <c r="E31" s="39"/>
      <c r="F31" s="13">
        <f t="shared" si="0"/>
        <v>12</v>
      </c>
      <c r="G31" s="38"/>
      <c r="H31" s="42"/>
      <c r="I31" s="38"/>
      <c r="J31" s="38"/>
      <c r="K31" s="11">
        <f t="shared" si="1"/>
        <v>0</v>
      </c>
      <c r="L31" s="5">
        <f t="shared" si="2"/>
        <v>12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>
        <v>7</v>
      </c>
      <c r="C35" s="42"/>
      <c r="D35" s="42">
        <v>2</v>
      </c>
      <c r="E35" s="39"/>
      <c r="F35" s="13">
        <f t="shared" si="0"/>
        <v>9</v>
      </c>
      <c r="G35" s="68"/>
      <c r="H35" s="42"/>
      <c r="I35" s="42"/>
      <c r="J35" s="42"/>
      <c r="K35" s="11">
        <f t="shared" si="1"/>
        <v>0</v>
      </c>
      <c r="L35" s="5">
        <f t="shared" si="2"/>
        <v>9</v>
      </c>
    </row>
    <row r="36" spans="1:12" ht="15" customHeight="1" thickBot="1" x14ac:dyDescent="0.3">
      <c r="A36" s="47">
        <v>28</v>
      </c>
      <c r="B36" s="62">
        <v>9</v>
      </c>
      <c r="C36" s="42"/>
      <c r="D36" s="42"/>
      <c r="E36" s="39"/>
      <c r="F36" s="13">
        <f t="shared" si="0"/>
        <v>9</v>
      </c>
      <c r="G36" s="38"/>
      <c r="H36" s="42"/>
      <c r="I36" s="42"/>
      <c r="J36" s="42"/>
      <c r="K36" s="11">
        <f t="shared" si="1"/>
        <v>0</v>
      </c>
      <c r="L36" s="5">
        <f t="shared" si="2"/>
        <v>9</v>
      </c>
    </row>
    <row r="37" spans="1:12" ht="15" customHeight="1" thickBot="1" x14ac:dyDescent="0.3">
      <c r="A37" s="47">
        <v>29</v>
      </c>
      <c r="B37" s="62">
        <v>6</v>
      </c>
      <c r="C37" s="42"/>
      <c r="D37" s="42"/>
      <c r="E37" s="39"/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46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49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136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49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87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87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28239-EA2A-4BBF-8495-E40554654CC7}">
  <dimension ref="A1:L52"/>
  <sheetViews>
    <sheetView tabSelected="1" topLeftCell="A18" workbookViewId="0">
      <selection activeCell="B32" sqref="B32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9" t="s">
        <v>0</v>
      </c>
      <c r="B1" s="89"/>
      <c r="C1" s="89"/>
      <c r="D1" s="89"/>
      <c r="E1" s="22"/>
      <c r="F1" s="23"/>
      <c r="G1" s="90" t="s">
        <v>1</v>
      </c>
      <c r="H1" s="90"/>
      <c r="I1" s="90"/>
      <c r="J1" s="90"/>
      <c r="K1" s="90"/>
      <c r="L1" s="90"/>
    </row>
    <row r="2" spans="1:12" ht="15.75" x14ac:dyDescent="0.25">
      <c r="A2" s="90" t="s">
        <v>2</v>
      </c>
      <c r="B2" s="90"/>
      <c r="C2" s="90"/>
      <c r="D2" s="90"/>
      <c r="E2" s="22"/>
      <c r="F2" s="23"/>
      <c r="G2" s="91" t="s">
        <v>3</v>
      </c>
      <c r="H2" s="91"/>
      <c r="I2" s="91"/>
      <c r="J2" s="91"/>
      <c r="K2" s="91"/>
      <c r="L2" s="91"/>
    </row>
    <row r="3" spans="1:12" x14ac:dyDescent="0.25">
      <c r="A3" s="91" t="s">
        <v>4</v>
      </c>
      <c r="B3" s="91"/>
      <c r="C3" s="91"/>
      <c r="D3" s="91"/>
      <c r="E3" s="22"/>
      <c r="F3" s="23"/>
      <c r="G3" s="91" t="s">
        <v>27</v>
      </c>
      <c r="H3" s="91"/>
      <c r="I3" s="91"/>
      <c r="J3" s="91"/>
      <c r="K3" s="91"/>
      <c r="L3" s="9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9" t="s">
        <v>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</row>
    <row r="6" spans="1:12" ht="16.5" thickBot="1" x14ac:dyDescent="0.3">
      <c r="A6" s="90" t="s">
        <v>37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</row>
    <row r="7" spans="1:12" x14ac:dyDescent="0.25">
      <c r="A7" s="92" t="s">
        <v>6</v>
      </c>
      <c r="B7" s="94" t="s">
        <v>7</v>
      </c>
      <c r="C7" s="95"/>
      <c r="D7" s="95"/>
      <c r="E7" s="95"/>
      <c r="F7" s="96"/>
      <c r="G7" s="97" t="s">
        <v>8</v>
      </c>
      <c r="H7" s="95"/>
      <c r="I7" s="95"/>
      <c r="J7" s="95"/>
      <c r="K7" s="96"/>
      <c r="L7" s="98" t="s">
        <v>9</v>
      </c>
    </row>
    <row r="8" spans="1:12" ht="15.75" thickBot="1" x14ac:dyDescent="0.3">
      <c r="A8" s="9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9"/>
    </row>
    <row r="9" spans="1:12" ht="15" customHeight="1" thickBot="1" x14ac:dyDescent="0.3">
      <c r="A9" s="46">
        <v>1</v>
      </c>
      <c r="B9" s="61">
        <v>2</v>
      </c>
      <c r="C9" s="54"/>
      <c r="D9" s="54"/>
      <c r="E9" s="56"/>
      <c r="F9" s="13">
        <f>SUM(B9:E9)</f>
        <v>2</v>
      </c>
      <c r="G9" s="35"/>
      <c r="H9" s="67"/>
      <c r="I9" s="67"/>
      <c r="J9" s="67"/>
      <c r="K9" s="11">
        <f>SUM(G9:J9)</f>
        <v>0</v>
      </c>
      <c r="L9" s="5">
        <f>SUM(F9+K9)</f>
        <v>2</v>
      </c>
    </row>
    <row r="10" spans="1:12" ht="15" customHeight="1" thickBot="1" x14ac:dyDescent="0.3">
      <c r="A10" s="6">
        <v>2</v>
      </c>
      <c r="B10" s="62">
        <v>16</v>
      </c>
      <c r="C10" s="42"/>
      <c r="D10" s="42"/>
      <c r="E10" s="39"/>
      <c r="F10" s="13">
        <f t="shared" ref="F10:F39" si="0">SUM(B10:E10)</f>
        <v>16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16</v>
      </c>
    </row>
    <row r="11" spans="1:12" ht="15" customHeight="1" thickBot="1" x14ac:dyDescent="0.3">
      <c r="A11" s="47">
        <v>3</v>
      </c>
      <c r="B11" s="62">
        <v>1</v>
      </c>
      <c r="C11" s="42"/>
      <c r="D11" s="42"/>
      <c r="E11" s="39"/>
      <c r="F11" s="13">
        <f t="shared" si="0"/>
        <v>1</v>
      </c>
      <c r="G11" s="38"/>
      <c r="H11" s="42"/>
      <c r="I11" s="42"/>
      <c r="J11" s="42"/>
      <c r="K11" s="11">
        <f t="shared" si="1"/>
        <v>0</v>
      </c>
      <c r="L11" s="5">
        <f t="shared" si="2"/>
        <v>1</v>
      </c>
    </row>
    <row r="12" spans="1:12" ht="15" customHeight="1" thickBot="1" x14ac:dyDescent="0.3">
      <c r="A12" s="47">
        <v>4</v>
      </c>
      <c r="B12" s="62">
        <v>11</v>
      </c>
      <c r="C12" s="42"/>
      <c r="D12" s="42"/>
      <c r="E12" s="39"/>
      <c r="F12" s="13">
        <f t="shared" si="0"/>
        <v>11</v>
      </c>
      <c r="G12" s="38"/>
      <c r="H12" s="42"/>
      <c r="I12" s="42"/>
      <c r="J12" s="42"/>
      <c r="K12" s="11">
        <f t="shared" si="1"/>
        <v>0</v>
      </c>
      <c r="L12" s="5">
        <f t="shared" si="2"/>
        <v>11</v>
      </c>
    </row>
    <row r="13" spans="1:12" ht="15" customHeight="1" thickBot="1" x14ac:dyDescent="0.3">
      <c r="A13" s="47">
        <v>5</v>
      </c>
      <c r="B13" s="62">
        <v>8</v>
      </c>
      <c r="C13" s="42"/>
      <c r="D13" s="42"/>
      <c r="E13" s="39"/>
      <c r="F13" s="13">
        <f t="shared" si="0"/>
        <v>8</v>
      </c>
      <c r="G13" s="38"/>
      <c r="H13" s="42"/>
      <c r="I13" s="42"/>
      <c r="J13" s="42"/>
      <c r="K13" s="11">
        <f t="shared" si="1"/>
        <v>0</v>
      </c>
      <c r="L13" s="5">
        <f t="shared" si="2"/>
        <v>8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1</v>
      </c>
      <c r="C16" s="42"/>
      <c r="D16" s="42"/>
      <c r="E16" s="39"/>
      <c r="F16" s="13">
        <f t="shared" si="0"/>
        <v>1</v>
      </c>
      <c r="G16" s="38"/>
      <c r="H16" s="42"/>
      <c r="I16" s="42"/>
      <c r="J16" s="38"/>
      <c r="K16" s="11">
        <f t="shared" si="1"/>
        <v>0</v>
      </c>
      <c r="L16" s="5">
        <f t="shared" si="2"/>
        <v>1</v>
      </c>
    </row>
    <row r="17" spans="1:12" ht="15" customHeight="1" thickBot="1" x14ac:dyDescent="0.3">
      <c r="A17" s="47">
        <v>9</v>
      </c>
      <c r="B17" s="62">
        <v>2</v>
      </c>
      <c r="C17" s="42"/>
      <c r="D17" s="42"/>
      <c r="E17" s="39"/>
      <c r="F17" s="13">
        <f t="shared" si="0"/>
        <v>2</v>
      </c>
      <c r="G17" s="38"/>
      <c r="H17" s="42"/>
      <c r="I17" s="42"/>
      <c r="J17" s="38"/>
      <c r="K17" s="11">
        <f t="shared" si="1"/>
        <v>0</v>
      </c>
      <c r="L17" s="5">
        <f t="shared" si="2"/>
        <v>2</v>
      </c>
    </row>
    <row r="18" spans="1:12" ht="15" customHeight="1" thickBot="1" x14ac:dyDescent="0.3">
      <c r="A18" s="47">
        <v>10</v>
      </c>
      <c r="B18" s="62">
        <v>43</v>
      </c>
      <c r="C18" s="42"/>
      <c r="D18" s="42"/>
      <c r="E18" s="39"/>
      <c r="F18" s="13">
        <f t="shared" si="0"/>
        <v>43</v>
      </c>
      <c r="G18" s="38"/>
      <c r="H18" s="42"/>
      <c r="I18" s="42"/>
      <c r="J18" s="38"/>
      <c r="K18" s="11">
        <f t="shared" si="1"/>
        <v>0</v>
      </c>
      <c r="L18" s="5">
        <f t="shared" si="2"/>
        <v>43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10</v>
      </c>
      <c r="C20" s="42"/>
      <c r="D20" s="42">
        <v>1</v>
      </c>
      <c r="E20" s="39"/>
      <c r="F20" s="13">
        <f t="shared" si="0"/>
        <v>11</v>
      </c>
      <c r="G20" s="38"/>
      <c r="H20" s="42"/>
      <c r="I20" s="42"/>
      <c r="J20" s="38"/>
      <c r="K20" s="11">
        <f t="shared" si="1"/>
        <v>0</v>
      </c>
      <c r="L20" s="5">
        <f t="shared" si="2"/>
        <v>11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7</v>
      </c>
      <c r="C23" s="42"/>
      <c r="D23" s="42"/>
      <c r="E23" s="39"/>
      <c r="F23" s="13">
        <f t="shared" si="0"/>
        <v>7</v>
      </c>
      <c r="G23" s="38"/>
      <c r="H23" s="42"/>
      <c r="I23" s="42"/>
      <c r="J23" s="38"/>
      <c r="K23" s="11">
        <f t="shared" si="1"/>
        <v>0</v>
      </c>
      <c r="L23" s="5">
        <f t="shared" si="2"/>
        <v>7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2</v>
      </c>
      <c r="C25" s="63"/>
      <c r="D25" s="42"/>
      <c r="E25" s="39"/>
      <c r="F25" s="13">
        <f t="shared" si="0"/>
        <v>2</v>
      </c>
      <c r="G25" s="38"/>
      <c r="H25" s="42"/>
      <c r="I25" s="42"/>
      <c r="J25" s="38"/>
      <c r="K25" s="11">
        <f t="shared" si="1"/>
        <v>0</v>
      </c>
      <c r="L25" s="5">
        <f t="shared" si="2"/>
        <v>2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>
        <v>3</v>
      </c>
      <c r="C27" s="42"/>
      <c r="D27" s="42">
        <v>2</v>
      </c>
      <c r="E27" s="39"/>
      <c r="F27" s="13">
        <f t="shared" si="0"/>
        <v>5</v>
      </c>
      <c r="G27" s="38"/>
      <c r="H27" s="42"/>
      <c r="I27" s="42"/>
      <c r="J27" s="38"/>
      <c r="K27" s="11">
        <f t="shared" si="1"/>
        <v>0</v>
      </c>
      <c r="L27" s="5">
        <f t="shared" si="2"/>
        <v>5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>
        <v>7</v>
      </c>
      <c r="C30" s="42"/>
      <c r="D30" s="42"/>
      <c r="E30" s="39"/>
      <c r="F30" s="13">
        <f t="shared" si="0"/>
        <v>7</v>
      </c>
      <c r="G30" s="38"/>
      <c r="H30" s="42"/>
      <c r="I30" s="42"/>
      <c r="J30" s="38"/>
      <c r="K30" s="11">
        <f t="shared" si="1"/>
        <v>0</v>
      </c>
      <c r="L30" s="5">
        <f t="shared" si="2"/>
        <v>7</v>
      </c>
    </row>
    <row r="31" spans="1:12" ht="15" customHeight="1" thickBot="1" x14ac:dyDescent="0.3">
      <c r="A31" s="47">
        <v>23</v>
      </c>
      <c r="B31" s="62">
        <v>1</v>
      </c>
      <c r="C31" s="42"/>
      <c r="D31" s="42"/>
      <c r="E31" s="39"/>
      <c r="F31" s="13">
        <f t="shared" si="0"/>
        <v>1</v>
      </c>
      <c r="G31" s="38"/>
      <c r="H31" s="42"/>
      <c r="I31" s="38"/>
      <c r="J31" s="38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62"/>
      <c r="C32" s="42"/>
      <c r="D32" s="42">
        <v>1</v>
      </c>
      <c r="E32" s="39"/>
      <c r="F32" s="13">
        <f t="shared" si="0"/>
        <v>1</v>
      </c>
      <c r="G32" s="38"/>
      <c r="H32" s="42"/>
      <c r="I32" s="38"/>
      <c r="J32" s="38"/>
      <c r="K32" s="11">
        <f t="shared" si="1"/>
        <v>0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>
        <v>7</v>
      </c>
      <c r="C34" s="42"/>
      <c r="D34" s="42"/>
      <c r="E34" s="39"/>
      <c r="F34" s="13">
        <f t="shared" si="0"/>
        <v>7</v>
      </c>
      <c r="G34" s="38"/>
      <c r="H34" s="42"/>
      <c r="I34" s="42"/>
      <c r="J34" s="42"/>
      <c r="K34" s="11">
        <f t="shared" si="1"/>
        <v>0</v>
      </c>
      <c r="L34" s="5">
        <f t="shared" si="2"/>
        <v>7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5</v>
      </c>
      <c r="C37" s="42"/>
      <c r="D37" s="42"/>
      <c r="E37" s="39">
        <v>1</v>
      </c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>
        <v>1</v>
      </c>
      <c r="C38" s="42"/>
      <c r="D38" s="42"/>
      <c r="E38" s="39"/>
      <c r="F38" s="13">
        <f t="shared" si="0"/>
        <v>1</v>
      </c>
      <c r="G38" s="38">
        <v>1</v>
      </c>
      <c r="H38" s="42"/>
      <c r="I38" s="42"/>
      <c r="J38" s="42"/>
      <c r="K38" s="11">
        <f t="shared" si="1"/>
        <v>1</v>
      </c>
      <c r="L38" s="5">
        <f t="shared" si="2"/>
        <v>2</v>
      </c>
    </row>
    <row r="39" spans="1:12" ht="15" customHeight="1" thickBot="1" x14ac:dyDescent="0.3">
      <c r="A39" s="49">
        <v>31</v>
      </c>
      <c r="B39" s="64">
        <v>3</v>
      </c>
      <c r="C39" s="65"/>
      <c r="D39" s="65">
        <v>1</v>
      </c>
      <c r="E39" s="66"/>
      <c r="F39" s="13">
        <f t="shared" si="0"/>
        <v>4</v>
      </c>
      <c r="G39" s="38">
        <v>1</v>
      </c>
      <c r="H39" s="42"/>
      <c r="I39" s="42"/>
      <c r="J39" s="42"/>
      <c r="K39" s="11">
        <f t="shared" si="1"/>
        <v>1</v>
      </c>
      <c r="L39" s="5">
        <f t="shared" si="2"/>
        <v>5</v>
      </c>
    </row>
    <row r="40" spans="1:12" ht="15.75" thickBot="1" x14ac:dyDescent="0.3">
      <c r="A40" s="48"/>
      <c r="B40" s="52">
        <f>SUM(B9:B39)</f>
        <v>130</v>
      </c>
      <c r="C40" s="52">
        <f t="shared" ref="C40:E40" si="3">SUM(C9:C39)</f>
        <v>0</v>
      </c>
      <c r="D40" s="52">
        <f t="shared" si="3"/>
        <v>5</v>
      </c>
      <c r="E40" s="52">
        <f t="shared" si="3"/>
        <v>1</v>
      </c>
      <c r="F40" s="51">
        <f>SUM(F9:F39)</f>
        <v>136</v>
      </c>
      <c r="G40" s="12">
        <f>SUM(G9:G39)</f>
        <v>2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2</v>
      </c>
      <c r="L40" s="12">
        <f t="shared" si="4"/>
        <v>138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2"/>
      <c r="B42" s="82"/>
      <c r="C42" s="82"/>
      <c r="D42" s="82"/>
      <c r="E42" s="82"/>
      <c r="F42" s="82"/>
      <c r="G42" s="83" t="s">
        <v>16</v>
      </c>
      <c r="H42" s="84"/>
      <c r="I42" s="84" t="s">
        <v>17</v>
      </c>
      <c r="J42" s="85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80">
        <v>87</v>
      </c>
      <c r="H43" s="86"/>
      <c r="I43" s="87"/>
      <c r="J43" s="88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3">
        <v>250</v>
      </c>
      <c r="H44" s="72"/>
      <c r="I44" s="73"/>
      <c r="J44" s="72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80"/>
      <c r="J45" s="81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71">
        <f>L40+G45</f>
        <v>138</v>
      </c>
      <c r="H46" s="72"/>
      <c r="I46" s="73"/>
      <c r="J46" s="72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71">
        <f>G43+G44-G46</f>
        <v>199</v>
      </c>
      <c r="H47" s="72"/>
      <c r="I47" s="73"/>
      <c r="J47" s="72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71">
        <v>199</v>
      </c>
      <c r="H48" s="72"/>
      <c r="I48" s="73"/>
      <c r="J48" s="72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74">
        <f>G47-G48</f>
        <v>0</v>
      </c>
      <c r="H49" s="75"/>
      <c r="I49" s="76"/>
      <c r="J49" s="75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2026-09-06T13:20:19Z</dcterms:modified>
</cp:coreProperties>
</file>