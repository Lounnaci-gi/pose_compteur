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BRH 2026\"/>
    </mc:Choice>
  </mc:AlternateContent>
  <xr:revisionPtr revIDLastSave="0" documentId="13_ncr:1_{60DC0FB8-5554-4A70-A6B7-7E2E2A55E17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3" r:id="rId1"/>
    <sheet name="FEVRIER 2026" sheetId="1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4" l="1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K29" i="14"/>
  <c r="F29" i="14"/>
  <c r="L29" i="14" s="1"/>
  <c r="L28" i="14"/>
  <c r="K28" i="14"/>
  <c r="F28" i="14"/>
  <c r="K27" i="14"/>
  <c r="F27" i="14"/>
  <c r="L27" i="14" s="1"/>
  <c r="K26" i="14"/>
  <c r="F26" i="14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L30" i="14" l="1"/>
  <c r="K40" i="14"/>
  <c r="L26" i="14"/>
  <c r="L40" i="14"/>
  <c r="G46" i="14" s="1"/>
  <c r="G47" i="14" s="1"/>
  <c r="G49" i="14" s="1"/>
  <c r="F40" i="14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13" l="1"/>
  <c r="G46" i="13" s="1"/>
  <c r="G47" i="13" s="1"/>
  <c r="G49" i="13" s="1"/>
</calcChain>
</file>

<file path=xl/sharedStrings.xml><?xml version="1.0" encoding="utf-8"?>
<sst xmlns="http://schemas.openxmlformats.org/spreadsheetml/2006/main" count="67" uniqueCount="31">
  <si>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</si>
  <si>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</si>
  <si>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</si>
  <si>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</si>
  <si>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</si>
  <si>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</si>
  <si>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</si>
  <si>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</si>
  <si>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</si>
  <si>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</si>
  <si>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</si>
  <si>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</si>
  <si>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</si>
  <si>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</si>
  <si>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</si>
  <si>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</si>
  <si>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</si>
  <si>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</si>
  <si>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</si>
  <si>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</si>
  <si>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</si>
  <si>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</si>
  <si>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</si>
  <si>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</si>
  <si>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</si>
  <si>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</si>
  <si>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</si>
  <si>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</si>
  <si>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</si>
  <si>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10 Compteurs DN 15/21 Destination Centre Beni Slimane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</si>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</sst>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6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Border="1" applyAlignment="1" applyProtection="1">
      <alignment horizontal="center" vertical="center" wrapText="1"/>
      <protection locked="0"/>
    </xf>
    <xf numFmtId="1" fontId="7" fillId="0" borderId="22" xfId="3" applyNumberFormat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  <xf numFmtId="0" fontId="1" fillId="2" borderId="9" xfId="4" applyFill="1" applyBorder="1" applyAlignment="1" applyProtection="1">
      <alignment horizontal="center" vertical="center" wrapText="1"/>
      <protection locked="0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F7AA404-A82D-450F-96D9-5810DB508A3B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3"/>
  <sheetViews>
    <sheetView topLeftCell="A16" workbookViewId="0">
      <selection activeCell="A54" sqref="A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4" t="s">
        <v>0</v>
      </c>
      <c r="B1" s="74"/>
      <c r="C1" s="74"/>
      <c r="D1" s="74"/>
      <c r="E1" s="22"/>
      <c r="F1" s="23"/>
      <c r="G1" s="75" t="s">
        <v>1</v>
      </c>
      <c r="H1" s="75"/>
      <c r="I1" s="75"/>
      <c r="J1" s="75"/>
      <c r="K1" s="75"/>
      <c r="L1" s="75"/>
    </row>
    <row r="2" spans="1:12" ht="15.75" x14ac:dyDescent="0.25">
      <c r="A2" s="75" t="s">
        <v>2</v>
      </c>
      <c r="B2" s="75"/>
      <c r="C2" s="75"/>
      <c r="D2" s="75"/>
      <c r="E2" s="22"/>
      <c r="F2" s="23"/>
      <c r="G2" s="76" t="s">
        <v>3</v>
      </c>
      <c r="H2" s="76"/>
      <c r="I2" s="76"/>
      <c r="J2" s="76"/>
      <c r="K2" s="76"/>
      <c r="L2" s="76"/>
    </row>
    <row r="3" spans="1:12" x14ac:dyDescent="0.25">
      <c r="A3" s="76" t="s">
        <v>4</v>
      </c>
      <c r="B3" s="76"/>
      <c r="C3" s="76"/>
      <c r="D3" s="76"/>
      <c r="E3" s="22"/>
      <c r="F3" s="23"/>
      <c r="G3" s="76" t="s">
        <v>27</v>
      </c>
      <c r="H3" s="76"/>
      <c r="I3" s="76"/>
      <c r="J3" s="76"/>
      <c r="K3" s="76"/>
      <c r="L3" s="76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74" t="s">
        <v>5</v>
      </c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</row>
    <row r="6" spans="1:12" ht="16.5" thickBot="1" x14ac:dyDescent="0.3">
      <c r="A6" s="75" t="s">
        <v>28</v>
      </c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</row>
    <row r="7" spans="1:12" x14ac:dyDescent="0.25">
      <c r="A7" s="77" t="s">
        <v>6</v>
      </c>
      <c r="B7" s="79" t="s">
        <v>7</v>
      </c>
      <c r="C7" s="80"/>
      <c r="D7" s="80"/>
      <c r="E7" s="80"/>
      <c r="F7" s="81"/>
      <c r="G7" s="82" t="s">
        <v>8</v>
      </c>
      <c r="H7" s="80"/>
      <c r="I7" s="80"/>
      <c r="J7" s="80"/>
      <c r="K7" s="81"/>
      <c r="L7" s="83" t="s">
        <v>9</v>
      </c>
    </row>
    <row r="8" spans="1:12" ht="15.75" thickBot="1" x14ac:dyDescent="0.3">
      <c r="A8" s="7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84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>
        <v>7</v>
      </c>
      <c r="C12" s="36"/>
      <c r="D12" s="36"/>
      <c r="E12" s="37"/>
      <c r="F12" s="13">
        <f t="shared" si="0"/>
        <v>7</v>
      </c>
      <c r="G12" s="32"/>
      <c r="H12" s="38"/>
      <c r="I12" s="14"/>
      <c r="J12" s="14"/>
      <c r="K12" s="11">
        <f t="shared" si="1"/>
        <v>0</v>
      </c>
      <c r="L12" s="5">
        <f t="shared" si="2"/>
        <v>7</v>
      </c>
    </row>
    <row r="13" spans="1:12" ht="15" customHeight="1" thickBot="1" x14ac:dyDescent="0.3">
      <c r="A13" s="47">
        <v>5</v>
      </c>
      <c r="B13" s="40">
        <v>6</v>
      </c>
      <c r="C13" s="36"/>
      <c r="D13" s="36"/>
      <c r="E13" s="37"/>
      <c r="F13" s="13">
        <f t="shared" si="0"/>
        <v>6</v>
      </c>
      <c r="G13" s="38"/>
      <c r="H13" s="38"/>
      <c r="I13" s="14"/>
      <c r="J13" s="14"/>
      <c r="K13" s="11">
        <f t="shared" si="1"/>
        <v>0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2</v>
      </c>
      <c r="C15" s="36"/>
      <c r="D15" s="36"/>
      <c r="E15" s="39"/>
      <c r="F15" s="13">
        <f t="shared" si="0"/>
        <v>2</v>
      </c>
      <c r="G15" s="38"/>
      <c r="H15" s="38"/>
      <c r="I15" s="14"/>
      <c r="J15" s="14"/>
      <c r="K15" s="11">
        <f t="shared" si="1"/>
        <v>0</v>
      </c>
      <c r="L15" s="5">
        <f t="shared" si="2"/>
        <v>2</v>
      </c>
    </row>
    <row r="16" spans="1:12" ht="15" customHeight="1" thickBot="1" x14ac:dyDescent="0.3">
      <c r="A16" s="47">
        <v>8</v>
      </c>
      <c r="B16" s="40">
        <v>2</v>
      </c>
      <c r="C16" s="36"/>
      <c r="D16" s="36"/>
      <c r="E16" s="37"/>
      <c r="F16" s="13">
        <f t="shared" si="0"/>
        <v>2</v>
      </c>
      <c r="G16" s="38"/>
      <c r="H16" s="38"/>
      <c r="I16" s="14"/>
      <c r="J16" s="14"/>
      <c r="K16" s="11">
        <f t="shared" si="1"/>
        <v>0</v>
      </c>
      <c r="L16" s="5">
        <f t="shared" si="2"/>
        <v>2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36"/>
      <c r="D18" s="36"/>
      <c r="E18" s="37"/>
      <c r="F18" s="13">
        <f t="shared" si="0"/>
        <v>0</v>
      </c>
      <c r="G18" s="40"/>
      <c r="H18" s="40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>
        <v>4</v>
      </c>
      <c r="C19" s="36"/>
      <c r="D19" s="36"/>
      <c r="E19" s="37"/>
      <c r="F19" s="13">
        <f t="shared" si="0"/>
        <v>4</v>
      </c>
      <c r="G19" s="19"/>
      <c r="H19" s="38"/>
      <c r="I19" s="14"/>
      <c r="J19" s="14"/>
      <c r="K19" s="11">
        <f t="shared" si="1"/>
        <v>0</v>
      </c>
      <c r="L19" s="5">
        <f t="shared" si="2"/>
        <v>4</v>
      </c>
    </row>
    <row r="20" spans="1:12" ht="15" customHeight="1" thickBot="1" x14ac:dyDescent="0.3">
      <c r="A20" s="47">
        <v>12</v>
      </c>
      <c r="B20" s="40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>
        <v>5</v>
      </c>
      <c r="C21" s="36"/>
      <c r="D21" s="36"/>
      <c r="E21" s="37"/>
      <c r="F21" s="13">
        <f t="shared" si="0"/>
        <v>5</v>
      </c>
      <c r="G21" s="21"/>
      <c r="H21" s="41"/>
      <c r="I21" s="14"/>
      <c r="J21" s="14"/>
      <c r="K21" s="11">
        <f t="shared" si="1"/>
        <v>0</v>
      </c>
      <c r="L21" s="5">
        <f t="shared" si="2"/>
        <v>5</v>
      </c>
    </row>
    <row r="22" spans="1:12" ht="15" customHeight="1" thickBot="1" x14ac:dyDescent="0.3">
      <c r="A22" s="47">
        <v>14</v>
      </c>
      <c r="B22" s="40">
        <v>8</v>
      </c>
      <c r="C22" s="36"/>
      <c r="D22" s="36"/>
      <c r="E22" s="37"/>
      <c r="F22" s="13">
        <f t="shared" si="0"/>
        <v>8</v>
      </c>
      <c r="G22" s="21"/>
      <c r="H22" s="14"/>
      <c r="I22" s="14"/>
      <c r="J22" s="14"/>
      <c r="K22" s="11">
        <f t="shared" si="1"/>
        <v>0</v>
      </c>
      <c r="L22" s="5">
        <f t="shared" si="2"/>
        <v>8</v>
      </c>
    </row>
    <row r="23" spans="1:12" ht="15" customHeight="1" thickBot="1" x14ac:dyDescent="0.3">
      <c r="A23" s="47">
        <v>15</v>
      </c>
      <c r="B23" s="40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40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18</v>
      </c>
      <c r="C26" s="36"/>
      <c r="D26" s="36"/>
      <c r="E26" s="37"/>
      <c r="F26" s="13">
        <f t="shared" si="0"/>
        <v>18</v>
      </c>
      <c r="G26" s="19"/>
      <c r="H26" s="53"/>
      <c r="I26" s="14"/>
      <c r="J26" s="14"/>
      <c r="K26" s="11">
        <f t="shared" si="1"/>
        <v>0</v>
      </c>
      <c r="L26" s="5">
        <f t="shared" si="2"/>
        <v>18</v>
      </c>
    </row>
    <row r="27" spans="1:12" ht="15" customHeight="1" thickBot="1" x14ac:dyDescent="0.3">
      <c r="A27" s="47">
        <v>19</v>
      </c>
      <c r="B27" s="40">
        <v>2</v>
      </c>
      <c r="C27" s="42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7">
        <v>20</v>
      </c>
      <c r="B28" s="40">
        <v>1</v>
      </c>
      <c r="C28" s="36"/>
      <c r="D28" s="36"/>
      <c r="E28" s="37"/>
      <c r="F28" s="13">
        <f t="shared" si="0"/>
        <v>1</v>
      </c>
      <c r="G28" s="19"/>
      <c r="H28" s="14"/>
      <c r="I28" s="14"/>
      <c r="J28" s="14"/>
      <c r="K28" s="11">
        <f t="shared" si="1"/>
        <v>0</v>
      </c>
      <c r="L28" s="5">
        <f t="shared" si="2"/>
        <v>1</v>
      </c>
    </row>
    <row r="29" spans="1:12" ht="15" customHeight="1" thickBot="1" x14ac:dyDescent="0.3">
      <c r="A29" s="47">
        <v>21</v>
      </c>
      <c r="B29" s="40">
        <v>3</v>
      </c>
      <c r="C29" s="36"/>
      <c r="D29" s="36"/>
      <c r="E29" s="37"/>
      <c r="F29" s="13">
        <f t="shared" si="0"/>
        <v>3</v>
      </c>
      <c r="G29" s="19"/>
      <c r="H29" s="14"/>
      <c r="I29" s="14"/>
      <c r="J29" s="14"/>
      <c r="K29" s="11">
        <f t="shared" si="1"/>
        <v>0</v>
      </c>
      <c r="L29" s="5">
        <f t="shared" si="2"/>
        <v>3</v>
      </c>
    </row>
    <row r="30" spans="1:12" ht="15" customHeight="1" thickBot="1" x14ac:dyDescent="0.3">
      <c r="A30" s="47">
        <v>22</v>
      </c>
      <c r="B30" s="40">
        <v>8</v>
      </c>
      <c r="C30" s="36"/>
      <c r="D30" s="36"/>
      <c r="E30" s="37"/>
      <c r="F30" s="13">
        <f t="shared" si="0"/>
        <v>8</v>
      </c>
      <c r="G30" s="19"/>
      <c r="H30" s="14"/>
      <c r="I30" s="14"/>
      <c r="J30" s="14"/>
      <c r="K30" s="11">
        <f t="shared" si="1"/>
        <v>0</v>
      </c>
      <c r="L30" s="5">
        <f t="shared" si="2"/>
        <v>8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36"/>
      <c r="D33" s="36"/>
      <c r="E33" s="37"/>
      <c r="F33" s="13">
        <f t="shared" si="0"/>
        <v>2</v>
      </c>
      <c r="G33" s="19"/>
      <c r="H33" s="14"/>
      <c r="I33" s="14"/>
      <c r="J33" s="14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5</v>
      </c>
      <c r="C34" s="42"/>
      <c r="D34" s="36"/>
      <c r="E34" s="37"/>
      <c r="F34" s="13">
        <f t="shared" si="0"/>
        <v>5</v>
      </c>
      <c r="G34" s="19"/>
      <c r="H34" s="38"/>
      <c r="I34" s="14"/>
      <c r="J34" s="14"/>
      <c r="K34" s="11">
        <f t="shared" si="1"/>
        <v>0</v>
      </c>
      <c r="L34" s="5">
        <f t="shared" si="2"/>
        <v>5</v>
      </c>
    </row>
    <row r="35" spans="1:12" ht="15" customHeight="1" thickBot="1" x14ac:dyDescent="0.3">
      <c r="A35" s="47">
        <v>27</v>
      </c>
      <c r="B35" s="44">
        <v>3</v>
      </c>
      <c r="C35" s="36"/>
      <c r="D35" s="36"/>
      <c r="E35" s="37"/>
      <c r="F35" s="13">
        <f t="shared" si="0"/>
        <v>3</v>
      </c>
      <c r="G35" s="30"/>
      <c r="H35" s="38"/>
      <c r="I35" s="14"/>
      <c r="J35" s="14"/>
      <c r="K35" s="11">
        <f t="shared" si="1"/>
        <v>0</v>
      </c>
      <c r="L35" s="5">
        <f t="shared" si="2"/>
        <v>3</v>
      </c>
    </row>
    <row r="36" spans="1:12" ht="15" customHeight="1" thickBot="1" x14ac:dyDescent="0.3">
      <c r="A36" s="47">
        <v>28</v>
      </c>
      <c r="B36" s="44">
        <v>5</v>
      </c>
      <c r="C36" s="14"/>
      <c r="D36" s="14"/>
      <c r="E36" s="15"/>
      <c r="F36" s="13">
        <f t="shared" si="0"/>
        <v>5</v>
      </c>
      <c r="G36" s="19">
        <v>18</v>
      </c>
      <c r="H36" s="14"/>
      <c r="I36" s="14"/>
      <c r="J36" s="14"/>
      <c r="K36" s="11">
        <f t="shared" si="1"/>
        <v>18</v>
      </c>
      <c r="L36" s="5">
        <f t="shared" si="2"/>
        <v>23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>
        <v>17</v>
      </c>
      <c r="H37" s="14"/>
      <c r="I37" s="14"/>
      <c r="J37" s="14"/>
      <c r="K37" s="11">
        <f t="shared" si="1"/>
        <v>17</v>
      </c>
      <c r="L37" s="5">
        <f t="shared" si="2"/>
        <v>17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81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81</v>
      </c>
      <c r="G40" s="12">
        <f>SUM(G9:G39)</f>
        <v>35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35</v>
      </c>
      <c r="L40" s="12">
        <f t="shared" si="4"/>
        <v>116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67"/>
      <c r="B42" s="67"/>
      <c r="C42" s="67"/>
      <c r="D42" s="67"/>
      <c r="E42" s="67"/>
      <c r="F42" s="67"/>
      <c r="G42" s="68" t="s">
        <v>16</v>
      </c>
      <c r="H42" s="69"/>
      <c r="I42" s="69" t="s">
        <v>17</v>
      </c>
      <c r="J42" s="70"/>
      <c r="K42" s="7"/>
      <c r="L42" s="9"/>
    </row>
    <row r="43" spans="1:12" ht="15" customHeight="1" thickBot="1" x14ac:dyDescent="0.3">
      <c r="A43" s="10"/>
      <c r="B43" s="54" t="s">
        <v>18</v>
      </c>
      <c r="C43" s="55"/>
      <c r="D43" s="55"/>
      <c r="E43" s="55"/>
      <c r="F43" s="55"/>
      <c r="G43" s="65">
        <v>447</v>
      </c>
      <c r="H43" s="71"/>
      <c r="I43" s="72"/>
      <c r="J43" s="73"/>
      <c r="K43" s="7"/>
      <c r="L43" s="9"/>
    </row>
    <row r="44" spans="1:12" ht="15" customHeight="1" thickBot="1" x14ac:dyDescent="0.3">
      <c r="A44" s="10"/>
      <c r="B44" s="54" t="s">
        <v>19</v>
      </c>
      <c r="C44" s="55"/>
      <c r="D44" s="55"/>
      <c r="E44" s="55"/>
      <c r="F44" s="55"/>
      <c r="G44" s="58">
        <v>0</v>
      </c>
      <c r="H44" s="57"/>
      <c r="I44" s="58"/>
      <c r="J44" s="57"/>
      <c r="K44" s="7"/>
      <c r="L44" s="9"/>
    </row>
    <row r="45" spans="1:12" ht="15" customHeight="1" thickBot="1" x14ac:dyDescent="0.3">
      <c r="A45" s="10"/>
      <c r="B45" s="62" t="s">
        <v>20</v>
      </c>
      <c r="C45" s="62"/>
      <c r="D45" s="62"/>
      <c r="E45" s="62"/>
      <c r="F45" s="54"/>
      <c r="G45" s="63">
        <v>0</v>
      </c>
      <c r="H45" s="64"/>
      <c r="I45" s="65"/>
      <c r="J45" s="66"/>
      <c r="K45" s="7"/>
      <c r="L45" s="9"/>
    </row>
    <row r="46" spans="1:12" ht="15" customHeight="1" thickBot="1" x14ac:dyDescent="0.3">
      <c r="A46" s="10"/>
      <c r="B46" s="54" t="s">
        <v>21</v>
      </c>
      <c r="C46" s="55"/>
      <c r="D46" s="55"/>
      <c r="E46" s="55"/>
      <c r="F46" s="55"/>
      <c r="G46" s="56">
        <f>L40+G45</f>
        <v>116</v>
      </c>
      <c r="H46" s="57"/>
      <c r="I46" s="58"/>
      <c r="J46" s="57"/>
      <c r="K46" s="7"/>
      <c r="L46" s="9"/>
    </row>
    <row r="47" spans="1:12" ht="15" customHeight="1" thickBot="1" x14ac:dyDescent="0.3">
      <c r="A47" s="3"/>
      <c r="B47" s="54" t="s">
        <v>22</v>
      </c>
      <c r="C47" s="55"/>
      <c r="D47" s="55"/>
      <c r="E47" s="55"/>
      <c r="F47" s="55"/>
      <c r="G47" s="56">
        <f>G43+G44-G46</f>
        <v>331</v>
      </c>
      <c r="H47" s="57"/>
      <c r="I47" s="58"/>
      <c r="J47" s="57"/>
      <c r="K47" s="7"/>
      <c r="L47" s="2"/>
    </row>
    <row r="48" spans="1:12" ht="15" customHeight="1" thickBot="1" x14ac:dyDescent="0.3">
      <c r="A48" s="3"/>
      <c r="B48" s="54" t="s">
        <v>23</v>
      </c>
      <c r="C48" s="55"/>
      <c r="D48" s="55"/>
      <c r="E48" s="55"/>
      <c r="F48" s="55"/>
      <c r="G48" s="56">
        <v>321</v>
      </c>
      <c r="H48" s="57"/>
      <c r="I48" s="58"/>
      <c r="J48" s="57"/>
      <c r="K48" s="7"/>
      <c r="L48" s="2"/>
    </row>
    <row r="49" spans="1:12" ht="15" customHeight="1" thickBot="1" x14ac:dyDescent="0.3">
      <c r="A49" s="3"/>
      <c r="B49" s="54" t="s">
        <v>24</v>
      </c>
      <c r="C49" s="55"/>
      <c r="D49" s="55"/>
      <c r="E49" s="55"/>
      <c r="F49" s="55"/>
      <c r="G49" s="59">
        <f>G47-G48</f>
        <v>10</v>
      </c>
      <c r="H49" s="60"/>
      <c r="I49" s="61"/>
      <c r="J49" s="60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29</v>
      </c>
    </row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9BBAA-45FB-4076-A9CF-97F6C48F2A35}">
  <dimension ref="A1:L52"/>
  <sheetViews>
    <sheetView tabSelected="1" topLeftCell="A29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4" t="s">
        <v>0</v>
      </c>
      <c r="B1" s="74"/>
      <c r="C1" s="74"/>
      <c r="D1" s="74"/>
      <c r="E1" s="22"/>
      <c r="F1" s="23"/>
      <c r="G1" s="75" t="s">
        <v>1</v>
      </c>
      <c r="H1" s="75"/>
      <c r="I1" s="75"/>
      <c r="J1" s="75"/>
      <c r="K1" s="75"/>
      <c r="L1" s="75"/>
    </row>
    <row r="2" spans="1:12" ht="15.75" x14ac:dyDescent="0.25">
      <c r="A2" s="75" t="s">
        <v>2</v>
      </c>
      <c r="B2" s="75"/>
      <c r="C2" s="75"/>
      <c r="D2" s="75"/>
      <c r="E2" s="22"/>
      <c r="F2" s="23"/>
      <c r="G2" s="76" t="s">
        <v>3</v>
      </c>
      <c r="H2" s="76"/>
      <c r="I2" s="76"/>
      <c r="J2" s="76"/>
      <c r="K2" s="76"/>
      <c r="L2" s="76"/>
    </row>
    <row r="3" spans="1:12" x14ac:dyDescent="0.25">
      <c r="A3" s="76" t="s">
        <v>4</v>
      </c>
      <c r="B3" s="76"/>
      <c r="C3" s="76"/>
      <c r="D3" s="76"/>
      <c r="E3" s="22"/>
      <c r="F3" s="23"/>
      <c r="G3" s="76" t="s">
        <v>27</v>
      </c>
      <c r="H3" s="76"/>
      <c r="I3" s="76"/>
      <c r="J3" s="76"/>
      <c r="K3" s="76"/>
      <c r="L3" s="76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74" t="s">
        <v>5</v>
      </c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</row>
    <row r="6" spans="1:12" ht="16.5" thickBot="1" x14ac:dyDescent="0.3">
      <c r="A6" s="75" t="s">
        <v>30</v>
      </c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</row>
    <row r="7" spans="1:12" x14ac:dyDescent="0.25">
      <c r="A7" s="77" t="s">
        <v>6</v>
      </c>
      <c r="B7" s="79" t="s">
        <v>7</v>
      </c>
      <c r="C7" s="80"/>
      <c r="D7" s="80"/>
      <c r="E7" s="80"/>
      <c r="F7" s="81"/>
      <c r="G7" s="82" t="s">
        <v>8</v>
      </c>
      <c r="H7" s="80"/>
      <c r="I7" s="80"/>
      <c r="J7" s="80"/>
      <c r="K7" s="81"/>
      <c r="L7" s="83" t="s">
        <v>9</v>
      </c>
    </row>
    <row r="8" spans="1:12" ht="15.75" thickBot="1" x14ac:dyDescent="0.3">
      <c r="A8" s="7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84"/>
    </row>
    <row r="9" spans="1:12" ht="15" customHeight="1" thickBot="1" x14ac:dyDescent="0.3">
      <c r="A9" s="46">
        <v>1</v>
      </c>
      <c r="B9" s="43">
        <v>1</v>
      </c>
      <c r="C9" s="33"/>
      <c r="D9" s="85">
        <v>1</v>
      </c>
      <c r="E9" s="34"/>
      <c r="F9" s="13">
        <f>SUM(B9:E9)</f>
        <v>2</v>
      </c>
      <c r="G9" s="31">
        <v>21</v>
      </c>
      <c r="H9" s="35"/>
      <c r="I9" s="18"/>
      <c r="J9" s="18"/>
      <c r="K9" s="11">
        <f>SUM(G9:J9)</f>
        <v>21</v>
      </c>
      <c r="L9" s="5">
        <f>SUM(F9+K9)</f>
        <v>23</v>
      </c>
    </row>
    <row r="10" spans="1:12" ht="15" customHeight="1" thickBot="1" x14ac:dyDescent="0.3">
      <c r="A10" s="6">
        <v>2</v>
      </c>
      <c r="B10" s="40">
        <v>5</v>
      </c>
      <c r="C10" s="36"/>
      <c r="D10" s="36"/>
      <c r="E10" s="37"/>
      <c r="F10" s="13">
        <f t="shared" ref="F10:F39" si="0">SUM(B10:E10)</f>
        <v>5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5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>
        <v>11</v>
      </c>
      <c r="H11" s="38"/>
      <c r="I11" s="14"/>
      <c r="J11" s="14"/>
      <c r="K11" s="11">
        <f t="shared" si="1"/>
        <v>11</v>
      </c>
      <c r="L11" s="5">
        <f t="shared" si="2"/>
        <v>11</v>
      </c>
    </row>
    <row r="12" spans="1:12" ht="15" customHeight="1" thickBot="1" x14ac:dyDescent="0.3">
      <c r="A12" s="47">
        <v>4</v>
      </c>
      <c r="B12" s="40">
        <v>3</v>
      </c>
      <c r="C12" s="36"/>
      <c r="D12" s="36"/>
      <c r="E12" s="37"/>
      <c r="F12" s="13">
        <f t="shared" si="0"/>
        <v>3</v>
      </c>
      <c r="G12" s="32"/>
      <c r="H12" s="38"/>
      <c r="I12" s="14"/>
      <c r="J12" s="14"/>
      <c r="K12" s="11">
        <f t="shared" si="1"/>
        <v>0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>
        <v>1</v>
      </c>
      <c r="H13" s="38"/>
      <c r="I13" s="14"/>
      <c r="J13" s="14"/>
      <c r="K13" s="11">
        <f t="shared" si="1"/>
        <v>1</v>
      </c>
      <c r="L13" s="5">
        <f t="shared" si="2"/>
        <v>1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>
        <v>6</v>
      </c>
      <c r="C17" s="36"/>
      <c r="D17" s="36"/>
      <c r="E17" s="37"/>
      <c r="F17" s="13">
        <f t="shared" si="0"/>
        <v>6</v>
      </c>
      <c r="G17" s="38">
        <v>1</v>
      </c>
      <c r="H17" s="38"/>
      <c r="I17" s="14"/>
      <c r="J17" s="14"/>
      <c r="K17" s="11">
        <f t="shared" si="1"/>
        <v>1</v>
      </c>
      <c r="L17" s="5">
        <f t="shared" si="2"/>
        <v>7</v>
      </c>
    </row>
    <row r="18" spans="1:12" ht="15" customHeight="1" thickBot="1" x14ac:dyDescent="0.3">
      <c r="A18" s="47">
        <v>10</v>
      </c>
      <c r="B18" s="40">
        <v>1</v>
      </c>
      <c r="C18" s="36"/>
      <c r="D18" s="36"/>
      <c r="E18" s="37"/>
      <c r="F18" s="13">
        <f t="shared" si="0"/>
        <v>1</v>
      </c>
      <c r="G18" s="40"/>
      <c r="H18" s="40"/>
      <c r="I18" s="14"/>
      <c r="J18" s="14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40">
        <v>2</v>
      </c>
      <c r="C19" s="36"/>
      <c r="D19" s="36"/>
      <c r="E19" s="37"/>
      <c r="F19" s="13">
        <f t="shared" si="0"/>
        <v>2</v>
      </c>
      <c r="G19" s="19"/>
      <c r="H19" s="38"/>
      <c r="I19" s="14"/>
      <c r="J19" s="14"/>
      <c r="K19" s="11">
        <f t="shared" si="1"/>
        <v>0</v>
      </c>
      <c r="L19" s="5">
        <f t="shared" si="2"/>
        <v>2</v>
      </c>
    </row>
    <row r="20" spans="1:12" ht="15" customHeight="1" thickBot="1" x14ac:dyDescent="0.3">
      <c r="A20" s="47">
        <v>12</v>
      </c>
      <c r="B20" s="40">
        <v>2</v>
      </c>
      <c r="C20" s="36"/>
      <c r="D20" s="36"/>
      <c r="E20" s="37"/>
      <c r="F20" s="13">
        <f t="shared" si="0"/>
        <v>2</v>
      </c>
      <c r="G20" s="19"/>
      <c r="H20" s="38"/>
      <c r="I20" s="20"/>
      <c r="J20" s="20"/>
      <c r="K20" s="11">
        <f t="shared" si="1"/>
        <v>0</v>
      </c>
      <c r="L20" s="5">
        <f t="shared" si="2"/>
        <v>2</v>
      </c>
    </row>
    <row r="21" spans="1:12" ht="15" customHeight="1" thickBot="1" x14ac:dyDescent="0.3">
      <c r="A21" s="47">
        <v>13</v>
      </c>
      <c r="B21" s="40"/>
      <c r="C21" s="36"/>
      <c r="D21" s="36"/>
      <c r="E21" s="37"/>
      <c r="F21" s="13">
        <f t="shared" si="0"/>
        <v>0</v>
      </c>
      <c r="G21" s="21"/>
      <c r="H21" s="41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>
        <v>3</v>
      </c>
      <c r="C23" s="36"/>
      <c r="D23" s="36"/>
      <c r="E23" s="37"/>
      <c r="F23" s="13">
        <f t="shared" si="0"/>
        <v>3</v>
      </c>
      <c r="G23" s="19">
        <v>1</v>
      </c>
      <c r="H23" s="14"/>
      <c r="I23" s="14"/>
      <c r="J23" s="14"/>
      <c r="K23" s="11">
        <f t="shared" si="1"/>
        <v>1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3</v>
      </c>
      <c r="C24" s="36"/>
      <c r="D24" s="36"/>
      <c r="E24" s="37"/>
      <c r="F24" s="13">
        <f t="shared" si="0"/>
        <v>3</v>
      </c>
      <c r="G24" s="19">
        <v>10</v>
      </c>
      <c r="H24" s="14"/>
      <c r="I24" s="14"/>
      <c r="J24" s="14"/>
      <c r="K24" s="11">
        <f t="shared" si="1"/>
        <v>10</v>
      </c>
      <c r="L24" s="5">
        <f t="shared" si="2"/>
        <v>13</v>
      </c>
    </row>
    <row r="25" spans="1:12" ht="15" customHeight="1" thickBot="1" x14ac:dyDescent="0.3">
      <c r="A25" s="47">
        <v>17</v>
      </c>
      <c r="B25" s="40">
        <v>1</v>
      </c>
      <c r="C25" s="40"/>
      <c r="D25" s="42"/>
      <c r="E25" s="37"/>
      <c r="F25" s="13">
        <f t="shared" si="0"/>
        <v>1</v>
      </c>
      <c r="G25" s="19">
        <v>10</v>
      </c>
      <c r="H25" s="14"/>
      <c r="I25" s="14">
        <v>1</v>
      </c>
      <c r="J25" s="14"/>
      <c r="K25" s="11">
        <f t="shared" si="1"/>
        <v>11</v>
      </c>
      <c r="L25" s="5">
        <f t="shared" si="2"/>
        <v>12</v>
      </c>
    </row>
    <row r="26" spans="1:12" ht="15" customHeight="1" thickBot="1" x14ac:dyDescent="0.3">
      <c r="A26" s="47">
        <v>18</v>
      </c>
      <c r="B26" s="40"/>
      <c r="C26" s="36"/>
      <c r="D26" s="36"/>
      <c r="E26" s="37"/>
      <c r="F26" s="13">
        <f t="shared" si="0"/>
        <v>0</v>
      </c>
      <c r="G26" s="19">
        <v>10</v>
      </c>
      <c r="H26" s="53"/>
      <c r="I26" s="14"/>
      <c r="J26" s="14"/>
      <c r="K26" s="11">
        <f t="shared" si="1"/>
        <v>10</v>
      </c>
      <c r="L26" s="5">
        <f t="shared" si="2"/>
        <v>10</v>
      </c>
    </row>
    <row r="27" spans="1:12" ht="15" customHeight="1" thickBot="1" x14ac:dyDescent="0.3">
      <c r="A27" s="47">
        <v>19</v>
      </c>
      <c r="B27" s="40"/>
      <c r="C27" s="42"/>
      <c r="D27" s="36"/>
      <c r="E27" s="37"/>
      <c r="F27" s="13">
        <f t="shared" si="0"/>
        <v>0</v>
      </c>
      <c r="G27" s="19">
        <v>4</v>
      </c>
      <c r="H27" s="14"/>
      <c r="I27" s="14"/>
      <c r="J27" s="14"/>
      <c r="K27" s="11">
        <f t="shared" si="1"/>
        <v>4</v>
      </c>
      <c r="L27" s="5">
        <f t="shared" si="2"/>
        <v>4</v>
      </c>
    </row>
    <row r="28" spans="1:12" ht="15" customHeight="1" thickBot="1" x14ac:dyDescent="0.3">
      <c r="A28" s="47">
        <v>20</v>
      </c>
      <c r="B28" s="40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>
        <v>5</v>
      </c>
      <c r="C30" s="36"/>
      <c r="D30" s="36"/>
      <c r="E30" s="37"/>
      <c r="F30" s="13">
        <f t="shared" si="0"/>
        <v>5</v>
      </c>
      <c r="G30" s="19">
        <v>1</v>
      </c>
      <c r="H30" s="14"/>
      <c r="I30" s="14"/>
      <c r="J30" s="14"/>
      <c r="K30" s="11">
        <f t="shared" si="1"/>
        <v>1</v>
      </c>
      <c r="L30" s="5">
        <f t="shared" si="2"/>
        <v>6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1</v>
      </c>
      <c r="C33" s="36"/>
      <c r="D33" s="36"/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7">
        <v>26</v>
      </c>
      <c r="B34" s="40">
        <v>2</v>
      </c>
      <c r="C34" s="42"/>
      <c r="D34" s="36"/>
      <c r="E34" s="37"/>
      <c r="F34" s="13">
        <f t="shared" si="0"/>
        <v>2</v>
      </c>
      <c r="G34" s="19"/>
      <c r="H34" s="38"/>
      <c r="I34" s="14"/>
      <c r="J34" s="14"/>
      <c r="K34" s="11">
        <f t="shared" si="1"/>
        <v>0</v>
      </c>
      <c r="L34" s="5">
        <f t="shared" si="2"/>
        <v>2</v>
      </c>
    </row>
    <row r="35" spans="1:12" ht="15" customHeight="1" thickBot="1" x14ac:dyDescent="0.3">
      <c r="A35" s="47">
        <v>27</v>
      </c>
      <c r="B35" s="44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35</v>
      </c>
      <c r="C40" s="52">
        <f t="shared" ref="C40:E40" si="3">SUM(C9:C39)</f>
        <v>0</v>
      </c>
      <c r="D40" s="52">
        <f t="shared" si="3"/>
        <v>1</v>
      </c>
      <c r="E40" s="52">
        <f t="shared" si="3"/>
        <v>0</v>
      </c>
      <c r="F40" s="51">
        <f>SUM(F9:F39)</f>
        <v>36</v>
      </c>
      <c r="G40" s="12">
        <f>SUM(G9:G39)</f>
        <v>70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71</v>
      </c>
      <c r="L40" s="12">
        <f t="shared" si="4"/>
        <v>107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67"/>
      <c r="B42" s="67"/>
      <c r="C42" s="67"/>
      <c r="D42" s="67"/>
      <c r="E42" s="67"/>
      <c r="F42" s="67"/>
      <c r="G42" s="68" t="s">
        <v>16</v>
      </c>
      <c r="H42" s="69"/>
      <c r="I42" s="69" t="s">
        <v>17</v>
      </c>
      <c r="J42" s="70"/>
      <c r="K42" s="7"/>
      <c r="L42" s="9"/>
    </row>
    <row r="43" spans="1:12" ht="15" customHeight="1" thickBot="1" x14ac:dyDescent="0.3">
      <c r="A43" s="10"/>
      <c r="B43" s="54" t="s">
        <v>18</v>
      </c>
      <c r="C43" s="55"/>
      <c r="D43" s="55"/>
      <c r="E43" s="55"/>
      <c r="F43" s="55"/>
      <c r="G43" s="65">
        <v>321</v>
      </c>
      <c r="H43" s="71"/>
      <c r="I43" s="72"/>
      <c r="J43" s="73"/>
      <c r="K43" s="7"/>
      <c r="L43" s="9"/>
    </row>
    <row r="44" spans="1:12" ht="15" customHeight="1" thickBot="1" x14ac:dyDescent="0.3">
      <c r="A44" s="10"/>
      <c r="B44" s="54" t="s">
        <v>19</v>
      </c>
      <c r="C44" s="55"/>
      <c r="D44" s="55"/>
      <c r="E44" s="55"/>
      <c r="F44" s="55"/>
      <c r="G44" s="58">
        <v>0</v>
      </c>
      <c r="H44" s="57"/>
      <c r="I44" s="58"/>
      <c r="J44" s="57"/>
      <c r="K44" s="7"/>
      <c r="L44" s="9"/>
    </row>
    <row r="45" spans="1:12" ht="15" customHeight="1" thickBot="1" x14ac:dyDescent="0.3">
      <c r="A45" s="10"/>
      <c r="B45" s="62" t="s">
        <v>20</v>
      </c>
      <c r="C45" s="62"/>
      <c r="D45" s="62"/>
      <c r="E45" s="62"/>
      <c r="F45" s="54"/>
      <c r="G45" s="63">
        <v>0</v>
      </c>
      <c r="H45" s="64"/>
      <c r="I45" s="65"/>
      <c r="J45" s="66"/>
      <c r="K45" s="7"/>
      <c r="L45" s="9"/>
    </row>
    <row r="46" spans="1:12" ht="15" customHeight="1" thickBot="1" x14ac:dyDescent="0.3">
      <c r="A46" s="10"/>
      <c r="B46" s="54" t="s">
        <v>21</v>
      </c>
      <c r="C46" s="55"/>
      <c r="D46" s="55"/>
      <c r="E46" s="55"/>
      <c r="F46" s="55"/>
      <c r="G46" s="56">
        <f>L40+G45</f>
        <v>107</v>
      </c>
      <c r="H46" s="57"/>
      <c r="I46" s="58"/>
      <c r="J46" s="57"/>
      <c r="K46" s="7"/>
      <c r="L46" s="9"/>
    </row>
    <row r="47" spans="1:12" ht="15" customHeight="1" thickBot="1" x14ac:dyDescent="0.3">
      <c r="A47" s="3"/>
      <c r="B47" s="54" t="s">
        <v>22</v>
      </c>
      <c r="C47" s="55"/>
      <c r="D47" s="55"/>
      <c r="E47" s="55"/>
      <c r="F47" s="55"/>
      <c r="G47" s="56">
        <f>G43+G44-G46</f>
        <v>214</v>
      </c>
      <c r="H47" s="57"/>
      <c r="I47" s="58"/>
      <c r="J47" s="57"/>
      <c r="K47" s="7"/>
      <c r="L47" s="2"/>
    </row>
    <row r="48" spans="1:12" ht="15" customHeight="1" thickBot="1" x14ac:dyDescent="0.3">
      <c r="A48" s="3"/>
      <c r="B48" s="54" t="s">
        <v>23</v>
      </c>
      <c r="C48" s="55"/>
      <c r="D48" s="55"/>
      <c r="E48" s="55"/>
      <c r="F48" s="55"/>
      <c r="G48" s="56">
        <v>214</v>
      </c>
      <c r="H48" s="57"/>
      <c r="I48" s="58"/>
      <c r="J48" s="57"/>
      <c r="K48" s="7"/>
      <c r="L48" s="2"/>
    </row>
    <row r="49" spans="1:12" ht="15" customHeight="1" thickBot="1" x14ac:dyDescent="0.3">
      <c r="A49" s="3"/>
      <c r="B49" s="54" t="s">
        <v>24</v>
      </c>
      <c r="C49" s="55"/>
      <c r="D49" s="55"/>
      <c r="E49" s="55"/>
      <c r="F49" s="55"/>
      <c r="G49" s="59">
        <f>G47-G48</f>
        <v>0</v>
      </c>
      <c r="H49" s="60"/>
      <c r="I49" s="61"/>
      <c r="J49" s="60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JANVIER 2026</vt:lpstr>
      <vt:lpstr>FEVRIER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2026-02-04T10:39:09Z</cp:lastPrinted>
  <dcterms:created xsi:type="dcterms:W3CDTF">2014-12-31T15:22:06Z</dcterms:created>
  <dcterms:modified xsi:type="dcterms:W3CDTF">2026-03-07T10:53:03Z</dcterms:modified>
</cp:coreProperties>
</file>