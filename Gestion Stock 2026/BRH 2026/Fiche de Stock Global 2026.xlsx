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Suivie Pose Compteurs\Gestion Stock 2026\BRH 2026\"/>
    </mc:Choice>
  </mc:AlternateContent>
  <xr:revisionPtr revIDLastSave="0" documentId="13_ncr:1_{B1B9779B-66B9-4A65-8A2F-A4994D04F4D3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JANVIER 2026" sheetId="13" r:id="rId1"/>
    <sheet name="FEVRIER 2026" sheetId="14" r:id="rId2"/>
    <sheet name="MARS 2026" sheetId="15" r:id="rId3"/>
    <sheet name="AVRIL 2026" sheetId="16" r:id="rId4"/>
    <sheet name="MAI 2026" sheetId="17" r:id="rId5"/>
    <sheet name="JUIN 2026" sheetId="18" r:id="rId6"/>
    <sheet name="JUILLET 2026" sheetId="19" r:id="rId7"/>
    <sheet name="AOUT 2026" sheetId="20" r:id="rId8"/>
    <sheet name="SEPTEMBRE 2026" sheetId="21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0" i="21" l="1"/>
  <c r="I40" i="21"/>
  <c r="H40" i="21"/>
  <c r="G40" i="21"/>
  <c r="E40" i="21"/>
  <c r="D40" i="21"/>
  <c r="C40" i="21"/>
  <c r="B40" i="21"/>
  <c r="K39" i="21"/>
  <c r="F39" i="21"/>
  <c r="L39" i="21" s="1"/>
  <c r="K38" i="21"/>
  <c r="L38" i="21" s="1"/>
  <c r="F38" i="21"/>
  <c r="K37" i="21"/>
  <c r="F37" i="21"/>
  <c r="L37" i="21" s="1"/>
  <c r="K36" i="21"/>
  <c r="F36" i="21"/>
  <c r="L36" i="21" s="1"/>
  <c r="K35" i="21"/>
  <c r="F35" i="21"/>
  <c r="L35" i="21" s="1"/>
  <c r="K34" i="21"/>
  <c r="F34" i="21"/>
  <c r="L34" i="21" s="1"/>
  <c r="K33" i="21"/>
  <c r="F33" i="21"/>
  <c r="L33" i="21" s="1"/>
  <c r="K32" i="21"/>
  <c r="F32" i="21"/>
  <c r="L32" i="21" s="1"/>
  <c r="K31" i="21"/>
  <c r="F31" i="21"/>
  <c r="L31" i="21" s="1"/>
  <c r="K30" i="21"/>
  <c r="F30" i="21"/>
  <c r="L30" i="21" s="1"/>
  <c r="K29" i="21"/>
  <c r="F29" i="21"/>
  <c r="L29" i="21" s="1"/>
  <c r="L28" i="21"/>
  <c r="K28" i="21"/>
  <c r="F28" i="21"/>
  <c r="K27" i="21"/>
  <c r="F27" i="21"/>
  <c r="L27" i="21" s="1"/>
  <c r="K26" i="21"/>
  <c r="F26" i="21"/>
  <c r="L26" i="21" s="1"/>
  <c r="K25" i="21"/>
  <c r="F25" i="21"/>
  <c r="L25" i="21" s="1"/>
  <c r="K24" i="21"/>
  <c r="F24" i="21"/>
  <c r="L24" i="21" s="1"/>
  <c r="K23" i="21"/>
  <c r="F23" i="21"/>
  <c r="L23" i="21" s="1"/>
  <c r="K22" i="21"/>
  <c r="F22" i="21"/>
  <c r="L22" i="21" s="1"/>
  <c r="K21" i="21"/>
  <c r="F21" i="21"/>
  <c r="L21" i="21" s="1"/>
  <c r="K20" i="21"/>
  <c r="F20" i="21"/>
  <c r="L20" i="21" s="1"/>
  <c r="K19" i="21"/>
  <c r="F19" i="21"/>
  <c r="L19" i="21" s="1"/>
  <c r="K18" i="21"/>
  <c r="F18" i="21"/>
  <c r="L18" i="21" s="1"/>
  <c r="K17" i="21"/>
  <c r="F17" i="21"/>
  <c r="L17" i="21" s="1"/>
  <c r="K16" i="21"/>
  <c r="F16" i="21"/>
  <c r="L16" i="21" s="1"/>
  <c r="K15" i="21"/>
  <c r="F15" i="21"/>
  <c r="L15" i="21" s="1"/>
  <c r="K14" i="21"/>
  <c r="F14" i="21"/>
  <c r="L14" i="21" s="1"/>
  <c r="K13" i="21"/>
  <c r="F13" i="21"/>
  <c r="L13" i="21" s="1"/>
  <c r="K12" i="21"/>
  <c r="F12" i="21"/>
  <c r="L12" i="21" s="1"/>
  <c r="K11" i="21"/>
  <c r="F11" i="21"/>
  <c r="L11" i="21" s="1"/>
  <c r="K10" i="21"/>
  <c r="F10" i="21"/>
  <c r="L10" i="21" s="1"/>
  <c r="K9" i="21"/>
  <c r="F9" i="21"/>
  <c r="L9" i="21" s="1"/>
  <c r="J40" i="20"/>
  <c r="I40" i="20"/>
  <c r="H40" i="20"/>
  <c r="G40" i="20"/>
  <c r="E40" i="20"/>
  <c r="D40" i="20"/>
  <c r="C40" i="20"/>
  <c r="B40" i="20"/>
  <c r="K39" i="20"/>
  <c r="F39" i="20"/>
  <c r="K38" i="20"/>
  <c r="L38" i="20" s="1"/>
  <c r="F38" i="20"/>
  <c r="K37" i="20"/>
  <c r="F37" i="20"/>
  <c r="L37" i="20" s="1"/>
  <c r="K36" i="20"/>
  <c r="F36" i="20"/>
  <c r="L36" i="20" s="1"/>
  <c r="K35" i="20"/>
  <c r="F35" i="20"/>
  <c r="K34" i="20"/>
  <c r="F34" i="20"/>
  <c r="L34" i="20" s="1"/>
  <c r="K33" i="20"/>
  <c r="F33" i="20"/>
  <c r="L33" i="20" s="1"/>
  <c r="K32" i="20"/>
  <c r="F32" i="20"/>
  <c r="L32" i="20" s="1"/>
  <c r="K31" i="20"/>
  <c r="F31" i="20"/>
  <c r="K30" i="20"/>
  <c r="F30" i="20"/>
  <c r="L30" i="20" s="1"/>
  <c r="K29" i="20"/>
  <c r="F29" i="20"/>
  <c r="L29" i="20" s="1"/>
  <c r="K28" i="20"/>
  <c r="F28" i="20"/>
  <c r="L28" i="20" s="1"/>
  <c r="K27" i="20"/>
  <c r="F27" i="20"/>
  <c r="K26" i="20"/>
  <c r="F26" i="20"/>
  <c r="L26" i="20" s="1"/>
  <c r="K25" i="20"/>
  <c r="F25" i="20"/>
  <c r="L25" i="20" s="1"/>
  <c r="K24" i="20"/>
  <c r="F24" i="20"/>
  <c r="L24" i="20" s="1"/>
  <c r="K23" i="20"/>
  <c r="F23" i="20"/>
  <c r="L22" i="20"/>
  <c r="K22" i="20"/>
  <c r="F22" i="20"/>
  <c r="K21" i="20"/>
  <c r="F21" i="20"/>
  <c r="L21" i="20" s="1"/>
  <c r="K20" i="20"/>
  <c r="F20" i="20"/>
  <c r="L20" i="20" s="1"/>
  <c r="K19" i="20"/>
  <c r="F19" i="20"/>
  <c r="K18" i="20"/>
  <c r="F18" i="20"/>
  <c r="L18" i="20" s="1"/>
  <c r="K17" i="20"/>
  <c r="F17" i="20"/>
  <c r="L17" i="20" s="1"/>
  <c r="K16" i="20"/>
  <c r="F16" i="20"/>
  <c r="L16" i="20" s="1"/>
  <c r="K15" i="20"/>
  <c r="F15" i="20"/>
  <c r="K14" i="20"/>
  <c r="F14" i="20"/>
  <c r="L14" i="20" s="1"/>
  <c r="K13" i="20"/>
  <c r="F13" i="20"/>
  <c r="L13" i="20" s="1"/>
  <c r="K12" i="20"/>
  <c r="F12" i="20"/>
  <c r="L12" i="20" s="1"/>
  <c r="K11" i="20"/>
  <c r="F11" i="20"/>
  <c r="K10" i="20"/>
  <c r="F10" i="20"/>
  <c r="L10" i="20" s="1"/>
  <c r="K9" i="20"/>
  <c r="F9" i="20"/>
  <c r="L9" i="20" s="1"/>
  <c r="J40" i="19"/>
  <c r="I40" i="19"/>
  <c r="H40" i="19"/>
  <c r="G40" i="19"/>
  <c r="E40" i="19"/>
  <c r="D40" i="19"/>
  <c r="C40" i="19"/>
  <c r="B40" i="19"/>
  <c r="K39" i="19"/>
  <c r="L39" i="19" s="1"/>
  <c r="F39" i="19"/>
  <c r="K38" i="19"/>
  <c r="F38" i="19"/>
  <c r="L38" i="19" s="1"/>
  <c r="K37" i="19"/>
  <c r="F37" i="19"/>
  <c r="L37" i="19" s="1"/>
  <c r="K36" i="19"/>
  <c r="F36" i="19"/>
  <c r="L36" i="19" s="1"/>
  <c r="K35" i="19"/>
  <c r="F35" i="19"/>
  <c r="K34" i="19"/>
  <c r="F34" i="19"/>
  <c r="L34" i="19" s="1"/>
  <c r="K33" i="19"/>
  <c r="F33" i="19"/>
  <c r="L33" i="19" s="1"/>
  <c r="L32" i="19"/>
  <c r="K32" i="19"/>
  <c r="F32" i="19"/>
  <c r="K31" i="19"/>
  <c r="F31" i="19"/>
  <c r="K30" i="19"/>
  <c r="F30" i="19"/>
  <c r="L30" i="19" s="1"/>
  <c r="K29" i="19"/>
  <c r="F29" i="19"/>
  <c r="L29" i="19" s="1"/>
  <c r="K28" i="19"/>
  <c r="F28" i="19"/>
  <c r="L28" i="19" s="1"/>
  <c r="K27" i="19"/>
  <c r="F27" i="19"/>
  <c r="K26" i="19"/>
  <c r="F26" i="19"/>
  <c r="K25" i="19"/>
  <c r="F25" i="19"/>
  <c r="L25" i="19" s="1"/>
  <c r="K24" i="19"/>
  <c r="F24" i="19"/>
  <c r="L24" i="19" s="1"/>
  <c r="K23" i="19"/>
  <c r="F23" i="19"/>
  <c r="K22" i="19"/>
  <c r="F22" i="19"/>
  <c r="L22" i="19" s="1"/>
  <c r="K21" i="19"/>
  <c r="F21" i="19"/>
  <c r="L21" i="19" s="1"/>
  <c r="K20" i="19"/>
  <c r="F20" i="19"/>
  <c r="K19" i="19"/>
  <c r="F19" i="19"/>
  <c r="K18" i="19"/>
  <c r="F18" i="19"/>
  <c r="L18" i="19" s="1"/>
  <c r="K17" i="19"/>
  <c r="F17" i="19"/>
  <c r="L17" i="19" s="1"/>
  <c r="K16" i="19"/>
  <c r="F16" i="19"/>
  <c r="K15" i="19"/>
  <c r="L15" i="19" s="1"/>
  <c r="F15" i="19"/>
  <c r="K14" i="19"/>
  <c r="F14" i="19"/>
  <c r="L14" i="19" s="1"/>
  <c r="K13" i="19"/>
  <c r="F13" i="19"/>
  <c r="L13" i="19" s="1"/>
  <c r="K12" i="19"/>
  <c r="L12" i="19" s="1"/>
  <c r="F12" i="19"/>
  <c r="K11" i="19"/>
  <c r="L11" i="19" s="1"/>
  <c r="F11" i="19"/>
  <c r="K10" i="19"/>
  <c r="F10" i="19"/>
  <c r="L10" i="19" s="1"/>
  <c r="K9" i="19"/>
  <c r="F9" i="19"/>
  <c r="J40" i="18"/>
  <c r="I40" i="18"/>
  <c r="H40" i="18"/>
  <c r="G40" i="18"/>
  <c r="E40" i="18"/>
  <c r="D40" i="18"/>
  <c r="C40" i="18"/>
  <c r="B40" i="18"/>
  <c r="K39" i="18"/>
  <c r="F39" i="18"/>
  <c r="L39" i="18" s="1"/>
  <c r="L38" i="18"/>
  <c r="K38" i="18"/>
  <c r="F38" i="18"/>
  <c r="K37" i="18"/>
  <c r="F37" i="18"/>
  <c r="L37" i="18" s="1"/>
  <c r="L36" i="18"/>
  <c r="K36" i="18"/>
  <c r="F36" i="18"/>
  <c r="K35" i="18"/>
  <c r="F35" i="18"/>
  <c r="L35" i="18" s="1"/>
  <c r="K34" i="18"/>
  <c r="F34" i="18"/>
  <c r="L34" i="18" s="1"/>
  <c r="K33" i="18"/>
  <c r="F33" i="18"/>
  <c r="L33" i="18" s="1"/>
  <c r="K32" i="18"/>
  <c r="F32" i="18"/>
  <c r="K31" i="18"/>
  <c r="F31" i="18"/>
  <c r="L31" i="18" s="1"/>
  <c r="K30" i="18"/>
  <c r="F30" i="18"/>
  <c r="L30" i="18" s="1"/>
  <c r="K29" i="18"/>
  <c r="F29" i="18"/>
  <c r="L29" i="18" s="1"/>
  <c r="K28" i="18"/>
  <c r="L28" i="18" s="1"/>
  <c r="F28" i="18"/>
  <c r="K27" i="18"/>
  <c r="F27" i="18"/>
  <c r="K26" i="18"/>
  <c r="F26" i="18"/>
  <c r="L26" i="18" s="1"/>
  <c r="K25" i="18"/>
  <c r="F25" i="18"/>
  <c r="L25" i="18" s="1"/>
  <c r="K24" i="18"/>
  <c r="F24" i="18"/>
  <c r="L24" i="18" s="1"/>
  <c r="K23" i="18"/>
  <c r="F23" i="18"/>
  <c r="L23" i="18" s="1"/>
  <c r="K22" i="18"/>
  <c r="F22" i="18"/>
  <c r="L22" i="18" s="1"/>
  <c r="K21" i="18"/>
  <c r="F21" i="18"/>
  <c r="K20" i="18"/>
  <c r="F20" i="18"/>
  <c r="L20" i="18" s="1"/>
  <c r="K19" i="18"/>
  <c r="F19" i="18"/>
  <c r="L19" i="18" s="1"/>
  <c r="K18" i="18"/>
  <c r="F18" i="18"/>
  <c r="L18" i="18" s="1"/>
  <c r="K17" i="18"/>
  <c r="F17" i="18"/>
  <c r="L17" i="18" s="1"/>
  <c r="K16" i="18"/>
  <c r="F16" i="18"/>
  <c r="L16" i="18" s="1"/>
  <c r="K15" i="18"/>
  <c r="F15" i="18"/>
  <c r="K14" i="18"/>
  <c r="F14" i="18"/>
  <c r="L14" i="18" s="1"/>
  <c r="K13" i="18"/>
  <c r="F13" i="18"/>
  <c r="L13" i="18" s="1"/>
  <c r="K12" i="18"/>
  <c r="F12" i="18"/>
  <c r="L12" i="18" s="1"/>
  <c r="K11" i="18"/>
  <c r="F11" i="18"/>
  <c r="L11" i="18" s="1"/>
  <c r="K10" i="18"/>
  <c r="F10" i="18"/>
  <c r="L10" i="18" s="1"/>
  <c r="K9" i="18"/>
  <c r="F9" i="18"/>
  <c r="L9" i="18" s="1"/>
  <c r="J40" i="17"/>
  <c r="I40" i="17"/>
  <c r="H40" i="17"/>
  <c r="G40" i="17"/>
  <c r="E40" i="17"/>
  <c r="D40" i="17"/>
  <c r="C40" i="17"/>
  <c r="B40" i="17"/>
  <c r="K39" i="17"/>
  <c r="F39" i="17"/>
  <c r="K38" i="17"/>
  <c r="F38" i="17"/>
  <c r="K37" i="17"/>
  <c r="F37" i="17"/>
  <c r="L37" i="17" s="1"/>
  <c r="K36" i="17"/>
  <c r="F36" i="17"/>
  <c r="K35" i="17"/>
  <c r="F35" i="17"/>
  <c r="L35" i="17" s="1"/>
  <c r="K34" i="17"/>
  <c r="F34" i="17"/>
  <c r="K33" i="17"/>
  <c r="F33" i="17"/>
  <c r="K32" i="17"/>
  <c r="F32" i="17"/>
  <c r="L32" i="17" s="1"/>
  <c r="K31" i="17"/>
  <c r="F31" i="17"/>
  <c r="L31" i="17" s="1"/>
  <c r="K30" i="17"/>
  <c r="F30" i="17"/>
  <c r="K29" i="17"/>
  <c r="F29" i="17"/>
  <c r="L29" i="17" s="1"/>
  <c r="K28" i="17"/>
  <c r="F28" i="17"/>
  <c r="K27" i="17"/>
  <c r="F27" i="17"/>
  <c r="K26" i="17"/>
  <c r="F26" i="17"/>
  <c r="K25" i="17"/>
  <c r="F25" i="17"/>
  <c r="L25" i="17" s="1"/>
  <c r="K24" i="17"/>
  <c r="F24" i="17"/>
  <c r="L24" i="17" s="1"/>
  <c r="K23" i="17"/>
  <c r="F23" i="17"/>
  <c r="L23" i="17" s="1"/>
  <c r="K22" i="17"/>
  <c r="F22" i="17"/>
  <c r="K21" i="17"/>
  <c r="F21" i="17"/>
  <c r="K20" i="17"/>
  <c r="F20" i="17"/>
  <c r="K19" i="17"/>
  <c r="F19" i="17"/>
  <c r="L19" i="17" s="1"/>
  <c r="K18" i="17"/>
  <c r="F18" i="17"/>
  <c r="K17" i="17"/>
  <c r="F17" i="17"/>
  <c r="K16" i="17"/>
  <c r="F16" i="17"/>
  <c r="K15" i="17"/>
  <c r="F15" i="17"/>
  <c r="K14" i="17"/>
  <c r="F14" i="17"/>
  <c r="K13" i="17"/>
  <c r="F13" i="17"/>
  <c r="L13" i="17" s="1"/>
  <c r="K12" i="17"/>
  <c r="F12" i="17"/>
  <c r="K11" i="17"/>
  <c r="F11" i="17"/>
  <c r="L11" i="17" s="1"/>
  <c r="K10" i="17"/>
  <c r="F10" i="17"/>
  <c r="K9" i="17"/>
  <c r="F9" i="17"/>
  <c r="J40" i="16"/>
  <c r="I40" i="16"/>
  <c r="H40" i="16"/>
  <c r="G40" i="16"/>
  <c r="E40" i="16"/>
  <c r="D40" i="16"/>
  <c r="C40" i="16"/>
  <c r="B40" i="16"/>
  <c r="K39" i="16"/>
  <c r="F39" i="16"/>
  <c r="L39" i="16" s="1"/>
  <c r="L38" i="16"/>
  <c r="K38" i="16"/>
  <c r="F38" i="16"/>
  <c r="K37" i="16"/>
  <c r="F37" i="16"/>
  <c r="L37" i="16" s="1"/>
  <c r="K36" i="16"/>
  <c r="F36" i="16"/>
  <c r="L36" i="16" s="1"/>
  <c r="K35" i="16"/>
  <c r="F35" i="16"/>
  <c r="K34" i="16"/>
  <c r="F34" i="16"/>
  <c r="L34" i="16" s="1"/>
  <c r="K33" i="16"/>
  <c r="F33" i="16"/>
  <c r="L33" i="16" s="1"/>
  <c r="K32" i="16"/>
  <c r="F32" i="16"/>
  <c r="K31" i="16"/>
  <c r="F31" i="16"/>
  <c r="K30" i="16"/>
  <c r="F30" i="16"/>
  <c r="L30" i="16" s="1"/>
  <c r="K29" i="16"/>
  <c r="F29" i="16"/>
  <c r="K28" i="16"/>
  <c r="L28" i="16" s="1"/>
  <c r="F28" i="16"/>
  <c r="K27" i="16"/>
  <c r="F27" i="16"/>
  <c r="L27" i="16" s="1"/>
  <c r="K26" i="16"/>
  <c r="F26" i="16"/>
  <c r="K25" i="16"/>
  <c r="F25" i="16"/>
  <c r="L25" i="16" s="1"/>
  <c r="K24" i="16"/>
  <c r="F24" i="16"/>
  <c r="L24" i="16" s="1"/>
  <c r="K23" i="16"/>
  <c r="F23" i="16"/>
  <c r="L23" i="16" s="1"/>
  <c r="K22" i="16"/>
  <c r="F22" i="16"/>
  <c r="L22" i="16" s="1"/>
  <c r="K21" i="16"/>
  <c r="F21" i="16"/>
  <c r="L21" i="16" s="1"/>
  <c r="K20" i="16"/>
  <c r="F20" i="16"/>
  <c r="K19" i="16"/>
  <c r="F19" i="16"/>
  <c r="L19" i="16" s="1"/>
  <c r="K18" i="16"/>
  <c r="F18" i="16"/>
  <c r="L18" i="16" s="1"/>
  <c r="K17" i="16"/>
  <c r="F17" i="16"/>
  <c r="L17" i="16" s="1"/>
  <c r="K16" i="16"/>
  <c r="F16" i="16"/>
  <c r="K15" i="16"/>
  <c r="F15" i="16"/>
  <c r="L14" i="16"/>
  <c r="K14" i="16"/>
  <c r="F14" i="16"/>
  <c r="K13" i="16"/>
  <c r="F13" i="16"/>
  <c r="L13" i="16" s="1"/>
  <c r="K12" i="16"/>
  <c r="F12" i="16"/>
  <c r="L12" i="16" s="1"/>
  <c r="K11" i="16"/>
  <c r="F11" i="16"/>
  <c r="L11" i="16" s="1"/>
  <c r="K10" i="16"/>
  <c r="F10" i="16"/>
  <c r="L10" i="16" s="1"/>
  <c r="K9" i="16"/>
  <c r="F9" i="16"/>
  <c r="J40" i="15"/>
  <c r="I40" i="15"/>
  <c r="H40" i="15"/>
  <c r="G40" i="15"/>
  <c r="E40" i="15"/>
  <c r="D40" i="15"/>
  <c r="C40" i="15"/>
  <c r="B40" i="15"/>
  <c r="K39" i="15"/>
  <c r="F39" i="15"/>
  <c r="L39" i="15" s="1"/>
  <c r="K38" i="15"/>
  <c r="F38" i="15"/>
  <c r="L38" i="15" s="1"/>
  <c r="K37" i="15"/>
  <c r="F37" i="15"/>
  <c r="K36" i="15"/>
  <c r="F36" i="15"/>
  <c r="L36" i="15" s="1"/>
  <c r="K35" i="15"/>
  <c r="F35" i="15"/>
  <c r="L35" i="15" s="1"/>
  <c r="K34" i="15"/>
  <c r="F34" i="15"/>
  <c r="K33" i="15"/>
  <c r="F33" i="15"/>
  <c r="L32" i="15"/>
  <c r="K32" i="15"/>
  <c r="F32" i="15"/>
  <c r="K31" i="15"/>
  <c r="F31" i="15"/>
  <c r="L31" i="15" s="1"/>
  <c r="K30" i="15"/>
  <c r="F30" i="15"/>
  <c r="L30" i="15" s="1"/>
  <c r="K29" i="15"/>
  <c r="F29" i="15"/>
  <c r="K28" i="15"/>
  <c r="L28" i="15" s="1"/>
  <c r="F28" i="15"/>
  <c r="K27" i="15"/>
  <c r="F27" i="15"/>
  <c r="K26" i="15"/>
  <c r="F26" i="15"/>
  <c r="L26" i="15" s="1"/>
  <c r="K25" i="15"/>
  <c r="L25" i="15" s="1"/>
  <c r="F25" i="15"/>
  <c r="K24" i="15"/>
  <c r="F24" i="15"/>
  <c r="K23" i="15"/>
  <c r="F23" i="15"/>
  <c r="L23" i="15" s="1"/>
  <c r="K22" i="15"/>
  <c r="F22" i="15"/>
  <c r="K21" i="15"/>
  <c r="L21" i="15" s="1"/>
  <c r="F21" i="15"/>
  <c r="K20" i="15"/>
  <c r="L20" i="15" s="1"/>
  <c r="F20" i="15"/>
  <c r="K19" i="15"/>
  <c r="F19" i="15"/>
  <c r="L19" i="15" s="1"/>
  <c r="K18" i="15"/>
  <c r="F18" i="15"/>
  <c r="L18" i="15" s="1"/>
  <c r="K17" i="15"/>
  <c r="L17" i="15" s="1"/>
  <c r="F17" i="15"/>
  <c r="K16" i="15"/>
  <c r="L16" i="15" s="1"/>
  <c r="F16" i="15"/>
  <c r="K15" i="15"/>
  <c r="F15" i="15"/>
  <c r="L15" i="15" s="1"/>
  <c r="K14" i="15"/>
  <c r="F14" i="15"/>
  <c r="L14" i="15" s="1"/>
  <c r="K13" i="15"/>
  <c r="L13" i="15" s="1"/>
  <c r="F13" i="15"/>
  <c r="K12" i="15"/>
  <c r="F12" i="15"/>
  <c r="K11" i="15"/>
  <c r="F11" i="15"/>
  <c r="L11" i="15" s="1"/>
  <c r="K10" i="15"/>
  <c r="F10" i="15"/>
  <c r="L10" i="15" s="1"/>
  <c r="K9" i="15"/>
  <c r="F9" i="15"/>
  <c r="J40" i="14"/>
  <c r="I40" i="14"/>
  <c r="H40" i="14"/>
  <c r="G40" i="14"/>
  <c r="E40" i="14"/>
  <c r="D40" i="14"/>
  <c r="C40" i="14"/>
  <c r="B40" i="14"/>
  <c r="K39" i="14"/>
  <c r="F39" i="14"/>
  <c r="L39" i="14" s="1"/>
  <c r="K38" i="14"/>
  <c r="F38" i="14"/>
  <c r="L38" i="14" s="1"/>
  <c r="K37" i="14"/>
  <c r="F37" i="14"/>
  <c r="L37" i="14" s="1"/>
  <c r="K36" i="14"/>
  <c r="F36" i="14"/>
  <c r="L36" i="14" s="1"/>
  <c r="K35" i="14"/>
  <c r="F35" i="14"/>
  <c r="L35" i="14" s="1"/>
  <c r="K34" i="14"/>
  <c r="F34" i="14"/>
  <c r="L34" i="14" s="1"/>
  <c r="K33" i="14"/>
  <c r="F33" i="14"/>
  <c r="L33" i="14" s="1"/>
  <c r="K32" i="14"/>
  <c r="F32" i="14"/>
  <c r="L32" i="14" s="1"/>
  <c r="K31" i="14"/>
  <c r="F31" i="14"/>
  <c r="L31" i="14" s="1"/>
  <c r="K30" i="14"/>
  <c r="F30" i="14"/>
  <c r="K29" i="14"/>
  <c r="F29" i="14"/>
  <c r="L29" i="14" s="1"/>
  <c r="L28" i="14"/>
  <c r="K28" i="14"/>
  <c r="F28" i="14"/>
  <c r="K27" i="14"/>
  <c r="F27" i="14"/>
  <c r="L27" i="14" s="1"/>
  <c r="K26" i="14"/>
  <c r="F26" i="14"/>
  <c r="K25" i="14"/>
  <c r="F25" i="14"/>
  <c r="L25" i="14" s="1"/>
  <c r="K24" i="14"/>
  <c r="F24" i="14"/>
  <c r="L24" i="14" s="1"/>
  <c r="K23" i="14"/>
  <c r="F23" i="14"/>
  <c r="L23" i="14" s="1"/>
  <c r="K22" i="14"/>
  <c r="F22" i="14"/>
  <c r="L22" i="14" s="1"/>
  <c r="K21" i="14"/>
  <c r="F21" i="14"/>
  <c r="L21" i="14" s="1"/>
  <c r="K20" i="14"/>
  <c r="F20" i="14"/>
  <c r="L20" i="14" s="1"/>
  <c r="K19" i="14"/>
  <c r="F19" i="14"/>
  <c r="L19" i="14" s="1"/>
  <c r="K18" i="14"/>
  <c r="F18" i="14"/>
  <c r="L18" i="14" s="1"/>
  <c r="K17" i="14"/>
  <c r="F17" i="14"/>
  <c r="L17" i="14" s="1"/>
  <c r="K16" i="14"/>
  <c r="F16" i="14"/>
  <c r="L16" i="14" s="1"/>
  <c r="K15" i="14"/>
  <c r="F15" i="14"/>
  <c r="L15" i="14" s="1"/>
  <c r="K14" i="14"/>
  <c r="F14" i="14"/>
  <c r="L14" i="14" s="1"/>
  <c r="K13" i="14"/>
  <c r="F13" i="14"/>
  <c r="L13" i="14" s="1"/>
  <c r="K12" i="14"/>
  <c r="F12" i="14"/>
  <c r="L12" i="14" s="1"/>
  <c r="K11" i="14"/>
  <c r="F11" i="14"/>
  <c r="L11" i="14" s="1"/>
  <c r="K10" i="14"/>
  <c r="F10" i="14"/>
  <c r="L10" i="14" s="1"/>
  <c r="K9" i="14"/>
  <c r="F9" i="14"/>
  <c r="L9" i="14" s="1"/>
  <c r="J40" i="13"/>
  <c r="I40" i="13"/>
  <c r="H40" i="13"/>
  <c r="G40" i="13"/>
  <c r="E40" i="13"/>
  <c r="D40" i="13"/>
  <c r="C40" i="13"/>
  <c r="B40" i="13"/>
  <c r="K39" i="13"/>
  <c r="F39" i="13"/>
  <c r="K38" i="13"/>
  <c r="F38" i="13"/>
  <c r="K37" i="13"/>
  <c r="F37" i="13"/>
  <c r="K36" i="13"/>
  <c r="F36" i="13"/>
  <c r="K35" i="13"/>
  <c r="F35" i="13"/>
  <c r="K34" i="13"/>
  <c r="F34" i="13"/>
  <c r="K33" i="13"/>
  <c r="F33" i="13"/>
  <c r="K32" i="13"/>
  <c r="F32" i="13"/>
  <c r="K31" i="13"/>
  <c r="F31" i="13"/>
  <c r="K30" i="13"/>
  <c r="F30" i="13"/>
  <c r="K29" i="13"/>
  <c r="F29" i="13"/>
  <c r="K28" i="13"/>
  <c r="F28" i="13"/>
  <c r="K27" i="13"/>
  <c r="F27" i="13"/>
  <c r="K26" i="13"/>
  <c r="F26" i="13"/>
  <c r="K25" i="13"/>
  <c r="F25" i="13"/>
  <c r="K24" i="13"/>
  <c r="F24" i="13"/>
  <c r="K23" i="13"/>
  <c r="F23" i="13"/>
  <c r="K22" i="13"/>
  <c r="F22" i="13"/>
  <c r="K21" i="13"/>
  <c r="F21" i="13"/>
  <c r="K20" i="13"/>
  <c r="F20" i="13"/>
  <c r="K19" i="13"/>
  <c r="F19" i="13"/>
  <c r="K18" i="13"/>
  <c r="F18" i="13"/>
  <c r="K17" i="13"/>
  <c r="F17" i="13"/>
  <c r="K16" i="13"/>
  <c r="F16" i="13"/>
  <c r="K15" i="13"/>
  <c r="F15" i="13"/>
  <c r="K14" i="13"/>
  <c r="F14" i="13"/>
  <c r="K13" i="13"/>
  <c r="F13" i="13"/>
  <c r="K12" i="13"/>
  <c r="F12" i="13"/>
  <c r="K11" i="13"/>
  <c r="F11" i="13"/>
  <c r="K10" i="13"/>
  <c r="F10" i="13"/>
  <c r="K9" i="13"/>
  <c r="F9" i="13"/>
  <c r="K40" i="21" l="1"/>
  <c r="L40" i="21"/>
  <c r="G46" i="21" s="1"/>
  <c r="G47" i="21" s="1"/>
  <c r="G49" i="21" s="1"/>
  <c r="F40" i="21"/>
  <c r="K40" i="20"/>
  <c r="L39" i="20"/>
  <c r="L31" i="20"/>
  <c r="L27" i="20"/>
  <c r="L11" i="20"/>
  <c r="L23" i="20"/>
  <c r="L19" i="20"/>
  <c r="L35" i="20"/>
  <c r="L15" i="20"/>
  <c r="F40" i="20"/>
  <c r="L35" i="19"/>
  <c r="L16" i="19"/>
  <c r="L9" i="19"/>
  <c r="L20" i="19"/>
  <c r="L26" i="19"/>
  <c r="K40" i="19"/>
  <c r="L27" i="19"/>
  <c r="L23" i="19"/>
  <c r="L19" i="19"/>
  <c r="L31" i="19"/>
  <c r="F40" i="19"/>
  <c r="L32" i="18"/>
  <c r="L15" i="18"/>
  <c r="L40" i="18" s="1"/>
  <c r="G46" i="18" s="1"/>
  <c r="G47" i="18" s="1"/>
  <c r="G49" i="18" s="1"/>
  <c r="L21" i="18"/>
  <c r="L27" i="18"/>
  <c r="K40" i="18"/>
  <c r="F40" i="18"/>
  <c r="L12" i="17"/>
  <c r="K40" i="17"/>
  <c r="L9" i="17"/>
  <c r="L21" i="17"/>
  <c r="L27" i="17"/>
  <c r="L33" i="17"/>
  <c r="L39" i="17"/>
  <c r="L17" i="17"/>
  <c r="L16" i="17"/>
  <c r="L20" i="17"/>
  <c r="L36" i="17"/>
  <c r="L38" i="17"/>
  <c r="L34" i="17"/>
  <c r="L28" i="17"/>
  <c r="L15" i="17"/>
  <c r="L22" i="17"/>
  <c r="L18" i="17"/>
  <c r="L10" i="17"/>
  <c r="L14" i="17"/>
  <c r="L30" i="17"/>
  <c r="F40" i="17"/>
  <c r="L26" i="17"/>
  <c r="L35" i="16"/>
  <c r="L29" i="16"/>
  <c r="L16" i="16"/>
  <c r="L15" i="16"/>
  <c r="K40" i="16"/>
  <c r="L31" i="16"/>
  <c r="L20" i="16"/>
  <c r="L26" i="16"/>
  <c r="L9" i="16"/>
  <c r="L32" i="16"/>
  <c r="F40" i="16"/>
  <c r="L37" i="15"/>
  <c r="L34" i="15"/>
  <c r="L24" i="15"/>
  <c r="L12" i="15"/>
  <c r="F40" i="15"/>
  <c r="L9" i="15"/>
  <c r="L33" i="15"/>
  <c r="L29" i="15"/>
  <c r="L27" i="15"/>
  <c r="L22" i="15"/>
  <c r="K40" i="15"/>
  <c r="L30" i="14"/>
  <c r="K40" i="14"/>
  <c r="L26" i="14"/>
  <c r="L40" i="14"/>
  <c r="G46" i="14" s="1"/>
  <c r="G47" i="14" s="1"/>
  <c r="G49" i="14" s="1"/>
  <c r="F40" i="14"/>
  <c r="F40" i="13"/>
  <c r="K40" i="13"/>
  <c r="L11" i="13"/>
  <c r="L12" i="13"/>
  <c r="L13" i="13"/>
  <c r="L14" i="13"/>
  <c r="L15" i="13"/>
  <c r="L16" i="13"/>
  <c r="L17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2" i="13"/>
  <c r="L33" i="13"/>
  <c r="L34" i="13"/>
  <c r="L35" i="13"/>
  <c r="L36" i="13"/>
  <c r="L37" i="13"/>
  <c r="L38" i="13"/>
  <c r="L39" i="13"/>
  <c r="L31" i="13"/>
  <c r="L18" i="13"/>
  <c r="L10" i="13"/>
  <c r="L9" i="13"/>
  <c r="L40" i="20" l="1"/>
  <c r="G46" i="20" s="1"/>
  <c r="G47" i="20" s="1"/>
  <c r="G49" i="20" s="1"/>
  <c r="L40" i="19"/>
  <c r="G46" i="19" s="1"/>
  <c r="G47" i="19" s="1"/>
  <c r="G49" i="19" s="1"/>
  <c r="L40" i="17"/>
  <c r="G46" i="17" s="1"/>
  <c r="G47" i="17" s="1"/>
  <c r="G49" i="17" s="1"/>
  <c r="L40" i="16"/>
  <c r="G46" i="16" s="1"/>
  <c r="G47" i="16" s="1"/>
  <c r="G49" i="16" s="1"/>
  <c r="L40" i="15"/>
  <c r="G46" i="15" s="1"/>
  <c r="G47" i="15" s="1"/>
  <c r="G49" i="15" s="1"/>
  <c r="L40" i="13"/>
  <c r="G46" i="13" s="1"/>
  <c r="G47" i="13" s="1"/>
  <c r="G49" i="13" s="1"/>
</calcChain>
</file>

<file path=xl/sharedStrings.xml><?xml version="1.0" encoding="utf-8"?>
<sst xmlns="http://schemas.openxmlformats.org/spreadsheetml/2006/main" count="300" uniqueCount="40">
  <si>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</si>
  <si>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</si>
  <si>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</si>
  <si>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</si>
  <si>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</si>
  <si>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</si>
  <si>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</si>
  <si>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</si>
  <si>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</si>
  <si>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</si>
  <si>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</si>
  <si>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</si>
  <si>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</si>
  <si>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</si>
  <si>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</si>
  <si>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</si>
  <si>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</si>
  <si>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</si>
  <si>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</si>
  <si>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</si>
  <si>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</si>
  <si>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</si>
  <si>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</si>
  <si>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</si>
  <si>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</si>
  <si>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</si>
  <si>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</si>
  <si>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t>BILAN GLOBALE DU CENTRE BERROUAGHIA</t>
  </si>
  <si>
    <r>
      <t>Mois de JANVIER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</si>
  <si>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10 Compteurs DN 15/21 Destination Centre Beni Slimane</t>
  </si>
  <si>
    <r>
      <t>Mois de FEVRIER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</si>
  <si>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MARS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</si>
  <si>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AVRIL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</si>
  <si>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1 Compteurs DN 30 Destination Agence Beni Slimane</t>
  </si>
  <si>
    <r>
      <t>Mois de MAI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</si>
  <si>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JUIN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</si>
  <si>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JUILLET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</si>
  <si>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AOUT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</si>
  <si>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r>
      <t>Mois de SEPTEMBRE</t>
    </r>
    <r>
      <rPr>
        <b/>
        <i/>
        <sz val="11"/>
        <rFont val="Arial"/>
        <family val="2"/>
      </rPr>
      <t xml:space="preserve"> </t>
    </r>
    <r>
      <rPr>
        <b/>
        <sz val="11"/>
        <rFont val="Arial"/>
        <family val="2"/>
      </rPr>
      <t>2026</t>
    </r>
  </si>
  <si>
    <t>10 Compteurs DN 15/21 Destination Agence Beni Slimane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</si>
</sst>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5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22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0" fontId="7" fillId="0" borderId="0"/>
    <xf numFmtId="0" fontId="1" fillId="0" borderId="0"/>
  </cellStyleXfs>
  <cellXfs count="100">
    <xf numFmtId="0" fontId="0" fillId="0" borderId="0" xfId="0"/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1" fontId="10" fillId="2" borderId="10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0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1" fontId="7" fillId="2" borderId="18" xfId="3" applyNumberFormat="1" applyFill="1" applyBorder="1" applyAlignment="1">
      <alignment horizontal="center" vertical="center" wrapText="1"/>
    </xf>
    <xf numFmtId="1" fontId="7" fillId="2" borderId="23" xfId="3" applyNumberFormat="1" applyFill="1" applyBorder="1" applyAlignment="1">
      <alignment horizontal="center" vertical="center" wrapText="1"/>
    </xf>
    <xf numFmtId="0" fontId="7" fillId="2" borderId="10" xfId="3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0" fontId="7" fillId="2" borderId="14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17" xfId="3" applyFill="1" applyBorder="1" applyAlignment="1" applyProtection="1">
      <alignment vertical="center" wrapText="1"/>
      <protection locked="0"/>
    </xf>
    <xf numFmtId="1" fontId="7" fillId="2" borderId="11" xfId="3" applyNumberFormat="1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vertical="center" wrapText="1"/>
      <protection locked="0"/>
    </xf>
    <xf numFmtId="1" fontId="10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1" fontId="7" fillId="0" borderId="11" xfId="3" applyNumberFormat="1" applyBorder="1" applyAlignment="1" applyProtection="1">
      <alignment horizontal="center" vertical="center" wrapText="1"/>
      <protection locked="0"/>
    </xf>
    <xf numFmtId="1" fontId="7" fillId="0" borderId="22" xfId="3" applyNumberFormat="1" applyBorder="1" applyAlignment="1" applyProtection="1">
      <alignment horizontal="center" vertical="center" wrapText="1"/>
      <protection locked="0"/>
    </xf>
    <xf numFmtId="1" fontId="1" fillId="2" borderId="11" xfId="3" applyNumberFormat="1" applyFont="1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vertical="center" wrapText="1"/>
      <protection locked="0"/>
    </xf>
    <xf numFmtId="0" fontId="1" fillId="2" borderId="20" xfId="4" applyFill="1" applyBorder="1" applyAlignment="1" applyProtection="1">
      <alignment vertical="center" wrapText="1"/>
      <protection locked="0"/>
    </xf>
    <xf numFmtId="1" fontId="1" fillId="0" borderId="22" xfId="4" applyNumberFormat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vertical="center" wrapText="1"/>
      <protection locked="0"/>
    </xf>
    <xf numFmtId="0" fontId="1" fillId="2" borderId="19" xfId="4" applyFill="1" applyBorder="1" applyAlignment="1" applyProtection="1">
      <alignment vertical="center" wrapText="1"/>
      <protection locked="0"/>
    </xf>
    <xf numFmtId="1" fontId="1" fillId="2" borderId="11" xfId="4" applyNumberFormat="1" applyFill="1" applyBorder="1" applyAlignment="1" applyProtection="1">
      <alignment horizontal="center" vertical="center" wrapText="1"/>
      <protection locked="0"/>
    </xf>
    <xf numFmtId="0" fontId="1" fillId="2" borderId="19" xfId="4" applyFill="1" applyBorder="1" applyAlignment="1" applyProtection="1">
      <alignment horizontal="center" vertical="center" wrapText="1"/>
      <protection locked="0"/>
    </xf>
    <xf numFmtId="0" fontId="1" fillId="2" borderId="11" xfId="4" applyFill="1" applyBorder="1" applyAlignment="1" applyProtection="1">
      <alignment horizontal="center" vertical="center" wrapText="1"/>
      <protection locked="0"/>
    </xf>
    <xf numFmtId="1" fontId="10" fillId="2" borderId="11" xfId="4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4" applyFill="1" applyBorder="1" applyAlignment="1" applyProtection="1">
      <alignment horizontal="center" vertical="center" wrapText="1"/>
      <protection locked="0"/>
    </xf>
    <xf numFmtId="0" fontId="1" fillId="2" borderId="39" xfId="4" applyFill="1" applyBorder="1" applyAlignment="1" applyProtection="1">
      <alignment horizontal="center" vertical="center" wrapText="1"/>
      <protection locked="0"/>
    </xf>
    <xf numFmtId="0" fontId="7" fillId="2" borderId="11" xfId="3" applyFill="1" applyBorder="1" applyAlignment="1" applyProtection="1">
      <alignment horizontal="center" vertical="center" wrapText="1"/>
      <protection locked="0"/>
    </xf>
    <xf numFmtId="0" fontId="7" fillId="2" borderId="40" xfId="3" applyFill="1" applyBorder="1" applyAlignment="1" applyProtection="1">
      <alignment horizontal="center" vertical="center" wrapText="1"/>
      <protection locked="0"/>
    </xf>
    <xf numFmtId="0" fontId="7" fillId="2" borderId="41" xfId="3" applyFill="1" applyBorder="1" applyAlignment="1">
      <alignment horizontal="center" vertical="center" wrapText="1"/>
    </xf>
    <xf numFmtId="0" fontId="7" fillId="2" borderId="42" xfId="3" applyFill="1" applyBorder="1" applyAlignment="1">
      <alignment horizontal="center" vertical="center" wrapText="1"/>
    </xf>
    <xf numFmtId="0" fontId="7" fillId="2" borderId="43" xfId="3" applyFill="1" applyBorder="1" applyAlignment="1">
      <alignment horizontal="center" vertical="center" wrapText="1"/>
    </xf>
    <xf numFmtId="0" fontId="7" fillId="2" borderId="44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1" fillId="2" borderId="9" xfId="4" applyFill="1" applyBorder="1" applyAlignment="1" applyProtection="1">
      <alignment horizontal="center" vertical="center" wrapText="1"/>
      <protection locked="0"/>
    </xf>
    <xf numFmtId="0" fontId="7" fillId="2" borderId="17" xfId="3" applyFill="1" applyBorder="1" applyAlignment="1" applyProtection="1">
      <alignment horizontal="center" vertical="center" wrapText="1"/>
      <protection locked="0"/>
    </xf>
    <xf numFmtId="0" fontId="1" fillId="2" borderId="20" xfId="4" applyFill="1" applyBorder="1" applyAlignment="1" applyProtection="1">
      <alignment horizontal="center" vertical="center" wrapText="1"/>
      <protection locked="0"/>
    </xf>
    <xf numFmtId="0" fontId="9" fillId="2" borderId="7" xfId="3" applyFont="1" applyFill="1" applyBorder="1" applyAlignment="1" applyProtection="1">
      <alignment horizontal="center" vertical="center" wrapText="1"/>
      <protection locked="0"/>
    </xf>
    <xf numFmtId="0" fontId="7" fillId="2" borderId="19" xfId="3" applyFill="1" applyBorder="1" applyAlignment="1" applyProtection="1">
      <alignment horizontal="center" vertical="center" wrapText="1"/>
      <protection locked="0"/>
    </xf>
    <xf numFmtId="0" fontId="7" fillId="2" borderId="14" xfId="3" applyFill="1" applyBorder="1" applyAlignment="1" applyProtection="1">
      <alignment horizontal="center"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1" fillId="2" borderId="8" xfId="4" applyFill="1" applyBorder="1" applyAlignment="1" applyProtection="1">
      <alignment horizontal="center" vertical="center" wrapText="1"/>
      <protection locked="0"/>
    </xf>
    <xf numFmtId="0" fontId="1" fillId="2" borderId="6" xfId="4" applyFill="1" applyBorder="1" applyAlignment="1" applyProtection="1">
      <alignment horizontal="center" vertical="center" wrapText="1"/>
      <protection locked="0"/>
    </xf>
    <xf numFmtId="0" fontId="14" fillId="2" borderId="7" xfId="4" applyFont="1" applyFill="1" applyBorder="1" applyAlignment="1" applyProtection="1">
      <alignment horizontal="center" vertical="center" wrapText="1"/>
      <protection locked="0"/>
    </xf>
    <xf numFmtId="0" fontId="1" fillId="2" borderId="13" xfId="4" applyFill="1" applyBorder="1" applyAlignment="1" applyProtection="1">
      <alignment horizontal="center" vertical="center" wrapText="1"/>
      <protection locked="0"/>
    </xf>
    <xf numFmtId="0" fontId="1" fillId="2" borderId="14" xfId="4" applyFill="1" applyBorder="1" applyAlignment="1" applyProtection="1">
      <alignment horizontal="center" vertical="center" wrapText="1"/>
      <protection locked="0"/>
    </xf>
    <xf numFmtId="0" fontId="1" fillId="2" borderId="21" xfId="4" applyFill="1" applyBorder="1" applyAlignment="1" applyProtection="1">
      <alignment horizontal="center" vertical="center" wrapText="1"/>
      <protection locked="0"/>
    </xf>
    <xf numFmtId="0" fontId="1" fillId="2" borderId="17" xfId="4" applyFill="1" applyBorder="1" applyAlignment="1" applyProtection="1">
      <alignment horizontal="center" vertical="center" wrapText="1"/>
      <protection locked="0"/>
    </xf>
    <xf numFmtId="1" fontId="1" fillId="0" borderId="11" xfId="4" applyNumberFormat="1" applyBorder="1" applyAlignment="1" applyProtection="1">
      <alignment horizontal="center" vertical="center" wrapText="1"/>
      <protection locked="0"/>
    </xf>
    <xf numFmtId="0" fontId="7" fillId="2" borderId="24" xfId="3" applyFill="1" applyBorder="1" applyAlignment="1">
      <alignment horizontal="left" vertical="center" wrapText="1"/>
    </xf>
    <xf numFmtId="0" fontId="7" fillId="2" borderId="16" xfId="3" applyFill="1" applyBorder="1" applyAlignment="1">
      <alignment horizontal="left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6" xfId="3" applyFill="1" applyBorder="1" applyAlignment="1">
      <alignment horizontal="center" vertical="center" wrapText="1"/>
    </xf>
    <xf numFmtId="0" fontId="7" fillId="2" borderId="6" xfId="3" applyFill="1" applyBorder="1" applyAlignment="1">
      <alignment horizontal="center" vertical="center" wrapText="1"/>
    </xf>
    <xf numFmtId="1" fontId="7" fillId="2" borderId="13" xfId="3" applyNumberFormat="1" applyFill="1" applyBorder="1" applyAlignment="1">
      <alignment horizontal="center" vertical="center" wrapText="1"/>
    </xf>
    <xf numFmtId="0" fontId="7" fillId="2" borderId="25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27" xfId="3" applyFill="1" applyBorder="1" applyAlignment="1">
      <alignment horizontal="left" vertical="center" wrapText="1"/>
    </xf>
    <xf numFmtId="0" fontId="7" fillId="2" borderId="28" xfId="3" applyFill="1" applyBorder="1" applyAlignment="1" applyProtection="1">
      <alignment horizontal="center" vertical="center" wrapText="1"/>
      <protection locked="0"/>
    </xf>
    <xf numFmtId="0" fontId="7" fillId="2" borderId="29" xfId="3" applyFill="1" applyBorder="1" applyAlignment="1" applyProtection="1">
      <alignment horizontal="center" vertical="center" wrapText="1"/>
      <protection locked="0"/>
    </xf>
    <xf numFmtId="0" fontId="7" fillId="2" borderId="28" xfId="3" applyFill="1" applyBorder="1" applyAlignment="1">
      <alignment horizontal="center" vertical="center" wrapText="1"/>
    </xf>
    <xf numFmtId="0" fontId="7" fillId="2" borderId="29" xfId="3" applyFill="1" applyBorder="1" applyAlignment="1">
      <alignment horizontal="center" vertical="center" wrapText="1"/>
    </xf>
    <xf numFmtId="0" fontId="7" fillId="2" borderId="16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0" fontId="7" fillId="2" borderId="37" xfId="3" applyFill="1" applyBorder="1" applyAlignment="1">
      <alignment horizontal="center" vertical="center" wrapText="1"/>
    </xf>
    <xf numFmtId="0" fontId="7" fillId="2" borderId="38" xfId="3" applyFill="1" applyBorder="1" applyAlignment="1">
      <alignment horizontal="center" vertical="center" wrapText="1"/>
    </xf>
    <xf numFmtId="0" fontId="7" fillId="2" borderId="11" xfId="3" applyFill="1" applyBorder="1" applyAlignment="1">
      <alignment horizontal="center" vertical="center" wrapText="1"/>
    </xf>
    <xf numFmtId="0" fontId="7" fillId="2" borderId="8" xfId="3" applyFill="1" applyBorder="1" applyAlignment="1">
      <alignment horizontal="center" vertical="center" wrapText="1"/>
    </xf>
    <xf numFmtId="0" fontId="7" fillId="2" borderId="30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6" fillId="0" borderId="31" xfId="3" applyFont="1" applyBorder="1" applyAlignment="1">
      <alignment horizontal="center" vertical="center" wrapText="1"/>
    </xf>
    <xf numFmtId="0" fontId="6" fillId="0" borderId="32" xfId="3" applyFont="1" applyBorder="1" applyAlignment="1">
      <alignment horizontal="center" vertical="center" wrapText="1"/>
    </xf>
    <xf numFmtId="0" fontId="6" fillId="2" borderId="33" xfId="3" applyFont="1" applyFill="1" applyBorder="1" applyAlignment="1">
      <alignment horizontal="center" vertical="center" wrapText="1"/>
    </xf>
    <xf numFmtId="0" fontId="6" fillId="2" borderId="34" xfId="3" applyFont="1" applyFill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11" fillId="0" borderId="31" xfId="3" applyFont="1" applyBorder="1" applyAlignment="1">
      <alignment horizontal="center" vertical="center" wrapText="1"/>
    </xf>
    <xf numFmtId="0" fontId="11" fillId="0" borderId="32" xfId="3" applyFont="1" applyBorder="1" applyAlignment="1">
      <alignment horizontal="center" vertical="center" wrapText="1"/>
    </xf>
  </cellXfs>
  <cellStyles count="5">
    <cellStyle name="Euro" xfId="2" xr:uid="{00000000-0005-0000-0000-000000000000}"/>
    <cellStyle name="Normal" xfId="0" builtinId="0"/>
    <cellStyle name="Normal 2" xfId="3" xr:uid="{00000000-0005-0000-0000-000002000000}"/>
    <cellStyle name="Normal 2 2" xfId="4" xr:uid="{00000000-0005-0000-0000-000003000000}"/>
    <cellStyle name="Normal 3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F7AA404-A82D-450F-96D9-5810DB508A3B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B8590667-C2B5-470A-9A4D-44E6C6F7CB9E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776724E3-7329-4688-BCDB-A16BFE5C1E4D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26E94E6A-99A2-4401-9416-D0E4758EE682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1C909EF7-3489-4DC7-9ADD-06FD57F0E715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AFACDC54-9CB3-45BE-B6F5-38EAF092D09D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924F5287-3F7A-454E-996F-F61527012EEF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41</xdr:row>
      <xdr:rowOff>76200</xdr:rowOff>
    </xdr:from>
    <xdr:to>
      <xdr:col>11</xdr:col>
      <xdr:colOff>473075</xdr:colOff>
      <xdr:row>48</xdr:row>
      <xdr:rowOff>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439A346-66B0-4122-BE29-3F05E6BB1D63}"/>
            </a:ext>
          </a:extLst>
        </xdr:cNvPr>
        <xdr:cNvSpPr>
          <a:spLocks noChangeArrowheads="1"/>
        </xdr:cNvSpPr>
      </xdr:nvSpPr>
      <xdr:spPr bwMode="auto">
        <a:xfrm rot="10800000">
          <a:off x="5581650" y="7705725"/>
          <a:ext cx="958850" cy="1257300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L53"/>
  <sheetViews>
    <sheetView topLeftCell="A22" workbookViewId="0">
      <selection activeCell="A54" sqref="A54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22"/>
      <c r="F1" s="23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22"/>
      <c r="F2" s="23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22"/>
      <c r="F3" s="23"/>
      <c r="G3" s="91" t="s">
        <v>27</v>
      </c>
      <c r="H3" s="91"/>
      <c r="I3" s="91"/>
      <c r="J3" s="91"/>
      <c r="K3" s="91"/>
      <c r="L3" s="91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9" t="s">
        <v>5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6.5" thickBot="1" x14ac:dyDescent="0.3">
      <c r="A6" s="90" t="s">
        <v>28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6">
        <v>1</v>
      </c>
      <c r="B9" s="43"/>
      <c r="C9" s="33"/>
      <c r="D9" s="33"/>
      <c r="E9" s="34"/>
      <c r="F9" s="13">
        <f>SUM(B9:E9)</f>
        <v>0</v>
      </c>
      <c r="G9" s="31"/>
      <c r="H9" s="35"/>
      <c r="I9" s="18"/>
      <c r="J9" s="18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40"/>
      <c r="C10" s="36"/>
      <c r="D10" s="36"/>
      <c r="E10" s="37"/>
      <c r="F10" s="13">
        <f t="shared" ref="F10:F39" si="0">SUM(B10:E10)</f>
        <v>0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7">
        <v>3</v>
      </c>
      <c r="B11" s="40"/>
      <c r="C11" s="36"/>
      <c r="D11" s="36"/>
      <c r="E11" s="39"/>
      <c r="F11" s="13">
        <f t="shared" si="0"/>
        <v>0</v>
      </c>
      <c r="G11" s="19"/>
      <c r="H11" s="38"/>
      <c r="I11" s="14"/>
      <c r="J11" s="14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7">
        <v>4</v>
      </c>
      <c r="B12" s="40">
        <v>7</v>
      </c>
      <c r="C12" s="36"/>
      <c r="D12" s="36"/>
      <c r="E12" s="37"/>
      <c r="F12" s="13">
        <f t="shared" si="0"/>
        <v>7</v>
      </c>
      <c r="G12" s="32"/>
      <c r="H12" s="38"/>
      <c r="I12" s="14"/>
      <c r="J12" s="14"/>
      <c r="K12" s="11">
        <f t="shared" si="1"/>
        <v>0</v>
      </c>
      <c r="L12" s="5">
        <f t="shared" si="2"/>
        <v>7</v>
      </c>
    </row>
    <row r="13" spans="1:12" ht="15" customHeight="1" thickBot="1" x14ac:dyDescent="0.3">
      <c r="A13" s="47">
        <v>5</v>
      </c>
      <c r="B13" s="40">
        <v>6</v>
      </c>
      <c r="C13" s="36"/>
      <c r="D13" s="36"/>
      <c r="E13" s="37"/>
      <c r="F13" s="13">
        <f t="shared" si="0"/>
        <v>6</v>
      </c>
      <c r="G13" s="38"/>
      <c r="H13" s="38"/>
      <c r="I13" s="14"/>
      <c r="J13" s="14"/>
      <c r="K13" s="11">
        <f t="shared" si="1"/>
        <v>0</v>
      </c>
      <c r="L13" s="5">
        <f t="shared" si="2"/>
        <v>6</v>
      </c>
    </row>
    <row r="14" spans="1:12" ht="15" customHeight="1" thickBot="1" x14ac:dyDescent="0.3">
      <c r="A14" s="47">
        <v>6</v>
      </c>
      <c r="B14" s="40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40">
        <v>2</v>
      </c>
      <c r="C15" s="36"/>
      <c r="D15" s="36"/>
      <c r="E15" s="39"/>
      <c r="F15" s="13">
        <f t="shared" si="0"/>
        <v>2</v>
      </c>
      <c r="G15" s="38"/>
      <c r="H15" s="38"/>
      <c r="I15" s="14"/>
      <c r="J15" s="14"/>
      <c r="K15" s="11">
        <f t="shared" si="1"/>
        <v>0</v>
      </c>
      <c r="L15" s="5">
        <f t="shared" si="2"/>
        <v>2</v>
      </c>
    </row>
    <row r="16" spans="1:12" ht="15" customHeight="1" thickBot="1" x14ac:dyDescent="0.3">
      <c r="A16" s="47">
        <v>8</v>
      </c>
      <c r="B16" s="40">
        <v>2</v>
      </c>
      <c r="C16" s="36"/>
      <c r="D16" s="36"/>
      <c r="E16" s="37"/>
      <c r="F16" s="13">
        <f t="shared" si="0"/>
        <v>2</v>
      </c>
      <c r="G16" s="38"/>
      <c r="H16" s="38"/>
      <c r="I16" s="14"/>
      <c r="J16" s="14"/>
      <c r="K16" s="11">
        <f t="shared" si="1"/>
        <v>0</v>
      </c>
      <c r="L16" s="5">
        <f t="shared" si="2"/>
        <v>2</v>
      </c>
    </row>
    <row r="17" spans="1:12" ht="15" customHeight="1" thickBot="1" x14ac:dyDescent="0.3">
      <c r="A17" s="47">
        <v>9</v>
      </c>
      <c r="B17" s="40"/>
      <c r="C17" s="36"/>
      <c r="D17" s="36"/>
      <c r="E17" s="37"/>
      <c r="F17" s="13">
        <f t="shared" si="0"/>
        <v>0</v>
      </c>
      <c r="G17" s="38"/>
      <c r="H17" s="38"/>
      <c r="I17" s="14"/>
      <c r="J17" s="14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7">
        <v>10</v>
      </c>
      <c r="B18" s="40"/>
      <c r="C18" s="36"/>
      <c r="D18" s="36"/>
      <c r="E18" s="37"/>
      <c r="F18" s="13">
        <f t="shared" si="0"/>
        <v>0</v>
      </c>
      <c r="G18" s="40"/>
      <c r="H18" s="40"/>
      <c r="I18" s="14"/>
      <c r="J18" s="14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7">
        <v>11</v>
      </c>
      <c r="B19" s="40">
        <v>4</v>
      </c>
      <c r="C19" s="36"/>
      <c r="D19" s="36"/>
      <c r="E19" s="37"/>
      <c r="F19" s="13">
        <f t="shared" si="0"/>
        <v>4</v>
      </c>
      <c r="G19" s="19"/>
      <c r="H19" s="38"/>
      <c r="I19" s="14"/>
      <c r="J19" s="14"/>
      <c r="K19" s="11">
        <f t="shared" si="1"/>
        <v>0</v>
      </c>
      <c r="L19" s="5">
        <f t="shared" si="2"/>
        <v>4</v>
      </c>
    </row>
    <row r="20" spans="1:12" ht="15" customHeight="1" thickBot="1" x14ac:dyDescent="0.3">
      <c r="A20" s="47">
        <v>12</v>
      </c>
      <c r="B20" s="40"/>
      <c r="C20" s="36"/>
      <c r="D20" s="36"/>
      <c r="E20" s="37"/>
      <c r="F20" s="13">
        <f t="shared" si="0"/>
        <v>0</v>
      </c>
      <c r="G20" s="19"/>
      <c r="H20" s="38"/>
      <c r="I20" s="20"/>
      <c r="J20" s="20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7">
        <v>13</v>
      </c>
      <c r="B21" s="40">
        <v>5</v>
      </c>
      <c r="C21" s="36"/>
      <c r="D21" s="36"/>
      <c r="E21" s="37"/>
      <c r="F21" s="13">
        <f t="shared" si="0"/>
        <v>5</v>
      </c>
      <c r="G21" s="21"/>
      <c r="H21" s="41"/>
      <c r="I21" s="14"/>
      <c r="J21" s="14"/>
      <c r="K21" s="11">
        <f t="shared" si="1"/>
        <v>0</v>
      </c>
      <c r="L21" s="5">
        <f t="shared" si="2"/>
        <v>5</v>
      </c>
    </row>
    <row r="22" spans="1:12" ht="15" customHeight="1" thickBot="1" x14ac:dyDescent="0.3">
      <c r="A22" s="47">
        <v>14</v>
      </c>
      <c r="B22" s="40">
        <v>8</v>
      </c>
      <c r="C22" s="36"/>
      <c r="D22" s="36"/>
      <c r="E22" s="37"/>
      <c r="F22" s="13">
        <f t="shared" si="0"/>
        <v>8</v>
      </c>
      <c r="G22" s="21"/>
      <c r="H22" s="14"/>
      <c r="I22" s="14"/>
      <c r="J22" s="14"/>
      <c r="K22" s="11">
        <f t="shared" si="1"/>
        <v>0</v>
      </c>
      <c r="L22" s="5">
        <f t="shared" si="2"/>
        <v>8</v>
      </c>
    </row>
    <row r="23" spans="1:12" ht="15" customHeight="1" thickBot="1" x14ac:dyDescent="0.3">
      <c r="A23" s="47">
        <v>15</v>
      </c>
      <c r="B23" s="40"/>
      <c r="C23" s="36"/>
      <c r="D23" s="36"/>
      <c r="E23" s="37"/>
      <c r="F23" s="13">
        <f t="shared" si="0"/>
        <v>0</v>
      </c>
      <c r="G23" s="19"/>
      <c r="H23" s="14"/>
      <c r="I23" s="14"/>
      <c r="J23" s="14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7">
        <v>16</v>
      </c>
      <c r="B24" s="40"/>
      <c r="C24" s="36"/>
      <c r="D24" s="36"/>
      <c r="E24" s="37"/>
      <c r="F24" s="13">
        <f t="shared" si="0"/>
        <v>0</v>
      </c>
      <c r="G24" s="19"/>
      <c r="H24" s="14"/>
      <c r="I24" s="14"/>
      <c r="J24" s="14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7">
        <v>17</v>
      </c>
      <c r="B25" s="40"/>
      <c r="C25" s="40"/>
      <c r="D25" s="42"/>
      <c r="E25" s="37"/>
      <c r="F25" s="13">
        <f t="shared" si="0"/>
        <v>0</v>
      </c>
      <c r="G25" s="19"/>
      <c r="H25" s="14"/>
      <c r="I25" s="14"/>
      <c r="J25" s="14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7">
        <v>18</v>
      </c>
      <c r="B26" s="40">
        <v>18</v>
      </c>
      <c r="C26" s="36"/>
      <c r="D26" s="36"/>
      <c r="E26" s="37"/>
      <c r="F26" s="13">
        <f t="shared" si="0"/>
        <v>18</v>
      </c>
      <c r="G26" s="19"/>
      <c r="H26" s="53"/>
      <c r="I26" s="14"/>
      <c r="J26" s="14"/>
      <c r="K26" s="11">
        <f t="shared" si="1"/>
        <v>0</v>
      </c>
      <c r="L26" s="5">
        <f t="shared" si="2"/>
        <v>18</v>
      </c>
    </row>
    <row r="27" spans="1:12" ht="15" customHeight="1" thickBot="1" x14ac:dyDescent="0.3">
      <c r="A27" s="47">
        <v>19</v>
      </c>
      <c r="B27" s="40">
        <v>2</v>
      </c>
      <c r="C27" s="42"/>
      <c r="D27" s="36"/>
      <c r="E27" s="37"/>
      <c r="F27" s="13">
        <f t="shared" si="0"/>
        <v>2</v>
      </c>
      <c r="G27" s="19"/>
      <c r="H27" s="14"/>
      <c r="I27" s="14"/>
      <c r="J27" s="14"/>
      <c r="K27" s="11">
        <f t="shared" si="1"/>
        <v>0</v>
      </c>
      <c r="L27" s="5">
        <f t="shared" si="2"/>
        <v>2</v>
      </c>
    </row>
    <row r="28" spans="1:12" ht="15" customHeight="1" thickBot="1" x14ac:dyDescent="0.3">
      <c r="A28" s="47">
        <v>20</v>
      </c>
      <c r="B28" s="40">
        <v>1</v>
      </c>
      <c r="C28" s="36"/>
      <c r="D28" s="36"/>
      <c r="E28" s="37"/>
      <c r="F28" s="13">
        <f t="shared" si="0"/>
        <v>1</v>
      </c>
      <c r="G28" s="19"/>
      <c r="H28" s="14"/>
      <c r="I28" s="14"/>
      <c r="J28" s="14"/>
      <c r="K28" s="11">
        <f t="shared" si="1"/>
        <v>0</v>
      </c>
      <c r="L28" s="5">
        <f t="shared" si="2"/>
        <v>1</v>
      </c>
    </row>
    <row r="29" spans="1:12" ht="15" customHeight="1" thickBot="1" x14ac:dyDescent="0.3">
      <c r="A29" s="47">
        <v>21</v>
      </c>
      <c r="B29" s="40">
        <v>3</v>
      </c>
      <c r="C29" s="36"/>
      <c r="D29" s="36"/>
      <c r="E29" s="37"/>
      <c r="F29" s="13">
        <f t="shared" si="0"/>
        <v>3</v>
      </c>
      <c r="G29" s="19"/>
      <c r="H29" s="14"/>
      <c r="I29" s="14"/>
      <c r="J29" s="14"/>
      <c r="K29" s="11">
        <f t="shared" si="1"/>
        <v>0</v>
      </c>
      <c r="L29" s="5">
        <f t="shared" si="2"/>
        <v>3</v>
      </c>
    </row>
    <row r="30" spans="1:12" ht="15" customHeight="1" thickBot="1" x14ac:dyDescent="0.3">
      <c r="A30" s="47">
        <v>22</v>
      </c>
      <c r="B30" s="40">
        <v>8</v>
      </c>
      <c r="C30" s="36"/>
      <c r="D30" s="36"/>
      <c r="E30" s="37"/>
      <c r="F30" s="13">
        <f t="shared" si="0"/>
        <v>8</v>
      </c>
      <c r="G30" s="19"/>
      <c r="H30" s="14"/>
      <c r="I30" s="14"/>
      <c r="J30" s="14"/>
      <c r="K30" s="11">
        <f t="shared" si="1"/>
        <v>0</v>
      </c>
      <c r="L30" s="5">
        <f t="shared" si="2"/>
        <v>8</v>
      </c>
    </row>
    <row r="31" spans="1:12" ht="15" customHeight="1" thickBot="1" x14ac:dyDescent="0.3">
      <c r="A31" s="47">
        <v>23</v>
      </c>
      <c r="B31" s="40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7">
        <v>24</v>
      </c>
      <c r="B32" s="40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7">
        <v>25</v>
      </c>
      <c r="B33" s="40">
        <v>2</v>
      </c>
      <c r="C33" s="36"/>
      <c r="D33" s="36"/>
      <c r="E33" s="37"/>
      <c r="F33" s="13">
        <f t="shared" si="0"/>
        <v>2</v>
      </c>
      <c r="G33" s="19"/>
      <c r="H33" s="14"/>
      <c r="I33" s="14"/>
      <c r="J33" s="14"/>
      <c r="K33" s="11">
        <f t="shared" si="1"/>
        <v>0</v>
      </c>
      <c r="L33" s="5">
        <f t="shared" si="2"/>
        <v>2</v>
      </c>
    </row>
    <row r="34" spans="1:12" ht="15" customHeight="1" thickBot="1" x14ac:dyDescent="0.3">
      <c r="A34" s="47">
        <v>26</v>
      </c>
      <c r="B34" s="40">
        <v>5</v>
      </c>
      <c r="C34" s="42"/>
      <c r="D34" s="36"/>
      <c r="E34" s="37"/>
      <c r="F34" s="13">
        <f t="shared" si="0"/>
        <v>5</v>
      </c>
      <c r="G34" s="19"/>
      <c r="H34" s="38"/>
      <c r="I34" s="14"/>
      <c r="J34" s="14"/>
      <c r="K34" s="11">
        <f t="shared" si="1"/>
        <v>0</v>
      </c>
      <c r="L34" s="5">
        <f t="shared" si="2"/>
        <v>5</v>
      </c>
    </row>
    <row r="35" spans="1:12" ht="15" customHeight="1" thickBot="1" x14ac:dyDescent="0.3">
      <c r="A35" s="47">
        <v>27</v>
      </c>
      <c r="B35" s="44">
        <v>3</v>
      </c>
      <c r="C35" s="36"/>
      <c r="D35" s="36"/>
      <c r="E35" s="37"/>
      <c r="F35" s="13">
        <f t="shared" si="0"/>
        <v>3</v>
      </c>
      <c r="G35" s="30"/>
      <c r="H35" s="38"/>
      <c r="I35" s="14"/>
      <c r="J35" s="14"/>
      <c r="K35" s="11">
        <f t="shared" si="1"/>
        <v>0</v>
      </c>
      <c r="L35" s="5">
        <f t="shared" si="2"/>
        <v>3</v>
      </c>
    </row>
    <row r="36" spans="1:12" ht="15" customHeight="1" thickBot="1" x14ac:dyDescent="0.3">
      <c r="A36" s="47">
        <v>28</v>
      </c>
      <c r="B36" s="44">
        <v>5</v>
      </c>
      <c r="C36" s="14"/>
      <c r="D36" s="14"/>
      <c r="E36" s="15"/>
      <c r="F36" s="13">
        <f t="shared" si="0"/>
        <v>5</v>
      </c>
      <c r="G36" s="19">
        <v>18</v>
      </c>
      <c r="H36" s="14"/>
      <c r="I36" s="14"/>
      <c r="J36" s="14"/>
      <c r="K36" s="11">
        <f t="shared" si="1"/>
        <v>18</v>
      </c>
      <c r="L36" s="5">
        <f t="shared" si="2"/>
        <v>23</v>
      </c>
    </row>
    <row r="37" spans="1:12" ht="15" customHeight="1" thickBot="1" x14ac:dyDescent="0.3">
      <c r="A37" s="47">
        <v>29</v>
      </c>
      <c r="B37" s="44"/>
      <c r="C37" s="14"/>
      <c r="D37" s="14"/>
      <c r="E37" s="15"/>
      <c r="F37" s="13">
        <f t="shared" si="0"/>
        <v>0</v>
      </c>
      <c r="G37" s="19">
        <v>17</v>
      </c>
      <c r="H37" s="14"/>
      <c r="I37" s="14"/>
      <c r="J37" s="14"/>
      <c r="K37" s="11">
        <f t="shared" si="1"/>
        <v>17</v>
      </c>
      <c r="L37" s="5">
        <f t="shared" si="2"/>
        <v>17</v>
      </c>
    </row>
    <row r="38" spans="1:12" ht="15" customHeight="1" thickBot="1" x14ac:dyDescent="0.3">
      <c r="A38" s="47">
        <v>30</v>
      </c>
      <c r="B38" s="44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49">
        <v>31</v>
      </c>
      <c r="B39" s="45"/>
      <c r="C39" s="16"/>
      <c r="D39" s="45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81</v>
      </c>
      <c r="C40" s="52">
        <f t="shared" ref="C40:E40" si="3">SUM(C9:C39)</f>
        <v>0</v>
      </c>
      <c r="D40" s="52">
        <f t="shared" si="3"/>
        <v>0</v>
      </c>
      <c r="E40" s="52">
        <f t="shared" si="3"/>
        <v>0</v>
      </c>
      <c r="F40" s="51">
        <f>SUM(F9:F39)</f>
        <v>81</v>
      </c>
      <c r="G40" s="12">
        <f>SUM(G9:G39)</f>
        <v>35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35</v>
      </c>
      <c r="L40" s="12">
        <f t="shared" si="4"/>
        <v>116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2"/>
      <c r="B42" s="82"/>
      <c r="C42" s="82"/>
      <c r="D42" s="82"/>
      <c r="E42" s="82"/>
      <c r="F42" s="82"/>
      <c r="G42" s="83" t="s">
        <v>16</v>
      </c>
      <c r="H42" s="84"/>
      <c r="I42" s="84" t="s">
        <v>17</v>
      </c>
      <c r="J42" s="85"/>
      <c r="K42" s="7"/>
      <c r="L42" s="9"/>
    </row>
    <row r="43" spans="1:12" ht="15" customHeight="1" thickBot="1" x14ac:dyDescent="0.3">
      <c r="A43" s="10"/>
      <c r="B43" s="69" t="s">
        <v>18</v>
      </c>
      <c r="C43" s="70"/>
      <c r="D43" s="70"/>
      <c r="E43" s="70"/>
      <c r="F43" s="70"/>
      <c r="G43" s="80">
        <v>447</v>
      </c>
      <c r="H43" s="86"/>
      <c r="I43" s="87"/>
      <c r="J43" s="88"/>
      <c r="K43" s="7"/>
      <c r="L43" s="9"/>
    </row>
    <row r="44" spans="1:12" ht="15" customHeight="1" thickBot="1" x14ac:dyDescent="0.3">
      <c r="A44" s="10"/>
      <c r="B44" s="69" t="s">
        <v>19</v>
      </c>
      <c r="C44" s="70"/>
      <c r="D44" s="70"/>
      <c r="E44" s="70"/>
      <c r="F44" s="70"/>
      <c r="G44" s="73">
        <v>0</v>
      </c>
      <c r="H44" s="72"/>
      <c r="I44" s="73"/>
      <c r="J44" s="72"/>
      <c r="K44" s="7"/>
      <c r="L44" s="9"/>
    </row>
    <row r="45" spans="1:12" ht="15" customHeight="1" thickBot="1" x14ac:dyDescent="0.3">
      <c r="A45" s="10"/>
      <c r="B45" s="77" t="s">
        <v>20</v>
      </c>
      <c r="C45" s="77"/>
      <c r="D45" s="77"/>
      <c r="E45" s="77"/>
      <c r="F45" s="69"/>
      <c r="G45" s="78">
        <v>0</v>
      </c>
      <c r="H45" s="79"/>
      <c r="I45" s="80"/>
      <c r="J45" s="81"/>
      <c r="K45" s="7"/>
      <c r="L45" s="9"/>
    </row>
    <row r="46" spans="1:12" ht="15" customHeight="1" thickBot="1" x14ac:dyDescent="0.3">
      <c r="A46" s="10"/>
      <c r="B46" s="69" t="s">
        <v>21</v>
      </c>
      <c r="C46" s="70"/>
      <c r="D46" s="70"/>
      <c r="E46" s="70"/>
      <c r="F46" s="70"/>
      <c r="G46" s="71">
        <f>L40+G45</f>
        <v>116</v>
      </c>
      <c r="H46" s="72"/>
      <c r="I46" s="73"/>
      <c r="J46" s="72"/>
      <c r="K46" s="7"/>
      <c r="L46" s="9"/>
    </row>
    <row r="47" spans="1:12" ht="15" customHeight="1" thickBot="1" x14ac:dyDescent="0.3">
      <c r="A47" s="3"/>
      <c r="B47" s="69" t="s">
        <v>22</v>
      </c>
      <c r="C47" s="70"/>
      <c r="D47" s="70"/>
      <c r="E47" s="70"/>
      <c r="F47" s="70"/>
      <c r="G47" s="71">
        <f>G43+G44-G46</f>
        <v>331</v>
      </c>
      <c r="H47" s="72"/>
      <c r="I47" s="73"/>
      <c r="J47" s="72"/>
      <c r="K47" s="7"/>
      <c r="L47" s="2"/>
    </row>
    <row r="48" spans="1:12" ht="15" customHeight="1" thickBot="1" x14ac:dyDescent="0.3">
      <c r="A48" s="3"/>
      <c r="B48" s="69" t="s">
        <v>23</v>
      </c>
      <c r="C48" s="70"/>
      <c r="D48" s="70"/>
      <c r="E48" s="70"/>
      <c r="F48" s="70"/>
      <c r="G48" s="71">
        <v>321</v>
      </c>
      <c r="H48" s="72"/>
      <c r="I48" s="73"/>
      <c r="J48" s="72"/>
      <c r="K48" s="7"/>
      <c r="L48" s="2"/>
    </row>
    <row r="49" spans="1:12" ht="15" customHeight="1" thickBot="1" x14ac:dyDescent="0.3">
      <c r="A49" s="3"/>
      <c r="B49" s="69" t="s">
        <v>24</v>
      </c>
      <c r="C49" s="70"/>
      <c r="D49" s="70"/>
      <c r="E49" s="70"/>
      <c r="F49" s="70"/>
      <c r="G49" s="74">
        <f>G47-G48</f>
        <v>10</v>
      </c>
      <c r="H49" s="75"/>
      <c r="I49" s="76"/>
      <c r="J49" s="75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  <row r="53" spans="1:12" x14ac:dyDescent="0.25">
      <c r="A53" t="s">
        <v>29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9BBAA-45FB-4076-A9CF-97F6C48F2A35}">
  <dimension ref="A1:L52"/>
  <sheetViews>
    <sheetView topLeftCell="A29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22"/>
      <c r="F1" s="23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22"/>
      <c r="F2" s="23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22"/>
      <c r="F3" s="23"/>
      <c r="G3" s="91" t="s">
        <v>27</v>
      </c>
      <c r="H3" s="91"/>
      <c r="I3" s="91"/>
      <c r="J3" s="91"/>
      <c r="K3" s="91"/>
      <c r="L3" s="91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9" t="s">
        <v>5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6.5" thickBot="1" x14ac:dyDescent="0.3">
      <c r="A6" s="90" t="s">
        <v>30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6">
        <v>1</v>
      </c>
      <c r="B9" s="43">
        <v>1</v>
      </c>
      <c r="C9" s="33"/>
      <c r="D9" s="54">
        <v>1</v>
      </c>
      <c r="E9" s="34"/>
      <c r="F9" s="13">
        <f>SUM(B9:E9)</f>
        <v>2</v>
      </c>
      <c r="G9" s="31">
        <v>21</v>
      </c>
      <c r="H9" s="35"/>
      <c r="I9" s="18"/>
      <c r="J9" s="18"/>
      <c r="K9" s="11">
        <f>SUM(G9:J9)</f>
        <v>21</v>
      </c>
      <c r="L9" s="5">
        <f>SUM(F9+K9)</f>
        <v>23</v>
      </c>
    </row>
    <row r="10" spans="1:12" ht="15" customHeight="1" thickBot="1" x14ac:dyDescent="0.3">
      <c r="A10" s="6">
        <v>2</v>
      </c>
      <c r="B10" s="40">
        <v>5</v>
      </c>
      <c r="C10" s="36"/>
      <c r="D10" s="36"/>
      <c r="E10" s="37"/>
      <c r="F10" s="13">
        <f t="shared" ref="F10:F39" si="0">SUM(B10:E10)</f>
        <v>5</v>
      </c>
      <c r="G10" s="19"/>
      <c r="H10" s="38"/>
      <c r="I10" s="14"/>
      <c r="J10" s="14"/>
      <c r="K10" s="11">
        <f t="shared" ref="K10:K39" si="1">SUM(G10:J10)</f>
        <v>0</v>
      </c>
      <c r="L10" s="5">
        <f t="shared" ref="L10:L39" si="2">SUM(F10+K10)</f>
        <v>5</v>
      </c>
    </row>
    <row r="11" spans="1:12" ht="15" customHeight="1" thickBot="1" x14ac:dyDescent="0.3">
      <c r="A11" s="47">
        <v>3</v>
      </c>
      <c r="B11" s="40"/>
      <c r="C11" s="36"/>
      <c r="D11" s="36"/>
      <c r="E11" s="39"/>
      <c r="F11" s="13">
        <f t="shared" si="0"/>
        <v>0</v>
      </c>
      <c r="G11" s="19">
        <v>11</v>
      </c>
      <c r="H11" s="38"/>
      <c r="I11" s="14"/>
      <c r="J11" s="14"/>
      <c r="K11" s="11">
        <f t="shared" si="1"/>
        <v>11</v>
      </c>
      <c r="L11" s="5">
        <f t="shared" si="2"/>
        <v>11</v>
      </c>
    </row>
    <row r="12" spans="1:12" ht="15" customHeight="1" thickBot="1" x14ac:dyDescent="0.3">
      <c r="A12" s="47">
        <v>4</v>
      </c>
      <c r="B12" s="40">
        <v>3</v>
      </c>
      <c r="C12" s="36"/>
      <c r="D12" s="36"/>
      <c r="E12" s="37"/>
      <c r="F12" s="13">
        <f t="shared" si="0"/>
        <v>3</v>
      </c>
      <c r="G12" s="32"/>
      <c r="H12" s="38"/>
      <c r="I12" s="14"/>
      <c r="J12" s="14"/>
      <c r="K12" s="11">
        <f t="shared" si="1"/>
        <v>0</v>
      </c>
      <c r="L12" s="5">
        <f t="shared" si="2"/>
        <v>3</v>
      </c>
    </row>
    <row r="13" spans="1:12" ht="15" customHeight="1" thickBot="1" x14ac:dyDescent="0.3">
      <c r="A13" s="47">
        <v>5</v>
      </c>
      <c r="B13" s="40"/>
      <c r="C13" s="36"/>
      <c r="D13" s="36"/>
      <c r="E13" s="37"/>
      <c r="F13" s="13">
        <f t="shared" si="0"/>
        <v>0</v>
      </c>
      <c r="G13" s="38">
        <v>1</v>
      </c>
      <c r="H13" s="38"/>
      <c r="I13" s="14"/>
      <c r="J13" s="14"/>
      <c r="K13" s="11">
        <f t="shared" si="1"/>
        <v>1</v>
      </c>
      <c r="L13" s="5">
        <f t="shared" si="2"/>
        <v>1</v>
      </c>
    </row>
    <row r="14" spans="1:12" ht="15" customHeight="1" thickBot="1" x14ac:dyDescent="0.3">
      <c r="A14" s="47">
        <v>6</v>
      </c>
      <c r="B14" s="40"/>
      <c r="C14" s="36"/>
      <c r="D14" s="36"/>
      <c r="E14" s="37"/>
      <c r="F14" s="13">
        <f t="shared" si="0"/>
        <v>0</v>
      </c>
      <c r="G14" s="38"/>
      <c r="H14" s="38"/>
      <c r="I14" s="14"/>
      <c r="J14" s="14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40"/>
      <c r="C15" s="36"/>
      <c r="D15" s="36"/>
      <c r="E15" s="39"/>
      <c r="F15" s="13">
        <f t="shared" si="0"/>
        <v>0</v>
      </c>
      <c r="G15" s="38"/>
      <c r="H15" s="38"/>
      <c r="I15" s="14"/>
      <c r="J15" s="14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7">
        <v>8</v>
      </c>
      <c r="B16" s="40"/>
      <c r="C16" s="36"/>
      <c r="D16" s="36"/>
      <c r="E16" s="37"/>
      <c r="F16" s="13">
        <f t="shared" si="0"/>
        <v>0</v>
      </c>
      <c r="G16" s="38"/>
      <c r="H16" s="38"/>
      <c r="I16" s="14"/>
      <c r="J16" s="14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7">
        <v>9</v>
      </c>
      <c r="B17" s="40">
        <v>6</v>
      </c>
      <c r="C17" s="36"/>
      <c r="D17" s="36"/>
      <c r="E17" s="37"/>
      <c r="F17" s="13">
        <f t="shared" si="0"/>
        <v>6</v>
      </c>
      <c r="G17" s="38">
        <v>1</v>
      </c>
      <c r="H17" s="38"/>
      <c r="I17" s="14"/>
      <c r="J17" s="14"/>
      <c r="K17" s="11">
        <f t="shared" si="1"/>
        <v>1</v>
      </c>
      <c r="L17" s="5">
        <f t="shared" si="2"/>
        <v>7</v>
      </c>
    </row>
    <row r="18" spans="1:12" ht="15" customHeight="1" thickBot="1" x14ac:dyDescent="0.3">
      <c r="A18" s="47">
        <v>10</v>
      </c>
      <c r="B18" s="40">
        <v>1</v>
      </c>
      <c r="C18" s="36"/>
      <c r="D18" s="36"/>
      <c r="E18" s="37"/>
      <c r="F18" s="13">
        <f t="shared" si="0"/>
        <v>1</v>
      </c>
      <c r="G18" s="40"/>
      <c r="H18" s="40"/>
      <c r="I18" s="14"/>
      <c r="J18" s="14"/>
      <c r="K18" s="11">
        <f t="shared" si="1"/>
        <v>0</v>
      </c>
      <c r="L18" s="5">
        <f t="shared" si="2"/>
        <v>1</v>
      </c>
    </row>
    <row r="19" spans="1:12" ht="15" customHeight="1" thickBot="1" x14ac:dyDescent="0.3">
      <c r="A19" s="47">
        <v>11</v>
      </c>
      <c r="B19" s="40">
        <v>2</v>
      </c>
      <c r="C19" s="36"/>
      <c r="D19" s="36"/>
      <c r="E19" s="37"/>
      <c r="F19" s="13">
        <f t="shared" si="0"/>
        <v>2</v>
      </c>
      <c r="G19" s="19"/>
      <c r="H19" s="38"/>
      <c r="I19" s="14"/>
      <c r="J19" s="14"/>
      <c r="K19" s="11">
        <f t="shared" si="1"/>
        <v>0</v>
      </c>
      <c r="L19" s="5">
        <f t="shared" si="2"/>
        <v>2</v>
      </c>
    </row>
    <row r="20" spans="1:12" ht="15" customHeight="1" thickBot="1" x14ac:dyDescent="0.3">
      <c r="A20" s="47">
        <v>12</v>
      </c>
      <c r="B20" s="40">
        <v>2</v>
      </c>
      <c r="C20" s="36"/>
      <c r="D20" s="36"/>
      <c r="E20" s="37"/>
      <c r="F20" s="13">
        <f t="shared" si="0"/>
        <v>2</v>
      </c>
      <c r="G20" s="19"/>
      <c r="H20" s="38"/>
      <c r="I20" s="20"/>
      <c r="J20" s="20"/>
      <c r="K20" s="11">
        <f t="shared" si="1"/>
        <v>0</v>
      </c>
      <c r="L20" s="5">
        <f t="shared" si="2"/>
        <v>2</v>
      </c>
    </row>
    <row r="21" spans="1:12" ht="15" customHeight="1" thickBot="1" x14ac:dyDescent="0.3">
      <c r="A21" s="47">
        <v>13</v>
      </c>
      <c r="B21" s="40"/>
      <c r="C21" s="36"/>
      <c r="D21" s="36"/>
      <c r="E21" s="37"/>
      <c r="F21" s="13">
        <f t="shared" si="0"/>
        <v>0</v>
      </c>
      <c r="G21" s="21"/>
      <c r="H21" s="41"/>
      <c r="I21" s="14"/>
      <c r="J21" s="14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7">
        <v>14</v>
      </c>
      <c r="B22" s="40"/>
      <c r="C22" s="36"/>
      <c r="D22" s="36"/>
      <c r="E22" s="37"/>
      <c r="F22" s="13">
        <f t="shared" si="0"/>
        <v>0</v>
      </c>
      <c r="G22" s="21"/>
      <c r="H22" s="14"/>
      <c r="I22" s="14"/>
      <c r="J22" s="14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7">
        <v>15</v>
      </c>
      <c r="B23" s="40">
        <v>3</v>
      </c>
      <c r="C23" s="36"/>
      <c r="D23" s="36"/>
      <c r="E23" s="37"/>
      <c r="F23" s="13">
        <f t="shared" si="0"/>
        <v>3</v>
      </c>
      <c r="G23" s="19">
        <v>1</v>
      </c>
      <c r="H23" s="14"/>
      <c r="I23" s="14"/>
      <c r="J23" s="14"/>
      <c r="K23" s="11">
        <f t="shared" si="1"/>
        <v>1</v>
      </c>
      <c r="L23" s="5">
        <f t="shared" si="2"/>
        <v>4</v>
      </c>
    </row>
    <row r="24" spans="1:12" ht="15" customHeight="1" thickBot="1" x14ac:dyDescent="0.3">
      <c r="A24" s="47">
        <v>16</v>
      </c>
      <c r="B24" s="40">
        <v>3</v>
      </c>
      <c r="C24" s="36"/>
      <c r="D24" s="36"/>
      <c r="E24" s="37"/>
      <c r="F24" s="13">
        <f t="shared" si="0"/>
        <v>3</v>
      </c>
      <c r="G24" s="19">
        <v>10</v>
      </c>
      <c r="H24" s="14"/>
      <c r="I24" s="14"/>
      <c r="J24" s="14"/>
      <c r="K24" s="11">
        <f t="shared" si="1"/>
        <v>10</v>
      </c>
      <c r="L24" s="5">
        <f t="shared" si="2"/>
        <v>13</v>
      </c>
    </row>
    <row r="25" spans="1:12" ht="15" customHeight="1" thickBot="1" x14ac:dyDescent="0.3">
      <c r="A25" s="47">
        <v>17</v>
      </c>
      <c r="B25" s="40">
        <v>1</v>
      </c>
      <c r="C25" s="40"/>
      <c r="D25" s="42"/>
      <c r="E25" s="37"/>
      <c r="F25" s="13">
        <f t="shared" si="0"/>
        <v>1</v>
      </c>
      <c r="G25" s="19">
        <v>10</v>
      </c>
      <c r="H25" s="14"/>
      <c r="I25" s="14">
        <v>1</v>
      </c>
      <c r="J25" s="14"/>
      <c r="K25" s="11">
        <f t="shared" si="1"/>
        <v>11</v>
      </c>
      <c r="L25" s="5">
        <f t="shared" si="2"/>
        <v>12</v>
      </c>
    </row>
    <row r="26" spans="1:12" ht="15" customHeight="1" thickBot="1" x14ac:dyDescent="0.3">
      <c r="A26" s="47">
        <v>18</v>
      </c>
      <c r="B26" s="40"/>
      <c r="C26" s="36"/>
      <c r="D26" s="36"/>
      <c r="E26" s="37"/>
      <c r="F26" s="13">
        <f t="shared" si="0"/>
        <v>0</v>
      </c>
      <c r="G26" s="19">
        <v>10</v>
      </c>
      <c r="H26" s="53"/>
      <c r="I26" s="14"/>
      <c r="J26" s="14"/>
      <c r="K26" s="11">
        <f t="shared" si="1"/>
        <v>10</v>
      </c>
      <c r="L26" s="5">
        <f t="shared" si="2"/>
        <v>10</v>
      </c>
    </row>
    <row r="27" spans="1:12" ht="15" customHeight="1" thickBot="1" x14ac:dyDescent="0.3">
      <c r="A27" s="47">
        <v>19</v>
      </c>
      <c r="B27" s="40"/>
      <c r="C27" s="42"/>
      <c r="D27" s="36"/>
      <c r="E27" s="37"/>
      <c r="F27" s="13">
        <f t="shared" si="0"/>
        <v>0</v>
      </c>
      <c r="G27" s="19">
        <v>4</v>
      </c>
      <c r="H27" s="14"/>
      <c r="I27" s="14"/>
      <c r="J27" s="14"/>
      <c r="K27" s="11">
        <f t="shared" si="1"/>
        <v>4</v>
      </c>
      <c r="L27" s="5">
        <f t="shared" si="2"/>
        <v>4</v>
      </c>
    </row>
    <row r="28" spans="1:12" ht="15" customHeight="1" thickBot="1" x14ac:dyDescent="0.3">
      <c r="A28" s="47">
        <v>20</v>
      </c>
      <c r="B28" s="40"/>
      <c r="C28" s="36"/>
      <c r="D28" s="36"/>
      <c r="E28" s="37"/>
      <c r="F28" s="13">
        <f t="shared" si="0"/>
        <v>0</v>
      </c>
      <c r="G28" s="19"/>
      <c r="H28" s="14"/>
      <c r="I28" s="14"/>
      <c r="J28" s="14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7">
        <v>21</v>
      </c>
      <c r="B29" s="40"/>
      <c r="C29" s="36"/>
      <c r="D29" s="36"/>
      <c r="E29" s="37"/>
      <c r="F29" s="13">
        <f t="shared" si="0"/>
        <v>0</v>
      </c>
      <c r="G29" s="19"/>
      <c r="H29" s="14"/>
      <c r="I29" s="14"/>
      <c r="J29" s="14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7">
        <v>22</v>
      </c>
      <c r="B30" s="40">
        <v>5</v>
      </c>
      <c r="C30" s="36"/>
      <c r="D30" s="36"/>
      <c r="E30" s="37"/>
      <c r="F30" s="13">
        <f t="shared" si="0"/>
        <v>5</v>
      </c>
      <c r="G30" s="19">
        <v>1</v>
      </c>
      <c r="H30" s="14"/>
      <c r="I30" s="14"/>
      <c r="J30" s="14"/>
      <c r="K30" s="11">
        <f t="shared" si="1"/>
        <v>1</v>
      </c>
      <c r="L30" s="5">
        <f t="shared" si="2"/>
        <v>6</v>
      </c>
    </row>
    <row r="31" spans="1:12" ht="15" customHeight="1" thickBot="1" x14ac:dyDescent="0.3">
      <c r="A31" s="47">
        <v>23</v>
      </c>
      <c r="B31" s="40"/>
      <c r="C31" s="36"/>
      <c r="D31" s="36"/>
      <c r="E31" s="37"/>
      <c r="F31" s="13">
        <f t="shared" si="0"/>
        <v>0</v>
      </c>
      <c r="G31" s="19"/>
      <c r="H31" s="14"/>
      <c r="I31" s="14"/>
      <c r="J31" s="14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7">
        <v>24</v>
      </c>
      <c r="B32" s="40"/>
      <c r="C32" s="36"/>
      <c r="D32" s="36"/>
      <c r="E32" s="37"/>
      <c r="F32" s="13">
        <f t="shared" si="0"/>
        <v>0</v>
      </c>
      <c r="G32" s="19"/>
      <c r="H32" s="14"/>
      <c r="I32" s="14"/>
      <c r="J32" s="14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7">
        <v>25</v>
      </c>
      <c r="B33" s="40">
        <v>1</v>
      </c>
      <c r="C33" s="36"/>
      <c r="D33" s="36"/>
      <c r="E33" s="37"/>
      <c r="F33" s="13">
        <f t="shared" si="0"/>
        <v>1</v>
      </c>
      <c r="G33" s="19"/>
      <c r="H33" s="14"/>
      <c r="I33" s="14"/>
      <c r="J33" s="14"/>
      <c r="K33" s="11">
        <f t="shared" si="1"/>
        <v>0</v>
      </c>
      <c r="L33" s="5">
        <f t="shared" si="2"/>
        <v>1</v>
      </c>
    </row>
    <row r="34" spans="1:12" ht="15" customHeight="1" thickBot="1" x14ac:dyDescent="0.3">
      <c r="A34" s="47">
        <v>26</v>
      </c>
      <c r="B34" s="40">
        <v>2</v>
      </c>
      <c r="C34" s="42"/>
      <c r="D34" s="36"/>
      <c r="E34" s="37"/>
      <c r="F34" s="13">
        <f t="shared" si="0"/>
        <v>2</v>
      </c>
      <c r="G34" s="19"/>
      <c r="H34" s="38"/>
      <c r="I34" s="14"/>
      <c r="J34" s="14"/>
      <c r="K34" s="11">
        <f t="shared" si="1"/>
        <v>0</v>
      </c>
      <c r="L34" s="5">
        <f t="shared" si="2"/>
        <v>2</v>
      </c>
    </row>
    <row r="35" spans="1:12" ht="15" customHeight="1" thickBot="1" x14ac:dyDescent="0.3">
      <c r="A35" s="47">
        <v>27</v>
      </c>
      <c r="B35" s="44"/>
      <c r="C35" s="36"/>
      <c r="D35" s="36"/>
      <c r="E35" s="37"/>
      <c r="F35" s="13">
        <f t="shared" si="0"/>
        <v>0</v>
      </c>
      <c r="G35" s="30"/>
      <c r="H35" s="38"/>
      <c r="I35" s="14"/>
      <c r="J35" s="14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7">
        <v>28</v>
      </c>
      <c r="B36" s="44"/>
      <c r="C36" s="14"/>
      <c r="D36" s="14"/>
      <c r="E36" s="15"/>
      <c r="F36" s="13">
        <f t="shared" si="0"/>
        <v>0</v>
      </c>
      <c r="G36" s="19"/>
      <c r="H36" s="14"/>
      <c r="I36" s="14"/>
      <c r="J36" s="14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7">
        <v>29</v>
      </c>
      <c r="B37" s="44"/>
      <c r="C37" s="14"/>
      <c r="D37" s="14"/>
      <c r="E37" s="15"/>
      <c r="F37" s="13">
        <f t="shared" si="0"/>
        <v>0</v>
      </c>
      <c r="G37" s="19"/>
      <c r="H37" s="14"/>
      <c r="I37" s="14"/>
      <c r="J37" s="14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7">
        <v>30</v>
      </c>
      <c r="B38" s="44"/>
      <c r="C38" s="14"/>
      <c r="D38" s="14"/>
      <c r="E38" s="15"/>
      <c r="F38" s="13">
        <f t="shared" si="0"/>
        <v>0</v>
      </c>
      <c r="G38" s="19"/>
      <c r="H38" s="14"/>
      <c r="I38" s="14"/>
      <c r="J38" s="14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49">
        <v>31</v>
      </c>
      <c r="B39" s="45"/>
      <c r="C39" s="16"/>
      <c r="D39" s="45"/>
      <c r="E39" s="17"/>
      <c r="F39" s="13">
        <f t="shared" si="0"/>
        <v>0</v>
      </c>
      <c r="G39" s="19"/>
      <c r="H39" s="14"/>
      <c r="I39" s="14"/>
      <c r="J39" s="14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35</v>
      </c>
      <c r="C40" s="52">
        <f t="shared" ref="C40:E40" si="3">SUM(C9:C39)</f>
        <v>0</v>
      </c>
      <c r="D40" s="52">
        <f t="shared" si="3"/>
        <v>1</v>
      </c>
      <c r="E40" s="52">
        <f t="shared" si="3"/>
        <v>0</v>
      </c>
      <c r="F40" s="51">
        <f>SUM(F9:F39)</f>
        <v>36</v>
      </c>
      <c r="G40" s="12">
        <f>SUM(G9:G39)</f>
        <v>70</v>
      </c>
      <c r="H40" s="12">
        <f t="shared" ref="H40:L40" si="4">SUM(H9:H39)</f>
        <v>0</v>
      </c>
      <c r="I40" s="12">
        <f t="shared" si="4"/>
        <v>1</v>
      </c>
      <c r="J40" s="12">
        <f t="shared" si="4"/>
        <v>0</v>
      </c>
      <c r="K40" s="12">
        <f t="shared" si="4"/>
        <v>71</v>
      </c>
      <c r="L40" s="12">
        <f t="shared" si="4"/>
        <v>107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2"/>
      <c r="B42" s="82"/>
      <c r="C42" s="82"/>
      <c r="D42" s="82"/>
      <c r="E42" s="82"/>
      <c r="F42" s="82"/>
      <c r="G42" s="83" t="s">
        <v>16</v>
      </c>
      <c r="H42" s="84"/>
      <c r="I42" s="84" t="s">
        <v>17</v>
      </c>
      <c r="J42" s="85"/>
      <c r="K42" s="7"/>
      <c r="L42" s="9"/>
    </row>
    <row r="43" spans="1:12" ht="15" customHeight="1" thickBot="1" x14ac:dyDescent="0.3">
      <c r="A43" s="10"/>
      <c r="B43" s="69" t="s">
        <v>18</v>
      </c>
      <c r="C43" s="70"/>
      <c r="D43" s="70"/>
      <c r="E43" s="70"/>
      <c r="F43" s="70"/>
      <c r="G43" s="80">
        <v>321</v>
      </c>
      <c r="H43" s="86"/>
      <c r="I43" s="87"/>
      <c r="J43" s="88"/>
      <c r="K43" s="7"/>
      <c r="L43" s="9"/>
    </row>
    <row r="44" spans="1:12" ht="15" customHeight="1" thickBot="1" x14ac:dyDescent="0.3">
      <c r="A44" s="10"/>
      <c r="B44" s="69" t="s">
        <v>19</v>
      </c>
      <c r="C44" s="70"/>
      <c r="D44" s="70"/>
      <c r="E44" s="70"/>
      <c r="F44" s="70"/>
      <c r="G44" s="73">
        <v>0</v>
      </c>
      <c r="H44" s="72"/>
      <c r="I44" s="73"/>
      <c r="J44" s="72"/>
      <c r="K44" s="7"/>
      <c r="L44" s="9"/>
    </row>
    <row r="45" spans="1:12" ht="15" customHeight="1" thickBot="1" x14ac:dyDescent="0.3">
      <c r="A45" s="10"/>
      <c r="B45" s="77" t="s">
        <v>20</v>
      </c>
      <c r="C45" s="77"/>
      <c r="D45" s="77"/>
      <c r="E45" s="77"/>
      <c r="F45" s="69"/>
      <c r="G45" s="78">
        <v>0</v>
      </c>
      <c r="H45" s="79"/>
      <c r="I45" s="80"/>
      <c r="J45" s="81"/>
      <c r="K45" s="7"/>
      <c r="L45" s="9"/>
    </row>
    <row r="46" spans="1:12" ht="15" customHeight="1" thickBot="1" x14ac:dyDescent="0.3">
      <c r="A46" s="10"/>
      <c r="B46" s="69" t="s">
        <v>21</v>
      </c>
      <c r="C46" s="70"/>
      <c r="D46" s="70"/>
      <c r="E46" s="70"/>
      <c r="F46" s="70"/>
      <c r="G46" s="71">
        <f>L40+G45</f>
        <v>107</v>
      </c>
      <c r="H46" s="72"/>
      <c r="I46" s="73"/>
      <c r="J46" s="72"/>
      <c r="K46" s="7"/>
      <c r="L46" s="9"/>
    </row>
    <row r="47" spans="1:12" ht="15" customHeight="1" thickBot="1" x14ac:dyDescent="0.3">
      <c r="A47" s="3"/>
      <c r="B47" s="69" t="s">
        <v>22</v>
      </c>
      <c r="C47" s="70"/>
      <c r="D47" s="70"/>
      <c r="E47" s="70"/>
      <c r="F47" s="70"/>
      <c r="G47" s="71">
        <f>G43+G44-G46</f>
        <v>214</v>
      </c>
      <c r="H47" s="72"/>
      <c r="I47" s="73"/>
      <c r="J47" s="72"/>
      <c r="K47" s="7"/>
      <c r="L47" s="2"/>
    </row>
    <row r="48" spans="1:12" ht="15" customHeight="1" thickBot="1" x14ac:dyDescent="0.3">
      <c r="A48" s="3"/>
      <c r="B48" s="69" t="s">
        <v>23</v>
      </c>
      <c r="C48" s="70"/>
      <c r="D48" s="70"/>
      <c r="E48" s="70"/>
      <c r="F48" s="70"/>
      <c r="G48" s="71">
        <v>214</v>
      </c>
      <c r="H48" s="72"/>
      <c r="I48" s="73"/>
      <c r="J48" s="72"/>
      <c r="K48" s="7"/>
      <c r="L48" s="2"/>
    </row>
    <row r="49" spans="1:12" ht="15" customHeight="1" thickBot="1" x14ac:dyDescent="0.3">
      <c r="A49" s="3"/>
      <c r="B49" s="69" t="s">
        <v>24</v>
      </c>
      <c r="C49" s="70"/>
      <c r="D49" s="70"/>
      <c r="E49" s="70"/>
      <c r="F49" s="70"/>
      <c r="G49" s="74">
        <f>G47-G48</f>
        <v>0</v>
      </c>
      <c r="H49" s="75"/>
      <c r="I49" s="76"/>
      <c r="J49" s="75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BFF48-00BC-419E-8391-D515B4A2FE9A}">
  <dimension ref="A1:L52"/>
  <sheetViews>
    <sheetView topLeftCell="A16" workbookViewId="0">
      <selection activeCell="G50" sqref="G50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22"/>
      <c r="F1" s="23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22"/>
      <c r="F2" s="23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22"/>
      <c r="F3" s="23"/>
      <c r="G3" s="91" t="s">
        <v>27</v>
      </c>
      <c r="H3" s="91"/>
      <c r="I3" s="91"/>
      <c r="J3" s="91"/>
      <c r="K3" s="91"/>
      <c r="L3" s="91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9" t="s">
        <v>5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6.5" thickBot="1" x14ac:dyDescent="0.3">
      <c r="A6" s="90" t="s">
        <v>31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6">
        <v>1</v>
      </c>
      <c r="B9" s="43">
        <v>1</v>
      </c>
      <c r="C9" s="54"/>
      <c r="D9" s="54"/>
      <c r="E9" s="56"/>
      <c r="F9" s="13">
        <f>SUM(B9:E9)</f>
        <v>1</v>
      </c>
      <c r="G9" s="31">
        <v>1</v>
      </c>
      <c r="H9" s="35"/>
      <c r="I9" s="55">
        <v>1</v>
      </c>
      <c r="J9" s="55"/>
      <c r="K9" s="11">
        <f>SUM(G9:J9)</f>
        <v>2</v>
      </c>
      <c r="L9" s="5">
        <f>SUM(F9+K9)</f>
        <v>3</v>
      </c>
    </row>
    <row r="10" spans="1:12" ht="15" customHeight="1" thickBot="1" x14ac:dyDescent="0.3">
      <c r="A10" s="6">
        <v>2</v>
      </c>
      <c r="B10" s="40">
        <v>1</v>
      </c>
      <c r="C10" s="42"/>
      <c r="D10" s="42"/>
      <c r="E10" s="39"/>
      <c r="F10" s="13">
        <f t="shared" ref="F10:F39" si="0">SUM(B10:E10)</f>
        <v>1</v>
      </c>
      <c r="G10" s="19">
        <v>1</v>
      </c>
      <c r="H10" s="38"/>
      <c r="I10" s="53"/>
      <c r="J10" s="53"/>
      <c r="K10" s="11">
        <f t="shared" ref="K10:K39" si="1">SUM(G10:J10)</f>
        <v>1</v>
      </c>
      <c r="L10" s="5">
        <f t="shared" ref="L10:L39" si="2">SUM(F10+K10)</f>
        <v>2</v>
      </c>
    </row>
    <row r="11" spans="1:12" ht="15" customHeight="1" thickBot="1" x14ac:dyDescent="0.3">
      <c r="A11" s="47">
        <v>3</v>
      </c>
      <c r="B11" s="40">
        <v>5</v>
      </c>
      <c r="C11" s="42"/>
      <c r="D11" s="42"/>
      <c r="E11" s="39"/>
      <c r="F11" s="13">
        <f t="shared" si="0"/>
        <v>5</v>
      </c>
      <c r="G11" s="19"/>
      <c r="H11" s="38"/>
      <c r="I11" s="53"/>
      <c r="J11" s="53"/>
      <c r="K11" s="11">
        <f t="shared" si="1"/>
        <v>0</v>
      </c>
      <c r="L11" s="5">
        <f t="shared" si="2"/>
        <v>5</v>
      </c>
    </row>
    <row r="12" spans="1:12" ht="15" customHeight="1" thickBot="1" x14ac:dyDescent="0.3">
      <c r="A12" s="47">
        <v>4</v>
      </c>
      <c r="B12" s="40">
        <v>1</v>
      </c>
      <c r="C12" s="42"/>
      <c r="D12" s="42"/>
      <c r="E12" s="39"/>
      <c r="F12" s="13">
        <f t="shared" si="0"/>
        <v>1</v>
      </c>
      <c r="G12" s="32">
        <v>2</v>
      </c>
      <c r="H12" s="38"/>
      <c r="I12" s="53"/>
      <c r="J12" s="53"/>
      <c r="K12" s="11">
        <f t="shared" si="1"/>
        <v>2</v>
      </c>
      <c r="L12" s="5">
        <f t="shared" si="2"/>
        <v>3</v>
      </c>
    </row>
    <row r="13" spans="1:12" ht="15" customHeight="1" thickBot="1" x14ac:dyDescent="0.3">
      <c r="A13" s="47">
        <v>5</v>
      </c>
      <c r="B13" s="40"/>
      <c r="C13" s="42"/>
      <c r="D13" s="42"/>
      <c r="E13" s="39"/>
      <c r="F13" s="13">
        <f t="shared" si="0"/>
        <v>0</v>
      </c>
      <c r="G13" s="38">
        <v>2</v>
      </c>
      <c r="H13" s="38"/>
      <c r="I13" s="53"/>
      <c r="J13" s="53"/>
      <c r="K13" s="11">
        <f t="shared" si="1"/>
        <v>2</v>
      </c>
      <c r="L13" s="5">
        <f t="shared" si="2"/>
        <v>2</v>
      </c>
    </row>
    <row r="14" spans="1:12" ht="15" customHeight="1" thickBot="1" x14ac:dyDescent="0.3">
      <c r="A14" s="47">
        <v>6</v>
      </c>
      <c r="B14" s="40"/>
      <c r="C14" s="42"/>
      <c r="D14" s="42"/>
      <c r="E14" s="39"/>
      <c r="F14" s="13">
        <f t="shared" si="0"/>
        <v>0</v>
      </c>
      <c r="G14" s="38"/>
      <c r="H14" s="38"/>
      <c r="I14" s="53"/>
      <c r="J14" s="53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40"/>
      <c r="C15" s="42"/>
      <c r="D15" s="42"/>
      <c r="E15" s="39"/>
      <c r="F15" s="13">
        <f t="shared" si="0"/>
        <v>0</v>
      </c>
      <c r="G15" s="38"/>
      <c r="H15" s="38"/>
      <c r="I15" s="53"/>
      <c r="J15" s="53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7">
        <v>8</v>
      </c>
      <c r="B16" s="40"/>
      <c r="C16" s="42"/>
      <c r="D16" s="42"/>
      <c r="E16" s="39"/>
      <c r="F16" s="13">
        <f t="shared" si="0"/>
        <v>0</v>
      </c>
      <c r="G16" s="38"/>
      <c r="H16" s="38"/>
      <c r="I16" s="53"/>
      <c r="J16" s="53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7">
        <v>9</v>
      </c>
      <c r="B17" s="40"/>
      <c r="C17" s="42"/>
      <c r="D17" s="42"/>
      <c r="E17" s="39"/>
      <c r="F17" s="13">
        <f t="shared" si="0"/>
        <v>0</v>
      </c>
      <c r="G17" s="38"/>
      <c r="H17" s="38"/>
      <c r="I17" s="53"/>
      <c r="J17" s="53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7">
        <v>10</v>
      </c>
      <c r="B18" s="40">
        <v>10</v>
      </c>
      <c r="C18" s="42"/>
      <c r="D18" s="42"/>
      <c r="E18" s="39"/>
      <c r="F18" s="13">
        <f t="shared" si="0"/>
        <v>10</v>
      </c>
      <c r="G18" s="40"/>
      <c r="H18" s="40"/>
      <c r="I18" s="53"/>
      <c r="J18" s="53"/>
      <c r="K18" s="11">
        <f t="shared" si="1"/>
        <v>0</v>
      </c>
      <c r="L18" s="5">
        <f t="shared" si="2"/>
        <v>10</v>
      </c>
    </row>
    <row r="19" spans="1:12" ht="15" customHeight="1" thickBot="1" x14ac:dyDescent="0.3">
      <c r="A19" s="47">
        <v>11</v>
      </c>
      <c r="B19" s="40"/>
      <c r="C19" s="42"/>
      <c r="D19" s="42"/>
      <c r="E19" s="39"/>
      <c r="F19" s="13">
        <f t="shared" si="0"/>
        <v>0</v>
      </c>
      <c r="G19" s="19"/>
      <c r="H19" s="38"/>
      <c r="I19" s="53"/>
      <c r="J19" s="53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40"/>
      <c r="C20" s="42"/>
      <c r="D20" s="42"/>
      <c r="E20" s="39"/>
      <c r="F20" s="13">
        <f t="shared" si="0"/>
        <v>0</v>
      </c>
      <c r="G20" s="19"/>
      <c r="H20" s="38"/>
      <c r="I20" s="57"/>
      <c r="J20" s="57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7">
        <v>13</v>
      </c>
      <c r="B21" s="40"/>
      <c r="C21" s="42"/>
      <c r="D21" s="42"/>
      <c r="E21" s="39"/>
      <c r="F21" s="13">
        <f t="shared" si="0"/>
        <v>0</v>
      </c>
      <c r="G21" s="21"/>
      <c r="H21" s="41"/>
      <c r="I21" s="53"/>
      <c r="J21" s="53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7">
        <v>14</v>
      </c>
      <c r="B22" s="40"/>
      <c r="C22" s="42"/>
      <c r="D22" s="42"/>
      <c r="E22" s="39"/>
      <c r="F22" s="13">
        <f t="shared" si="0"/>
        <v>0</v>
      </c>
      <c r="G22" s="21"/>
      <c r="H22" s="53"/>
      <c r="I22" s="53"/>
      <c r="J22" s="53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7">
        <v>15</v>
      </c>
      <c r="B23" s="40"/>
      <c r="C23" s="42"/>
      <c r="D23" s="42"/>
      <c r="E23" s="39"/>
      <c r="F23" s="13">
        <f t="shared" si="0"/>
        <v>0</v>
      </c>
      <c r="G23" s="19">
        <v>1</v>
      </c>
      <c r="H23" s="53"/>
      <c r="I23" s="53"/>
      <c r="J23" s="53"/>
      <c r="K23" s="11">
        <f t="shared" si="1"/>
        <v>1</v>
      </c>
      <c r="L23" s="5">
        <f t="shared" si="2"/>
        <v>1</v>
      </c>
    </row>
    <row r="24" spans="1:12" ht="15" customHeight="1" thickBot="1" x14ac:dyDescent="0.3">
      <c r="A24" s="47">
        <v>16</v>
      </c>
      <c r="B24" s="40">
        <v>3</v>
      </c>
      <c r="C24" s="42"/>
      <c r="D24" s="42"/>
      <c r="E24" s="39"/>
      <c r="F24" s="13">
        <f t="shared" si="0"/>
        <v>3</v>
      </c>
      <c r="G24" s="19">
        <v>1</v>
      </c>
      <c r="H24" s="53"/>
      <c r="I24" s="53"/>
      <c r="J24" s="53"/>
      <c r="K24" s="11">
        <f t="shared" si="1"/>
        <v>1</v>
      </c>
      <c r="L24" s="5">
        <f t="shared" si="2"/>
        <v>4</v>
      </c>
    </row>
    <row r="25" spans="1:12" ht="15" customHeight="1" thickBot="1" x14ac:dyDescent="0.3">
      <c r="A25" s="47">
        <v>17</v>
      </c>
      <c r="B25" s="40"/>
      <c r="C25" s="40"/>
      <c r="D25" s="42"/>
      <c r="E25" s="39"/>
      <c r="F25" s="13">
        <f t="shared" si="0"/>
        <v>0</v>
      </c>
      <c r="G25" s="19"/>
      <c r="H25" s="53"/>
      <c r="I25" s="53"/>
      <c r="J25" s="53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7">
        <v>18</v>
      </c>
      <c r="B26" s="40"/>
      <c r="C26" s="42"/>
      <c r="D26" s="42"/>
      <c r="E26" s="39"/>
      <c r="F26" s="13">
        <f t="shared" si="0"/>
        <v>0</v>
      </c>
      <c r="G26" s="19"/>
      <c r="H26" s="53"/>
      <c r="I26" s="53"/>
      <c r="J26" s="53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40">
        <v>1</v>
      </c>
      <c r="C27" s="42"/>
      <c r="D27" s="42"/>
      <c r="E27" s="39"/>
      <c r="F27" s="13">
        <f t="shared" si="0"/>
        <v>1</v>
      </c>
      <c r="G27" s="19"/>
      <c r="H27" s="53"/>
      <c r="I27" s="53"/>
      <c r="J27" s="53"/>
      <c r="K27" s="11">
        <f t="shared" si="1"/>
        <v>0</v>
      </c>
      <c r="L27" s="5">
        <f t="shared" si="2"/>
        <v>1</v>
      </c>
    </row>
    <row r="28" spans="1:12" ht="15" customHeight="1" thickBot="1" x14ac:dyDescent="0.3">
      <c r="A28" s="47">
        <v>20</v>
      </c>
      <c r="B28" s="40"/>
      <c r="C28" s="42"/>
      <c r="D28" s="42"/>
      <c r="E28" s="39"/>
      <c r="F28" s="13">
        <f t="shared" si="0"/>
        <v>0</v>
      </c>
      <c r="G28" s="19"/>
      <c r="H28" s="53"/>
      <c r="I28" s="53"/>
      <c r="J28" s="53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7">
        <v>21</v>
      </c>
      <c r="B29" s="40"/>
      <c r="C29" s="42"/>
      <c r="D29" s="42"/>
      <c r="E29" s="39"/>
      <c r="F29" s="13">
        <f t="shared" si="0"/>
        <v>0</v>
      </c>
      <c r="G29" s="19"/>
      <c r="H29" s="53"/>
      <c r="I29" s="53"/>
      <c r="J29" s="53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7">
        <v>22</v>
      </c>
      <c r="B30" s="40"/>
      <c r="C30" s="42"/>
      <c r="D30" s="42"/>
      <c r="E30" s="39"/>
      <c r="F30" s="13">
        <f t="shared" si="0"/>
        <v>0</v>
      </c>
      <c r="G30" s="19"/>
      <c r="H30" s="53"/>
      <c r="I30" s="53"/>
      <c r="J30" s="53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7">
        <v>23</v>
      </c>
      <c r="B31" s="40">
        <v>3</v>
      </c>
      <c r="C31" s="42"/>
      <c r="D31" s="42"/>
      <c r="E31" s="39"/>
      <c r="F31" s="13">
        <f t="shared" si="0"/>
        <v>3</v>
      </c>
      <c r="G31" s="19"/>
      <c r="H31" s="53"/>
      <c r="I31" s="53"/>
      <c r="J31" s="53"/>
      <c r="K31" s="11">
        <f t="shared" si="1"/>
        <v>0</v>
      </c>
      <c r="L31" s="5">
        <f t="shared" si="2"/>
        <v>3</v>
      </c>
    </row>
    <row r="32" spans="1:12" ht="15" customHeight="1" thickBot="1" x14ac:dyDescent="0.3">
      <c r="A32" s="47">
        <v>24</v>
      </c>
      <c r="B32" s="40"/>
      <c r="C32" s="42"/>
      <c r="D32" s="42"/>
      <c r="E32" s="39"/>
      <c r="F32" s="13">
        <f t="shared" si="0"/>
        <v>0</v>
      </c>
      <c r="G32" s="19"/>
      <c r="H32" s="53"/>
      <c r="I32" s="53"/>
      <c r="J32" s="53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7">
        <v>25</v>
      </c>
      <c r="B33" s="40">
        <v>2</v>
      </c>
      <c r="C33" s="42"/>
      <c r="D33" s="42"/>
      <c r="E33" s="39"/>
      <c r="F33" s="13">
        <f t="shared" si="0"/>
        <v>2</v>
      </c>
      <c r="G33" s="19"/>
      <c r="H33" s="53"/>
      <c r="I33" s="53"/>
      <c r="J33" s="53"/>
      <c r="K33" s="11">
        <f t="shared" si="1"/>
        <v>0</v>
      </c>
      <c r="L33" s="5">
        <f t="shared" si="2"/>
        <v>2</v>
      </c>
    </row>
    <row r="34" spans="1:12" ht="15" customHeight="1" thickBot="1" x14ac:dyDescent="0.3">
      <c r="A34" s="47">
        <v>26</v>
      </c>
      <c r="B34" s="40">
        <v>1</v>
      </c>
      <c r="C34" s="42"/>
      <c r="D34" s="42">
        <v>2</v>
      </c>
      <c r="E34" s="39"/>
      <c r="F34" s="13">
        <f t="shared" si="0"/>
        <v>3</v>
      </c>
      <c r="G34" s="19">
        <v>1</v>
      </c>
      <c r="H34" s="38"/>
      <c r="I34" s="53"/>
      <c r="J34" s="53"/>
      <c r="K34" s="11">
        <f t="shared" si="1"/>
        <v>1</v>
      </c>
      <c r="L34" s="5">
        <f t="shared" si="2"/>
        <v>4</v>
      </c>
    </row>
    <row r="35" spans="1:12" ht="15" customHeight="1" thickBot="1" x14ac:dyDescent="0.3">
      <c r="A35" s="47">
        <v>27</v>
      </c>
      <c r="B35" s="44"/>
      <c r="C35" s="42"/>
      <c r="D35" s="42"/>
      <c r="E35" s="39"/>
      <c r="F35" s="13">
        <f t="shared" si="0"/>
        <v>0</v>
      </c>
      <c r="G35" s="30"/>
      <c r="H35" s="38"/>
      <c r="I35" s="53"/>
      <c r="J35" s="53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7">
        <v>28</v>
      </c>
      <c r="B36" s="44"/>
      <c r="C36" s="53"/>
      <c r="D36" s="53"/>
      <c r="E36" s="58"/>
      <c r="F36" s="13">
        <f t="shared" si="0"/>
        <v>0</v>
      </c>
      <c r="G36" s="19"/>
      <c r="H36" s="53"/>
      <c r="I36" s="53"/>
      <c r="J36" s="53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7">
        <v>29</v>
      </c>
      <c r="B37" s="44"/>
      <c r="C37" s="53"/>
      <c r="D37" s="53">
        <v>1</v>
      </c>
      <c r="E37" s="58"/>
      <c r="F37" s="13">
        <f t="shared" si="0"/>
        <v>1</v>
      </c>
      <c r="G37" s="19"/>
      <c r="H37" s="53"/>
      <c r="I37" s="53"/>
      <c r="J37" s="53"/>
      <c r="K37" s="11">
        <f t="shared" si="1"/>
        <v>0</v>
      </c>
      <c r="L37" s="5">
        <f t="shared" si="2"/>
        <v>1</v>
      </c>
    </row>
    <row r="38" spans="1:12" ht="15" customHeight="1" thickBot="1" x14ac:dyDescent="0.3">
      <c r="A38" s="47">
        <v>30</v>
      </c>
      <c r="B38" s="44"/>
      <c r="C38" s="53"/>
      <c r="D38" s="53"/>
      <c r="E38" s="58"/>
      <c r="F38" s="13">
        <f t="shared" si="0"/>
        <v>0</v>
      </c>
      <c r="G38" s="19"/>
      <c r="H38" s="53"/>
      <c r="I38" s="53"/>
      <c r="J38" s="53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49">
        <v>31</v>
      </c>
      <c r="B39" s="45">
        <v>3</v>
      </c>
      <c r="C39" s="59"/>
      <c r="D39" s="45"/>
      <c r="E39" s="60"/>
      <c r="F39" s="13">
        <f t="shared" si="0"/>
        <v>3</v>
      </c>
      <c r="G39" s="19">
        <v>1</v>
      </c>
      <c r="H39" s="53"/>
      <c r="I39" s="53"/>
      <c r="J39" s="53"/>
      <c r="K39" s="11">
        <f t="shared" si="1"/>
        <v>1</v>
      </c>
      <c r="L39" s="5">
        <f t="shared" si="2"/>
        <v>4</v>
      </c>
    </row>
    <row r="40" spans="1:12" ht="15.75" thickBot="1" x14ac:dyDescent="0.3">
      <c r="A40" s="48"/>
      <c r="B40" s="52">
        <f>SUM(B9:B39)</f>
        <v>31</v>
      </c>
      <c r="C40" s="52">
        <f t="shared" ref="C40:E40" si="3">SUM(C9:C39)</f>
        <v>0</v>
      </c>
      <c r="D40" s="52">
        <f t="shared" si="3"/>
        <v>3</v>
      </c>
      <c r="E40" s="52">
        <f t="shared" si="3"/>
        <v>0</v>
      </c>
      <c r="F40" s="51">
        <f>SUM(F9:F39)</f>
        <v>34</v>
      </c>
      <c r="G40" s="12">
        <f>SUM(G9:G39)</f>
        <v>10</v>
      </c>
      <c r="H40" s="12">
        <f t="shared" ref="H40:L40" si="4">SUM(H9:H39)</f>
        <v>0</v>
      </c>
      <c r="I40" s="12">
        <f t="shared" si="4"/>
        <v>1</v>
      </c>
      <c r="J40" s="12">
        <f t="shared" si="4"/>
        <v>0</v>
      </c>
      <c r="K40" s="12">
        <f t="shared" si="4"/>
        <v>11</v>
      </c>
      <c r="L40" s="12">
        <f t="shared" si="4"/>
        <v>45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2"/>
      <c r="B42" s="82"/>
      <c r="C42" s="82"/>
      <c r="D42" s="82"/>
      <c r="E42" s="82"/>
      <c r="F42" s="82"/>
      <c r="G42" s="83" t="s">
        <v>16</v>
      </c>
      <c r="H42" s="84"/>
      <c r="I42" s="84" t="s">
        <v>17</v>
      </c>
      <c r="J42" s="85"/>
      <c r="K42" s="7"/>
      <c r="L42" s="9"/>
    </row>
    <row r="43" spans="1:12" ht="15" customHeight="1" thickBot="1" x14ac:dyDescent="0.3">
      <c r="A43" s="10"/>
      <c r="B43" s="69" t="s">
        <v>18</v>
      </c>
      <c r="C43" s="70"/>
      <c r="D43" s="70"/>
      <c r="E43" s="70"/>
      <c r="F43" s="70"/>
      <c r="G43" s="80">
        <v>214</v>
      </c>
      <c r="H43" s="86"/>
      <c r="I43" s="87"/>
      <c r="J43" s="88"/>
      <c r="K43" s="7"/>
      <c r="L43" s="9"/>
    </row>
    <row r="44" spans="1:12" ht="15" customHeight="1" thickBot="1" x14ac:dyDescent="0.3">
      <c r="A44" s="10"/>
      <c r="B44" s="69" t="s">
        <v>19</v>
      </c>
      <c r="C44" s="70"/>
      <c r="D44" s="70"/>
      <c r="E44" s="70"/>
      <c r="F44" s="70"/>
      <c r="G44" s="73">
        <v>0</v>
      </c>
      <c r="H44" s="72"/>
      <c r="I44" s="73"/>
      <c r="J44" s="72"/>
      <c r="K44" s="7"/>
      <c r="L44" s="9"/>
    </row>
    <row r="45" spans="1:12" ht="15" customHeight="1" thickBot="1" x14ac:dyDescent="0.3">
      <c r="A45" s="10"/>
      <c r="B45" s="77" t="s">
        <v>20</v>
      </c>
      <c r="C45" s="77"/>
      <c r="D45" s="77"/>
      <c r="E45" s="77"/>
      <c r="F45" s="69"/>
      <c r="G45" s="78">
        <v>0</v>
      </c>
      <c r="H45" s="79"/>
      <c r="I45" s="80"/>
      <c r="J45" s="81"/>
      <c r="K45" s="7"/>
      <c r="L45" s="9"/>
    </row>
    <row r="46" spans="1:12" ht="15" customHeight="1" thickBot="1" x14ac:dyDescent="0.3">
      <c r="A46" s="10"/>
      <c r="B46" s="69" t="s">
        <v>21</v>
      </c>
      <c r="C46" s="70"/>
      <c r="D46" s="70"/>
      <c r="E46" s="70"/>
      <c r="F46" s="70"/>
      <c r="G46" s="71">
        <f>L40+G45</f>
        <v>45</v>
      </c>
      <c r="H46" s="72"/>
      <c r="I46" s="73"/>
      <c r="J46" s="72"/>
      <c r="K46" s="7"/>
      <c r="L46" s="9"/>
    </row>
    <row r="47" spans="1:12" ht="15" customHeight="1" thickBot="1" x14ac:dyDescent="0.3">
      <c r="A47" s="3"/>
      <c r="B47" s="69" t="s">
        <v>22</v>
      </c>
      <c r="C47" s="70"/>
      <c r="D47" s="70"/>
      <c r="E47" s="70"/>
      <c r="F47" s="70"/>
      <c r="G47" s="71">
        <f>G43+G44-G46</f>
        <v>169</v>
      </c>
      <c r="H47" s="72"/>
      <c r="I47" s="73"/>
      <c r="J47" s="72"/>
      <c r="K47" s="7"/>
      <c r="L47" s="2"/>
    </row>
    <row r="48" spans="1:12" ht="15" customHeight="1" thickBot="1" x14ac:dyDescent="0.3">
      <c r="A48" s="3"/>
      <c r="B48" s="69" t="s">
        <v>23</v>
      </c>
      <c r="C48" s="70"/>
      <c r="D48" s="70"/>
      <c r="E48" s="70"/>
      <c r="F48" s="70"/>
      <c r="G48" s="71">
        <v>169</v>
      </c>
      <c r="H48" s="72"/>
      <c r="I48" s="73"/>
      <c r="J48" s="72"/>
      <c r="K48" s="7"/>
      <c r="L48" s="2"/>
    </row>
    <row r="49" spans="1:12" ht="15" customHeight="1" thickBot="1" x14ac:dyDescent="0.3">
      <c r="A49" s="3"/>
      <c r="B49" s="69" t="s">
        <v>24</v>
      </c>
      <c r="C49" s="70"/>
      <c r="D49" s="70"/>
      <c r="E49" s="70"/>
      <c r="F49" s="70"/>
      <c r="G49" s="74">
        <f>G47-G48</f>
        <v>0</v>
      </c>
      <c r="H49" s="75"/>
      <c r="I49" s="76"/>
      <c r="J49" s="75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1AF8D-E42B-49F4-9FB8-5130A136BA40}">
  <dimension ref="A1:L53"/>
  <sheetViews>
    <sheetView topLeftCell="A35" workbookViewId="0">
      <selection activeCell="A53" sqref="A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22"/>
      <c r="F1" s="23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22"/>
      <c r="F2" s="23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22"/>
      <c r="F3" s="23"/>
      <c r="G3" s="91" t="s">
        <v>27</v>
      </c>
      <c r="H3" s="91"/>
      <c r="I3" s="91"/>
      <c r="J3" s="91"/>
      <c r="K3" s="91"/>
      <c r="L3" s="91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9" t="s">
        <v>5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6.5" thickBot="1" x14ac:dyDescent="0.3">
      <c r="A6" s="90" t="s">
        <v>32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6">
        <v>1</v>
      </c>
      <c r="B9" s="43">
        <v>3</v>
      </c>
      <c r="C9" s="54"/>
      <c r="D9" s="54"/>
      <c r="E9" s="56"/>
      <c r="F9" s="13">
        <f>SUM(B9:E9)</f>
        <v>3</v>
      </c>
      <c r="G9" s="31"/>
      <c r="H9" s="35"/>
      <c r="I9" s="55"/>
      <c r="J9" s="55"/>
      <c r="K9" s="11">
        <f>SUM(G9:J9)</f>
        <v>0</v>
      </c>
      <c r="L9" s="5">
        <f>SUM(F9+K9)</f>
        <v>3</v>
      </c>
    </row>
    <row r="10" spans="1:12" ht="15" customHeight="1" thickBot="1" x14ac:dyDescent="0.3">
      <c r="A10" s="6">
        <v>2</v>
      </c>
      <c r="B10" s="40"/>
      <c r="C10" s="42"/>
      <c r="D10" s="42"/>
      <c r="E10" s="39"/>
      <c r="F10" s="13">
        <f t="shared" ref="F10:F39" si="0">SUM(B10:E10)</f>
        <v>0</v>
      </c>
      <c r="G10" s="19"/>
      <c r="H10" s="38"/>
      <c r="I10" s="53"/>
      <c r="J10" s="53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7">
        <v>3</v>
      </c>
      <c r="B11" s="40"/>
      <c r="C11" s="42"/>
      <c r="D11" s="42"/>
      <c r="E11" s="39"/>
      <c r="F11" s="13">
        <f t="shared" si="0"/>
        <v>0</v>
      </c>
      <c r="G11" s="19"/>
      <c r="H11" s="38"/>
      <c r="I11" s="53"/>
      <c r="J11" s="53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7">
        <v>4</v>
      </c>
      <c r="B12" s="40"/>
      <c r="C12" s="42"/>
      <c r="D12" s="42"/>
      <c r="E12" s="39"/>
      <c r="F12" s="13">
        <f t="shared" si="0"/>
        <v>0</v>
      </c>
      <c r="G12" s="32"/>
      <c r="H12" s="38"/>
      <c r="I12" s="53"/>
      <c r="J12" s="53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7">
        <v>5</v>
      </c>
      <c r="B13" s="40">
        <v>2</v>
      </c>
      <c r="C13" s="42"/>
      <c r="D13" s="42"/>
      <c r="E13" s="39"/>
      <c r="F13" s="13">
        <f t="shared" si="0"/>
        <v>2</v>
      </c>
      <c r="G13" s="38">
        <v>3</v>
      </c>
      <c r="H13" s="38"/>
      <c r="I13" s="53">
        <v>1</v>
      </c>
      <c r="J13" s="53"/>
      <c r="K13" s="11">
        <f t="shared" si="1"/>
        <v>4</v>
      </c>
      <c r="L13" s="5">
        <f t="shared" si="2"/>
        <v>6</v>
      </c>
    </row>
    <row r="14" spans="1:12" ht="15" customHeight="1" thickBot="1" x14ac:dyDescent="0.3">
      <c r="A14" s="47">
        <v>6</v>
      </c>
      <c r="B14" s="40"/>
      <c r="C14" s="42"/>
      <c r="D14" s="42"/>
      <c r="E14" s="39"/>
      <c r="F14" s="13">
        <f t="shared" si="0"/>
        <v>0</v>
      </c>
      <c r="G14" s="38"/>
      <c r="H14" s="38"/>
      <c r="I14" s="53"/>
      <c r="J14" s="53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40">
        <v>5</v>
      </c>
      <c r="C15" s="42"/>
      <c r="D15" s="42"/>
      <c r="E15" s="39"/>
      <c r="F15" s="13">
        <f t="shared" si="0"/>
        <v>5</v>
      </c>
      <c r="G15" s="38">
        <v>7</v>
      </c>
      <c r="H15" s="38"/>
      <c r="I15" s="53"/>
      <c r="J15" s="53"/>
      <c r="K15" s="11">
        <f t="shared" si="1"/>
        <v>7</v>
      </c>
      <c r="L15" s="5">
        <f t="shared" si="2"/>
        <v>12</v>
      </c>
    </row>
    <row r="16" spans="1:12" ht="15" customHeight="1" thickBot="1" x14ac:dyDescent="0.3">
      <c r="A16" s="47">
        <v>8</v>
      </c>
      <c r="B16" s="40"/>
      <c r="C16" s="42"/>
      <c r="D16" s="42"/>
      <c r="E16" s="39"/>
      <c r="F16" s="13">
        <f t="shared" si="0"/>
        <v>0</v>
      </c>
      <c r="G16" s="38">
        <v>12</v>
      </c>
      <c r="H16" s="38">
        <v>1</v>
      </c>
      <c r="I16" s="53"/>
      <c r="J16" s="53"/>
      <c r="K16" s="11">
        <f t="shared" si="1"/>
        <v>13</v>
      </c>
      <c r="L16" s="5">
        <f t="shared" si="2"/>
        <v>13</v>
      </c>
    </row>
    <row r="17" spans="1:12" ht="15" customHeight="1" thickBot="1" x14ac:dyDescent="0.3">
      <c r="A17" s="47">
        <v>9</v>
      </c>
      <c r="B17" s="40"/>
      <c r="C17" s="42"/>
      <c r="D17" s="42"/>
      <c r="E17" s="39"/>
      <c r="F17" s="13">
        <f t="shared" si="0"/>
        <v>0</v>
      </c>
      <c r="G17" s="38"/>
      <c r="H17" s="38"/>
      <c r="I17" s="53"/>
      <c r="J17" s="53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7">
        <v>10</v>
      </c>
      <c r="B18" s="40"/>
      <c r="C18" s="42"/>
      <c r="D18" s="42"/>
      <c r="E18" s="39"/>
      <c r="F18" s="13">
        <f t="shared" si="0"/>
        <v>0</v>
      </c>
      <c r="G18" s="40"/>
      <c r="H18" s="40"/>
      <c r="I18" s="53"/>
      <c r="J18" s="53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7">
        <v>11</v>
      </c>
      <c r="B19" s="40"/>
      <c r="C19" s="42"/>
      <c r="D19" s="42"/>
      <c r="E19" s="39"/>
      <c r="F19" s="13">
        <f t="shared" si="0"/>
        <v>0</v>
      </c>
      <c r="G19" s="19"/>
      <c r="H19" s="38"/>
      <c r="I19" s="53"/>
      <c r="J19" s="53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40">
        <v>2</v>
      </c>
      <c r="C20" s="42"/>
      <c r="D20" s="42">
        <v>2</v>
      </c>
      <c r="E20" s="39"/>
      <c r="F20" s="13">
        <f t="shared" si="0"/>
        <v>4</v>
      </c>
      <c r="G20" s="19"/>
      <c r="H20" s="38"/>
      <c r="I20" s="57"/>
      <c r="J20" s="57"/>
      <c r="K20" s="11">
        <f t="shared" si="1"/>
        <v>0</v>
      </c>
      <c r="L20" s="5">
        <f t="shared" si="2"/>
        <v>4</v>
      </c>
    </row>
    <row r="21" spans="1:12" ht="15" customHeight="1" thickBot="1" x14ac:dyDescent="0.3">
      <c r="A21" s="47">
        <v>13</v>
      </c>
      <c r="B21" s="40"/>
      <c r="C21" s="42"/>
      <c r="D21" s="42"/>
      <c r="E21" s="39"/>
      <c r="F21" s="13">
        <f t="shared" si="0"/>
        <v>0</v>
      </c>
      <c r="G21" s="21">
        <v>2</v>
      </c>
      <c r="H21" s="41"/>
      <c r="I21" s="53"/>
      <c r="J21" s="53"/>
      <c r="K21" s="11">
        <f t="shared" si="1"/>
        <v>2</v>
      </c>
      <c r="L21" s="5">
        <f t="shared" si="2"/>
        <v>2</v>
      </c>
    </row>
    <row r="22" spans="1:12" ht="15" customHeight="1" thickBot="1" x14ac:dyDescent="0.3">
      <c r="A22" s="47">
        <v>14</v>
      </c>
      <c r="B22" s="40">
        <v>1</v>
      </c>
      <c r="C22" s="42"/>
      <c r="D22" s="42"/>
      <c r="E22" s="39"/>
      <c r="F22" s="13">
        <f t="shared" si="0"/>
        <v>1</v>
      </c>
      <c r="G22" s="21"/>
      <c r="H22" s="53"/>
      <c r="I22" s="53"/>
      <c r="J22" s="53"/>
      <c r="K22" s="11">
        <f t="shared" si="1"/>
        <v>0</v>
      </c>
      <c r="L22" s="5">
        <f t="shared" si="2"/>
        <v>1</v>
      </c>
    </row>
    <row r="23" spans="1:12" ht="15" customHeight="1" thickBot="1" x14ac:dyDescent="0.3">
      <c r="A23" s="47">
        <v>15</v>
      </c>
      <c r="B23" s="40">
        <v>2</v>
      </c>
      <c r="C23" s="42"/>
      <c r="D23" s="42"/>
      <c r="E23" s="39"/>
      <c r="F23" s="13">
        <f t="shared" si="0"/>
        <v>2</v>
      </c>
      <c r="G23" s="19">
        <v>1</v>
      </c>
      <c r="H23" s="53">
        <v>1</v>
      </c>
      <c r="I23" s="53"/>
      <c r="J23" s="53"/>
      <c r="K23" s="11">
        <f t="shared" si="1"/>
        <v>2</v>
      </c>
      <c r="L23" s="5">
        <f t="shared" si="2"/>
        <v>4</v>
      </c>
    </row>
    <row r="24" spans="1:12" ht="15" customHeight="1" thickBot="1" x14ac:dyDescent="0.3">
      <c r="A24" s="47">
        <v>16</v>
      </c>
      <c r="B24" s="40">
        <v>2</v>
      </c>
      <c r="C24" s="42"/>
      <c r="D24" s="42"/>
      <c r="E24" s="39"/>
      <c r="F24" s="13">
        <f t="shared" si="0"/>
        <v>2</v>
      </c>
      <c r="G24" s="19"/>
      <c r="H24" s="53"/>
      <c r="I24" s="53"/>
      <c r="J24" s="53"/>
      <c r="K24" s="11">
        <f t="shared" si="1"/>
        <v>0</v>
      </c>
      <c r="L24" s="5">
        <f t="shared" si="2"/>
        <v>2</v>
      </c>
    </row>
    <row r="25" spans="1:12" ht="15" customHeight="1" thickBot="1" x14ac:dyDescent="0.3">
      <c r="A25" s="47">
        <v>17</v>
      </c>
      <c r="B25" s="40"/>
      <c r="C25" s="40"/>
      <c r="D25" s="42"/>
      <c r="E25" s="39"/>
      <c r="F25" s="13">
        <f t="shared" si="0"/>
        <v>0</v>
      </c>
      <c r="G25" s="19"/>
      <c r="H25" s="53"/>
      <c r="I25" s="53"/>
      <c r="J25" s="53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7">
        <v>18</v>
      </c>
      <c r="B26" s="40">
        <v>2</v>
      </c>
      <c r="C26" s="42"/>
      <c r="D26" s="42"/>
      <c r="E26" s="39"/>
      <c r="F26" s="13">
        <f t="shared" si="0"/>
        <v>2</v>
      </c>
      <c r="G26" s="19"/>
      <c r="H26" s="53"/>
      <c r="I26" s="53">
        <v>1</v>
      </c>
      <c r="J26" s="53"/>
      <c r="K26" s="11">
        <f t="shared" si="1"/>
        <v>1</v>
      </c>
      <c r="L26" s="5">
        <f t="shared" si="2"/>
        <v>3</v>
      </c>
    </row>
    <row r="27" spans="1:12" ht="15" customHeight="1" thickBot="1" x14ac:dyDescent="0.3">
      <c r="A27" s="47">
        <v>19</v>
      </c>
      <c r="B27" s="40"/>
      <c r="C27" s="42"/>
      <c r="D27" s="42"/>
      <c r="E27" s="39"/>
      <c r="F27" s="13">
        <f t="shared" si="0"/>
        <v>0</v>
      </c>
      <c r="G27" s="19"/>
      <c r="H27" s="53"/>
      <c r="I27" s="53"/>
      <c r="J27" s="53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7">
        <v>20</v>
      </c>
      <c r="B28" s="40"/>
      <c r="C28" s="42"/>
      <c r="D28" s="42"/>
      <c r="E28" s="39"/>
      <c r="F28" s="13">
        <f t="shared" si="0"/>
        <v>0</v>
      </c>
      <c r="G28" s="19"/>
      <c r="H28" s="53"/>
      <c r="I28" s="53"/>
      <c r="J28" s="53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7">
        <v>21</v>
      </c>
      <c r="B29" s="40">
        <v>1</v>
      </c>
      <c r="C29" s="42"/>
      <c r="D29" s="42"/>
      <c r="E29" s="39"/>
      <c r="F29" s="13">
        <f t="shared" si="0"/>
        <v>1</v>
      </c>
      <c r="G29" s="19">
        <v>9</v>
      </c>
      <c r="H29" s="53"/>
      <c r="I29" s="53"/>
      <c r="J29" s="53"/>
      <c r="K29" s="11">
        <f t="shared" si="1"/>
        <v>9</v>
      </c>
      <c r="L29" s="5">
        <f t="shared" si="2"/>
        <v>10</v>
      </c>
    </row>
    <row r="30" spans="1:12" ht="15" customHeight="1" thickBot="1" x14ac:dyDescent="0.3">
      <c r="A30" s="47">
        <v>22</v>
      </c>
      <c r="B30" s="40">
        <v>6</v>
      </c>
      <c r="C30" s="42"/>
      <c r="D30" s="42"/>
      <c r="E30" s="39"/>
      <c r="F30" s="13">
        <f t="shared" si="0"/>
        <v>6</v>
      </c>
      <c r="G30" s="19"/>
      <c r="H30" s="53"/>
      <c r="I30" s="53"/>
      <c r="J30" s="53"/>
      <c r="K30" s="11">
        <f t="shared" si="1"/>
        <v>0</v>
      </c>
      <c r="L30" s="5">
        <f t="shared" si="2"/>
        <v>6</v>
      </c>
    </row>
    <row r="31" spans="1:12" ht="15" customHeight="1" thickBot="1" x14ac:dyDescent="0.3">
      <c r="A31" s="47">
        <v>23</v>
      </c>
      <c r="B31" s="40">
        <v>1</v>
      </c>
      <c r="C31" s="42"/>
      <c r="D31" s="42"/>
      <c r="E31" s="39"/>
      <c r="F31" s="13">
        <f t="shared" si="0"/>
        <v>1</v>
      </c>
      <c r="G31" s="19"/>
      <c r="H31" s="53"/>
      <c r="I31" s="53"/>
      <c r="J31" s="53"/>
      <c r="K31" s="11">
        <f t="shared" si="1"/>
        <v>0</v>
      </c>
      <c r="L31" s="5">
        <f t="shared" si="2"/>
        <v>1</v>
      </c>
    </row>
    <row r="32" spans="1:12" ht="15" customHeight="1" thickBot="1" x14ac:dyDescent="0.3">
      <c r="A32" s="47">
        <v>24</v>
      </c>
      <c r="B32" s="40"/>
      <c r="C32" s="42"/>
      <c r="D32" s="42"/>
      <c r="E32" s="39"/>
      <c r="F32" s="13">
        <f t="shared" si="0"/>
        <v>0</v>
      </c>
      <c r="G32" s="19"/>
      <c r="H32" s="53"/>
      <c r="I32" s="53"/>
      <c r="J32" s="53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7">
        <v>25</v>
      </c>
      <c r="B33" s="40"/>
      <c r="C33" s="42"/>
      <c r="D33" s="42"/>
      <c r="E33" s="39"/>
      <c r="F33" s="13">
        <f t="shared" si="0"/>
        <v>0</v>
      </c>
      <c r="G33" s="19">
        <v>10</v>
      </c>
      <c r="H33" s="53"/>
      <c r="I33" s="53"/>
      <c r="J33" s="53"/>
      <c r="K33" s="11">
        <f t="shared" si="1"/>
        <v>10</v>
      </c>
      <c r="L33" s="5">
        <f t="shared" si="2"/>
        <v>10</v>
      </c>
    </row>
    <row r="34" spans="1:12" ht="15" customHeight="1" thickBot="1" x14ac:dyDescent="0.3">
      <c r="A34" s="47">
        <v>26</v>
      </c>
      <c r="B34" s="40">
        <v>4</v>
      </c>
      <c r="C34" s="42"/>
      <c r="D34" s="42"/>
      <c r="E34" s="39"/>
      <c r="F34" s="13">
        <f t="shared" si="0"/>
        <v>4</v>
      </c>
      <c r="G34" s="19"/>
      <c r="H34" s="38"/>
      <c r="I34" s="53"/>
      <c r="J34" s="53"/>
      <c r="K34" s="11">
        <f t="shared" si="1"/>
        <v>0</v>
      </c>
      <c r="L34" s="5">
        <f t="shared" si="2"/>
        <v>4</v>
      </c>
    </row>
    <row r="35" spans="1:12" ht="15" customHeight="1" thickBot="1" x14ac:dyDescent="0.3">
      <c r="A35" s="47">
        <v>27</v>
      </c>
      <c r="B35" s="44">
        <v>1</v>
      </c>
      <c r="C35" s="42"/>
      <c r="D35" s="42"/>
      <c r="E35" s="39"/>
      <c r="F35" s="13">
        <f t="shared" si="0"/>
        <v>1</v>
      </c>
      <c r="G35" s="30"/>
      <c r="H35" s="38">
        <v>1</v>
      </c>
      <c r="I35" s="53"/>
      <c r="J35" s="53"/>
      <c r="K35" s="11">
        <f t="shared" si="1"/>
        <v>1</v>
      </c>
      <c r="L35" s="5">
        <f t="shared" si="2"/>
        <v>2</v>
      </c>
    </row>
    <row r="36" spans="1:12" ht="15" customHeight="1" thickBot="1" x14ac:dyDescent="0.3">
      <c r="A36" s="47">
        <v>28</v>
      </c>
      <c r="B36" s="44">
        <v>3</v>
      </c>
      <c r="C36" s="53"/>
      <c r="D36" s="53"/>
      <c r="E36" s="58"/>
      <c r="F36" s="13">
        <f t="shared" si="0"/>
        <v>3</v>
      </c>
      <c r="G36" s="19"/>
      <c r="H36" s="53"/>
      <c r="I36" s="53"/>
      <c r="J36" s="53"/>
      <c r="K36" s="11">
        <f t="shared" si="1"/>
        <v>0</v>
      </c>
      <c r="L36" s="5">
        <f t="shared" si="2"/>
        <v>3</v>
      </c>
    </row>
    <row r="37" spans="1:12" ht="15" customHeight="1" thickBot="1" x14ac:dyDescent="0.3">
      <c r="A37" s="47">
        <v>29</v>
      </c>
      <c r="B37" s="44"/>
      <c r="C37" s="53"/>
      <c r="D37" s="53"/>
      <c r="E37" s="58"/>
      <c r="F37" s="13">
        <f t="shared" si="0"/>
        <v>0</v>
      </c>
      <c r="G37" s="19">
        <v>3</v>
      </c>
      <c r="H37" s="53"/>
      <c r="I37" s="53"/>
      <c r="J37" s="53"/>
      <c r="K37" s="11">
        <f t="shared" si="1"/>
        <v>3</v>
      </c>
      <c r="L37" s="5">
        <f t="shared" si="2"/>
        <v>3</v>
      </c>
    </row>
    <row r="38" spans="1:12" ht="15" customHeight="1" thickBot="1" x14ac:dyDescent="0.3">
      <c r="A38" s="47">
        <v>30</v>
      </c>
      <c r="B38" s="44">
        <v>2</v>
      </c>
      <c r="C38" s="53"/>
      <c r="D38" s="53"/>
      <c r="E38" s="58"/>
      <c r="F38" s="13">
        <f t="shared" si="0"/>
        <v>2</v>
      </c>
      <c r="G38" s="19"/>
      <c r="H38" s="53"/>
      <c r="I38" s="53"/>
      <c r="J38" s="53"/>
      <c r="K38" s="11">
        <f t="shared" si="1"/>
        <v>0</v>
      </c>
      <c r="L38" s="5">
        <f t="shared" si="2"/>
        <v>2</v>
      </c>
    </row>
    <row r="39" spans="1:12" ht="15" customHeight="1" thickBot="1" x14ac:dyDescent="0.3">
      <c r="A39" s="49">
        <v>31</v>
      </c>
      <c r="B39" s="45"/>
      <c r="C39" s="59"/>
      <c r="D39" s="45"/>
      <c r="E39" s="60"/>
      <c r="F39" s="13">
        <f t="shared" si="0"/>
        <v>0</v>
      </c>
      <c r="G39" s="19"/>
      <c r="H39" s="53"/>
      <c r="I39" s="53"/>
      <c r="J39" s="53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37</v>
      </c>
      <c r="C40" s="52">
        <f t="shared" ref="C40:E40" si="3">SUM(C9:C39)</f>
        <v>0</v>
      </c>
      <c r="D40" s="52">
        <f t="shared" si="3"/>
        <v>2</v>
      </c>
      <c r="E40" s="52">
        <f t="shared" si="3"/>
        <v>0</v>
      </c>
      <c r="F40" s="51">
        <f>SUM(F9:F39)</f>
        <v>39</v>
      </c>
      <c r="G40" s="12">
        <f>SUM(G9:G39)</f>
        <v>47</v>
      </c>
      <c r="H40" s="12">
        <f t="shared" ref="H40:L40" si="4">SUM(H9:H39)</f>
        <v>3</v>
      </c>
      <c r="I40" s="12">
        <f t="shared" si="4"/>
        <v>2</v>
      </c>
      <c r="J40" s="12">
        <f t="shared" si="4"/>
        <v>0</v>
      </c>
      <c r="K40" s="12">
        <f t="shared" si="4"/>
        <v>52</v>
      </c>
      <c r="L40" s="12">
        <f t="shared" si="4"/>
        <v>91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2"/>
      <c r="B42" s="82"/>
      <c r="C42" s="82"/>
      <c r="D42" s="82"/>
      <c r="E42" s="82"/>
      <c r="F42" s="82"/>
      <c r="G42" s="83" t="s">
        <v>16</v>
      </c>
      <c r="H42" s="84"/>
      <c r="I42" s="84" t="s">
        <v>17</v>
      </c>
      <c r="J42" s="85"/>
      <c r="K42" s="7"/>
      <c r="L42" s="9"/>
    </row>
    <row r="43" spans="1:12" ht="15" customHeight="1" thickBot="1" x14ac:dyDescent="0.3">
      <c r="A43" s="10"/>
      <c r="B43" s="69" t="s">
        <v>18</v>
      </c>
      <c r="C43" s="70"/>
      <c r="D43" s="70"/>
      <c r="E43" s="70"/>
      <c r="F43" s="70"/>
      <c r="G43" s="80">
        <v>169</v>
      </c>
      <c r="H43" s="86"/>
      <c r="I43" s="87"/>
      <c r="J43" s="88"/>
      <c r="K43" s="7"/>
      <c r="L43" s="9"/>
    </row>
    <row r="44" spans="1:12" ht="15" customHeight="1" thickBot="1" x14ac:dyDescent="0.3">
      <c r="A44" s="10"/>
      <c r="B44" s="69" t="s">
        <v>19</v>
      </c>
      <c r="C44" s="70"/>
      <c r="D44" s="70"/>
      <c r="E44" s="70"/>
      <c r="F44" s="70"/>
      <c r="G44" s="73">
        <v>1</v>
      </c>
      <c r="H44" s="72"/>
      <c r="I44" s="73"/>
      <c r="J44" s="72"/>
      <c r="K44" s="7"/>
      <c r="L44" s="9"/>
    </row>
    <row r="45" spans="1:12" ht="15" customHeight="1" thickBot="1" x14ac:dyDescent="0.3">
      <c r="A45" s="10"/>
      <c r="B45" s="77" t="s">
        <v>20</v>
      </c>
      <c r="C45" s="77"/>
      <c r="D45" s="77"/>
      <c r="E45" s="77"/>
      <c r="F45" s="69"/>
      <c r="G45" s="78">
        <v>0</v>
      </c>
      <c r="H45" s="79"/>
      <c r="I45" s="80"/>
      <c r="J45" s="81"/>
      <c r="K45" s="7"/>
      <c r="L45" s="9"/>
    </row>
    <row r="46" spans="1:12" ht="15" customHeight="1" thickBot="1" x14ac:dyDescent="0.3">
      <c r="A46" s="10"/>
      <c r="B46" s="69" t="s">
        <v>21</v>
      </c>
      <c r="C46" s="70"/>
      <c r="D46" s="70"/>
      <c r="E46" s="70"/>
      <c r="F46" s="70"/>
      <c r="G46" s="71">
        <f>L40+G45</f>
        <v>91</v>
      </c>
      <c r="H46" s="72"/>
      <c r="I46" s="73"/>
      <c r="J46" s="72"/>
      <c r="K46" s="7"/>
      <c r="L46" s="9"/>
    </row>
    <row r="47" spans="1:12" ht="15" customHeight="1" thickBot="1" x14ac:dyDescent="0.3">
      <c r="A47" s="3"/>
      <c r="B47" s="69" t="s">
        <v>22</v>
      </c>
      <c r="C47" s="70"/>
      <c r="D47" s="70"/>
      <c r="E47" s="70"/>
      <c r="F47" s="70"/>
      <c r="G47" s="71">
        <f>G43+G44-G46</f>
        <v>79</v>
      </c>
      <c r="H47" s="72"/>
      <c r="I47" s="73"/>
      <c r="J47" s="72"/>
      <c r="K47" s="7"/>
      <c r="L47" s="2"/>
    </row>
    <row r="48" spans="1:12" ht="15" customHeight="1" thickBot="1" x14ac:dyDescent="0.3">
      <c r="A48" s="3"/>
      <c r="B48" s="69" t="s">
        <v>23</v>
      </c>
      <c r="C48" s="70"/>
      <c r="D48" s="70"/>
      <c r="E48" s="70"/>
      <c r="F48" s="70"/>
      <c r="G48" s="71">
        <v>78</v>
      </c>
      <c r="H48" s="72"/>
      <c r="I48" s="73"/>
      <c r="J48" s="72"/>
      <c r="K48" s="7"/>
      <c r="L48" s="2"/>
    </row>
    <row r="49" spans="1:12" ht="15" customHeight="1" thickBot="1" x14ac:dyDescent="0.3">
      <c r="A49" s="3"/>
      <c r="B49" s="69" t="s">
        <v>24</v>
      </c>
      <c r="C49" s="70"/>
      <c r="D49" s="70"/>
      <c r="E49" s="70"/>
      <c r="F49" s="70"/>
      <c r="G49" s="74">
        <f>G47-G48</f>
        <v>1</v>
      </c>
      <c r="H49" s="75"/>
      <c r="I49" s="76"/>
      <c r="J49" s="75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  <row r="53" spans="1:12" x14ac:dyDescent="0.25">
      <c r="A53" t="s">
        <v>33</v>
      </c>
    </row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AF46B-8750-447C-882C-CF6DE900AB4A}">
  <dimension ref="A1:L52"/>
  <sheetViews>
    <sheetView topLeftCell="A22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22"/>
      <c r="F1" s="23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22"/>
      <c r="F2" s="23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22"/>
      <c r="F3" s="23"/>
      <c r="G3" s="91" t="s">
        <v>27</v>
      </c>
      <c r="H3" s="91"/>
      <c r="I3" s="91"/>
      <c r="J3" s="91"/>
      <c r="K3" s="91"/>
      <c r="L3" s="91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9" t="s">
        <v>5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6.5" thickBot="1" x14ac:dyDescent="0.3">
      <c r="A6" s="90" t="s">
        <v>34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6">
        <v>1</v>
      </c>
      <c r="B9" s="61"/>
      <c r="C9" s="54"/>
      <c r="D9" s="54"/>
      <c r="E9" s="56"/>
      <c r="F9" s="13">
        <f>SUM(B9:E9)</f>
        <v>0</v>
      </c>
      <c r="G9" s="35"/>
      <c r="H9" s="67"/>
      <c r="I9" s="67"/>
      <c r="J9" s="67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62">
        <v>1</v>
      </c>
      <c r="C10" s="42"/>
      <c r="D10" s="42"/>
      <c r="E10" s="39"/>
      <c r="F10" s="13">
        <f t="shared" ref="F10:F39" si="0">SUM(B10:E10)</f>
        <v>1</v>
      </c>
      <c r="G10" s="38"/>
      <c r="H10" s="42"/>
      <c r="I10" s="42"/>
      <c r="J10" s="42"/>
      <c r="K10" s="11">
        <f t="shared" ref="K10:K39" si="1">SUM(G10:J10)</f>
        <v>0</v>
      </c>
      <c r="L10" s="5">
        <f t="shared" ref="L10:L39" si="2">SUM(F10+K10)</f>
        <v>1</v>
      </c>
    </row>
    <row r="11" spans="1:12" ht="15" customHeight="1" thickBot="1" x14ac:dyDescent="0.3">
      <c r="A11" s="47">
        <v>3</v>
      </c>
      <c r="B11" s="62"/>
      <c r="C11" s="42"/>
      <c r="D11" s="42"/>
      <c r="E11" s="39">
        <v>1</v>
      </c>
      <c r="F11" s="13">
        <f t="shared" si="0"/>
        <v>1</v>
      </c>
      <c r="G11" s="38">
        <v>1</v>
      </c>
      <c r="H11" s="42"/>
      <c r="I11" s="42"/>
      <c r="J11" s="42">
        <v>1</v>
      </c>
      <c r="K11" s="11">
        <f t="shared" si="1"/>
        <v>2</v>
      </c>
      <c r="L11" s="5">
        <f t="shared" si="2"/>
        <v>3</v>
      </c>
    </row>
    <row r="12" spans="1:12" ht="15" customHeight="1" thickBot="1" x14ac:dyDescent="0.3">
      <c r="A12" s="47">
        <v>4</v>
      </c>
      <c r="B12" s="62"/>
      <c r="C12" s="42"/>
      <c r="D12" s="42"/>
      <c r="E12" s="39"/>
      <c r="F12" s="13">
        <f t="shared" si="0"/>
        <v>0</v>
      </c>
      <c r="G12" s="38">
        <v>1</v>
      </c>
      <c r="H12" s="42">
        <v>1</v>
      </c>
      <c r="I12" s="42"/>
      <c r="J12" s="42">
        <v>1</v>
      </c>
      <c r="K12" s="11">
        <f t="shared" si="1"/>
        <v>3</v>
      </c>
      <c r="L12" s="5">
        <f t="shared" si="2"/>
        <v>3</v>
      </c>
    </row>
    <row r="13" spans="1:12" ht="15" customHeight="1" thickBot="1" x14ac:dyDescent="0.3">
      <c r="A13" s="47">
        <v>5</v>
      </c>
      <c r="B13" s="62"/>
      <c r="C13" s="42"/>
      <c r="D13" s="42"/>
      <c r="E13" s="39"/>
      <c r="F13" s="13">
        <f t="shared" si="0"/>
        <v>0</v>
      </c>
      <c r="G13" s="38"/>
      <c r="H13" s="42"/>
      <c r="I13" s="42"/>
      <c r="J13" s="42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7">
        <v>6</v>
      </c>
      <c r="B14" s="62">
        <v>15</v>
      </c>
      <c r="C14" s="42"/>
      <c r="D14" s="42"/>
      <c r="E14" s="39"/>
      <c r="F14" s="13">
        <f t="shared" si="0"/>
        <v>15</v>
      </c>
      <c r="G14" s="38"/>
      <c r="H14" s="42"/>
      <c r="I14" s="42"/>
      <c r="J14" s="38"/>
      <c r="K14" s="11">
        <f t="shared" si="1"/>
        <v>0</v>
      </c>
      <c r="L14" s="5">
        <f t="shared" si="2"/>
        <v>15</v>
      </c>
    </row>
    <row r="15" spans="1:12" ht="15" customHeight="1" thickBot="1" x14ac:dyDescent="0.3">
      <c r="A15" s="47">
        <v>7</v>
      </c>
      <c r="B15" s="62"/>
      <c r="C15" s="42"/>
      <c r="D15" s="42"/>
      <c r="E15" s="39"/>
      <c r="F15" s="13">
        <f t="shared" si="0"/>
        <v>0</v>
      </c>
      <c r="G15" s="38"/>
      <c r="H15" s="42"/>
      <c r="I15" s="42"/>
      <c r="J15" s="38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7">
        <v>8</v>
      </c>
      <c r="B16" s="62"/>
      <c r="C16" s="42"/>
      <c r="D16" s="42"/>
      <c r="E16" s="39"/>
      <c r="F16" s="13">
        <f t="shared" si="0"/>
        <v>0</v>
      </c>
      <c r="G16" s="38"/>
      <c r="H16" s="42"/>
      <c r="I16" s="42"/>
      <c r="J16" s="38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7">
        <v>9</v>
      </c>
      <c r="B17" s="62"/>
      <c r="C17" s="42"/>
      <c r="D17" s="42"/>
      <c r="E17" s="39"/>
      <c r="F17" s="13">
        <f t="shared" si="0"/>
        <v>0</v>
      </c>
      <c r="G17" s="38">
        <v>1</v>
      </c>
      <c r="H17" s="42"/>
      <c r="I17" s="42"/>
      <c r="J17" s="38"/>
      <c r="K17" s="11">
        <f t="shared" si="1"/>
        <v>1</v>
      </c>
      <c r="L17" s="5">
        <f t="shared" si="2"/>
        <v>1</v>
      </c>
    </row>
    <row r="18" spans="1:12" ht="15" customHeight="1" thickBot="1" x14ac:dyDescent="0.3">
      <c r="A18" s="47">
        <v>10</v>
      </c>
      <c r="B18" s="62">
        <v>8</v>
      </c>
      <c r="C18" s="42"/>
      <c r="D18" s="42"/>
      <c r="E18" s="39"/>
      <c r="F18" s="13">
        <f t="shared" si="0"/>
        <v>8</v>
      </c>
      <c r="G18" s="38"/>
      <c r="H18" s="42"/>
      <c r="I18" s="42"/>
      <c r="J18" s="38"/>
      <c r="K18" s="11">
        <f t="shared" si="1"/>
        <v>0</v>
      </c>
      <c r="L18" s="5">
        <f t="shared" si="2"/>
        <v>8</v>
      </c>
    </row>
    <row r="19" spans="1:12" ht="15" customHeight="1" thickBot="1" x14ac:dyDescent="0.3">
      <c r="A19" s="47">
        <v>11</v>
      </c>
      <c r="B19" s="62">
        <v>1</v>
      </c>
      <c r="C19" s="42"/>
      <c r="D19" s="42"/>
      <c r="E19" s="39"/>
      <c r="F19" s="13">
        <f t="shared" si="0"/>
        <v>1</v>
      </c>
      <c r="G19" s="38"/>
      <c r="H19" s="42"/>
      <c r="I19" s="42"/>
      <c r="J19" s="38"/>
      <c r="K19" s="11">
        <f t="shared" si="1"/>
        <v>0</v>
      </c>
      <c r="L19" s="5">
        <f t="shared" si="2"/>
        <v>1</v>
      </c>
    </row>
    <row r="20" spans="1:12" ht="15" customHeight="1" thickBot="1" x14ac:dyDescent="0.3">
      <c r="A20" s="47">
        <v>12</v>
      </c>
      <c r="B20" s="62"/>
      <c r="C20" s="42"/>
      <c r="D20" s="42"/>
      <c r="E20" s="39"/>
      <c r="F20" s="13">
        <f t="shared" si="0"/>
        <v>0</v>
      </c>
      <c r="G20" s="38"/>
      <c r="H20" s="42"/>
      <c r="I20" s="42"/>
      <c r="J20" s="38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7">
        <v>13</v>
      </c>
      <c r="B21" s="62">
        <v>6</v>
      </c>
      <c r="C21" s="42"/>
      <c r="D21" s="42">
        <v>2</v>
      </c>
      <c r="E21" s="39"/>
      <c r="F21" s="13">
        <f t="shared" si="0"/>
        <v>8</v>
      </c>
      <c r="G21" s="38"/>
      <c r="H21" s="42"/>
      <c r="I21" s="42"/>
      <c r="J21" s="38"/>
      <c r="K21" s="11">
        <f t="shared" si="1"/>
        <v>0</v>
      </c>
      <c r="L21" s="5">
        <f t="shared" si="2"/>
        <v>8</v>
      </c>
    </row>
    <row r="22" spans="1:12" ht="15" customHeight="1" thickBot="1" x14ac:dyDescent="0.3">
      <c r="A22" s="47">
        <v>14</v>
      </c>
      <c r="B22" s="62"/>
      <c r="C22" s="42"/>
      <c r="D22" s="42"/>
      <c r="E22" s="39"/>
      <c r="F22" s="13">
        <f t="shared" si="0"/>
        <v>0</v>
      </c>
      <c r="G22" s="38"/>
      <c r="H22" s="42"/>
      <c r="I22" s="42"/>
      <c r="J22" s="38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7">
        <v>15</v>
      </c>
      <c r="B23" s="62"/>
      <c r="C23" s="42"/>
      <c r="D23" s="42"/>
      <c r="E23" s="39"/>
      <c r="F23" s="13">
        <f t="shared" si="0"/>
        <v>0</v>
      </c>
      <c r="G23" s="38"/>
      <c r="H23" s="42"/>
      <c r="I23" s="42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7">
        <v>16</v>
      </c>
      <c r="B24" s="62"/>
      <c r="C24" s="42"/>
      <c r="D24" s="42"/>
      <c r="E24" s="39"/>
      <c r="F24" s="13">
        <f t="shared" si="0"/>
        <v>0</v>
      </c>
      <c r="G24" s="38"/>
      <c r="H24" s="42"/>
      <c r="I24" s="42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7">
        <v>17</v>
      </c>
      <c r="B25" s="62"/>
      <c r="C25" s="63"/>
      <c r="D25" s="42"/>
      <c r="E25" s="39"/>
      <c r="F25" s="13">
        <f t="shared" si="0"/>
        <v>0</v>
      </c>
      <c r="G25" s="38"/>
      <c r="H25" s="42"/>
      <c r="I25" s="42"/>
      <c r="J25" s="38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7">
        <v>18</v>
      </c>
      <c r="B26" s="62"/>
      <c r="C26" s="42"/>
      <c r="D26" s="42"/>
      <c r="E26" s="39"/>
      <c r="F26" s="13">
        <f t="shared" si="0"/>
        <v>0</v>
      </c>
      <c r="G26" s="38"/>
      <c r="H26" s="42"/>
      <c r="I26" s="42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62"/>
      <c r="C27" s="42"/>
      <c r="D27" s="42"/>
      <c r="E27" s="39"/>
      <c r="F27" s="13">
        <f t="shared" si="0"/>
        <v>0</v>
      </c>
      <c r="G27" s="38"/>
      <c r="H27" s="42"/>
      <c r="I27" s="42"/>
      <c r="J27" s="38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7">
        <v>20</v>
      </c>
      <c r="B28" s="62"/>
      <c r="C28" s="42"/>
      <c r="D28" s="42"/>
      <c r="E28" s="39"/>
      <c r="F28" s="13">
        <f t="shared" si="0"/>
        <v>0</v>
      </c>
      <c r="G28" s="38"/>
      <c r="H28" s="42">
        <v>3</v>
      </c>
      <c r="I28" s="42"/>
      <c r="J28" s="38"/>
      <c r="K28" s="11">
        <f t="shared" si="1"/>
        <v>3</v>
      </c>
      <c r="L28" s="5">
        <f t="shared" si="2"/>
        <v>3</v>
      </c>
    </row>
    <row r="29" spans="1:12" ht="15" customHeight="1" thickBot="1" x14ac:dyDescent="0.3">
      <c r="A29" s="47">
        <v>21</v>
      </c>
      <c r="B29" s="62"/>
      <c r="C29" s="42"/>
      <c r="D29" s="42"/>
      <c r="E29" s="39"/>
      <c r="F29" s="13">
        <f t="shared" si="0"/>
        <v>0</v>
      </c>
      <c r="G29" s="38"/>
      <c r="H29" s="42">
        <v>1</v>
      </c>
      <c r="I29" s="42">
        <v>1</v>
      </c>
      <c r="J29" s="38">
        <v>2</v>
      </c>
      <c r="K29" s="11">
        <f t="shared" si="1"/>
        <v>4</v>
      </c>
      <c r="L29" s="5">
        <f t="shared" si="2"/>
        <v>4</v>
      </c>
    </row>
    <row r="30" spans="1:12" ht="15" customHeight="1" thickBot="1" x14ac:dyDescent="0.3">
      <c r="A30" s="47">
        <v>22</v>
      </c>
      <c r="B30" s="62"/>
      <c r="C30" s="42"/>
      <c r="D30" s="42"/>
      <c r="E30" s="39"/>
      <c r="F30" s="13">
        <f t="shared" si="0"/>
        <v>0</v>
      </c>
      <c r="G30" s="38"/>
      <c r="H30" s="42"/>
      <c r="I30" s="42"/>
      <c r="J30" s="38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7">
        <v>23</v>
      </c>
      <c r="B31" s="62"/>
      <c r="C31" s="42"/>
      <c r="D31" s="42"/>
      <c r="E31" s="39"/>
      <c r="F31" s="13">
        <f t="shared" si="0"/>
        <v>0</v>
      </c>
      <c r="G31" s="38"/>
      <c r="H31" s="42"/>
      <c r="I31" s="38"/>
      <c r="J31" s="38"/>
      <c r="K31" s="11">
        <f t="shared" si="1"/>
        <v>0</v>
      </c>
      <c r="L31" s="5">
        <f t="shared" si="2"/>
        <v>0</v>
      </c>
    </row>
    <row r="32" spans="1:12" ht="15" customHeight="1" thickBot="1" x14ac:dyDescent="0.3">
      <c r="A32" s="47">
        <v>24</v>
      </c>
      <c r="B32" s="62"/>
      <c r="C32" s="42"/>
      <c r="D32" s="42"/>
      <c r="E32" s="39"/>
      <c r="F32" s="13">
        <f t="shared" si="0"/>
        <v>0</v>
      </c>
      <c r="G32" s="38"/>
      <c r="H32" s="42">
        <v>1</v>
      </c>
      <c r="I32" s="38"/>
      <c r="J32" s="38"/>
      <c r="K32" s="11">
        <f t="shared" si="1"/>
        <v>1</v>
      </c>
      <c r="L32" s="5">
        <f t="shared" si="2"/>
        <v>1</v>
      </c>
    </row>
    <row r="33" spans="1:12" ht="15" customHeight="1" thickBot="1" x14ac:dyDescent="0.3">
      <c r="A33" s="47">
        <v>25</v>
      </c>
      <c r="B33" s="62"/>
      <c r="C33" s="42"/>
      <c r="D33" s="42"/>
      <c r="E33" s="39"/>
      <c r="F33" s="13">
        <f t="shared" si="0"/>
        <v>0</v>
      </c>
      <c r="G33" s="38"/>
      <c r="H33" s="42">
        <v>2</v>
      </c>
      <c r="I33" s="38"/>
      <c r="J33" s="38"/>
      <c r="K33" s="11">
        <f t="shared" si="1"/>
        <v>2</v>
      </c>
      <c r="L33" s="5">
        <f t="shared" si="2"/>
        <v>2</v>
      </c>
    </row>
    <row r="34" spans="1:12" ht="15" customHeight="1" thickBot="1" x14ac:dyDescent="0.3">
      <c r="A34" s="47">
        <v>26</v>
      </c>
      <c r="B34" s="62">
        <v>1</v>
      </c>
      <c r="C34" s="42"/>
      <c r="D34" s="42"/>
      <c r="E34" s="39"/>
      <c r="F34" s="13">
        <f t="shared" si="0"/>
        <v>1</v>
      </c>
      <c r="G34" s="38"/>
      <c r="H34" s="42"/>
      <c r="I34" s="42"/>
      <c r="J34" s="42"/>
      <c r="K34" s="11">
        <f t="shared" si="1"/>
        <v>0</v>
      </c>
      <c r="L34" s="5">
        <f t="shared" si="2"/>
        <v>1</v>
      </c>
    </row>
    <row r="35" spans="1:12" ht="15" customHeight="1" thickBot="1" x14ac:dyDescent="0.3">
      <c r="A35" s="47">
        <v>27</v>
      </c>
      <c r="B35" s="62"/>
      <c r="C35" s="42"/>
      <c r="D35" s="42"/>
      <c r="E35" s="39"/>
      <c r="F35" s="13">
        <f t="shared" si="0"/>
        <v>0</v>
      </c>
      <c r="G35" s="68"/>
      <c r="H35" s="42"/>
      <c r="I35" s="42"/>
      <c r="J35" s="42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7">
        <v>28</v>
      </c>
      <c r="B36" s="62"/>
      <c r="C36" s="42"/>
      <c r="D36" s="42"/>
      <c r="E36" s="39"/>
      <c r="F36" s="13">
        <f t="shared" si="0"/>
        <v>0</v>
      </c>
      <c r="G36" s="38"/>
      <c r="H36" s="42"/>
      <c r="I36" s="42"/>
      <c r="J36" s="42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7">
        <v>29</v>
      </c>
      <c r="B37" s="62"/>
      <c r="C37" s="42"/>
      <c r="D37" s="42"/>
      <c r="E37" s="39"/>
      <c r="F37" s="13">
        <f t="shared" si="0"/>
        <v>0</v>
      </c>
      <c r="G37" s="38"/>
      <c r="H37" s="42"/>
      <c r="I37" s="42"/>
      <c r="J37" s="42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7">
        <v>30</v>
      </c>
      <c r="B38" s="62"/>
      <c r="C38" s="42"/>
      <c r="D38" s="42"/>
      <c r="E38" s="39"/>
      <c r="F38" s="13">
        <f t="shared" si="0"/>
        <v>0</v>
      </c>
      <c r="G38" s="38"/>
      <c r="H38" s="42"/>
      <c r="I38" s="42"/>
      <c r="J38" s="42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49">
        <v>31</v>
      </c>
      <c r="B39" s="64"/>
      <c r="C39" s="65"/>
      <c r="D39" s="65"/>
      <c r="E39" s="66"/>
      <c r="F39" s="13">
        <f t="shared" si="0"/>
        <v>0</v>
      </c>
      <c r="G39" s="38"/>
      <c r="H39" s="42"/>
      <c r="I39" s="42"/>
      <c r="J39" s="42">
        <v>1</v>
      </c>
      <c r="K39" s="11">
        <f t="shared" si="1"/>
        <v>1</v>
      </c>
      <c r="L39" s="5">
        <f t="shared" si="2"/>
        <v>1</v>
      </c>
    </row>
    <row r="40" spans="1:12" ht="15.75" thickBot="1" x14ac:dyDescent="0.3">
      <c r="A40" s="48"/>
      <c r="B40" s="52">
        <f>SUM(B9:B39)</f>
        <v>32</v>
      </c>
      <c r="C40" s="52">
        <f t="shared" ref="C40:E40" si="3">SUM(C9:C39)</f>
        <v>0</v>
      </c>
      <c r="D40" s="52">
        <f t="shared" si="3"/>
        <v>2</v>
      </c>
      <c r="E40" s="52">
        <f t="shared" si="3"/>
        <v>1</v>
      </c>
      <c r="F40" s="51">
        <f>SUM(F9:F39)</f>
        <v>35</v>
      </c>
      <c r="G40" s="12">
        <f>SUM(G9:G39)</f>
        <v>3</v>
      </c>
      <c r="H40" s="12">
        <f t="shared" ref="H40:L40" si="4">SUM(H9:H39)</f>
        <v>8</v>
      </c>
      <c r="I40" s="12">
        <f t="shared" si="4"/>
        <v>1</v>
      </c>
      <c r="J40" s="12">
        <f t="shared" si="4"/>
        <v>5</v>
      </c>
      <c r="K40" s="12">
        <f t="shared" si="4"/>
        <v>17</v>
      </c>
      <c r="L40" s="12">
        <f t="shared" si="4"/>
        <v>52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2"/>
      <c r="B42" s="82"/>
      <c r="C42" s="82"/>
      <c r="D42" s="82"/>
      <c r="E42" s="82"/>
      <c r="F42" s="82"/>
      <c r="G42" s="83" t="s">
        <v>16</v>
      </c>
      <c r="H42" s="84"/>
      <c r="I42" s="84" t="s">
        <v>17</v>
      </c>
      <c r="J42" s="85"/>
      <c r="K42" s="7"/>
      <c r="L42" s="9"/>
    </row>
    <row r="43" spans="1:12" ht="15" customHeight="1" thickBot="1" x14ac:dyDescent="0.3">
      <c r="A43" s="10"/>
      <c r="B43" s="69" t="s">
        <v>18</v>
      </c>
      <c r="C43" s="70"/>
      <c r="D43" s="70"/>
      <c r="E43" s="70"/>
      <c r="F43" s="70"/>
      <c r="G43" s="80">
        <v>78</v>
      </c>
      <c r="H43" s="86"/>
      <c r="I43" s="87"/>
      <c r="J43" s="88"/>
      <c r="K43" s="7"/>
      <c r="L43" s="9"/>
    </row>
    <row r="44" spans="1:12" ht="15" customHeight="1" thickBot="1" x14ac:dyDescent="0.3">
      <c r="A44" s="10"/>
      <c r="B44" s="69" t="s">
        <v>19</v>
      </c>
      <c r="C44" s="70"/>
      <c r="D44" s="70"/>
      <c r="E44" s="70"/>
      <c r="F44" s="70"/>
      <c r="G44" s="73">
        <v>35</v>
      </c>
      <c r="H44" s="72"/>
      <c r="I44" s="73"/>
      <c r="J44" s="72"/>
      <c r="K44" s="7"/>
      <c r="L44" s="9"/>
    </row>
    <row r="45" spans="1:12" ht="15" customHeight="1" thickBot="1" x14ac:dyDescent="0.3">
      <c r="A45" s="10"/>
      <c r="B45" s="77" t="s">
        <v>20</v>
      </c>
      <c r="C45" s="77"/>
      <c r="D45" s="77"/>
      <c r="E45" s="77"/>
      <c r="F45" s="69"/>
      <c r="G45" s="78">
        <v>0</v>
      </c>
      <c r="H45" s="79"/>
      <c r="I45" s="80"/>
      <c r="J45" s="81"/>
      <c r="K45" s="7"/>
      <c r="L45" s="9"/>
    </row>
    <row r="46" spans="1:12" ht="15" customHeight="1" thickBot="1" x14ac:dyDescent="0.3">
      <c r="A46" s="10"/>
      <c r="B46" s="69" t="s">
        <v>21</v>
      </c>
      <c r="C46" s="70"/>
      <c r="D46" s="70"/>
      <c r="E46" s="70"/>
      <c r="F46" s="70"/>
      <c r="G46" s="71">
        <f>L40+G45</f>
        <v>52</v>
      </c>
      <c r="H46" s="72"/>
      <c r="I46" s="73"/>
      <c r="J46" s="72"/>
      <c r="K46" s="7"/>
      <c r="L46" s="9"/>
    </row>
    <row r="47" spans="1:12" ht="15" customHeight="1" thickBot="1" x14ac:dyDescent="0.3">
      <c r="A47" s="3"/>
      <c r="B47" s="69" t="s">
        <v>22</v>
      </c>
      <c r="C47" s="70"/>
      <c r="D47" s="70"/>
      <c r="E47" s="70"/>
      <c r="F47" s="70"/>
      <c r="G47" s="71">
        <f>G43+G44-G46</f>
        <v>61</v>
      </c>
      <c r="H47" s="72"/>
      <c r="I47" s="73"/>
      <c r="J47" s="72"/>
      <c r="K47" s="7"/>
      <c r="L47" s="2"/>
    </row>
    <row r="48" spans="1:12" ht="15" customHeight="1" thickBot="1" x14ac:dyDescent="0.3">
      <c r="A48" s="3"/>
      <c r="B48" s="69" t="s">
        <v>23</v>
      </c>
      <c r="C48" s="70"/>
      <c r="D48" s="70"/>
      <c r="E48" s="70"/>
      <c r="F48" s="70"/>
      <c r="G48" s="71">
        <v>61</v>
      </c>
      <c r="H48" s="72"/>
      <c r="I48" s="73"/>
      <c r="J48" s="72"/>
      <c r="K48" s="7"/>
      <c r="L48" s="2"/>
    </row>
    <row r="49" spans="1:12" ht="15" customHeight="1" thickBot="1" x14ac:dyDescent="0.3">
      <c r="A49" s="3"/>
      <c r="B49" s="69" t="s">
        <v>24</v>
      </c>
      <c r="C49" s="70"/>
      <c r="D49" s="70"/>
      <c r="E49" s="70"/>
      <c r="F49" s="70"/>
      <c r="G49" s="74">
        <f>G47-G48</f>
        <v>0</v>
      </c>
      <c r="H49" s="75"/>
      <c r="I49" s="76"/>
      <c r="J49" s="75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80AB1-D806-4C75-83FD-25C579CF281A}">
  <dimension ref="A1:L52"/>
  <sheetViews>
    <sheetView topLeftCell="A25" workbookViewId="0">
      <selection activeCell="C53" sqref="C53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22"/>
      <c r="F1" s="23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22"/>
      <c r="F2" s="23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22"/>
      <c r="F3" s="23"/>
      <c r="G3" s="91" t="s">
        <v>27</v>
      </c>
      <c r="H3" s="91"/>
      <c r="I3" s="91"/>
      <c r="J3" s="91"/>
      <c r="K3" s="91"/>
      <c r="L3" s="91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9" t="s">
        <v>5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6.5" thickBot="1" x14ac:dyDescent="0.3">
      <c r="A6" s="90" t="s">
        <v>35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6">
        <v>1</v>
      </c>
      <c r="B9" s="61"/>
      <c r="C9" s="54"/>
      <c r="D9" s="54"/>
      <c r="E9" s="56"/>
      <c r="F9" s="13">
        <f>SUM(B9:E9)</f>
        <v>0</v>
      </c>
      <c r="G9" s="35">
        <v>1</v>
      </c>
      <c r="H9" s="67"/>
      <c r="I9" s="67">
        <v>2</v>
      </c>
      <c r="J9" s="67"/>
      <c r="K9" s="11">
        <f>SUM(G9:J9)</f>
        <v>3</v>
      </c>
      <c r="L9" s="5">
        <f>SUM(F9+K9)</f>
        <v>3</v>
      </c>
    </row>
    <row r="10" spans="1:12" ht="15" customHeight="1" thickBot="1" x14ac:dyDescent="0.3">
      <c r="A10" s="6">
        <v>2</v>
      </c>
      <c r="B10" s="62"/>
      <c r="C10" s="42"/>
      <c r="D10" s="42"/>
      <c r="E10" s="39"/>
      <c r="F10" s="13">
        <f t="shared" ref="F10:F39" si="0">SUM(B10:E10)</f>
        <v>0</v>
      </c>
      <c r="G10" s="38"/>
      <c r="H10" s="42"/>
      <c r="I10" s="42"/>
      <c r="J10" s="42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7">
        <v>3</v>
      </c>
      <c r="B11" s="62"/>
      <c r="C11" s="42"/>
      <c r="D11" s="42"/>
      <c r="E11" s="39"/>
      <c r="F11" s="13">
        <f t="shared" si="0"/>
        <v>0</v>
      </c>
      <c r="G11" s="38"/>
      <c r="H11" s="42"/>
      <c r="I11" s="42"/>
      <c r="J11" s="42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7">
        <v>4</v>
      </c>
      <c r="B12" s="62"/>
      <c r="C12" s="42"/>
      <c r="D12" s="42"/>
      <c r="E12" s="39"/>
      <c r="F12" s="13">
        <f t="shared" si="0"/>
        <v>0</v>
      </c>
      <c r="G12" s="38"/>
      <c r="H12" s="42"/>
      <c r="I12" s="42"/>
      <c r="J12" s="42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7">
        <v>5</v>
      </c>
      <c r="B13" s="62"/>
      <c r="C13" s="42"/>
      <c r="D13" s="42"/>
      <c r="E13" s="39"/>
      <c r="F13" s="13">
        <f t="shared" si="0"/>
        <v>0</v>
      </c>
      <c r="G13" s="38"/>
      <c r="H13" s="42"/>
      <c r="I13" s="42"/>
      <c r="J13" s="42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7">
        <v>6</v>
      </c>
      <c r="B14" s="62"/>
      <c r="C14" s="42"/>
      <c r="D14" s="42"/>
      <c r="E14" s="39"/>
      <c r="F14" s="13">
        <f t="shared" si="0"/>
        <v>0</v>
      </c>
      <c r="G14" s="38">
        <v>2</v>
      </c>
      <c r="H14" s="42"/>
      <c r="I14" s="42"/>
      <c r="J14" s="38"/>
      <c r="K14" s="11">
        <f t="shared" si="1"/>
        <v>2</v>
      </c>
      <c r="L14" s="5">
        <f t="shared" si="2"/>
        <v>2</v>
      </c>
    </row>
    <row r="15" spans="1:12" ht="15" customHeight="1" thickBot="1" x14ac:dyDescent="0.3">
      <c r="A15" s="47">
        <v>7</v>
      </c>
      <c r="B15" s="62"/>
      <c r="C15" s="42"/>
      <c r="D15" s="42"/>
      <c r="E15" s="39"/>
      <c r="F15" s="13">
        <f t="shared" si="0"/>
        <v>0</v>
      </c>
      <c r="G15" s="38"/>
      <c r="H15" s="42"/>
      <c r="I15" s="42"/>
      <c r="J15" s="38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7">
        <v>8</v>
      </c>
      <c r="B16" s="62"/>
      <c r="C16" s="42"/>
      <c r="D16" s="42"/>
      <c r="E16" s="39"/>
      <c r="F16" s="13">
        <f t="shared" si="0"/>
        <v>0</v>
      </c>
      <c r="G16" s="38"/>
      <c r="H16" s="42"/>
      <c r="I16" s="42"/>
      <c r="J16" s="38"/>
      <c r="K16" s="11">
        <f t="shared" si="1"/>
        <v>0</v>
      </c>
      <c r="L16" s="5">
        <f t="shared" si="2"/>
        <v>0</v>
      </c>
    </row>
    <row r="17" spans="1:12" ht="15" customHeight="1" thickBot="1" x14ac:dyDescent="0.3">
      <c r="A17" s="47">
        <v>9</v>
      </c>
      <c r="B17" s="62"/>
      <c r="C17" s="42"/>
      <c r="D17" s="42"/>
      <c r="E17" s="39"/>
      <c r="F17" s="13">
        <f t="shared" si="0"/>
        <v>0</v>
      </c>
      <c r="G17" s="38">
        <v>3</v>
      </c>
      <c r="H17" s="42"/>
      <c r="I17" s="42"/>
      <c r="J17" s="38"/>
      <c r="K17" s="11">
        <f t="shared" si="1"/>
        <v>3</v>
      </c>
      <c r="L17" s="5">
        <f t="shared" si="2"/>
        <v>3</v>
      </c>
    </row>
    <row r="18" spans="1:12" ht="15" customHeight="1" thickBot="1" x14ac:dyDescent="0.3">
      <c r="A18" s="47">
        <v>10</v>
      </c>
      <c r="B18" s="62">
        <v>1</v>
      </c>
      <c r="C18" s="42"/>
      <c r="D18" s="42"/>
      <c r="E18" s="39"/>
      <c r="F18" s="13">
        <f t="shared" si="0"/>
        <v>1</v>
      </c>
      <c r="G18" s="38"/>
      <c r="H18" s="42"/>
      <c r="I18" s="42"/>
      <c r="J18" s="38"/>
      <c r="K18" s="11">
        <f t="shared" si="1"/>
        <v>0</v>
      </c>
      <c r="L18" s="5">
        <f t="shared" si="2"/>
        <v>1</v>
      </c>
    </row>
    <row r="19" spans="1:12" ht="15" customHeight="1" thickBot="1" x14ac:dyDescent="0.3">
      <c r="A19" s="47">
        <v>11</v>
      </c>
      <c r="B19" s="62"/>
      <c r="C19" s="42"/>
      <c r="D19" s="42"/>
      <c r="E19" s="39"/>
      <c r="F19" s="13">
        <f t="shared" si="0"/>
        <v>0</v>
      </c>
      <c r="G19" s="38"/>
      <c r="H19" s="42"/>
      <c r="I19" s="42"/>
      <c r="J19" s="38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62"/>
      <c r="C20" s="42"/>
      <c r="D20" s="42"/>
      <c r="E20" s="39"/>
      <c r="F20" s="13">
        <f t="shared" si="0"/>
        <v>0</v>
      </c>
      <c r="G20" s="38"/>
      <c r="H20" s="42"/>
      <c r="I20" s="42"/>
      <c r="J20" s="38"/>
      <c r="K20" s="11">
        <f t="shared" si="1"/>
        <v>0</v>
      </c>
      <c r="L20" s="5">
        <f t="shared" si="2"/>
        <v>0</v>
      </c>
    </row>
    <row r="21" spans="1:12" ht="15" customHeight="1" thickBot="1" x14ac:dyDescent="0.3">
      <c r="A21" s="47">
        <v>13</v>
      </c>
      <c r="B21" s="62"/>
      <c r="C21" s="42"/>
      <c r="D21" s="42">
        <v>1</v>
      </c>
      <c r="E21" s="39"/>
      <c r="F21" s="13">
        <f t="shared" si="0"/>
        <v>1</v>
      </c>
      <c r="G21" s="38"/>
      <c r="H21" s="42"/>
      <c r="I21" s="42"/>
      <c r="J21" s="38"/>
      <c r="K21" s="11">
        <f t="shared" si="1"/>
        <v>0</v>
      </c>
      <c r="L21" s="5">
        <f t="shared" si="2"/>
        <v>1</v>
      </c>
    </row>
    <row r="22" spans="1:12" ht="15" customHeight="1" thickBot="1" x14ac:dyDescent="0.3">
      <c r="A22" s="47">
        <v>14</v>
      </c>
      <c r="B22" s="62"/>
      <c r="C22" s="42"/>
      <c r="D22" s="42"/>
      <c r="E22" s="39"/>
      <c r="F22" s="13">
        <f t="shared" si="0"/>
        <v>0</v>
      </c>
      <c r="G22" s="38"/>
      <c r="H22" s="42"/>
      <c r="I22" s="42"/>
      <c r="J22" s="38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7">
        <v>15</v>
      </c>
      <c r="B23" s="62"/>
      <c r="C23" s="42"/>
      <c r="D23" s="42"/>
      <c r="E23" s="39"/>
      <c r="F23" s="13">
        <f t="shared" si="0"/>
        <v>0</v>
      </c>
      <c r="G23" s="38"/>
      <c r="H23" s="42"/>
      <c r="I23" s="42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7">
        <v>16</v>
      </c>
      <c r="B24" s="62"/>
      <c r="C24" s="42"/>
      <c r="D24" s="42"/>
      <c r="E24" s="39"/>
      <c r="F24" s="13">
        <f t="shared" si="0"/>
        <v>0</v>
      </c>
      <c r="G24" s="38"/>
      <c r="H24" s="42"/>
      <c r="I24" s="42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7">
        <v>17</v>
      </c>
      <c r="B25" s="62">
        <v>1</v>
      </c>
      <c r="C25" s="63"/>
      <c r="D25" s="42"/>
      <c r="E25" s="39"/>
      <c r="F25" s="13">
        <f t="shared" si="0"/>
        <v>1</v>
      </c>
      <c r="G25" s="38"/>
      <c r="H25" s="42"/>
      <c r="I25" s="42"/>
      <c r="J25" s="38"/>
      <c r="K25" s="11">
        <f t="shared" si="1"/>
        <v>0</v>
      </c>
      <c r="L25" s="5">
        <f t="shared" si="2"/>
        <v>1</v>
      </c>
    </row>
    <row r="26" spans="1:12" ht="15" customHeight="1" thickBot="1" x14ac:dyDescent="0.3">
      <c r="A26" s="47">
        <v>18</v>
      </c>
      <c r="B26" s="62"/>
      <c r="C26" s="42"/>
      <c r="D26" s="42"/>
      <c r="E26" s="39"/>
      <c r="F26" s="13">
        <f t="shared" si="0"/>
        <v>0</v>
      </c>
      <c r="G26" s="38"/>
      <c r="H26" s="42"/>
      <c r="I26" s="42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62"/>
      <c r="C27" s="42"/>
      <c r="D27" s="42"/>
      <c r="E27" s="39"/>
      <c r="F27" s="13">
        <f t="shared" si="0"/>
        <v>0</v>
      </c>
      <c r="G27" s="38"/>
      <c r="H27" s="42"/>
      <c r="I27" s="42"/>
      <c r="J27" s="38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7">
        <v>20</v>
      </c>
      <c r="B28" s="62"/>
      <c r="C28" s="42"/>
      <c r="D28" s="42"/>
      <c r="E28" s="39"/>
      <c r="F28" s="13">
        <f t="shared" si="0"/>
        <v>0</v>
      </c>
      <c r="G28" s="38"/>
      <c r="H28" s="42"/>
      <c r="I28" s="42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7">
        <v>21</v>
      </c>
      <c r="B29" s="62"/>
      <c r="C29" s="42"/>
      <c r="D29" s="42"/>
      <c r="E29" s="39"/>
      <c r="F29" s="13">
        <f t="shared" si="0"/>
        <v>0</v>
      </c>
      <c r="G29" s="38"/>
      <c r="H29" s="42"/>
      <c r="I29" s="42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7">
        <v>22</v>
      </c>
      <c r="B30" s="62"/>
      <c r="C30" s="42"/>
      <c r="D30" s="42"/>
      <c r="E30" s="39"/>
      <c r="F30" s="13">
        <f t="shared" si="0"/>
        <v>0</v>
      </c>
      <c r="G30" s="38"/>
      <c r="H30" s="42"/>
      <c r="I30" s="42"/>
      <c r="J30" s="38"/>
      <c r="K30" s="11">
        <f t="shared" si="1"/>
        <v>0</v>
      </c>
      <c r="L30" s="5">
        <f t="shared" si="2"/>
        <v>0</v>
      </c>
    </row>
    <row r="31" spans="1:12" ht="15" customHeight="1" thickBot="1" x14ac:dyDescent="0.3">
      <c r="A31" s="47">
        <v>23</v>
      </c>
      <c r="B31" s="62"/>
      <c r="C31" s="42"/>
      <c r="D31" s="42"/>
      <c r="E31" s="39"/>
      <c r="F31" s="13">
        <f t="shared" si="0"/>
        <v>0</v>
      </c>
      <c r="G31" s="38"/>
      <c r="H31" s="42">
        <v>1</v>
      </c>
      <c r="I31" s="38"/>
      <c r="J31" s="38"/>
      <c r="K31" s="11">
        <f t="shared" si="1"/>
        <v>1</v>
      </c>
      <c r="L31" s="5">
        <f t="shared" si="2"/>
        <v>1</v>
      </c>
    </row>
    <row r="32" spans="1:12" ht="15" customHeight="1" thickBot="1" x14ac:dyDescent="0.3">
      <c r="A32" s="47">
        <v>24</v>
      </c>
      <c r="B32" s="62">
        <v>2</v>
      </c>
      <c r="C32" s="42">
        <v>1</v>
      </c>
      <c r="D32" s="42"/>
      <c r="E32" s="39"/>
      <c r="F32" s="13">
        <f t="shared" si="0"/>
        <v>3</v>
      </c>
      <c r="G32" s="38"/>
      <c r="H32" s="42"/>
      <c r="I32" s="38"/>
      <c r="J32" s="38"/>
      <c r="K32" s="11">
        <f t="shared" si="1"/>
        <v>0</v>
      </c>
      <c r="L32" s="5">
        <f t="shared" si="2"/>
        <v>3</v>
      </c>
    </row>
    <row r="33" spans="1:12" ht="15" customHeight="1" thickBot="1" x14ac:dyDescent="0.3">
      <c r="A33" s="47">
        <v>25</v>
      </c>
      <c r="B33" s="62"/>
      <c r="C33" s="42"/>
      <c r="D33" s="42"/>
      <c r="E33" s="39"/>
      <c r="F33" s="13">
        <f t="shared" si="0"/>
        <v>0</v>
      </c>
      <c r="G33" s="38"/>
      <c r="H33" s="42"/>
      <c r="I33" s="38"/>
      <c r="J33" s="38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7">
        <v>26</v>
      </c>
      <c r="B34" s="62"/>
      <c r="C34" s="42"/>
      <c r="D34" s="42"/>
      <c r="E34" s="39"/>
      <c r="F34" s="13">
        <f t="shared" si="0"/>
        <v>0</v>
      </c>
      <c r="G34" s="38"/>
      <c r="H34" s="42"/>
      <c r="I34" s="42"/>
      <c r="J34" s="42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7">
        <v>27</v>
      </c>
      <c r="B35" s="62"/>
      <c r="C35" s="42"/>
      <c r="D35" s="42"/>
      <c r="E35" s="39"/>
      <c r="F35" s="13">
        <f t="shared" si="0"/>
        <v>0</v>
      </c>
      <c r="G35" s="68">
        <v>1</v>
      </c>
      <c r="H35" s="42"/>
      <c r="I35" s="42"/>
      <c r="J35" s="42"/>
      <c r="K35" s="11">
        <f t="shared" si="1"/>
        <v>1</v>
      </c>
      <c r="L35" s="5">
        <f t="shared" si="2"/>
        <v>1</v>
      </c>
    </row>
    <row r="36" spans="1:12" ht="15" customHeight="1" thickBot="1" x14ac:dyDescent="0.3">
      <c r="A36" s="47">
        <v>28</v>
      </c>
      <c r="B36" s="62"/>
      <c r="C36" s="42"/>
      <c r="D36" s="42"/>
      <c r="E36" s="39"/>
      <c r="F36" s="13">
        <f t="shared" si="0"/>
        <v>0</v>
      </c>
      <c r="G36" s="38"/>
      <c r="H36" s="42"/>
      <c r="I36" s="42"/>
      <c r="J36" s="42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7">
        <v>29</v>
      </c>
      <c r="B37" s="62">
        <v>13</v>
      </c>
      <c r="C37" s="42"/>
      <c r="D37" s="42"/>
      <c r="E37" s="39"/>
      <c r="F37" s="13">
        <f t="shared" si="0"/>
        <v>13</v>
      </c>
      <c r="G37" s="38"/>
      <c r="H37" s="42"/>
      <c r="I37" s="42"/>
      <c r="J37" s="42"/>
      <c r="K37" s="11">
        <f t="shared" si="1"/>
        <v>0</v>
      </c>
      <c r="L37" s="5">
        <f t="shared" si="2"/>
        <v>13</v>
      </c>
    </row>
    <row r="38" spans="1:12" ht="15" customHeight="1" thickBot="1" x14ac:dyDescent="0.3">
      <c r="A38" s="47">
        <v>30</v>
      </c>
      <c r="B38" s="62"/>
      <c r="C38" s="42"/>
      <c r="D38" s="42"/>
      <c r="E38" s="39"/>
      <c r="F38" s="13">
        <f t="shared" si="0"/>
        <v>0</v>
      </c>
      <c r="G38" s="38"/>
      <c r="H38" s="42"/>
      <c r="I38" s="42"/>
      <c r="J38" s="42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49">
        <v>31</v>
      </c>
      <c r="B39" s="64"/>
      <c r="C39" s="65"/>
      <c r="D39" s="65"/>
      <c r="E39" s="66"/>
      <c r="F39" s="13">
        <f t="shared" si="0"/>
        <v>0</v>
      </c>
      <c r="G39" s="38"/>
      <c r="H39" s="42"/>
      <c r="I39" s="42"/>
      <c r="J39" s="42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17</v>
      </c>
      <c r="C40" s="52">
        <f t="shared" ref="C40:E40" si="3">SUM(C9:C39)</f>
        <v>1</v>
      </c>
      <c r="D40" s="52">
        <f t="shared" si="3"/>
        <v>1</v>
      </c>
      <c r="E40" s="52">
        <f t="shared" si="3"/>
        <v>0</v>
      </c>
      <c r="F40" s="51">
        <f>SUM(F9:F39)</f>
        <v>19</v>
      </c>
      <c r="G40" s="12">
        <f>SUM(G9:G39)</f>
        <v>7</v>
      </c>
      <c r="H40" s="12">
        <f t="shared" ref="H40:L40" si="4">SUM(H9:H39)</f>
        <v>1</v>
      </c>
      <c r="I40" s="12">
        <f t="shared" si="4"/>
        <v>2</v>
      </c>
      <c r="J40" s="12">
        <f t="shared" si="4"/>
        <v>0</v>
      </c>
      <c r="K40" s="12">
        <f t="shared" si="4"/>
        <v>10</v>
      </c>
      <c r="L40" s="12">
        <f t="shared" si="4"/>
        <v>29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2"/>
      <c r="B42" s="82"/>
      <c r="C42" s="82"/>
      <c r="D42" s="82"/>
      <c r="E42" s="82"/>
      <c r="F42" s="82"/>
      <c r="G42" s="83" t="s">
        <v>16</v>
      </c>
      <c r="H42" s="84"/>
      <c r="I42" s="84" t="s">
        <v>17</v>
      </c>
      <c r="J42" s="85"/>
      <c r="K42" s="7"/>
      <c r="L42" s="9"/>
    </row>
    <row r="43" spans="1:12" ht="15" customHeight="1" thickBot="1" x14ac:dyDescent="0.3">
      <c r="A43" s="10"/>
      <c r="B43" s="69" t="s">
        <v>18</v>
      </c>
      <c r="C43" s="70"/>
      <c r="D43" s="70"/>
      <c r="E43" s="70"/>
      <c r="F43" s="70"/>
      <c r="G43" s="80">
        <v>61</v>
      </c>
      <c r="H43" s="86"/>
      <c r="I43" s="87"/>
      <c r="J43" s="88"/>
      <c r="K43" s="7"/>
      <c r="L43" s="9"/>
    </row>
    <row r="44" spans="1:12" ht="15" customHeight="1" thickBot="1" x14ac:dyDescent="0.3">
      <c r="A44" s="10"/>
      <c r="B44" s="69" t="s">
        <v>19</v>
      </c>
      <c r="C44" s="70"/>
      <c r="D44" s="70"/>
      <c r="E44" s="70"/>
      <c r="F44" s="70"/>
      <c r="G44" s="73">
        <v>104</v>
      </c>
      <c r="H44" s="72"/>
      <c r="I44" s="73"/>
      <c r="J44" s="72"/>
      <c r="K44" s="7"/>
      <c r="L44" s="9"/>
    </row>
    <row r="45" spans="1:12" ht="15" customHeight="1" thickBot="1" x14ac:dyDescent="0.3">
      <c r="A45" s="10"/>
      <c r="B45" s="77" t="s">
        <v>20</v>
      </c>
      <c r="C45" s="77"/>
      <c r="D45" s="77"/>
      <c r="E45" s="77"/>
      <c r="F45" s="69"/>
      <c r="G45" s="78">
        <v>0</v>
      </c>
      <c r="H45" s="79"/>
      <c r="I45" s="80"/>
      <c r="J45" s="81"/>
      <c r="K45" s="7"/>
      <c r="L45" s="9"/>
    </row>
    <row r="46" spans="1:12" ht="15" customHeight="1" thickBot="1" x14ac:dyDescent="0.3">
      <c r="A46" s="10"/>
      <c r="B46" s="69" t="s">
        <v>21</v>
      </c>
      <c r="C46" s="70"/>
      <c r="D46" s="70"/>
      <c r="E46" s="70"/>
      <c r="F46" s="70"/>
      <c r="G46" s="71">
        <f>L40+G45</f>
        <v>29</v>
      </c>
      <c r="H46" s="72"/>
      <c r="I46" s="73"/>
      <c r="J46" s="72"/>
      <c r="K46" s="7"/>
      <c r="L46" s="9"/>
    </row>
    <row r="47" spans="1:12" ht="15" customHeight="1" thickBot="1" x14ac:dyDescent="0.3">
      <c r="A47" s="3"/>
      <c r="B47" s="69" t="s">
        <v>22</v>
      </c>
      <c r="C47" s="70"/>
      <c r="D47" s="70"/>
      <c r="E47" s="70"/>
      <c r="F47" s="70"/>
      <c r="G47" s="71">
        <f>G43+G44-G46</f>
        <v>136</v>
      </c>
      <c r="H47" s="72"/>
      <c r="I47" s="73"/>
      <c r="J47" s="72"/>
      <c r="K47" s="7"/>
      <c r="L47" s="2"/>
    </row>
    <row r="48" spans="1:12" ht="15" customHeight="1" thickBot="1" x14ac:dyDescent="0.3">
      <c r="A48" s="3"/>
      <c r="B48" s="69" t="s">
        <v>23</v>
      </c>
      <c r="C48" s="70"/>
      <c r="D48" s="70"/>
      <c r="E48" s="70"/>
      <c r="F48" s="70"/>
      <c r="G48" s="71">
        <v>136</v>
      </c>
      <c r="H48" s="72"/>
      <c r="I48" s="73"/>
      <c r="J48" s="72"/>
      <c r="K48" s="7"/>
      <c r="L48" s="2"/>
    </row>
    <row r="49" spans="1:12" ht="15" customHeight="1" thickBot="1" x14ac:dyDescent="0.3">
      <c r="A49" s="3"/>
      <c r="B49" s="69" t="s">
        <v>24</v>
      </c>
      <c r="C49" s="70"/>
      <c r="D49" s="70"/>
      <c r="E49" s="70"/>
      <c r="F49" s="70"/>
      <c r="G49" s="74">
        <f>G47-G48</f>
        <v>0</v>
      </c>
      <c r="H49" s="75"/>
      <c r="I49" s="76"/>
      <c r="J49" s="75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E0AAD-D8C4-49DD-A0A4-94D453B22565}">
  <dimension ref="A1:L52"/>
  <sheetViews>
    <sheetView topLeftCell="A16" workbookViewId="0">
      <selection activeCell="G49" sqref="G49:H49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22"/>
      <c r="F1" s="23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22"/>
      <c r="F2" s="23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22"/>
      <c r="F3" s="23"/>
      <c r="G3" s="91" t="s">
        <v>27</v>
      </c>
      <c r="H3" s="91"/>
      <c r="I3" s="91"/>
      <c r="J3" s="91"/>
      <c r="K3" s="91"/>
      <c r="L3" s="91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9" t="s">
        <v>5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6.5" thickBot="1" x14ac:dyDescent="0.3">
      <c r="A6" s="90" t="s">
        <v>36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6">
        <v>1</v>
      </c>
      <c r="B9" s="61"/>
      <c r="C9" s="54"/>
      <c r="D9" s="54"/>
      <c r="E9" s="56"/>
      <c r="F9" s="13">
        <f>SUM(B9:E9)</f>
        <v>0</v>
      </c>
      <c r="G9" s="35"/>
      <c r="H9" s="67"/>
      <c r="I9" s="67"/>
      <c r="J9" s="67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62"/>
      <c r="C10" s="42"/>
      <c r="D10" s="42"/>
      <c r="E10" s="39"/>
      <c r="F10" s="13">
        <f t="shared" ref="F10:F39" si="0">SUM(B10:E10)</f>
        <v>0</v>
      </c>
      <c r="G10" s="38"/>
      <c r="H10" s="42"/>
      <c r="I10" s="42"/>
      <c r="J10" s="42"/>
      <c r="K10" s="11">
        <f t="shared" ref="K10:K39" si="1">SUM(G10:J10)</f>
        <v>0</v>
      </c>
      <c r="L10" s="5">
        <f t="shared" ref="L10:L39" si="2">SUM(F10+K10)</f>
        <v>0</v>
      </c>
    </row>
    <row r="11" spans="1:12" ht="15" customHeight="1" thickBot="1" x14ac:dyDescent="0.3">
      <c r="A11" s="47">
        <v>3</v>
      </c>
      <c r="B11" s="62"/>
      <c r="C11" s="42"/>
      <c r="D11" s="42"/>
      <c r="E11" s="39"/>
      <c r="F11" s="13">
        <f t="shared" si="0"/>
        <v>0</v>
      </c>
      <c r="G11" s="38"/>
      <c r="H11" s="42"/>
      <c r="I11" s="42"/>
      <c r="J11" s="42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7">
        <v>4</v>
      </c>
      <c r="B12" s="62"/>
      <c r="C12" s="42"/>
      <c r="D12" s="42"/>
      <c r="E12" s="39"/>
      <c r="F12" s="13">
        <f t="shared" si="0"/>
        <v>0</v>
      </c>
      <c r="G12" s="38"/>
      <c r="H12" s="42"/>
      <c r="I12" s="42"/>
      <c r="J12" s="42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7">
        <v>5</v>
      </c>
      <c r="B13" s="62"/>
      <c r="C13" s="42"/>
      <c r="D13" s="42"/>
      <c r="E13" s="39"/>
      <c r="F13" s="13">
        <f t="shared" si="0"/>
        <v>0</v>
      </c>
      <c r="G13" s="38"/>
      <c r="H13" s="42"/>
      <c r="I13" s="42"/>
      <c r="J13" s="42"/>
      <c r="K13" s="11">
        <f t="shared" si="1"/>
        <v>0</v>
      </c>
      <c r="L13" s="5">
        <f t="shared" si="2"/>
        <v>0</v>
      </c>
    </row>
    <row r="14" spans="1:12" ht="15" customHeight="1" thickBot="1" x14ac:dyDescent="0.3">
      <c r="A14" s="47">
        <v>6</v>
      </c>
      <c r="B14" s="62"/>
      <c r="C14" s="42"/>
      <c r="D14" s="42"/>
      <c r="E14" s="39"/>
      <c r="F14" s="13">
        <f t="shared" si="0"/>
        <v>0</v>
      </c>
      <c r="G14" s="38"/>
      <c r="H14" s="42"/>
      <c r="I14" s="42"/>
      <c r="J14" s="38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62"/>
      <c r="C15" s="42"/>
      <c r="D15" s="42"/>
      <c r="E15" s="39"/>
      <c r="F15" s="13">
        <f t="shared" si="0"/>
        <v>0</v>
      </c>
      <c r="G15" s="38"/>
      <c r="H15" s="42"/>
      <c r="I15" s="42"/>
      <c r="J15" s="38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7">
        <v>8</v>
      </c>
      <c r="B16" s="62">
        <v>2</v>
      </c>
      <c r="C16" s="42"/>
      <c r="D16" s="42"/>
      <c r="E16" s="39">
        <v>1</v>
      </c>
      <c r="F16" s="13">
        <f t="shared" si="0"/>
        <v>3</v>
      </c>
      <c r="G16" s="38"/>
      <c r="H16" s="42"/>
      <c r="I16" s="42"/>
      <c r="J16" s="38"/>
      <c r="K16" s="11">
        <f t="shared" si="1"/>
        <v>0</v>
      </c>
      <c r="L16" s="5">
        <f t="shared" si="2"/>
        <v>3</v>
      </c>
    </row>
    <row r="17" spans="1:12" ht="15" customHeight="1" thickBot="1" x14ac:dyDescent="0.3">
      <c r="A17" s="47">
        <v>9</v>
      </c>
      <c r="B17" s="62"/>
      <c r="C17" s="42"/>
      <c r="D17" s="42"/>
      <c r="E17" s="39"/>
      <c r="F17" s="13">
        <f t="shared" si="0"/>
        <v>0</v>
      </c>
      <c r="G17" s="38"/>
      <c r="H17" s="42"/>
      <c r="I17" s="42"/>
      <c r="J17" s="38"/>
      <c r="K17" s="11">
        <f t="shared" si="1"/>
        <v>0</v>
      </c>
      <c r="L17" s="5">
        <f t="shared" si="2"/>
        <v>0</v>
      </c>
    </row>
    <row r="18" spans="1:12" ht="15" customHeight="1" thickBot="1" x14ac:dyDescent="0.3">
      <c r="A18" s="47">
        <v>10</v>
      </c>
      <c r="B18" s="62"/>
      <c r="C18" s="42"/>
      <c r="D18" s="42"/>
      <c r="E18" s="39"/>
      <c r="F18" s="13">
        <f t="shared" si="0"/>
        <v>0</v>
      </c>
      <c r="G18" s="38"/>
      <c r="H18" s="42"/>
      <c r="I18" s="42"/>
      <c r="J18" s="38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7">
        <v>11</v>
      </c>
      <c r="B19" s="62"/>
      <c r="C19" s="42"/>
      <c r="D19" s="42"/>
      <c r="E19" s="39"/>
      <c r="F19" s="13">
        <f t="shared" si="0"/>
        <v>0</v>
      </c>
      <c r="G19" s="38"/>
      <c r="H19" s="42"/>
      <c r="I19" s="42"/>
      <c r="J19" s="38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62">
        <v>1</v>
      </c>
      <c r="C20" s="42"/>
      <c r="D20" s="42"/>
      <c r="E20" s="39"/>
      <c r="F20" s="13">
        <f t="shared" si="0"/>
        <v>1</v>
      </c>
      <c r="G20" s="38"/>
      <c r="H20" s="42"/>
      <c r="I20" s="42"/>
      <c r="J20" s="38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7">
        <v>13</v>
      </c>
      <c r="B21" s="62"/>
      <c r="C21" s="42"/>
      <c r="D21" s="42"/>
      <c r="E21" s="39"/>
      <c r="F21" s="13">
        <f t="shared" si="0"/>
        <v>0</v>
      </c>
      <c r="G21" s="38"/>
      <c r="H21" s="42"/>
      <c r="I21" s="42"/>
      <c r="J21" s="38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7">
        <v>14</v>
      </c>
      <c r="B22" s="62"/>
      <c r="C22" s="42"/>
      <c r="D22" s="42"/>
      <c r="E22" s="39"/>
      <c r="F22" s="13">
        <f t="shared" si="0"/>
        <v>0</v>
      </c>
      <c r="G22" s="38"/>
      <c r="H22" s="42"/>
      <c r="I22" s="42"/>
      <c r="J22" s="38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7">
        <v>15</v>
      </c>
      <c r="B23" s="62">
        <v>4</v>
      </c>
      <c r="C23" s="42"/>
      <c r="D23" s="42"/>
      <c r="E23" s="39"/>
      <c r="F23" s="13">
        <f t="shared" si="0"/>
        <v>4</v>
      </c>
      <c r="G23" s="38"/>
      <c r="H23" s="42"/>
      <c r="I23" s="42"/>
      <c r="J23" s="38"/>
      <c r="K23" s="11">
        <f t="shared" si="1"/>
        <v>0</v>
      </c>
      <c r="L23" s="5">
        <f t="shared" si="2"/>
        <v>4</v>
      </c>
    </row>
    <row r="24" spans="1:12" ht="15" customHeight="1" thickBot="1" x14ac:dyDescent="0.3">
      <c r="A24" s="47">
        <v>16</v>
      </c>
      <c r="B24" s="62">
        <v>1</v>
      </c>
      <c r="C24" s="42"/>
      <c r="D24" s="42"/>
      <c r="E24" s="39"/>
      <c r="F24" s="13">
        <f t="shared" si="0"/>
        <v>1</v>
      </c>
      <c r="G24" s="38"/>
      <c r="H24" s="42"/>
      <c r="I24" s="42"/>
      <c r="J24" s="38"/>
      <c r="K24" s="11">
        <f t="shared" si="1"/>
        <v>0</v>
      </c>
      <c r="L24" s="5">
        <f t="shared" si="2"/>
        <v>1</v>
      </c>
    </row>
    <row r="25" spans="1:12" ht="15" customHeight="1" thickBot="1" x14ac:dyDescent="0.3">
      <c r="A25" s="47">
        <v>17</v>
      </c>
      <c r="B25" s="62"/>
      <c r="C25" s="63"/>
      <c r="D25" s="42"/>
      <c r="E25" s="39"/>
      <c r="F25" s="13">
        <f t="shared" si="0"/>
        <v>0</v>
      </c>
      <c r="G25" s="38"/>
      <c r="H25" s="42"/>
      <c r="I25" s="42"/>
      <c r="J25" s="38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7">
        <v>18</v>
      </c>
      <c r="B26" s="62"/>
      <c r="C26" s="42"/>
      <c r="D26" s="42"/>
      <c r="E26" s="39"/>
      <c r="F26" s="13">
        <f t="shared" si="0"/>
        <v>0</v>
      </c>
      <c r="G26" s="38"/>
      <c r="H26" s="42"/>
      <c r="I26" s="42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62"/>
      <c r="C27" s="42"/>
      <c r="D27" s="42"/>
      <c r="E27" s="39"/>
      <c r="F27" s="13">
        <f t="shared" si="0"/>
        <v>0</v>
      </c>
      <c r="G27" s="38"/>
      <c r="H27" s="42"/>
      <c r="I27" s="42"/>
      <c r="J27" s="38"/>
      <c r="K27" s="11">
        <f t="shared" si="1"/>
        <v>0</v>
      </c>
      <c r="L27" s="5">
        <f t="shared" si="2"/>
        <v>0</v>
      </c>
    </row>
    <row r="28" spans="1:12" ht="15" customHeight="1" thickBot="1" x14ac:dyDescent="0.3">
      <c r="A28" s="47">
        <v>20</v>
      </c>
      <c r="B28" s="62"/>
      <c r="C28" s="42"/>
      <c r="D28" s="42"/>
      <c r="E28" s="39"/>
      <c r="F28" s="13">
        <f t="shared" si="0"/>
        <v>0</v>
      </c>
      <c r="G28" s="38"/>
      <c r="H28" s="42"/>
      <c r="I28" s="42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7">
        <v>21</v>
      </c>
      <c r="B29" s="62">
        <v>1</v>
      </c>
      <c r="C29" s="42"/>
      <c r="D29" s="42"/>
      <c r="E29" s="39"/>
      <c r="F29" s="13">
        <f t="shared" si="0"/>
        <v>1</v>
      </c>
      <c r="G29" s="38"/>
      <c r="H29" s="42"/>
      <c r="I29" s="42"/>
      <c r="J29" s="38"/>
      <c r="K29" s="11">
        <f t="shared" si="1"/>
        <v>0</v>
      </c>
      <c r="L29" s="5">
        <f t="shared" si="2"/>
        <v>1</v>
      </c>
    </row>
    <row r="30" spans="1:12" ht="15" customHeight="1" thickBot="1" x14ac:dyDescent="0.3">
      <c r="A30" s="47">
        <v>22</v>
      </c>
      <c r="B30" s="62">
        <v>3</v>
      </c>
      <c r="C30" s="42"/>
      <c r="D30" s="42"/>
      <c r="E30" s="39"/>
      <c r="F30" s="13">
        <f t="shared" si="0"/>
        <v>3</v>
      </c>
      <c r="G30" s="38"/>
      <c r="H30" s="42"/>
      <c r="I30" s="42"/>
      <c r="J30" s="38"/>
      <c r="K30" s="11">
        <f t="shared" si="1"/>
        <v>0</v>
      </c>
      <c r="L30" s="5">
        <f t="shared" si="2"/>
        <v>3</v>
      </c>
    </row>
    <row r="31" spans="1:12" ht="15" customHeight="1" thickBot="1" x14ac:dyDescent="0.3">
      <c r="A31" s="47">
        <v>23</v>
      </c>
      <c r="B31" s="62">
        <v>12</v>
      </c>
      <c r="C31" s="42"/>
      <c r="D31" s="42"/>
      <c r="E31" s="39"/>
      <c r="F31" s="13">
        <f t="shared" si="0"/>
        <v>12</v>
      </c>
      <c r="G31" s="38"/>
      <c r="H31" s="42"/>
      <c r="I31" s="38"/>
      <c r="J31" s="38"/>
      <c r="K31" s="11">
        <f t="shared" si="1"/>
        <v>0</v>
      </c>
      <c r="L31" s="5">
        <f t="shared" si="2"/>
        <v>12</v>
      </c>
    </row>
    <row r="32" spans="1:12" ht="15" customHeight="1" thickBot="1" x14ac:dyDescent="0.3">
      <c r="A32" s="47">
        <v>24</v>
      </c>
      <c r="B32" s="62"/>
      <c r="C32" s="42"/>
      <c r="D32" s="42"/>
      <c r="E32" s="39"/>
      <c r="F32" s="13">
        <f t="shared" si="0"/>
        <v>0</v>
      </c>
      <c r="G32" s="38"/>
      <c r="H32" s="42"/>
      <c r="I32" s="38"/>
      <c r="J32" s="38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7">
        <v>25</v>
      </c>
      <c r="B33" s="62"/>
      <c r="C33" s="42"/>
      <c r="D33" s="42"/>
      <c r="E33" s="39"/>
      <c r="F33" s="13">
        <f t="shared" si="0"/>
        <v>0</v>
      </c>
      <c r="G33" s="38"/>
      <c r="H33" s="42"/>
      <c r="I33" s="38"/>
      <c r="J33" s="38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7">
        <v>26</v>
      </c>
      <c r="B34" s="62"/>
      <c r="C34" s="42"/>
      <c r="D34" s="42"/>
      <c r="E34" s="39"/>
      <c r="F34" s="13">
        <f t="shared" si="0"/>
        <v>0</v>
      </c>
      <c r="G34" s="38"/>
      <c r="H34" s="42"/>
      <c r="I34" s="42"/>
      <c r="J34" s="42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7">
        <v>27</v>
      </c>
      <c r="B35" s="62">
        <v>7</v>
      </c>
      <c r="C35" s="42"/>
      <c r="D35" s="42">
        <v>2</v>
      </c>
      <c r="E35" s="39"/>
      <c r="F35" s="13">
        <f t="shared" si="0"/>
        <v>9</v>
      </c>
      <c r="G35" s="68"/>
      <c r="H35" s="42"/>
      <c r="I35" s="42"/>
      <c r="J35" s="42"/>
      <c r="K35" s="11">
        <f t="shared" si="1"/>
        <v>0</v>
      </c>
      <c r="L35" s="5">
        <f t="shared" si="2"/>
        <v>9</v>
      </c>
    </row>
    <row r="36" spans="1:12" ht="15" customHeight="1" thickBot="1" x14ac:dyDescent="0.3">
      <c r="A36" s="47">
        <v>28</v>
      </c>
      <c r="B36" s="62">
        <v>9</v>
      </c>
      <c r="C36" s="42"/>
      <c r="D36" s="42"/>
      <c r="E36" s="39"/>
      <c r="F36" s="13">
        <f t="shared" si="0"/>
        <v>9</v>
      </c>
      <c r="G36" s="38"/>
      <c r="H36" s="42"/>
      <c r="I36" s="42"/>
      <c r="J36" s="42"/>
      <c r="K36" s="11">
        <f t="shared" si="1"/>
        <v>0</v>
      </c>
      <c r="L36" s="5">
        <f t="shared" si="2"/>
        <v>9</v>
      </c>
    </row>
    <row r="37" spans="1:12" ht="15" customHeight="1" thickBot="1" x14ac:dyDescent="0.3">
      <c r="A37" s="47">
        <v>29</v>
      </c>
      <c r="B37" s="62">
        <v>6</v>
      </c>
      <c r="C37" s="42"/>
      <c r="D37" s="42"/>
      <c r="E37" s="39"/>
      <c r="F37" s="13">
        <f t="shared" si="0"/>
        <v>6</v>
      </c>
      <c r="G37" s="38"/>
      <c r="H37" s="42"/>
      <c r="I37" s="42"/>
      <c r="J37" s="42"/>
      <c r="K37" s="11">
        <f t="shared" si="1"/>
        <v>0</v>
      </c>
      <c r="L37" s="5">
        <f t="shared" si="2"/>
        <v>6</v>
      </c>
    </row>
    <row r="38" spans="1:12" ht="15" customHeight="1" thickBot="1" x14ac:dyDescent="0.3">
      <c r="A38" s="47">
        <v>30</v>
      </c>
      <c r="B38" s="62"/>
      <c r="C38" s="42"/>
      <c r="D38" s="42"/>
      <c r="E38" s="39"/>
      <c r="F38" s="13">
        <f t="shared" si="0"/>
        <v>0</v>
      </c>
      <c r="G38" s="38"/>
      <c r="H38" s="42"/>
      <c r="I38" s="42"/>
      <c r="J38" s="42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49">
        <v>31</v>
      </c>
      <c r="B39" s="64"/>
      <c r="C39" s="65"/>
      <c r="D39" s="65"/>
      <c r="E39" s="66"/>
      <c r="F39" s="13">
        <f t="shared" si="0"/>
        <v>0</v>
      </c>
      <c r="G39" s="38"/>
      <c r="H39" s="42"/>
      <c r="I39" s="42"/>
      <c r="J39" s="42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46</v>
      </c>
      <c r="C40" s="52">
        <f t="shared" ref="C40:E40" si="3">SUM(C9:C39)</f>
        <v>0</v>
      </c>
      <c r="D40" s="52">
        <f t="shared" si="3"/>
        <v>2</v>
      </c>
      <c r="E40" s="52">
        <f t="shared" si="3"/>
        <v>1</v>
      </c>
      <c r="F40" s="51">
        <f>SUM(F9:F39)</f>
        <v>49</v>
      </c>
      <c r="G40" s="12">
        <f>SUM(G9:G39)</f>
        <v>0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0</v>
      </c>
      <c r="L40" s="12">
        <f t="shared" si="4"/>
        <v>49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2"/>
      <c r="B42" s="82"/>
      <c r="C42" s="82"/>
      <c r="D42" s="82"/>
      <c r="E42" s="82"/>
      <c r="F42" s="82"/>
      <c r="G42" s="83" t="s">
        <v>16</v>
      </c>
      <c r="H42" s="84"/>
      <c r="I42" s="84" t="s">
        <v>17</v>
      </c>
      <c r="J42" s="85"/>
      <c r="K42" s="7"/>
      <c r="L42" s="9"/>
    </row>
    <row r="43" spans="1:12" ht="15" customHeight="1" thickBot="1" x14ac:dyDescent="0.3">
      <c r="A43" s="10"/>
      <c r="B43" s="69" t="s">
        <v>18</v>
      </c>
      <c r="C43" s="70"/>
      <c r="D43" s="70"/>
      <c r="E43" s="70"/>
      <c r="F43" s="70"/>
      <c r="G43" s="80">
        <v>136</v>
      </c>
      <c r="H43" s="86"/>
      <c r="I43" s="87"/>
      <c r="J43" s="88"/>
      <c r="K43" s="7"/>
      <c r="L43" s="9"/>
    </row>
    <row r="44" spans="1:12" ht="15" customHeight="1" thickBot="1" x14ac:dyDescent="0.3">
      <c r="A44" s="10"/>
      <c r="B44" s="69" t="s">
        <v>19</v>
      </c>
      <c r="C44" s="70"/>
      <c r="D44" s="70"/>
      <c r="E44" s="70"/>
      <c r="F44" s="70"/>
      <c r="G44" s="73">
        <v>0</v>
      </c>
      <c r="H44" s="72"/>
      <c r="I44" s="73"/>
      <c r="J44" s="72"/>
      <c r="K44" s="7"/>
      <c r="L44" s="9"/>
    </row>
    <row r="45" spans="1:12" ht="15" customHeight="1" thickBot="1" x14ac:dyDescent="0.3">
      <c r="A45" s="10"/>
      <c r="B45" s="77" t="s">
        <v>20</v>
      </c>
      <c r="C45" s="77"/>
      <c r="D45" s="77"/>
      <c r="E45" s="77"/>
      <c r="F45" s="69"/>
      <c r="G45" s="78">
        <v>0</v>
      </c>
      <c r="H45" s="79"/>
      <c r="I45" s="80"/>
      <c r="J45" s="81"/>
      <c r="K45" s="7"/>
      <c r="L45" s="9"/>
    </row>
    <row r="46" spans="1:12" ht="15" customHeight="1" thickBot="1" x14ac:dyDescent="0.3">
      <c r="A46" s="10"/>
      <c r="B46" s="69" t="s">
        <v>21</v>
      </c>
      <c r="C46" s="70"/>
      <c r="D46" s="70"/>
      <c r="E46" s="70"/>
      <c r="F46" s="70"/>
      <c r="G46" s="71">
        <f>L40+G45</f>
        <v>49</v>
      </c>
      <c r="H46" s="72"/>
      <c r="I46" s="73"/>
      <c r="J46" s="72"/>
      <c r="K46" s="7"/>
      <c r="L46" s="9"/>
    </row>
    <row r="47" spans="1:12" ht="15" customHeight="1" thickBot="1" x14ac:dyDescent="0.3">
      <c r="A47" s="3"/>
      <c r="B47" s="69" t="s">
        <v>22</v>
      </c>
      <c r="C47" s="70"/>
      <c r="D47" s="70"/>
      <c r="E47" s="70"/>
      <c r="F47" s="70"/>
      <c r="G47" s="71">
        <f>G43+G44-G46</f>
        <v>87</v>
      </c>
      <c r="H47" s="72"/>
      <c r="I47" s="73"/>
      <c r="J47" s="72"/>
      <c r="K47" s="7"/>
      <c r="L47" s="2"/>
    </row>
    <row r="48" spans="1:12" ht="15" customHeight="1" thickBot="1" x14ac:dyDescent="0.3">
      <c r="A48" s="3"/>
      <c r="B48" s="69" t="s">
        <v>23</v>
      </c>
      <c r="C48" s="70"/>
      <c r="D48" s="70"/>
      <c r="E48" s="70"/>
      <c r="F48" s="70"/>
      <c r="G48" s="71">
        <v>87</v>
      </c>
      <c r="H48" s="72"/>
      <c r="I48" s="73"/>
      <c r="J48" s="72"/>
      <c r="K48" s="7"/>
      <c r="L48" s="2"/>
    </row>
    <row r="49" spans="1:12" ht="15" customHeight="1" thickBot="1" x14ac:dyDescent="0.3">
      <c r="A49" s="3"/>
      <c r="B49" s="69" t="s">
        <v>24</v>
      </c>
      <c r="C49" s="70"/>
      <c r="D49" s="70"/>
      <c r="E49" s="70"/>
      <c r="F49" s="70"/>
      <c r="G49" s="74">
        <f>G47-G48</f>
        <v>0</v>
      </c>
      <c r="H49" s="75"/>
      <c r="I49" s="76"/>
      <c r="J49" s="75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5:L5"/>
    <mergeCell ref="A6:L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G3:L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28239-EA2A-4BBF-8495-E40554654CC7}">
  <dimension ref="A1:L52"/>
  <sheetViews>
    <sheetView topLeftCell="A18" workbookViewId="0">
      <selection activeCell="B32" sqref="B3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22"/>
      <c r="F1" s="23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22"/>
      <c r="F2" s="23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22"/>
      <c r="F3" s="23"/>
      <c r="G3" s="91" t="s">
        <v>27</v>
      </c>
      <c r="H3" s="91"/>
      <c r="I3" s="91"/>
      <c r="J3" s="91"/>
      <c r="K3" s="91"/>
      <c r="L3" s="91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9" t="s">
        <v>5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6.5" thickBot="1" x14ac:dyDescent="0.3">
      <c r="A6" s="90" t="s">
        <v>37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6">
        <v>1</v>
      </c>
      <c r="B9" s="61">
        <v>2</v>
      </c>
      <c r="C9" s="54"/>
      <c r="D9" s="54"/>
      <c r="E9" s="56"/>
      <c r="F9" s="13">
        <f>SUM(B9:E9)</f>
        <v>2</v>
      </c>
      <c r="G9" s="35"/>
      <c r="H9" s="67"/>
      <c r="I9" s="67"/>
      <c r="J9" s="67"/>
      <c r="K9" s="11">
        <f>SUM(G9:J9)</f>
        <v>0</v>
      </c>
      <c r="L9" s="5">
        <f>SUM(F9+K9)</f>
        <v>2</v>
      </c>
    </row>
    <row r="10" spans="1:12" ht="15" customHeight="1" thickBot="1" x14ac:dyDescent="0.3">
      <c r="A10" s="6">
        <v>2</v>
      </c>
      <c r="B10" s="62">
        <v>16</v>
      </c>
      <c r="C10" s="42"/>
      <c r="D10" s="42"/>
      <c r="E10" s="39"/>
      <c r="F10" s="13">
        <f t="shared" ref="F10:F39" si="0">SUM(B10:E10)</f>
        <v>16</v>
      </c>
      <c r="G10" s="38"/>
      <c r="H10" s="42"/>
      <c r="I10" s="42"/>
      <c r="J10" s="42"/>
      <c r="K10" s="11">
        <f t="shared" ref="K10:K39" si="1">SUM(G10:J10)</f>
        <v>0</v>
      </c>
      <c r="L10" s="5">
        <f t="shared" ref="L10:L39" si="2">SUM(F10+K10)</f>
        <v>16</v>
      </c>
    </row>
    <row r="11" spans="1:12" ht="15" customHeight="1" thickBot="1" x14ac:dyDescent="0.3">
      <c r="A11" s="47">
        <v>3</v>
      </c>
      <c r="B11" s="62">
        <v>1</v>
      </c>
      <c r="C11" s="42"/>
      <c r="D11" s="42"/>
      <c r="E11" s="39"/>
      <c r="F11" s="13">
        <f t="shared" si="0"/>
        <v>1</v>
      </c>
      <c r="G11" s="38"/>
      <c r="H11" s="42"/>
      <c r="I11" s="42"/>
      <c r="J11" s="42"/>
      <c r="K11" s="11">
        <f t="shared" si="1"/>
        <v>0</v>
      </c>
      <c r="L11" s="5">
        <f t="shared" si="2"/>
        <v>1</v>
      </c>
    </row>
    <row r="12" spans="1:12" ht="15" customHeight="1" thickBot="1" x14ac:dyDescent="0.3">
      <c r="A12" s="47">
        <v>4</v>
      </c>
      <c r="B12" s="62">
        <v>11</v>
      </c>
      <c r="C12" s="42"/>
      <c r="D12" s="42"/>
      <c r="E12" s="39"/>
      <c r="F12" s="13">
        <f t="shared" si="0"/>
        <v>11</v>
      </c>
      <c r="G12" s="38"/>
      <c r="H12" s="42"/>
      <c r="I12" s="42"/>
      <c r="J12" s="42"/>
      <c r="K12" s="11">
        <f t="shared" si="1"/>
        <v>0</v>
      </c>
      <c r="L12" s="5">
        <f t="shared" si="2"/>
        <v>11</v>
      </c>
    </row>
    <row r="13" spans="1:12" ht="15" customHeight="1" thickBot="1" x14ac:dyDescent="0.3">
      <c r="A13" s="47">
        <v>5</v>
      </c>
      <c r="B13" s="62">
        <v>8</v>
      </c>
      <c r="C13" s="42"/>
      <c r="D13" s="42"/>
      <c r="E13" s="39"/>
      <c r="F13" s="13">
        <f t="shared" si="0"/>
        <v>8</v>
      </c>
      <c r="G13" s="38"/>
      <c r="H13" s="42"/>
      <c r="I13" s="42"/>
      <c r="J13" s="42"/>
      <c r="K13" s="11">
        <f t="shared" si="1"/>
        <v>0</v>
      </c>
      <c r="L13" s="5">
        <f t="shared" si="2"/>
        <v>8</v>
      </c>
    </row>
    <row r="14" spans="1:12" ht="15" customHeight="1" thickBot="1" x14ac:dyDescent="0.3">
      <c r="A14" s="47">
        <v>6</v>
      </c>
      <c r="B14" s="62"/>
      <c r="C14" s="42"/>
      <c r="D14" s="42"/>
      <c r="E14" s="39"/>
      <c r="F14" s="13">
        <f t="shared" si="0"/>
        <v>0</v>
      </c>
      <c r="G14" s="38"/>
      <c r="H14" s="42"/>
      <c r="I14" s="42"/>
      <c r="J14" s="38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62"/>
      <c r="C15" s="42"/>
      <c r="D15" s="42"/>
      <c r="E15" s="39"/>
      <c r="F15" s="13">
        <f t="shared" si="0"/>
        <v>0</v>
      </c>
      <c r="G15" s="38"/>
      <c r="H15" s="42"/>
      <c r="I15" s="42"/>
      <c r="J15" s="38"/>
      <c r="K15" s="11">
        <f t="shared" si="1"/>
        <v>0</v>
      </c>
      <c r="L15" s="5">
        <f t="shared" si="2"/>
        <v>0</v>
      </c>
    </row>
    <row r="16" spans="1:12" ht="15" customHeight="1" thickBot="1" x14ac:dyDescent="0.3">
      <c r="A16" s="47">
        <v>8</v>
      </c>
      <c r="B16" s="62">
        <v>1</v>
      </c>
      <c r="C16" s="42"/>
      <c r="D16" s="42"/>
      <c r="E16" s="39"/>
      <c r="F16" s="13">
        <f t="shared" si="0"/>
        <v>1</v>
      </c>
      <c r="G16" s="38"/>
      <c r="H16" s="42"/>
      <c r="I16" s="42"/>
      <c r="J16" s="38"/>
      <c r="K16" s="11">
        <f t="shared" si="1"/>
        <v>0</v>
      </c>
      <c r="L16" s="5">
        <f t="shared" si="2"/>
        <v>1</v>
      </c>
    </row>
    <row r="17" spans="1:12" ht="15" customHeight="1" thickBot="1" x14ac:dyDescent="0.3">
      <c r="A17" s="47">
        <v>9</v>
      </c>
      <c r="B17" s="62">
        <v>2</v>
      </c>
      <c r="C17" s="42"/>
      <c r="D17" s="42"/>
      <c r="E17" s="39"/>
      <c r="F17" s="13">
        <f t="shared" si="0"/>
        <v>2</v>
      </c>
      <c r="G17" s="38"/>
      <c r="H17" s="42"/>
      <c r="I17" s="42"/>
      <c r="J17" s="38"/>
      <c r="K17" s="11">
        <f t="shared" si="1"/>
        <v>0</v>
      </c>
      <c r="L17" s="5">
        <f t="shared" si="2"/>
        <v>2</v>
      </c>
    </row>
    <row r="18" spans="1:12" ht="15" customHeight="1" thickBot="1" x14ac:dyDescent="0.3">
      <c r="A18" s="47">
        <v>10</v>
      </c>
      <c r="B18" s="62">
        <v>43</v>
      </c>
      <c r="C18" s="42"/>
      <c r="D18" s="42"/>
      <c r="E18" s="39"/>
      <c r="F18" s="13">
        <f t="shared" si="0"/>
        <v>43</v>
      </c>
      <c r="G18" s="38"/>
      <c r="H18" s="42"/>
      <c r="I18" s="42"/>
      <c r="J18" s="38"/>
      <c r="K18" s="11">
        <f t="shared" si="1"/>
        <v>0</v>
      </c>
      <c r="L18" s="5">
        <f t="shared" si="2"/>
        <v>43</v>
      </c>
    </row>
    <row r="19" spans="1:12" ht="15" customHeight="1" thickBot="1" x14ac:dyDescent="0.3">
      <c r="A19" s="47">
        <v>11</v>
      </c>
      <c r="B19" s="62"/>
      <c r="C19" s="42"/>
      <c r="D19" s="42"/>
      <c r="E19" s="39"/>
      <c r="F19" s="13">
        <f t="shared" si="0"/>
        <v>0</v>
      </c>
      <c r="G19" s="38"/>
      <c r="H19" s="42"/>
      <c r="I19" s="42"/>
      <c r="J19" s="38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62">
        <v>10</v>
      </c>
      <c r="C20" s="42"/>
      <c r="D20" s="42">
        <v>1</v>
      </c>
      <c r="E20" s="39"/>
      <c r="F20" s="13">
        <f t="shared" si="0"/>
        <v>11</v>
      </c>
      <c r="G20" s="38"/>
      <c r="H20" s="42"/>
      <c r="I20" s="42"/>
      <c r="J20" s="38"/>
      <c r="K20" s="11">
        <f t="shared" si="1"/>
        <v>0</v>
      </c>
      <c r="L20" s="5">
        <f t="shared" si="2"/>
        <v>11</v>
      </c>
    </row>
    <row r="21" spans="1:12" ht="15" customHeight="1" thickBot="1" x14ac:dyDescent="0.3">
      <c r="A21" s="47">
        <v>13</v>
      </c>
      <c r="B21" s="62"/>
      <c r="C21" s="42"/>
      <c r="D21" s="42"/>
      <c r="E21" s="39"/>
      <c r="F21" s="13">
        <f t="shared" si="0"/>
        <v>0</v>
      </c>
      <c r="G21" s="38"/>
      <c r="H21" s="42"/>
      <c r="I21" s="42"/>
      <c r="J21" s="38"/>
      <c r="K21" s="11">
        <f t="shared" si="1"/>
        <v>0</v>
      </c>
      <c r="L21" s="5">
        <f t="shared" si="2"/>
        <v>0</v>
      </c>
    </row>
    <row r="22" spans="1:12" ht="15" customHeight="1" thickBot="1" x14ac:dyDescent="0.3">
      <c r="A22" s="47">
        <v>14</v>
      </c>
      <c r="B22" s="62"/>
      <c r="C22" s="42"/>
      <c r="D22" s="42"/>
      <c r="E22" s="39"/>
      <c r="F22" s="13">
        <f t="shared" si="0"/>
        <v>0</v>
      </c>
      <c r="G22" s="38"/>
      <c r="H22" s="42"/>
      <c r="I22" s="42"/>
      <c r="J22" s="38"/>
      <c r="K22" s="11">
        <f t="shared" si="1"/>
        <v>0</v>
      </c>
      <c r="L22" s="5">
        <f t="shared" si="2"/>
        <v>0</v>
      </c>
    </row>
    <row r="23" spans="1:12" ht="15" customHeight="1" thickBot="1" x14ac:dyDescent="0.3">
      <c r="A23" s="47">
        <v>15</v>
      </c>
      <c r="B23" s="62">
        <v>7</v>
      </c>
      <c r="C23" s="42"/>
      <c r="D23" s="42"/>
      <c r="E23" s="39"/>
      <c r="F23" s="13">
        <f t="shared" si="0"/>
        <v>7</v>
      </c>
      <c r="G23" s="38"/>
      <c r="H23" s="42"/>
      <c r="I23" s="42"/>
      <c r="J23" s="38"/>
      <c r="K23" s="11">
        <f t="shared" si="1"/>
        <v>0</v>
      </c>
      <c r="L23" s="5">
        <f t="shared" si="2"/>
        <v>7</v>
      </c>
    </row>
    <row r="24" spans="1:12" ht="15" customHeight="1" thickBot="1" x14ac:dyDescent="0.3">
      <c r="A24" s="47">
        <v>16</v>
      </c>
      <c r="B24" s="62"/>
      <c r="C24" s="42"/>
      <c r="D24" s="42"/>
      <c r="E24" s="39"/>
      <c r="F24" s="13">
        <f t="shared" si="0"/>
        <v>0</v>
      </c>
      <c r="G24" s="38"/>
      <c r="H24" s="42"/>
      <c r="I24" s="42"/>
      <c r="J24" s="38"/>
      <c r="K24" s="11">
        <f t="shared" si="1"/>
        <v>0</v>
      </c>
      <c r="L24" s="5">
        <f t="shared" si="2"/>
        <v>0</v>
      </c>
    </row>
    <row r="25" spans="1:12" ht="15" customHeight="1" thickBot="1" x14ac:dyDescent="0.3">
      <c r="A25" s="47">
        <v>17</v>
      </c>
      <c r="B25" s="62">
        <v>2</v>
      </c>
      <c r="C25" s="63"/>
      <c r="D25" s="42"/>
      <c r="E25" s="39"/>
      <c r="F25" s="13">
        <f t="shared" si="0"/>
        <v>2</v>
      </c>
      <c r="G25" s="38"/>
      <c r="H25" s="42"/>
      <c r="I25" s="42"/>
      <c r="J25" s="38"/>
      <c r="K25" s="11">
        <f t="shared" si="1"/>
        <v>0</v>
      </c>
      <c r="L25" s="5">
        <f t="shared" si="2"/>
        <v>2</v>
      </c>
    </row>
    <row r="26" spans="1:12" ht="15" customHeight="1" thickBot="1" x14ac:dyDescent="0.3">
      <c r="A26" s="47">
        <v>18</v>
      </c>
      <c r="B26" s="62"/>
      <c r="C26" s="42"/>
      <c r="D26" s="42"/>
      <c r="E26" s="39"/>
      <c r="F26" s="13">
        <f t="shared" si="0"/>
        <v>0</v>
      </c>
      <c r="G26" s="38"/>
      <c r="H26" s="42"/>
      <c r="I26" s="42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62">
        <v>3</v>
      </c>
      <c r="C27" s="42"/>
      <c r="D27" s="42">
        <v>2</v>
      </c>
      <c r="E27" s="39"/>
      <c r="F27" s="13">
        <f t="shared" si="0"/>
        <v>5</v>
      </c>
      <c r="G27" s="38"/>
      <c r="H27" s="42"/>
      <c r="I27" s="42"/>
      <c r="J27" s="38"/>
      <c r="K27" s="11">
        <f t="shared" si="1"/>
        <v>0</v>
      </c>
      <c r="L27" s="5">
        <f t="shared" si="2"/>
        <v>5</v>
      </c>
    </row>
    <row r="28" spans="1:12" ht="15" customHeight="1" thickBot="1" x14ac:dyDescent="0.3">
      <c r="A28" s="47">
        <v>20</v>
      </c>
      <c r="B28" s="62"/>
      <c r="C28" s="42"/>
      <c r="D28" s="42"/>
      <c r="E28" s="39"/>
      <c r="F28" s="13">
        <f t="shared" si="0"/>
        <v>0</v>
      </c>
      <c r="G28" s="38"/>
      <c r="H28" s="42"/>
      <c r="I28" s="42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7">
        <v>21</v>
      </c>
      <c r="B29" s="62"/>
      <c r="C29" s="42"/>
      <c r="D29" s="42"/>
      <c r="E29" s="39"/>
      <c r="F29" s="13">
        <f t="shared" si="0"/>
        <v>0</v>
      </c>
      <c r="G29" s="38"/>
      <c r="H29" s="42"/>
      <c r="I29" s="42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7">
        <v>22</v>
      </c>
      <c r="B30" s="62">
        <v>7</v>
      </c>
      <c r="C30" s="42"/>
      <c r="D30" s="42"/>
      <c r="E30" s="39"/>
      <c r="F30" s="13">
        <f t="shared" si="0"/>
        <v>7</v>
      </c>
      <c r="G30" s="38"/>
      <c r="H30" s="42"/>
      <c r="I30" s="42"/>
      <c r="J30" s="38"/>
      <c r="K30" s="11">
        <f t="shared" si="1"/>
        <v>0</v>
      </c>
      <c r="L30" s="5">
        <f t="shared" si="2"/>
        <v>7</v>
      </c>
    </row>
    <row r="31" spans="1:12" ht="15" customHeight="1" thickBot="1" x14ac:dyDescent="0.3">
      <c r="A31" s="47">
        <v>23</v>
      </c>
      <c r="B31" s="62">
        <v>1</v>
      </c>
      <c r="C31" s="42"/>
      <c r="D31" s="42"/>
      <c r="E31" s="39"/>
      <c r="F31" s="13">
        <f t="shared" si="0"/>
        <v>1</v>
      </c>
      <c r="G31" s="38"/>
      <c r="H31" s="42"/>
      <c r="I31" s="38"/>
      <c r="J31" s="38"/>
      <c r="K31" s="11">
        <f t="shared" si="1"/>
        <v>0</v>
      </c>
      <c r="L31" s="5">
        <f t="shared" si="2"/>
        <v>1</v>
      </c>
    </row>
    <row r="32" spans="1:12" ht="15" customHeight="1" thickBot="1" x14ac:dyDescent="0.3">
      <c r="A32" s="47">
        <v>24</v>
      </c>
      <c r="B32" s="62"/>
      <c r="C32" s="42"/>
      <c r="D32" s="42">
        <v>1</v>
      </c>
      <c r="E32" s="39"/>
      <c r="F32" s="13">
        <f t="shared" si="0"/>
        <v>1</v>
      </c>
      <c r="G32" s="38"/>
      <c r="H32" s="42"/>
      <c r="I32" s="38"/>
      <c r="J32" s="38"/>
      <c r="K32" s="11">
        <f t="shared" si="1"/>
        <v>0</v>
      </c>
      <c r="L32" s="5">
        <f t="shared" si="2"/>
        <v>1</v>
      </c>
    </row>
    <row r="33" spans="1:12" ht="15" customHeight="1" thickBot="1" x14ac:dyDescent="0.3">
      <c r="A33" s="47">
        <v>25</v>
      </c>
      <c r="B33" s="62"/>
      <c r="C33" s="42"/>
      <c r="D33" s="42"/>
      <c r="E33" s="39"/>
      <c r="F33" s="13">
        <f t="shared" si="0"/>
        <v>0</v>
      </c>
      <c r="G33" s="38"/>
      <c r="H33" s="42"/>
      <c r="I33" s="38"/>
      <c r="J33" s="38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7">
        <v>26</v>
      </c>
      <c r="B34" s="62">
        <v>7</v>
      </c>
      <c r="C34" s="42"/>
      <c r="D34" s="42"/>
      <c r="E34" s="39"/>
      <c r="F34" s="13">
        <f t="shared" si="0"/>
        <v>7</v>
      </c>
      <c r="G34" s="38"/>
      <c r="H34" s="42"/>
      <c r="I34" s="42"/>
      <c r="J34" s="42"/>
      <c r="K34" s="11">
        <f t="shared" si="1"/>
        <v>0</v>
      </c>
      <c r="L34" s="5">
        <f t="shared" si="2"/>
        <v>7</v>
      </c>
    </row>
    <row r="35" spans="1:12" ht="15" customHeight="1" thickBot="1" x14ac:dyDescent="0.3">
      <c r="A35" s="47">
        <v>27</v>
      </c>
      <c r="B35" s="62"/>
      <c r="C35" s="42"/>
      <c r="D35" s="42"/>
      <c r="E35" s="39"/>
      <c r="F35" s="13">
        <f t="shared" si="0"/>
        <v>0</v>
      </c>
      <c r="G35" s="68"/>
      <c r="H35" s="42"/>
      <c r="I35" s="42"/>
      <c r="J35" s="42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7">
        <v>28</v>
      </c>
      <c r="B36" s="62"/>
      <c r="C36" s="42"/>
      <c r="D36" s="42"/>
      <c r="E36" s="39"/>
      <c r="F36" s="13">
        <f t="shared" si="0"/>
        <v>0</v>
      </c>
      <c r="G36" s="38"/>
      <c r="H36" s="42"/>
      <c r="I36" s="42"/>
      <c r="J36" s="42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7">
        <v>29</v>
      </c>
      <c r="B37" s="62">
        <v>5</v>
      </c>
      <c r="C37" s="42"/>
      <c r="D37" s="42"/>
      <c r="E37" s="39">
        <v>1</v>
      </c>
      <c r="F37" s="13">
        <f t="shared" si="0"/>
        <v>6</v>
      </c>
      <c r="G37" s="38"/>
      <c r="H37" s="42"/>
      <c r="I37" s="42"/>
      <c r="J37" s="42"/>
      <c r="K37" s="11">
        <f t="shared" si="1"/>
        <v>0</v>
      </c>
      <c r="L37" s="5">
        <f t="shared" si="2"/>
        <v>6</v>
      </c>
    </row>
    <row r="38" spans="1:12" ht="15" customHeight="1" thickBot="1" x14ac:dyDescent="0.3">
      <c r="A38" s="47">
        <v>30</v>
      </c>
      <c r="B38" s="62">
        <v>1</v>
      </c>
      <c r="C38" s="42"/>
      <c r="D38" s="42"/>
      <c r="E38" s="39"/>
      <c r="F38" s="13">
        <f t="shared" si="0"/>
        <v>1</v>
      </c>
      <c r="G38" s="38">
        <v>1</v>
      </c>
      <c r="H38" s="42"/>
      <c r="I38" s="42"/>
      <c r="J38" s="42"/>
      <c r="K38" s="11">
        <f t="shared" si="1"/>
        <v>1</v>
      </c>
      <c r="L38" s="5">
        <f t="shared" si="2"/>
        <v>2</v>
      </c>
    </row>
    <row r="39" spans="1:12" ht="15" customHeight="1" thickBot="1" x14ac:dyDescent="0.3">
      <c r="A39" s="49">
        <v>31</v>
      </c>
      <c r="B39" s="64">
        <v>3</v>
      </c>
      <c r="C39" s="65"/>
      <c r="D39" s="65">
        <v>1</v>
      </c>
      <c r="E39" s="66"/>
      <c r="F39" s="13">
        <f t="shared" si="0"/>
        <v>4</v>
      </c>
      <c r="G39" s="38">
        <v>1</v>
      </c>
      <c r="H39" s="42"/>
      <c r="I39" s="42"/>
      <c r="J39" s="42"/>
      <c r="K39" s="11">
        <f t="shared" si="1"/>
        <v>1</v>
      </c>
      <c r="L39" s="5">
        <f t="shared" si="2"/>
        <v>5</v>
      </c>
    </row>
    <row r="40" spans="1:12" ht="15.75" thickBot="1" x14ac:dyDescent="0.3">
      <c r="A40" s="48"/>
      <c r="B40" s="52">
        <f>SUM(B9:B39)</f>
        <v>130</v>
      </c>
      <c r="C40" s="52">
        <f t="shared" ref="C40:E40" si="3">SUM(C9:C39)</f>
        <v>0</v>
      </c>
      <c r="D40" s="52">
        <f t="shared" si="3"/>
        <v>5</v>
      </c>
      <c r="E40" s="52">
        <f t="shared" si="3"/>
        <v>1</v>
      </c>
      <c r="F40" s="51">
        <f>SUM(F9:F39)</f>
        <v>136</v>
      </c>
      <c r="G40" s="12">
        <f>SUM(G9:G39)</f>
        <v>2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2</v>
      </c>
      <c r="L40" s="12">
        <f t="shared" si="4"/>
        <v>138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2"/>
      <c r="B42" s="82"/>
      <c r="C42" s="82"/>
      <c r="D42" s="82"/>
      <c r="E42" s="82"/>
      <c r="F42" s="82"/>
      <c r="G42" s="83" t="s">
        <v>16</v>
      </c>
      <c r="H42" s="84"/>
      <c r="I42" s="84" t="s">
        <v>17</v>
      </c>
      <c r="J42" s="85"/>
      <c r="K42" s="7"/>
      <c r="L42" s="9"/>
    </row>
    <row r="43" spans="1:12" ht="15" customHeight="1" thickBot="1" x14ac:dyDescent="0.3">
      <c r="A43" s="10"/>
      <c r="B43" s="69" t="s">
        <v>18</v>
      </c>
      <c r="C43" s="70"/>
      <c r="D43" s="70"/>
      <c r="E43" s="70"/>
      <c r="F43" s="70"/>
      <c r="G43" s="80">
        <v>87</v>
      </c>
      <c r="H43" s="86"/>
      <c r="I43" s="87"/>
      <c r="J43" s="88"/>
      <c r="K43" s="7"/>
      <c r="L43" s="9"/>
    </row>
    <row r="44" spans="1:12" ht="15" customHeight="1" thickBot="1" x14ac:dyDescent="0.3">
      <c r="A44" s="10"/>
      <c r="B44" s="69" t="s">
        <v>19</v>
      </c>
      <c r="C44" s="70"/>
      <c r="D44" s="70"/>
      <c r="E44" s="70"/>
      <c r="F44" s="70"/>
      <c r="G44" s="73">
        <v>250</v>
      </c>
      <c r="H44" s="72"/>
      <c r="I44" s="73"/>
      <c r="J44" s="72"/>
      <c r="K44" s="7"/>
      <c r="L44" s="9"/>
    </row>
    <row r="45" spans="1:12" ht="15" customHeight="1" thickBot="1" x14ac:dyDescent="0.3">
      <c r="A45" s="10"/>
      <c r="B45" s="77" t="s">
        <v>20</v>
      </c>
      <c r="C45" s="77"/>
      <c r="D45" s="77"/>
      <c r="E45" s="77"/>
      <c r="F45" s="69"/>
      <c r="G45" s="78">
        <v>0</v>
      </c>
      <c r="H45" s="79"/>
      <c r="I45" s="80"/>
      <c r="J45" s="81"/>
      <c r="K45" s="7"/>
      <c r="L45" s="9"/>
    </row>
    <row r="46" spans="1:12" ht="15" customHeight="1" thickBot="1" x14ac:dyDescent="0.3">
      <c r="A46" s="10"/>
      <c r="B46" s="69" t="s">
        <v>21</v>
      </c>
      <c r="C46" s="70"/>
      <c r="D46" s="70"/>
      <c r="E46" s="70"/>
      <c r="F46" s="70"/>
      <c r="G46" s="71">
        <f>L40+G45</f>
        <v>138</v>
      </c>
      <c r="H46" s="72"/>
      <c r="I46" s="73"/>
      <c r="J46" s="72"/>
      <c r="K46" s="7"/>
      <c r="L46" s="9"/>
    </row>
    <row r="47" spans="1:12" ht="15" customHeight="1" thickBot="1" x14ac:dyDescent="0.3">
      <c r="A47" s="3"/>
      <c r="B47" s="69" t="s">
        <v>22</v>
      </c>
      <c r="C47" s="70"/>
      <c r="D47" s="70"/>
      <c r="E47" s="70"/>
      <c r="F47" s="70"/>
      <c r="G47" s="71">
        <f>G43+G44-G46</f>
        <v>199</v>
      </c>
      <c r="H47" s="72"/>
      <c r="I47" s="73"/>
      <c r="J47" s="72"/>
      <c r="K47" s="7"/>
      <c r="L47" s="2"/>
    </row>
    <row r="48" spans="1:12" ht="15" customHeight="1" thickBot="1" x14ac:dyDescent="0.3">
      <c r="A48" s="3"/>
      <c r="B48" s="69" t="s">
        <v>23</v>
      </c>
      <c r="C48" s="70"/>
      <c r="D48" s="70"/>
      <c r="E48" s="70"/>
      <c r="F48" s="70"/>
      <c r="G48" s="71">
        <v>199</v>
      </c>
      <c r="H48" s="72"/>
      <c r="I48" s="73"/>
      <c r="J48" s="72"/>
      <c r="K48" s="7"/>
      <c r="L48" s="2"/>
    </row>
    <row r="49" spans="1:12" ht="15" customHeight="1" thickBot="1" x14ac:dyDescent="0.3">
      <c r="A49" s="3"/>
      <c r="B49" s="69" t="s">
        <v>24</v>
      </c>
      <c r="C49" s="70"/>
      <c r="D49" s="70"/>
      <c r="E49" s="70"/>
      <c r="F49" s="70"/>
      <c r="G49" s="74">
        <f>G47-G48</f>
        <v>0</v>
      </c>
      <c r="H49" s="75"/>
      <c r="I49" s="76"/>
      <c r="J49" s="75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8752D-D750-40C1-9791-B3E053047A9B}">
  <dimension ref="A1:L53"/>
  <sheetViews>
    <sheetView tabSelected="1" workbookViewId="0">
      <selection activeCell="G52" sqref="G52"/>
    </sheetView>
  </sheetViews>
  <sheetFormatPr baseColWidth="10" defaultColWidth="11.42578125" defaultRowHeight="15" x14ac:dyDescent="0.25"/>
  <cols>
    <col min="1" max="1" width="5.28515625" customWidth="1"/>
    <col min="2" max="12" width="8.5703125" customWidth="1"/>
  </cols>
  <sheetData>
    <row r="1" spans="1:12" ht="18" x14ac:dyDescent="0.25">
      <c r="A1" s="89" t="s">
        <v>0</v>
      </c>
      <c r="B1" s="89"/>
      <c r="C1" s="89"/>
      <c r="D1" s="89"/>
      <c r="E1" s="22"/>
      <c r="F1" s="23"/>
      <c r="G1" s="90" t="s">
        <v>1</v>
      </c>
      <c r="H1" s="90"/>
      <c r="I1" s="90"/>
      <c r="J1" s="90"/>
      <c r="K1" s="90"/>
      <c r="L1" s="90"/>
    </row>
    <row r="2" spans="1:12" ht="15.75" x14ac:dyDescent="0.25">
      <c r="A2" s="90" t="s">
        <v>2</v>
      </c>
      <c r="B2" s="90"/>
      <c r="C2" s="90"/>
      <c r="D2" s="90"/>
      <c r="E2" s="22"/>
      <c r="F2" s="23"/>
      <c r="G2" s="91" t="s">
        <v>3</v>
      </c>
      <c r="H2" s="91"/>
      <c r="I2" s="91"/>
      <c r="J2" s="91"/>
      <c r="K2" s="91"/>
      <c r="L2" s="91"/>
    </row>
    <row r="3" spans="1:12" x14ac:dyDescent="0.25">
      <c r="A3" s="91" t="s">
        <v>4</v>
      </c>
      <c r="B3" s="91"/>
      <c r="C3" s="91"/>
      <c r="D3" s="91"/>
      <c r="E3" s="22"/>
      <c r="F3" s="23"/>
      <c r="G3" s="91" t="s">
        <v>27</v>
      </c>
      <c r="H3" s="91"/>
      <c r="I3" s="91"/>
      <c r="J3" s="91"/>
      <c r="K3" s="91"/>
      <c r="L3" s="91"/>
    </row>
    <row r="4" spans="1:12" ht="5.25" customHeight="1" x14ac:dyDescent="0.25">
      <c r="A4" s="50"/>
      <c r="B4" s="23"/>
      <c r="C4" s="22"/>
      <c r="D4" s="22"/>
      <c r="E4" s="22"/>
      <c r="F4" s="23"/>
      <c r="G4" s="23"/>
      <c r="H4" s="22"/>
      <c r="I4" s="22"/>
      <c r="J4" s="22"/>
      <c r="K4" s="23"/>
      <c r="L4" s="1"/>
    </row>
    <row r="5" spans="1:12" ht="14.25" customHeight="1" x14ac:dyDescent="0.25">
      <c r="A5" s="89" t="s">
        <v>5</v>
      </c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</row>
    <row r="6" spans="1:12" ht="16.5" thickBot="1" x14ac:dyDescent="0.3">
      <c r="A6" s="90" t="s">
        <v>38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12" x14ac:dyDescent="0.25">
      <c r="A7" s="92" t="s">
        <v>6</v>
      </c>
      <c r="B7" s="94" t="s">
        <v>7</v>
      </c>
      <c r="C7" s="95"/>
      <c r="D7" s="95"/>
      <c r="E7" s="95"/>
      <c r="F7" s="96"/>
      <c r="G7" s="97" t="s">
        <v>8</v>
      </c>
      <c r="H7" s="95"/>
      <c r="I7" s="95"/>
      <c r="J7" s="95"/>
      <c r="K7" s="96"/>
      <c r="L7" s="98" t="s">
        <v>9</v>
      </c>
    </row>
    <row r="8" spans="1:12" ht="15.75" thickBot="1" x14ac:dyDescent="0.3">
      <c r="A8" s="93"/>
      <c r="B8" s="24" t="s">
        <v>10</v>
      </c>
      <c r="C8" s="25" t="s">
        <v>11</v>
      </c>
      <c r="D8" s="25" t="s">
        <v>12</v>
      </c>
      <c r="E8" s="25" t="s">
        <v>13</v>
      </c>
      <c r="F8" s="26" t="s">
        <v>14</v>
      </c>
      <c r="G8" s="27" t="s">
        <v>10</v>
      </c>
      <c r="H8" s="25" t="s">
        <v>11</v>
      </c>
      <c r="I8" s="25" t="s">
        <v>12</v>
      </c>
      <c r="J8" s="25" t="s">
        <v>13</v>
      </c>
      <c r="K8" s="26" t="s">
        <v>15</v>
      </c>
      <c r="L8" s="99"/>
    </row>
    <row r="9" spans="1:12" ht="15" customHeight="1" thickBot="1" x14ac:dyDescent="0.3">
      <c r="A9" s="46">
        <v>1</v>
      </c>
      <c r="B9" s="61"/>
      <c r="C9" s="54"/>
      <c r="D9" s="54"/>
      <c r="E9" s="56"/>
      <c r="F9" s="13">
        <f>SUM(B9:E9)</f>
        <v>0</v>
      </c>
      <c r="G9" s="35"/>
      <c r="H9" s="67"/>
      <c r="I9" s="67"/>
      <c r="J9" s="67"/>
      <c r="K9" s="11">
        <f>SUM(G9:J9)</f>
        <v>0</v>
      </c>
      <c r="L9" s="5">
        <f>SUM(F9+K9)</f>
        <v>0</v>
      </c>
    </row>
    <row r="10" spans="1:12" ht="15" customHeight="1" thickBot="1" x14ac:dyDescent="0.3">
      <c r="A10" s="6">
        <v>2</v>
      </c>
      <c r="B10" s="62">
        <v>4</v>
      </c>
      <c r="C10" s="42"/>
      <c r="D10" s="42"/>
      <c r="E10" s="39"/>
      <c r="F10" s="13">
        <f t="shared" ref="F10:F39" si="0">SUM(B10:E10)</f>
        <v>4</v>
      </c>
      <c r="G10" s="38">
        <v>1</v>
      </c>
      <c r="H10" s="42"/>
      <c r="I10" s="42"/>
      <c r="J10" s="42"/>
      <c r="K10" s="11">
        <f t="shared" ref="K10:K39" si="1">SUM(G10:J10)</f>
        <v>1</v>
      </c>
      <c r="L10" s="5">
        <f t="shared" ref="L10:L39" si="2">SUM(F10+K10)</f>
        <v>5</v>
      </c>
    </row>
    <row r="11" spans="1:12" ht="15" customHeight="1" thickBot="1" x14ac:dyDescent="0.3">
      <c r="A11" s="47">
        <v>3</v>
      </c>
      <c r="B11" s="62"/>
      <c r="C11" s="42"/>
      <c r="D11" s="42"/>
      <c r="E11" s="39"/>
      <c r="F11" s="13">
        <f t="shared" si="0"/>
        <v>0</v>
      </c>
      <c r="G11" s="38"/>
      <c r="H11" s="42"/>
      <c r="I11" s="42"/>
      <c r="J11" s="42"/>
      <c r="K11" s="11">
        <f t="shared" si="1"/>
        <v>0</v>
      </c>
      <c r="L11" s="5">
        <f t="shared" si="2"/>
        <v>0</v>
      </c>
    </row>
    <row r="12" spans="1:12" ht="15" customHeight="1" thickBot="1" x14ac:dyDescent="0.3">
      <c r="A12" s="47">
        <v>4</v>
      </c>
      <c r="B12" s="62"/>
      <c r="C12" s="42"/>
      <c r="D12" s="42"/>
      <c r="E12" s="39"/>
      <c r="F12" s="13">
        <f t="shared" si="0"/>
        <v>0</v>
      </c>
      <c r="G12" s="38"/>
      <c r="H12" s="42"/>
      <c r="I12" s="42"/>
      <c r="J12" s="42"/>
      <c r="K12" s="11">
        <f t="shared" si="1"/>
        <v>0</v>
      </c>
      <c r="L12" s="5">
        <f t="shared" si="2"/>
        <v>0</v>
      </c>
    </row>
    <row r="13" spans="1:12" ht="15" customHeight="1" thickBot="1" x14ac:dyDescent="0.3">
      <c r="A13" s="47">
        <v>5</v>
      </c>
      <c r="B13" s="62">
        <v>1</v>
      </c>
      <c r="C13" s="42"/>
      <c r="D13" s="42"/>
      <c r="E13" s="39"/>
      <c r="F13" s="13">
        <f t="shared" si="0"/>
        <v>1</v>
      </c>
      <c r="G13" s="38"/>
      <c r="H13" s="42"/>
      <c r="I13" s="42"/>
      <c r="J13" s="42"/>
      <c r="K13" s="11">
        <f t="shared" si="1"/>
        <v>0</v>
      </c>
      <c r="L13" s="5">
        <f t="shared" si="2"/>
        <v>1</v>
      </c>
    </row>
    <row r="14" spans="1:12" ht="15" customHeight="1" thickBot="1" x14ac:dyDescent="0.3">
      <c r="A14" s="47">
        <v>6</v>
      </c>
      <c r="B14" s="62"/>
      <c r="C14" s="42"/>
      <c r="D14" s="42"/>
      <c r="E14" s="39"/>
      <c r="F14" s="13">
        <f t="shared" si="0"/>
        <v>0</v>
      </c>
      <c r="G14" s="38"/>
      <c r="H14" s="42"/>
      <c r="I14" s="42"/>
      <c r="J14" s="38"/>
      <c r="K14" s="11">
        <f t="shared" si="1"/>
        <v>0</v>
      </c>
      <c r="L14" s="5">
        <f t="shared" si="2"/>
        <v>0</v>
      </c>
    </row>
    <row r="15" spans="1:12" ht="15" customHeight="1" thickBot="1" x14ac:dyDescent="0.3">
      <c r="A15" s="47">
        <v>7</v>
      </c>
      <c r="B15" s="62">
        <v>15</v>
      </c>
      <c r="C15" s="42"/>
      <c r="D15" s="42"/>
      <c r="E15" s="39"/>
      <c r="F15" s="13">
        <f t="shared" si="0"/>
        <v>15</v>
      </c>
      <c r="G15" s="38"/>
      <c r="H15" s="42"/>
      <c r="I15" s="42"/>
      <c r="J15" s="38"/>
      <c r="K15" s="11">
        <f t="shared" si="1"/>
        <v>0</v>
      </c>
      <c r="L15" s="5">
        <f t="shared" si="2"/>
        <v>15</v>
      </c>
    </row>
    <row r="16" spans="1:12" ht="15" customHeight="1" thickBot="1" x14ac:dyDescent="0.3">
      <c r="A16" s="47">
        <v>8</v>
      </c>
      <c r="B16" s="62"/>
      <c r="C16" s="42"/>
      <c r="D16" s="42"/>
      <c r="E16" s="39"/>
      <c r="F16" s="13">
        <f t="shared" si="0"/>
        <v>0</v>
      </c>
      <c r="G16" s="38">
        <v>1</v>
      </c>
      <c r="H16" s="42"/>
      <c r="I16" s="42"/>
      <c r="J16" s="38"/>
      <c r="K16" s="11">
        <f t="shared" si="1"/>
        <v>1</v>
      </c>
      <c r="L16" s="5">
        <f t="shared" si="2"/>
        <v>1</v>
      </c>
    </row>
    <row r="17" spans="1:12" ht="15" customHeight="1" thickBot="1" x14ac:dyDescent="0.3">
      <c r="A17" s="47">
        <v>9</v>
      </c>
      <c r="B17" s="62">
        <v>6</v>
      </c>
      <c r="C17" s="42"/>
      <c r="D17" s="42">
        <v>2</v>
      </c>
      <c r="E17" s="39"/>
      <c r="F17" s="13">
        <f t="shared" si="0"/>
        <v>8</v>
      </c>
      <c r="G17" s="38"/>
      <c r="H17" s="42"/>
      <c r="I17" s="42"/>
      <c r="J17" s="38"/>
      <c r="K17" s="11">
        <f t="shared" si="1"/>
        <v>0</v>
      </c>
      <c r="L17" s="5">
        <f t="shared" si="2"/>
        <v>8</v>
      </c>
    </row>
    <row r="18" spans="1:12" ht="15" customHeight="1" thickBot="1" x14ac:dyDescent="0.3">
      <c r="A18" s="47">
        <v>10</v>
      </c>
      <c r="B18" s="62"/>
      <c r="C18" s="42"/>
      <c r="D18" s="42"/>
      <c r="E18" s="39"/>
      <c r="F18" s="13">
        <f t="shared" si="0"/>
        <v>0</v>
      </c>
      <c r="G18" s="38"/>
      <c r="H18" s="42"/>
      <c r="I18" s="42"/>
      <c r="J18" s="38"/>
      <c r="K18" s="11">
        <f t="shared" si="1"/>
        <v>0</v>
      </c>
      <c r="L18" s="5">
        <f t="shared" si="2"/>
        <v>0</v>
      </c>
    </row>
    <row r="19" spans="1:12" ht="15" customHeight="1" thickBot="1" x14ac:dyDescent="0.3">
      <c r="A19" s="47">
        <v>11</v>
      </c>
      <c r="B19" s="62"/>
      <c r="C19" s="42"/>
      <c r="D19" s="42"/>
      <c r="E19" s="39"/>
      <c r="F19" s="13">
        <f t="shared" si="0"/>
        <v>0</v>
      </c>
      <c r="G19" s="38"/>
      <c r="H19" s="42"/>
      <c r="I19" s="42"/>
      <c r="J19" s="38"/>
      <c r="K19" s="11">
        <f t="shared" si="1"/>
        <v>0</v>
      </c>
      <c r="L19" s="5">
        <f t="shared" si="2"/>
        <v>0</v>
      </c>
    </row>
    <row r="20" spans="1:12" ht="15" customHeight="1" thickBot="1" x14ac:dyDescent="0.3">
      <c r="A20" s="47">
        <v>12</v>
      </c>
      <c r="B20" s="62">
        <v>1</v>
      </c>
      <c r="C20" s="42"/>
      <c r="D20" s="42"/>
      <c r="E20" s="39"/>
      <c r="F20" s="13">
        <f t="shared" si="0"/>
        <v>1</v>
      </c>
      <c r="G20" s="38"/>
      <c r="H20" s="42"/>
      <c r="I20" s="42"/>
      <c r="J20" s="38"/>
      <c r="K20" s="11">
        <f t="shared" si="1"/>
        <v>0</v>
      </c>
      <c r="L20" s="5">
        <f t="shared" si="2"/>
        <v>1</v>
      </c>
    </row>
    <row r="21" spans="1:12" ht="15" customHeight="1" thickBot="1" x14ac:dyDescent="0.3">
      <c r="A21" s="47">
        <v>13</v>
      </c>
      <c r="B21" s="62">
        <v>4</v>
      </c>
      <c r="C21" s="42"/>
      <c r="D21" s="42"/>
      <c r="E21" s="39"/>
      <c r="F21" s="13">
        <f t="shared" si="0"/>
        <v>4</v>
      </c>
      <c r="G21" s="38"/>
      <c r="H21" s="42"/>
      <c r="I21" s="42"/>
      <c r="J21" s="38"/>
      <c r="K21" s="11">
        <f t="shared" si="1"/>
        <v>0</v>
      </c>
      <c r="L21" s="5">
        <f t="shared" si="2"/>
        <v>4</v>
      </c>
    </row>
    <row r="22" spans="1:12" ht="15" customHeight="1" thickBot="1" x14ac:dyDescent="0.3">
      <c r="A22" s="47">
        <v>14</v>
      </c>
      <c r="B22" s="62">
        <v>4</v>
      </c>
      <c r="C22" s="42"/>
      <c r="D22" s="42"/>
      <c r="E22" s="39"/>
      <c r="F22" s="13">
        <f t="shared" si="0"/>
        <v>4</v>
      </c>
      <c r="G22" s="38">
        <v>1</v>
      </c>
      <c r="H22" s="42"/>
      <c r="I22" s="42"/>
      <c r="J22" s="38"/>
      <c r="K22" s="11">
        <f t="shared" si="1"/>
        <v>1</v>
      </c>
      <c r="L22" s="5">
        <f t="shared" si="2"/>
        <v>5</v>
      </c>
    </row>
    <row r="23" spans="1:12" ht="15" customHeight="1" thickBot="1" x14ac:dyDescent="0.3">
      <c r="A23" s="47">
        <v>15</v>
      </c>
      <c r="B23" s="62"/>
      <c r="C23" s="42"/>
      <c r="D23" s="42"/>
      <c r="E23" s="39"/>
      <c r="F23" s="13">
        <f t="shared" si="0"/>
        <v>0</v>
      </c>
      <c r="G23" s="38"/>
      <c r="H23" s="42"/>
      <c r="I23" s="42"/>
      <c r="J23" s="38"/>
      <c r="K23" s="11">
        <f t="shared" si="1"/>
        <v>0</v>
      </c>
      <c r="L23" s="5">
        <f t="shared" si="2"/>
        <v>0</v>
      </c>
    </row>
    <row r="24" spans="1:12" ht="15" customHeight="1" thickBot="1" x14ac:dyDescent="0.3">
      <c r="A24" s="47">
        <v>16</v>
      </c>
      <c r="B24" s="62">
        <v>7</v>
      </c>
      <c r="C24" s="42"/>
      <c r="D24" s="42"/>
      <c r="E24" s="39"/>
      <c r="F24" s="13">
        <f t="shared" si="0"/>
        <v>7</v>
      </c>
      <c r="G24" s="38"/>
      <c r="H24" s="42"/>
      <c r="I24" s="42"/>
      <c r="J24" s="38"/>
      <c r="K24" s="11">
        <f t="shared" si="1"/>
        <v>0</v>
      </c>
      <c r="L24" s="5">
        <f t="shared" si="2"/>
        <v>7</v>
      </c>
    </row>
    <row r="25" spans="1:12" ht="15" customHeight="1" thickBot="1" x14ac:dyDescent="0.3">
      <c r="A25" s="47">
        <v>17</v>
      </c>
      <c r="B25" s="62"/>
      <c r="C25" s="63"/>
      <c r="D25" s="42"/>
      <c r="E25" s="39"/>
      <c r="F25" s="13">
        <f t="shared" si="0"/>
        <v>0</v>
      </c>
      <c r="G25" s="38"/>
      <c r="H25" s="42"/>
      <c r="I25" s="42"/>
      <c r="J25" s="38"/>
      <c r="K25" s="11">
        <f t="shared" si="1"/>
        <v>0</v>
      </c>
      <c r="L25" s="5">
        <f t="shared" si="2"/>
        <v>0</v>
      </c>
    </row>
    <row r="26" spans="1:12" ht="15" customHeight="1" thickBot="1" x14ac:dyDescent="0.3">
      <c r="A26" s="47">
        <v>18</v>
      </c>
      <c r="B26" s="62"/>
      <c r="C26" s="42"/>
      <c r="D26" s="42"/>
      <c r="E26" s="39"/>
      <c r="F26" s="13">
        <f t="shared" si="0"/>
        <v>0</v>
      </c>
      <c r="G26" s="38"/>
      <c r="H26" s="42"/>
      <c r="I26" s="42"/>
      <c r="J26" s="38"/>
      <c r="K26" s="11">
        <f t="shared" si="1"/>
        <v>0</v>
      </c>
      <c r="L26" s="5">
        <f t="shared" si="2"/>
        <v>0</v>
      </c>
    </row>
    <row r="27" spans="1:12" ht="15" customHeight="1" thickBot="1" x14ac:dyDescent="0.3">
      <c r="A27" s="47">
        <v>19</v>
      </c>
      <c r="B27" s="62">
        <v>2</v>
      </c>
      <c r="C27" s="42"/>
      <c r="D27" s="42"/>
      <c r="E27" s="39"/>
      <c r="F27" s="13">
        <f t="shared" si="0"/>
        <v>2</v>
      </c>
      <c r="G27" s="38"/>
      <c r="H27" s="42"/>
      <c r="I27" s="42"/>
      <c r="J27" s="38"/>
      <c r="K27" s="11">
        <f t="shared" si="1"/>
        <v>0</v>
      </c>
      <c r="L27" s="5">
        <f t="shared" si="2"/>
        <v>2</v>
      </c>
    </row>
    <row r="28" spans="1:12" ht="15" customHeight="1" thickBot="1" x14ac:dyDescent="0.3">
      <c r="A28" s="47">
        <v>20</v>
      </c>
      <c r="B28" s="62"/>
      <c r="C28" s="42"/>
      <c r="D28" s="42"/>
      <c r="E28" s="39"/>
      <c r="F28" s="13">
        <f t="shared" si="0"/>
        <v>0</v>
      </c>
      <c r="G28" s="38"/>
      <c r="H28" s="42"/>
      <c r="I28" s="42"/>
      <c r="J28" s="38"/>
      <c r="K28" s="11">
        <f t="shared" si="1"/>
        <v>0</v>
      </c>
      <c r="L28" s="5">
        <f t="shared" si="2"/>
        <v>0</v>
      </c>
    </row>
    <row r="29" spans="1:12" ht="15" customHeight="1" thickBot="1" x14ac:dyDescent="0.3">
      <c r="A29" s="47">
        <v>21</v>
      </c>
      <c r="B29" s="62"/>
      <c r="C29" s="42"/>
      <c r="D29" s="42"/>
      <c r="E29" s="39"/>
      <c r="F29" s="13">
        <f t="shared" si="0"/>
        <v>0</v>
      </c>
      <c r="G29" s="38"/>
      <c r="H29" s="42"/>
      <c r="I29" s="42"/>
      <c r="J29" s="38"/>
      <c r="K29" s="11">
        <f t="shared" si="1"/>
        <v>0</v>
      </c>
      <c r="L29" s="5">
        <f t="shared" si="2"/>
        <v>0</v>
      </c>
    </row>
    <row r="30" spans="1:12" ht="15" customHeight="1" thickBot="1" x14ac:dyDescent="0.3">
      <c r="A30" s="47">
        <v>22</v>
      </c>
      <c r="B30" s="62">
        <v>1</v>
      </c>
      <c r="C30" s="42"/>
      <c r="D30" s="42"/>
      <c r="E30" s="39"/>
      <c r="F30" s="13">
        <f t="shared" si="0"/>
        <v>1</v>
      </c>
      <c r="G30" s="38"/>
      <c r="H30" s="42"/>
      <c r="I30" s="42"/>
      <c r="J30" s="38"/>
      <c r="K30" s="11">
        <f t="shared" si="1"/>
        <v>0</v>
      </c>
      <c r="L30" s="5">
        <f t="shared" si="2"/>
        <v>1</v>
      </c>
    </row>
    <row r="31" spans="1:12" ht="15" customHeight="1" thickBot="1" x14ac:dyDescent="0.3">
      <c r="A31" s="47">
        <v>23</v>
      </c>
      <c r="B31" s="62">
        <v>4</v>
      </c>
      <c r="C31" s="42"/>
      <c r="D31" s="42">
        <v>2</v>
      </c>
      <c r="E31" s="39"/>
      <c r="F31" s="13">
        <f t="shared" si="0"/>
        <v>6</v>
      </c>
      <c r="G31" s="38"/>
      <c r="H31" s="42"/>
      <c r="I31" s="38"/>
      <c r="J31" s="38"/>
      <c r="K31" s="11">
        <f t="shared" si="1"/>
        <v>0</v>
      </c>
      <c r="L31" s="5">
        <f t="shared" si="2"/>
        <v>6</v>
      </c>
    </row>
    <row r="32" spans="1:12" ht="15" customHeight="1" thickBot="1" x14ac:dyDescent="0.3">
      <c r="A32" s="47">
        <v>24</v>
      </c>
      <c r="B32" s="62"/>
      <c r="C32" s="42"/>
      <c r="D32" s="42"/>
      <c r="E32" s="39"/>
      <c r="F32" s="13">
        <f t="shared" si="0"/>
        <v>0</v>
      </c>
      <c r="G32" s="38"/>
      <c r="H32" s="42"/>
      <c r="I32" s="38"/>
      <c r="J32" s="38"/>
      <c r="K32" s="11">
        <f t="shared" si="1"/>
        <v>0</v>
      </c>
      <c r="L32" s="5">
        <f t="shared" si="2"/>
        <v>0</v>
      </c>
    </row>
    <row r="33" spans="1:12" ht="15" customHeight="1" thickBot="1" x14ac:dyDescent="0.3">
      <c r="A33" s="47">
        <v>25</v>
      </c>
      <c r="B33" s="62"/>
      <c r="C33" s="42"/>
      <c r="D33" s="42"/>
      <c r="E33" s="39"/>
      <c r="F33" s="13">
        <f t="shared" si="0"/>
        <v>0</v>
      </c>
      <c r="G33" s="38"/>
      <c r="H33" s="42"/>
      <c r="I33" s="38"/>
      <c r="J33" s="38"/>
      <c r="K33" s="11">
        <f t="shared" si="1"/>
        <v>0</v>
      </c>
      <c r="L33" s="5">
        <f t="shared" si="2"/>
        <v>0</v>
      </c>
    </row>
    <row r="34" spans="1:12" ht="15" customHeight="1" thickBot="1" x14ac:dyDescent="0.3">
      <c r="A34" s="47">
        <v>26</v>
      </c>
      <c r="B34" s="62"/>
      <c r="C34" s="42"/>
      <c r="D34" s="42"/>
      <c r="E34" s="39"/>
      <c r="F34" s="13">
        <f t="shared" si="0"/>
        <v>0</v>
      </c>
      <c r="G34" s="38"/>
      <c r="H34" s="42"/>
      <c r="I34" s="42"/>
      <c r="J34" s="42"/>
      <c r="K34" s="11">
        <f t="shared" si="1"/>
        <v>0</v>
      </c>
      <c r="L34" s="5">
        <f t="shared" si="2"/>
        <v>0</v>
      </c>
    </row>
    <row r="35" spans="1:12" ht="15" customHeight="1" thickBot="1" x14ac:dyDescent="0.3">
      <c r="A35" s="47">
        <v>27</v>
      </c>
      <c r="B35" s="62"/>
      <c r="C35" s="42"/>
      <c r="D35" s="42"/>
      <c r="E35" s="39"/>
      <c r="F35" s="13">
        <f t="shared" si="0"/>
        <v>0</v>
      </c>
      <c r="G35" s="68"/>
      <c r="H35" s="42"/>
      <c r="I35" s="42"/>
      <c r="J35" s="42"/>
      <c r="K35" s="11">
        <f t="shared" si="1"/>
        <v>0</v>
      </c>
      <c r="L35" s="5">
        <f t="shared" si="2"/>
        <v>0</v>
      </c>
    </row>
    <row r="36" spans="1:12" ht="15" customHeight="1" thickBot="1" x14ac:dyDescent="0.3">
      <c r="A36" s="47">
        <v>28</v>
      </c>
      <c r="B36" s="62"/>
      <c r="C36" s="42"/>
      <c r="D36" s="42"/>
      <c r="E36" s="39"/>
      <c r="F36" s="13">
        <f t="shared" si="0"/>
        <v>0</v>
      </c>
      <c r="G36" s="38"/>
      <c r="H36" s="42"/>
      <c r="I36" s="42"/>
      <c r="J36" s="42"/>
      <c r="K36" s="11">
        <f t="shared" si="1"/>
        <v>0</v>
      </c>
      <c r="L36" s="5">
        <f t="shared" si="2"/>
        <v>0</v>
      </c>
    </row>
    <row r="37" spans="1:12" ht="15" customHeight="1" thickBot="1" x14ac:dyDescent="0.3">
      <c r="A37" s="47">
        <v>29</v>
      </c>
      <c r="B37" s="62"/>
      <c r="C37" s="42"/>
      <c r="D37" s="42"/>
      <c r="E37" s="39"/>
      <c r="F37" s="13">
        <f t="shared" si="0"/>
        <v>0</v>
      </c>
      <c r="G37" s="38"/>
      <c r="H37" s="42"/>
      <c r="I37" s="42"/>
      <c r="J37" s="42"/>
      <c r="K37" s="11">
        <f t="shared" si="1"/>
        <v>0</v>
      </c>
      <c r="L37" s="5">
        <f t="shared" si="2"/>
        <v>0</v>
      </c>
    </row>
    <row r="38" spans="1:12" ht="15" customHeight="1" thickBot="1" x14ac:dyDescent="0.3">
      <c r="A38" s="47">
        <v>30</v>
      </c>
      <c r="B38" s="62"/>
      <c r="C38" s="42"/>
      <c r="D38" s="42"/>
      <c r="E38" s="39"/>
      <c r="F38" s="13">
        <f t="shared" si="0"/>
        <v>0</v>
      </c>
      <c r="G38" s="38"/>
      <c r="H38" s="42"/>
      <c r="I38" s="42"/>
      <c r="J38" s="42"/>
      <c r="K38" s="11">
        <f t="shared" si="1"/>
        <v>0</v>
      </c>
      <c r="L38" s="5">
        <f t="shared" si="2"/>
        <v>0</v>
      </c>
    </row>
    <row r="39" spans="1:12" ht="15" customHeight="1" thickBot="1" x14ac:dyDescent="0.3">
      <c r="A39" s="49">
        <v>31</v>
      </c>
      <c r="B39" s="64"/>
      <c r="C39" s="65"/>
      <c r="D39" s="65"/>
      <c r="E39" s="66"/>
      <c r="F39" s="13">
        <f t="shared" si="0"/>
        <v>0</v>
      </c>
      <c r="G39" s="38"/>
      <c r="H39" s="42"/>
      <c r="I39" s="42"/>
      <c r="J39" s="42"/>
      <c r="K39" s="11">
        <f t="shared" si="1"/>
        <v>0</v>
      </c>
      <c r="L39" s="5">
        <f t="shared" si="2"/>
        <v>0</v>
      </c>
    </row>
    <row r="40" spans="1:12" ht="15.75" thickBot="1" x14ac:dyDescent="0.3">
      <c r="A40" s="48"/>
      <c r="B40" s="52">
        <f>SUM(B9:B39)</f>
        <v>49</v>
      </c>
      <c r="C40" s="52">
        <f t="shared" ref="C40:E40" si="3">SUM(C9:C39)</f>
        <v>0</v>
      </c>
      <c r="D40" s="52">
        <f t="shared" si="3"/>
        <v>4</v>
      </c>
      <c r="E40" s="52">
        <f t="shared" si="3"/>
        <v>0</v>
      </c>
      <c r="F40" s="51">
        <f>SUM(F9:F39)</f>
        <v>53</v>
      </c>
      <c r="G40" s="12">
        <f>SUM(G9:G39)</f>
        <v>3</v>
      </c>
      <c r="H40" s="12">
        <f t="shared" ref="H40:L40" si="4">SUM(H9:H39)</f>
        <v>0</v>
      </c>
      <c r="I40" s="12">
        <f t="shared" si="4"/>
        <v>0</v>
      </c>
      <c r="J40" s="12">
        <f t="shared" si="4"/>
        <v>0</v>
      </c>
      <c r="K40" s="12">
        <f t="shared" si="4"/>
        <v>3</v>
      </c>
      <c r="L40" s="12">
        <f t="shared" si="4"/>
        <v>56</v>
      </c>
    </row>
    <row r="41" spans="1:12" ht="4.5" customHeight="1" thickBot="1" x14ac:dyDescent="0.3">
      <c r="A41" s="7"/>
      <c r="B41" s="7"/>
      <c r="C41" s="8"/>
      <c r="D41" s="8"/>
      <c r="E41" s="8"/>
      <c r="F41" s="7"/>
      <c r="G41" s="7"/>
      <c r="H41" s="8"/>
      <c r="I41" s="8"/>
      <c r="J41" s="8"/>
      <c r="K41" s="7"/>
      <c r="L41" s="9"/>
    </row>
    <row r="42" spans="1:12" ht="15" customHeight="1" thickBot="1" x14ac:dyDescent="0.3">
      <c r="A42" s="82"/>
      <c r="B42" s="82"/>
      <c r="C42" s="82"/>
      <c r="D42" s="82"/>
      <c r="E42" s="82"/>
      <c r="F42" s="82"/>
      <c r="G42" s="83" t="s">
        <v>16</v>
      </c>
      <c r="H42" s="84"/>
      <c r="I42" s="84" t="s">
        <v>17</v>
      </c>
      <c r="J42" s="85"/>
      <c r="K42" s="7"/>
      <c r="L42" s="9"/>
    </row>
    <row r="43" spans="1:12" ht="15" customHeight="1" thickBot="1" x14ac:dyDescent="0.3">
      <c r="A43" s="10"/>
      <c r="B43" s="69" t="s">
        <v>18</v>
      </c>
      <c r="C43" s="70"/>
      <c r="D43" s="70"/>
      <c r="E43" s="70"/>
      <c r="F43" s="70"/>
      <c r="G43" s="80">
        <v>199</v>
      </c>
      <c r="H43" s="86"/>
      <c r="I43" s="87"/>
      <c r="J43" s="88"/>
      <c r="K43" s="7"/>
      <c r="L43" s="9"/>
    </row>
    <row r="44" spans="1:12" ht="15" customHeight="1" thickBot="1" x14ac:dyDescent="0.3">
      <c r="A44" s="10"/>
      <c r="B44" s="69" t="s">
        <v>19</v>
      </c>
      <c r="C44" s="70"/>
      <c r="D44" s="70"/>
      <c r="E44" s="70"/>
      <c r="F44" s="70"/>
      <c r="G44" s="73">
        <v>0</v>
      </c>
      <c r="H44" s="72"/>
      <c r="I44" s="73"/>
      <c r="J44" s="72"/>
      <c r="K44" s="7"/>
      <c r="L44" s="9"/>
    </row>
    <row r="45" spans="1:12" ht="15" customHeight="1" thickBot="1" x14ac:dyDescent="0.3">
      <c r="A45" s="10"/>
      <c r="B45" s="77" t="s">
        <v>20</v>
      </c>
      <c r="C45" s="77"/>
      <c r="D45" s="77"/>
      <c r="E45" s="77"/>
      <c r="F45" s="69"/>
      <c r="G45" s="78">
        <v>0</v>
      </c>
      <c r="H45" s="79"/>
      <c r="I45" s="80"/>
      <c r="J45" s="81"/>
      <c r="K45" s="7"/>
      <c r="L45" s="9"/>
    </row>
    <row r="46" spans="1:12" ht="15" customHeight="1" thickBot="1" x14ac:dyDescent="0.3">
      <c r="A46" s="10"/>
      <c r="B46" s="69" t="s">
        <v>21</v>
      </c>
      <c r="C46" s="70"/>
      <c r="D46" s="70"/>
      <c r="E46" s="70"/>
      <c r="F46" s="70"/>
      <c r="G46" s="71">
        <f>L40+G45</f>
        <v>56</v>
      </c>
      <c r="H46" s="72"/>
      <c r="I46" s="73"/>
      <c r="J46" s="72"/>
      <c r="K46" s="7"/>
      <c r="L46" s="9"/>
    </row>
    <row r="47" spans="1:12" ht="15" customHeight="1" thickBot="1" x14ac:dyDescent="0.3">
      <c r="A47" s="3"/>
      <c r="B47" s="69" t="s">
        <v>22</v>
      </c>
      <c r="C47" s="70"/>
      <c r="D47" s="70"/>
      <c r="E47" s="70"/>
      <c r="F47" s="70"/>
      <c r="G47" s="71">
        <f>G43+G44-G46</f>
        <v>143</v>
      </c>
      <c r="H47" s="72"/>
      <c r="I47" s="73"/>
      <c r="J47" s="72"/>
      <c r="K47" s="7"/>
      <c r="L47" s="2"/>
    </row>
    <row r="48" spans="1:12" ht="15" customHeight="1" thickBot="1" x14ac:dyDescent="0.3">
      <c r="A48" s="3"/>
      <c r="B48" s="69" t="s">
        <v>23</v>
      </c>
      <c r="C48" s="70"/>
      <c r="D48" s="70"/>
      <c r="E48" s="70"/>
      <c r="F48" s="70"/>
      <c r="G48" s="71">
        <v>133</v>
      </c>
      <c r="H48" s="72"/>
      <c r="I48" s="73"/>
      <c r="J48" s="72"/>
      <c r="K48" s="7"/>
      <c r="L48" s="2"/>
    </row>
    <row r="49" spans="1:12" ht="15" customHeight="1" thickBot="1" x14ac:dyDescent="0.3">
      <c r="A49" s="3"/>
      <c r="B49" s="69" t="s">
        <v>24</v>
      </c>
      <c r="C49" s="70"/>
      <c r="D49" s="70"/>
      <c r="E49" s="70"/>
      <c r="F49" s="70"/>
      <c r="G49" s="74">
        <f>G47-G48</f>
        <v>10</v>
      </c>
      <c r="H49" s="75"/>
      <c r="I49" s="76"/>
      <c r="J49" s="75"/>
      <c r="K49" s="7"/>
      <c r="L49" s="2"/>
    </row>
    <row r="50" spans="1:12" ht="15" customHeight="1" x14ac:dyDescent="0.25">
      <c r="A50" s="4" t="s">
        <v>25</v>
      </c>
      <c r="B50" s="23"/>
      <c r="C50" s="28"/>
      <c r="D50" s="28"/>
      <c r="E50" s="28"/>
      <c r="F50" s="23"/>
      <c r="G50" s="23"/>
      <c r="H50" s="28"/>
      <c r="I50" s="29" t="s">
        <v>26</v>
      </c>
      <c r="J50" s="28"/>
      <c r="K50" s="23"/>
      <c r="L50" s="1"/>
    </row>
    <row r="51" spans="1:12" ht="3.75" customHeight="1" x14ac:dyDescent="0.25"/>
    <row r="52" spans="1:12" ht="15" customHeight="1" x14ac:dyDescent="0.25"/>
    <row r="53" spans="1:12" x14ac:dyDescent="0.25">
      <c r="A53" t="s">
        <v>39</v>
      </c>
    </row>
  </sheetData>
  <mergeCells count="36">
    <mergeCell ref="A1:D1"/>
    <mergeCell ref="G1:L1"/>
    <mergeCell ref="A2:D2"/>
    <mergeCell ref="G2:L2"/>
    <mergeCell ref="A3:D3"/>
    <mergeCell ref="G3:L3"/>
    <mergeCell ref="A5:L5"/>
    <mergeCell ref="A6:L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JANVIER 2026</vt:lpstr>
      <vt:lpstr>FEVRIER 2026</vt:lpstr>
      <vt:lpstr>MARS 2026</vt:lpstr>
      <vt:lpstr>AVRIL 2026</vt:lpstr>
      <vt:lpstr>MAI 2026</vt:lpstr>
      <vt:lpstr>JUIN 2026</vt:lpstr>
      <vt:lpstr>JUILLET 2026</vt:lpstr>
      <vt:lpstr>AOUT 2026</vt:lpstr>
      <vt:lpstr>SEPTEMBRE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HP</cp:lastModifiedBy>
  <cp:lastPrinted>2026-06-10T11:58:28Z</cp:lastPrinted>
  <dcterms:created xsi:type="dcterms:W3CDTF">2014-12-31T15:22:06Z</dcterms:created>
  <dcterms:modified xsi:type="dcterms:W3CDTF">2026-09-23T13:21:10Z</dcterms:modified>
</cp:coreProperties>
</file>