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6\Gestion de Stock Tlathet Douairs\"/>
    </mc:Choice>
  </mc:AlternateContent>
  <xr:revisionPtr revIDLastSave="0" documentId="13_ncr:1_{F2EA44E6-0104-4069-8152-628546AF3876}" xr6:coauthVersionLast="47" xr6:coauthVersionMax="47" xr10:uidLastSave="{00000000-0000-0000-0000-000000000000}"/>
  <bookViews>
    <workbookView xWindow="-120" yWindow="-120" windowWidth="29040" windowHeight="15720" firstSheet="2" activeTab="9" xr2:uid="{00000000-000D-0000-FFFF-FFFF00000000}"/>
  </bookViews>
  <sheets>
    <sheet name="JANVIER 2026" sheetId="12" r:id="rId1"/>
    <sheet name="FEVRIER 2026" sheetId="13" r:id="rId2"/>
    <sheet name="MARS 2026" sheetId="14" r:id="rId3"/>
    <sheet name="AVRIL 2026" sheetId="15" r:id="rId4"/>
    <sheet name="MAI 2026" sheetId="16" r:id="rId5"/>
    <sheet name="JUIN 2026" sheetId="17" r:id="rId6"/>
    <sheet name="JUILLET 2026" sheetId="18" r:id="rId7"/>
    <sheet name="AOUT 2026" sheetId="19" r:id="rId8"/>
    <sheet name="SEPTEMBRE 2026" sheetId="20" r:id="rId9"/>
    <sheet name="OCTOBRE 2026" sheetId="21" r:id="rId10"/>
  </sheets>
  <definedNames>
    <definedName name="_xlnm.Print_Titles" localSheetId="7">'AOUT 2026'!$1:$6</definedName>
    <definedName name="_xlnm.Print_Titles" localSheetId="3">'AVRIL 2026'!$1:$6</definedName>
    <definedName name="_xlnm.Print_Titles" localSheetId="1">'FEVRIER 2026'!$1:$6</definedName>
    <definedName name="_xlnm.Print_Titles" localSheetId="0">'JANVIER 2026'!$1:$6</definedName>
    <definedName name="_xlnm.Print_Titles" localSheetId="6">'JUILLET 2026'!$1:$6</definedName>
    <definedName name="_xlnm.Print_Titles" localSheetId="5">'JUIN 2026'!$1:$6</definedName>
    <definedName name="_xlnm.Print_Titles" localSheetId="4">'MAI 2026'!$1:$6</definedName>
    <definedName name="_xlnm.Print_Titles" localSheetId="2">'MARS 2026'!$1:$6</definedName>
    <definedName name="_xlnm.Print_Titles" localSheetId="9">'OCTOBRE 2026'!$1:$6</definedName>
    <definedName name="_xlnm.Print_Titles" localSheetId="8">'SEPTEMBRE 2026'!$1:$6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1" l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K4" i="21"/>
  <c r="K3" i="21"/>
  <c r="K2" i="21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K4" i="20"/>
  <c r="K3" i="20"/>
  <c r="K2" i="20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K4" i="19"/>
  <c r="K3" i="19"/>
  <c r="K2" i="19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K4" i="18"/>
  <c r="K3" i="18"/>
  <c r="K2" i="18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K4" i="17"/>
  <c r="K3" i="17"/>
  <c r="K2" i="17"/>
  <c r="K5" i="17" s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K4" i="16"/>
  <c r="K3" i="16"/>
  <c r="K2" i="16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K4" i="15"/>
  <c r="K3" i="15"/>
  <c r="K2" i="15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K4" i="14"/>
  <c r="K3" i="14"/>
  <c r="K2" i="14"/>
  <c r="K5" i="14" s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K4" i="13"/>
  <c r="K3" i="13"/>
  <c r="K2" i="13"/>
  <c r="K4" i="12"/>
  <c r="K3" i="12"/>
  <c r="K2" i="12"/>
  <c r="K5" i="21" l="1"/>
  <c r="K5" i="20"/>
  <c r="K5" i="19"/>
  <c r="K5" i="18"/>
  <c r="K5" i="16"/>
  <c r="K5" i="15"/>
  <c r="K5" i="13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K5" i="12" l="1"/>
</calcChain>
</file>

<file path=xl/sharedStrings.xml><?xml version="1.0" encoding="utf-8"?>
<sst xmlns="http://schemas.openxmlformats.org/spreadsheetml/2006/main" count="475" uniqueCount="201">
  <si>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</si>
  <si>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</si>
  <si>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</si>
  <si>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</si>
  <si>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</si>
  <si>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</si>
  <si>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</si>
  <si>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</si>
  <si>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</si>
  <si>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</si>
  <si>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</si>
  <si>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</si>
  <si>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</si>
  <si>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</si>
  <si>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</si>
  <si>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</si>
  <si>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cc</t>
  </si>
  <si>
    <t>Antenne Tlathet Douairs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</si>
  <si>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</si>
  <si>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64</t>
  </si>
  <si>
    <t>15/21</t>
  </si>
  <si>
    <t>2025177558</t>
  </si>
  <si>
    <t>NB(551/2025)</t>
  </si>
  <si>
    <t>Zahar djamel</t>
  </si>
  <si>
    <t>2025177837</t>
  </si>
  <si>
    <t>Bettouche lakhdar</t>
  </si>
  <si>
    <t>NB(338/2025)</t>
  </si>
  <si>
    <t>2025177836</t>
  </si>
  <si>
    <t>Bitam boumedien</t>
  </si>
  <si>
    <t>NB(355/2025)</t>
  </si>
  <si>
    <t>2025177329</t>
  </si>
  <si>
    <t>Kouidri med</t>
  </si>
  <si>
    <t>Licir med alaa eddine</t>
  </si>
  <si>
    <t>NB(354/2025)</t>
  </si>
  <si>
    <t>2025177328</t>
  </si>
  <si>
    <t>Kouidri billel</t>
  </si>
  <si>
    <t>NB(325/2025)</t>
  </si>
  <si>
    <t>NB(205/2025)</t>
  </si>
  <si>
    <t>2025177327</t>
  </si>
  <si>
    <t>Semicha hamza</t>
  </si>
  <si>
    <t>NB(333/2025)</t>
  </si>
  <si>
    <t>2025177326</t>
  </si>
  <si>
    <t>Belmihoub aissa</t>
  </si>
  <si>
    <t>NB(300/2025)</t>
  </si>
  <si>
    <t>2025177555</t>
  </si>
  <si>
    <t>Berrabah bachir</t>
  </si>
  <si>
    <t>NB(213/2025)</t>
  </si>
  <si>
    <t>2025177835</t>
  </si>
  <si>
    <t>Mosbah bakhta</t>
  </si>
  <si>
    <t>NB(362/2025)</t>
  </si>
  <si>
    <t>2025177838</t>
  </si>
  <si>
    <t>Belmihoub brahim</t>
  </si>
  <si>
    <t>NB(290/2025)</t>
  </si>
  <si>
    <t>2025177834</t>
  </si>
  <si>
    <t>NB(028/2026)</t>
  </si>
  <si>
    <t>Yamani yamena</t>
  </si>
  <si>
    <t>2025177840</t>
  </si>
  <si>
    <t>Berabah abdelmalek</t>
  </si>
  <si>
    <t>NB(293/2025)</t>
  </si>
  <si>
    <t>2025177839</t>
  </si>
  <si>
    <t>Douis cherifa</t>
  </si>
  <si>
    <t>NB(299/2025)</t>
  </si>
  <si>
    <t>2025177832</t>
  </si>
  <si>
    <t xml:space="preserve">Zidi abderezzak </t>
  </si>
  <si>
    <t>NB(337/2025)</t>
  </si>
  <si>
    <t>2025177833</t>
  </si>
  <si>
    <t>NB(328/2025)</t>
  </si>
  <si>
    <t>Bettouche aek</t>
  </si>
  <si>
    <t>2025177552</t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</si>
  <si>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</si>
  <si>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</si>
  <si>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640663</t>
  </si>
  <si>
    <t>2025177346</t>
  </si>
  <si>
    <t>Elimination Forfait</t>
  </si>
  <si>
    <t>640932</t>
  </si>
  <si>
    <t>2025177347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</si>
  <si>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</si>
  <si>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2025177343</t>
  </si>
  <si>
    <t>NB(372/2025)</t>
  </si>
  <si>
    <t>Remana tarek</t>
  </si>
  <si>
    <t>2025177473</t>
  </si>
  <si>
    <t>NB(356/2025)</t>
  </si>
  <si>
    <t>Bitam ibrahim</t>
  </si>
  <si>
    <t>2025177472</t>
  </si>
  <si>
    <t>NB(678/2024)</t>
  </si>
  <si>
    <t>Metrini embarek</t>
  </si>
  <si>
    <t>2025177201</t>
  </si>
  <si>
    <t>NB(342/2025)</t>
  </si>
  <si>
    <t>Djillali abdenbi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</si>
  <si>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</si>
  <si>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2025177171</t>
  </si>
  <si>
    <t>NB(555/25)</t>
  </si>
  <si>
    <t>Hadjarsi berkane</t>
  </si>
  <si>
    <t>2025177172</t>
  </si>
  <si>
    <t>Belal lakhdar</t>
  </si>
  <si>
    <t>NB(294/25)</t>
  </si>
  <si>
    <t>Sahal yamina</t>
  </si>
  <si>
    <t>2025177175</t>
  </si>
  <si>
    <t>NB(687/25)</t>
  </si>
  <si>
    <t>2025177176</t>
  </si>
  <si>
    <t>NB(432/25)</t>
  </si>
  <si>
    <t>Haddad el hadj</t>
  </si>
  <si>
    <t>2025177299</t>
  </si>
  <si>
    <t>NB(446/25)</t>
  </si>
  <si>
    <t>Tertar benzerga</t>
  </si>
  <si>
    <t>2025177296</t>
  </si>
  <si>
    <t>Hadjadj allel</t>
  </si>
  <si>
    <t>NB(327/25)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</si>
  <si>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</si>
  <si>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</si>
  <si>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20/27</t>
  </si>
  <si>
    <t>2024004652</t>
  </si>
  <si>
    <t>NB(482/2025)</t>
  </si>
  <si>
    <t>Belmadoui houcine</t>
  </si>
  <si>
    <t>2026003629</t>
  </si>
  <si>
    <t>NB(276/2026)</t>
  </si>
  <si>
    <t>Bellemdjahed aek</t>
  </si>
  <si>
    <t>2026003621</t>
  </si>
  <si>
    <t>Chabira hichem</t>
  </si>
  <si>
    <t>NB(205/2026)</t>
  </si>
  <si>
    <t>2026003628</t>
  </si>
  <si>
    <t>Bessam benaissa</t>
  </si>
  <si>
    <t>NB(245/2026)</t>
  </si>
  <si>
    <t>2026003630</t>
  </si>
  <si>
    <t>Adem abderrahmane</t>
  </si>
  <si>
    <t>NB(251/2026)</t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</si>
  <si>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</si>
  <si>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2026003464</t>
  </si>
  <si>
    <t>NB(297/2025)</t>
  </si>
  <si>
    <t>Rebah djillali</t>
  </si>
  <si>
    <t>2026003466</t>
  </si>
  <si>
    <t>Smicha ayoub</t>
  </si>
  <si>
    <t>NB(282/2026)</t>
  </si>
  <si>
    <t>2026003467</t>
  </si>
  <si>
    <t>Bouarif yahia</t>
  </si>
  <si>
    <t>NB(441/2025)</t>
  </si>
  <si>
    <t>2026003945</t>
  </si>
  <si>
    <t>NB(258/2026)</t>
  </si>
  <si>
    <t>Ghrib hamza</t>
  </si>
  <si>
    <t>2026003469</t>
  </si>
  <si>
    <t>Benelhadj amar</t>
  </si>
  <si>
    <t>NB(381/2025)</t>
  </si>
  <si>
    <t>2026003465</t>
  </si>
  <si>
    <t>NB(553/2025)</t>
  </si>
  <si>
    <t>Bourzama khadidja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</si>
  <si>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</si>
  <si>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2026004021</t>
  </si>
  <si>
    <t>Chebane med amine</t>
  </si>
  <si>
    <t>NB(465/2025)</t>
  </si>
  <si>
    <t>2026004023</t>
  </si>
  <si>
    <t>Tertar djamel</t>
  </si>
  <si>
    <t>NB(329/2026)</t>
  </si>
  <si>
    <t>2026004024</t>
  </si>
  <si>
    <t>Yagoub fares</t>
  </si>
  <si>
    <t>NB(297/2026)</t>
  </si>
  <si>
    <t>2026004030</t>
  </si>
  <si>
    <t>Serdouk ibrahim</t>
  </si>
  <si>
    <t>NB(336/2026)</t>
  </si>
  <si>
    <t>2026004028</t>
  </si>
  <si>
    <t>Belmadoui hamza</t>
  </si>
  <si>
    <t>NB(480/2025)</t>
  </si>
  <si>
    <t>2026004029</t>
  </si>
  <si>
    <t>Yagoub benmalek</t>
  </si>
  <si>
    <t>NB(353/2025)</t>
  </si>
  <si>
    <t>2026004022</t>
  </si>
  <si>
    <t>Yagoub abderahmane</t>
  </si>
  <si>
    <t>NB(367/2025)</t>
  </si>
  <si>
    <t>2026004025</t>
  </si>
  <si>
    <t>Yamani ahmed</t>
  </si>
  <si>
    <t>NB(255/2026)</t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</si>
  <si>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</si>
  <si>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641153</t>
  </si>
  <si>
    <t>2026143437</t>
  </si>
  <si>
    <t>640340</t>
  </si>
  <si>
    <t>2026143438</t>
  </si>
  <si>
    <t>2026003383</t>
  </si>
  <si>
    <t>NB(384/2026)</t>
  </si>
  <si>
    <t>Chabira samir</t>
  </si>
  <si>
    <t>2026003386</t>
  </si>
  <si>
    <t>Chouihi boulanouar</t>
  </si>
  <si>
    <t>NB(371/2025)</t>
  </si>
  <si>
    <t>2026003385</t>
  </si>
  <si>
    <t>Boukoufalah lakhdar</t>
  </si>
  <si>
    <t>NB(283/2025)</t>
  </si>
  <si>
    <t>2026003390</t>
  </si>
  <si>
    <t>Belmihoub abdelhak</t>
  </si>
  <si>
    <t>NB(361/2026)</t>
  </si>
  <si>
    <t>2026003440</t>
  </si>
  <si>
    <t>Kouidri a/azziz</t>
  </si>
  <si>
    <t>NB(422/2026)</t>
  </si>
  <si>
    <t>2026003382</t>
  </si>
  <si>
    <t>Lalmaya aissa</t>
  </si>
  <si>
    <t>NB(421/2026)</t>
  </si>
  <si>
    <t>2026003381</t>
  </si>
  <si>
    <t>Adjroud rafik</t>
  </si>
  <si>
    <t>NB(542/2025)</t>
  </si>
  <si>
    <t>640771</t>
  </si>
  <si>
    <t>2026144377</t>
  </si>
  <si>
    <t>2026003439</t>
  </si>
  <si>
    <t>Chouihi ali</t>
  </si>
  <si>
    <t>NB(484/2026)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</si>
</sst>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8" fillId="0" borderId="0"/>
    <xf numFmtId="0" fontId="1" fillId="0" borderId="0"/>
  </cellStyleXfs>
  <cellXfs count="27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22</xdr:row>
      <xdr:rowOff>19050</xdr:rowOff>
    </xdr:from>
    <xdr:to>
      <xdr:col>5</xdr:col>
      <xdr:colOff>1152525</xdr:colOff>
      <xdr:row>45</xdr:row>
      <xdr:rowOff>161925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609600" y="4381500"/>
          <a:ext cx="4048125" cy="4524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38100</xdr:rowOff>
    </xdr:from>
    <xdr:to>
      <xdr:col>5</xdr:col>
      <xdr:colOff>1162050</xdr:colOff>
      <xdr:row>45</xdr:row>
      <xdr:rowOff>161925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269B98CF-2084-4F94-BFA4-E7887388ECE7}"/>
            </a:ext>
          </a:extLst>
        </xdr:cNvPr>
        <xdr:cNvCxnSpPr/>
      </xdr:nvCxnSpPr>
      <xdr:spPr>
        <a:xfrm flipH="1">
          <a:off x="609600" y="1352550"/>
          <a:ext cx="4057650" cy="7553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38100</xdr:rowOff>
    </xdr:from>
    <xdr:to>
      <xdr:col>5</xdr:col>
      <xdr:colOff>1162050</xdr:colOff>
      <xdr:row>45</xdr:row>
      <xdr:rowOff>161925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EABA651A-9D8F-478B-847A-4DFF933A248B}"/>
            </a:ext>
          </a:extLst>
        </xdr:cNvPr>
        <xdr:cNvCxnSpPr/>
      </xdr:nvCxnSpPr>
      <xdr:spPr>
        <a:xfrm flipH="1">
          <a:off x="609600" y="1352550"/>
          <a:ext cx="4057650" cy="7553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13</xdr:row>
      <xdr:rowOff>66675</xdr:rowOff>
    </xdr:from>
    <xdr:to>
      <xdr:col>5</xdr:col>
      <xdr:colOff>1152525</xdr:colOff>
      <xdr:row>45</xdr:row>
      <xdr:rowOff>161925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D350EA69-A9FF-4080-94BB-8D7E94505445}"/>
            </a:ext>
          </a:extLst>
        </xdr:cNvPr>
        <xdr:cNvCxnSpPr/>
      </xdr:nvCxnSpPr>
      <xdr:spPr>
        <a:xfrm flipH="1">
          <a:off x="609600" y="2714625"/>
          <a:ext cx="4048125" cy="6191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13</xdr:row>
      <xdr:rowOff>66675</xdr:rowOff>
    </xdr:from>
    <xdr:to>
      <xdr:col>5</xdr:col>
      <xdr:colOff>1152525</xdr:colOff>
      <xdr:row>45</xdr:row>
      <xdr:rowOff>161925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541D596E-8993-4FC2-94B8-F7290E2B6BB6}"/>
            </a:ext>
          </a:extLst>
        </xdr:cNvPr>
        <xdr:cNvCxnSpPr/>
      </xdr:nvCxnSpPr>
      <xdr:spPr>
        <a:xfrm flipH="1">
          <a:off x="609600" y="2714625"/>
          <a:ext cx="4048125" cy="6191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38100</xdr:rowOff>
    </xdr:from>
    <xdr:to>
      <xdr:col>5</xdr:col>
      <xdr:colOff>1171575</xdr:colOff>
      <xdr:row>45</xdr:row>
      <xdr:rowOff>161925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A393B078-4804-4640-B8CC-8A42D3ECF74E}"/>
            </a:ext>
          </a:extLst>
        </xdr:cNvPr>
        <xdr:cNvCxnSpPr/>
      </xdr:nvCxnSpPr>
      <xdr:spPr>
        <a:xfrm flipH="1">
          <a:off x="609600" y="1352550"/>
          <a:ext cx="4067175" cy="7553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</xdr:row>
      <xdr:rowOff>66675</xdr:rowOff>
    </xdr:from>
    <xdr:to>
      <xdr:col>7</xdr:col>
      <xdr:colOff>19050</xdr:colOff>
      <xdr:row>45</xdr:row>
      <xdr:rowOff>161925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DC94D3A0-7BF8-4AFC-8C1E-7AF048AD6E4F}"/>
            </a:ext>
          </a:extLst>
        </xdr:cNvPr>
        <xdr:cNvCxnSpPr/>
      </xdr:nvCxnSpPr>
      <xdr:spPr>
        <a:xfrm flipH="1">
          <a:off x="609600" y="2333625"/>
          <a:ext cx="4095750" cy="6572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12</xdr:row>
      <xdr:rowOff>38100</xdr:rowOff>
    </xdr:from>
    <xdr:to>
      <xdr:col>5</xdr:col>
      <xdr:colOff>1171575</xdr:colOff>
      <xdr:row>45</xdr:row>
      <xdr:rowOff>161925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4907A86E-3F1A-4B49-A3F0-BD4759685DA0}"/>
            </a:ext>
          </a:extLst>
        </xdr:cNvPr>
        <xdr:cNvCxnSpPr/>
      </xdr:nvCxnSpPr>
      <xdr:spPr>
        <a:xfrm flipH="1">
          <a:off x="609600" y="2495550"/>
          <a:ext cx="4067175" cy="6410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</xdr:row>
      <xdr:rowOff>9525</xdr:rowOff>
    </xdr:from>
    <xdr:to>
      <xdr:col>5</xdr:col>
      <xdr:colOff>1162050</xdr:colOff>
      <xdr:row>45</xdr:row>
      <xdr:rowOff>161925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2E288341-FCF4-4522-8491-6A81BE048A0E}"/>
            </a:ext>
          </a:extLst>
        </xdr:cNvPr>
        <xdr:cNvCxnSpPr/>
      </xdr:nvCxnSpPr>
      <xdr:spPr>
        <a:xfrm flipH="1">
          <a:off x="609600" y="2847975"/>
          <a:ext cx="4057650" cy="6057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17</xdr:row>
      <xdr:rowOff>47625</xdr:rowOff>
    </xdr:from>
    <xdr:to>
      <xdr:col>6</xdr:col>
      <xdr:colOff>0</xdr:colOff>
      <xdr:row>45</xdr:row>
      <xdr:rowOff>161925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2E2B73EE-5080-4660-8AF2-11C612CBE8CF}"/>
            </a:ext>
          </a:extLst>
        </xdr:cNvPr>
        <xdr:cNvCxnSpPr/>
      </xdr:nvCxnSpPr>
      <xdr:spPr>
        <a:xfrm flipH="1">
          <a:off x="609600" y="3457575"/>
          <a:ext cx="4076700" cy="5448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K97"/>
  <sheetViews>
    <sheetView topLeftCell="A3"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1" t="s">
        <v>0</v>
      </c>
      <c r="B1" s="21"/>
      <c r="C1" s="2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5" t="s">
        <v>2</v>
      </c>
      <c r="B2" s="25"/>
      <c r="C2" s="25"/>
      <c r="D2" s="6"/>
      <c r="E2" s="26" t="s">
        <v>3</v>
      </c>
      <c r="F2" s="26"/>
      <c r="G2" s="4"/>
      <c r="H2" s="4"/>
      <c r="I2" s="22" t="s">
        <v>4</v>
      </c>
      <c r="J2" s="23"/>
      <c r="K2" s="16">
        <f ca="1">SUMIF(F7:F316,"Elimination*",G7:G136)</f>
        <v>0</v>
      </c>
    </row>
    <row r="3" spans="1:11" x14ac:dyDescent="0.25">
      <c r="A3" s="26" t="s">
        <v>5</v>
      </c>
      <c r="B3" s="26"/>
      <c r="C3" s="26"/>
      <c r="D3" s="5"/>
      <c r="E3" s="26" t="s">
        <v>17</v>
      </c>
      <c r="F3" s="26"/>
      <c r="G3" s="4"/>
      <c r="H3" s="4"/>
      <c r="I3" s="22" t="s">
        <v>6</v>
      </c>
      <c r="J3" s="23"/>
      <c r="K3" s="16">
        <f>SUMIF(F7:F136,"NB*",G7:G136)</f>
        <v>16</v>
      </c>
    </row>
    <row r="4" spans="1:11" ht="18" x14ac:dyDescent="0.25">
      <c r="A4" s="21" t="s">
        <v>7</v>
      </c>
      <c r="B4" s="21"/>
      <c r="C4" s="21"/>
      <c r="D4" s="21"/>
      <c r="E4" s="21"/>
      <c r="F4" s="21"/>
      <c r="G4" s="4"/>
      <c r="H4" s="4"/>
      <c r="I4" s="22" t="s">
        <v>8</v>
      </c>
      <c r="J4" s="23"/>
      <c r="K4" s="16">
        <f>SUMIF(F7:F136,"Ve*",G7:G136)</f>
        <v>0</v>
      </c>
    </row>
    <row r="5" spans="1:11" ht="15.75" x14ac:dyDescent="0.25">
      <c r="A5" s="24" t="s">
        <v>18</v>
      </c>
      <c r="B5" s="24"/>
      <c r="C5" s="24"/>
      <c r="D5" s="24"/>
      <c r="E5" s="24"/>
      <c r="F5" s="24"/>
      <c r="G5" s="17"/>
      <c r="H5" s="17"/>
      <c r="I5" s="22" t="s">
        <v>9</v>
      </c>
      <c r="J5" s="23"/>
      <c r="K5" s="18">
        <f ca="1">SUM(K2:K4)</f>
        <v>16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 t="s">
        <v>19</v>
      </c>
      <c r="C7" s="10" t="s">
        <v>20</v>
      </c>
      <c r="D7" s="9" t="s">
        <v>41</v>
      </c>
      <c r="E7" s="12">
        <v>46040</v>
      </c>
      <c r="F7" s="19" t="s">
        <v>43</v>
      </c>
      <c r="G7" s="15">
        <v>1</v>
      </c>
      <c r="H7" s="20" t="s">
        <v>42</v>
      </c>
      <c r="I7" s="2"/>
      <c r="J7" s="2"/>
      <c r="K7" s="1"/>
    </row>
    <row r="8" spans="1:11" ht="15" customHeight="1" x14ac:dyDescent="0.25">
      <c r="A8" s="14">
        <f t="shared" ref="A8:A71" si="0">+A7+1</f>
        <v>2</v>
      </c>
      <c r="B8" s="9" t="s">
        <v>19</v>
      </c>
      <c r="C8" s="10" t="s">
        <v>20</v>
      </c>
      <c r="D8" s="9" t="s">
        <v>38</v>
      </c>
      <c r="E8" s="12">
        <v>46040</v>
      </c>
      <c r="F8" s="19" t="s">
        <v>40</v>
      </c>
      <c r="G8" s="15">
        <v>1</v>
      </c>
      <c r="H8" s="20" t="s">
        <v>39</v>
      </c>
      <c r="I8" s="2"/>
      <c r="J8" s="2"/>
      <c r="K8" s="1"/>
    </row>
    <row r="9" spans="1:11" ht="15" customHeight="1" x14ac:dyDescent="0.25">
      <c r="A9" s="14">
        <f t="shared" si="0"/>
        <v>3</v>
      </c>
      <c r="B9" s="9" t="s">
        <v>19</v>
      </c>
      <c r="C9" s="10" t="s">
        <v>20</v>
      </c>
      <c r="D9" s="9" t="s">
        <v>34</v>
      </c>
      <c r="E9" s="12">
        <v>46040</v>
      </c>
      <c r="F9" s="19" t="s">
        <v>36</v>
      </c>
      <c r="G9" s="15">
        <v>1</v>
      </c>
      <c r="H9" s="20" t="s">
        <v>35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19</v>
      </c>
      <c r="C10" s="10" t="s">
        <v>20</v>
      </c>
      <c r="D10" s="9" t="s">
        <v>30</v>
      </c>
      <c r="E10" s="12">
        <v>46040</v>
      </c>
      <c r="F10" s="19" t="s">
        <v>37</v>
      </c>
      <c r="G10" s="15">
        <v>1</v>
      </c>
      <c r="H10" s="2" t="s">
        <v>31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19</v>
      </c>
      <c r="C11" s="10" t="s">
        <v>20</v>
      </c>
      <c r="D11" s="9" t="s">
        <v>68</v>
      </c>
      <c r="E11" s="12">
        <v>46040</v>
      </c>
      <c r="F11" s="19" t="s">
        <v>33</v>
      </c>
      <c r="G11" s="15">
        <v>1</v>
      </c>
      <c r="H11" s="2" t="s">
        <v>32</v>
      </c>
      <c r="I11" s="2"/>
      <c r="J11" s="2"/>
      <c r="K11" s="1"/>
    </row>
    <row r="12" spans="1:11" ht="15" customHeight="1" x14ac:dyDescent="0.25">
      <c r="A12" s="14">
        <f t="shared" si="0"/>
        <v>6</v>
      </c>
      <c r="B12" s="9" t="s">
        <v>19</v>
      </c>
      <c r="C12" s="10" t="s">
        <v>20</v>
      </c>
      <c r="D12" s="9" t="s">
        <v>44</v>
      </c>
      <c r="E12" s="12">
        <v>46040</v>
      </c>
      <c r="F12" s="19" t="s">
        <v>46</v>
      </c>
      <c r="G12" s="15">
        <v>1</v>
      </c>
      <c r="H12" s="20" t="s">
        <v>45</v>
      </c>
      <c r="I12" s="2"/>
      <c r="J12" s="2"/>
      <c r="K12" s="1"/>
    </row>
    <row r="13" spans="1:11" ht="15" customHeight="1" x14ac:dyDescent="0.25">
      <c r="A13" s="14">
        <f t="shared" si="0"/>
        <v>7</v>
      </c>
      <c r="B13" s="9" t="s">
        <v>19</v>
      </c>
      <c r="C13" s="10" t="s">
        <v>20</v>
      </c>
      <c r="D13" s="9" t="s">
        <v>21</v>
      </c>
      <c r="E13" s="12">
        <v>46040</v>
      </c>
      <c r="F13" s="19" t="s">
        <v>22</v>
      </c>
      <c r="G13" s="15">
        <v>1</v>
      </c>
      <c r="H13" s="2" t="s">
        <v>23</v>
      </c>
      <c r="I13" s="2"/>
      <c r="J13" s="2"/>
      <c r="K13" s="1"/>
    </row>
    <row r="14" spans="1:11" ht="15" customHeight="1" x14ac:dyDescent="0.25">
      <c r="A14" s="14">
        <f t="shared" si="0"/>
        <v>8</v>
      </c>
      <c r="B14" s="9" t="s">
        <v>19</v>
      </c>
      <c r="C14" s="10" t="s">
        <v>20</v>
      </c>
      <c r="D14" s="9" t="s">
        <v>62</v>
      </c>
      <c r="E14" s="12">
        <v>46040</v>
      </c>
      <c r="F14" s="19" t="s">
        <v>64</v>
      </c>
      <c r="G14" s="15">
        <v>1</v>
      </c>
      <c r="H14" s="20" t="s">
        <v>63</v>
      </c>
      <c r="I14" s="2"/>
      <c r="J14" s="2"/>
    </row>
    <row r="15" spans="1:11" ht="15" customHeight="1" x14ac:dyDescent="0.25">
      <c r="A15" s="14">
        <f t="shared" si="0"/>
        <v>9</v>
      </c>
      <c r="B15" s="9" t="s">
        <v>19</v>
      </c>
      <c r="C15" s="10" t="s">
        <v>20</v>
      </c>
      <c r="D15" s="9" t="s">
        <v>65</v>
      </c>
      <c r="E15" s="12">
        <v>46040</v>
      </c>
      <c r="F15" s="19" t="s">
        <v>66</v>
      </c>
      <c r="G15" s="15">
        <v>1</v>
      </c>
      <c r="H15" s="20" t="s">
        <v>67</v>
      </c>
      <c r="I15" s="2"/>
      <c r="J15" s="2"/>
    </row>
    <row r="16" spans="1:11" ht="15" customHeight="1" x14ac:dyDescent="0.25">
      <c r="A16" s="14">
        <f t="shared" si="0"/>
        <v>10</v>
      </c>
      <c r="B16" s="9" t="s">
        <v>19</v>
      </c>
      <c r="C16" s="10" t="s">
        <v>20</v>
      </c>
      <c r="D16" s="9" t="s">
        <v>53</v>
      </c>
      <c r="E16" s="12">
        <v>46040</v>
      </c>
      <c r="F16" s="19" t="s">
        <v>54</v>
      </c>
      <c r="G16" s="15">
        <v>1</v>
      </c>
      <c r="H16" s="20" t="s">
        <v>55</v>
      </c>
      <c r="I16" s="2"/>
      <c r="J16" s="2"/>
    </row>
    <row r="17" spans="1:10" ht="15" customHeight="1" x14ac:dyDescent="0.25">
      <c r="A17" s="14">
        <f t="shared" si="0"/>
        <v>11</v>
      </c>
      <c r="B17" s="9" t="s">
        <v>19</v>
      </c>
      <c r="C17" s="10" t="s">
        <v>20</v>
      </c>
      <c r="D17" s="9" t="s">
        <v>47</v>
      </c>
      <c r="E17" s="12">
        <v>46040</v>
      </c>
      <c r="F17" s="19" t="s">
        <v>49</v>
      </c>
      <c r="G17" s="15">
        <v>1</v>
      </c>
      <c r="H17" s="20" t="s">
        <v>48</v>
      </c>
      <c r="I17" s="2"/>
      <c r="J17" s="2"/>
    </row>
    <row r="18" spans="1:10" ht="15" customHeight="1" x14ac:dyDescent="0.25">
      <c r="A18" s="14">
        <f t="shared" si="0"/>
        <v>12</v>
      </c>
      <c r="B18" s="9" t="s">
        <v>19</v>
      </c>
      <c r="C18" s="10" t="s">
        <v>20</v>
      </c>
      <c r="D18" s="9" t="s">
        <v>27</v>
      </c>
      <c r="E18" s="12">
        <v>46040</v>
      </c>
      <c r="F18" s="19" t="s">
        <v>29</v>
      </c>
      <c r="G18" s="15">
        <v>1</v>
      </c>
      <c r="H18" s="2" t="s">
        <v>28</v>
      </c>
      <c r="I18" s="2"/>
      <c r="J18" s="2"/>
    </row>
    <row r="19" spans="1:10" ht="15" customHeight="1" x14ac:dyDescent="0.25">
      <c r="A19" s="14">
        <f t="shared" si="0"/>
        <v>13</v>
      </c>
      <c r="B19" s="9" t="s">
        <v>19</v>
      </c>
      <c r="C19" s="10" t="s">
        <v>20</v>
      </c>
      <c r="D19" s="9" t="s">
        <v>24</v>
      </c>
      <c r="E19" s="12">
        <v>46040</v>
      </c>
      <c r="F19" s="19" t="s">
        <v>26</v>
      </c>
      <c r="G19" s="15">
        <v>1</v>
      </c>
      <c r="H19" s="2" t="s">
        <v>25</v>
      </c>
      <c r="I19" s="2"/>
      <c r="J19" s="2"/>
    </row>
    <row r="20" spans="1:10" ht="15" customHeight="1" x14ac:dyDescent="0.25">
      <c r="A20" s="14">
        <f t="shared" si="0"/>
        <v>14</v>
      </c>
      <c r="B20" s="9" t="s">
        <v>19</v>
      </c>
      <c r="C20" s="10" t="s">
        <v>20</v>
      </c>
      <c r="D20" s="9" t="s">
        <v>50</v>
      </c>
      <c r="E20" s="12">
        <v>46040</v>
      </c>
      <c r="F20" s="19" t="s">
        <v>52</v>
      </c>
      <c r="G20" s="15">
        <v>1</v>
      </c>
      <c r="H20" s="2" t="s">
        <v>51</v>
      </c>
      <c r="I20" s="2"/>
      <c r="J20" s="2"/>
    </row>
    <row r="21" spans="1:10" ht="15" customHeight="1" x14ac:dyDescent="0.25">
      <c r="A21" s="14">
        <f t="shared" si="0"/>
        <v>15</v>
      </c>
      <c r="B21" s="9" t="s">
        <v>19</v>
      </c>
      <c r="C21" s="10" t="s">
        <v>20</v>
      </c>
      <c r="D21" s="9" t="s">
        <v>59</v>
      </c>
      <c r="E21" s="12">
        <v>46040</v>
      </c>
      <c r="F21" s="19" t="s">
        <v>61</v>
      </c>
      <c r="G21" s="15">
        <v>1</v>
      </c>
      <c r="H21" s="20" t="s">
        <v>60</v>
      </c>
      <c r="I21" s="2"/>
      <c r="J21" s="2"/>
    </row>
    <row r="22" spans="1:10" ht="15" customHeight="1" x14ac:dyDescent="0.25">
      <c r="A22" s="14">
        <f t="shared" si="0"/>
        <v>16</v>
      </c>
      <c r="B22" s="9" t="s">
        <v>19</v>
      </c>
      <c r="C22" s="10" t="s">
        <v>20</v>
      </c>
      <c r="D22" s="9" t="s">
        <v>56</v>
      </c>
      <c r="E22" s="12">
        <v>46040</v>
      </c>
      <c r="F22" s="19" t="s">
        <v>58</v>
      </c>
      <c r="G22" s="15">
        <v>1</v>
      </c>
      <c r="H22" s="2" t="s">
        <v>57</v>
      </c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</row>
    <row r="47" spans="1:10" x14ac:dyDescent="0.25">
      <c r="A47" s="14">
        <f t="shared" si="0"/>
        <v>41</v>
      </c>
      <c r="B47" s="9"/>
      <c r="C47" s="10"/>
      <c r="D47" s="9"/>
      <c r="E47" s="12"/>
      <c r="F47" s="19"/>
      <c r="G47" s="15">
        <v>1</v>
      </c>
    </row>
    <row r="48" spans="1:10" x14ac:dyDescent="0.25">
      <c r="A48" s="14">
        <f t="shared" si="0"/>
        <v>42</v>
      </c>
      <c r="B48" s="9"/>
      <c r="C48" s="10"/>
      <c r="D48" s="9"/>
      <c r="E48" s="12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12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12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12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12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  <row r="72" spans="1:7" x14ac:dyDescent="0.25">
      <c r="A72" s="14">
        <f t="shared" ref="A72:A97" si="1">+A71+1</f>
        <v>66</v>
      </c>
      <c r="B72" s="9"/>
      <c r="C72" s="10"/>
      <c r="D72" s="9"/>
      <c r="E72" s="12"/>
      <c r="F72" s="19"/>
      <c r="G72" s="15">
        <v>1</v>
      </c>
    </row>
    <row r="73" spans="1:7" x14ac:dyDescent="0.25">
      <c r="A73" s="14">
        <f t="shared" si="1"/>
        <v>67</v>
      </c>
      <c r="B73" s="9"/>
      <c r="C73" s="10"/>
      <c r="D73" s="9"/>
      <c r="E73" s="12"/>
      <c r="F73" s="19"/>
      <c r="G73" s="15">
        <v>1</v>
      </c>
    </row>
    <row r="74" spans="1:7" x14ac:dyDescent="0.25">
      <c r="A74" s="14">
        <f t="shared" si="1"/>
        <v>68</v>
      </c>
      <c r="B74" s="9"/>
      <c r="C74" s="10"/>
      <c r="D74" s="9"/>
      <c r="E74" s="12"/>
      <c r="F74" s="19"/>
      <c r="G74" s="15">
        <v>1</v>
      </c>
    </row>
    <row r="75" spans="1:7" x14ac:dyDescent="0.25">
      <c r="A75" s="14">
        <f t="shared" si="1"/>
        <v>69</v>
      </c>
      <c r="B75" s="9"/>
      <c r="C75" s="10"/>
      <c r="D75" s="9"/>
      <c r="E75" s="12"/>
      <c r="F75" s="19"/>
      <c r="G75" s="15">
        <v>1</v>
      </c>
    </row>
    <row r="76" spans="1:7" x14ac:dyDescent="0.25">
      <c r="A76" s="14">
        <f t="shared" si="1"/>
        <v>70</v>
      </c>
      <c r="B76" s="9"/>
      <c r="C76" s="10"/>
      <c r="D76" s="9"/>
      <c r="E76" s="12"/>
      <c r="F76" s="19"/>
      <c r="G76" s="15">
        <v>1</v>
      </c>
    </row>
    <row r="77" spans="1:7" x14ac:dyDescent="0.25">
      <c r="A77" s="14">
        <f t="shared" si="1"/>
        <v>71</v>
      </c>
      <c r="B77" s="9"/>
      <c r="C77" s="10"/>
      <c r="D77" s="9"/>
      <c r="E77" s="12"/>
      <c r="F77" s="19"/>
      <c r="G77" s="15">
        <v>1</v>
      </c>
    </row>
    <row r="78" spans="1:7" x14ac:dyDescent="0.25">
      <c r="A78" s="14">
        <f t="shared" si="1"/>
        <v>72</v>
      </c>
      <c r="B78" s="9"/>
      <c r="C78" s="10"/>
      <c r="D78" s="9"/>
      <c r="E78" s="12"/>
      <c r="F78" s="19"/>
      <c r="G78" s="15">
        <v>1</v>
      </c>
    </row>
    <row r="79" spans="1:7" x14ac:dyDescent="0.25">
      <c r="A79" s="14">
        <f t="shared" si="1"/>
        <v>73</v>
      </c>
      <c r="B79" s="9"/>
      <c r="C79" s="10"/>
      <c r="D79" s="9"/>
      <c r="E79" s="12"/>
      <c r="F79" s="19"/>
      <c r="G79" s="15">
        <v>1</v>
      </c>
    </row>
    <row r="80" spans="1:7" x14ac:dyDescent="0.25">
      <c r="A80" s="14">
        <f t="shared" si="1"/>
        <v>74</v>
      </c>
      <c r="B80" s="9"/>
      <c r="C80" s="10"/>
      <c r="D80" s="9"/>
      <c r="E80" s="12"/>
      <c r="F80" s="19"/>
      <c r="G80" s="15">
        <v>1</v>
      </c>
    </row>
    <row r="81" spans="1:7" x14ac:dyDescent="0.25">
      <c r="A81" s="14">
        <f t="shared" si="1"/>
        <v>75</v>
      </c>
      <c r="B81" s="9"/>
      <c r="C81" s="10"/>
      <c r="D81" s="9"/>
      <c r="E81" s="12"/>
      <c r="F81" s="19"/>
      <c r="G81" s="15">
        <v>1</v>
      </c>
    </row>
    <row r="82" spans="1:7" x14ac:dyDescent="0.25">
      <c r="A82" s="14">
        <f t="shared" si="1"/>
        <v>76</v>
      </c>
      <c r="B82" s="9"/>
      <c r="C82" s="10"/>
      <c r="D82" s="9"/>
      <c r="E82" s="12"/>
      <c r="F82" s="19"/>
      <c r="G82" s="15">
        <v>1</v>
      </c>
    </row>
    <row r="83" spans="1:7" x14ac:dyDescent="0.25">
      <c r="A83" s="14">
        <f t="shared" si="1"/>
        <v>77</v>
      </c>
      <c r="B83" s="9"/>
      <c r="C83" s="10"/>
      <c r="D83" s="9"/>
      <c r="E83" s="12"/>
      <c r="F83" s="19"/>
      <c r="G83" s="15">
        <v>1</v>
      </c>
    </row>
    <row r="84" spans="1:7" x14ac:dyDescent="0.25">
      <c r="A84" s="14">
        <f t="shared" si="1"/>
        <v>78</v>
      </c>
      <c r="B84" s="9"/>
      <c r="C84" s="10"/>
      <c r="D84" s="9"/>
      <c r="E84" s="12"/>
      <c r="F84" s="19"/>
      <c r="G84" s="15">
        <v>1</v>
      </c>
    </row>
    <row r="85" spans="1:7" x14ac:dyDescent="0.25">
      <c r="A85" s="14">
        <f t="shared" si="1"/>
        <v>79</v>
      </c>
      <c r="B85" s="9"/>
      <c r="C85" s="10"/>
      <c r="D85" s="9"/>
      <c r="E85" s="12"/>
      <c r="F85" s="19"/>
      <c r="G85" s="15">
        <v>1</v>
      </c>
    </row>
    <row r="86" spans="1:7" x14ac:dyDescent="0.25">
      <c r="A86" s="14">
        <f t="shared" si="1"/>
        <v>80</v>
      </c>
      <c r="B86" s="9"/>
      <c r="C86" s="10"/>
      <c r="D86" s="9"/>
      <c r="E86" s="12"/>
      <c r="F86" s="19"/>
      <c r="G86" s="15">
        <v>1</v>
      </c>
    </row>
    <row r="87" spans="1:7" x14ac:dyDescent="0.25">
      <c r="A87" s="14">
        <f t="shared" si="1"/>
        <v>81</v>
      </c>
      <c r="B87" s="9"/>
      <c r="C87" s="10"/>
      <c r="D87" s="9"/>
      <c r="E87" s="12"/>
      <c r="F87" s="19"/>
      <c r="G87" s="15">
        <v>1</v>
      </c>
    </row>
    <row r="88" spans="1:7" x14ac:dyDescent="0.25">
      <c r="A88" s="14">
        <f t="shared" si="1"/>
        <v>82</v>
      </c>
      <c r="B88" s="9"/>
      <c r="C88" s="10"/>
      <c r="D88" s="9"/>
      <c r="E88" s="12"/>
      <c r="F88" s="19"/>
      <c r="G88" s="15">
        <v>1</v>
      </c>
    </row>
    <row r="89" spans="1:7" x14ac:dyDescent="0.25">
      <c r="A89" s="14">
        <f t="shared" si="1"/>
        <v>83</v>
      </c>
      <c r="B89" s="9"/>
      <c r="C89" s="10"/>
      <c r="D89" s="9"/>
      <c r="E89" s="12"/>
      <c r="F89" s="19"/>
      <c r="G89" s="15">
        <v>1</v>
      </c>
    </row>
    <row r="90" spans="1:7" x14ac:dyDescent="0.25">
      <c r="A90" s="14">
        <f t="shared" si="1"/>
        <v>84</v>
      </c>
      <c r="B90" s="9"/>
      <c r="C90" s="10"/>
      <c r="D90" s="9"/>
      <c r="E90" s="12"/>
      <c r="F90" s="19"/>
      <c r="G90" s="15">
        <v>1</v>
      </c>
    </row>
    <row r="91" spans="1:7" x14ac:dyDescent="0.25">
      <c r="A91" s="14">
        <f t="shared" si="1"/>
        <v>85</v>
      </c>
      <c r="B91" s="9"/>
      <c r="C91" s="10"/>
      <c r="D91" s="9"/>
      <c r="E91" s="12"/>
      <c r="F91" s="19"/>
      <c r="G91" s="15">
        <v>1</v>
      </c>
    </row>
    <row r="92" spans="1:7" x14ac:dyDescent="0.25">
      <c r="A92" s="14">
        <f t="shared" si="1"/>
        <v>86</v>
      </c>
      <c r="B92" s="9"/>
      <c r="C92" s="10"/>
      <c r="D92" s="9"/>
      <c r="E92" s="12"/>
      <c r="F92" s="19"/>
      <c r="G92" s="15">
        <v>1</v>
      </c>
    </row>
    <row r="93" spans="1:7" x14ac:dyDescent="0.25">
      <c r="A93" s="14">
        <f t="shared" si="1"/>
        <v>87</v>
      </c>
      <c r="B93" s="9"/>
      <c r="C93" s="10"/>
      <c r="D93" s="9"/>
      <c r="E93" s="12"/>
      <c r="F93" s="19"/>
      <c r="G93" s="15">
        <v>1</v>
      </c>
    </row>
    <row r="94" spans="1:7" x14ac:dyDescent="0.25">
      <c r="A94" s="14">
        <f t="shared" si="1"/>
        <v>88</v>
      </c>
      <c r="B94" s="9"/>
      <c r="C94" s="10"/>
      <c r="D94" s="9"/>
      <c r="E94" s="12"/>
      <c r="F94" s="19"/>
      <c r="G94" s="15">
        <v>1</v>
      </c>
    </row>
    <row r="95" spans="1:7" x14ac:dyDescent="0.25">
      <c r="A95" s="14">
        <f t="shared" si="1"/>
        <v>89</v>
      </c>
      <c r="B95" s="9"/>
      <c r="C95" s="10"/>
      <c r="D95" s="9"/>
      <c r="E95" s="12"/>
      <c r="F95" s="19"/>
      <c r="G95" s="15">
        <v>1</v>
      </c>
    </row>
    <row r="96" spans="1:7" x14ac:dyDescent="0.25">
      <c r="A96" s="14">
        <f t="shared" si="1"/>
        <v>90</v>
      </c>
      <c r="B96" s="9"/>
      <c r="C96" s="10"/>
      <c r="D96" s="9"/>
      <c r="E96" s="12"/>
      <c r="F96" s="19"/>
      <c r="G96" s="15">
        <v>1</v>
      </c>
    </row>
    <row r="97" spans="1:7" x14ac:dyDescent="0.25">
      <c r="A97" s="14">
        <f t="shared" si="1"/>
        <v>91</v>
      </c>
      <c r="B97" s="9"/>
      <c r="C97" s="10"/>
      <c r="D97" s="9"/>
      <c r="E97" s="12"/>
      <c r="F97" s="19"/>
      <c r="G97" s="15">
        <v>1</v>
      </c>
    </row>
  </sheetData>
  <sortState xmlns:xlrd2="http://schemas.microsoft.com/office/spreadsheetml/2017/richdata2" ref="B7:H22">
    <sortCondition ref="E7:E22"/>
    <sortCondition ref="D7:D22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568E-FA8F-41F3-ACBA-9E5FA11A3FB3}">
  <dimension ref="A1:K97"/>
  <sheetViews>
    <sheetView workbookViewId="0">
      <selection activeCell="E35" sqref="E35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1" t="s">
        <v>0</v>
      </c>
      <c r="B1" s="21"/>
      <c r="C1" s="2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5" t="s">
        <v>2</v>
      </c>
      <c r="B2" s="25"/>
      <c r="C2" s="25"/>
      <c r="D2" s="6"/>
      <c r="E2" s="26" t="s">
        <v>3</v>
      </c>
      <c r="F2" s="26"/>
      <c r="G2" s="4"/>
      <c r="H2" s="4"/>
      <c r="I2" s="22" t="s">
        <v>4</v>
      </c>
      <c r="J2" s="23"/>
      <c r="K2" s="16">
        <f ca="1">SUMIF(F7:F316,"Elimination*",G7:G136)</f>
        <v>0</v>
      </c>
    </row>
    <row r="3" spans="1:11" x14ac:dyDescent="0.25">
      <c r="A3" s="26" t="s">
        <v>5</v>
      </c>
      <c r="B3" s="26"/>
      <c r="C3" s="26"/>
      <c r="D3" s="5"/>
      <c r="E3" s="26" t="s">
        <v>17</v>
      </c>
      <c r="F3" s="26"/>
      <c r="G3" s="4"/>
      <c r="H3" s="4"/>
      <c r="I3" s="22" t="s">
        <v>6</v>
      </c>
      <c r="J3" s="23"/>
      <c r="K3" s="16">
        <f>SUMIF(F7:F136,"NB*",G7:G136)</f>
        <v>0</v>
      </c>
    </row>
    <row r="4" spans="1:11" ht="18" x14ac:dyDescent="0.25">
      <c r="A4" s="21" t="s">
        <v>7</v>
      </c>
      <c r="B4" s="21"/>
      <c r="C4" s="21"/>
      <c r="D4" s="21"/>
      <c r="E4" s="21"/>
      <c r="F4" s="21"/>
      <c r="G4" s="4"/>
      <c r="H4" s="4"/>
      <c r="I4" s="22" t="s">
        <v>8</v>
      </c>
      <c r="J4" s="23"/>
      <c r="K4" s="16">
        <f>SUMIF(F7:F136,"Ve*",G7:G136)</f>
        <v>0</v>
      </c>
    </row>
    <row r="5" spans="1:11" ht="15.75" x14ac:dyDescent="0.25">
      <c r="A5" s="24" t="s">
        <v>69</v>
      </c>
      <c r="B5" s="24"/>
      <c r="C5" s="24"/>
      <c r="D5" s="24"/>
      <c r="E5" s="24"/>
      <c r="F5" s="24"/>
      <c r="G5" s="17"/>
      <c r="H5" s="17"/>
      <c r="I5" s="22" t="s">
        <v>9</v>
      </c>
      <c r="J5" s="23"/>
      <c r="K5" s="18">
        <f ca="1"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/>
      <c r="C7" s="10"/>
      <c r="D7" s="9"/>
      <c r="E7" s="12"/>
      <c r="F7" s="19"/>
      <c r="G7" s="15">
        <v>1</v>
      </c>
      <c r="H7" s="20"/>
      <c r="I7" s="2"/>
      <c r="J7" s="2"/>
      <c r="K7" s="1"/>
    </row>
    <row r="8" spans="1:11" ht="15" customHeight="1" x14ac:dyDescent="0.25">
      <c r="A8" s="14">
        <f t="shared" ref="A8:A71" si="0">+A7+1</f>
        <v>2</v>
      </c>
      <c r="B8" s="9"/>
      <c r="C8" s="10"/>
      <c r="D8" s="9"/>
      <c r="E8" s="12"/>
      <c r="F8" s="19"/>
      <c r="G8" s="15">
        <v>1</v>
      </c>
      <c r="H8" s="20"/>
      <c r="I8" s="2"/>
      <c r="J8" s="2"/>
      <c r="K8" s="1"/>
    </row>
    <row r="9" spans="1:11" ht="15" customHeight="1" x14ac:dyDescent="0.25">
      <c r="A9" s="14">
        <f t="shared" si="0"/>
        <v>3</v>
      </c>
      <c r="B9" s="9"/>
      <c r="C9" s="10"/>
      <c r="D9" s="9"/>
      <c r="E9" s="12"/>
      <c r="F9" s="19"/>
      <c r="G9" s="15">
        <v>1</v>
      </c>
      <c r="H9" s="20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0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20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20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2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</row>
    <row r="47" spans="1:10" x14ac:dyDescent="0.25">
      <c r="A47" s="14">
        <f t="shared" si="0"/>
        <v>41</v>
      </c>
      <c r="B47" s="9"/>
      <c r="C47" s="10"/>
      <c r="D47" s="9"/>
      <c r="E47" s="12"/>
      <c r="F47" s="19"/>
      <c r="G47" s="15">
        <v>1</v>
      </c>
    </row>
    <row r="48" spans="1:10" x14ac:dyDescent="0.25">
      <c r="A48" s="14">
        <f t="shared" si="0"/>
        <v>42</v>
      </c>
      <c r="B48" s="9"/>
      <c r="C48" s="10"/>
      <c r="D48" s="9"/>
      <c r="E48" s="12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12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12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12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12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  <row r="72" spans="1:7" x14ac:dyDescent="0.25">
      <c r="A72" s="14">
        <f t="shared" ref="A72:A97" si="1">+A71+1</f>
        <v>66</v>
      </c>
      <c r="B72" s="9"/>
      <c r="C72" s="10"/>
      <c r="D72" s="9"/>
      <c r="E72" s="12"/>
      <c r="F72" s="19"/>
      <c r="G72" s="15">
        <v>1</v>
      </c>
    </row>
    <row r="73" spans="1:7" x14ac:dyDescent="0.25">
      <c r="A73" s="14">
        <f t="shared" si="1"/>
        <v>67</v>
      </c>
      <c r="B73" s="9"/>
      <c r="C73" s="10"/>
      <c r="D73" s="9"/>
      <c r="E73" s="12"/>
      <c r="F73" s="19"/>
      <c r="G73" s="15">
        <v>1</v>
      </c>
    </row>
    <row r="74" spans="1:7" x14ac:dyDescent="0.25">
      <c r="A74" s="14">
        <f t="shared" si="1"/>
        <v>68</v>
      </c>
      <c r="B74" s="9"/>
      <c r="C74" s="10"/>
      <c r="D74" s="9"/>
      <c r="E74" s="12"/>
      <c r="F74" s="19"/>
      <c r="G74" s="15">
        <v>1</v>
      </c>
    </row>
    <row r="75" spans="1:7" x14ac:dyDescent="0.25">
      <c r="A75" s="14">
        <f t="shared" si="1"/>
        <v>69</v>
      </c>
      <c r="B75" s="9"/>
      <c r="C75" s="10"/>
      <c r="D75" s="9"/>
      <c r="E75" s="12"/>
      <c r="F75" s="19"/>
      <c r="G75" s="15">
        <v>1</v>
      </c>
    </row>
    <row r="76" spans="1:7" x14ac:dyDescent="0.25">
      <c r="A76" s="14">
        <f t="shared" si="1"/>
        <v>70</v>
      </c>
      <c r="B76" s="9"/>
      <c r="C76" s="10"/>
      <c r="D76" s="9"/>
      <c r="E76" s="12"/>
      <c r="F76" s="19"/>
      <c r="G76" s="15">
        <v>1</v>
      </c>
    </row>
    <row r="77" spans="1:7" x14ac:dyDescent="0.25">
      <c r="A77" s="14">
        <f t="shared" si="1"/>
        <v>71</v>
      </c>
      <c r="B77" s="9"/>
      <c r="C77" s="10"/>
      <c r="D77" s="9"/>
      <c r="E77" s="12"/>
      <c r="F77" s="19"/>
      <c r="G77" s="15">
        <v>1</v>
      </c>
    </row>
    <row r="78" spans="1:7" x14ac:dyDescent="0.25">
      <c r="A78" s="14">
        <f t="shared" si="1"/>
        <v>72</v>
      </c>
      <c r="B78" s="9"/>
      <c r="C78" s="10"/>
      <c r="D78" s="9"/>
      <c r="E78" s="12"/>
      <c r="F78" s="19"/>
      <c r="G78" s="15">
        <v>1</v>
      </c>
    </row>
    <row r="79" spans="1:7" x14ac:dyDescent="0.25">
      <c r="A79" s="14">
        <f t="shared" si="1"/>
        <v>73</v>
      </c>
      <c r="B79" s="9"/>
      <c r="C79" s="10"/>
      <c r="D79" s="9"/>
      <c r="E79" s="12"/>
      <c r="F79" s="19"/>
      <c r="G79" s="15">
        <v>1</v>
      </c>
    </row>
    <row r="80" spans="1:7" x14ac:dyDescent="0.25">
      <c r="A80" s="14">
        <f t="shared" si="1"/>
        <v>74</v>
      </c>
      <c r="B80" s="9"/>
      <c r="C80" s="10"/>
      <c r="D80" s="9"/>
      <c r="E80" s="12"/>
      <c r="F80" s="19"/>
      <c r="G80" s="15">
        <v>1</v>
      </c>
    </row>
    <row r="81" spans="1:7" x14ac:dyDescent="0.25">
      <c r="A81" s="14">
        <f t="shared" si="1"/>
        <v>75</v>
      </c>
      <c r="B81" s="9"/>
      <c r="C81" s="10"/>
      <c r="D81" s="9"/>
      <c r="E81" s="12"/>
      <c r="F81" s="19"/>
      <c r="G81" s="15">
        <v>1</v>
      </c>
    </row>
    <row r="82" spans="1:7" x14ac:dyDescent="0.25">
      <c r="A82" s="14">
        <f t="shared" si="1"/>
        <v>76</v>
      </c>
      <c r="B82" s="9"/>
      <c r="C82" s="10"/>
      <c r="D82" s="9"/>
      <c r="E82" s="12"/>
      <c r="F82" s="19"/>
      <c r="G82" s="15">
        <v>1</v>
      </c>
    </row>
    <row r="83" spans="1:7" x14ac:dyDescent="0.25">
      <c r="A83" s="14">
        <f t="shared" si="1"/>
        <v>77</v>
      </c>
      <c r="B83" s="9"/>
      <c r="C83" s="10"/>
      <c r="D83" s="9"/>
      <c r="E83" s="12"/>
      <c r="F83" s="19"/>
      <c r="G83" s="15">
        <v>1</v>
      </c>
    </row>
    <row r="84" spans="1:7" x14ac:dyDescent="0.25">
      <c r="A84" s="14">
        <f t="shared" si="1"/>
        <v>78</v>
      </c>
      <c r="B84" s="9"/>
      <c r="C84" s="10"/>
      <c r="D84" s="9"/>
      <c r="E84" s="12"/>
      <c r="F84" s="19"/>
      <c r="G84" s="15">
        <v>1</v>
      </c>
    </row>
    <row r="85" spans="1:7" x14ac:dyDescent="0.25">
      <c r="A85" s="14">
        <f t="shared" si="1"/>
        <v>79</v>
      </c>
      <c r="B85" s="9"/>
      <c r="C85" s="10"/>
      <c r="D85" s="9"/>
      <c r="E85" s="12"/>
      <c r="F85" s="19"/>
      <c r="G85" s="15">
        <v>1</v>
      </c>
    </row>
    <row r="86" spans="1:7" x14ac:dyDescent="0.25">
      <c r="A86" s="14">
        <f t="shared" si="1"/>
        <v>80</v>
      </c>
      <c r="B86" s="9"/>
      <c r="C86" s="10"/>
      <c r="D86" s="9"/>
      <c r="E86" s="12"/>
      <c r="F86" s="19"/>
      <c r="G86" s="15">
        <v>1</v>
      </c>
    </row>
    <row r="87" spans="1:7" x14ac:dyDescent="0.25">
      <c r="A87" s="14">
        <f t="shared" si="1"/>
        <v>81</v>
      </c>
      <c r="B87" s="9"/>
      <c r="C87" s="10"/>
      <c r="D87" s="9"/>
      <c r="E87" s="12"/>
      <c r="F87" s="19"/>
      <c r="G87" s="15">
        <v>1</v>
      </c>
    </row>
    <row r="88" spans="1:7" x14ac:dyDescent="0.25">
      <c r="A88" s="14">
        <f t="shared" si="1"/>
        <v>82</v>
      </c>
      <c r="B88" s="9"/>
      <c r="C88" s="10"/>
      <c r="D88" s="9"/>
      <c r="E88" s="12"/>
      <c r="F88" s="19"/>
      <c r="G88" s="15">
        <v>1</v>
      </c>
    </row>
    <row r="89" spans="1:7" x14ac:dyDescent="0.25">
      <c r="A89" s="14">
        <f t="shared" si="1"/>
        <v>83</v>
      </c>
      <c r="B89" s="9"/>
      <c r="C89" s="10"/>
      <c r="D89" s="9"/>
      <c r="E89" s="12"/>
      <c r="F89" s="19"/>
      <c r="G89" s="15">
        <v>1</v>
      </c>
    </row>
    <row r="90" spans="1:7" x14ac:dyDescent="0.25">
      <c r="A90" s="14">
        <f t="shared" si="1"/>
        <v>84</v>
      </c>
      <c r="B90" s="9"/>
      <c r="C90" s="10"/>
      <c r="D90" s="9"/>
      <c r="E90" s="12"/>
      <c r="F90" s="19"/>
      <c r="G90" s="15">
        <v>1</v>
      </c>
    </row>
    <row r="91" spans="1:7" x14ac:dyDescent="0.25">
      <c r="A91" s="14">
        <f t="shared" si="1"/>
        <v>85</v>
      </c>
      <c r="B91" s="9"/>
      <c r="C91" s="10"/>
      <c r="D91" s="9"/>
      <c r="E91" s="12"/>
      <c r="F91" s="19"/>
      <c r="G91" s="15">
        <v>1</v>
      </c>
    </row>
    <row r="92" spans="1:7" x14ac:dyDescent="0.25">
      <c r="A92" s="14">
        <f t="shared" si="1"/>
        <v>86</v>
      </c>
      <c r="B92" s="9"/>
      <c r="C92" s="10"/>
      <c r="D92" s="9"/>
      <c r="E92" s="12"/>
      <c r="F92" s="19"/>
      <c r="G92" s="15">
        <v>1</v>
      </c>
    </row>
    <row r="93" spans="1:7" x14ac:dyDescent="0.25">
      <c r="A93" s="14">
        <f t="shared" si="1"/>
        <v>87</v>
      </c>
      <c r="B93" s="9"/>
      <c r="C93" s="10"/>
      <c r="D93" s="9"/>
      <c r="E93" s="12"/>
      <c r="F93" s="19"/>
      <c r="G93" s="15">
        <v>1</v>
      </c>
    </row>
    <row r="94" spans="1:7" x14ac:dyDescent="0.25">
      <c r="A94" s="14">
        <f t="shared" si="1"/>
        <v>88</v>
      </c>
      <c r="B94" s="9"/>
      <c r="C94" s="10"/>
      <c r="D94" s="9"/>
      <c r="E94" s="12"/>
      <c r="F94" s="19"/>
      <c r="G94" s="15">
        <v>1</v>
      </c>
    </row>
    <row r="95" spans="1:7" x14ac:dyDescent="0.25">
      <c r="A95" s="14">
        <f t="shared" si="1"/>
        <v>89</v>
      </c>
      <c r="B95" s="9"/>
      <c r="C95" s="10"/>
      <c r="D95" s="9"/>
      <c r="E95" s="12"/>
      <c r="F95" s="19"/>
      <c r="G95" s="15">
        <v>1</v>
      </c>
    </row>
    <row r="96" spans="1:7" x14ac:dyDescent="0.25">
      <c r="A96" s="14">
        <f t="shared" si="1"/>
        <v>90</v>
      </c>
      <c r="B96" s="9"/>
      <c r="C96" s="10"/>
      <c r="D96" s="9"/>
      <c r="E96" s="12"/>
      <c r="F96" s="19"/>
      <c r="G96" s="15">
        <v>1</v>
      </c>
    </row>
    <row r="97" spans="1:7" x14ac:dyDescent="0.25">
      <c r="A97" s="14">
        <f t="shared" si="1"/>
        <v>91</v>
      </c>
      <c r="B97" s="9"/>
      <c r="C97" s="10"/>
      <c r="D97" s="9"/>
      <c r="E97" s="12"/>
      <c r="F97" s="19"/>
      <c r="G97" s="15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BC87-615C-4306-97EF-8AD25A50B111}">
  <dimension ref="A1:K97"/>
  <sheetViews>
    <sheetView workbookViewId="0">
      <selection activeCell="B6" sqref="B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1" t="s">
        <v>0</v>
      </c>
      <c r="B1" s="21"/>
      <c r="C1" s="2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5" t="s">
        <v>2</v>
      </c>
      <c r="B2" s="25"/>
      <c r="C2" s="25"/>
      <c r="D2" s="6"/>
      <c r="E2" s="26" t="s">
        <v>3</v>
      </c>
      <c r="F2" s="26"/>
      <c r="G2" s="4"/>
      <c r="H2" s="4"/>
      <c r="I2" s="22" t="s">
        <v>4</v>
      </c>
      <c r="J2" s="23"/>
      <c r="K2" s="16">
        <f ca="1">SUMIF(F7:F316,"Elimination*",G7:G136)</f>
        <v>0</v>
      </c>
    </row>
    <row r="3" spans="1:11" x14ac:dyDescent="0.25">
      <c r="A3" s="26" t="s">
        <v>5</v>
      </c>
      <c r="B3" s="26"/>
      <c r="C3" s="26"/>
      <c r="D3" s="5"/>
      <c r="E3" s="26" t="s">
        <v>17</v>
      </c>
      <c r="F3" s="26"/>
      <c r="G3" s="4"/>
      <c r="H3" s="4"/>
      <c r="I3" s="22" t="s">
        <v>6</v>
      </c>
      <c r="J3" s="23"/>
      <c r="K3" s="16">
        <f>SUMIF(F7:F136,"NB*",G7:G136)</f>
        <v>0</v>
      </c>
    </row>
    <row r="4" spans="1:11" ht="18" x14ac:dyDescent="0.25">
      <c r="A4" s="21" t="s">
        <v>7</v>
      </c>
      <c r="B4" s="21"/>
      <c r="C4" s="21"/>
      <c r="D4" s="21"/>
      <c r="E4" s="21"/>
      <c r="F4" s="21"/>
      <c r="G4" s="4"/>
      <c r="H4" s="4"/>
      <c r="I4" s="22" t="s">
        <v>8</v>
      </c>
      <c r="J4" s="23"/>
      <c r="K4" s="16">
        <f>SUMIF(F7:F136,"Ve*",G7:G136)</f>
        <v>0</v>
      </c>
    </row>
    <row r="5" spans="1:11" ht="15.75" x14ac:dyDescent="0.25">
      <c r="A5" s="24" t="s">
        <v>70</v>
      </c>
      <c r="B5" s="24"/>
      <c r="C5" s="24"/>
      <c r="D5" s="24"/>
      <c r="E5" s="24"/>
      <c r="F5" s="24"/>
      <c r="G5" s="17"/>
      <c r="H5" s="17"/>
      <c r="I5" s="22" t="s">
        <v>9</v>
      </c>
      <c r="J5" s="23"/>
      <c r="K5" s="18">
        <f ca="1"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/>
      <c r="C7" s="10"/>
      <c r="D7" s="9"/>
      <c r="E7" s="12"/>
      <c r="F7" s="19"/>
      <c r="G7" s="15">
        <v>1</v>
      </c>
      <c r="H7" s="20"/>
      <c r="I7" s="2"/>
      <c r="J7" s="2"/>
      <c r="K7" s="1"/>
    </row>
    <row r="8" spans="1:11" ht="15" customHeight="1" x14ac:dyDescent="0.25">
      <c r="A8" s="14">
        <f t="shared" ref="A8:A71" si="0">+A7+1</f>
        <v>2</v>
      </c>
      <c r="B8" s="9"/>
      <c r="C8" s="10"/>
      <c r="D8" s="9"/>
      <c r="E8" s="12"/>
      <c r="F8" s="19"/>
      <c r="G8" s="15">
        <v>1</v>
      </c>
      <c r="H8" s="20"/>
      <c r="I8" s="2"/>
      <c r="J8" s="2"/>
      <c r="K8" s="1"/>
    </row>
    <row r="9" spans="1:11" ht="15" customHeight="1" x14ac:dyDescent="0.25">
      <c r="A9" s="14">
        <f t="shared" si="0"/>
        <v>3</v>
      </c>
      <c r="B9" s="9"/>
      <c r="C9" s="10"/>
      <c r="D9" s="9"/>
      <c r="E9" s="12"/>
      <c r="F9" s="19"/>
      <c r="G9" s="15">
        <v>1</v>
      </c>
      <c r="H9" s="20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0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20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20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2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</row>
    <row r="47" spans="1:10" x14ac:dyDescent="0.25">
      <c r="A47" s="14">
        <f t="shared" si="0"/>
        <v>41</v>
      </c>
      <c r="B47" s="9"/>
      <c r="C47" s="10"/>
      <c r="D47" s="9"/>
      <c r="E47" s="12"/>
      <c r="F47" s="19"/>
      <c r="G47" s="15">
        <v>1</v>
      </c>
    </row>
    <row r="48" spans="1:10" x14ac:dyDescent="0.25">
      <c r="A48" s="14">
        <f t="shared" si="0"/>
        <v>42</v>
      </c>
      <c r="B48" s="9"/>
      <c r="C48" s="10"/>
      <c r="D48" s="9"/>
      <c r="E48" s="12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12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12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12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12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  <row r="72" spans="1:7" x14ac:dyDescent="0.25">
      <c r="A72" s="14">
        <f t="shared" ref="A72:A97" si="1">+A71+1</f>
        <v>66</v>
      </c>
      <c r="B72" s="9"/>
      <c r="C72" s="10"/>
      <c r="D72" s="9"/>
      <c r="E72" s="12"/>
      <c r="F72" s="19"/>
      <c r="G72" s="15">
        <v>1</v>
      </c>
    </row>
    <row r="73" spans="1:7" x14ac:dyDescent="0.25">
      <c r="A73" s="14">
        <f t="shared" si="1"/>
        <v>67</v>
      </c>
      <c r="B73" s="9"/>
      <c r="C73" s="10"/>
      <c r="D73" s="9"/>
      <c r="E73" s="12"/>
      <c r="F73" s="19"/>
      <c r="G73" s="15">
        <v>1</v>
      </c>
    </row>
    <row r="74" spans="1:7" x14ac:dyDescent="0.25">
      <c r="A74" s="14">
        <f t="shared" si="1"/>
        <v>68</v>
      </c>
      <c r="B74" s="9"/>
      <c r="C74" s="10"/>
      <c r="D74" s="9"/>
      <c r="E74" s="12"/>
      <c r="F74" s="19"/>
      <c r="G74" s="15">
        <v>1</v>
      </c>
    </row>
    <row r="75" spans="1:7" x14ac:dyDescent="0.25">
      <c r="A75" s="14">
        <f t="shared" si="1"/>
        <v>69</v>
      </c>
      <c r="B75" s="9"/>
      <c r="C75" s="10"/>
      <c r="D75" s="9"/>
      <c r="E75" s="12"/>
      <c r="F75" s="19"/>
      <c r="G75" s="15">
        <v>1</v>
      </c>
    </row>
    <row r="76" spans="1:7" x14ac:dyDescent="0.25">
      <c r="A76" s="14">
        <f t="shared" si="1"/>
        <v>70</v>
      </c>
      <c r="B76" s="9"/>
      <c r="C76" s="10"/>
      <c r="D76" s="9"/>
      <c r="E76" s="12"/>
      <c r="F76" s="19"/>
      <c r="G76" s="15">
        <v>1</v>
      </c>
    </row>
    <row r="77" spans="1:7" x14ac:dyDescent="0.25">
      <c r="A77" s="14">
        <f t="shared" si="1"/>
        <v>71</v>
      </c>
      <c r="B77" s="9"/>
      <c r="C77" s="10"/>
      <c r="D77" s="9"/>
      <c r="E77" s="12"/>
      <c r="F77" s="19"/>
      <c r="G77" s="15">
        <v>1</v>
      </c>
    </row>
    <row r="78" spans="1:7" x14ac:dyDescent="0.25">
      <c r="A78" s="14">
        <f t="shared" si="1"/>
        <v>72</v>
      </c>
      <c r="B78" s="9"/>
      <c r="C78" s="10"/>
      <c r="D78" s="9"/>
      <c r="E78" s="12"/>
      <c r="F78" s="19"/>
      <c r="G78" s="15">
        <v>1</v>
      </c>
    </row>
    <row r="79" spans="1:7" x14ac:dyDescent="0.25">
      <c r="A79" s="14">
        <f t="shared" si="1"/>
        <v>73</v>
      </c>
      <c r="B79" s="9"/>
      <c r="C79" s="10"/>
      <c r="D79" s="9"/>
      <c r="E79" s="12"/>
      <c r="F79" s="19"/>
      <c r="G79" s="15">
        <v>1</v>
      </c>
    </row>
    <row r="80" spans="1:7" x14ac:dyDescent="0.25">
      <c r="A80" s="14">
        <f t="shared" si="1"/>
        <v>74</v>
      </c>
      <c r="B80" s="9"/>
      <c r="C80" s="10"/>
      <c r="D80" s="9"/>
      <c r="E80" s="12"/>
      <c r="F80" s="19"/>
      <c r="G80" s="15">
        <v>1</v>
      </c>
    </row>
    <row r="81" spans="1:7" x14ac:dyDescent="0.25">
      <c r="A81" s="14">
        <f t="shared" si="1"/>
        <v>75</v>
      </c>
      <c r="B81" s="9"/>
      <c r="C81" s="10"/>
      <c r="D81" s="9"/>
      <c r="E81" s="12"/>
      <c r="F81" s="19"/>
      <c r="G81" s="15">
        <v>1</v>
      </c>
    </row>
    <row r="82" spans="1:7" x14ac:dyDescent="0.25">
      <c r="A82" s="14">
        <f t="shared" si="1"/>
        <v>76</v>
      </c>
      <c r="B82" s="9"/>
      <c r="C82" s="10"/>
      <c r="D82" s="9"/>
      <c r="E82" s="12"/>
      <c r="F82" s="19"/>
      <c r="G82" s="15">
        <v>1</v>
      </c>
    </row>
    <row r="83" spans="1:7" x14ac:dyDescent="0.25">
      <c r="A83" s="14">
        <f t="shared" si="1"/>
        <v>77</v>
      </c>
      <c r="B83" s="9"/>
      <c r="C83" s="10"/>
      <c r="D83" s="9"/>
      <c r="E83" s="12"/>
      <c r="F83" s="19"/>
      <c r="G83" s="15">
        <v>1</v>
      </c>
    </row>
    <row r="84" spans="1:7" x14ac:dyDescent="0.25">
      <c r="A84" s="14">
        <f t="shared" si="1"/>
        <v>78</v>
      </c>
      <c r="B84" s="9"/>
      <c r="C84" s="10"/>
      <c r="D84" s="9"/>
      <c r="E84" s="12"/>
      <c r="F84" s="19"/>
      <c r="G84" s="15">
        <v>1</v>
      </c>
    </row>
    <row r="85" spans="1:7" x14ac:dyDescent="0.25">
      <c r="A85" s="14">
        <f t="shared" si="1"/>
        <v>79</v>
      </c>
      <c r="B85" s="9"/>
      <c r="C85" s="10"/>
      <c r="D85" s="9"/>
      <c r="E85" s="12"/>
      <c r="F85" s="19"/>
      <c r="G85" s="15">
        <v>1</v>
      </c>
    </row>
    <row r="86" spans="1:7" x14ac:dyDescent="0.25">
      <c r="A86" s="14">
        <f t="shared" si="1"/>
        <v>80</v>
      </c>
      <c r="B86" s="9"/>
      <c r="C86" s="10"/>
      <c r="D86" s="9"/>
      <c r="E86" s="12"/>
      <c r="F86" s="19"/>
      <c r="G86" s="15">
        <v>1</v>
      </c>
    </row>
    <row r="87" spans="1:7" x14ac:dyDescent="0.25">
      <c r="A87" s="14">
        <f t="shared" si="1"/>
        <v>81</v>
      </c>
      <c r="B87" s="9"/>
      <c r="C87" s="10"/>
      <c r="D87" s="9"/>
      <c r="E87" s="12"/>
      <c r="F87" s="19"/>
      <c r="G87" s="15">
        <v>1</v>
      </c>
    </row>
    <row r="88" spans="1:7" x14ac:dyDescent="0.25">
      <c r="A88" s="14">
        <f t="shared" si="1"/>
        <v>82</v>
      </c>
      <c r="B88" s="9"/>
      <c r="C88" s="10"/>
      <c r="D88" s="9"/>
      <c r="E88" s="12"/>
      <c r="F88" s="19"/>
      <c r="G88" s="15">
        <v>1</v>
      </c>
    </row>
    <row r="89" spans="1:7" x14ac:dyDescent="0.25">
      <c r="A89" s="14">
        <f t="shared" si="1"/>
        <v>83</v>
      </c>
      <c r="B89" s="9"/>
      <c r="C89" s="10"/>
      <c r="D89" s="9"/>
      <c r="E89" s="12"/>
      <c r="F89" s="19"/>
      <c r="G89" s="15">
        <v>1</v>
      </c>
    </row>
    <row r="90" spans="1:7" x14ac:dyDescent="0.25">
      <c r="A90" s="14">
        <f t="shared" si="1"/>
        <v>84</v>
      </c>
      <c r="B90" s="9"/>
      <c r="C90" s="10"/>
      <c r="D90" s="9"/>
      <c r="E90" s="12"/>
      <c r="F90" s="19"/>
      <c r="G90" s="15">
        <v>1</v>
      </c>
    </row>
    <row r="91" spans="1:7" x14ac:dyDescent="0.25">
      <c r="A91" s="14">
        <f t="shared" si="1"/>
        <v>85</v>
      </c>
      <c r="B91" s="9"/>
      <c r="C91" s="10"/>
      <c r="D91" s="9"/>
      <c r="E91" s="12"/>
      <c r="F91" s="19"/>
      <c r="G91" s="15">
        <v>1</v>
      </c>
    </row>
    <row r="92" spans="1:7" x14ac:dyDescent="0.25">
      <c r="A92" s="14">
        <f t="shared" si="1"/>
        <v>86</v>
      </c>
      <c r="B92" s="9"/>
      <c r="C92" s="10"/>
      <c r="D92" s="9"/>
      <c r="E92" s="12"/>
      <c r="F92" s="19"/>
      <c r="G92" s="15">
        <v>1</v>
      </c>
    </row>
    <row r="93" spans="1:7" x14ac:dyDescent="0.25">
      <c r="A93" s="14">
        <f t="shared" si="1"/>
        <v>87</v>
      </c>
      <c r="B93" s="9"/>
      <c r="C93" s="10"/>
      <c r="D93" s="9"/>
      <c r="E93" s="12"/>
      <c r="F93" s="19"/>
      <c r="G93" s="15">
        <v>1</v>
      </c>
    </row>
    <row r="94" spans="1:7" x14ac:dyDescent="0.25">
      <c r="A94" s="14">
        <f t="shared" si="1"/>
        <v>88</v>
      </c>
      <c r="B94" s="9"/>
      <c r="C94" s="10"/>
      <c r="D94" s="9"/>
      <c r="E94" s="12"/>
      <c r="F94" s="19"/>
      <c r="G94" s="15">
        <v>1</v>
      </c>
    </row>
    <row r="95" spans="1:7" x14ac:dyDescent="0.25">
      <c r="A95" s="14">
        <f t="shared" si="1"/>
        <v>89</v>
      </c>
      <c r="B95" s="9"/>
      <c r="C95" s="10"/>
      <c r="D95" s="9"/>
      <c r="E95" s="12"/>
      <c r="F95" s="19"/>
      <c r="G95" s="15">
        <v>1</v>
      </c>
    </row>
    <row r="96" spans="1:7" x14ac:dyDescent="0.25">
      <c r="A96" s="14">
        <f t="shared" si="1"/>
        <v>90</v>
      </c>
      <c r="B96" s="9"/>
      <c r="C96" s="10"/>
      <c r="D96" s="9"/>
      <c r="E96" s="12"/>
      <c r="F96" s="19"/>
      <c r="G96" s="15">
        <v>1</v>
      </c>
    </row>
    <row r="97" spans="1:7" x14ac:dyDescent="0.25">
      <c r="A97" s="14">
        <f t="shared" si="1"/>
        <v>91</v>
      </c>
      <c r="B97" s="9"/>
      <c r="C97" s="10"/>
      <c r="D97" s="9"/>
      <c r="E97" s="12"/>
      <c r="F97" s="19"/>
      <c r="G97" s="15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FC0DF-155B-4FA6-B940-C05E8EE4B01A}">
  <dimension ref="A1:K97"/>
  <sheetViews>
    <sheetView workbookViewId="0">
      <selection activeCell="F8" sqref="F8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1" t="s">
        <v>0</v>
      </c>
      <c r="B1" s="21"/>
      <c r="C1" s="2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5" t="s">
        <v>2</v>
      </c>
      <c r="B2" s="25"/>
      <c r="C2" s="25"/>
      <c r="D2" s="6"/>
      <c r="E2" s="26" t="s">
        <v>3</v>
      </c>
      <c r="F2" s="26"/>
      <c r="G2" s="4"/>
      <c r="H2" s="4"/>
      <c r="I2" s="22" t="s">
        <v>4</v>
      </c>
      <c r="J2" s="23"/>
      <c r="K2" s="16">
        <f ca="1">SUMIF(F7:F316,"Elimination*",G7:G136)</f>
        <v>2</v>
      </c>
    </row>
    <row r="3" spans="1:11" x14ac:dyDescent="0.25">
      <c r="A3" s="26" t="s">
        <v>5</v>
      </c>
      <c r="B3" s="26"/>
      <c r="C3" s="26"/>
      <c r="D3" s="5"/>
      <c r="E3" s="26" t="s">
        <v>17</v>
      </c>
      <c r="F3" s="26"/>
      <c r="G3" s="4"/>
      <c r="H3" s="4"/>
      <c r="I3" s="22" t="s">
        <v>6</v>
      </c>
      <c r="J3" s="23"/>
      <c r="K3" s="16">
        <f>SUMIF(F7:F136,"NB*",G7:G136)</f>
        <v>4</v>
      </c>
    </row>
    <row r="4" spans="1:11" ht="18" x14ac:dyDescent="0.25">
      <c r="A4" s="21" t="s">
        <v>7</v>
      </c>
      <c r="B4" s="21"/>
      <c r="C4" s="21"/>
      <c r="D4" s="21"/>
      <c r="E4" s="21"/>
      <c r="F4" s="21"/>
      <c r="G4" s="4"/>
      <c r="H4" s="4"/>
      <c r="I4" s="22" t="s">
        <v>8</v>
      </c>
      <c r="J4" s="23"/>
      <c r="K4" s="16">
        <f>SUMIF(F7:F136,"Ve*",G7:G136)</f>
        <v>0</v>
      </c>
    </row>
    <row r="5" spans="1:11" ht="15.75" x14ac:dyDescent="0.25">
      <c r="A5" s="24" t="s">
        <v>76</v>
      </c>
      <c r="B5" s="24"/>
      <c r="C5" s="24"/>
      <c r="D5" s="24"/>
      <c r="E5" s="24"/>
      <c r="F5" s="24"/>
      <c r="G5" s="17"/>
      <c r="H5" s="17"/>
      <c r="I5" s="22" t="s">
        <v>9</v>
      </c>
      <c r="J5" s="23"/>
      <c r="K5" s="18">
        <f ca="1">SUM(K2:K4)</f>
        <v>6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 t="s">
        <v>71</v>
      </c>
      <c r="C7" s="10" t="s">
        <v>20</v>
      </c>
      <c r="D7" s="9" t="s">
        <v>72</v>
      </c>
      <c r="E7" s="12">
        <v>46125</v>
      </c>
      <c r="F7" s="19" t="s">
        <v>73</v>
      </c>
      <c r="G7" s="15">
        <v>1</v>
      </c>
      <c r="H7" s="20"/>
      <c r="I7" s="2"/>
      <c r="J7" s="2"/>
      <c r="K7" s="1"/>
    </row>
    <row r="8" spans="1:11" ht="15" customHeight="1" x14ac:dyDescent="0.25">
      <c r="A8" s="14">
        <f t="shared" ref="A8:A71" si="0">+A7+1</f>
        <v>2</v>
      </c>
      <c r="B8" s="9" t="s">
        <v>74</v>
      </c>
      <c r="C8" s="10" t="s">
        <v>20</v>
      </c>
      <c r="D8" s="9" t="s">
        <v>75</v>
      </c>
      <c r="E8" s="12">
        <v>46125</v>
      </c>
      <c r="F8" s="19" t="s">
        <v>73</v>
      </c>
      <c r="G8" s="15">
        <v>1</v>
      </c>
      <c r="H8" s="20"/>
      <c r="I8" s="2"/>
      <c r="J8" s="2"/>
      <c r="K8" s="1"/>
    </row>
    <row r="9" spans="1:11" ht="15" customHeight="1" x14ac:dyDescent="0.25">
      <c r="A9" s="14">
        <f t="shared" si="0"/>
        <v>3</v>
      </c>
      <c r="B9" s="9" t="s">
        <v>19</v>
      </c>
      <c r="C9" s="10" t="s">
        <v>20</v>
      </c>
      <c r="D9" s="9" t="s">
        <v>77</v>
      </c>
      <c r="E9" s="12">
        <v>46127</v>
      </c>
      <c r="F9" s="19" t="s">
        <v>78</v>
      </c>
      <c r="G9" s="15">
        <v>1</v>
      </c>
      <c r="H9" s="20" t="s">
        <v>79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19</v>
      </c>
      <c r="C10" s="10" t="s">
        <v>20</v>
      </c>
      <c r="D10" s="9" t="s">
        <v>83</v>
      </c>
      <c r="E10" s="12">
        <v>46130</v>
      </c>
      <c r="F10" s="19" t="s">
        <v>84</v>
      </c>
      <c r="G10" s="15">
        <v>1</v>
      </c>
      <c r="H10" s="2" t="s">
        <v>85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19</v>
      </c>
      <c r="C11" s="10" t="s">
        <v>20</v>
      </c>
      <c r="D11" s="9" t="s">
        <v>80</v>
      </c>
      <c r="E11" s="12">
        <v>46130</v>
      </c>
      <c r="F11" s="19" t="s">
        <v>81</v>
      </c>
      <c r="G11" s="15">
        <v>1</v>
      </c>
      <c r="H11" s="2" t="s">
        <v>82</v>
      </c>
      <c r="I11" s="2"/>
      <c r="J11" s="2"/>
      <c r="K11" s="1"/>
    </row>
    <row r="12" spans="1:11" ht="15" customHeight="1" x14ac:dyDescent="0.25">
      <c r="A12" s="14">
        <f t="shared" si="0"/>
        <v>6</v>
      </c>
      <c r="B12" s="9" t="s">
        <v>19</v>
      </c>
      <c r="C12" s="10" t="s">
        <v>20</v>
      </c>
      <c r="D12" s="9" t="s">
        <v>86</v>
      </c>
      <c r="E12" s="12">
        <v>46133</v>
      </c>
      <c r="F12" s="19" t="s">
        <v>87</v>
      </c>
      <c r="G12" s="15">
        <v>1</v>
      </c>
      <c r="H12" s="20" t="s">
        <v>88</v>
      </c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20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20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2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</row>
    <row r="47" spans="1:10" x14ac:dyDescent="0.25">
      <c r="A47" s="14">
        <f t="shared" si="0"/>
        <v>41</v>
      </c>
      <c r="B47" s="9"/>
      <c r="C47" s="10"/>
      <c r="D47" s="9"/>
      <c r="E47" s="12"/>
      <c r="F47" s="19"/>
      <c r="G47" s="15">
        <v>1</v>
      </c>
    </row>
    <row r="48" spans="1:10" x14ac:dyDescent="0.25">
      <c r="A48" s="14">
        <f t="shared" si="0"/>
        <v>42</v>
      </c>
      <c r="B48" s="9"/>
      <c r="C48" s="10"/>
      <c r="D48" s="9"/>
      <c r="E48" s="12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12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12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12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12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  <row r="72" spans="1:7" x14ac:dyDescent="0.25">
      <c r="A72" s="14">
        <f t="shared" ref="A72:A97" si="1">+A71+1</f>
        <v>66</v>
      </c>
      <c r="B72" s="9"/>
      <c r="C72" s="10"/>
      <c r="D72" s="9"/>
      <c r="E72" s="12"/>
      <c r="F72" s="19"/>
      <c r="G72" s="15">
        <v>1</v>
      </c>
    </row>
    <row r="73" spans="1:7" x14ac:dyDescent="0.25">
      <c r="A73" s="14">
        <f t="shared" si="1"/>
        <v>67</v>
      </c>
      <c r="B73" s="9"/>
      <c r="C73" s="10"/>
      <c r="D73" s="9"/>
      <c r="E73" s="12"/>
      <c r="F73" s="19"/>
      <c r="G73" s="15">
        <v>1</v>
      </c>
    </row>
    <row r="74" spans="1:7" x14ac:dyDescent="0.25">
      <c r="A74" s="14">
        <f t="shared" si="1"/>
        <v>68</v>
      </c>
      <c r="B74" s="9"/>
      <c r="C74" s="10"/>
      <c r="D74" s="9"/>
      <c r="E74" s="12"/>
      <c r="F74" s="19"/>
      <c r="G74" s="15">
        <v>1</v>
      </c>
    </row>
    <row r="75" spans="1:7" x14ac:dyDescent="0.25">
      <c r="A75" s="14">
        <f t="shared" si="1"/>
        <v>69</v>
      </c>
      <c r="B75" s="9"/>
      <c r="C75" s="10"/>
      <c r="D75" s="9"/>
      <c r="E75" s="12"/>
      <c r="F75" s="19"/>
      <c r="G75" s="15">
        <v>1</v>
      </c>
    </row>
    <row r="76" spans="1:7" x14ac:dyDescent="0.25">
      <c r="A76" s="14">
        <f t="shared" si="1"/>
        <v>70</v>
      </c>
      <c r="B76" s="9"/>
      <c r="C76" s="10"/>
      <c r="D76" s="9"/>
      <c r="E76" s="12"/>
      <c r="F76" s="19"/>
      <c r="G76" s="15">
        <v>1</v>
      </c>
    </row>
    <row r="77" spans="1:7" x14ac:dyDescent="0.25">
      <c r="A77" s="14">
        <f t="shared" si="1"/>
        <v>71</v>
      </c>
      <c r="B77" s="9"/>
      <c r="C77" s="10"/>
      <c r="D77" s="9"/>
      <c r="E77" s="12"/>
      <c r="F77" s="19"/>
      <c r="G77" s="15">
        <v>1</v>
      </c>
    </row>
    <row r="78" spans="1:7" x14ac:dyDescent="0.25">
      <c r="A78" s="14">
        <f t="shared" si="1"/>
        <v>72</v>
      </c>
      <c r="B78" s="9"/>
      <c r="C78" s="10"/>
      <c r="D78" s="9"/>
      <c r="E78" s="12"/>
      <c r="F78" s="19"/>
      <c r="G78" s="15">
        <v>1</v>
      </c>
    </row>
    <row r="79" spans="1:7" x14ac:dyDescent="0.25">
      <c r="A79" s="14">
        <f t="shared" si="1"/>
        <v>73</v>
      </c>
      <c r="B79" s="9"/>
      <c r="C79" s="10"/>
      <c r="D79" s="9"/>
      <c r="E79" s="12"/>
      <c r="F79" s="19"/>
      <c r="G79" s="15">
        <v>1</v>
      </c>
    </row>
    <row r="80" spans="1:7" x14ac:dyDescent="0.25">
      <c r="A80" s="14">
        <f t="shared" si="1"/>
        <v>74</v>
      </c>
      <c r="B80" s="9"/>
      <c r="C80" s="10"/>
      <c r="D80" s="9"/>
      <c r="E80" s="12"/>
      <c r="F80" s="19"/>
      <c r="G80" s="15">
        <v>1</v>
      </c>
    </row>
    <row r="81" spans="1:7" x14ac:dyDescent="0.25">
      <c r="A81" s="14">
        <f t="shared" si="1"/>
        <v>75</v>
      </c>
      <c r="B81" s="9"/>
      <c r="C81" s="10"/>
      <c r="D81" s="9"/>
      <c r="E81" s="12"/>
      <c r="F81" s="19"/>
      <c r="G81" s="15">
        <v>1</v>
      </c>
    </row>
    <row r="82" spans="1:7" x14ac:dyDescent="0.25">
      <c r="A82" s="14">
        <f t="shared" si="1"/>
        <v>76</v>
      </c>
      <c r="B82" s="9"/>
      <c r="C82" s="10"/>
      <c r="D82" s="9"/>
      <c r="E82" s="12"/>
      <c r="F82" s="19"/>
      <c r="G82" s="15">
        <v>1</v>
      </c>
    </row>
    <row r="83" spans="1:7" x14ac:dyDescent="0.25">
      <c r="A83" s="14">
        <f t="shared" si="1"/>
        <v>77</v>
      </c>
      <c r="B83" s="9"/>
      <c r="C83" s="10"/>
      <c r="D83" s="9"/>
      <c r="E83" s="12"/>
      <c r="F83" s="19"/>
      <c r="G83" s="15">
        <v>1</v>
      </c>
    </row>
    <row r="84" spans="1:7" x14ac:dyDescent="0.25">
      <c r="A84" s="14">
        <f t="shared" si="1"/>
        <v>78</v>
      </c>
      <c r="B84" s="9"/>
      <c r="C84" s="10"/>
      <c r="D84" s="9"/>
      <c r="E84" s="12"/>
      <c r="F84" s="19"/>
      <c r="G84" s="15">
        <v>1</v>
      </c>
    </row>
    <row r="85" spans="1:7" x14ac:dyDescent="0.25">
      <c r="A85" s="14">
        <f t="shared" si="1"/>
        <v>79</v>
      </c>
      <c r="B85" s="9"/>
      <c r="C85" s="10"/>
      <c r="D85" s="9"/>
      <c r="E85" s="12"/>
      <c r="F85" s="19"/>
      <c r="G85" s="15">
        <v>1</v>
      </c>
    </row>
    <row r="86" spans="1:7" x14ac:dyDescent="0.25">
      <c r="A86" s="14">
        <f t="shared" si="1"/>
        <v>80</v>
      </c>
      <c r="B86" s="9"/>
      <c r="C86" s="10"/>
      <c r="D86" s="9"/>
      <c r="E86" s="12"/>
      <c r="F86" s="19"/>
      <c r="G86" s="15">
        <v>1</v>
      </c>
    </row>
    <row r="87" spans="1:7" x14ac:dyDescent="0.25">
      <c r="A87" s="14">
        <f t="shared" si="1"/>
        <v>81</v>
      </c>
      <c r="B87" s="9"/>
      <c r="C87" s="10"/>
      <c r="D87" s="9"/>
      <c r="E87" s="12"/>
      <c r="F87" s="19"/>
      <c r="G87" s="15">
        <v>1</v>
      </c>
    </row>
    <row r="88" spans="1:7" x14ac:dyDescent="0.25">
      <c r="A88" s="14">
        <f t="shared" si="1"/>
        <v>82</v>
      </c>
      <c r="B88" s="9"/>
      <c r="C88" s="10"/>
      <c r="D88" s="9"/>
      <c r="E88" s="12"/>
      <c r="F88" s="19"/>
      <c r="G88" s="15">
        <v>1</v>
      </c>
    </row>
    <row r="89" spans="1:7" x14ac:dyDescent="0.25">
      <c r="A89" s="14">
        <f t="shared" si="1"/>
        <v>83</v>
      </c>
      <c r="B89" s="9"/>
      <c r="C89" s="10"/>
      <c r="D89" s="9"/>
      <c r="E89" s="12"/>
      <c r="F89" s="19"/>
      <c r="G89" s="15">
        <v>1</v>
      </c>
    </row>
    <row r="90" spans="1:7" x14ac:dyDescent="0.25">
      <c r="A90" s="14">
        <f t="shared" si="1"/>
        <v>84</v>
      </c>
      <c r="B90" s="9"/>
      <c r="C90" s="10"/>
      <c r="D90" s="9"/>
      <c r="E90" s="12"/>
      <c r="F90" s="19"/>
      <c r="G90" s="15">
        <v>1</v>
      </c>
    </row>
    <row r="91" spans="1:7" x14ac:dyDescent="0.25">
      <c r="A91" s="14">
        <f t="shared" si="1"/>
        <v>85</v>
      </c>
      <c r="B91" s="9"/>
      <c r="C91" s="10"/>
      <c r="D91" s="9"/>
      <c r="E91" s="12"/>
      <c r="F91" s="19"/>
      <c r="G91" s="15">
        <v>1</v>
      </c>
    </row>
    <row r="92" spans="1:7" x14ac:dyDescent="0.25">
      <c r="A92" s="14">
        <f t="shared" si="1"/>
        <v>86</v>
      </c>
      <c r="B92" s="9"/>
      <c r="C92" s="10"/>
      <c r="D92" s="9"/>
      <c r="E92" s="12"/>
      <c r="F92" s="19"/>
      <c r="G92" s="15">
        <v>1</v>
      </c>
    </row>
    <row r="93" spans="1:7" x14ac:dyDescent="0.25">
      <c r="A93" s="14">
        <f t="shared" si="1"/>
        <v>87</v>
      </c>
      <c r="B93" s="9"/>
      <c r="C93" s="10"/>
      <c r="D93" s="9"/>
      <c r="E93" s="12"/>
      <c r="F93" s="19"/>
      <c r="G93" s="15">
        <v>1</v>
      </c>
    </row>
    <row r="94" spans="1:7" x14ac:dyDescent="0.25">
      <c r="A94" s="14">
        <f t="shared" si="1"/>
        <v>88</v>
      </c>
      <c r="B94" s="9"/>
      <c r="C94" s="10"/>
      <c r="D94" s="9"/>
      <c r="E94" s="12"/>
      <c r="F94" s="19"/>
      <c r="G94" s="15">
        <v>1</v>
      </c>
    </row>
    <row r="95" spans="1:7" x14ac:dyDescent="0.25">
      <c r="A95" s="14">
        <f t="shared" si="1"/>
        <v>89</v>
      </c>
      <c r="B95" s="9"/>
      <c r="C95" s="10"/>
      <c r="D95" s="9"/>
      <c r="E95" s="12"/>
      <c r="F95" s="19"/>
      <c r="G95" s="15">
        <v>1</v>
      </c>
    </row>
    <row r="96" spans="1:7" x14ac:dyDescent="0.25">
      <c r="A96" s="14">
        <f t="shared" si="1"/>
        <v>90</v>
      </c>
      <c r="B96" s="9"/>
      <c r="C96" s="10"/>
      <c r="D96" s="9"/>
      <c r="E96" s="12"/>
      <c r="F96" s="19"/>
      <c r="G96" s="15">
        <v>1</v>
      </c>
    </row>
    <row r="97" spans="1:7" x14ac:dyDescent="0.25">
      <c r="A97" s="14">
        <f t="shared" si="1"/>
        <v>91</v>
      </c>
      <c r="B97" s="9"/>
      <c r="C97" s="10"/>
      <c r="D97" s="9"/>
      <c r="E97" s="12"/>
      <c r="F97" s="19"/>
      <c r="G97" s="15">
        <v>1</v>
      </c>
    </row>
  </sheetData>
  <sortState xmlns:xlrd2="http://schemas.microsoft.com/office/spreadsheetml/2017/richdata2" ref="B7:H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558E-3D14-4341-A63F-4A109E0989B6}">
  <dimension ref="A1:K97"/>
  <sheetViews>
    <sheetView workbookViewId="0">
      <selection activeCell="F13" sqref="F13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1" t="s">
        <v>0</v>
      </c>
      <c r="B1" s="21"/>
      <c r="C1" s="2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5" t="s">
        <v>2</v>
      </c>
      <c r="B2" s="25"/>
      <c r="C2" s="25"/>
      <c r="D2" s="6"/>
      <c r="E2" s="26" t="s">
        <v>3</v>
      </c>
      <c r="F2" s="26"/>
      <c r="G2" s="4"/>
      <c r="H2" s="4"/>
      <c r="I2" s="22" t="s">
        <v>4</v>
      </c>
      <c r="J2" s="23"/>
      <c r="K2" s="16">
        <f ca="1">SUMIF(F7:F316,"Elimination*",G7:G136)</f>
        <v>0</v>
      </c>
    </row>
    <row r="3" spans="1:11" x14ac:dyDescent="0.25">
      <c r="A3" s="26" t="s">
        <v>5</v>
      </c>
      <c r="B3" s="26"/>
      <c r="C3" s="26"/>
      <c r="D3" s="5"/>
      <c r="E3" s="26" t="s">
        <v>17</v>
      </c>
      <c r="F3" s="26"/>
      <c r="G3" s="4"/>
      <c r="H3" s="4"/>
      <c r="I3" s="22" t="s">
        <v>6</v>
      </c>
      <c r="J3" s="23"/>
      <c r="K3" s="16">
        <f>SUMIF(F7:F136,"NB*",G7:G136)</f>
        <v>6</v>
      </c>
    </row>
    <row r="4" spans="1:11" ht="18" x14ac:dyDescent="0.25">
      <c r="A4" s="21" t="s">
        <v>7</v>
      </c>
      <c r="B4" s="21"/>
      <c r="C4" s="21"/>
      <c r="D4" s="21"/>
      <c r="E4" s="21"/>
      <c r="F4" s="21"/>
      <c r="G4" s="4"/>
      <c r="H4" s="4"/>
      <c r="I4" s="22" t="s">
        <v>8</v>
      </c>
      <c r="J4" s="23"/>
      <c r="K4" s="16">
        <f>SUMIF(F7:F136,"Ve*",G7:G136)</f>
        <v>0</v>
      </c>
    </row>
    <row r="5" spans="1:11" ht="15.75" x14ac:dyDescent="0.25">
      <c r="A5" s="24" t="s">
        <v>89</v>
      </c>
      <c r="B5" s="24"/>
      <c r="C5" s="24"/>
      <c r="D5" s="24"/>
      <c r="E5" s="24"/>
      <c r="F5" s="24"/>
      <c r="G5" s="17"/>
      <c r="H5" s="17"/>
      <c r="I5" s="22" t="s">
        <v>9</v>
      </c>
      <c r="J5" s="23"/>
      <c r="K5" s="18">
        <f ca="1">SUM(K2:K4)</f>
        <v>6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 t="s">
        <v>19</v>
      </c>
      <c r="C7" s="10" t="s">
        <v>20</v>
      </c>
      <c r="D7" s="9" t="s">
        <v>90</v>
      </c>
      <c r="E7" s="12">
        <v>46152</v>
      </c>
      <c r="F7" s="19" t="s">
        <v>91</v>
      </c>
      <c r="G7" s="15">
        <v>1</v>
      </c>
      <c r="H7" s="20" t="s">
        <v>92</v>
      </c>
      <c r="I7" s="2"/>
      <c r="J7" s="2"/>
      <c r="K7" s="1"/>
    </row>
    <row r="8" spans="1:11" ht="15" customHeight="1" x14ac:dyDescent="0.25">
      <c r="A8" s="14">
        <f t="shared" ref="A8:A71" si="0">+A7+1</f>
        <v>2</v>
      </c>
      <c r="B8" s="9" t="s">
        <v>19</v>
      </c>
      <c r="C8" s="10" t="s">
        <v>20</v>
      </c>
      <c r="D8" s="9" t="s">
        <v>93</v>
      </c>
      <c r="E8" s="12">
        <v>46152</v>
      </c>
      <c r="F8" s="19" t="s">
        <v>95</v>
      </c>
      <c r="G8" s="15">
        <v>1</v>
      </c>
      <c r="H8" s="20" t="s">
        <v>94</v>
      </c>
      <c r="I8" s="2"/>
      <c r="J8" s="2"/>
      <c r="K8" s="1"/>
    </row>
    <row r="9" spans="1:11" ht="15" customHeight="1" x14ac:dyDescent="0.25">
      <c r="A9" s="14">
        <f t="shared" si="0"/>
        <v>3</v>
      </c>
      <c r="B9" s="9" t="s">
        <v>19</v>
      </c>
      <c r="C9" s="10" t="s">
        <v>20</v>
      </c>
      <c r="D9" s="9" t="s">
        <v>97</v>
      </c>
      <c r="E9" s="12">
        <v>46152</v>
      </c>
      <c r="F9" s="19" t="s">
        <v>98</v>
      </c>
      <c r="G9" s="15">
        <v>1</v>
      </c>
      <c r="H9" s="20" t="s">
        <v>96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19</v>
      </c>
      <c r="C10" s="10" t="s">
        <v>20</v>
      </c>
      <c r="D10" s="9" t="s">
        <v>99</v>
      </c>
      <c r="E10" s="12">
        <v>46152</v>
      </c>
      <c r="F10" s="19" t="s">
        <v>100</v>
      </c>
      <c r="G10" s="15">
        <v>1</v>
      </c>
      <c r="H10" s="2" t="s">
        <v>101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19</v>
      </c>
      <c r="C11" s="10" t="s">
        <v>20</v>
      </c>
      <c r="D11" s="9" t="s">
        <v>102</v>
      </c>
      <c r="E11" s="12">
        <v>46152</v>
      </c>
      <c r="F11" s="19" t="s">
        <v>103</v>
      </c>
      <c r="G11" s="15">
        <v>1</v>
      </c>
      <c r="H11" s="2" t="s">
        <v>104</v>
      </c>
      <c r="I11" s="2"/>
      <c r="J11" s="2"/>
      <c r="K11" s="1"/>
    </row>
    <row r="12" spans="1:11" ht="15" customHeight="1" x14ac:dyDescent="0.25">
      <c r="A12" s="14">
        <f t="shared" si="0"/>
        <v>6</v>
      </c>
      <c r="B12" s="9" t="s">
        <v>19</v>
      </c>
      <c r="C12" s="10" t="s">
        <v>20</v>
      </c>
      <c r="D12" s="9" t="s">
        <v>105</v>
      </c>
      <c r="E12" s="12">
        <v>46153</v>
      </c>
      <c r="F12" s="19" t="s">
        <v>107</v>
      </c>
      <c r="G12" s="15">
        <v>1</v>
      </c>
      <c r="H12" s="20" t="s">
        <v>106</v>
      </c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20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20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2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</row>
    <row r="47" spans="1:10" x14ac:dyDescent="0.25">
      <c r="A47" s="14">
        <f t="shared" si="0"/>
        <v>41</v>
      </c>
      <c r="B47" s="9"/>
      <c r="C47" s="10"/>
      <c r="D47" s="9"/>
      <c r="E47" s="12"/>
      <c r="F47" s="19"/>
      <c r="G47" s="15">
        <v>1</v>
      </c>
    </row>
    <row r="48" spans="1:10" x14ac:dyDescent="0.25">
      <c r="A48" s="14">
        <f t="shared" si="0"/>
        <v>42</v>
      </c>
      <c r="B48" s="9"/>
      <c r="C48" s="10"/>
      <c r="D48" s="9"/>
      <c r="E48" s="12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12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12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12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12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  <row r="72" spans="1:7" x14ac:dyDescent="0.25">
      <c r="A72" s="14">
        <f t="shared" ref="A72:A97" si="1">+A71+1</f>
        <v>66</v>
      </c>
      <c r="B72" s="9"/>
      <c r="C72" s="10"/>
      <c r="D72" s="9"/>
      <c r="E72" s="12"/>
      <c r="F72" s="19"/>
      <c r="G72" s="15">
        <v>1</v>
      </c>
    </row>
    <row r="73" spans="1:7" x14ac:dyDescent="0.25">
      <c r="A73" s="14">
        <f t="shared" si="1"/>
        <v>67</v>
      </c>
      <c r="B73" s="9"/>
      <c r="C73" s="10"/>
      <c r="D73" s="9"/>
      <c r="E73" s="12"/>
      <c r="F73" s="19"/>
      <c r="G73" s="15">
        <v>1</v>
      </c>
    </row>
    <row r="74" spans="1:7" x14ac:dyDescent="0.25">
      <c r="A74" s="14">
        <f t="shared" si="1"/>
        <v>68</v>
      </c>
      <c r="B74" s="9"/>
      <c r="C74" s="10"/>
      <c r="D74" s="9"/>
      <c r="E74" s="12"/>
      <c r="F74" s="19"/>
      <c r="G74" s="15">
        <v>1</v>
      </c>
    </row>
    <row r="75" spans="1:7" x14ac:dyDescent="0.25">
      <c r="A75" s="14">
        <f t="shared" si="1"/>
        <v>69</v>
      </c>
      <c r="B75" s="9"/>
      <c r="C75" s="10"/>
      <c r="D75" s="9"/>
      <c r="E75" s="12"/>
      <c r="F75" s="19"/>
      <c r="G75" s="15">
        <v>1</v>
      </c>
    </row>
    <row r="76" spans="1:7" x14ac:dyDescent="0.25">
      <c r="A76" s="14">
        <f t="shared" si="1"/>
        <v>70</v>
      </c>
      <c r="B76" s="9"/>
      <c r="C76" s="10"/>
      <c r="D76" s="9"/>
      <c r="E76" s="12"/>
      <c r="F76" s="19"/>
      <c r="G76" s="15">
        <v>1</v>
      </c>
    </row>
    <row r="77" spans="1:7" x14ac:dyDescent="0.25">
      <c r="A77" s="14">
        <f t="shared" si="1"/>
        <v>71</v>
      </c>
      <c r="B77" s="9"/>
      <c r="C77" s="10"/>
      <c r="D77" s="9"/>
      <c r="E77" s="12"/>
      <c r="F77" s="19"/>
      <c r="G77" s="15">
        <v>1</v>
      </c>
    </row>
    <row r="78" spans="1:7" x14ac:dyDescent="0.25">
      <c r="A78" s="14">
        <f t="shared" si="1"/>
        <v>72</v>
      </c>
      <c r="B78" s="9"/>
      <c r="C78" s="10"/>
      <c r="D78" s="9"/>
      <c r="E78" s="12"/>
      <c r="F78" s="19"/>
      <c r="G78" s="15">
        <v>1</v>
      </c>
    </row>
    <row r="79" spans="1:7" x14ac:dyDescent="0.25">
      <c r="A79" s="14">
        <f t="shared" si="1"/>
        <v>73</v>
      </c>
      <c r="B79" s="9"/>
      <c r="C79" s="10"/>
      <c r="D79" s="9"/>
      <c r="E79" s="12"/>
      <c r="F79" s="19"/>
      <c r="G79" s="15">
        <v>1</v>
      </c>
    </row>
    <row r="80" spans="1:7" x14ac:dyDescent="0.25">
      <c r="A80" s="14">
        <f t="shared" si="1"/>
        <v>74</v>
      </c>
      <c r="B80" s="9"/>
      <c r="C80" s="10"/>
      <c r="D80" s="9"/>
      <c r="E80" s="12"/>
      <c r="F80" s="19"/>
      <c r="G80" s="15">
        <v>1</v>
      </c>
    </row>
    <row r="81" spans="1:7" x14ac:dyDescent="0.25">
      <c r="A81" s="14">
        <f t="shared" si="1"/>
        <v>75</v>
      </c>
      <c r="B81" s="9"/>
      <c r="C81" s="10"/>
      <c r="D81" s="9"/>
      <c r="E81" s="12"/>
      <c r="F81" s="19"/>
      <c r="G81" s="15">
        <v>1</v>
      </c>
    </row>
    <row r="82" spans="1:7" x14ac:dyDescent="0.25">
      <c r="A82" s="14">
        <f t="shared" si="1"/>
        <v>76</v>
      </c>
      <c r="B82" s="9"/>
      <c r="C82" s="10"/>
      <c r="D82" s="9"/>
      <c r="E82" s="12"/>
      <c r="F82" s="19"/>
      <c r="G82" s="15">
        <v>1</v>
      </c>
    </row>
    <row r="83" spans="1:7" x14ac:dyDescent="0.25">
      <c r="A83" s="14">
        <f t="shared" si="1"/>
        <v>77</v>
      </c>
      <c r="B83" s="9"/>
      <c r="C83" s="10"/>
      <c r="D83" s="9"/>
      <c r="E83" s="12"/>
      <c r="F83" s="19"/>
      <c r="G83" s="15">
        <v>1</v>
      </c>
    </row>
    <row r="84" spans="1:7" x14ac:dyDescent="0.25">
      <c r="A84" s="14">
        <f t="shared" si="1"/>
        <v>78</v>
      </c>
      <c r="B84" s="9"/>
      <c r="C84" s="10"/>
      <c r="D84" s="9"/>
      <c r="E84" s="12"/>
      <c r="F84" s="19"/>
      <c r="G84" s="15">
        <v>1</v>
      </c>
    </row>
    <row r="85" spans="1:7" x14ac:dyDescent="0.25">
      <c r="A85" s="14">
        <f t="shared" si="1"/>
        <v>79</v>
      </c>
      <c r="B85" s="9"/>
      <c r="C85" s="10"/>
      <c r="D85" s="9"/>
      <c r="E85" s="12"/>
      <c r="F85" s="19"/>
      <c r="G85" s="15">
        <v>1</v>
      </c>
    </row>
    <row r="86" spans="1:7" x14ac:dyDescent="0.25">
      <c r="A86" s="14">
        <f t="shared" si="1"/>
        <v>80</v>
      </c>
      <c r="B86" s="9"/>
      <c r="C86" s="10"/>
      <c r="D86" s="9"/>
      <c r="E86" s="12"/>
      <c r="F86" s="19"/>
      <c r="G86" s="15">
        <v>1</v>
      </c>
    </row>
    <row r="87" spans="1:7" x14ac:dyDescent="0.25">
      <c r="A87" s="14">
        <f t="shared" si="1"/>
        <v>81</v>
      </c>
      <c r="B87" s="9"/>
      <c r="C87" s="10"/>
      <c r="D87" s="9"/>
      <c r="E87" s="12"/>
      <c r="F87" s="19"/>
      <c r="G87" s="15">
        <v>1</v>
      </c>
    </row>
    <row r="88" spans="1:7" x14ac:dyDescent="0.25">
      <c r="A88" s="14">
        <f t="shared" si="1"/>
        <v>82</v>
      </c>
      <c r="B88" s="9"/>
      <c r="C88" s="10"/>
      <c r="D88" s="9"/>
      <c r="E88" s="12"/>
      <c r="F88" s="19"/>
      <c r="G88" s="15">
        <v>1</v>
      </c>
    </row>
    <row r="89" spans="1:7" x14ac:dyDescent="0.25">
      <c r="A89" s="14">
        <f t="shared" si="1"/>
        <v>83</v>
      </c>
      <c r="B89" s="9"/>
      <c r="C89" s="10"/>
      <c r="D89" s="9"/>
      <c r="E89" s="12"/>
      <c r="F89" s="19"/>
      <c r="G89" s="15">
        <v>1</v>
      </c>
    </row>
    <row r="90" spans="1:7" x14ac:dyDescent="0.25">
      <c r="A90" s="14">
        <f t="shared" si="1"/>
        <v>84</v>
      </c>
      <c r="B90" s="9"/>
      <c r="C90" s="10"/>
      <c r="D90" s="9"/>
      <c r="E90" s="12"/>
      <c r="F90" s="19"/>
      <c r="G90" s="15">
        <v>1</v>
      </c>
    </row>
    <row r="91" spans="1:7" x14ac:dyDescent="0.25">
      <c r="A91" s="14">
        <f t="shared" si="1"/>
        <v>85</v>
      </c>
      <c r="B91" s="9"/>
      <c r="C91" s="10"/>
      <c r="D91" s="9"/>
      <c r="E91" s="12"/>
      <c r="F91" s="19"/>
      <c r="G91" s="15">
        <v>1</v>
      </c>
    </row>
    <row r="92" spans="1:7" x14ac:dyDescent="0.25">
      <c r="A92" s="14">
        <f t="shared" si="1"/>
        <v>86</v>
      </c>
      <c r="B92" s="9"/>
      <c r="C92" s="10"/>
      <c r="D92" s="9"/>
      <c r="E92" s="12"/>
      <c r="F92" s="19"/>
      <c r="G92" s="15">
        <v>1</v>
      </c>
    </row>
    <row r="93" spans="1:7" x14ac:dyDescent="0.25">
      <c r="A93" s="14">
        <f t="shared" si="1"/>
        <v>87</v>
      </c>
      <c r="B93" s="9"/>
      <c r="C93" s="10"/>
      <c r="D93" s="9"/>
      <c r="E93" s="12"/>
      <c r="F93" s="19"/>
      <c r="G93" s="15">
        <v>1</v>
      </c>
    </row>
    <row r="94" spans="1:7" x14ac:dyDescent="0.25">
      <c r="A94" s="14">
        <f t="shared" si="1"/>
        <v>88</v>
      </c>
      <c r="B94" s="9"/>
      <c r="C94" s="10"/>
      <c r="D94" s="9"/>
      <c r="E94" s="12"/>
      <c r="F94" s="19"/>
      <c r="G94" s="15">
        <v>1</v>
      </c>
    </row>
    <row r="95" spans="1:7" x14ac:dyDescent="0.25">
      <c r="A95" s="14">
        <f t="shared" si="1"/>
        <v>89</v>
      </c>
      <c r="B95" s="9"/>
      <c r="C95" s="10"/>
      <c r="D95" s="9"/>
      <c r="E95" s="12"/>
      <c r="F95" s="19"/>
      <c r="G95" s="15">
        <v>1</v>
      </c>
    </row>
    <row r="96" spans="1:7" x14ac:dyDescent="0.25">
      <c r="A96" s="14">
        <f t="shared" si="1"/>
        <v>90</v>
      </c>
      <c r="B96" s="9"/>
      <c r="C96" s="10"/>
      <c r="D96" s="9"/>
      <c r="E96" s="12"/>
      <c r="F96" s="19"/>
      <c r="G96" s="15">
        <v>1</v>
      </c>
    </row>
    <row r="97" spans="1:7" x14ac:dyDescent="0.25">
      <c r="A97" s="14">
        <f t="shared" si="1"/>
        <v>91</v>
      </c>
      <c r="B97" s="9"/>
      <c r="C97" s="10"/>
      <c r="D97" s="9"/>
      <c r="E97" s="12"/>
      <c r="F97" s="19"/>
      <c r="G97" s="15">
        <v>1</v>
      </c>
    </row>
  </sheetData>
  <sortState xmlns:xlrd2="http://schemas.microsoft.com/office/spreadsheetml/2017/richdata2" ref="B7:H10">
    <sortCondition ref="E7:E10"/>
    <sortCondition ref="D7:D10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honeticPr fontId="13" type="noConversion"/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CF79-B8D4-40D1-9934-66F1648EC14B}">
  <dimension ref="A1:K97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1" t="s">
        <v>0</v>
      </c>
      <c r="B1" s="21"/>
      <c r="C1" s="2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5" t="s">
        <v>2</v>
      </c>
      <c r="B2" s="25"/>
      <c r="C2" s="25"/>
      <c r="D2" s="6"/>
      <c r="E2" s="26" t="s">
        <v>3</v>
      </c>
      <c r="F2" s="26"/>
      <c r="G2" s="4"/>
      <c r="H2" s="4"/>
      <c r="I2" s="22" t="s">
        <v>4</v>
      </c>
      <c r="J2" s="23"/>
      <c r="K2" s="16">
        <f ca="1">SUMIF(F7:F316,"Elimination*",G7:G136)</f>
        <v>0</v>
      </c>
    </row>
    <row r="3" spans="1:11" x14ac:dyDescent="0.25">
      <c r="A3" s="26" t="s">
        <v>5</v>
      </c>
      <c r="B3" s="26"/>
      <c r="C3" s="26"/>
      <c r="D3" s="5"/>
      <c r="E3" s="26" t="s">
        <v>17</v>
      </c>
      <c r="F3" s="26"/>
      <c r="G3" s="4"/>
      <c r="H3" s="4"/>
      <c r="I3" s="22" t="s">
        <v>6</v>
      </c>
      <c r="J3" s="23"/>
      <c r="K3" s="16">
        <f>SUMIF(F7:F136,"NB*",G7:G136)</f>
        <v>0</v>
      </c>
    </row>
    <row r="4" spans="1:11" ht="18" x14ac:dyDescent="0.25">
      <c r="A4" s="21" t="s">
        <v>7</v>
      </c>
      <c r="B4" s="21"/>
      <c r="C4" s="21"/>
      <c r="D4" s="21"/>
      <c r="E4" s="21"/>
      <c r="F4" s="21"/>
      <c r="G4" s="4"/>
      <c r="H4" s="4"/>
      <c r="I4" s="22" t="s">
        <v>8</v>
      </c>
      <c r="J4" s="23"/>
      <c r="K4" s="16">
        <f>SUMIF(F7:F136,"Ve*",G7:G136)</f>
        <v>0</v>
      </c>
    </row>
    <row r="5" spans="1:11" ht="15.75" x14ac:dyDescent="0.25">
      <c r="A5" s="24" t="s">
        <v>108</v>
      </c>
      <c r="B5" s="24"/>
      <c r="C5" s="24"/>
      <c r="D5" s="24"/>
      <c r="E5" s="24"/>
      <c r="F5" s="24"/>
      <c r="G5" s="17"/>
      <c r="H5" s="17"/>
      <c r="I5" s="22" t="s">
        <v>9</v>
      </c>
      <c r="J5" s="23"/>
      <c r="K5" s="18">
        <f ca="1"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/>
      <c r="C7" s="10"/>
      <c r="D7" s="9"/>
      <c r="E7" s="12"/>
      <c r="F7" s="19"/>
      <c r="G7" s="15">
        <v>1</v>
      </c>
      <c r="H7" s="20"/>
      <c r="I7" s="2"/>
      <c r="J7" s="2"/>
      <c r="K7" s="1"/>
    </row>
    <row r="8" spans="1:11" ht="15" customHeight="1" x14ac:dyDescent="0.25">
      <c r="A8" s="14">
        <f t="shared" ref="A8:A71" si="0">+A7+1</f>
        <v>2</v>
      </c>
      <c r="B8" s="9"/>
      <c r="C8" s="10"/>
      <c r="D8" s="9"/>
      <c r="E8" s="12"/>
      <c r="F8" s="19"/>
      <c r="G8" s="15">
        <v>1</v>
      </c>
      <c r="H8" s="20"/>
      <c r="I8" s="2"/>
      <c r="J8" s="2"/>
      <c r="K8" s="1"/>
    </row>
    <row r="9" spans="1:11" ht="15" customHeight="1" x14ac:dyDescent="0.25">
      <c r="A9" s="14">
        <f t="shared" si="0"/>
        <v>3</v>
      </c>
      <c r="B9" s="9"/>
      <c r="C9" s="10"/>
      <c r="D9" s="9"/>
      <c r="E9" s="12"/>
      <c r="F9" s="19"/>
      <c r="G9" s="15">
        <v>1</v>
      </c>
      <c r="H9" s="20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0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20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20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2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</row>
    <row r="47" spans="1:10" x14ac:dyDescent="0.25">
      <c r="A47" s="14">
        <f t="shared" si="0"/>
        <v>41</v>
      </c>
      <c r="B47" s="9"/>
      <c r="C47" s="10"/>
      <c r="D47" s="9"/>
      <c r="E47" s="12"/>
      <c r="F47" s="19"/>
      <c r="G47" s="15">
        <v>1</v>
      </c>
    </row>
    <row r="48" spans="1:10" x14ac:dyDescent="0.25">
      <c r="A48" s="14">
        <f t="shared" si="0"/>
        <v>42</v>
      </c>
      <c r="B48" s="9"/>
      <c r="C48" s="10"/>
      <c r="D48" s="9"/>
      <c r="E48" s="12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12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12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12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12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  <row r="72" spans="1:7" x14ac:dyDescent="0.25">
      <c r="A72" s="14">
        <f t="shared" ref="A72:A97" si="1">+A71+1</f>
        <v>66</v>
      </c>
      <c r="B72" s="9"/>
      <c r="C72" s="10"/>
      <c r="D72" s="9"/>
      <c r="E72" s="12"/>
      <c r="F72" s="19"/>
      <c r="G72" s="15">
        <v>1</v>
      </c>
    </row>
    <row r="73" spans="1:7" x14ac:dyDescent="0.25">
      <c r="A73" s="14">
        <f t="shared" si="1"/>
        <v>67</v>
      </c>
      <c r="B73" s="9"/>
      <c r="C73" s="10"/>
      <c r="D73" s="9"/>
      <c r="E73" s="12"/>
      <c r="F73" s="19"/>
      <c r="G73" s="15">
        <v>1</v>
      </c>
    </row>
    <row r="74" spans="1:7" x14ac:dyDescent="0.25">
      <c r="A74" s="14">
        <f t="shared" si="1"/>
        <v>68</v>
      </c>
      <c r="B74" s="9"/>
      <c r="C74" s="10"/>
      <c r="D74" s="9"/>
      <c r="E74" s="12"/>
      <c r="F74" s="19"/>
      <c r="G74" s="15">
        <v>1</v>
      </c>
    </row>
    <row r="75" spans="1:7" x14ac:dyDescent="0.25">
      <c r="A75" s="14">
        <f t="shared" si="1"/>
        <v>69</v>
      </c>
      <c r="B75" s="9"/>
      <c r="C75" s="10"/>
      <c r="D75" s="9"/>
      <c r="E75" s="12"/>
      <c r="F75" s="19"/>
      <c r="G75" s="15">
        <v>1</v>
      </c>
    </row>
    <row r="76" spans="1:7" x14ac:dyDescent="0.25">
      <c r="A76" s="14">
        <f t="shared" si="1"/>
        <v>70</v>
      </c>
      <c r="B76" s="9"/>
      <c r="C76" s="10"/>
      <c r="D76" s="9"/>
      <c r="E76" s="12"/>
      <c r="F76" s="19"/>
      <c r="G76" s="15">
        <v>1</v>
      </c>
    </row>
    <row r="77" spans="1:7" x14ac:dyDescent="0.25">
      <c r="A77" s="14">
        <f t="shared" si="1"/>
        <v>71</v>
      </c>
      <c r="B77" s="9"/>
      <c r="C77" s="10"/>
      <c r="D77" s="9"/>
      <c r="E77" s="12"/>
      <c r="F77" s="19"/>
      <c r="G77" s="15">
        <v>1</v>
      </c>
    </row>
    <row r="78" spans="1:7" x14ac:dyDescent="0.25">
      <c r="A78" s="14">
        <f t="shared" si="1"/>
        <v>72</v>
      </c>
      <c r="B78" s="9"/>
      <c r="C78" s="10"/>
      <c r="D78" s="9"/>
      <c r="E78" s="12"/>
      <c r="F78" s="19"/>
      <c r="G78" s="15">
        <v>1</v>
      </c>
    </row>
    <row r="79" spans="1:7" x14ac:dyDescent="0.25">
      <c r="A79" s="14">
        <f t="shared" si="1"/>
        <v>73</v>
      </c>
      <c r="B79" s="9"/>
      <c r="C79" s="10"/>
      <c r="D79" s="9"/>
      <c r="E79" s="12"/>
      <c r="F79" s="19"/>
      <c r="G79" s="15">
        <v>1</v>
      </c>
    </row>
    <row r="80" spans="1:7" x14ac:dyDescent="0.25">
      <c r="A80" s="14">
        <f t="shared" si="1"/>
        <v>74</v>
      </c>
      <c r="B80" s="9"/>
      <c r="C80" s="10"/>
      <c r="D80" s="9"/>
      <c r="E80" s="12"/>
      <c r="F80" s="19"/>
      <c r="G80" s="15">
        <v>1</v>
      </c>
    </row>
    <row r="81" spans="1:7" x14ac:dyDescent="0.25">
      <c r="A81" s="14">
        <f t="shared" si="1"/>
        <v>75</v>
      </c>
      <c r="B81" s="9"/>
      <c r="C81" s="10"/>
      <c r="D81" s="9"/>
      <c r="E81" s="12"/>
      <c r="F81" s="19"/>
      <c r="G81" s="15">
        <v>1</v>
      </c>
    </row>
    <row r="82" spans="1:7" x14ac:dyDescent="0.25">
      <c r="A82" s="14">
        <f t="shared" si="1"/>
        <v>76</v>
      </c>
      <c r="B82" s="9"/>
      <c r="C82" s="10"/>
      <c r="D82" s="9"/>
      <c r="E82" s="12"/>
      <c r="F82" s="19"/>
      <c r="G82" s="15">
        <v>1</v>
      </c>
    </row>
    <row r="83" spans="1:7" x14ac:dyDescent="0.25">
      <c r="A83" s="14">
        <f t="shared" si="1"/>
        <v>77</v>
      </c>
      <c r="B83" s="9"/>
      <c r="C83" s="10"/>
      <c r="D83" s="9"/>
      <c r="E83" s="12"/>
      <c r="F83" s="19"/>
      <c r="G83" s="15">
        <v>1</v>
      </c>
    </row>
    <row r="84" spans="1:7" x14ac:dyDescent="0.25">
      <c r="A84" s="14">
        <f t="shared" si="1"/>
        <v>78</v>
      </c>
      <c r="B84" s="9"/>
      <c r="C84" s="10"/>
      <c r="D84" s="9"/>
      <c r="E84" s="12"/>
      <c r="F84" s="19"/>
      <c r="G84" s="15">
        <v>1</v>
      </c>
    </row>
    <row r="85" spans="1:7" x14ac:dyDescent="0.25">
      <c r="A85" s="14">
        <f t="shared" si="1"/>
        <v>79</v>
      </c>
      <c r="B85" s="9"/>
      <c r="C85" s="10"/>
      <c r="D85" s="9"/>
      <c r="E85" s="12"/>
      <c r="F85" s="19"/>
      <c r="G85" s="15">
        <v>1</v>
      </c>
    </row>
    <row r="86" spans="1:7" x14ac:dyDescent="0.25">
      <c r="A86" s="14">
        <f t="shared" si="1"/>
        <v>80</v>
      </c>
      <c r="B86" s="9"/>
      <c r="C86" s="10"/>
      <c r="D86" s="9"/>
      <c r="E86" s="12"/>
      <c r="F86" s="19"/>
      <c r="G86" s="15">
        <v>1</v>
      </c>
    </row>
    <row r="87" spans="1:7" x14ac:dyDescent="0.25">
      <c r="A87" s="14">
        <f t="shared" si="1"/>
        <v>81</v>
      </c>
      <c r="B87" s="9"/>
      <c r="C87" s="10"/>
      <c r="D87" s="9"/>
      <c r="E87" s="12"/>
      <c r="F87" s="19"/>
      <c r="G87" s="15">
        <v>1</v>
      </c>
    </row>
    <row r="88" spans="1:7" x14ac:dyDescent="0.25">
      <c r="A88" s="14">
        <f t="shared" si="1"/>
        <v>82</v>
      </c>
      <c r="B88" s="9"/>
      <c r="C88" s="10"/>
      <c r="D88" s="9"/>
      <c r="E88" s="12"/>
      <c r="F88" s="19"/>
      <c r="G88" s="15">
        <v>1</v>
      </c>
    </row>
    <row r="89" spans="1:7" x14ac:dyDescent="0.25">
      <c r="A89" s="14">
        <f t="shared" si="1"/>
        <v>83</v>
      </c>
      <c r="B89" s="9"/>
      <c r="C89" s="10"/>
      <c r="D89" s="9"/>
      <c r="E89" s="12"/>
      <c r="F89" s="19"/>
      <c r="G89" s="15">
        <v>1</v>
      </c>
    </row>
    <row r="90" spans="1:7" x14ac:dyDescent="0.25">
      <c r="A90" s="14">
        <f t="shared" si="1"/>
        <v>84</v>
      </c>
      <c r="B90" s="9"/>
      <c r="C90" s="10"/>
      <c r="D90" s="9"/>
      <c r="E90" s="12"/>
      <c r="F90" s="19"/>
      <c r="G90" s="15">
        <v>1</v>
      </c>
    </row>
    <row r="91" spans="1:7" x14ac:dyDescent="0.25">
      <c r="A91" s="14">
        <f t="shared" si="1"/>
        <v>85</v>
      </c>
      <c r="B91" s="9"/>
      <c r="C91" s="10"/>
      <c r="D91" s="9"/>
      <c r="E91" s="12"/>
      <c r="F91" s="19"/>
      <c r="G91" s="15">
        <v>1</v>
      </c>
    </row>
    <row r="92" spans="1:7" x14ac:dyDescent="0.25">
      <c r="A92" s="14">
        <f t="shared" si="1"/>
        <v>86</v>
      </c>
      <c r="B92" s="9"/>
      <c r="C92" s="10"/>
      <c r="D92" s="9"/>
      <c r="E92" s="12"/>
      <c r="F92" s="19"/>
      <c r="G92" s="15">
        <v>1</v>
      </c>
    </row>
    <row r="93" spans="1:7" x14ac:dyDescent="0.25">
      <c r="A93" s="14">
        <f t="shared" si="1"/>
        <v>87</v>
      </c>
      <c r="B93" s="9"/>
      <c r="C93" s="10"/>
      <c r="D93" s="9"/>
      <c r="E93" s="12"/>
      <c r="F93" s="19"/>
      <c r="G93" s="15">
        <v>1</v>
      </c>
    </row>
    <row r="94" spans="1:7" x14ac:dyDescent="0.25">
      <c r="A94" s="14">
        <f t="shared" si="1"/>
        <v>88</v>
      </c>
      <c r="B94" s="9"/>
      <c r="C94" s="10"/>
      <c r="D94" s="9"/>
      <c r="E94" s="12"/>
      <c r="F94" s="19"/>
      <c r="G94" s="15">
        <v>1</v>
      </c>
    </row>
    <row r="95" spans="1:7" x14ac:dyDescent="0.25">
      <c r="A95" s="14">
        <f t="shared" si="1"/>
        <v>89</v>
      </c>
      <c r="B95" s="9"/>
      <c r="C95" s="10"/>
      <c r="D95" s="9"/>
      <c r="E95" s="12"/>
      <c r="F95" s="19"/>
      <c r="G95" s="15">
        <v>1</v>
      </c>
    </row>
    <row r="96" spans="1:7" x14ac:dyDescent="0.25">
      <c r="A96" s="14">
        <f t="shared" si="1"/>
        <v>90</v>
      </c>
      <c r="B96" s="9"/>
      <c r="C96" s="10"/>
      <c r="D96" s="9"/>
      <c r="E96" s="12"/>
      <c r="F96" s="19"/>
      <c r="G96" s="15">
        <v>1</v>
      </c>
    </row>
    <row r="97" spans="1:7" x14ac:dyDescent="0.25">
      <c r="A97" s="14">
        <f t="shared" si="1"/>
        <v>91</v>
      </c>
      <c r="B97" s="9"/>
      <c r="C97" s="10"/>
      <c r="D97" s="9"/>
      <c r="E97" s="12"/>
      <c r="F97" s="19"/>
      <c r="G97" s="15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6EFE-88D1-4B25-BFF2-8B92CFF28B60}">
  <dimension ref="A1:K97"/>
  <sheetViews>
    <sheetView workbookViewId="0">
      <selection activeCell="I22" sqref="I22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1" t="s">
        <v>0</v>
      </c>
      <c r="B1" s="21"/>
      <c r="C1" s="2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5" t="s">
        <v>2</v>
      </c>
      <c r="B2" s="25"/>
      <c r="C2" s="25"/>
      <c r="D2" s="6"/>
      <c r="E2" s="26" t="s">
        <v>3</v>
      </c>
      <c r="F2" s="26"/>
      <c r="G2" s="4"/>
      <c r="H2" s="4"/>
      <c r="I2" s="22" t="s">
        <v>4</v>
      </c>
      <c r="J2" s="23"/>
      <c r="K2" s="16">
        <f ca="1">SUMIF(F7:F316,"Elimination*",G7:G136)</f>
        <v>0</v>
      </c>
    </row>
    <row r="3" spans="1:11" x14ac:dyDescent="0.25">
      <c r="A3" s="26" t="s">
        <v>5</v>
      </c>
      <c r="B3" s="26"/>
      <c r="C3" s="26"/>
      <c r="D3" s="5"/>
      <c r="E3" s="26" t="s">
        <v>17</v>
      </c>
      <c r="F3" s="26"/>
      <c r="G3" s="4"/>
      <c r="H3" s="4"/>
      <c r="I3" s="22" t="s">
        <v>6</v>
      </c>
      <c r="J3" s="23"/>
      <c r="K3" s="16">
        <f>SUMIF(F7:F136,"NB*",G7:G136)</f>
        <v>5</v>
      </c>
    </row>
    <row r="4" spans="1:11" ht="18" x14ac:dyDescent="0.25">
      <c r="A4" s="21" t="s">
        <v>7</v>
      </c>
      <c r="B4" s="21"/>
      <c r="C4" s="21"/>
      <c r="D4" s="21"/>
      <c r="E4" s="21"/>
      <c r="F4" s="21"/>
      <c r="G4" s="4"/>
      <c r="H4" s="4"/>
      <c r="I4" s="22" t="s">
        <v>8</v>
      </c>
      <c r="J4" s="23"/>
      <c r="K4" s="16">
        <f>SUMIF(F7:F136,"Ve*",G7:G136)</f>
        <v>0</v>
      </c>
    </row>
    <row r="5" spans="1:11" ht="15.75" x14ac:dyDescent="0.25">
      <c r="A5" s="24" t="s">
        <v>109</v>
      </c>
      <c r="B5" s="24"/>
      <c r="C5" s="24"/>
      <c r="D5" s="24"/>
      <c r="E5" s="24"/>
      <c r="F5" s="24"/>
      <c r="G5" s="17"/>
      <c r="H5" s="17"/>
      <c r="I5" s="22" t="s">
        <v>9</v>
      </c>
      <c r="J5" s="23"/>
      <c r="K5" s="18">
        <f ca="1">SUM(K2:K4)</f>
        <v>5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 t="s">
        <v>19</v>
      </c>
      <c r="C7" s="10" t="s">
        <v>110</v>
      </c>
      <c r="D7" s="9" t="s">
        <v>111</v>
      </c>
      <c r="E7" s="12">
        <v>46215</v>
      </c>
      <c r="F7" s="19" t="s">
        <v>112</v>
      </c>
      <c r="G7" s="15">
        <v>1</v>
      </c>
      <c r="H7" s="20" t="s">
        <v>113</v>
      </c>
      <c r="I7" s="2"/>
      <c r="J7" s="2"/>
      <c r="K7" s="1"/>
    </row>
    <row r="8" spans="1:11" ht="15" customHeight="1" x14ac:dyDescent="0.25">
      <c r="A8" s="14">
        <f t="shared" ref="A8:A71" si="0">+A7+1</f>
        <v>2</v>
      </c>
      <c r="B8" s="9" t="s">
        <v>19</v>
      </c>
      <c r="C8" s="10" t="s">
        <v>110</v>
      </c>
      <c r="D8" s="9" t="s">
        <v>117</v>
      </c>
      <c r="E8" s="12">
        <v>46231</v>
      </c>
      <c r="F8" s="19" t="s">
        <v>119</v>
      </c>
      <c r="G8" s="15">
        <v>1</v>
      </c>
      <c r="H8" s="20" t="s">
        <v>118</v>
      </c>
      <c r="I8" s="2"/>
      <c r="J8" s="2"/>
      <c r="K8" s="1"/>
    </row>
    <row r="9" spans="1:11" ht="15" customHeight="1" x14ac:dyDescent="0.25">
      <c r="A9" s="14">
        <f t="shared" si="0"/>
        <v>3</v>
      </c>
      <c r="B9" s="9" t="s">
        <v>19</v>
      </c>
      <c r="C9" s="10" t="s">
        <v>110</v>
      </c>
      <c r="D9" s="9" t="s">
        <v>120</v>
      </c>
      <c r="E9" s="12">
        <v>46231</v>
      </c>
      <c r="F9" s="19" t="s">
        <v>122</v>
      </c>
      <c r="G9" s="15">
        <v>1</v>
      </c>
      <c r="H9" s="2" t="s">
        <v>121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19</v>
      </c>
      <c r="C10" s="10" t="s">
        <v>110</v>
      </c>
      <c r="D10" s="9" t="s">
        <v>114</v>
      </c>
      <c r="E10" s="12">
        <v>46231</v>
      </c>
      <c r="F10" s="19" t="s">
        <v>115</v>
      </c>
      <c r="G10" s="15">
        <v>1</v>
      </c>
      <c r="H10" s="20" t="s">
        <v>116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19</v>
      </c>
      <c r="C11" s="10" t="s">
        <v>110</v>
      </c>
      <c r="D11" s="9" t="s">
        <v>123</v>
      </c>
      <c r="E11" s="12">
        <v>46231</v>
      </c>
      <c r="F11" s="19" t="s">
        <v>125</v>
      </c>
      <c r="G11" s="15">
        <v>1</v>
      </c>
      <c r="H11" s="2" t="s">
        <v>124</v>
      </c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0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20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20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2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</row>
    <row r="47" spans="1:10" x14ac:dyDescent="0.25">
      <c r="A47" s="14">
        <f t="shared" si="0"/>
        <v>41</v>
      </c>
      <c r="B47" s="9"/>
      <c r="C47" s="10"/>
      <c r="D47" s="9"/>
      <c r="E47" s="12"/>
      <c r="F47" s="19"/>
      <c r="G47" s="15">
        <v>1</v>
      </c>
    </row>
    <row r="48" spans="1:10" x14ac:dyDescent="0.25">
      <c r="A48" s="14">
        <f t="shared" si="0"/>
        <v>42</v>
      </c>
      <c r="B48" s="9"/>
      <c r="C48" s="10"/>
      <c r="D48" s="9"/>
      <c r="E48" s="12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12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12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12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12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  <row r="72" spans="1:7" x14ac:dyDescent="0.25">
      <c r="A72" s="14">
        <f t="shared" ref="A72:A97" si="1">+A71+1</f>
        <v>66</v>
      </c>
      <c r="B72" s="9"/>
      <c r="C72" s="10"/>
      <c r="D72" s="9"/>
      <c r="E72" s="12"/>
      <c r="F72" s="19"/>
      <c r="G72" s="15">
        <v>1</v>
      </c>
    </row>
    <row r="73" spans="1:7" x14ac:dyDescent="0.25">
      <c r="A73" s="14">
        <f t="shared" si="1"/>
        <v>67</v>
      </c>
      <c r="B73" s="9"/>
      <c r="C73" s="10"/>
      <c r="D73" s="9"/>
      <c r="E73" s="12"/>
      <c r="F73" s="19"/>
      <c r="G73" s="15">
        <v>1</v>
      </c>
    </row>
    <row r="74" spans="1:7" x14ac:dyDescent="0.25">
      <c r="A74" s="14">
        <f t="shared" si="1"/>
        <v>68</v>
      </c>
      <c r="B74" s="9"/>
      <c r="C74" s="10"/>
      <c r="D74" s="9"/>
      <c r="E74" s="12"/>
      <c r="F74" s="19"/>
      <c r="G74" s="15">
        <v>1</v>
      </c>
    </row>
    <row r="75" spans="1:7" x14ac:dyDescent="0.25">
      <c r="A75" s="14">
        <f t="shared" si="1"/>
        <v>69</v>
      </c>
      <c r="B75" s="9"/>
      <c r="C75" s="10"/>
      <c r="D75" s="9"/>
      <c r="E75" s="12"/>
      <c r="F75" s="19"/>
      <c r="G75" s="15">
        <v>1</v>
      </c>
    </row>
    <row r="76" spans="1:7" x14ac:dyDescent="0.25">
      <c r="A76" s="14">
        <f t="shared" si="1"/>
        <v>70</v>
      </c>
      <c r="B76" s="9"/>
      <c r="C76" s="10"/>
      <c r="D76" s="9"/>
      <c r="E76" s="12"/>
      <c r="F76" s="19"/>
      <c r="G76" s="15">
        <v>1</v>
      </c>
    </row>
    <row r="77" spans="1:7" x14ac:dyDescent="0.25">
      <c r="A77" s="14">
        <f t="shared" si="1"/>
        <v>71</v>
      </c>
      <c r="B77" s="9"/>
      <c r="C77" s="10"/>
      <c r="D77" s="9"/>
      <c r="E77" s="12"/>
      <c r="F77" s="19"/>
      <c r="G77" s="15">
        <v>1</v>
      </c>
    </row>
    <row r="78" spans="1:7" x14ac:dyDescent="0.25">
      <c r="A78" s="14">
        <f t="shared" si="1"/>
        <v>72</v>
      </c>
      <c r="B78" s="9"/>
      <c r="C78" s="10"/>
      <c r="D78" s="9"/>
      <c r="E78" s="12"/>
      <c r="F78" s="19"/>
      <c r="G78" s="15">
        <v>1</v>
      </c>
    </row>
    <row r="79" spans="1:7" x14ac:dyDescent="0.25">
      <c r="A79" s="14">
        <f t="shared" si="1"/>
        <v>73</v>
      </c>
      <c r="B79" s="9"/>
      <c r="C79" s="10"/>
      <c r="D79" s="9"/>
      <c r="E79" s="12"/>
      <c r="F79" s="19"/>
      <c r="G79" s="15">
        <v>1</v>
      </c>
    </row>
    <row r="80" spans="1:7" x14ac:dyDescent="0.25">
      <c r="A80" s="14">
        <f t="shared" si="1"/>
        <v>74</v>
      </c>
      <c r="B80" s="9"/>
      <c r="C80" s="10"/>
      <c r="D80" s="9"/>
      <c r="E80" s="12"/>
      <c r="F80" s="19"/>
      <c r="G80" s="15">
        <v>1</v>
      </c>
    </row>
    <row r="81" spans="1:7" x14ac:dyDescent="0.25">
      <c r="A81" s="14">
        <f t="shared" si="1"/>
        <v>75</v>
      </c>
      <c r="B81" s="9"/>
      <c r="C81" s="10"/>
      <c r="D81" s="9"/>
      <c r="E81" s="12"/>
      <c r="F81" s="19"/>
      <c r="G81" s="15">
        <v>1</v>
      </c>
    </row>
    <row r="82" spans="1:7" x14ac:dyDescent="0.25">
      <c r="A82" s="14">
        <f t="shared" si="1"/>
        <v>76</v>
      </c>
      <c r="B82" s="9"/>
      <c r="C82" s="10"/>
      <c r="D82" s="9"/>
      <c r="E82" s="12"/>
      <c r="F82" s="19"/>
      <c r="G82" s="15">
        <v>1</v>
      </c>
    </row>
    <row r="83" spans="1:7" x14ac:dyDescent="0.25">
      <c r="A83" s="14">
        <f t="shared" si="1"/>
        <v>77</v>
      </c>
      <c r="B83" s="9"/>
      <c r="C83" s="10"/>
      <c r="D83" s="9"/>
      <c r="E83" s="12"/>
      <c r="F83" s="19"/>
      <c r="G83" s="15">
        <v>1</v>
      </c>
    </row>
    <row r="84" spans="1:7" x14ac:dyDescent="0.25">
      <c r="A84" s="14">
        <f t="shared" si="1"/>
        <v>78</v>
      </c>
      <c r="B84" s="9"/>
      <c r="C84" s="10"/>
      <c r="D84" s="9"/>
      <c r="E84" s="12"/>
      <c r="F84" s="19"/>
      <c r="G84" s="15">
        <v>1</v>
      </c>
    </row>
    <row r="85" spans="1:7" x14ac:dyDescent="0.25">
      <c r="A85" s="14">
        <f t="shared" si="1"/>
        <v>79</v>
      </c>
      <c r="B85" s="9"/>
      <c r="C85" s="10"/>
      <c r="D85" s="9"/>
      <c r="E85" s="12"/>
      <c r="F85" s="19"/>
      <c r="G85" s="15">
        <v>1</v>
      </c>
    </row>
    <row r="86" spans="1:7" x14ac:dyDescent="0.25">
      <c r="A86" s="14">
        <f t="shared" si="1"/>
        <v>80</v>
      </c>
      <c r="B86" s="9"/>
      <c r="C86" s="10"/>
      <c r="D86" s="9"/>
      <c r="E86" s="12"/>
      <c r="F86" s="19"/>
      <c r="G86" s="15">
        <v>1</v>
      </c>
    </row>
    <row r="87" spans="1:7" x14ac:dyDescent="0.25">
      <c r="A87" s="14">
        <f t="shared" si="1"/>
        <v>81</v>
      </c>
      <c r="B87" s="9"/>
      <c r="C87" s="10"/>
      <c r="D87" s="9"/>
      <c r="E87" s="12"/>
      <c r="F87" s="19"/>
      <c r="G87" s="15">
        <v>1</v>
      </c>
    </row>
    <row r="88" spans="1:7" x14ac:dyDescent="0.25">
      <c r="A88" s="14">
        <f t="shared" si="1"/>
        <v>82</v>
      </c>
      <c r="B88" s="9"/>
      <c r="C88" s="10"/>
      <c r="D88" s="9"/>
      <c r="E88" s="12"/>
      <c r="F88" s="19"/>
      <c r="G88" s="15">
        <v>1</v>
      </c>
    </row>
    <row r="89" spans="1:7" x14ac:dyDescent="0.25">
      <c r="A89" s="14">
        <f t="shared" si="1"/>
        <v>83</v>
      </c>
      <c r="B89" s="9"/>
      <c r="C89" s="10"/>
      <c r="D89" s="9"/>
      <c r="E89" s="12"/>
      <c r="F89" s="19"/>
      <c r="G89" s="15">
        <v>1</v>
      </c>
    </row>
    <row r="90" spans="1:7" x14ac:dyDescent="0.25">
      <c r="A90" s="14">
        <f t="shared" si="1"/>
        <v>84</v>
      </c>
      <c r="B90" s="9"/>
      <c r="C90" s="10"/>
      <c r="D90" s="9"/>
      <c r="E90" s="12"/>
      <c r="F90" s="19"/>
      <c r="G90" s="15">
        <v>1</v>
      </c>
    </row>
    <row r="91" spans="1:7" x14ac:dyDescent="0.25">
      <c r="A91" s="14">
        <f t="shared" si="1"/>
        <v>85</v>
      </c>
      <c r="B91" s="9"/>
      <c r="C91" s="10"/>
      <c r="D91" s="9"/>
      <c r="E91" s="12"/>
      <c r="F91" s="19"/>
      <c r="G91" s="15">
        <v>1</v>
      </c>
    </row>
    <row r="92" spans="1:7" x14ac:dyDescent="0.25">
      <c r="A92" s="14">
        <f t="shared" si="1"/>
        <v>86</v>
      </c>
      <c r="B92" s="9"/>
      <c r="C92" s="10"/>
      <c r="D92" s="9"/>
      <c r="E92" s="12"/>
      <c r="F92" s="19"/>
      <c r="G92" s="15">
        <v>1</v>
      </c>
    </row>
    <row r="93" spans="1:7" x14ac:dyDescent="0.25">
      <c r="A93" s="14">
        <f t="shared" si="1"/>
        <v>87</v>
      </c>
      <c r="B93" s="9"/>
      <c r="C93" s="10"/>
      <c r="D93" s="9"/>
      <c r="E93" s="12"/>
      <c r="F93" s="19"/>
      <c r="G93" s="15">
        <v>1</v>
      </c>
    </row>
    <row r="94" spans="1:7" x14ac:dyDescent="0.25">
      <c r="A94" s="14">
        <f t="shared" si="1"/>
        <v>88</v>
      </c>
      <c r="B94" s="9"/>
      <c r="C94" s="10"/>
      <c r="D94" s="9"/>
      <c r="E94" s="12"/>
      <c r="F94" s="19"/>
      <c r="G94" s="15">
        <v>1</v>
      </c>
    </row>
    <row r="95" spans="1:7" x14ac:dyDescent="0.25">
      <c r="A95" s="14">
        <f t="shared" si="1"/>
        <v>89</v>
      </c>
      <c r="B95" s="9"/>
      <c r="C95" s="10"/>
      <c r="D95" s="9"/>
      <c r="E95" s="12"/>
      <c r="F95" s="19"/>
      <c r="G95" s="15">
        <v>1</v>
      </c>
    </row>
    <row r="96" spans="1:7" x14ac:dyDescent="0.25">
      <c r="A96" s="14">
        <f t="shared" si="1"/>
        <v>90</v>
      </c>
      <c r="B96" s="9"/>
      <c r="C96" s="10"/>
      <c r="D96" s="9"/>
      <c r="E96" s="12"/>
      <c r="F96" s="19"/>
      <c r="G96" s="15">
        <v>1</v>
      </c>
    </row>
    <row r="97" spans="1:7" x14ac:dyDescent="0.25">
      <c r="A97" s="14">
        <f t="shared" si="1"/>
        <v>91</v>
      </c>
      <c r="B97" s="9"/>
      <c r="C97" s="10"/>
      <c r="D97" s="9"/>
      <c r="E97" s="12"/>
      <c r="F97" s="19"/>
      <c r="G97" s="15">
        <v>1</v>
      </c>
    </row>
  </sheetData>
  <sortState xmlns:xlrd2="http://schemas.microsoft.com/office/spreadsheetml/2017/richdata2" ref="B7:H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327B-2623-4813-B982-F34579FB1EF6}">
  <dimension ref="A1:K97"/>
  <sheetViews>
    <sheetView workbookViewId="0">
      <selection activeCell="F12" sqref="F12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1" t="s">
        <v>0</v>
      </c>
      <c r="B1" s="21"/>
      <c r="C1" s="2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5" t="s">
        <v>2</v>
      </c>
      <c r="B2" s="25"/>
      <c r="C2" s="25"/>
      <c r="D2" s="6"/>
      <c r="E2" s="26" t="s">
        <v>3</v>
      </c>
      <c r="F2" s="26"/>
      <c r="G2" s="4"/>
      <c r="H2" s="4"/>
      <c r="I2" s="22" t="s">
        <v>4</v>
      </c>
      <c r="J2" s="23"/>
      <c r="K2" s="16">
        <f ca="1">SUMIF(F7:F316,"Elimination*",G7:G136)</f>
        <v>0</v>
      </c>
    </row>
    <row r="3" spans="1:11" x14ac:dyDescent="0.25">
      <c r="A3" s="26" t="s">
        <v>5</v>
      </c>
      <c r="B3" s="26"/>
      <c r="C3" s="26"/>
      <c r="D3" s="5"/>
      <c r="E3" s="26" t="s">
        <v>17</v>
      </c>
      <c r="F3" s="26"/>
      <c r="G3" s="4"/>
      <c r="H3" s="4"/>
      <c r="I3" s="22" t="s">
        <v>6</v>
      </c>
      <c r="J3" s="23"/>
      <c r="K3" s="16">
        <f>SUMIF(F7:F136,"NB*",G7:G136)</f>
        <v>6</v>
      </c>
    </row>
    <row r="4" spans="1:11" ht="18" x14ac:dyDescent="0.25">
      <c r="A4" s="21" t="s">
        <v>7</v>
      </c>
      <c r="B4" s="21"/>
      <c r="C4" s="21"/>
      <c r="D4" s="21"/>
      <c r="E4" s="21"/>
      <c r="F4" s="21"/>
      <c r="G4" s="4"/>
      <c r="H4" s="4"/>
      <c r="I4" s="22" t="s">
        <v>8</v>
      </c>
      <c r="J4" s="23"/>
      <c r="K4" s="16">
        <f>SUMIF(F7:F136,"Ve*",G7:G136)</f>
        <v>0</v>
      </c>
    </row>
    <row r="5" spans="1:11" ht="15.75" x14ac:dyDescent="0.25">
      <c r="A5" s="24" t="s">
        <v>126</v>
      </c>
      <c r="B5" s="24"/>
      <c r="C5" s="24"/>
      <c r="D5" s="24"/>
      <c r="E5" s="24"/>
      <c r="F5" s="24"/>
      <c r="G5" s="17"/>
      <c r="H5" s="17"/>
      <c r="I5" s="22" t="s">
        <v>9</v>
      </c>
      <c r="J5" s="23"/>
      <c r="K5" s="18">
        <f ca="1">SUM(K2:K4)</f>
        <v>6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 t="s">
        <v>19</v>
      </c>
      <c r="C7" s="10" t="s">
        <v>110</v>
      </c>
      <c r="D7" s="9" t="s">
        <v>127</v>
      </c>
      <c r="E7" s="12">
        <v>46239</v>
      </c>
      <c r="F7" s="19" t="s">
        <v>128</v>
      </c>
      <c r="G7" s="15">
        <v>1</v>
      </c>
      <c r="H7" s="20" t="s">
        <v>129</v>
      </c>
      <c r="I7" s="2"/>
      <c r="J7" s="2"/>
      <c r="K7" s="1"/>
    </row>
    <row r="8" spans="1:11" ht="15" customHeight="1" x14ac:dyDescent="0.25">
      <c r="A8" s="14">
        <f t="shared" ref="A8:A71" si="0">+A7+1</f>
        <v>2</v>
      </c>
      <c r="B8" s="9" t="s">
        <v>19</v>
      </c>
      <c r="C8" s="10" t="s">
        <v>110</v>
      </c>
      <c r="D8" s="9" t="s">
        <v>142</v>
      </c>
      <c r="E8" s="12">
        <v>46239</v>
      </c>
      <c r="F8" s="19" t="s">
        <v>143</v>
      </c>
      <c r="G8" s="15">
        <v>1</v>
      </c>
      <c r="H8" s="20" t="s">
        <v>144</v>
      </c>
      <c r="I8" s="2"/>
      <c r="J8" s="2"/>
      <c r="K8" s="1"/>
    </row>
    <row r="9" spans="1:11" ht="15" customHeight="1" x14ac:dyDescent="0.25">
      <c r="A9" s="14">
        <f t="shared" si="0"/>
        <v>3</v>
      </c>
      <c r="B9" s="9" t="s">
        <v>19</v>
      </c>
      <c r="C9" s="10" t="s">
        <v>110</v>
      </c>
      <c r="D9" s="9" t="s">
        <v>130</v>
      </c>
      <c r="E9" s="12">
        <v>46239</v>
      </c>
      <c r="F9" s="19" t="s">
        <v>132</v>
      </c>
      <c r="G9" s="15">
        <v>1</v>
      </c>
      <c r="H9" s="20" t="s">
        <v>131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19</v>
      </c>
      <c r="C10" s="10" t="s">
        <v>110</v>
      </c>
      <c r="D10" s="9" t="s">
        <v>133</v>
      </c>
      <c r="E10" s="12">
        <v>46239</v>
      </c>
      <c r="F10" s="19" t="s">
        <v>135</v>
      </c>
      <c r="G10" s="15">
        <v>1</v>
      </c>
      <c r="H10" s="2" t="s">
        <v>134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19</v>
      </c>
      <c r="C11" s="10" t="s">
        <v>110</v>
      </c>
      <c r="D11" s="9" t="s">
        <v>139</v>
      </c>
      <c r="E11" s="12">
        <v>46239</v>
      </c>
      <c r="F11" s="19" t="s">
        <v>141</v>
      </c>
      <c r="G11" s="15">
        <v>1</v>
      </c>
      <c r="H11" s="2" t="s">
        <v>140</v>
      </c>
      <c r="I11" s="2"/>
      <c r="J11" s="2"/>
      <c r="K11" s="1"/>
    </row>
    <row r="12" spans="1:11" ht="15" customHeight="1" x14ac:dyDescent="0.25">
      <c r="A12" s="14">
        <f t="shared" si="0"/>
        <v>6</v>
      </c>
      <c r="B12" s="9" t="s">
        <v>19</v>
      </c>
      <c r="C12" s="10" t="s">
        <v>110</v>
      </c>
      <c r="D12" s="9" t="s">
        <v>136</v>
      </c>
      <c r="E12" s="12">
        <v>46239</v>
      </c>
      <c r="F12" s="19" t="s">
        <v>137</v>
      </c>
      <c r="G12" s="15">
        <v>1</v>
      </c>
      <c r="H12" s="20" t="s">
        <v>138</v>
      </c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20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20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2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</row>
    <row r="47" spans="1:10" x14ac:dyDescent="0.25">
      <c r="A47" s="14">
        <f t="shared" si="0"/>
        <v>41</v>
      </c>
      <c r="B47" s="9"/>
      <c r="C47" s="10"/>
      <c r="D47" s="9"/>
      <c r="E47" s="12"/>
      <c r="F47" s="19"/>
      <c r="G47" s="15">
        <v>1</v>
      </c>
    </row>
    <row r="48" spans="1:10" x14ac:dyDescent="0.25">
      <c r="A48" s="14">
        <f t="shared" si="0"/>
        <v>42</v>
      </c>
      <c r="B48" s="9"/>
      <c r="C48" s="10"/>
      <c r="D48" s="9"/>
      <c r="E48" s="12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12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12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12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12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  <row r="72" spans="1:7" x14ac:dyDescent="0.25">
      <c r="A72" s="14">
        <f t="shared" ref="A72:A97" si="1">+A71+1</f>
        <v>66</v>
      </c>
      <c r="B72" s="9"/>
      <c r="C72" s="10"/>
      <c r="D72" s="9"/>
      <c r="E72" s="12"/>
      <c r="F72" s="19"/>
      <c r="G72" s="15">
        <v>1</v>
      </c>
    </row>
    <row r="73" spans="1:7" x14ac:dyDescent="0.25">
      <c r="A73" s="14">
        <f t="shared" si="1"/>
        <v>67</v>
      </c>
      <c r="B73" s="9"/>
      <c r="C73" s="10"/>
      <c r="D73" s="9"/>
      <c r="E73" s="12"/>
      <c r="F73" s="19"/>
      <c r="G73" s="15">
        <v>1</v>
      </c>
    </row>
    <row r="74" spans="1:7" x14ac:dyDescent="0.25">
      <c r="A74" s="14">
        <f t="shared" si="1"/>
        <v>68</v>
      </c>
      <c r="B74" s="9"/>
      <c r="C74" s="10"/>
      <c r="D74" s="9"/>
      <c r="E74" s="12"/>
      <c r="F74" s="19"/>
      <c r="G74" s="15">
        <v>1</v>
      </c>
    </row>
    <row r="75" spans="1:7" x14ac:dyDescent="0.25">
      <c r="A75" s="14">
        <f t="shared" si="1"/>
        <v>69</v>
      </c>
      <c r="B75" s="9"/>
      <c r="C75" s="10"/>
      <c r="D75" s="9"/>
      <c r="E75" s="12"/>
      <c r="F75" s="19"/>
      <c r="G75" s="15">
        <v>1</v>
      </c>
    </row>
    <row r="76" spans="1:7" x14ac:dyDescent="0.25">
      <c r="A76" s="14">
        <f t="shared" si="1"/>
        <v>70</v>
      </c>
      <c r="B76" s="9"/>
      <c r="C76" s="10"/>
      <c r="D76" s="9"/>
      <c r="E76" s="12"/>
      <c r="F76" s="19"/>
      <c r="G76" s="15">
        <v>1</v>
      </c>
    </row>
    <row r="77" spans="1:7" x14ac:dyDescent="0.25">
      <c r="A77" s="14">
        <f t="shared" si="1"/>
        <v>71</v>
      </c>
      <c r="B77" s="9"/>
      <c r="C77" s="10"/>
      <c r="D77" s="9"/>
      <c r="E77" s="12"/>
      <c r="F77" s="19"/>
      <c r="G77" s="15">
        <v>1</v>
      </c>
    </row>
    <row r="78" spans="1:7" x14ac:dyDescent="0.25">
      <c r="A78" s="14">
        <f t="shared" si="1"/>
        <v>72</v>
      </c>
      <c r="B78" s="9"/>
      <c r="C78" s="10"/>
      <c r="D78" s="9"/>
      <c r="E78" s="12"/>
      <c r="F78" s="19"/>
      <c r="G78" s="15">
        <v>1</v>
      </c>
    </row>
    <row r="79" spans="1:7" x14ac:dyDescent="0.25">
      <c r="A79" s="14">
        <f t="shared" si="1"/>
        <v>73</v>
      </c>
      <c r="B79" s="9"/>
      <c r="C79" s="10"/>
      <c r="D79" s="9"/>
      <c r="E79" s="12"/>
      <c r="F79" s="19"/>
      <c r="G79" s="15">
        <v>1</v>
      </c>
    </row>
    <row r="80" spans="1:7" x14ac:dyDescent="0.25">
      <c r="A80" s="14">
        <f t="shared" si="1"/>
        <v>74</v>
      </c>
      <c r="B80" s="9"/>
      <c r="C80" s="10"/>
      <c r="D80" s="9"/>
      <c r="E80" s="12"/>
      <c r="F80" s="19"/>
      <c r="G80" s="15">
        <v>1</v>
      </c>
    </row>
    <row r="81" spans="1:7" x14ac:dyDescent="0.25">
      <c r="A81" s="14">
        <f t="shared" si="1"/>
        <v>75</v>
      </c>
      <c r="B81" s="9"/>
      <c r="C81" s="10"/>
      <c r="D81" s="9"/>
      <c r="E81" s="12"/>
      <c r="F81" s="19"/>
      <c r="G81" s="15">
        <v>1</v>
      </c>
    </row>
    <row r="82" spans="1:7" x14ac:dyDescent="0.25">
      <c r="A82" s="14">
        <f t="shared" si="1"/>
        <v>76</v>
      </c>
      <c r="B82" s="9"/>
      <c r="C82" s="10"/>
      <c r="D82" s="9"/>
      <c r="E82" s="12"/>
      <c r="F82" s="19"/>
      <c r="G82" s="15">
        <v>1</v>
      </c>
    </row>
    <row r="83" spans="1:7" x14ac:dyDescent="0.25">
      <c r="A83" s="14">
        <f t="shared" si="1"/>
        <v>77</v>
      </c>
      <c r="B83" s="9"/>
      <c r="C83" s="10"/>
      <c r="D83" s="9"/>
      <c r="E83" s="12"/>
      <c r="F83" s="19"/>
      <c r="G83" s="15">
        <v>1</v>
      </c>
    </row>
    <row r="84" spans="1:7" x14ac:dyDescent="0.25">
      <c r="A84" s="14">
        <f t="shared" si="1"/>
        <v>78</v>
      </c>
      <c r="B84" s="9"/>
      <c r="C84" s="10"/>
      <c r="D84" s="9"/>
      <c r="E84" s="12"/>
      <c r="F84" s="19"/>
      <c r="G84" s="15">
        <v>1</v>
      </c>
    </row>
    <row r="85" spans="1:7" x14ac:dyDescent="0.25">
      <c r="A85" s="14">
        <f t="shared" si="1"/>
        <v>79</v>
      </c>
      <c r="B85" s="9"/>
      <c r="C85" s="10"/>
      <c r="D85" s="9"/>
      <c r="E85" s="12"/>
      <c r="F85" s="19"/>
      <c r="G85" s="15">
        <v>1</v>
      </c>
    </row>
    <row r="86" spans="1:7" x14ac:dyDescent="0.25">
      <c r="A86" s="14">
        <f t="shared" si="1"/>
        <v>80</v>
      </c>
      <c r="B86" s="9"/>
      <c r="C86" s="10"/>
      <c r="D86" s="9"/>
      <c r="E86" s="12"/>
      <c r="F86" s="19"/>
      <c r="G86" s="15">
        <v>1</v>
      </c>
    </row>
    <row r="87" spans="1:7" x14ac:dyDescent="0.25">
      <c r="A87" s="14">
        <f t="shared" si="1"/>
        <v>81</v>
      </c>
      <c r="B87" s="9"/>
      <c r="C87" s="10"/>
      <c r="D87" s="9"/>
      <c r="E87" s="12"/>
      <c r="F87" s="19"/>
      <c r="G87" s="15">
        <v>1</v>
      </c>
    </row>
    <row r="88" spans="1:7" x14ac:dyDescent="0.25">
      <c r="A88" s="14">
        <f t="shared" si="1"/>
        <v>82</v>
      </c>
      <c r="B88" s="9"/>
      <c r="C88" s="10"/>
      <c r="D88" s="9"/>
      <c r="E88" s="12"/>
      <c r="F88" s="19"/>
      <c r="G88" s="15">
        <v>1</v>
      </c>
    </row>
    <row r="89" spans="1:7" x14ac:dyDescent="0.25">
      <c r="A89" s="14">
        <f t="shared" si="1"/>
        <v>83</v>
      </c>
      <c r="B89" s="9"/>
      <c r="C89" s="10"/>
      <c r="D89" s="9"/>
      <c r="E89" s="12"/>
      <c r="F89" s="19"/>
      <c r="G89" s="15">
        <v>1</v>
      </c>
    </row>
    <row r="90" spans="1:7" x14ac:dyDescent="0.25">
      <c r="A90" s="14">
        <f t="shared" si="1"/>
        <v>84</v>
      </c>
      <c r="B90" s="9"/>
      <c r="C90" s="10"/>
      <c r="D90" s="9"/>
      <c r="E90" s="12"/>
      <c r="F90" s="19"/>
      <c r="G90" s="15">
        <v>1</v>
      </c>
    </row>
    <row r="91" spans="1:7" x14ac:dyDescent="0.25">
      <c r="A91" s="14">
        <f t="shared" si="1"/>
        <v>85</v>
      </c>
      <c r="B91" s="9"/>
      <c r="C91" s="10"/>
      <c r="D91" s="9"/>
      <c r="E91" s="12"/>
      <c r="F91" s="19"/>
      <c r="G91" s="15">
        <v>1</v>
      </c>
    </row>
    <row r="92" spans="1:7" x14ac:dyDescent="0.25">
      <c r="A92" s="14">
        <f t="shared" si="1"/>
        <v>86</v>
      </c>
      <c r="B92" s="9"/>
      <c r="C92" s="10"/>
      <c r="D92" s="9"/>
      <c r="E92" s="12"/>
      <c r="F92" s="19"/>
      <c r="G92" s="15">
        <v>1</v>
      </c>
    </row>
    <row r="93" spans="1:7" x14ac:dyDescent="0.25">
      <c r="A93" s="14">
        <f t="shared" si="1"/>
        <v>87</v>
      </c>
      <c r="B93" s="9"/>
      <c r="C93" s="10"/>
      <c r="D93" s="9"/>
      <c r="E93" s="12"/>
      <c r="F93" s="19"/>
      <c r="G93" s="15">
        <v>1</v>
      </c>
    </row>
    <row r="94" spans="1:7" x14ac:dyDescent="0.25">
      <c r="A94" s="14">
        <f t="shared" si="1"/>
        <v>88</v>
      </c>
      <c r="B94" s="9"/>
      <c r="C94" s="10"/>
      <c r="D94" s="9"/>
      <c r="E94" s="12"/>
      <c r="F94" s="19"/>
      <c r="G94" s="15">
        <v>1</v>
      </c>
    </row>
    <row r="95" spans="1:7" x14ac:dyDescent="0.25">
      <c r="A95" s="14">
        <f t="shared" si="1"/>
        <v>89</v>
      </c>
      <c r="B95" s="9"/>
      <c r="C95" s="10"/>
      <c r="D95" s="9"/>
      <c r="E95" s="12"/>
      <c r="F95" s="19"/>
      <c r="G95" s="15">
        <v>1</v>
      </c>
    </row>
    <row r="96" spans="1:7" x14ac:dyDescent="0.25">
      <c r="A96" s="14">
        <f t="shared" si="1"/>
        <v>90</v>
      </c>
      <c r="B96" s="9"/>
      <c r="C96" s="10"/>
      <c r="D96" s="9"/>
      <c r="E96" s="12"/>
      <c r="F96" s="19"/>
      <c r="G96" s="15">
        <v>1</v>
      </c>
    </row>
    <row r="97" spans="1:7" x14ac:dyDescent="0.25">
      <c r="A97" s="14">
        <f t="shared" si="1"/>
        <v>91</v>
      </c>
      <c r="B97" s="9"/>
      <c r="C97" s="10"/>
      <c r="D97" s="9"/>
      <c r="E97" s="12"/>
      <c r="F97" s="19"/>
      <c r="G97" s="15">
        <v>1</v>
      </c>
    </row>
  </sheetData>
  <sortState xmlns:xlrd2="http://schemas.microsoft.com/office/spreadsheetml/2017/richdata2" ref="B7:H12">
    <sortCondition ref="E7:E12"/>
    <sortCondition ref="D7:D12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63963-55C5-4281-87B7-3D4B7971F1EC}">
  <dimension ref="A1:K97"/>
  <sheetViews>
    <sheetView workbookViewId="0">
      <selection activeCell="H18" sqref="H18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1" t="s">
        <v>0</v>
      </c>
      <c r="B1" s="21"/>
      <c r="C1" s="2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5" t="s">
        <v>2</v>
      </c>
      <c r="B2" s="25"/>
      <c r="C2" s="25"/>
      <c r="D2" s="6"/>
      <c r="E2" s="26" t="s">
        <v>3</v>
      </c>
      <c r="F2" s="26"/>
      <c r="G2" s="4"/>
      <c r="H2" s="4"/>
      <c r="I2" s="22" t="s">
        <v>4</v>
      </c>
      <c r="J2" s="23"/>
      <c r="K2" s="16">
        <f ca="1">SUMIF(F7:F316,"Elimination*",G7:G136)</f>
        <v>0</v>
      </c>
    </row>
    <row r="3" spans="1:11" x14ac:dyDescent="0.25">
      <c r="A3" s="26" t="s">
        <v>5</v>
      </c>
      <c r="B3" s="26"/>
      <c r="C3" s="26"/>
      <c r="D3" s="5"/>
      <c r="E3" s="26" t="s">
        <v>17</v>
      </c>
      <c r="F3" s="26"/>
      <c r="G3" s="4"/>
      <c r="H3" s="4"/>
      <c r="I3" s="22" t="s">
        <v>6</v>
      </c>
      <c r="J3" s="23"/>
      <c r="K3" s="16">
        <f>SUMIF(F7:F136,"NB*",G7:G136)</f>
        <v>8</v>
      </c>
    </row>
    <row r="4" spans="1:11" ht="18" x14ac:dyDescent="0.25">
      <c r="A4" s="21" t="s">
        <v>7</v>
      </c>
      <c r="B4" s="21"/>
      <c r="C4" s="21"/>
      <c r="D4" s="21"/>
      <c r="E4" s="21"/>
      <c r="F4" s="21"/>
      <c r="G4" s="4"/>
      <c r="H4" s="4"/>
      <c r="I4" s="22" t="s">
        <v>8</v>
      </c>
      <c r="J4" s="23"/>
      <c r="K4" s="16">
        <f>SUMIF(F7:F136,"Ve*",G7:G136)</f>
        <v>0</v>
      </c>
    </row>
    <row r="5" spans="1:11" ht="15.75" x14ac:dyDescent="0.25">
      <c r="A5" s="24" t="s">
        <v>145</v>
      </c>
      <c r="B5" s="24"/>
      <c r="C5" s="24"/>
      <c r="D5" s="24"/>
      <c r="E5" s="24"/>
      <c r="F5" s="24"/>
      <c r="G5" s="17"/>
      <c r="H5" s="17"/>
      <c r="I5" s="22" t="s">
        <v>9</v>
      </c>
      <c r="J5" s="23"/>
      <c r="K5" s="18">
        <f ca="1">SUM(K2:K4)</f>
        <v>8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 t="s">
        <v>19</v>
      </c>
      <c r="C7" s="10" t="s">
        <v>110</v>
      </c>
      <c r="D7" s="9" t="s">
        <v>146</v>
      </c>
      <c r="E7" s="12">
        <v>46272</v>
      </c>
      <c r="F7" s="19" t="s">
        <v>148</v>
      </c>
      <c r="G7" s="15">
        <v>1</v>
      </c>
      <c r="H7" s="20" t="s">
        <v>147</v>
      </c>
      <c r="I7" s="2"/>
      <c r="J7" s="2"/>
      <c r="K7" s="1"/>
    </row>
    <row r="8" spans="1:11" ht="15" customHeight="1" x14ac:dyDescent="0.25">
      <c r="A8" s="14">
        <f t="shared" ref="A8:A71" si="0">+A7+1</f>
        <v>2</v>
      </c>
      <c r="B8" s="9" t="s">
        <v>19</v>
      </c>
      <c r="C8" s="10" t="s">
        <v>110</v>
      </c>
      <c r="D8" s="9" t="s">
        <v>164</v>
      </c>
      <c r="E8" s="12">
        <v>46272</v>
      </c>
      <c r="F8" s="19" t="s">
        <v>166</v>
      </c>
      <c r="G8" s="15">
        <v>1</v>
      </c>
      <c r="H8" s="2" t="s">
        <v>165</v>
      </c>
      <c r="I8" s="2"/>
      <c r="J8" s="2"/>
      <c r="K8" s="1"/>
    </row>
    <row r="9" spans="1:11" ht="15" customHeight="1" x14ac:dyDescent="0.25">
      <c r="A9" s="14">
        <f t="shared" si="0"/>
        <v>3</v>
      </c>
      <c r="B9" s="9" t="s">
        <v>19</v>
      </c>
      <c r="C9" s="10" t="s">
        <v>110</v>
      </c>
      <c r="D9" s="9" t="s">
        <v>149</v>
      </c>
      <c r="E9" s="12">
        <v>46272</v>
      </c>
      <c r="F9" s="19" t="s">
        <v>151</v>
      </c>
      <c r="G9" s="15">
        <v>1</v>
      </c>
      <c r="H9" s="20" t="s">
        <v>150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19</v>
      </c>
      <c r="C10" s="10" t="s">
        <v>110</v>
      </c>
      <c r="D10" s="9" t="s">
        <v>152</v>
      </c>
      <c r="E10" s="12">
        <v>46272</v>
      </c>
      <c r="F10" s="19" t="s">
        <v>154</v>
      </c>
      <c r="G10" s="15">
        <v>1</v>
      </c>
      <c r="H10" s="20" t="s">
        <v>153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19</v>
      </c>
      <c r="C11" s="10" t="s">
        <v>110</v>
      </c>
      <c r="D11" s="9" t="s">
        <v>167</v>
      </c>
      <c r="E11" s="12">
        <v>46272</v>
      </c>
      <c r="F11" s="19" t="s">
        <v>169</v>
      </c>
      <c r="G11" s="15">
        <v>1</v>
      </c>
      <c r="H11" s="20" t="s">
        <v>168</v>
      </c>
      <c r="I11" s="2"/>
      <c r="J11" s="2"/>
      <c r="K11" s="1"/>
    </row>
    <row r="12" spans="1:11" ht="15" customHeight="1" x14ac:dyDescent="0.25">
      <c r="A12" s="14">
        <f t="shared" si="0"/>
        <v>6</v>
      </c>
      <c r="B12" s="9" t="s">
        <v>19</v>
      </c>
      <c r="C12" s="10" t="s">
        <v>110</v>
      </c>
      <c r="D12" s="9" t="s">
        <v>158</v>
      </c>
      <c r="E12" s="12">
        <v>46272</v>
      </c>
      <c r="F12" s="19" t="s">
        <v>160</v>
      </c>
      <c r="G12" s="15">
        <v>1</v>
      </c>
      <c r="H12" s="2" t="s">
        <v>159</v>
      </c>
      <c r="I12" s="2"/>
      <c r="J12" s="2"/>
      <c r="K12" s="1"/>
    </row>
    <row r="13" spans="1:11" ht="15" customHeight="1" x14ac:dyDescent="0.25">
      <c r="A13" s="14">
        <f t="shared" si="0"/>
        <v>7</v>
      </c>
      <c r="B13" s="9" t="s">
        <v>19</v>
      </c>
      <c r="C13" s="10" t="s">
        <v>110</v>
      </c>
      <c r="D13" s="9" t="s">
        <v>161</v>
      </c>
      <c r="E13" s="12">
        <v>46272</v>
      </c>
      <c r="F13" s="19" t="s">
        <v>163</v>
      </c>
      <c r="G13" s="15">
        <v>1</v>
      </c>
      <c r="H13" s="20" t="s">
        <v>162</v>
      </c>
      <c r="I13" s="2"/>
      <c r="J13" s="2"/>
      <c r="K13" s="1"/>
    </row>
    <row r="14" spans="1:11" ht="15" customHeight="1" x14ac:dyDescent="0.25">
      <c r="A14" s="14">
        <f t="shared" si="0"/>
        <v>8</v>
      </c>
      <c r="B14" s="9" t="s">
        <v>19</v>
      </c>
      <c r="C14" s="10" t="s">
        <v>110</v>
      </c>
      <c r="D14" s="9" t="s">
        <v>155</v>
      </c>
      <c r="E14" s="12">
        <v>46272</v>
      </c>
      <c r="F14" s="19" t="s">
        <v>157</v>
      </c>
      <c r="G14" s="15">
        <v>1</v>
      </c>
      <c r="H14" s="2" t="s">
        <v>156</v>
      </c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20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2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</row>
    <row r="47" spans="1:10" x14ac:dyDescent="0.25">
      <c r="A47" s="14">
        <f t="shared" si="0"/>
        <v>41</v>
      </c>
      <c r="B47" s="9"/>
      <c r="C47" s="10"/>
      <c r="D47" s="9"/>
      <c r="E47" s="12"/>
      <c r="F47" s="19"/>
      <c r="G47" s="15">
        <v>1</v>
      </c>
    </row>
    <row r="48" spans="1:10" x14ac:dyDescent="0.25">
      <c r="A48" s="14">
        <f t="shared" si="0"/>
        <v>42</v>
      </c>
      <c r="B48" s="9"/>
      <c r="C48" s="10"/>
      <c r="D48" s="9"/>
      <c r="E48" s="12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12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12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12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12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  <row r="72" spans="1:7" x14ac:dyDescent="0.25">
      <c r="A72" s="14">
        <f t="shared" ref="A72:A97" si="1">+A71+1</f>
        <v>66</v>
      </c>
      <c r="B72" s="9"/>
      <c r="C72" s="10"/>
      <c r="D72" s="9"/>
      <c r="E72" s="12"/>
      <c r="F72" s="19"/>
      <c r="G72" s="15">
        <v>1</v>
      </c>
    </row>
    <row r="73" spans="1:7" x14ac:dyDescent="0.25">
      <c r="A73" s="14">
        <f t="shared" si="1"/>
        <v>67</v>
      </c>
      <c r="B73" s="9"/>
      <c r="C73" s="10"/>
      <c r="D73" s="9"/>
      <c r="E73" s="12"/>
      <c r="F73" s="19"/>
      <c r="G73" s="15">
        <v>1</v>
      </c>
    </row>
    <row r="74" spans="1:7" x14ac:dyDescent="0.25">
      <c r="A74" s="14">
        <f t="shared" si="1"/>
        <v>68</v>
      </c>
      <c r="B74" s="9"/>
      <c r="C74" s="10"/>
      <c r="D74" s="9"/>
      <c r="E74" s="12"/>
      <c r="F74" s="19"/>
      <c r="G74" s="15">
        <v>1</v>
      </c>
    </row>
    <row r="75" spans="1:7" x14ac:dyDescent="0.25">
      <c r="A75" s="14">
        <f t="shared" si="1"/>
        <v>69</v>
      </c>
      <c r="B75" s="9"/>
      <c r="C75" s="10"/>
      <c r="D75" s="9"/>
      <c r="E75" s="12"/>
      <c r="F75" s="19"/>
      <c r="G75" s="15">
        <v>1</v>
      </c>
    </row>
    <row r="76" spans="1:7" x14ac:dyDescent="0.25">
      <c r="A76" s="14">
        <f t="shared" si="1"/>
        <v>70</v>
      </c>
      <c r="B76" s="9"/>
      <c r="C76" s="10"/>
      <c r="D76" s="9"/>
      <c r="E76" s="12"/>
      <c r="F76" s="19"/>
      <c r="G76" s="15">
        <v>1</v>
      </c>
    </row>
    <row r="77" spans="1:7" x14ac:dyDescent="0.25">
      <c r="A77" s="14">
        <f t="shared" si="1"/>
        <v>71</v>
      </c>
      <c r="B77" s="9"/>
      <c r="C77" s="10"/>
      <c r="D77" s="9"/>
      <c r="E77" s="12"/>
      <c r="F77" s="19"/>
      <c r="G77" s="15">
        <v>1</v>
      </c>
    </row>
    <row r="78" spans="1:7" x14ac:dyDescent="0.25">
      <c r="A78" s="14">
        <f t="shared" si="1"/>
        <v>72</v>
      </c>
      <c r="B78" s="9"/>
      <c r="C78" s="10"/>
      <c r="D78" s="9"/>
      <c r="E78" s="12"/>
      <c r="F78" s="19"/>
      <c r="G78" s="15">
        <v>1</v>
      </c>
    </row>
    <row r="79" spans="1:7" x14ac:dyDescent="0.25">
      <c r="A79" s="14">
        <f t="shared" si="1"/>
        <v>73</v>
      </c>
      <c r="B79" s="9"/>
      <c r="C79" s="10"/>
      <c r="D79" s="9"/>
      <c r="E79" s="12"/>
      <c r="F79" s="19"/>
      <c r="G79" s="15">
        <v>1</v>
      </c>
    </row>
    <row r="80" spans="1:7" x14ac:dyDescent="0.25">
      <c r="A80" s="14">
        <f t="shared" si="1"/>
        <v>74</v>
      </c>
      <c r="B80" s="9"/>
      <c r="C80" s="10"/>
      <c r="D80" s="9"/>
      <c r="E80" s="12"/>
      <c r="F80" s="19"/>
      <c r="G80" s="15">
        <v>1</v>
      </c>
    </row>
    <row r="81" spans="1:7" x14ac:dyDescent="0.25">
      <c r="A81" s="14">
        <f t="shared" si="1"/>
        <v>75</v>
      </c>
      <c r="B81" s="9"/>
      <c r="C81" s="10"/>
      <c r="D81" s="9"/>
      <c r="E81" s="12"/>
      <c r="F81" s="19"/>
      <c r="G81" s="15">
        <v>1</v>
      </c>
    </row>
    <row r="82" spans="1:7" x14ac:dyDescent="0.25">
      <c r="A82" s="14">
        <f t="shared" si="1"/>
        <v>76</v>
      </c>
      <c r="B82" s="9"/>
      <c r="C82" s="10"/>
      <c r="D82" s="9"/>
      <c r="E82" s="12"/>
      <c r="F82" s="19"/>
      <c r="G82" s="15">
        <v>1</v>
      </c>
    </row>
    <row r="83" spans="1:7" x14ac:dyDescent="0.25">
      <c r="A83" s="14">
        <f t="shared" si="1"/>
        <v>77</v>
      </c>
      <c r="B83" s="9"/>
      <c r="C83" s="10"/>
      <c r="D83" s="9"/>
      <c r="E83" s="12"/>
      <c r="F83" s="19"/>
      <c r="G83" s="15">
        <v>1</v>
      </c>
    </row>
    <row r="84" spans="1:7" x14ac:dyDescent="0.25">
      <c r="A84" s="14">
        <f t="shared" si="1"/>
        <v>78</v>
      </c>
      <c r="B84" s="9"/>
      <c r="C84" s="10"/>
      <c r="D84" s="9"/>
      <c r="E84" s="12"/>
      <c r="F84" s="19"/>
      <c r="G84" s="15">
        <v>1</v>
      </c>
    </row>
    <row r="85" spans="1:7" x14ac:dyDescent="0.25">
      <c r="A85" s="14">
        <f t="shared" si="1"/>
        <v>79</v>
      </c>
      <c r="B85" s="9"/>
      <c r="C85" s="10"/>
      <c r="D85" s="9"/>
      <c r="E85" s="12"/>
      <c r="F85" s="19"/>
      <c r="G85" s="15">
        <v>1</v>
      </c>
    </row>
    <row r="86" spans="1:7" x14ac:dyDescent="0.25">
      <c r="A86" s="14">
        <f t="shared" si="1"/>
        <v>80</v>
      </c>
      <c r="B86" s="9"/>
      <c r="C86" s="10"/>
      <c r="D86" s="9"/>
      <c r="E86" s="12"/>
      <c r="F86" s="19"/>
      <c r="G86" s="15">
        <v>1</v>
      </c>
    </row>
    <row r="87" spans="1:7" x14ac:dyDescent="0.25">
      <c r="A87" s="14">
        <f t="shared" si="1"/>
        <v>81</v>
      </c>
      <c r="B87" s="9"/>
      <c r="C87" s="10"/>
      <c r="D87" s="9"/>
      <c r="E87" s="12"/>
      <c r="F87" s="19"/>
      <c r="G87" s="15">
        <v>1</v>
      </c>
    </row>
    <row r="88" spans="1:7" x14ac:dyDescent="0.25">
      <c r="A88" s="14">
        <f t="shared" si="1"/>
        <v>82</v>
      </c>
      <c r="B88" s="9"/>
      <c r="C88" s="10"/>
      <c r="D88" s="9"/>
      <c r="E88" s="12"/>
      <c r="F88" s="19"/>
      <c r="G88" s="15">
        <v>1</v>
      </c>
    </row>
    <row r="89" spans="1:7" x14ac:dyDescent="0.25">
      <c r="A89" s="14">
        <f t="shared" si="1"/>
        <v>83</v>
      </c>
      <c r="B89" s="9"/>
      <c r="C89" s="10"/>
      <c r="D89" s="9"/>
      <c r="E89" s="12"/>
      <c r="F89" s="19"/>
      <c r="G89" s="15">
        <v>1</v>
      </c>
    </row>
    <row r="90" spans="1:7" x14ac:dyDescent="0.25">
      <c r="A90" s="14">
        <f t="shared" si="1"/>
        <v>84</v>
      </c>
      <c r="B90" s="9"/>
      <c r="C90" s="10"/>
      <c r="D90" s="9"/>
      <c r="E90" s="12"/>
      <c r="F90" s="19"/>
      <c r="G90" s="15">
        <v>1</v>
      </c>
    </row>
    <row r="91" spans="1:7" x14ac:dyDescent="0.25">
      <c r="A91" s="14">
        <f t="shared" si="1"/>
        <v>85</v>
      </c>
      <c r="B91" s="9"/>
      <c r="C91" s="10"/>
      <c r="D91" s="9"/>
      <c r="E91" s="12"/>
      <c r="F91" s="19"/>
      <c r="G91" s="15">
        <v>1</v>
      </c>
    </row>
    <row r="92" spans="1:7" x14ac:dyDescent="0.25">
      <c r="A92" s="14">
        <f t="shared" si="1"/>
        <v>86</v>
      </c>
      <c r="B92" s="9"/>
      <c r="C92" s="10"/>
      <c r="D92" s="9"/>
      <c r="E92" s="12"/>
      <c r="F92" s="19"/>
      <c r="G92" s="15">
        <v>1</v>
      </c>
    </row>
    <row r="93" spans="1:7" x14ac:dyDescent="0.25">
      <c r="A93" s="14">
        <f t="shared" si="1"/>
        <v>87</v>
      </c>
      <c r="B93" s="9"/>
      <c r="C93" s="10"/>
      <c r="D93" s="9"/>
      <c r="E93" s="12"/>
      <c r="F93" s="19"/>
      <c r="G93" s="15">
        <v>1</v>
      </c>
    </row>
    <row r="94" spans="1:7" x14ac:dyDescent="0.25">
      <c r="A94" s="14">
        <f t="shared" si="1"/>
        <v>88</v>
      </c>
      <c r="B94" s="9"/>
      <c r="C94" s="10"/>
      <c r="D94" s="9"/>
      <c r="E94" s="12"/>
      <c r="F94" s="19"/>
      <c r="G94" s="15">
        <v>1</v>
      </c>
    </row>
    <row r="95" spans="1:7" x14ac:dyDescent="0.25">
      <c r="A95" s="14">
        <f t="shared" si="1"/>
        <v>89</v>
      </c>
      <c r="B95" s="9"/>
      <c r="C95" s="10"/>
      <c r="D95" s="9"/>
      <c r="E95" s="12"/>
      <c r="F95" s="19"/>
      <c r="G95" s="15">
        <v>1</v>
      </c>
    </row>
    <row r="96" spans="1:7" x14ac:dyDescent="0.25">
      <c r="A96" s="14">
        <f t="shared" si="1"/>
        <v>90</v>
      </c>
      <c r="B96" s="9"/>
      <c r="C96" s="10"/>
      <c r="D96" s="9"/>
      <c r="E96" s="12"/>
      <c r="F96" s="19"/>
      <c r="G96" s="15">
        <v>1</v>
      </c>
    </row>
    <row r="97" spans="1:7" x14ac:dyDescent="0.25">
      <c r="A97" s="14">
        <f t="shared" si="1"/>
        <v>91</v>
      </c>
      <c r="B97" s="9"/>
      <c r="C97" s="10"/>
      <c r="D97" s="9"/>
      <c r="E97" s="12"/>
      <c r="F97" s="19"/>
      <c r="G97" s="15">
        <v>1</v>
      </c>
    </row>
  </sheetData>
  <sortState xmlns:xlrd2="http://schemas.microsoft.com/office/spreadsheetml/2017/richdata2" ref="B7:H14">
    <sortCondition ref="E7:E14"/>
    <sortCondition ref="D7:D14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D6AC-FA26-4ACD-AA15-6BFC0C8286C7}">
  <dimension ref="A1:K97"/>
  <sheetViews>
    <sheetView tabSelected="1" workbookViewId="0">
      <selection activeCell="F18" sqref="F18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1" t="s">
        <v>0</v>
      </c>
      <c r="B1" s="21"/>
      <c r="C1" s="2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5" t="s">
        <v>2</v>
      </c>
      <c r="B2" s="25"/>
      <c r="C2" s="25"/>
      <c r="D2" s="6"/>
      <c r="E2" s="26" t="s">
        <v>3</v>
      </c>
      <c r="F2" s="26"/>
      <c r="G2" s="4"/>
      <c r="H2" s="4"/>
      <c r="I2" s="22" t="s">
        <v>4</v>
      </c>
      <c r="J2" s="23"/>
      <c r="K2" s="16">
        <f ca="1">SUMIF(F7:F316,"Elimination*",G7:G136)</f>
        <v>3</v>
      </c>
    </row>
    <row r="3" spans="1:11" x14ac:dyDescent="0.25">
      <c r="A3" s="26" t="s">
        <v>5</v>
      </c>
      <c r="B3" s="26"/>
      <c r="C3" s="26"/>
      <c r="D3" s="5"/>
      <c r="E3" s="26" t="s">
        <v>17</v>
      </c>
      <c r="F3" s="26"/>
      <c r="G3" s="4"/>
      <c r="H3" s="4"/>
      <c r="I3" s="22" t="s">
        <v>6</v>
      </c>
      <c r="J3" s="23"/>
      <c r="K3" s="16">
        <f>SUMIF(F7:F136,"NB*",G7:G136)</f>
        <v>8</v>
      </c>
    </row>
    <row r="4" spans="1:11" ht="18" x14ac:dyDescent="0.25">
      <c r="A4" s="21" t="s">
        <v>7</v>
      </c>
      <c r="B4" s="21"/>
      <c r="C4" s="21"/>
      <c r="D4" s="21"/>
      <c r="E4" s="21"/>
      <c r="F4" s="21"/>
      <c r="G4" s="4"/>
      <c r="H4" s="4"/>
      <c r="I4" s="22" t="s">
        <v>8</v>
      </c>
      <c r="J4" s="23"/>
      <c r="K4" s="16">
        <f>SUMIF(F7:F136,"Ve*",G7:G136)</f>
        <v>0</v>
      </c>
    </row>
    <row r="5" spans="1:11" ht="15.75" x14ac:dyDescent="0.25">
      <c r="A5" s="24" t="s">
        <v>170</v>
      </c>
      <c r="B5" s="24"/>
      <c r="C5" s="24"/>
      <c r="D5" s="24"/>
      <c r="E5" s="24"/>
      <c r="F5" s="24"/>
      <c r="G5" s="17"/>
      <c r="H5" s="17"/>
      <c r="I5" s="22" t="s">
        <v>9</v>
      </c>
      <c r="J5" s="23"/>
      <c r="K5" s="18">
        <f ca="1">SUM(K2:K4)</f>
        <v>11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 t="s">
        <v>171</v>
      </c>
      <c r="C7" s="10" t="s">
        <v>20</v>
      </c>
      <c r="D7" s="9" t="s">
        <v>172</v>
      </c>
      <c r="E7" s="12">
        <v>46299</v>
      </c>
      <c r="F7" s="19" t="s">
        <v>73</v>
      </c>
      <c r="G7" s="15">
        <v>1</v>
      </c>
      <c r="H7" s="20"/>
      <c r="I7" s="2"/>
      <c r="J7" s="2"/>
      <c r="K7" s="1"/>
    </row>
    <row r="8" spans="1:11" ht="15" customHeight="1" x14ac:dyDescent="0.25">
      <c r="A8" s="14">
        <f t="shared" ref="A8:A71" si="0">+A7+1</f>
        <v>2</v>
      </c>
      <c r="B8" s="9" t="s">
        <v>173</v>
      </c>
      <c r="C8" s="10" t="s">
        <v>20</v>
      </c>
      <c r="D8" s="9" t="s">
        <v>174</v>
      </c>
      <c r="E8" s="12">
        <v>46299</v>
      </c>
      <c r="F8" s="19" t="s">
        <v>73</v>
      </c>
      <c r="G8" s="15">
        <v>1</v>
      </c>
      <c r="H8" s="2"/>
      <c r="I8" s="2"/>
      <c r="J8" s="2"/>
      <c r="K8" s="1"/>
    </row>
    <row r="9" spans="1:11" ht="15" customHeight="1" x14ac:dyDescent="0.25">
      <c r="A9" s="14">
        <f t="shared" si="0"/>
        <v>3</v>
      </c>
      <c r="B9" s="9" t="s">
        <v>19</v>
      </c>
      <c r="C9" s="10" t="s">
        <v>110</v>
      </c>
      <c r="D9" s="9" t="s">
        <v>175</v>
      </c>
      <c r="E9" s="12">
        <v>46308</v>
      </c>
      <c r="F9" s="19" t="s">
        <v>176</v>
      </c>
      <c r="G9" s="15">
        <v>1</v>
      </c>
      <c r="H9" s="20" t="s">
        <v>177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19</v>
      </c>
      <c r="C10" s="10" t="s">
        <v>110</v>
      </c>
      <c r="D10" s="9" t="s">
        <v>181</v>
      </c>
      <c r="E10" s="12">
        <v>46308</v>
      </c>
      <c r="F10" s="19" t="s">
        <v>183</v>
      </c>
      <c r="G10" s="15">
        <v>1</v>
      </c>
      <c r="H10" s="20" t="s">
        <v>182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19</v>
      </c>
      <c r="C11" s="10" t="s">
        <v>110</v>
      </c>
      <c r="D11" s="9" t="s">
        <v>178</v>
      </c>
      <c r="E11" s="12">
        <v>46308</v>
      </c>
      <c r="F11" s="19" t="s">
        <v>180</v>
      </c>
      <c r="G11" s="15">
        <v>1</v>
      </c>
      <c r="H11" s="20" t="s">
        <v>179</v>
      </c>
      <c r="I11" s="2"/>
      <c r="J11" s="2"/>
      <c r="K11" s="1"/>
    </row>
    <row r="12" spans="1:11" ht="15" customHeight="1" x14ac:dyDescent="0.25">
      <c r="A12" s="14">
        <f t="shared" si="0"/>
        <v>6</v>
      </c>
      <c r="B12" s="9" t="s">
        <v>19</v>
      </c>
      <c r="C12" s="10" t="s">
        <v>110</v>
      </c>
      <c r="D12" s="9" t="s">
        <v>184</v>
      </c>
      <c r="E12" s="12">
        <v>46308</v>
      </c>
      <c r="F12" s="19" t="s">
        <v>186</v>
      </c>
      <c r="G12" s="15">
        <v>1</v>
      </c>
      <c r="H12" s="2" t="s">
        <v>185</v>
      </c>
      <c r="I12" s="2"/>
      <c r="J12" s="2"/>
      <c r="K12" s="1"/>
    </row>
    <row r="13" spans="1:11" ht="15" customHeight="1" x14ac:dyDescent="0.25">
      <c r="A13" s="14">
        <f t="shared" si="0"/>
        <v>7</v>
      </c>
      <c r="B13" s="9" t="s">
        <v>19</v>
      </c>
      <c r="C13" s="10" t="s">
        <v>110</v>
      </c>
      <c r="D13" s="9" t="s">
        <v>193</v>
      </c>
      <c r="E13" s="12">
        <v>46309</v>
      </c>
      <c r="F13" s="19" t="s">
        <v>195</v>
      </c>
      <c r="G13" s="15">
        <v>1</v>
      </c>
      <c r="H13" s="20" t="s">
        <v>194</v>
      </c>
      <c r="I13" s="2"/>
      <c r="J13" s="2"/>
      <c r="K13" s="1"/>
    </row>
    <row r="14" spans="1:11" ht="15" customHeight="1" x14ac:dyDescent="0.25">
      <c r="A14" s="14">
        <f t="shared" si="0"/>
        <v>8</v>
      </c>
      <c r="B14" s="9" t="s">
        <v>19</v>
      </c>
      <c r="C14" s="10" t="s">
        <v>110</v>
      </c>
      <c r="D14" s="9" t="s">
        <v>190</v>
      </c>
      <c r="E14" s="12">
        <v>46309</v>
      </c>
      <c r="F14" s="19" t="s">
        <v>192</v>
      </c>
      <c r="G14" s="15">
        <v>1</v>
      </c>
      <c r="H14" s="2" t="s">
        <v>191</v>
      </c>
      <c r="I14" s="2"/>
      <c r="J14" s="2"/>
    </row>
    <row r="15" spans="1:11" ht="15" customHeight="1" x14ac:dyDescent="0.25">
      <c r="A15" s="14">
        <f t="shared" si="0"/>
        <v>9</v>
      </c>
      <c r="B15" s="9" t="s">
        <v>19</v>
      </c>
      <c r="C15" s="10" t="s">
        <v>110</v>
      </c>
      <c r="D15" s="9" t="s">
        <v>187</v>
      </c>
      <c r="E15" s="12">
        <v>46309</v>
      </c>
      <c r="F15" s="19" t="s">
        <v>189</v>
      </c>
      <c r="G15" s="15">
        <v>1</v>
      </c>
      <c r="H15" s="20" t="s">
        <v>188</v>
      </c>
      <c r="I15" s="2"/>
      <c r="J15" s="2"/>
    </row>
    <row r="16" spans="1:11" ht="15" customHeight="1" x14ac:dyDescent="0.25">
      <c r="A16" s="14">
        <f t="shared" si="0"/>
        <v>10</v>
      </c>
      <c r="B16" s="9" t="s">
        <v>196</v>
      </c>
      <c r="C16" s="10" t="s">
        <v>20</v>
      </c>
      <c r="D16" s="9" t="s">
        <v>197</v>
      </c>
      <c r="E16" s="12">
        <v>46309</v>
      </c>
      <c r="F16" s="19" t="s">
        <v>73</v>
      </c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 t="s">
        <v>19</v>
      </c>
      <c r="C17" s="10" t="s">
        <v>110</v>
      </c>
      <c r="D17" s="9" t="s">
        <v>198</v>
      </c>
      <c r="E17" s="12">
        <v>46313</v>
      </c>
      <c r="F17" s="19" t="s">
        <v>200</v>
      </c>
      <c r="G17" s="15">
        <v>1</v>
      </c>
      <c r="H17" s="20" t="s">
        <v>199</v>
      </c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2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</row>
    <row r="47" spans="1:10" x14ac:dyDescent="0.25">
      <c r="A47" s="14">
        <f t="shared" si="0"/>
        <v>41</v>
      </c>
      <c r="B47" s="9"/>
      <c r="C47" s="10"/>
      <c r="D47" s="9"/>
      <c r="E47" s="12"/>
      <c r="F47" s="19"/>
      <c r="G47" s="15">
        <v>1</v>
      </c>
    </row>
    <row r="48" spans="1:10" x14ac:dyDescent="0.25">
      <c r="A48" s="14">
        <f t="shared" si="0"/>
        <v>42</v>
      </c>
      <c r="B48" s="9"/>
      <c r="C48" s="10"/>
      <c r="D48" s="9"/>
      <c r="E48" s="12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12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12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12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12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  <row r="72" spans="1:7" x14ac:dyDescent="0.25">
      <c r="A72" s="14">
        <f t="shared" ref="A72:A97" si="1">+A71+1</f>
        <v>66</v>
      </c>
      <c r="B72" s="9"/>
      <c r="C72" s="10"/>
      <c r="D72" s="9"/>
      <c r="E72" s="12"/>
      <c r="F72" s="19"/>
      <c r="G72" s="15">
        <v>1</v>
      </c>
    </row>
    <row r="73" spans="1:7" x14ac:dyDescent="0.25">
      <c r="A73" s="14">
        <f t="shared" si="1"/>
        <v>67</v>
      </c>
      <c r="B73" s="9"/>
      <c r="C73" s="10"/>
      <c r="D73" s="9"/>
      <c r="E73" s="12"/>
      <c r="F73" s="19"/>
      <c r="G73" s="15">
        <v>1</v>
      </c>
    </row>
    <row r="74" spans="1:7" x14ac:dyDescent="0.25">
      <c r="A74" s="14">
        <f t="shared" si="1"/>
        <v>68</v>
      </c>
      <c r="B74" s="9"/>
      <c r="C74" s="10"/>
      <c r="D74" s="9"/>
      <c r="E74" s="12"/>
      <c r="F74" s="19"/>
      <c r="G74" s="15">
        <v>1</v>
      </c>
    </row>
    <row r="75" spans="1:7" x14ac:dyDescent="0.25">
      <c r="A75" s="14">
        <f t="shared" si="1"/>
        <v>69</v>
      </c>
      <c r="B75" s="9"/>
      <c r="C75" s="10"/>
      <c r="D75" s="9"/>
      <c r="E75" s="12"/>
      <c r="F75" s="19"/>
      <c r="G75" s="15">
        <v>1</v>
      </c>
    </row>
    <row r="76" spans="1:7" x14ac:dyDescent="0.25">
      <c r="A76" s="14">
        <f t="shared" si="1"/>
        <v>70</v>
      </c>
      <c r="B76" s="9"/>
      <c r="C76" s="10"/>
      <c r="D76" s="9"/>
      <c r="E76" s="12"/>
      <c r="F76" s="19"/>
      <c r="G76" s="15">
        <v>1</v>
      </c>
    </row>
    <row r="77" spans="1:7" x14ac:dyDescent="0.25">
      <c r="A77" s="14">
        <f t="shared" si="1"/>
        <v>71</v>
      </c>
      <c r="B77" s="9"/>
      <c r="C77" s="10"/>
      <c r="D77" s="9"/>
      <c r="E77" s="12"/>
      <c r="F77" s="19"/>
      <c r="G77" s="15">
        <v>1</v>
      </c>
    </row>
    <row r="78" spans="1:7" x14ac:dyDescent="0.25">
      <c r="A78" s="14">
        <f t="shared" si="1"/>
        <v>72</v>
      </c>
      <c r="B78" s="9"/>
      <c r="C78" s="10"/>
      <c r="D78" s="9"/>
      <c r="E78" s="12"/>
      <c r="F78" s="19"/>
      <c r="G78" s="15">
        <v>1</v>
      </c>
    </row>
    <row r="79" spans="1:7" x14ac:dyDescent="0.25">
      <c r="A79" s="14">
        <f t="shared" si="1"/>
        <v>73</v>
      </c>
      <c r="B79" s="9"/>
      <c r="C79" s="10"/>
      <c r="D79" s="9"/>
      <c r="E79" s="12"/>
      <c r="F79" s="19"/>
      <c r="G79" s="15">
        <v>1</v>
      </c>
    </row>
    <row r="80" spans="1:7" x14ac:dyDescent="0.25">
      <c r="A80" s="14">
        <f t="shared" si="1"/>
        <v>74</v>
      </c>
      <c r="B80" s="9"/>
      <c r="C80" s="10"/>
      <c r="D80" s="9"/>
      <c r="E80" s="12"/>
      <c r="F80" s="19"/>
      <c r="G80" s="15">
        <v>1</v>
      </c>
    </row>
    <row r="81" spans="1:7" x14ac:dyDescent="0.25">
      <c r="A81" s="14">
        <f t="shared" si="1"/>
        <v>75</v>
      </c>
      <c r="B81" s="9"/>
      <c r="C81" s="10"/>
      <c r="D81" s="9"/>
      <c r="E81" s="12"/>
      <c r="F81" s="19"/>
      <c r="G81" s="15">
        <v>1</v>
      </c>
    </row>
    <row r="82" spans="1:7" x14ac:dyDescent="0.25">
      <c r="A82" s="14">
        <f t="shared" si="1"/>
        <v>76</v>
      </c>
      <c r="B82" s="9"/>
      <c r="C82" s="10"/>
      <c r="D82" s="9"/>
      <c r="E82" s="12"/>
      <c r="F82" s="19"/>
      <c r="G82" s="15">
        <v>1</v>
      </c>
    </row>
    <row r="83" spans="1:7" x14ac:dyDescent="0.25">
      <c r="A83" s="14">
        <f t="shared" si="1"/>
        <v>77</v>
      </c>
      <c r="B83" s="9"/>
      <c r="C83" s="10"/>
      <c r="D83" s="9"/>
      <c r="E83" s="12"/>
      <c r="F83" s="19"/>
      <c r="G83" s="15">
        <v>1</v>
      </c>
    </row>
    <row r="84" spans="1:7" x14ac:dyDescent="0.25">
      <c r="A84" s="14">
        <f t="shared" si="1"/>
        <v>78</v>
      </c>
      <c r="B84" s="9"/>
      <c r="C84" s="10"/>
      <c r="D84" s="9"/>
      <c r="E84" s="12"/>
      <c r="F84" s="19"/>
      <c r="G84" s="15">
        <v>1</v>
      </c>
    </row>
    <row r="85" spans="1:7" x14ac:dyDescent="0.25">
      <c r="A85" s="14">
        <f t="shared" si="1"/>
        <v>79</v>
      </c>
      <c r="B85" s="9"/>
      <c r="C85" s="10"/>
      <c r="D85" s="9"/>
      <c r="E85" s="12"/>
      <c r="F85" s="19"/>
      <c r="G85" s="15">
        <v>1</v>
      </c>
    </row>
    <row r="86" spans="1:7" x14ac:dyDescent="0.25">
      <c r="A86" s="14">
        <f t="shared" si="1"/>
        <v>80</v>
      </c>
      <c r="B86" s="9"/>
      <c r="C86" s="10"/>
      <c r="D86" s="9"/>
      <c r="E86" s="12"/>
      <c r="F86" s="19"/>
      <c r="G86" s="15">
        <v>1</v>
      </c>
    </row>
    <row r="87" spans="1:7" x14ac:dyDescent="0.25">
      <c r="A87" s="14">
        <f t="shared" si="1"/>
        <v>81</v>
      </c>
      <c r="B87" s="9"/>
      <c r="C87" s="10"/>
      <c r="D87" s="9"/>
      <c r="E87" s="12"/>
      <c r="F87" s="19"/>
      <c r="G87" s="15">
        <v>1</v>
      </c>
    </row>
    <row r="88" spans="1:7" x14ac:dyDescent="0.25">
      <c r="A88" s="14">
        <f t="shared" si="1"/>
        <v>82</v>
      </c>
      <c r="B88" s="9"/>
      <c r="C88" s="10"/>
      <c r="D88" s="9"/>
      <c r="E88" s="12"/>
      <c r="F88" s="19"/>
      <c r="G88" s="15">
        <v>1</v>
      </c>
    </row>
    <row r="89" spans="1:7" x14ac:dyDescent="0.25">
      <c r="A89" s="14">
        <f t="shared" si="1"/>
        <v>83</v>
      </c>
      <c r="B89" s="9"/>
      <c r="C89" s="10"/>
      <c r="D89" s="9"/>
      <c r="E89" s="12"/>
      <c r="F89" s="19"/>
      <c r="G89" s="15">
        <v>1</v>
      </c>
    </row>
    <row r="90" spans="1:7" x14ac:dyDescent="0.25">
      <c r="A90" s="14">
        <f t="shared" si="1"/>
        <v>84</v>
      </c>
      <c r="B90" s="9"/>
      <c r="C90" s="10"/>
      <c r="D90" s="9"/>
      <c r="E90" s="12"/>
      <c r="F90" s="19"/>
      <c r="G90" s="15">
        <v>1</v>
      </c>
    </row>
    <row r="91" spans="1:7" x14ac:dyDescent="0.25">
      <c r="A91" s="14">
        <f t="shared" si="1"/>
        <v>85</v>
      </c>
      <c r="B91" s="9"/>
      <c r="C91" s="10"/>
      <c r="D91" s="9"/>
      <c r="E91" s="12"/>
      <c r="F91" s="19"/>
      <c r="G91" s="15">
        <v>1</v>
      </c>
    </row>
    <row r="92" spans="1:7" x14ac:dyDescent="0.25">
      <c r="A92" s="14">
        <f t="shared" si="1"/>
        <v>86</v>
      </c>
      <c r="B92" s="9"/>
      <c r="C92" s="10"/>
      <c r="D92" s="9"/>
      <c r="E92" s="12"/>
      <c r="F92" s="19"/>
      <c r="G92" s="15">
        <v>1</v>
      </c>
    </row>
    <row r="93" spans="1:7" x14ac:dyDescent="0.25">
      <c r="A93" s="14">
        <f t="shared" si="1"/>
        <v>87</v>
      </c>
      <c r="B93" s="9"/>
      <c r="C93" s="10"/>
      <c r="D93" s="9"/>
      <c r="E93" s="12"/>
      <c r="F93" s="19"/>
      <c r="G93" s="15">
        <v>1</v>
      </c>
    </row>
    <row r="94" spans="1:7" x14ac:dyDescent="0.25">
      <c r="A94" s="14">
        <f t="shared" si="1"/>
        <v>88</v>
      </c>
      <c r="B94" s="9"/>
      <c r="C94" s="10"/>
      <c r="D94" s="9"/>
      <c r="E94" s="12"/>
      <c r="F94" s="19"/>
      <c r="G94" s="15">
        <v>1</v>
      </c>
    </row>
    <row r="95" spans="1:7" x14ac:dyDescent="0.25">
      <c r="A95" s="14">
        <f t="shared" si="1"/>
        <v>89</v>
      </c>
      <c r="B95" s="9"/>
      <c r="C95" s="10"/>
      <c r="D95" s="9"/>
      <c r="E95" s="12"/>
      <c r="F95" s="19"/>
      <c r="G95" s="15">
        <v>1</v>
      </c>
    </row>
    <row r="96" spans="1:7" x14ac:dyDescent="0.25">
      <c r="A96" s="14">
        <f t="shared" si="1"/>
        <v>90</v>
      </c>
      <c r="B96" s="9"/>
      <c r="C96" s="10"/>
      <c r="D96" s="9"/>
      <c r="E96" s="12"/>
      <c r="F96" s="19"/>
      <c r="G96" s="15">
        <v>1</v>
      </c>
    </row>
    <row r="97" spans="1:7" x14ac:dyDescent="0.25">
      <c r="A97" s="14">
        <f t="shared" si="1"/>
        <v>91</v>
      </c>
      <c r="B97" s="9"/>
      <c r="C97" s="10"/>
      <c r="D97" s="9"/>
      <c r="E97" s="12"/>
      <c r="F97" s="19"/>
      <c r="G97" s="15">
        <v>1</v>
      </c>
    </row>
  </sheetData>
  <sortState xmlns:xlrd2="http://schemas.microsoft.com/office/spreadsheetml/2017/richdata2" ref="B7:H16">
    <sortCondition ref="E7:E16"/>
    <sortCondition ref="D7:D1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10</vt:i4>
      </vt:variant>
    </vt:vector>
  </HeadingPairs>
  <TitlesOfParts>
    <vt:vector size="20" baseType="lpstr">
      <vt:lpstr>JANVIER 2026</vt:lpstr>
      <vt:lpstr>FEVRIER 2026</vt:lpstr>
      <vt:lpstr>MARS 2026</vt:lpstr>
      <vt:lpstr>AVRIL 2026</vt:lpstr>
      <vt:lpstr>MAI 2026</vt:lpstr>
      <vt:lpstr>JUIN 2026</vt:lpstr>
      <vt:lpstr>JUILLET 2026</vt:lpstr>
      <vt:lpstr>AOUT 2026</vt:lpstr>
      <vt:lpstr>SEPTEMBRE 2026</vt:lpstr>
      <vt:lpstr>OCTOBRE 2026</vt:lpstr>
      <vt:lpstr>'AOUT 2026'!Impression_des_titres</vt:lpstr>
      <vt:lpstr>'AVRIL 2026'!Impression_des_titres</vt:lpstr>
      <vt:lpstr>'FEVRIER 2026'!Impression_des_titres</vt:lpstr>
      <vt:lpstr>'JANVIER 2026'!Impression_des_titres</vt:lpstr>
      <vt:lpstr>'JUILLET 2026'!Impression_des_titres</vt:lpstr>
      <vt:lpstr>'JUIN 2026'!Impression_des_titres</vt:lpstr>
      <vt:lpstr>'MAI 2026'!Impression_des_titres</vt:lpstr>
      <vt:lpstr>'MARS 2026'!Impression_des_titres</vt:lpstr>
      <vt:lpstr>'OCTOBRE 2026'!Impression_des_titres</vt:lpstr>
      <vt:lpstr>'SEPTEMBRE 2026'!Impression_des_titres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2026-07-08T14:22:26Z</cp:lastPrinted>
  <dcterms:created xsi:type="dcterms:W3CDTF">2014-12-31T15:00:30Z</dcterms:created>
  <dcterms:modified xsi:type="dcterms:W3CDTF">2026-10-18T15:01:39Z</dcterms:modified>
</cp:coreProperties>
</file>