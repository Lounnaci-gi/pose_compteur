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Tlathet Douairs\"/>
    </mc:Choice>
  </mc:AlternateContent>
  <xr:revisionPtr revIDLastSave="0" documentId="13_ncr:1_{96EE5ECC-C908-4A64-942A-2F50DC595B87}" xr6:coauthVersionLast="47" xr6:coauthVersionMax="47" xr10:uidLastSave="{00000000-0000-0000-0000-000000000000}"/>
  <bookViews>
    <workbookView xWindow="3510" yWindow="3510" windowWidth="21600" windowHeight="11295" activeTab="4" xr2:uid="{00000000-000D-0000-FFFF-FFFF00000000}"/>
  </bookViews>
  <sheets>
    <sheet name="JANVIER 2026" sheetId="12" r:id="rId1"/>
    <sheet name="FEVRIER 2026" sheetId="13" r:id="rId2"/>
    <sheet name="MARS 2026" sheetId="14" r:id="rId3"/>
    <sheet name="AVRIL 2026" sheetId="15" r:id="rId4"/>
    <sheet name="MAI 2026" sheetId="16" r:id="rId5"/>
  </sheets>
  <definedNames>
    <definedName name="_xlnm.Print_Titles" localSheetId="3">'AVRIL 2026'!$1:$6</definedName>
    <definedName name="_xlnm.Print_Titles" localSheetId="1">'FEVRIER 2026'!$1:$6</definedName>
    <definedName name="_xlnm.Print_Titles" localSheetId="0">'JANVIER 2026'!$1:$6</definedName>
    <definedName name="_xlnm.Print_Titles" localSheetId="4">'MAI 2026'!$1:$6</definedName>
    <definedName name="_xlnm.Print_Titles" localSheetId="2">'MARS 2026'!$1:$6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6" l="1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A47" i="16" s="1"/>
  <c r="A48" i="16" s="1"/>
  <c r="A49" i="16" s="1"/>
  <c r="A50" i="16" s="1"/>
  <c r="A51" i="16" s="1"/>
  <c r="A52" i="16" s="1"/>
  <c r="A53" i="16" s="1"/>
  <c r="A54" i="16" s="1"/>
  <c r="A55" i="16" s="1"/>
  <c r="A56" i="16" s="1"/>
  <c r="A57" i="16" s="1"/>
  <c r="A58" i="16" s="1"/>
  <c r="A59" i="16" s="1"/>
  <c r="A60" i="16" s="1"/>
  <c r="A61" i="16" s="1"/>
  <c r="A62" i="16" s="1"/>
  <c r="A63" i="16" s="1"/>
  <c r="A64" i="16" s="1"/>
  <c r="A65" i="16" s="1"/>
  <c r="A66" i="16" s="1"/>
  <c r="A67" i="16" s="1"/>
  <c r="A68" i="16" s="1"/>
  <c r="A69" i="16" s="1"/>
  <c r="A70" i="16" s="1"/>
  <c r="A71" i="16" s="1"/>
  <c r="A72" i="16" s="1"/>
  <c r="A73" i="16" s="1"/>
  <c r="A74" i="16" s="1"/>
  <c r="A75" i="16" s="1"/>
  <c r="A76" i="16" s="1"/>
  <c r="A77" i="16" s="1"/>
  <c r="A78" i="16" s="1"/>
  <c r="A79" i="16" s="1"/>
  <c r="A80" i="16" s="1"/>
  <c r="A81" i="16" s="1"/>
  <c r="A82" i="16" s="1"/>
  <c r="A83" i="16" s="1"/>
  <c r="A84" i="16" s="1"/>
  <c r="A85" i="16" s="1"/>
  <c r="A86" i="16" s="1"/>
  <c r="A87" i="16" s="1"/>
  <c r="A88" i="16" s="1"/>
  <c r="A89" i="16" s="1"/>
  <c r="A90" i="16" s="1"/>
  <c r="A91" i="16" s="1"/>
  <c r="A92" i="16" s="1"/>
  <c r="A93" i="16" s="1"/>
  <c r="A94" i="16" s="1"/>
  <c r="A95" i="16" s="1"/>
  <c r="A96" i="16" s="1"/>
  <c r="A97" i="16" s="1"/>
  <c r="K4" i="16"/>
  <c r="K3" i="16"/>
  <c r="K2" i="16"/>
  <c r="A8" i="15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A47" i="15" s="1"/>
  <c r="A48" i="15" s="1"/>
  <c r="A49" i="15" s="1"/>
  <c r="A50" i="15" s="1"/>
  <c r="A51" i="15" s="1"/>
  <c r="A52" i="15" s="1"/>
  <c r="A53" i="15" s="1"/>
  <c r="A54" i="15" s="1"/>
  <c r="A55" i="15" s="1"/>
  <c r="A56" i="15" s="1"/>
  <c r="A57" i="15" s="1"/>
  <c r="A58" i="15" s="1"/>
  <c r="A59" i="15" s="1"/>
  <c r="A60" i="15" s="1"/>
  <c r="A61" i="15" s="1"/>
  <c r="A62" i="15" s="1"/>
  <c r="A63" i="15" s="1"/>
  <c r="A64" i="15" s="1"/>
  <c r="A65" i="15" s="1"/>
  <c r="A66" i="15" s="1"/>
  <c r="A67" i="15" s="1"/>
  <c r="A68" i="15" s="1"/>
  <c r="A69" i="15" s="1"/>
  <c r="A70" i="15" s="1"/>
  <c r="A71" i="15" s="1"/>
  <c r="A72" i="15" s="1"/>
  <c r="A73" i="15" s="1"/>
  <c r="A74" i="15" s="1"/>
  <c r="A75" i="15" s="1"/>
  <c r="A76" i="15" s="1"/>
  <c r="A77" i="15" s="1"/>
  <c r="A78" i="15" s="1"/>
  <c r="A79" i="15" s="1"/>
  <c r="A80" i="15" s="1"/>
  <c r="A81" i="15" s="1"/>
  <c r="A82" i="15" s="1"/>
  <c r="A83" i="15" s="1"/>
  <c r="A84" i="15" s="1"/>
  <c r="A85" i="15" s="1"/>
  <c r="A86" i="15" s="1"/>
  <c r="A87" i="15" s="1"/>
  <c r="A88" i="15" s="1"/>
  <c r="A89" i="15" s="1"/>
  <c r="A90" i="15" s="1"/>
  <c r="A91" i="15" s="1"/>
  <c r="A92" i="15" s="1"/>
  <c r="A93" i="15" s="1"/>
  <c r="A94" i="15" s="1"/>
  <c r="A95" i="15" s="1"/>
  <c r="A96" i="15" s="1"/>
  <c r="A97" i="15" s="1"/>
  <c r="K4" i="15"/>
  <c r="K3" i="15"/>
  <c r="K2" i="15"/>
  <c r="A8" i="14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A47" i="14" s="1"/>
  <c r="A48" i="14" s="1"/>
  <c r="A49" i="14" s="1"/>
  <c r="A50" i="14" s="1"/>
  <c r="A51" i="14" s="1"/>
  <c r="A52" i="14" s="1"/>
  <c r="A53" i="14" s="1"/>
  <c r="A54" i="14" s="1"/>
  <c r="A55" i="14" s="1"/>
  <c r="A56" i="14" s="1"/>
  <c r="A57" i="14" s="1"/>
  <c r="A58" i="14" s="1"/>
  <c r="A59" i="14" s="1"/>
  <c r="A60" i="14" s="1"/>
  <c r="A61" i="14" s="1"/>
  <c r="A62" i="14" s="1"/>
  <c r="A63" i="14" s="1"/>
  <c r="A64" i="14" s="1"/>
  <c r="A65" i="14" s="1"/>
  <c r="A66" i="14" s="1"/>
  <c r="A67" i="14" s="1"/>
  <c r="A68" i="14" s="1"/>
  <c r="A69" i="14" s="1"/>
  <c r="A70" i="14" s="1"/>
  <c r="A71" i="14" s="1"/>
  <c r="A72" i="14" s="1"/>
  <c r="A73" i="14" s="1"/>
  <c r="A74" i="14" s="1"/>
  <c r="A75" i="14" s="1"/>
  <c r="A76" i="14" s="1"/>
  <c r="A77" i="14" s="1"/>
  <c r="A78" i="14" s="1"/>
  <c r="A79" i="14" s="1"/>
  <c r="A80" i="14" s="1"/>
  <c r="A81" i="14" s="1"/>
  <c r="A82" i="14" s="1"/>
  <c r="A83" i="14" s="1"/>
  <c r="A84" i="14" s="1"/>
  <c r="A85" i="14" s="1"/>
  <c r="A86" i="14" s="1"/>
  <c r="A87" i="14" s="1"/>
  <c r="A88" i="14" s="1"/>
  <c r="A89" i="14" s="1"/>
  <c r="A90" i="14" s="1"/>
  <c r="A91" i="14" s="1"/>
  <c r="A92" i="14" s="1"/>
  <c r="A93" i="14" s="1"/>
  <c r="A94" i="14" s="1"/>
  <c r="A95" i="14" s="1"/>
  <c r="A96" i="14" s="1"/>
  <c r="A97" i="14" s="1"/>
  <c r="K4" i="14"/>
  <c r="K3" i="14"/>
  <c r="K2" i="14"/>
  <c r="K5" i="14" s="1"/>
  <c r="A8" i="13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A47" i="13" s="1"/>
  <c r="A48" i="13" s="1"/>
  <c r="A49" i="13" s="1"/>
  <c r="A50" i="13" s="1"/>
  <c r="A51" i="13" s="1"/>
  <c r="A52" i="13" s="1"/>
  <c r="A53" i="13" s="1"/>
  <c r="A54" i="13" s="1"/>
  <c r="A55" i="13" s="1"/>
  <c r="A56" i="13" s="1"/>
  <c r="A57" i="13" s="1"/>
  <c r="A58" i="13" s="1"/>
  <c r="A59" i="13" s="1"/>
  <c r="A60" i="13" s="1"/>
  <c r="A61" i="13" s="1"/>
  <c r="A62" i="13" s="1"/>
  <c r="A63" i="13" s="1"/>
  <c r="A64" i="13" s="1"/>
  <c r="A65" i="13" s="1"/>
  <c r="A66" i="13" s="1"/>
  <c r="A67" i="13" s="1"/>
  <c r="A68" i="13" s="1"/>
  <c r="A69" i="13" s="1"/>
  <c r="A70" i="13" s="1"/>
  <c r="A71" i="13" s="1"/>
  <c r="A72" i="13" s="1"/>
  <c r="A73" i="13" s="1"/>
  <c r="A74" i="13" s="1"/>
  <c r="A75" i="13" s="1"/>
  <c r="A76" i="13" s="1"/>
  <c r="A77" i="13" s="1"/>
  <c r="A78" i="13" s="1"/>
  <c r="A79" i="13" s="1"/>
  <c r="A80" i="13" s="1"/>
  <c r="A81" i="13" s="1"/>
  <c r="A82" i="13" s="1"/>
  <c r="A83" i="13" s="1"/>
  <c r="A84" i="13" s="1"/>
  <c r="A85" i="13" s="1"/>
  <c r="A86" i="13" s="1"/>
  <c r="A87" i="13" s="1"/>
  <c r="A88" i="13" s="1"/>
  <c r="A89" i="13" s="1"/>
  <c r="A90" i="13" s="1"/>
  <c r="A91" i="13" s="1"/>
  <c r="A92" i="13" s="1"/>
  <c r="A93" i="13" s="1"/>
  <c r="A94" i="13" s="1"/>
  <c r="A95" i="13" s="1"/>
  <c r="A96" i="13" s="1"/>
  <c r="A97" i="13" s="1"/>
  <c r="K4" i="13"/>
  <c r="K3" i="13"/>
  <c r="K2" i="13"/>
  <c r="K4" i="12"/>
  <c r="K3" i="12"/>
  <c r="K2" i="12"/>
  <c r="K5" i="16" l="1"/>
  <c r="K5" i="15"/>
  <c r="K5" i="13"/>
  <c r="A8" i="12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A47" i="12" s="1"/>
  <c r="A48" i="12" s="1"/>
  <c r="A49" i="12" s="1"/>
  <c r="A50" i="12" s="1"/>
  <c r="A51" i="12" s="1"/>
  <c r="A52" i="12" s="1"/>
  <c r="A53" i="12" s="1"/>
  <c r="A54" i="12" s="1"/>
  <c r="A55" i="12" s="1"/>
  <c r="A56" i="12" s="1"/>
  <c r="A57" i="12" s="1"/>
  <c r="A58" i="12" s="1"/>
  <c r="A59" i="12" s="1"/>
  <c r="A60" i="12" s="1"/>
  <c r="A61" i="12" s="1"/>
  <c r="A62" i="12" s="1"/>
  <c r="A63" i="12" s="1"/>
  <c r="A64" i="12" s="1"/>
  <c r="A65" i="12" s="1"/>
  <c r="A66" i="12" s="1"/>
  <c r="A67" i="12" s="1"/>
  <c r="A68" i="12" s="1"/>
  <c r="A69" i="12" s="1"/>
  <c r="A70" i="12" s="1"/>
  <c r="A71" i="12" s="1"/>
  <c r="A72" i="12" s="1"/>
  <c r="A73" i="12" s="1"/>
  <c r="A74" i="12" s="1"/>
  <c r="A75" i="12" s="1"/>
  <c r="A76" i="12" s="1"/>
  <c r="A77" i="12" s="1"/>
  <c r="A78" i="12" s="1"/>
  <c r="A79" i="12" s="1"/>
  <c r="A80" i="12" s="1"/>
  <c r="A81" i="12" s="1"/>
  <c r="A82" i="12" s="1"/>
  <c r="A83" i="12" s="1"/>
  <c r="A84" i="12" s="1"/>
  <c r="A85" i="12" s="1"/>
  <c r="A86" i="12" s="1"/>
  <c r="A87" i="12" s="1"/>
  <c r="A88" i="12" s="1"/>
  <c r="A89" i="12" s="1"/>
  <c r="A90" i="12" s="1"/>
  <c r="A91" i="12" s="1"/>
  <c r="A92" i="12" s="1"/>
  <c r="A93" i="12" s="1"/>
  <c r="A94" i="12" s="1"/>
  <c r="A95" i="12" s="1"/>
  <c r="A96" i="12" s="1"/>
  <c r="A97" i="12" s="1"/>
  <c r="K5" i="12" l="1"/>
</calcChain>
</file>

<file path=xl/sharedStrings.xml><?xml version="1.0" encoding="utf-8"?>
<sst xmlns="http://schemas.openxmlformats.org/spreadsheetml/2006/main" count="233" uniqueCount="108">
  <si>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</si>
  <si>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</si>
  <si>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</si>
  <si>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</si>
  <si>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</si>
  <si>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</si>
  <si>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</si>
  <si>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</si>
  <si>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</si>
  <si>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</si>
  <si>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</si>
  <si>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</si>
  <si>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</si>
  <si>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</si>
  <si>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</si>
  <si>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</si>
  <si>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cc</t>
  </si>
  <si>
    <t>Antenne Tlathet Douairs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</si>
  <si>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</si>
  <si>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64</t>
  </si>
  <si>
    <t>15/21</t>
  </si>
  <si>
    <t>2025177558</t>
  </si>
  <si>
    <t>NB(551/2025)</t>
  </si>
  <si>
    <t>Zahar djamel</t>
  </si>
  <si>
    <t>2025177837</t>
  </si>
  <si>
    <t>Bettouche lakhdar</t>
  </si>
  <si>
    <t>NB(338/2025)</t>
  </si>
  <si>
    <t>2025177836</t>
  </si>
  <si>
    <t>Bitam boumedien</t>
  </si>
  <si>
    <t>NB(355/2025)</t>
  </si>
  <si>
    <t>2025177329</t>
  </si>
  <si>
    <t>Kouidri med</t>
  </si>
  <si>
    <t>Licir med alaa eddine</t>
  </si>
  <si>
    <t>NB(354/2025)</t>
  </si>
  <si>
    <t>2025177328</t>
  </si>
  <si>
    <t>Kouidri billel</t>
  </si>
  <si>
    <t>NB(325/2025)</t>
  </si>
  <si>
    <t>NB(205/2025)</t>
  </si>
  <si>
    <t>2025177327</t>
  </si>
  <si>
    <t>Semicha hamza</t>
  </si>
  <si>
    <t>NB(333/2025)</t>
  </si>
  <si>
    <t>2025177326</t>
  </si>
  <si>
    <t>Belmihoub aissa</t>
  </si>
  <si>
    <t>NB(300/2025)</t>
  </si>
  <si>
    <t>2025177555</t>
  </si>
  <si>
    <t>Berrabah bachir</t>
  </si>
  <si>
    <t>NB(213/2025)</t>
  </si>
  <si>
    <t>2025177835</t>
  </si>
  <si>
    <t>Mosbah bakhta</t>
  </si>
  <si>
    <t>NB(362/2025)</t>
  </si>
  <si>
    <t>2025177838</t>
  </si>
  <si>
    <t>Belmihoub brahim</t>
  </si>
  <si>
    <t>NB(290/2025)</t>
  </si>
  <si>
    <t>2025177834</t>
  </si>
  <si>
    <t>NB(028/2026)</t>
  </si>
  <si>
    <t>Yamani yamena</t>
  </si>
  <si>
    <t>2025177840</t>
  </si>
  <si>
    <t>Berabah abdelmalek</t>
  </si>
  <si>
    <t>NB(293/2025)</t>
  </si>
  <si>
    <t>2025177839</t>
  </si>
  <si>
    <t>Douis cherifa</t>
  </si>
  <si>
    <t>NB(299/2025)</t>
  </si>
  <si>
    <t>2025177832</t>
  </si>
  <si>
    <t xml:space="preserve">Zidi abderezzak </t>
  </si>
  <si>
    <t>NB(337/2025)</t>
  </si>
  <si>
    <t>2025177833</t>
  </si>
  <si>
    <t>NB(328/2025)</t>
  </si>
  <si>
    <t>Bettouche aek</t>
  </si>
  <si>
    <t>2025177552</t>
  </si>
  <si>
    <r>
      <t>Mois de FEVRIER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</si>
  <si>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</si>
  <si>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640663</t>
  </si>
  <si>
    <t>2025177346</t>
  </si>
  <si>
    <t>Elimination Forfait</t>
  </si>
  <si>
    <t>640932</t>
  </si>
  <si>
    <t>2025177347</t>
  </si>
  <si>
    <r>
      <t>Mois de AVRIL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</si>
  <si>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2025177343</t>
  </si>
  <si>
    <t>NB(372/2025)</t>
  </si>
  <si>
    <t>Remana tarek</t>
  </si>
  <si>
    <t>2025177473</t>
  </si>
  <si>
    <t>NB(356/2025)</t>
  </si>
  <si>
    <t>Bitam ibrahim</t>
  </si>
  <si>
    <t>2025177472</t>
  </si>
  <si>
    <t>NB(678/2024)</t>
  </si>
  <si>
    <t>Metrini embarek</t>
  </si>
  <si>
    <t>2025177201</t>
  </si>
  <si>
    <t>NB(342/2025)</t>
  </si>
  <si>
    <t>Djillali abdenbi</t>
  </si>
  <si>
    <r>
      <t>Mois de MAI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</si>
  <si>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2025177171</t>
  </si>
  <si>
    <t>NB(555/25)</t>
  </si>
  <si>
    <t>Hadjarsi berkane</t>
  </si>
  <si>
    <t>2025177172</t>
  </si>
  <si>
    <t>Belal lakhdar</t>
  </si>
  <si>
    <t>NB(294/25)</t>
  </si>
  <si>
    <t>Sahal yamina</t>
  </si>
  <si>
    <t>2025177175</t>
  </si>
  <si>
    <t>NB(687/25)</t>
  </si>
  <si>
    <t>2025177176</t>
  </si>
  <si>
    <t>NB(432/25)</t>
  </si>
  <si>
    <t>Haddad el hadj</t>
  </si>
  <si>
    <t>2025177299</t>
  </si>
  <si>
    <t>NB(446/25)</t>
  </si>
  <si>
    <t>Tertar benzerga</t>
  </si>
  <si>
    <t>2025177296</t>
  </si>
  <si>
    <t>Hadjadj allel</t>
  </si>
  <si>
    <t>NB(327/25)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</si>
</sst>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i/>
      <sz val="1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8" fillId="0" borderId="0"/>
    <xf numFmtId="0" fontId="1" fillId="0" borderId="0"/>
  </cellStyleXfs>
  <cellXfs count="27">
    <xf numFmtId="0" fontId="0" fillId="0" borderId="0" xfId="0"/>
    <xf numFmtId="0" fontId="1" fillId="0" borderId="0" xfId="1"/>
    <xf numFmtId="0" fontId="1" fillId="0" borderId="0" xfId="1" applyAlignment="1">
      <alignment vertical="center" wrapText="1"/>
    </xf>
    <xf numFmtId="0" fontId="1" fillId="0" borderId="0" xfId="1" applyAlignment="1">
      <alignment horizontal="center" vertical="center" wrapText="1"/>
    </xf>
    <xf numFmtId="0" fontId="1" fillId="0" borderId="0" xfId="1" applyAlignment="1">
      <alignment vertical="center"/>
    </xf>
    <xf numFmtId="0" fontId="2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1" fillId="0" borderId="1" xfId="1" applyBorder="1" applyAlignment="1">
      <alignment horizontal="center" vertical="center" wrapText="1"/>
    </xf>
    <xf numFmtId="49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49" fontId="8" fillId="0" borderId="0" xfId="1" applyNumberFormat="1" applyFont="1" applyAlignment="1">
      <alignment vertical="center" wrapText="1"/>
    </xf>
    <xf numFmtId="14" fontId="6" fillId="0" borderId="1" xfId="1" applyNumberFormat="1" applyFont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 wrapText="1"/>
    </xf>
    <xf numFmtId="0" fontId="9" fillId="0" borderId="1" xfId="1" applyFont="1" applyBorder="1" applyAlignment="1">
      <alignment horizontal="right" vertical="center" wrapText="1"/>
    </xf>
    <xf numFmtId="0" fontId="2" fillId="2" borderId="1" xfId="1" applyFont="1" applyFill="1" applyBorder="1" applyAlignment="1">
      <alignment horizontal="center"/>
    </xf>
    <xf numFmtId="0" fontId="8" fillId="0" borderId="0" xfId="3" applyAlignment="1">
      <alignment vertical="center"/>
    </xf>
    <xf numFmtId="0" fontId="10" fillId="2" borderId="1" xfId="3" applyFont="1" applyFill="1" applyBorder="1" applyAlignment="1">
      <alignment horizontal="center" vertical="center"/>
    </xf>
    <xf numFmtId="49" fontId="7" fillId="0" borderId="1" xfId="1" applyNumberFormat="1" applyFont="1" applyBorder="1" applyAlignment="1">
      <alignment horizontal="center" vertical="top" wrapText="1"/>
    </xf>
    <xf numFmtId="49" fontId="1" fillId="0" borderId="0" xfId="1" applyNumberFormat="1" applyAlignment="1">
      <alignment vertical="center" wrapText="1"/>
    </xf>
    <xf numFmtId="0" fontId="4" fillId="0" borderId="0" xfId="1" applyFont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5" fillId="0" borderId="3" xfId="3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2" fillId="0" borderId="0" xfId="1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22</xdr:row>
      <xdr:rowOff>19050</xdr:rowOff>
    </xdr:from>
    <xdr:to>
      <xdr:col>5</xdr:col>
      <xdr:colOff>1152525</xdr:colOff>
      <xdr:row>45</xdr:row>
      <xdr:rowOff>161925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09600" y="4381500"/>
          <a:ext cx="4048125" cy="45243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6</xdr:row>
      <xdr:rowOff>38100</xdr:rowOff>
    </xdr:from>
    <xdr:to>
      <xdr:col>5</xdr:col>
      <xdr:colOff>1162050</xdr:colOff>
      <xdr:row>45</xdr:row>
      <xdr:rowOff>161925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269B98CF-2084-4F94-BFA4-E7887388ECE7}"/>
            </a:ext>
          </a:extLst>
        </xdr:cNvPr>
        <xdr:cNvCxnSpPr/>
      </xdr:nvCxnSpPr>
      <xdr:spPr>
        <a:xfrm flipH="1">
          <a:off x="609600" y="1352550"/>
          <a:ext cx="4057650" cy="75533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6</xdr:row>
      <xdr:rowOff>38100</xdr:rowOff>
    </xdr:from>
    <xdr:to>
      <xdr:col>5</xdr:col>
      <xdr:colOff>1162050</xdr:colOff>
      <xdr:row>45</xdr:row>
      <xdr:rowOff>161925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EABA651A-9D8F-478B-847A-4DFF933A248B}"/>
            </a:ext>
          </a:extLst>
        </xdr:cNvPr>
        <xdr:cNvCxnSpPr/>
      </xdr:nvCxnSpPr>
      <xdr:spPr>
        <a:xfrm flipH="1">
          <a:off x="609600" y="1352550"/>
          <a:ext cx="4057650" cy="75533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13</xdr:row>
      <xdr:rowOff>66675</xdr:rowOff>
    </xdr:from>
    <xdr:to>
      <xdr:col>5</xdr:col>
      <xdr:colOff>1152525</xdr:colOff>
      <xdr:row>45</xdr:row>
      <xdr:rowOff>161925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D350EA69-A9FF-4080-94BB-8D7E94505445}"/>
            </a:ext>
          </a:extLst>
        </xdr:cNvPr>
        <xdr:cNvCxnSpPr/>
      </xdr:nvCxnSpPr>
      <xdr:spPr>
        <a:xfrm flipH="1">
          <a:off x="609600" y="2714625"/>
          <a:ext cx="4048125" cy="61912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13</xdr:row>
      <xdr:rowOff>66675</xdr:rowOff>
    </xdr:from>
    <xdr:to>
      <xdr:col>5</xdr:col>
      <xdr:colOff>1152525</xdr:colOff>
      <xdr:row>45</xdr:row>
      <xdr:rowOff>161925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541D596E-8993-4FC2-94B8-F7290E2B6BB6}"/>
            </a:ext>
          </a:extLst>
        </xdr:cNvPr>
        <xdr:cNvCxnSpPr/>
      </xdr:nvCxnSpPr>
      <xdr:spPr>
        <a:xfrm flipH="1">
          <a:off x="609600" y="2714625"/>
          <a:ext cx="4048125" cy="61912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K97"/>
  <sheetViews>
    <sheetView topLeftCell="A3"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 ca="1">SUMIF(F7:F316,"Elimination*",G7:G136)</f>
        <v>0</v>
      </c>
    </row>
    <row r="3" spans="1:11" x14ac:dyDescent="0.25">
      <c r="A3" s="26" t="s">
        <v>5</v>
      </c>
      <c r="B3" s="26"/>
      <c r="C3" s="26"/>
      <c r="D3" s="5"/>
      <c r="E3" s="26" t="s">
        <v>17</v>
      </c>
      <c r="F3" s="26"/>
      <c r="G3" s="4"/>
      <c r="H3" s="4"/>
      <c r="I3" s="22" t="s">
        <v>6</v>
      </c>
      <c r="J3" s="23"/>
      <c r="K3" s="16">
        <f>SUMIF(F7:F136,"NB*",G7:G136)</f>
        <v>16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SUMIF(F7:F136,"Ve*",G7:G136)</f>
        <v>0</v>
      </c>
    </row>
    <row r="5" spans="1:11" ht="15.75" x14ac:dyDescent="0.25">
      <c r="A5" s="24" t="s">
        <v>18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 ca="1">SUM(K2:K4)</f>
        <v>16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 t="s">
        <v>19</v>
      </c>
      <c r="C7" s="10" t="s">
        <v>20</v>
      </c>
      <c r="D7" s="9" t="s">
        <v>41</v>
      </c>
      <c r="E7" s="12">
        <v>46040</v>
      </c>
      <c r="F7" s="19" t="s">
        <v>43</v>
      </c>
      <c r="G7" s="15">
        <v>1</v>
      </c>
      <c r="H7" s="20" t="s">
        <v>42</v>
      </c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 t="s">
        <v>19</v>
      </c>
      <c r="C8" s="10" t="s">
        <v>20</v>
      </c>
      <c r="D8" s="9" t="s">
        <v>38</v>
      </c>
      <c r="E8" s="12">
        <v>46040</v>
      </c>
      <c r="F8" s="19" t="s">
        <v>40</v>
      </c>
      <c r="G8" s="15">
        <v>1</v>
      </c>
      <c r="H8" s="20" t="s">
        <v>39</v>
      </c>
      <c r="I8" s="2"/>
      <c r="J8" s="2"/>
      <c r="K8" s="1"/>
    </row>
    <row r="9" spans="1:11" ht="15" customHeight="1" x14ac:dyDescent="0.25">
      <c r="A9" s="14">
        <f t="shared" si="0"/>
        <v>3</v>
      </c>
      <c r="B9" s="9" t="s">
        <v>19</v>
      </c>
      <c r="C9" s="10" t="s">
        <v>20</v>
      </c>
      <c r="D9" s="9" t="s">
        <v>34</v>
      </c>
      <c r="E9" s="12">
        <v>46040</v>
      </c>
      <c r="F9" s="19" t="s">
        <v>36</v>
      </c>
      <c r="G9" s="15">
        <v>1</v>
      </c>
      <c r="H9" s="20" t="s">
        <v>35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9" t="s">
        <v>19</v>
      </c>
      <c r="C10" s="10" t="s">
        <v>20</v>
      </c>
      <c r="D10" s="9" t="s">
        <v>30</v>
      </c>
      <c r="E10" s="12">
        <v>46040</v>
      </c>
      <c r="F10" s="19" t="s">
        <v>37</v>
      </c>
      <c r="G10" s="15">
        <v>1</v>
      </c>
      <c r="H10" s="2" t="s">
        <v>31</v>
      </c>
      <c r="I10" s="2"/>
      <c r="J10" s="2"/>
      <c r="K10" s="1"/>
    </row>
    <row r="11" spans="1:11" ht="15" customHeight="1" x14ac:dyDescent="0.25">
      <c r="A11" s="14">
        <f t="shared" si="0"/>
        <v>5</v>
      </c>
      <c r="B11" s="9" t="s">
        <v>19</v>
      </c>
      <c r="C11" s="10" t="s">
        <v>20</v>
      </c>
      <c r="D11" s="9" t="s">
        <v>68</v>
      </c>
      <c r="E11" s="12">
        <v>46040</v>
      </c>
      <c r="F11" s="19" t="s">
        <v>33</v>
      </c>
      <c r="G11" s="15">
        <v>1</v>
      </c>
      <c r="H11" s="2" t="s">
        <v>32</v>
      </c>
      <c r="I11" s="2"/>
      <c r="J11" s="2"/>
      <c r="K11" s="1"/>
    </row>
    <row r="12" spans="1:11" ht="15" customHeight="1" x14ac:dyDescent="0.25">
      <c r="A12" s="14">
        <f t="shared" si="0"/>
        <v>6</v>
      </c>
      <c r="B12" s="9" t="s">
        <v>19</v>
      </c>
      <c r="C12" s="10" t="s">
        <v>20</v>
      </c>
      <c r="D12" s="9" t="s">
        <v>44</v>
      </c>
      <c r="E12" s="12">
        <v>46040</v>
      </c>
      <c r="F12" s="19" t="s">
        <v>46</v>
      </c>
      <c r="G12" s="15">
        <v>1</v>
      </c>
      <c r="H12" s="20" t="s">
        <v>45</v>
      </c>
      <c r="I12" s="2"/>
      <c r="J12" s="2"/>
      <c r="K12" s="1"/>
    </row>
    <row r="13" spans="1:11" ht="15" customHeight="1" x14ac:dyDescent="0.25">
      <c r="A13" s="14">
        <f t="shared" si="0"/>
        <v>7</v>
      </c>
      <c r="B13" s="9" t="s">
        <v>19</v>
      </c>
      <c r="C13" s="10" t="s">
        <v>20</v>
      </c>
      <c r="D13" s="9" t="s">
        <v>21</v>
      </c>
      <c r="E13" s="12">
        <v>46040</v>
      </c>
      <c r="F13" s="19" t="s">
        <v>22</v>
      </c>
      <c r="G13" s="15">
        <v>1</v>
      </c>
      <c r="H13" s="2" t="s">
        <v>23</v>
      </c>
      <c r="I13" s="2"/>
      <c r="J13" s="2"/>
      <c r="K13" s="1"/>
    </row>
    <row r="14" spans="1:11" ht="15" customHeight="1" x14ac:dyDescent="0.25">
      <c r="A14" s="14">
        <f t="shared" si="0"/>
        <v>8</v>
      </c>
      <c r="B14" s="9" t="s">
        <v>19</v>
      </c>
      <c r="C14" s="10" t="s">
        <v>20</v>
      </c>
      <c r="D14" s="9" t="s">
        <v>62</v>
      </c>
      <c r="E14" s="12">
        <v>46040</v>
      </c>
      <c r="F14" s="19" t="s">
        <v>64</v>
      </c>
      <c r="G14" s="15">
        <v>1</v>
      </c>
      <c r="H14" s="20" t="s">
        <v>63</v>
      </c>
      <c r="I14" s="2"/>
      <c r="J14" s="2"/>
    </row>
    <row r="15" spans="1:11" ht="15" customHeight="1" x14ac:dyDescent="0.25">
      <c r="A15" s="14">
        <f t="shared" si="0"/>
        <v>9</v>
      </c>
      <c r="B15" s="9" t="s">
        <v>19</v>
      </c>
      <c r="C15" s="10" t="s">
        <v>20</v>
      </c>
      <c r="D15" s="9" t="s">
        <v>65</v>
      </c>
      <c r="E15" s="12">
        <v>46040</v>
      </c>
      <c r="F15" s="19" t="s">
        <v>66</v>
      </c>
      <c r="G15" s="15">
        <v>1</v>
      </c>
      <c r="H15" s="20" t="s">
        <v>67</v>
      </c>
      <c r="I15" s="2"/>
      <c r="J15" s="2"/>
    </row>
    <row r="16" spans="1:11" ht="15" customHeight="1" x14ac:dyDescent="0.25">
      <c r="A16" s="14">
        <f t="shared" si="0"/>
        <v>10</v>
      </c>
      <c r="B16" s="9" t="s">
        <v>19</v>
      </c>
      <c r="C16" s="10" t="s">
        <v>20</v>
      </c>
      <c r="D16" s="9" t="s">
        <v>53</v>
      </c>
      <c r="E16" s="12">
        <v>46040</v>
      </c>
      <c r="F16" s="19" t="s">
        <v>54</v>
      </c>
      <c r="G16" s="15">
        <v>1</v>
      </c>
      <c r="H16" s="20" t="s">
        <v>55</v>
      </c>
      <c r="I16" s="2"/>
      <c r="J16" s="2"/>
    </row>
    <row r="17" spans="1:10" ht="15" customHeight="1" x14ac:dyDescent="0.25">
      <c r="A17" s="14">
        <f t="shared" si="0"/>
        <v>11</v>
      </c>
      <c r="B17" s="9" t="s">
        <v>19</v>
      </c>
      <c r="C17" s="10" t="s">
        <v>20</v>
      </c>
      <c r="D17" s="9" t="s">
        <v>47</v>
      </c>
      <c r="E17" s="12">
        <v>46040</v>
      </c>
      <c r="F17" s="19" t="s">
        <v>49</v>
      </c>
      <c r="G17" s="15">
        <v>1</v>
      </c>
      <c r="H17" s="20" t="s">
        <v>48</v>
      </c>
      <c r="I17" s="2"/>
      <c r="J17" s="2"/>
    </row>
    <row r="18" spans="1:10" ht="15" customHeight="1" x14ac:dyDescent="0.25">
      <c r="A18" s="14">
        <f t="shared" si="0"/>
        <v>12</v>
      </c>
      <c r="B18" s="9" t="s">
        <v>19</v>
      </c>
      <c r="C18" s="10" t="s">
        <v>20</v>
      </c>
      <c r="D18" s="9" t="s">
        <v>27</v>
      </c>
      <c r="E18" s="12">
        <v>46040</v>
      </c>
      <c r="F18" s="19" t="s">
        <v>29</v>
      </c>
      <c r="G18" s="15">
        <v>1</v>
      </c>
      <c r="H18" s="2" t="s">
        <v>28</v>
      </c>
      <c r="I18" s="2"/>
      <c r="J18" s="2"/>
    </row>
    <row r="19" spans="1:10" ht="15" customHeight="1" x14ac:dyDescent="0.25">
      <c r="A19" s="14">
        <f t="shared" si="0"/>
        <v>13</v>
      </c>
      <c r="B19" s="9" t="s">
        <v>19</v>
      </c>
      <c r="C19" s="10" t="s">
        <v>20</v>
      </c>
      <c r="D19" s="9" t="s">
        <v>24</v>
      </c>
      <c r="E19" s="12">
        <v>46040</v>
      </c>
      <c r="F19" s="19" t="s">
        <v>26</v>
      </c>
      <c r="G19" s="15">
        <v>1</v>
      </c>
      <c r="H19" s="2" t="s">
        <v>25</v>
      </c>
      <c r="I19" s="2"/>
      <c r="J19" s="2"/>
    </row>
    <row r="20" spans="1:10" ht="15" customHeight="1" x14ac:dyDescent="0.25">
      <c r="A20" s="14">
        <f t="shared" si="0"/>
        <v>14</v>
      </c>
      <c r="B20" s="9" t="s">
        <v>19</v>
      </c>
      <c r="C20" s="10" t="s">
        <v>20</v>
      </c>
      <c r="D20" s="9" t="s">
        <v>50</v>
      </c>
      <c r="E20" s="12">
        <v>46040</v>
      </c>
      <c r="F20" s="19" t="s">
        <v>52</v>
      </c>
      <c r="G20" s="15">
        <v>1</v>
      </c>
      <c r="H20" s="2" t="s">
        <v>51</v>
      </c>
      <c r="I20" s="2"/>
      <c r="J20" s="2"/>
    </row>
    <row r="21" spans="1:10" ht="15" customHeight="1" x14ac:dyDescent="0.25">
      <c r="A21" s="14">
        <f t="shared" si="0"/>
        <v>15</v>
      </c>
      <c r="B21" s="9" t="s">
        <v>19</v>
      </c>
      <c r="C21" s="10" t="s">
        <v>20</v>
      </c>
      <c r="D21" s="9" t="s">
        <v>59</v>
      </c>
      <c r="E21" s="12">
        <v>46040</v>
      </c>
      <c r="F21" s="19" t="s">
        <v>61</v>
      </c>
      <c r="G21" s="15">
        <v>1</v>
      </c>
      <c r="H21" s="20" t="s">
        <v>60</v>
      </c>
      <c r="I21" s="2"/>
      <c r="J21" s="2"/>
    </row>
    <row r="22" spans="1:10" ht="15" customHeight="1" x14ac:dyDescent="0.25">
      <c r="A22" s="14">
        <f t="shared" si="0"/>
        <v>16</v>
      </c>
      <c r="B22" s="9" t="s">
        <v>19</v>
      </c>
      <c r="C22" s="10" t="s">
        <v>20</v>
      </c>
      <c r="D22" s="9" t="s">
        <v>56</v>
      </c>
      <c r="E22" s="12">
        <v>46040</v>
      </c>
      <c r="F22" s="19" t="s">
        <v>58</v>
      </c>
      <c r="G22" s="15">
        <v>1</v>
      </c>
      <c r="H22" s="2" t="s">
        <v>57</v>
      </c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  <row r="72" spans="1:7" x14ac:dyDescent="0.25">
      <c r="A72" s="14">
        <f t="shared" ref="A72:A97" si="1">+A71+1</f>
        <v>66</v>
      </c>
      <c r="B72" s="9"/>
      <c r="C72" s="10"/>
      <c r="D72" s="9"/>
      <c r="E72" s="12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12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12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12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12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12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12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12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12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12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12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12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12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12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12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12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12"/>
      <c r="F97" s="19"/>
      <c r="G97" s="15">
        <v>1</v>
      </c>
    </row>
  </sheetData>
  <sortState xmlns:xlrd2="http://schemas.microsoft.com/office/spreadsheetml/2017/richdata2" ref="B7:H22">
    <sortCondition ref="E7:E22"/>
    <sortCondition ref="D7:D22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29568E-FA8F-41F3-ACBA-9E5FA11A3FB3}">
  <dimension ref="A1:K97"/>
  <sheetViews>
    <sheetView workbookViewId="0">
      <selection activeCell="E35" sqref="E35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 ca="1">SUMIF(F7:F316,"Elimination*",G7:G136)</f>
        <v>0</v>
      </c>
    </row>
    <row r="3" spans="1:11" x14ac:dyDescent="0.25">
      <c r="A3" s="26" t="s">
        <v>5</v>
      </c>
      <c r="B3" s="26"/>
      <c r="C3" s="26"/>
      <c r="D3" s="5"/>
      <c r="E3" s="26" t="s">
        <v>17</v>
      </c>
      <c r="F3" s="26"/>
      <c r="G3" s="4"/>
      <c r="H3" s="4"/>
      <c r="I3" s="22" t="s">
        <v>6</v>
      </c>
      <c r="J3" s="23"/>
      <c r="K3" s="16">
        <f>SUMIF(F7:F136,"NB*",G7:G136)</f>
        <v>0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SUMIF(F7:F136,"Ve*",G7:G136)</f>
        <v>0</v>
      </c>
    </row>
    <row r="5" spans="1:11" ht="15.75" x14ac:dyDescent="0.25">
      <c r="A5" s="24" t="s">
        <v>69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 ca="1"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/>
      <c r="C7" s="10"/>
      <c r="D7" s="9"/>
      <c r="E7" s="12"/>
      <c r="F7" s="19"/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/>
      <c r="C8" s="10"/>
      <c r="D8" s="9"/>
      <c r="E8" s="12"/>
      <c r="F8" s="19"/>
      <c r="G8" s="15">
        <v>1</v>
      </c>
      <c r="H8" s="20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0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0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20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20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2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  <row r="72" spans="1:7" x14ac:dyDescent="0.25">
      <c r="A72" s="14">
        <f t="shared" ref="A72:A97" si="1">+A71+1</f>
        <v>66</v>
      </c>
      <c r="B72" s="9"/>
      <c r="C72" s="10"/>
      <c r="D72" s="9"/>
      <c r="E72" s="12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12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12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12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12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12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12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12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12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12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12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12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12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12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12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12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12"/>
      <c r="F97" s="19"/>
      <c r="G97" s="15">
        <v>1</v>
      </c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BBC87-615C-4306-97EF-8AD25A50B111}">
  <dimension ref="A1:K97"/>
  <sheetViews>
    <sheetView workbookViewId="0">
      <selection activeCell="B6" sqref="B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 ca="1">SUMIF(F7:F316,"Elimination*",G7:G136)</f>
        <v>0</v>
      </c>
    </row>
    <row r="3" spans="1:11" x14ac:dyDescent="0.25">
      <c r="A3" s="26" t="s">
        <v>5</v>
      </c>
      <c r="B3" s="26"/>
      <c r="C3" s="26"/>
      <c r="D3" s="5"/>
      <c r="E3" s="26" t="s">
        <v>17</v>
      </c>
      <c r="F3" s="26"/>
      <c r="G3" s="4"/>
      <c r="H3" s="4"/>
      <c r="I3" s="22" t="s">
        <v>6</v>
      </c>
      <c r="J3" s="23"/>
      <c r="K3" s="16">
        <f>SUMIF(F7:F136,"NB*",G7:G136)</f>
        <v>0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SUMIF(F7:F136,"Ve*",G7:G136)</f>
        <v>0</v>
      </c>
    </row>
    <row r="5" spans="1:11" ht="15.75" x14ac:dyDescent="0.25">
      <c r="A5" s="24" t="s">
        <v>70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 ca="1"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/>
      <c r="C7" s="10"/>
      <c r="D7" s="9"/>
      <c r="E7" s="12"/>
      <c r="F7" s="19"/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/>
      <c r="C8" s="10"/>
      <c r="D8" s="9"/>
      <c r="E8" s="12"/>
      <c r="F8" s="19"/>
      <c r="G8" s="15">
        <v>1</v>
      </c>
      <c r="H8" s="20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0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0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20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20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2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  <row r="72" spans="1:7" x14ac:dyDescent="0.25">
      <c r="A72" s="14">
        <f t="shared" ref="A72:A97" si="1">+A71+1</f>
        <v>66</v>
      </c>
      <c r="B72" s="9"/>
      <c r="C72" s="10"/>
      <c r="D72" s="9"/>
      <c r="E72" s="12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12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12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12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12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12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12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12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12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12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12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12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12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12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12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12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12"/>
      <c r="F97" s="19"/>
      <c r="G97" s="15">
        <v>1</v>
      </c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FC0DF-155B-4FA6-B940-C05E8EE4B01A}">
  <dimension ref="A1:K97"/>
  <sheetViews>
    <sheetView workbookViewId="0">
      <selection activeCell="B14" sqref="B14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 ca="1">SUMIF(F7:F316,"Elimination*",G7:G136)</f>
        <v>2</v>
      </c>
    </row>
    <row r="3" spans="1:11" x14ac:dyDescent="0.25">
      <c r="A3" s="26" t="s">
        <v>5</v>
      </c>
      <c r="B3" s="26"/>
      <c r="C3" s="26"/>
      <c r="D3" s="5"/>
      <c r="E3" s="26" t="s">
        <v>17</v>
      </c>
      <c r="F3" s="26"/>
      <c r="G3" s="4"/>
      <c r="H3" s="4"/>
      <c r="I3" s="22" t="s">
        <v>6</v>
      </c>
      <c r="J3" s="23"/>
      <c r="K3" s="16">
        <f>SUMIF(F7:F136,"NB*",G7:G136)</f>
        <v>4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SUMIF(F7:F136,"Ve*",G7:G136)</f>
        <v>0</v>
      </c>
    </row>
    <row r="5" spans="1:11" ht="15.75" x14ac:dyDescent="0.25">
      <c r="A5" s="24" t="s">
        <v>76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 ca="1">SUM(K2:K4)</f>
        <v>6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 t="s">
        <v>71</v>
      </c>
      <c r="C7" s="10" t="s">
        <v>20</v>
      </c>
      <c r="D7" s="9" t="s">
        <v>72</v>
      </c>
      <c r="E7" s="12">
        <v>46125</v>
      </c>
      <c r="F7" s="19" t="s">
        <v>73</v>
      </c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 t="s">
        <v>74</v>
      </c>
      <c r="C8" s="10" t="s">
        <v>20</v>
      </c>
      <c r="D8" s="9" t="s">
        <v>75</v>
      </c>
      <c r="E8" s="12">
        <v>46125</v>
      </c>
      <c r="F8" s="19" t="s">
        <v>73</v>
      </c>
      <c r="G8" s="15">
        <v>1</v>
      </c>
      <c r="H8" s="20"/>
      <c r="I8" s="2"/>
      <c r="J8" s="2"/>
      <c r="K8" s="1"/>
    </row>
    <row r="9" spans="1:11" ht="15" customHeight="1" x14ac:dyDescent="0.25">
      <c r="A9" s="14">
        <f t="shared" si="0"/>
        <v>3</v>
      </c>
      <c r="B9" s="9" t="s">
        <v>19</v>
      </c>
      <c r="C9" s="10" t="s">
        <v>20</v>
      </c>
      <c r="D9" s="9" t="s">
        <v>77</v>
      </c>
      <c r="E9" s="12">
        <v>46127</v>
      </c>
      <c r="F9" s="19" t="s">
        <v>78</v>
      </c>
      <c r="G9" s="15">
        <v>1</v>
      </c>
      <c r="H9" s="20" t="s">
        <v>79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9" t="s">
        <v>19</v>
      </c>
      <c r="C10" s="10" t="s">
        <v>20</v>
      </c>
      <c r="D10" s="9" t="s">
        <v>83</v>
      </c>
      <c r="E10" s="12">
        <v>46130</v>
      </c>
      <c r="F10" s="19" t="s">
        <v>84</v>
      </c>
      <c r="G10" s="15">
        <v>1</v>
      </c>
      <c r="H10" s="2" t="s">
        <v>85</v>
      </c>
      <c r="I10" s="2"/>
      <c r="J10" s="2"/>
      <c r="K10" s="1"/>
    </row>
    <row r="11" spans="1:11" ht="15" customHeight="1" x14ac:dyDescent="0.25">
      <c r="A11" s="14">
        <f t="shared" si="0"/>
        <v>5</v>
      </c>
      <c r="B11" s="9" t="s">
        <v>19</v>
      </c>
      <c r="C11" s="10" t="s">
        <v>20</v>
      </c>
      <c r="D11" s="9" t="s">
        <v>80</v>
      </c>
      <c r="E11" s="12">
        <v>46130</v>
      </c>
      <c r="F11" s="19" t="s">
        <v>81</v>
      </c>
      <c r="G11" s="15">
        <v>1</v>
      </c>
      <c r="H11" s="2" t="s">
        <v>82</v>
      </c>
      <c r="I11" s="2"/>
      <c r="J11" s="2"/>
      <c r="K11" s="1"/>
    </row>
    <row r="12" spans="1:11" ht="15" customHeight="1" x14ac:dyDescent="0.25">
      <c r="A12" s="14">
        <f t="shared" si="0"/>
        <v>6</v>
      </c>
      <c r="B12" s="9" t="s">
        <v>19</v>
      </c>
      <c r="C12" s="10" t="s">
        <v>20</v>
      </c>
      <c r="D12" s="9" t="s">
        <v>86</v>
      </c>
      <c r="E12" s="12">
        <v>46133</v>
      </c>
      <c r="F12" s="19" t="s">
        <v>87</v>
      </c>
      <c r="G12" s="15">
        <v>1</v>
      </c>
      <c r="H12" s="20" t="s">
        <v>88</v>
      </c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20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20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2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  <row r="72" spans="1:7" x14ac:dyDescent="0.25">
      <c r="A72" s="14">
        <f t="shared" ref="A72:A97" si="1">+A71+1</f>
        <v>66</v>
      </c>
      <c r="B72" s="9"/>
      <c r="C72" s="10"/>
      <c r="D72" s="9"/>
      <c r="E72" s="12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12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12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12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12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12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12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12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12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12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12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12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12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12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12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12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12"/>
      <c r="F97" s="19"/>
      <c r="G97" s="15">
        <v>1</v>
      </c>
    </row>
  </sheetData>
  <sortState xmlns:xlrd2="http://schemas.microsoft.com/office/spreadsheetml/2017/richdata2" ref="B7:H11">
    <sortCondition ref="E7:E11"/>
    <sortCondition ref="D7:D11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63558E-3D14-4341-A63F-4A109E0989B6}">
  <dimension ref="A1:K97"/>
  <sheetViews>
    <sheetView tabSelected="1" workbookViewId="0">
      <selection activeCell="F13" sqref="F13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 ca="1">SUMIF(F7:F316,"Elimination*",G7:G136)</f>
        <v>0</v>
      </c>
    </row>
    <row r="3" spans="1:11" x14ac:dyDescent="0.25">
      <c r="A3" s="26" t="s">
        <v>5</v>
      </c>
      <c r="B3" s="26"/>
      <c r="C3" s="26"/>
      <c r="D3" s="5"/>
      <c r="E3" s="26" t="s">
        <v>17</v>
      </c>
      <c r="F3" s="26"/>
      <c r="G3" s="4"/>
      <c r="H3" s="4"/>
      <c r="I3" s="22" t="s">
        <v>6</v>
      </c>
      <c r="J3" s="23"/>
      <c r="K3" s="16">
        <f>SUMIF(F7:F136,"NB*",G7:G136)</f>
        <v>6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SUMIF(F7:F136,"Ve*",G7:G136)</f>
        <v>0</v>
      </c>
    </row>
    <row r="5" spans="1:11" ht="15.75" x14ac:dyDescent="0.25">
      <c r="A5" s="24" t="s">
        <v>89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 ca="1">SUM(K2:K4)</f>
        <v>6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 t="s">
        <v>19</v>
      </c>
      <c r="C7" s="10" t="s">
        <v>20</v>
      </c>
      <c r="D7" s="9" t="s">
        <v>90</v>
      </c>
      <c r="E7" s="12">
        <v>46152</v>
      </c>
      <c r="F7" s="19" t="s">
        <v>91</v>
      </c>
      <c r="G7" s="15">
        <v>1</v>
      </c>
      <c r="H7" s="20" t="s">
        <v>92</v>
      </c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 t="s">
        <v>19</v>
      </c>
      <c r="C8" s="10" t="s">
        <v>20</v>
      </c>
      <c r="D8" s="9" t="s">
        <v>93</v>
      </c>
      <c r="E8" s="12">
        <v>46152</v>
      </c>
      <c r="F8" s="19" t="s">
        <v>95</v>
      </c>
      <c r="G8" s="15">
        <v>1</v>
      </c>
      <c r="H8" s="20" t="s">
        <v>94</v>
      </c>
      <c r="I8" s="2"/>
      <c r="J8" s="2"/>
      <c r="K8" s="1"/>
    </row>
    <row r="9" spans="1:11" ht="15" customHeight="1" x14ac:dyDescent="0.25">
      <c r="A9" s="14">
        <f t="shared" si="0"/>
        <v>3</v>
      </c>
      <c r="B9" s="9" t="s">
        <v>19</v>
      </c>
      <c r="C9" s="10" t="s">
        <v>20</v>
      </c>
      <c r="D9" s="9" t="s">
        <v>97</v>
      </c>
      <c r="E9" s="12">
        <v>46152</v>
      </c>
      <c r="F9" s="19" t="s">
        <v>98</v>
      </c>
      <c r="G9" s="15">
        <v>1</v>
      </c>
      <c r="H9" s="20" t="s">
        <v>96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9" t="s">
        <v>19</v>
      </c>
      <c r="C10" s="10" t="s">
        <v>20</v>
      </c>
      <c r="D10" s="9" t="s">
        <v>99</v>
      </c>
      <c r="E10" s="12">
        <v>46152</v>
      </c>
      <c r="F10" s="19" t="s">
        <v>100</v>
      </c>
      <c r="G10" s="15">
        <v>1</v>
      </c>
      <c r="H10" s="2" t="s">
        <v>101</v>
      </c>
      <c r="I10" s="2"/>
      <c r="J10" s="2"/>
      <c r="K10" s="1"/>
    </row>
    <row r="11" spans="1:11" ht="15" customHeight="1" x14ac:dyDescent="0.25">
      <c r="A11" s="14">
        <f t="shared" si="0"/>
        <v>5</v>
      </c>
      <c r="B11" s="9" t="s">
        <v>19</v>
      </c>
      <c r="C11" s="10" t="s">
        <v>20</v>
      </c>
      <c r="D11" s="9" t="s">
        <v>102</v>
      </c>
      <c r="E11" s="12">
        <v>46152</v>
      </c>
      <c r="F11" s="19" t="s">
        <v>103</v>
      </c>
      <c r="G11" s="15">
        <v>1</v>
      </c>
      <c r="H11" s="2" t="s">
        <v>104</v>
      </c>
      <c r="I11" s="2"/>
      <c r="J11" s="2"/>
      <c r="K11" s="1"/>
    </row>
    <row r="12" spans="1:11" ht="15" customHeight="1" x14ac:dyDescent="0.25">
      <c r="A12" s="14">
        <f t="shared" si="0"/>
        <v>6</v>
      </c>
      <c r="B12" s="9" t="s">
        <v>19</v>
      </c>
      <c r="C12" s="10" t="s">
        <v>20</v>
      </c>
      <c r="D12" s="9" t="s">
        <v>105</v>
      </c>
      <c r="E12" s="12">
        <v>46153</v>
      </c>
      <c r="F12" s="19" t="s">
        <v>107</v>
      </c>
      <c r="G12" s="15">
        <v>1</v>
      </c>
      <c r="H12" s="20" t="s">
        <v>106</v>
      </c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20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20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2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  <row r="72" spans="1:7" x14ac:dyDescent="0.25">
      <c r="A72" s="14">
        <f t="shared" ref="A72:A97" si="1">+A71+1</f>
        <v>66</v>
      </c>
      <c r="B72" s="9"/>
      <c r="C72" s="10"/>
      <c r="D72" s="9"/>
      <c r="E72" s="12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12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12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12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12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12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12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12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12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12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12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12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12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12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12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12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12"/>
      <c r="F97" s="19"/>
      <c r="G97" s="15">
        <v>1</v>
      </c>
    </row>
  </sheetData>
  <sortState xmlns:xlrd2="http://schemas.microsoft.com/office/spreadsheetml/2017/richdata2" ref="B7:H10">
    <sortCondition ref="E7:E10"/>
    <sortCondition ref="D7:D10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honeticPr fontId="13" type="noConversion"/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5</vt:i4>
      </vt:variant>
      <vt:variant>
        <vt:lpstr>Plages nommées</vt:lpstr>
      </vt:variant>
      <vt:variant>
        <vt:i4>5</vt:i4>
      </vt:variant>
    </vt:vector>
  </HeadingPairs>
  <TitlesOfParts>
    <vt:vector size="10" baseType="lpstr">
      <vt:lpstr>JANVIER 2026</vt:lpstr>
      <vt:lpstr>FEVRIER 2026</vt:lpstr>
      <vt:lpstr>MARS 2026</vt:lpstr>
      <vt:lpstr>AVRIL 2026</vt:lpstr>
      <vt:lpstr>MAI 2026</vt:lpstr>
      <vt:lpstr>'AVRIL 2026'!Impression_des_titres</vt:lpstr>
      <vt:lpstr>'FEVRIER 2026'!Impression_des_titres</vt:lpstr>
      <vt:lpstr>'JANVIER 2026'!Impression_des_titres</vt:lpstr>
      <vt:lpstr>'MAI 2026'!Impression_des_titres</vt:lpstr>
      <vt:lpstr>'MARS 2026'!Impression_des_titres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2026-03-07T10:38:21Z</cp:lastPrinted>
  <dcterms:created xsi:type="dcterms:W3CDTF">2014-12-31T15:00:30Z</dcterms:created>
  <dcterms:modified xsi:type="dcterms:W3CDTF">2026-05-11T09:35:12Z</dcterms:modified>
</cp:coreProperties>
</file>