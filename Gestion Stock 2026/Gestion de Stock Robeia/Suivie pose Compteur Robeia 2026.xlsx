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Robeia\"/>
    </mc:Choice>
  </mc:AlternateContent>
  <xr:revisionPtr revIDLastSave="0" documentId="13_ncr:1_{EAC8E387-180D-4DA1-8BBD-99EF4E01389B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K5" i="19" l="1"/>
  <c r="K5" i="16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<sst xmlns="http://schemas.openxmlformats.org/spreadsheetml/2006/main" count="182" uniqueCount="48">
  <si>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</si>
  <si>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</si>
  <si>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</si>
  <si>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</si>
  <si>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</si>
  <si>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</si>
  <si>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</si>
  <si>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</si>
  <si>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</si>
  <si>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</si>
  <si>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</si>
  <si>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</si>
  <si>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</si>
  <si>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</si>
  <si>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</si>
  <si>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</si>
  <si>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</si>
  <si>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</si>
  <si>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Mois de JANVIER  2026</t>
  </si>
  <si>
    <t>BO</t>
  </si>
  <si>
    <t>15/21</t>
  </si>
  <si>
    <t>2025177870</t>
  </si>
  <si>
    <t>NB(696/2024)</t>
  </si>
  <si>
    <t>Khatir laala</t>
  </si>
  <si>
    <t>Mois de FEVRIER  2026</t>
  </si>
  <si>
    <t>Mois de MARS  2026</t>
  </si>
  <si>
    <t>Mois de AVRIL  2026</t>
  </si>
  <si>
    <t>Mois de MAI  2026</t>
  </si>
  <si>
    <t>BO0339</t>
  </si>
  <si>
    <t>BO0378</t>
  </si>
  <si>
    <t>BO0321</t>
  </si>
  <si>
    <t>23987988</t>
  </si>
  <si>
    <t>2025117464</t>
  </si>
  <si>
    <t>2025117463</t>
  </si>
  <si>
    <t>Elimination Forfait</t>
  </si>
  <si>
    <t>BO0699</t>
  </si>
  <si>
    <t>23987096</t>
  </si>
  <si>
    <t>BO0379</t>
  </si>
  <si>
    <t>19007470</t>
  </si>
  <si>
    <t>BO0380</t>
  </si>
  <si>
    <t>23989285</t>
  </si>
  <si>
    <t>Mois de JUIN  2026</t>
  </si>
  <si>
    <t>Mois de JUILLET  2026</t>
  </si>
  <si>
    <t>Mois de AOUT  2026</t>
  </si>
  <si>
    <t>20/27</t>
  </si>
  <si>
    <t>2026003670</t>
  </si>
  <si>
    <t>NB(283/2026)</t>
  </si>
  <si>
    <t>Saad saoud nadir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</si>
</sst>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85725</xdr:rowOff>
    </xdr:from>
    <xdr:to>
      <xdr:col>5</xdr:col>
      <xdr:colOff>1285875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F85DBCF4-A9F1-48F6-915D-04CC307E1943}"/>
            </a:ext>
          </a:extLst>
        </xdr:cNvPr>
        <xdr:cNvCxnSpPr/>
      </xdr:nvCxnSpPr>
      <xdr:spPr>
        <a:xfrm flipH="1">
          <a:off x="590550" y="1590675"/>
          <a:ext cx="4533900" cy="73056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BDBCC82-45EA-46B6-9B24-A7BC12628D08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19050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280A3A69-1974-4B04-B136-86E9B1129AE2}"/>
            </a:ext>
          </a:extLst>
        </xdr:cNvPr>
        <xdr:cNvCxnSpPr/>
      </xdr:nvCxnSpPr>
      <xdr:spPr>
        <a:xfrm flipH="1">
          <a:off x="590550" y="1333500"/>
          <a:ext cx="4524375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433EE6BE-8CA8-4AE3-A688-1FB905343A62}"/>
            </a:ext>
          </a:extLst>
        </xdr:cNvPr>
        <xdr:cNvCxnSpPr/>
      </xdr:nvCxnSpPr>
      <xdr:spPr>
        <a:xfrm flipH="1">
          <a:off x="590550" y="2457450"/>
          <a:ext cx="4552950" cy="6438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9525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7785606-8F82-4B0A-BD2A-142E73F5DC39}"/>
            </a:ext>
          </a:extLst>
        </xdr:cNvPr>
        <xdr:cNvCxnSpPr/>
      </xdr:nvCxnSpPr>
      <xdr:spPr>
        <a:xfrm flipH="1">
          <a:off x="590550" y="1323975"/>
          <a:ext cx="4524375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9525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EFFF91D7-5CC4-4C21-B9EA-68E6A5E75ED0}"/>
            </a:ext>
          </a:extLst>
        </xdr:cNvPr>
        <xdr:cNvCxnSpPr/>
      </xdr:nvCxnSpPr>
      <xdr:spPr>
        <a:xfrm flipH="1">
          <a:off x="590550" y="1323975"/>
          <a:ext cx="4524375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47625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5835F47-7AA9-4C5C-A0D0-5C883FC3FBE8}"/>
            </a:ext>
          </a:extLst>
        </xdr:cNvPr>
        <xdr:cNvCxnSpPr/>
      </xdr:nvCxnSpPr>
      <xdr:spPr>
        <a:xfrm flipH="1">
          <a:off x="590550" y="1552575"/>
          <a:ext cx="4552950" cy="73437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46"/>
  <sheetViews>
    <sheetView workbookViewId="0">
      <selection activeCell="H24" sqref="H2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22</v>
      </c>
      <c r="G7" s="16">
        <v>1</v>
      </c>
      <c r="H7" s="21" t="s">
        <v>23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E0B7A-7FA5-467A-8F5A-04F71AA0FE48}">
  <sheetPr codeName="Feuil2"/>
  <dimension ref="A1:K46"/>
  <sheetViews>
    <sheetView workbookViewId="0">
      <selection activeCell="K18" sqref="K1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24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DA38F-7C66-410A-A18E-300D66E49F26}">
  <sheetPr codeName="Feuil3"/>
  <dimension ref="A1:K46"/>
  <sheetViews>
    <sheetView topLeftCell="A12" workbookViewId="0">
      <selection activeCell="F22" sqref="F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25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874E-A1AF-4DDD-80AC-6F6E530D08FC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26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3AFDD-D8C8-4DA3-A649-82C95CDB748B}">
  <dimension ref="A1:K46"/>
  <sheetViews>
    <sheetView workbookViewId="0">
      <selection activeCell="J22" sqref="J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6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27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6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28</v>
      </c>
      <c r="C7" s="10">
        <v>65</v>
      </c>
      <c r="D7" s="9" t="s">
        <v>31</v>
      </c>
      <c r="E7" s="12">
        <v>46162</v>
      </c>
      <c r="F7" s="20" t="s">
        <v>34</v>
      </c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 t="s">
        <v>30</v>
      </c>
      <c r="C8" s="10" t="s">
        <v>20</v>
      </c>
      <c r="D8" s="9" t="s">
        <v>33</v>
      </c>
      <c r="E8" s="12">
        <v>46162</v>
      </c>
      <c r="F8" s="20" t="s">
        <v>34</v>
      </c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29</v>
      </c>
      <c r="C9" s="10" t="s">
        <v>20</v>
      </c>
      <c r="D9" s="9" t="s">
        <v>32</v>
      </c>
      <c r="E9" s="12">
        <v>46162</v>
      </c>
      <c r="F9" s="20" t="s">
        <v>34</v>
      </c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 t="s">
        <v>35</v>
      </c>
      <c r="C10" s="10">
        <v>100</v>
      </c>
      <c r="D10" s="9" t="s">
        <v>36</v>
      </c>
      <c r="E10" s="12">
        <v>46166</v>
      </c>
      <c r="F10" s="20" t="s">
        <v>34</v>
      </c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 t="s">
        <v>37</v>
      </c>
      <c r="C11" s="10">
        <v>50</v>
      </c>
      <c r="D11" s="9" t="s">
        <v>38</v>
      </c>
      <c r="E11" s="12">
        <v>46167</v>
      </c>
      <c r="F11" s="20" t="s">
        <v>34</v>
      </c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 t="s">
        <v>39</v>
      </c>
      <c r="C12" s="10">
        <v>80</v>
      </c>
      <c r="D12" s="9" t="s">
        <v>40</v>
      </c>
      <c r="E12" s="12">
        <v>46167</v>
      </c>
      <c r="F12" s="20" t="s">
        <v>34</v>
      </c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sortState xmlns:xlrd2="http://schemas.microsoft.com/office/spreadsheetml/2017/richdata2" ref="B7:F9">
    <sortCondition ref="C7:C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61BF6-FB75-43BA-8EC7-BDEA5A59D638}">
  <dimension ref="A1:K46"/>
  <sheetViews>
    <sheetView topLeftCell="A9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41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6550-F6DD-46BA-B948-73007F82720C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42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0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1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32B73-AC0C-4E74-88C3-10D57D58BE92}">
  <dimension ref="A1:K46"/>
  <sheetViews>
    <sheetView tabSelected="1" workbookViewId="0">
      <selection activeCell="I8" sqref="I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7">
        <f>SUMIF(F7:F38,"Elimination*",G7:G38)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7">
        <f>SUMIF(F7:F38,"NB*",G7:G38)</f>
        <v>1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7">
        <f>SUMIF(F7:F38,"Ve*",G7:G38)</f>
        <v>0</v>
      </c>
    </row>
    <row r="5" spans="1:11" ht="15.75" x14ac:dyDescent="0.25">
      <c r="A5" s="27" t="s">
        <v>43</v>
      </c>
      <c r="B5" s="27"/>
      <c r="C5" s="27"/>
      <c r="D5" s="27"/>
      <c r="E5" s="27"/>
      <c r="F5" s="27"/>
      <c r="G5" s="18"/>
      <c r="H5" s="18"/>
      <c r="I5" s="25" t="s">
        <v>9</v>
      </c>
      <c r="J5" s="26"/>
      <c r="K5" s="19">
        <f>SUM(K2:K4)</f>
        <v>1</v>
      </c>
    </row>
    <row r="6" spans="1:11" ht="21.6" customHeight="1" x14ac:dyDescent="0.25">
      <c r="A6" s="22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2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44</v>
      </c>
      <c r="D7" s="9" t="s">
        <v>45</v>
      </c>
      <c r="E7" s="12">
        <v>46236</v>
      </c>
      <c r="F7" s="20" t="s">
        <v>46</v>
      </c>
      <c r="G7" s="16">
        <v>1</v>
      </c>
      <c r="H7" s="21" t="s">
        <v>47</v>
      </c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1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/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0"/>
      <c r="C22" s="10"/>
      <c r="D22" s="9"/>
      <c r="E22" s="12"/>
      <c r="F22" s="20"/>
      <c r="G22" s="16">
        <v>1</v>
      </c>
      <c r="H22" s="21"/>
      <c r="I22" s="2"/>
      <c r="J22" s="2"/>
    </row>
    <row r="23" spans="1:10" ht="15" customHeight="1" x14ac:dyDescent="0.25">
      <c r="A23" s="14">
        <f t="shared" si="0"/>
        <v>17</v>
      </c>
      <c r="B23" s="12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10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2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2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/>
      <c r="H33" s="1"/>
      <c r="I33" s="1"/>
      <c r="J33" s="1"/>
    </row>
    <row r="34" spans="1:10" ht="15" customHeight="1" x14ac:dyDescent="0.25">
      <c r="A34" s="14">
        <f t="shared" si="0"/>
        <v>28</v>
      </c>
      <c r="B34" s="12"/>
      <c r="C34" s="10"/>
      <c r="D34" s="9"/>
      <c r="E34" s="12"/>
      <c r="F34" s="20"/>
      <c r="G34" s="16"/>
      <c r="H34" s="1"/>
      <c r="I34" s="1"/>
      <c r="J34" s="1"/>
    </row>
    <row r="35" spans="1:10" ht="15" customHeight="1" x14ac:dyDescent="0.25">
      <c r="A35" s="14">
        <f t="shared" si="0"/>
        <v>29</v>
      </c>
      <c r="B35" s="12"/>
      <c r="C35" s="10"/>
      <c r="D35" s="9"/>
      <c r="E35" s="12"/>
      <c r="F35" s="20"/>
      <c r="G35" s="16"/>
      <c r="H35" s="1"/>
      <c r="I35" s="1"/>
      <c r="J35" s="1"/>
    </row>
    <row r="36" spans="1:10" ht="15" customHeight="1" x14ac:dyDescent="0.25">
      <c r="A36" s="14">
        <f t="shared" si="0"/>
        <v>30</v>
      </c>
      <c r="B36" s="12"/>
      <c r="C36" s="10"/>
      <c r="D36" s="9"/>
      <c r="E36" s="12"/>
      <c r="F36" s="20"/>
      <c r="G36" s="16"/>
      <c r="H36" s="1"/>
      <c r="I36" s="1"/>
      <c r="J36" s="1"/>
    </row>
    <row r="37" spans="1:10" ht="15" customHeight="1" x14ac:dyDescent="0.25">
      <c r="A37" s="14">
        <f t="shared" si="0"/>
        <v>31</v>
      </c>
      <c r="B37" s="12"/>
      <c r="C37" s="10"/>
      <c r="D37" s="9"/>
      <c r="E37" s="12"/>
      <c r="F37" s="20"/>
      <c r="G37" s="16"/>
      <c r="H37" s="1"/>
      <c r="I37" s="1"/>
      <c r="J37" s="1"/>
    </row>
    <row r="38" spans="1:10" ht="15" customHeight="1" x14ac:dyDescent="0.25">
      <c r="A38" s="14">
        <f t="shared" si="0"/>
        <v>32</v>
      </c>
      <c r="B38" s="12"/>
      <c r="C38" s="10"/>
      <c r="D38" s="9"/>
      <c r="E38" s="12"/>
      <c r="F38" s="20"/>
      <c r="G38" s="16"/>
      <c r="H38" s="1"/>
      <c r="I38" s="1"/>
      <c r="J38" s="1"/>
    </row>
    <row r="39" spans="1:10" x14ac:dyDescent="0.25">
      <c r="A39" s="14">
        <f t="shared" si="0"/>
        <v>33</v>
      </c>
      <c r="B39" s="12"/>
      <c r="C39" s="10"/>
      <c r="D39" s="9"/>
      <c r="E39" s="12"/>
      <c r="F39" s="20"/>
    </row>
    <row r="40" spans="1:10" x14ac:dyDescent="0.25">
      <c r="A40" s="14">
        <f t="shared" si="0"/>
        <v>34</v>
      </c>
      <c r="B40" s="12"/>
      <c r="C40" s="10"/>
      <c r="D40" s="9"/>
      <c r="E40" s="12"/>
      <c r="F40" s="20"/>
    </row>
    <row r="41" spans="1:10" x14ac:dyDescent="0.25">
      <c r="A41" s="14">
        <f t="shared" si="0"/>
        <v>35</v>
      </c>
      <c r="B41" s="12"/>
      <c r="C41" s="10"/>
      <c r="D41" s="9"/>
      <c r="E41" s="12"/>
      <c r="F41" s="20"/>
    </row>
    <row r="42" spans="1:10" x14ac:dyDescent="0.25">
      <c r="A42" s="14">
        <f t="shared" si="0"/>
        <v>36</v>
      </c>
      <c r="B42" s="12"/>
      <c r="C42" s="10"/>
      <c r="D42" s="9"/>
      <c r="E42" s="12"/>
      <c r="F42" s="20"/>
    </row>
    <row r="43" spans="1:10" x14ac:dyDescent="0.25">
      <c r="A43" s="14">
        <f t="shared" si="0"/>
        <v>37</v>
      </c>
      <c r="B43" s="12"/>
      <c r="C43" s="10"/>
      <c r="D43" s="9"/>
      <c r="E43" s="12"/>
      <c r="F43" s="20"/>
    </row>
    <row r="44" spans="1:10" x14ac:dyDescent="0.25">
      <c r="A44" s="14">
        <f t="shared" si="0"/>
        <v>38</v>
      </c>
      <c r="B44" s="12"/>
      <c r="C44" s="10"/>
      <c r="D44" s="9"/>
      <c r="E44" s="12"/>
      <c r="F44" s="20"/>
    </row>
    <row r="45" spans="1:10" x14ac:dyDescent="0.25">
      <c r="A45" s="14">
        <f t="shared" si="0"/>
        <v>39</v>
      </c>
      <c r="B45" s="12"/>
      <c r="C45" s="10"/>
      <c r="D45" s="9"/>
      <c r="E45" s="12"/>
      <c r="F45" s="20"/>
    </row>
    <row r="46" spans="1:10" x14ac:dyDescent="0.25">
      <c r="A46" s="14">
        <f t="shared" si="0"/>
        <v>40</v>
      </c>
      <c r="B46" s="12"/>
      <c r="C46" s="10"/>
      <c r="D46" s="9"/>
      <c r="E46" s="12"/>
      <c r="F46" s="20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2026-08-01T11:58:32Z</cp:lastPrinted>
  <dcterms:created xsi:type="dcterms:W3CDTF">2014-12-31T15:00:30Z</dcterms:created>
  <dcterms:modified xsi:type="dcterms:W3CDTF">2026-08-15T09:22:27Z</dcterms:modified>
</cp:coreProperties>
</file>