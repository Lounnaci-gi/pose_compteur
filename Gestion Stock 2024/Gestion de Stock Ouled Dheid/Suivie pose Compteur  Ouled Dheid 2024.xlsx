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4\Gestion de Stock Ouled Dheid\"/>
    </mc:Choice>
  </mc:AlternateContent>
  <bookViews>
    <workbookView xWindow="315" yWindow="195" windowWidth="6900" windowHeight="2025" firstSheet="7" activeTab="11"/>
  </bookViews>
  <sheets>
    <sheet name="Janvier 2024" sheetId="1" r:id="rId1"/>
    <sheet name="Février 2024" sheetId="2" r:id="rId2"/>
    <sheet name="Mars 2024" sheetId="3" r:id="rId3"/>
    <sheet name="Avril 2024" sheetId="4" r:id="rId4"/>
    <sheet name="Mai 2024" sheetId="5" r:id="rId5"/>
    <sheet name="Juin 2024" sheetId="6" r:id="rId6"/>
    <sheet name="Juillet 2024" sheetId="7" r:id="rId7"/>
    <sheet name="Aout 2024" sheetId="8" r:id="rId8"/>
    <sheet name="SEPTEMBRE 2024" sheetId="9" r:id="rId9"/>
    <sheet name="OCTOBRE 2024" sheetId="10" r:id="rId10"/>
    <sheet name="NOVREMBRE 2024" sheetId="11" r:id="rId11"/>
    <sheet name="DECEMBRE 2024" sheetId="12" r:id="rId12"/>
  </sheets>
  <definedNames>
    <definedName name="_xlnm.Print_Titles" localSheetId="7">'Aout 2024'!$1:$6</definedName>
    <definedName name="_xlnm.Print_Titles" localSheetId="3">'Avril 2024'!$1:$6</definedName>
    <definedName name="_xlnm.Print_Titles" localSheetId="11">'DECEMBRE 2024'!$1:$6</definedName>
    <definedName name="_xlnm.Print_Titles" localSheetId="1">'Février 2024'!$1:$6</definedName>
    <definedName name="_xlnm.Print_Titles" localSheetId="0">'Janvier 2024'!$1:$6</definedName>
    <definedName name="_xlnm.Print_Titles" localSheetId="6">'Juillet 2024'!$1:$6</definedName>
    <definedName name="_xlnm.Print_Titles" localSheetId="5">'Juin 2024'!$1:$6</definedName>
    <definedName name="_xlnm.Print_Titles" localSheetId="4">'Mai 2024'!$1:$6</definedName>
    <definedName name="_xlnm.Print_Titles" localSheetId="2">'Mars 2024'!$1:$6</definedName>
    <definedName name="_xlnm.Print_Titles" localSheetId="10">'NOVREMBRE 2024'!$1:$6</definedName>
    <definedName name="_xlnm.Print_Titles" localSheetId="9">'OCTOBRE 2024'!$1:$6</definedName>
    <definedName name="_xlnm.Print_Titles" localSheetId="8">'SEPTEMBRE 2024'!$1:$6</definedName>
  </definedNames>
  <calcPr calcId="162913"/>
</workbook>
</file>

<file path=xl/calcChain.xml><?xml version="1.0" encoding="utf-8"?>
<calcChain xmlns="http://schemas.openxmlformats.org/spreadsheetml/2006/main">
  <c r="A79" i="11" l="1"/>
  <c r="A80" i="11" s="1"/>
  <c r="A81" i="11" s="1"/>
  <c r="A82" i="11" s="1"/>
  <c r="A83" i="11" s="1"/>
  <c r="A84" i="11" s="1"/>
  <c r="A85" i="11" s="1"/>
  <c r="A86" i="11" s="1"/>
  <c r="A72" i="11"/>
  <c r="A73" i="11" s="1"/>
  <c r="A74" i="11" s="1"/>
  <c r="A75" i="11" s="1"/>
  <c r="A76" i="11" s="1"/>
  <c r="A77" i="11" s="1"/>
  <c r="A78" i="11" s="1"/>
  <c r="A59" i="1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K4" i="12"/>
  <c r="K3" i="12"/>
  <c r="K2" i="12"/>
  <c r="K5" i="12" s="1"/>
  <c r="A56" i="11" l="1"/>
  <c r="A57" i="11" s="1"/>
  <c r="A58" i="11" s="1"/>
  <c r="A53" i="11"/>
  <c r="A54" i="11"/>
  <c r="A55" i="11" s="1"/>
  <c r="A47" i="11" l="1"/>
  <c r="A48" i="11" s="1"/>
  <c r="A49" i="11" s="1"/>
  <c r="A50" i="11" s="1"/>
  <c r="A51" i="11" s="1"/>
  <c r="A52" i="11" s="1"/>
  <c r="K4" i="11" l="1"/>
  <c r="K3" i="11"/>
  <c r="K2" i="11"/>
  <c r="A8" i="11" l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K5" i="11" l="1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K4" i="10"/>
  <c r="K3" i="10"/>
  <c r="K2" i="10"/>
  <c r="K5" i="10" l="1"/>
  <c r="K3" i="9"/>
  <c r="A8" i="9" l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K4" i="9"/>
  <c r="K2" i="9"/>
  <c r="K5" i="9" l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K4" i="8"/>
  <c r="K3" i="8"/>
  <c r="K2" i="8"/>
  <c r="K5" i="8" l="1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K4" i="7"/>
  <c r="K3" i="7"/>
  <c r="K2" i="7"/>
  <c r="K5" i="7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K4" i="6"/>
  <c r="K3" i="6"/>
  <c r="K2" i="6"/>
  <c r="K5" i="6" s="1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K4" i="5"/>
  <c r="K3" i="5"/>
  <c r="K2" i="5"/>
  <c r="K5" i="5" l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K4" i="4"/>
  <c r="K3" i="4"/>
  <c r="K2" i="4"/>
  <c r="K5" i="4" s="1"/>
  <c r="A8" i="3" l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K4" i="3"/>
  <c r="K3" i="3"/>
  <c r="K2" i="3"/>
  <c r="K5" i="3" l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K4" i="2"/>
  <c r="K3" i="2"/>
  <c r="K2" i="2"/>
  <c r="K5" i="2" s="1"/>
  <c r="A8" i="1" l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K2" i="1"/>
  <c r="K5" i="1" s="1"/>
</calcChain>
</file>

<file path=xl/sharedStrings.xml><?xml version="1.0" encoding="utf-8"?>
<sst xmlns="http://schemas.openxmlformats.org/spreadsheetml/2006/main" count="754" uniqueCount="330">
  <si>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</si>
  <si>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</si>
  <si>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</si>
  <si>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</si>
  <si>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</si>
  <si>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</si>
  <si>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</si>
  <si>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</si>
  <si>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</si>
  <si>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</si>
  <si>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</si>
  <si>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</si>
  <si>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</si>
  <si>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</si>
  <si>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</si>
  <si>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</si>
  <si>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Ouled Dheid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</si>
  <si>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</si>
  <si>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BR</t>
  </si>
  <si>
    <t>15/21</t>
  </si>
  <si>
    <t>2023235093</t>
  </si>
  <si>
    <t>NB(548/2023)</t>
  </si>
  <si>
    <t>Benmeziane a/azziz</t>
  </si>
  <si>
    <t>2023235094</t>
  </si>
  <si>
    <t>Boukhit khaled</t>
  </si>
  <si>
    <t>NB(562/2023)</t>
  </si>
  <si>
    <t>2023235096</t>
  </si>
  <si>
    <t>NB(563/2023)</t>
  </si>
  <si>
    <t>Boukhit walid</t>
  </si>
  <si>
    <t>2023234881</t>
  </si>
  <si>
    <t>2023234882</t>
  </si>
  <si>
    <t>2023234883</t>
  </si>
  <si>
    <t>2023234884</t>
  </si>
  <si>
    <t>Benaissa fatima</t>
  </si>
  <si>
    <t>NB(576/2023)</t>
  </si>
  <si>
    <t>Bahmed toufik</t>
  </si>
  <si>
    <t>NB(295/2023)</t>
  </si>
  <si>
    <t>Laidoudi toufik</t>
  </si>
  <si>
    <t>NB(061/2023)</t>
  </si>
  <si>
    <t>Mag maich nadji</t>
  </si>
  <si>
    <t>NB(059/2023)</t>
  </si>
  <si>
    <t>2023235092</t>
  </si>
  <si>
    <t>NB(598/2023)</t>
  </si>
  <si>
    <t>Benaissa med</t>
  </si>
  <si>
    <t>2023214255</t>
  </si>
  <si>
    <t>NB(328/2023)</t>
  </si>
  <si>
    <t>Benaissa mourad</t>
  </si>
  <si>
    <t>2023234929</t>
  </si>
  <si>
    <t>2023234930</t>
  </si>
  <si>
    <t>NB(444/2023)</t>
  </si>
  <si>
    <t>Kaab boukhari b/ali</t>
  </si>
  <si>
    <t>NB(426/2023)</t>
  </si>
  <si>
    <t>Lamari hamza</t>
  </si>
  <si>
    <r>
      <t>Mois de Février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</si>
  <si>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</si>
  <si>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2024023855</t>
  </si>
  <si>
    <t>NB(315/2020)</t>
  </si>
  <si>
    <t>Benaissa redha</t>
  </si>
  <si>
    <t>2024023615</t>
  </si>
  <si>
    <t>NB(552/2023)</t>
  </si>
  <si>
    <t>Zami abdelkader</t>
  </si>
  <si>
    <t>2024023614</t>
  </si>
  <si>
    <t>NB(441/2023)</t>
  </si>
  <si>
    <t>Kaab slimane</t>
  </si>
  <si>
    <t>2024023613</t>
  </si>
  <si>
    <t>NB(006/2024)</t>
  </si>
  <si>
    <t>Laidoudi djamel</t>
  </si>
  <si>
    <t>2024023612</t>
  </si>
  <si>
    <t>NB(017/2024)</t>
  </si>
  <si>
    <t>Abdou khorici</t>
  </si>
  <si>
    <t>2024023611</t>
  </si>
  <si>
    <t>NB(732/2023)</t>
  </si>
  <si>
    <t>Bouah khaled</t>
  </si>
  <si>
    <t>2024023620</t>
  </si>
  <si>
    <t>Allali boudjemaa</t>
  </si>
  <si>
    <t>2024023619</t>
  </si>
  <si>
    <t>NB(646/2022)</t>
  </si>
  <si>
    <t>Abba youcef</t>
  </si>
  <si>
    <t>2024023618</t>
  </si>
  <si>
    <t>NB(039/2020)</t>
  </si>
  <si>
    <t>Coiff, laziri nadji</t>
  </si>
  <si>
    <t>2024023617</t>
  </si>
  <si>
    <t>NB(727/2023)</t>
  </si>
  <si>
    <t>Berraf lakhder</t>
  </si>
  <si>
    <t>2024023616</t>
  </si>
  <si>
    <t>NB(768/2023)</t>
  </si>
  <si>
    <t>Laidoudi rafaa</t>
  </si>
  <si>
    <t>2024024219</t>
  </si>
  <si>
    <t>NB(776/2023)</t>
  </si>
  <si>
    <t>Menheb ali</t>
  </si>
  <si>
    <t>BR0904</t>
  </si>
  <si>
    <t>2024024279</t>
  </si>
  <si>
    <t>Elimination Forfait</t>
  </si>
  <si>
    <t>BR0426</t>
  </si>
  <si>
    <t>2024024274</t>
  </si>
  <si>
    <t>2024024271</t>
  </si>
  <si>
    <t>NB(146/2024)</t>
  </si>
  <si>
    <t>Amenna aek b/lakhdar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</si>
  <si>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</si>
  <si>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</si>
  <si>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2024083384</t>
  </si>
  <si>
    <t>NB(297/2023)</t>
  </si>
  <si>
    <t>Riah rabah</t>
  </si>
  <si>
    <t>2024083198</t>
  </si>
  <si>
    <t>Logts Fonction</t>
  </si>
  <si>
    <t>NB(088/2023)</t>
  </si>
  <si>
    <t>2024083502</t>
  </si>
  <si>
    <t>NB(329/2024)</t>
  </si>
  <si>
    <t>Razem Oussama</t>
  </si>
  <si>
    <t>2024083088</t>
  </si>
  <si>
    <t>NB</t>
  </si>
  <si>
    <t>2024083896</t>
  </si>
  <si>
    <t>NB(109/2024)</t>
  </si>
  <si>
    <t>Laziri benhaoua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</si>
  <si>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</si>
  <si>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BR0348</t>
  </si>
  <si>
    <t>Allali djamel</t>
  </si>
  <si>
    <t>2024083891</t>
  </si>
  <si>
    <t>NB(368/2024)</t>
  </si>
  <si>
    <t>Yalichani mokhtar</t>
  </si>
  <si>
    <t>2024109242</t>
  </si>
  <si>
    <t>2024109241</t>
  </si>
  <si>
    <t xml:space="preserve">Berraf smaine 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</si>
  <si>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</si>
  <si>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BR0898</t>
  </si>
  <si>
    <t>2024109199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</si>
  <si>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</si>
  <si>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2024109023</t>
  </si>
  <si>
    <t>Berraf youcef</t>
  </si>
  <si>
    <t>2024109024</t>
  </si>
  <si>
    <t>Berraf a/chkour</t>
  </si>
  <si>
    <t>2024109543</t>
  </si>
  <si>
    <t>2024109546</t>
  </si>
  <si>
    <t>Berraf med b/bouhaik</t>
  </si>
  <si>
    <t>Berraf kamel b/bouhaik</t>
  </si>
  <si>
    <t>2024109025</t>
  </si>
  <si>
    <t>BR0508</t>
  </si>
  <si>
    <t>BR0469</t>
  </si>
  <si>
    <t>2024109029</t>
  </si>
  <si>
    <t>NB(423/2023)</t>
  </si>
  <si>
    <t>NB(427/2024)</t>
  </si>
  <si>
    <t>NB(336/2024)</t>
  </si>
  <si>
    <t>2024109132</t>
  </si>
  <si>
    <t>Boukhit youcef</t>
  </si>
  <si>
    <t>NB(347/2024)</t>
  </si>
  <si>
    <t>2024109140</t>
  </si>
  <si>
    <t>NB(330/2024)</t>
  </si>
  <si>
    <t>Ali kara a/rezzak</t>
  </si>
  <si>
    <t>2024109878</t>
  </si>
  <si>
    <t>NB(326/2024)</t>
  </si>
  <si>
    <t>Azibi med</t>
  </si>
  <si>
    <t>2024109877</t>
  </si>
  <si>
    <t>2024109880</t>
  </si>
  <si>
    <t>Bensaidane yacine</t>
  </si>
  <si>
    <t>Yalichani med</t>
  </si>
  <si>
    <t>NB(348/2024)</t>
  </si>
  <si>
    <t>NB(362/2024)</t>
  </si>
  <si>
    <t>2024109874</t>
  </si>
  <si>
    <t>Zaouaki zahra vve azibi</t>
  </si>
  <si>
    <t>2024109058</t>
  </si>
  <si>
    <t>NB(424/2024)</t>
  </si>
  <si>
    <t>yalichani aissa</t>
  </si>
  <si>
    <t>2024109780</t>
  </si>
  <si>
    <t>NB(390/2024)</t>
  </si>
  <si>
    <t>sakhri rabia vve menasri</t>
  </si>
  <si>
    <t>2024109779</t>
  </si>
  <si>
    <t>NB(327/2024)</t>
  </si>
  <si>
    <t>gassairi ahmed cherif</t>
  </si>
  <si>
    <r>
      <t xml:space="preserve">Mois de SEPTEMBER </t>
    </r>
    <r>
      <rPr>
        <b/>
        <sz val="11"/>
        <rFont val="Arial"/>
        <family val="2"/>
      </rPr>
      <t>2024</t>
    </r>
  </si>
  <si>
    <t>Daami lakhdar b/messaoud</t>
  </si>
  <si>
    <t>NB(361/2024)</t>
  </si>
  <si>
    <t>2024108847</t>
  </si>
  <si>
    <t>NB(535/2024)</t>
  </si>
  <si>
    <t>Menasri lakhdar</t>
  </si>
  <si>
    <t>2024108848</t>
  </si>
  <si>
    <t>Rit miloud</t>
  </si>
  <si>
    <t>NB(521/2024)</t>
  </si>
  <si>
    <t>2024109692</t>
  </si>
  <si>
    <t>NB(356/2024)</t>
  </si>
  <si>
    <t>Lamri amine</t>
  </si>
  <si>
    <t>2024108630</t>
  </si>
  <si>
    <t>2024109698</t>
  </si>
  <si>
    <t>Bakhti messaouda</t>
  </si>
  <si>
    <t>NB(341/2024)</t>
  </si>
  <si>
    <t>2024108846</t>
  </si>
  <si>
    <t>NB(398/2024)</t>
  </si>
  <si>
    <t>Allali brahim</t>
  </si>
  <si>
    <t>2024109127</t>
  </si>
  <si>
    <t>NB(575/2024)</t>
  </si>
  <si>
    <t>Azib rebh el machi</t>
  </si>
  <si>
    <t>NB(455/2024)</t>
  </si>
  <si>
    <r>
      <t xml:space="preserve">Mois de OCTOBRE </t>
    </r>
    <r>
      <rPr>
        <b/>
        <sz val="11"/>
        <rFont val="Arial"/>
        <family val="2"/>
      </rPr>
      <t>2024</t>
    </r>
  </si>
  <si>
    <t>2024164389</t>
  </si>
  <si>
    <t>2024164390</t>
  </si>
  <si>
    <t>2024164388</t>
  </si>
  <si>
    <t>2024164386</t>
  </si>
  <si>
    <t>2024159020</t>
  </si>
  <si>
    <t>2024164232</t>
  </si>
  <si>
    <t>2024164237</t>
  </si>
  <si>
    <t>Laziri faycel</t>
  </si>
  <si>
    <t>laziri redouane</t>
  </si>
  <si>
    <t>laziri hicheme</t>
  </si>
  <si>
    <t>razem salim</t>
  </si>
  <si>
    <t>seridj yacine</t>
  </si>
  <si>
    <t>abdouche n/eddine</t>
  </si>
  <si>
    <t>berraf n/eddine</t>
  </si>
  <si>
    <t>2024164396</t>
  </si>
  <si>
    <t>Laidoudi abdelwahab</t>
  </si>
  <si>
    <t>NB(443/2024)</t>
  </si>
  <si>
    <t>BR0621</t>
  </si>
  <si>
    <t>NB(371/2024)</t>
  </si>
  <si>
    <t>NB(422/2023)</t>
  </si>
  <si>
    <t>NB(655/2024)</t>
  </si>
  <si>
    <t>NB(397/2024)</t>
  </si>
  <si>
    <t>NB(563/2024)</t>
  </si>
  <si>
    <t>NB(6561/2024)</t>
  </si>
  <si>
    <t>NB(564/2024)</t>
  </si>
  <si>
    <t>NB572/2024)</t>
  </si>
  <si>
    <r>
      <t xml:space="preserve">Mois de NOVEMBRE </t>
    </r>
    <r>
      <rPr>
        <b/>
        <sz val="11"/>
        <rFont val="Arial"/>
        <family val="2"/>
      </rPr>
      <t>2024</t>
    </r>
  </si>
  <si>
    <t>BR0003</t>
  </si>
  <si>
    <t>2024219796</t>
  </si>
  <si>
    <t>BR0005</t>
  </si>
  <si>
    <t>2024219800</t>
  </si>
  <si>
    <t>BR0009</t>
  </si>
  <si>
    <t>2024219797</t>
  </si>
  <si>
    <t>BR0019</t>
  </si>
  <si>
    <t>2024219794</t>
  </si>
  <si>
    <t>BR0026</t>
  </si>
  <si>
    <t>2024219795</t>
  </si>
  <si>
    <t>BR0038</t>
  </si>
  <si>
    <t>2024219791</t>
  </si>
  <si>
    <t>2024219793</t>
  </si>
  <si>
    <t>BR0052</t>
  </si>
  <si>
    <t>2024219798</t>
  </si>
  <si>
    <t>BR0080</t>
  </si>
  <si>
    <t>BR0086</t>
  </si>
  <si>
    <t>2024219792</t>
  </si>
  <si>
    <t>2024219799</t>
  </si>
  <si>
    <t>BR0140</t>
  </si>
  <si>
    <t>BR0204</t>
  </si>
  <si>
    <t>2024219637</t>
  </si>
  <si>
    <t>BR0215</t>
  </si>
  <si>
    <t>2024219635</t>
  </si>
  <si>
    <t>BR0224</t>
  </si>
  <si>
    <t>2024219704</t>
  </si>
  <si>
    <t>BR0232</t>
  </si>
  <si>
    <t>2024219706</t>
  </si>
  <si>
    <t>BR0265</t>
  </si>
  <si>
    <t>2024219634</t>
  </si>
  <si>
    <t>BR0272</t>
  </si>
  <si>
    <t>2024219631</t>
  </si>
  <si>
    <t>BR0300</t>
  </si>
  <si>
    <t>2024219640</t>
  </si>
  <si>
    <t>BR0444</t>
  </si>
  <si>
    <t>2024219702</t>
  </si>
  <si>
    <t>2024219636</t>
  </si>
  <si>
    <t>BR0451</t>
  </si>
  <si>
    <t>BR0487</t>
  </si>
  <si>
    <t>2024219638</t>
  </si>
  <si>
    <t>2024219701</t>
  </si>
  <si>
    <t>BR0513</t>
  </si>
  <si>
    <t>2024219708</t>
  </si>
  <si>
    <t>BR0514</t>
  </si>
  <si>
    <t>2024219709</t>
  </si>
  <si>
    <t>BR0613</t>
  </si>
  <si>
    <t>2024219705</t>
  </si>
  <si>
    <t>BR0651</t>
  </si>
  <si>
    <t>2024219632</t>
  </si>
  <si>
    <t>BR0709</t>
  </si>
  <si>
    <t>2024219710</t>
  </si>
  <si>
    <t>BR0712</t>
  </si>
  <si>
    <t>2024219707</t>
  </si>
  <si>
    <t>BR0769</t>
  </si>
  <si>
    <t>2024219639</t>
  </si>
  <si>
    <t>BR0779</t>
  </si>
  <si>
    <t>2024219633</t>
  </si>
  <si>
    <t>BR0964</t>
  </si>
  <si>
    <t>2024219703</t>
  </si>
  <si>
    <t>2024218720</t>
  </si>
  <si>
    <t>NB(335/2024)</t>
  </si>
  <si>
    <t>Boura hamid ben lahrache</t>
  </si>
  <si>
    <t>2024218718</t>
  </si>
  <si>
    <t>Berraf rabah</t>
  </si>
  <si>
    <t>NB(354/2024)</t>
  </si>
  <si>
    <t>BR0057</t>
  </si>
  <si>
    <t>2024218712</t>
  </si>
  <si>
    <t>BR0248</t>
  </si>
  <si>
    <t>2024218716</t>
  </si>
  <si>
    <t>BR0319</t>
  </si>
  <si>
    <t>2024218717</t>
  </si>
  <si>
    <t>BR0339</t>
  </si>
  <si>
    <t>2024218714</t>
  </si>
  <si>
    <t>BR0340</t>
  </si>
  <si>
    <t>2024218713</t>
  </si>
  <si>
    <t>BR0544</t>
  </si>
  <si>
    <t>2024218715</t>
  </si>
  <si>
    <t>BR0560</t>
  </si>
  <si>
    <t>2024218719</t>
  </si>
  <si>
    <t>BR0188</t>
  </si>
  <si>
    <t>2024218711</t>
  </si>
  <si>
    <t>2024220453</t>
  </si>
  <si>
    <t>2024220452</t>
  </si>
  <si>
    <t>2024220451</t>
  </si>
  <si>
    <t>2024220460</t>
  </si>
  <si>
    <t>Laizizi ahmed ben yahia</t>
  </si>
  <si>
    <t>Bouchi faycel</t>
  </si>
  <si>
    <t>Allali hakim</t>
  </si>
  <si>
    <t>Abdouche mustapha</t>
  </si>
  <si>
    <t>BR0596</t>
  </si>
  <si>
    <t>2024220459</t>
  </si>
  <si>
    <t>BR0634</t>
  </si>
  <si>
    <t>2024220455</t>
  </si>
  <si>
    <t>BR0909</t>
  </si>
  <si>
    <t>2024220454</t>
  </si>
  <si>
    <t>BR0498</t>
  </si>
  <si>
    <r>
      <t xml:space="preserve">Mois de DECEMBRE </t>
    </r>
    <r>
      <rPr>
        <b/>
        <sz val="11"/>
        <rFont val="Arial"/>
        <family val="2"/>
      </rPr>
      <t>2024</t>
    </r>
  </si>
  <si>
    <t>2024220457</t>
  </si>
  <si>
    <t>NB(536/2024)</t>
  </si>
  <si>
    <t>Abbad med-seghir</t>
  </si>
  <si>
    <t>2024220458</t>
  </si>
  <si>
    <t>Ait rabah b/tahar</t>
  </si>
  <si>
    <t>NB(562/2024)</t>
  </si>
  <si>
    <t>2024219128</t>
  </si>
  <si>
    <t>NB(689/2024)</t>
  </si>
  <si>
    <t xml:space="preserve">Mag bouras karmia </t>
  </si>
  <si>
    <t>2024220436</t>
  </si>
  <si>
    <t>2024220437</t>
  </si>
  <si>
    <t>Laibidi raffa</t>
  </si>
  <si>
    <t>Abdouche nabil</t>
  </si>
  <si>
    <t>NB(710/2024)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</si>
</sst>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6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right" vertical="center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17</xdr:row>
      <xdr:rowOff>57150</xdr:rowOff>
    </xdr:from>
    <xdr:to>
      <xdr:col>5</xdr:col>
      <xdr:colOff>1304925</xdr:colOff>
      <xdr:row>46</xdr:row>
      <xdr:rowOff>0</xdr:rowOff>
    </xdr:to>
    <xdr:cxnSp macro="">
      <xdr:nvCxnSpPr>
        <xdr:cNvPr id="3" name="Connecteur droit 2"/>
        <xdr:cNvCxnSpPr/>
      </xdr:nvCxnSpPr>
      <xdr:spPr>
        <a:xfrm flipH="1">
          <a:off x="609602" y="3467100"/>
          <a:ext cx="4533898" cy="5467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6</xdr:row>
      <xdr:rowOff>28575</xdr:rowOff>
    </xdr:from>
    <xdr:to>
      <xdr:col>5</xdr:col>
      <xdr:colOff>1295400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9602" y="1343025"/>
          <a:ext cx="4524373" cy="7591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19059</xdr:colOff>
      <xdr:row>21</xdr:row>
      <xdr:rowOff>19050</xdr:rowOff>
    </xdr:from>
    <xdr:to>
      <xdr:col>6</xdr:col>
      <xdr:colOff>0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9609" y="4191000"/>
          <a:ext cx="4543416" cy="4743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19059</xdr:colOff>
      <xdr:row>5</xdr:row>
      <xdr:rowOff>257175</xdr:rowOff>
    </xdr:from>
    <xdr:to>
      <xdr:col>6</xdr:col>
      <xdr:colOff>0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9609" y="1304925"/>
          <a:ext cx="4543416" cy="762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19059</xdr:colOff>
      <xdr:row>10</xdr:row>
      <xdr:rowOff>47625</xdr:rowOff>
    </xdr:from>
    <xdr:to>
      <xdr:col>5</xdr:col>
      <xdr:colOff>1295400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9609" y="2124075"/>
          <a:ext cx="4524366" cy="6810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19060</xdr:colOff>
      <xdr:row>9</xdr:row>
      <xdr:rowOff>180975</xdr:rowOff>
    </xdr:from>
    <xdr:to>
      <xdr:col>5</xdr:col>
      <xdr:colOff>1285875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9610" y="2066925"/>
          <a:ext cx="4514840" cy="6867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19060</xdr:colOff>
      <xdr:row>7</xdr:row>
      <xdr:rowOff>0</xdr:rowOff>
    </xdr:from>
    <xdr:to>
      <xdr:col>7</xdr:col>
      <xdr:colOff>19050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9610" y="1504950"/>
          <a:ext cx="4562465" cy="742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19064</xdr:colOff>
      <xdr:row>19</xdr:row>
      <xdr:rowOff>38100</xdr:rowOff>
    </xdr:from>
    <xdr:to>
      <xdr:col>5</xdr:col>
      <xdr:colOff>1285875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09614" y="3829050"/>
          <a:ext cx="4514836" cy="5105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180975</xdr:rowOff>
    </xdr:from>
    <xdr:to>
      <xdr:col>5</xdr:col>
      <xdr:colOff>1295400</xdr:colOff>
      <xdr:row>45</xdr:row>
      <xdr:rowOff>180975</xdr:rowOff>
    </xdr:to>
    <xdr:cxnSp macro="">
      <xdr:nvCxnSpPr>
        <xdr:cNvPr id="2" name="Connecteur droit 1"/>
        <xdr:cNvCxnSpPr/>
      </xdr:nvCxnSpPr>
      <xdr:spPr>
        <a:xfrm flipH="1">
          <a:off x="638175" y="3019425"/>
          <a:ext cx="4495800" cy="5905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13</xdr:row>
      <xdr:rowOff>171450</xdr:rowOff>
    </xdr:from>
    <xdr:to>
      <xdr:col>7</xdr:col>
      <xdr:colOff>19050</xdr:colOff>
      <xdr:row>45</xdr:row>
      <xdr:rowOff>180975</xdr:rowOff>
    </xdr:to>
    <xdr:cxnSp macro="">
      <xdr:nvCxnSpPr>
        <xdr:cNvPr id="2" name="Connecteur droit 1"/>
        <xdr:cNvCxnSpPr/>
      </xdr:nvCxnSpPr>
      <xdr:spPr>
        <a:xfrm flipH="1">
          <a:off x="638175" y="2819400"/>
          <a:ext cx="4533900" cy="6105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53</xdr:row>
      <xdr:rowOff>28575</xdr:rowOff>
    </xdr:from>
    <xdr:to>
      <xdr:col>5</xdr:col>
      <xdr:colOff>1485900</xdr:colOff>
      <xdr:row>85</xdr:row>
      <xdr:rowOff>180975</xdr:rowOff>
    </xdr:to>
    <xdr:cxnSp macro="">
      <xdr:nvCxnSpPr>
        <xdr:cNvPr id="2" name="Connecteur droit 1"/>
        <xdr:cNvCxnSpPr/>
      </xdr:nvCxnSpPr>
      <xdr:spPr>
        <a:xfrm flipH="1">
          <a:off x="619125" y="10296525"/>
          <a:ext cx="4705350" cy="6248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10</xdr:row>
      <xdr:rowOff>171450</xdr:rowOff>
    </xdr:from>
    <xdr:to>
      <xdr:col>5</xdr:col>
      <xdr:colOff>1476376</xdr:colOff>
      <xdr:row>46</xdr:row>
      <xdr:rowOff>9525</xdr:rowOff>
    </xdr:to>
    <xdr:cxnSp macro="">
      <xdr:nvCxnSpPr>
        <xdr:cNvPr id="2" name="Connecteur droit 1"/>
        <xdr:cNvCxnSpPr/>
      </xdr:nvCxnSpPr>
      <xdr:spPr>
        <a:xfrm flipH="1">
          <a:off x="619125" y="2247900"/>
          <a:ext cx="4695826" cy="6696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I6" sqref="I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11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17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11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18</v>
      </c>
      <c r="C7" s="10" t="s">
        <v>19</v>
      </c>
      <c r="D7" s="9" t="s">
        <v>44</v>
      </c>
      <c r="E7" s="12">
        <v>45295</v>
      </c>
      <c r="F7" s="21" t="s">
        <v>45</v>
      </c>
      <c r="G7" s="25">
        <v>1</v>
      </c>
      <c r="H7" s="29" t="s">
        <v>46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18</v>
      </c>
      <c r="C8" s="10" t="s">
        <v>19</v>
      </c>
      <c r="D8" s="23" t="s">
        <v>29</v>
      </c>
      <c r="E8" s="12">
        <v>45295</v>
      </c>
      <c r="F8" s="21" t="s">
        <v>34</v>
      </c>
      <c r="G8" s="25">
        <v>1</v>
      </c>
      <c r="H8" s="26" t="s">
        <v>33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18</v>
      </c>
      <c r="C9" s="10" t="s">
        <v>19</v>
      </c>
      <c r="D9" s="23" t="s">
        <v>30</v>
      </c>
      <c r="E9" s="12">
        <v>45295</v>
      </c>
      <c r="F9" s="21" t="s">
        <v>36</v>
      </c>
      <c r="G9" s="17">
        <v>1</v>
      </c>
      <c r="H9" s="26" t="s">
        <v>35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18</v>
      </c>
      <c r="C10" s="10" t="s">
        <v>19</v>
      </c>
      <c r="D10" s="23" t="s">
        <v>31</v>
      </c>
      <c r="E10" s="12">
        <v>45295</v>
      </c>
      <c r="F10" s="21" t="s">
        <v>38</v>
      </c>
      <c r="G10" s="25">
        <v>1</v>
      </c>
      <c r="H10" s="28" t="s">
        <v>37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18</v>
      </c>
      <c r="C11" s="10" t="s">
        <v>19</v>
      </c>
      <c r="D11" s="23" t="s">
        <v>32</v>
      </c>
      <c r="E11" s="12">
        <v>45295</v>
      </c>
      <c r="F11" s="21" t="s">
        <v>40</v>
      </c>
      <c r="G11" s="25">
        <v>1</v>
      </c>
      <c r="H11" s="28" t="s">
        <v>39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18</v>
      </c>
      <c r="C12" s="10" t="s">
        <v>19</v>
      </c>
      <c r="D12" s="9" t="s">
        <v>41</v>
      </c>
      <c r="E12" s="12">
        <v>45295</v>
      </c>
      <c r="F12" s="21" t="s">
        <v>42</v>
      </c>
      <c r="G12" s="17">
        <v>1</v>
      </c>
      <c r="H12" s="26" t="s">
        <v>43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18</v>
      </c>
      <c r="C13" s="10" t="s">
        <v>19</v>
      </c>
      <c r="D13" s="9" t="s">
        <v>20</v>
      </c>
      <c r="E13" s="12">
        <v>45295</v>
      </c>
      <c r="F13" s="21" t="s">
        <v>21</v>
      </c>
      <c r="G13" s="17">
        <v>1</v>
      </c>
      <c r="H13" s="26" t="s">
        <v>22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18</v>
      </c>
      <c r="C14" s="10" t="s">
        <v>19</v>
      </c>
      <c r="D14" s="9" t="s">
        <v>23</v>
      </c>
      <c r="E14" s="12">
        <v>45295</v>
      </c>
      <c r="F14" s="21" t="s">
        <v>25</v>
      </c>
      <c r="G14" s="25">
        <v>1</v>
      </c>
      <c r="H14" s="26" t="s">
        <v>24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18</v>
      </c>
      <c r="C15" s="10" t="s">
        <v>19</v>
      </c>
      <c r="D15" s="9" t="s">
        <v>26</v>
      </c>
      <c r="E15" s="12">
        <v>45295</v>
      </c>
      <c r="F15" s="21" t="s">
        <v>27</v>
      </c>
      <c r="G15" s="17">
        <v>1</v>
      </c>
      <c r="H15" s="26" t="s">
        <v>28</v>
      </c>
      <c r="I15" s="2"/>
      <c r="J15" s="2"/>
    </row>
    <row r="16" spans="1:11" ht="15" customHeight="1" x14ac:dyDescent="0.25">
      <c r="A16" s="15">
        <f t="shared" si="0"/>
        <v>10</v>
      </c>
      <c r="B16" s="13" t="s">
        <v>18</v>
      </c>
      <c r="C16" s="10" t="s">
        <v>19</v>
      </c>
      <c r="D16" s="23" t="s">
        <v>47</v>
      </c>
      <c r="E16" s="12">
        <v>45299</v>
      </c>
      <c r="F16" s="21" t="s">
        <v>51</v>
      </c>
      <c r="G16" s="25">
        <v>1</v>
      </c>
      <c r="H16" s="29" t="s">
        <v>52</v>
      </c>
      <c r="I16" s="2"/>
      <c r="J16" s="2"/>
    </row>
    <row r="17" spans="1:10" ht="15" customHeight="1" x14ac:dyDescent="0.25">
      <c r="A17" s="15">
        <f t="shared" si="0"/>
        <v>11</v>
      </c>
      <c r="B17" s="13" t="s">
        <v>18</v>
      </c>
      <c r="C17" s="10" t="s">
        <v>19</v>
      </c>
      <c r="D17" s="23" t="s">
        <v>48</v>
      </c>
      <c r="E17" s="12">
        <v>45299</v>
      </c>
      <c r="F17" s="21" t="s">
        <v>49</v>
      </c>
      <c r="G17" s="25">
        <v>1</v>
      </c>
      <c r="H17" s="28" t="s">
        <v>50</v>
      </c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H15">
    <sortCondition ref="E7:E15"/>
    <sortCondition ref="D7:D15"/>
  </sortState>
  <mergeCells count="11">
    <mergeCell ref="A4:F4"/>
    <mergeCell ref="I4:J4"/>
    <mergeCell ref="A5:F5"/>
    <mergeCell ref="I5:J5"/>
    <mergeCell ref="A1:C1"/>
    <mergeCell ref="A2:C2"/>
    <mergeCell ref="I2:J2"/>
    <mergeCell ref="A3:C3"/>
    <mergeCell ref="I3:J3"/>
    <mergeCell ref="E2:F2"/>
    <mergeCell ref="E3:F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0" sqref="F4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53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25">
        <v>1</v>
      </c>
      <c r="H7" s="29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23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25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25">
        <v>1</v>
      </c>
      <c r="H11" s="28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17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25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25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2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13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54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15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18</v>
      </c>
      <c r="C7" s="10" t="s">
        <v>19</v>
      </c>
      <c r="D7" s="9" t="s">
        <v>70</v>
      </c>
      <c r="E7" s="12">
        <v>45354</v>
      </c>
      <c r="F7" s="21" t="s">
        <v>71</v>
      </c>
      <c r="G7" s="17">
        <v>1</v>
      </c>
      <c r="H7" s="26" t="s">
        <v>72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18</v>
      </c>
      <c r="C8" s="10" t="s">
        <v>19</v>
      </c>
      <c r="D8" s="9" t="s">
        <v>67</v>
      </c>
      <c r="E8" s="12">
        <v>45354</v>
      </c>
      <c r="F8" s="21" t="s">
        <v>68</v>
      </c>
      <c r="G8" s="25">
        <v>1</v>
      </c>
      <c r="H8" s="28" t="s">
        <v>69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18</v>
      </c>
      <c r="C9" s="10" t="s">
        <v>19</v>
      </c>
      <c r="D9" s="9" t="s">
        <v>64</v>
      </c>
      <c r="E9" s="12">
        <v>45354</v>
      </c>
      <c r="F9" s="21" t="s">
        <v>65</v>
      </c>
      <c r="G9" s="25">
        <v>1</v>
      </c>
      <c r="H9" s="28" t="s">
        <v>66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18</v>
      </c>
      <c r="C10" s="10" t="s">
        <v>19</v>
      </c>
      <c r="D10" s="9" t="s">
        <v>61</v>
      </c>
      <c r="E10" s="12">
        <v>45354</v>
      </c>
      <c r="F10" s="21" t="s">
        <v>62</v>
      </c>
      <c r="G10" s="17">
        <v>1</v>
      </c>
      <c r="H10" s="26" t="s">
        <v>63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18</v>
      </c>
      <c r="C11" s="10" t="s">
        <v>19</v>
      </c>
      <c r="D11" s="9" t="s">
        <v>58</v>
      </c>
      <c r="E11" s="12">
        <v>45354</v>
      </c>
      <c r="F11" s="21" t="s">
        <v>59</v>
      </c>
      <c r="G11" s="25">
        <v>1</v>
      </c>
      <c r="H11" s="26" t="s">
        <v>60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18</v>
      </c>
      <c r="C12" s="10" t="s">
        <v>19</v>
      </c>
      <c r="D12" s="9" t="s">
        <v>84</v>
      </c>
      <c r="E12" s="12">
        <v>45354</v>
      </c>
      <c r="F12" s="21" t="s">
        <v>85</v>
      </c>
      <c r="G12" s="25">
        <v>1</v>
      </c>
      <c r="H12" s="28" t="s">
        <v>86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18</v>
      </c>
      <c r="C13" s="10" t="s">
        <v>19</v>
      </c>
      <c r="D13" s="9" t="s">
        <v>81</v>
      </c>
      <c r="E13" s="12">
        <v>45354</v>
      </c>
      <c r="F13" s="21" t="s">
        <v>82</v>
      </c>
      <c r="G13" s="25">
        <v>1</v>
      </c>
      <c r="H13" s="29" t="s">
        <v>83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18</v>
      </c>
      <c r="C14" s="10" t="s">
        <v>19</v>
      </c>
      <c r="D14" s="9" t="s">
        <v>78</v>
      </c>
      <c r="E14" s="12">
        <v>45354</v>
      </c>
      <c r="F14" s="21" t="s">
        <v>79</v>
      </c>
      <c r="G14" s="17">
        <v>1</v>
      </c>
      <c r="H14" s="26" t="s">
        <v>80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18</v>
      </c>
      <c r="C15" s="10" t="s">
        <v>19</v>
      </c>
      <c r="D15" s="9" t="s">
        <v>75</v>
      </c>
      <c r="E15" s="12">
        <v>45354</v>
      </c>
      <c r="F15" s="21" t="s">
        <v>76</v>
      </c>
      <c r="G15" s="25">
        <v>1</v>
      </c>
      <c r="H15" s="26" t="s">
        <v>77</v>
      </c>
      <c r="I15" s="2"/>
      <c r="J15" s="2"/>
    </row>
    <row r="16" spans="1:11" ht="15" customHeight="1" x14ac:dyDescent="0.25">
      <c r="A16" s="15">
        <f t="shared" si="0"/>
        <v>10</v>
      </c>
      <c r="B16" s="13" t="s">
        <v>18</v>
      </c>
      <c r="C16" s="10" t="s">
        <v>19</v>
      </c>
      <c r="D16" s="9" t="s">
        <v>73</v>
      </c>
      <c r="E16" s="12">
        <v>45354</v>
      </c>
      <c r="F16" s="21" t="s">
        <v>42</v>
      </c>
      <c r="G16" s="17">
        <v>1</v>
      </c>
      <c r="H16" s="26" t="s">
        <v>74</v>
      </c>
      <c r="I16" s="2"/>
      <c r="J16" s="2"/>
    </row>
    <row r="17" spans="1:10" ht="15" customHeight="1" x14ac:dyDescent="0.25">
      <c r="A17" s="15">
        <f t="shared" si="0"/>
        <v>11</v>
      </c>
      <c r="B17" s="13" t="s">
        <v>18</v>
      </c>
      <c r="C17" s="10" t="s">
        <v>19</v>
      </c>
      <c r="D17" s="9" t="s">
        <v>55</v>
      </c>
      <c r="E17" s="12">
        <v>45354</v>
      </c>
      <c r="F17" s="21" t="s">
        <v>56</v>
      </c>
      <c r="G17" s="25">
        <v>1</v>
      </c>
      <c r="H17" s="29" t="s">
        <v>57</v>
      </c>
      <c r="I17" s="2"/>
      <c r="J17" s="2"/>
    </row>
    <row r="18" spans="1:10" ht="15" customHeight="1" x14ac:dyDescent="0.25">
      <c r="A18" s="15">
        <f t="shared" si="0"/>
        <v>12</v>
      </c>
      <c r="B18" s="13" t="s">
        <v>18</v>
      </c>
      <c r="C18" s="10" t="s">
        <v>19</v>
      </c>
      <c r="D18" s="23" t="s">
        <v>87</v>
      </c>
      <c r="E18" s="12">
        <v>45371</v>
      </c>
      <c r="F18" s="21" t="s">
        <v>88</v>
      </c>
      <c r="G18" s="25">
        <v>1</v>
      </c>
      <c r="H18" s="28" t="s">
        <v>89</v>
      </c>
      <c r="I18" s="2"/>
      <c r="J18" s="2"/>
    </row>
    <row r="19" spans="1:10" ht="15" customHeight="1" x14ac:dyDescent="0.25">
      <c r="A19" s="15">
        <f t="shared" si="0"/>
        <v>13</v>
      </c>
      <c r="B19" s="23" t="s">
        <v>90</v>
      </c>
      <c r="C19" s="10" t="s">
        <v>19</v>
      </c>
      <c r="D19" s="23" t="s">
        <v>91</v>
      </c>
      <c r="E19" s="12">
        <v>45377</v>
      </c>
      <c r="F19" s="24" t="s">
        <v>92</v>
      </c>
      <c r="G19" s="25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 t="s">
        <v>18</v>
      </c>
      <c r="C20" s="13" t="s">
        <v>19</v>
      </c>
      <c r="D20" s="23" t="s">
        <v>95</v>
      </c>
      <c r="E20" s="12">
        <v>45379</v>
      </c>
      <c r="F20" s="21" t="s">
        <v>96</v>
      </c>
      <c r="G20" s="25">
        <v>1</v>
      </c>
      <c r="H20" s="28" t="s">
        <v>97</v>
      </c>
      <c r="I20" s="2"/>
      <c r="J20" s="2"/>
    </row>
    <row r="21" spans="1:10" ht="15" customHeight="1" x14ac:dyDescent="0.25">
      <c r="A21" s="15">
        <f t="shared" si="0"/>
        <v>15</v>
      </c>
      <c r="B21" s="12" t="s">
        <v>93</v>
      </c>
      <c r="C21" s="10" t="s">
        <v>19</v>
      </c>
      <c r="D21" s="23" t="s">
        <v>94</v>
      </c>
      <c r="E21" s="12">
        <v>45379</v>
      </c>
      <c r="F21" s="24" t="s">
        <v>92</v>
      </c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H21">
    <sortCondition ref="E7:E21"/>
    <sortCondition ref="D7:D2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98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1"/>
      <c r="G8" s="25">
        <v>1</v>
      </c>
      <c r="H8" s="28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25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17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17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23"/>
      <c r="E18" s="12"/>
      <c r="F18" s="21"/>
      <c r="G18" s="25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1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10" sqref="H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4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99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4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18</v>
      </c>
      <c r="C7" s="10" t="s">
        <v>19</v>
      </c>
      <c r="D7" s="9" t="s">
        <v>100</v>
      </c>
      <c r="E7" s="12">
        <v>45420</v>
      </c>
      <c r="F7" s="21" t="s">
        <v>101</v>
      </c>
      <c r="G7" s="17">
        <v>1</v>
      </c>
      <c r="H7" s="26" t="s">
        <v>102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18</v>
      </c>
      <c r="C8" s="10" t="s">
        <v>19</v>
      </c>
      <c r="D8" s="9" t="s">
        <v>103</v>
      </c>
      <c r="E8" s="12">
        <v>45428</v>
      </c>
      <c r="F8" s="21" t="s">
        <v>105</v>
      </c>
      <c r="G8" s="25">
        <v>1</v>
      </c>
      <c r="H8" s="28" t="s">
        <v>104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18</v>
      </c>
      <c r="C9" s="10" t="s">
        <v>19</v>
      </c>
      <c r="D9" s="9" t="s">
        <v>106</v>
      </c>
      <c r="E9" s="12">
        <v>45438</v>
      </c>
      <c r="F9" s="21" t="s">
        <v>107</v>
      </c>
      <c r="G9" s="25">
        <v>1</v>
      </c>
      <c r="H9" s="28" t="s">
        <v>108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18</v>
      </c>
      <c r="C10" s="10" t="s">
        <v>19</v>
      </c>
      <c r="D10" s="9" t="s">
        <v>109</v>
      </c>
      <c r="E10" s="12">
        <v>45442</v>
      </c>
      <c r="F10" s="21" t="s">
        <v>190</v>
      </c>
      <c r="G10" s="17">
        <v>1</v>
      </c>
      <c r="H10" s="26" t="s">
        <v>116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17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17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23"/>
      <c r="E18" s="12"/>
      <c r="F18" s="21"/>
      <c r="G18" s="25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1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9" sqref="H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1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3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114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4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18</v>
      </c>
      <c r="C7" s="10" t="s">
        <v>19</v>
      </c>
      <c r="D7" s="9" t="s">
        <v>111</v>
      </c>
      <c r="E7" s="12">
        <v>45446</v>
      </c>
      <c r="F7" s="21" t="s">
        <v>112</v>
      </c>
      <c r="G7" s="17">
        <v>1</v>
      </c>
      <c r="H7" s="26" t="s">
        <v>113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115</v>
      </c>
      <c r="C8" s="10" t="s">
        <v>19</v>
      </c>
      <c r="D8" s="9" t="s">
        <v>117</v>
      </c>
      <c r="E8" s="12">
        <v>45448</v>
      </c>
      <c r="F8" s="24" t="s">
        <v>92</v>
      </c>
      <c r="G8" s="25">
        <v>1</v>
      </c>
      <c r="H8" s="28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18</v>
      </c>
      <c r="C9" s="10" t="s">
        <v>19</v>
      </c>
      <c r="D9" s="9" t="s">
        <v>121</v>
      </c>
      <c r="E9" s="12">
        <v>45473</v>
      </c>
      <c r="F9" s="21" t="s">
        <v>110</v>
      </c>
      <c r="G9" s="17">
        <v>1</v>
      </c>
      <c r="H9" s="26" t="s">
        <v>122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18</v>
      </c>
      <c r="C10" s="10" t="s">
        <v>19</v>
      </c>
      <c r="D10" s="9" t="s">
        <v>120</v>
      </c>
      <c r="E10" s="12">
        <v>45473</v>
      </c>
      <c r="F10" s="21" t="s">
        <v>118</v>
      </c>
      <c r="G10" s="25">
        <v>1</v>
      </c>
      <c r="H10" s="28" t="s">
        <v>119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17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17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23"/>
      <c r="E18" s="12"/>
      <c r="F18" s="21"/>
      <c r="G18" s="25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1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H10">
    <sortCondition ref="E7:E10"/>
    <sortCondition ref="D7:D1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1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0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123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124</v>
      </c>
      <c r="C7" s="10" t="s">
        <v>19</v>
      </c>
      <c r="D7" s="9" t="s">
        <v>125</v>
      </c>
      <c r="E7" s="12">
        <v>45495</v>
      </c>
      <c r="F7" s="24" t="s">
        <v>92</v>
      </c>
      <c r="G7" s="17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9"/>
      <c r="E8" s="12"/>
      <c r="F8" s="24"/>
      <c r="G8" s="25">
        <v>1</v>
      </c>
      <c r="H8" s="28"/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/>
      <c r="C9" s="10"/>
      <c r="D9" s="9"/>
      <c r="E9" s="12"/>
      <c r="F9" s="21"/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25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17">
        <v>1</v>
      </c>
      <c r="H14" s="26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17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23"/>
      <c r="E18" s="12"/>
      <c r="F18" s="21"/>
      <c r="G18" s="25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1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710937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2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11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126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13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18</v>
      </c>
      <c r="C7" s="10" t="s">
        <v>19</v>
      </c>
      <c r="D7" s="9" t="s">
        <v>131</v>
      </c>
      <c r="E7" s="12">
        <v>45505</v>
      </c>
      <c r="F7" s="21" t="s">
        <v>139</v>
      </c>
      <c r="G7" s="17">
        <v>1</v>
      </c>
      <c r="H7" s="26" t="s">
        <v>133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18</v>
      </c>
      <c r="C8" s="10" t="s">
        <v>19</v>
      </c>
      <c r="D8" s="9" t="s">
        <v>132</v>
      </c>
      <c r="E8" s="12">
        <v>45505</v>
      </c>
      <c r="F8" s="24" t="s">
        <v>211</v>
      </c>
      <c r="G8" s="25">
        <v>1</v>
      </c>
      <c r="H8" s="28" t="s">
        <v>134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18</v>
      </c>
      <c r="C9" s="10" t="s">
        <v>19</v>
      </c>
      <c r="D9" s="9" t="s">
        <v>127</v>
      </c>
      <c r="E9" s="12">
        <v>45508</v>
      </c>
      <c r="F9" s="24" t="s">
        <v>141</v>
      </c>
      <c r="G9" s="17">
        <v>1</v>
      </c>
      <c r="H9" s="26" t="s">
        <v>128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18</v>
      </c>
      <c r="C10" s="10" t="s">
        <v>19</v>
      </c>
      <c r="D10" s="9" t="s">
        <v>129</v>
      </c>
      <c r="E10" s="12">
        <v>45508</v>
      </c>
      <c r="F10" s="24" t="s">
        <v>140</v>
      </c>
      <c r="G10" s="25">
        <v>1</v>
      </c>
      <c r="H10" s="28" t="s">
        <v>130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136</v>
      </c>
      <c r="C11" s="10" t="s">
        <v>19</v>
      </c>
      <c r="D11" s="9" t="s">
        <v>135</v>
      </c>
      <c r="E11" s="12">
        <v>45515</v>
      </c>
      <c r="F11" s="21" t="s">
        <v>92</v>
      </c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137</v>
      </c>
      <c r="C12" s="10" t="s">
        <v>19</v>
      </c>
      <c r="D12" s="9" t="s">
        <v>138</v>
      </c>
      <c r="E12" s="12">
        <v>45515</v>
      </c>
      <c r="F12" s="21" t="s">
        <v>92</v>
      </c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18</v>
      </c>
      <c r="C13" s="10" t="s">
        <v>19</v>
      </c>
      <c r="D13" s="9" t="s">
        <v>142</v>
      </c>
      <c r="E13" s="12">
        <v>45519</v>
      </c>
      <c r="F13" s="24" t="s">
        <v>144</v>
      </c>
      <c r="G13" s="25">
        <v>1</v>
      </c>
      <c r="H13" s="29" t="s">
        <v>143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18</v>
      </c>
      <c r="C14" s="10" t="s">
        <v>19</v>
      </c>
      <c r="D14" s="9" t="s">
        <v>145</v>
      </c>
      <c r="E14" s="12">
        <v>45523</v>
      </c>
      <c r="F14" s="24" t="s">
        <v>146</v>
      </c>
      <c r="G14" s="17">
        <v>1</v>
      </c>
      <c r="H14" s="26" t="s">
        <v>147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18</v>
      </c>
      <c r="C15" s="10" t="s">
        <v>19</v>
      </c>
      <c r="D15" s="9" t="s">
        <v>148</v>
      </c>
      <c r="E15" s="12">
        <v>45524</v>
      </c>
      <c r="F15" s="24" t="s">
        <v>149</v>
      </c>
      <c r="G15" s="25">
        <v>1</v>
      </c>
      <c r="H15" s="26" t="s">
        <v>150</v>
      </c>
      <c r="I15" s="2"/>
      <c r="J15" s="2"/>
    </row>
    <row r="16" spans="1:11" ht="15" customHeight="1" x14ac:dyDescent="0.25">
      <c r="A16" s="15">
        <f t="shared" si="0"/>
        <v>10</v>
      </c>
      <c r="B16" s="13" t="s">
        <v>18</v>
      </c>
      <c r="C16" s="10" t="s">
        <v>19</v>
      </c>
      <c r="D16" s="9" t="s">
        <v>151</v>
      </c>
      <c r="E16" s="12">
        <v>45525</v>
      </c>
      <c r="F16" s="24" t="s">
        <v>155</v>
      </c>
      <c r="G16" s="17">
        <v>1</v>
      </c>
      <c r="H16" s="26" t="s">
        <v>153</v>
      </c>
      <c r="I16" s="2"/>
      <c r="J16" s="2"/>
    </row>
    <row r="17" spans="1:10" ht="15" customHeight="1" x14ac:dyDescent="0.25">
      <c r="A17" s="15">
        <f t="shared" si="0"/>
        <v>11</v>
      </c>
      <c r="B17" s="13" t="s">
        <v>18</v>
      </c>
      <c r="C17" s="10" t="s">
        <v>19</v>
      </c>
      <c r="D17" s="9" t="s">
        <v>152</v>
      </c>
      <c r="E17" s="12">
        <v>45525</v>
      </c>
      <c r="F17" s="24" t="s">
        <v>156</v>
      </c>
      <c r="G17" s="25">
        <v>1</v>
      </c>
      <c r="H17" s="29" t="s">
        <v>154</v>
      </c>
      <c r="I17" s="2"/>
      <c r="J17" s="2"/>
    </row>
    <row r="18" spans="1:10" ht="15" customHeight="1" x14ac:dyDescent="0.25">
      <c r="A18" s="15">
        <f t="shared" si="0"/>
        <v>12</v>
      </c>
      <c r="B18" s="13" t="s">
        <v>18</v>
      </c>
      <c r="C18" s="10" t="s">
        <v>19</v>
      </c>
      <c r="D18" s="9" t="s">
        <v>157</v>
      </c>
      <c r="E18" s="12">
        <v>45526</v>
      </c>
      <c r="F18" s="24" t="s">
        <v>210</v>
      </c>
      <c r="G18" s="25">
        <v>1</v>
      </c>
      <c r="H18" s="28" t="s">
        <v>158</v>
      </c>
      <c r="I18" s="2"/>
      <c r="J18" s="2"/>
    </row>
    <row r="19" spans="1:10" ht="15" customHeight="1" x14ac:dyDescent="0.25">
      <c r="A19" s="15">
        <f t="shared" si="0"/>
        <v>13</v>
      </c>
      <c r="B19" s="23" t="s">
        <v>18</v>
      </c>
      <c r="C19" s="10" t="s">
        <v>19</v>
      </c>
      <c r="D19" s="23" t="s">
        <v>159</v>
      </c>
      <c r="E19" s="12">
        <v>45533</v>
      </c>
      <c r="F19" s="24" t="s">
        <v>160</v>
      </c>
      <c r="G19" s="25">
        <v>1</v>
      </c>
      <c r="H19" s="28" t="s">
        <v>161</v>
      </c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1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H10">
    <sortCondition ref="E7:E10"/>
    <sortCondition ref="D7:D1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13" sqref="H1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6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168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6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18</v>
      </c>
      <c r="C7" s="10" t="s">
        <v>19</v>
      </c>
      <c r="D7" s="9" t="s">
        <v>165</v>
      </c>
      <c r="E7" s="12">
        <v>45537</v>
      </c>
      <c r="F7" s="24" t="s">
        <v>166</v>
      </c>
      <c r="G7" s="25">
        <v>1</v>
      </c>
      <c r="H7" s="28" t="s">
        <v>167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18</v>
      </c>
      <c r="C8" s="10" t="s">
        <v>19</v>
      </c>
      <c r="D8" s="9" t="s">
        <v>162</v>
      </c>
      <c r="E8" s="12">
        <v>45537</v>
      </c>
      <c r="F8" s="21" t="s">
        <v>163</v>
      </c>
      <c r="G8" s="17">
        <v>1</v>
      </c>
      <c r="H8" s="26" t="s">
        <v>164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18</v>
      </c>
      <c r="C9" s="10" t="s">
        <v>19</v>
      </c>
      <c r="D9" s="9" t="s">
        <v>180</v>
      </c>
      <c r="E9" s="12">
        <v>45545</v>
      </c>
      <c r="F9" s="24" t="s">
        <v>170</v>
      </c>
      <c r="G9" s="17">
        <v>1</v>
      </c>
      <c r="H9" s="26" t="s">
        <v>169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18</v>
      </c>
      <c r="C10" s="10" t="s">
        <v>19</v>
      </c>
      <c r="D10" s="9" t="s">
        <v>171</v>
      </c>
      <c r="E10" s="12">
        <v>45547</v>
      </c>
      <c r="F10" s="24" t="s">
        <v>172</v>
      </c>
      <c r="G10" s="25">
        <v>1</v>
      </c>
      <c r="H10" s="28" t="s">
        <v>173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18</v>
      </c>
      <c r="C11" s="10" t="s">
        <v>19</v>
      </c>
      <c r="D11" s="9" t="s">
        <v>174</v>
      </c>
      <c r="E11" s="12">
        <v>45547</v>
      </c>
      <c r="F11" s="24" t="s">
        <v>176</v>
      </c>
      <c r="G11" s="25">
        <v>1</v>
      </c>
      <c r="H11" s="26" t="s">
        <v>175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18</v>
      </c>
      <c r="C12" s="10" t="s">
        <v>19</v>
      </c>
      <c r="D12" s="9" t="s">
        <v>177</v>
      </c>
      <c r="E12" s="12">
        <v>45550</v>
      </c>
      <c r="F12" s="24" t="s">
        <v>178</v>
      </c>
      <c r="G12" s="25">
        <v>1</v>
      </c>
      <c r="H12" s="28" t="s">
        <v>179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18</v>
      </c>
      <c r="C13" s="10" t="s">
        <v>19</v>
      </c>
      <c r="D13" s="9" t="s">
        <v>184</v>
      </c>
      <c r="E13" s="12">
        <v>45554</v>
      </c>
      <c r="F13" s="24" t="s">
        <v>185</v>
      </c>
      <c r="G13" s="17"/>
      <c r="H13" s="26" t="s">
        <v>186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18</v>
      </c>
      <c r="C14" s="10" t="s">
        <v>19</v>
      </c>
      <c r="D14" s="9" t="s">
        <v>181</v>
      </c>
      <c r="E14" s="12">
        <v>45554</v>
      </c>
      <c r="F14" s="24" t="s">
        <v>183</v>
      </c>
      <c r="G14" s="25"/>
      <c r="H14" s="29" t="s">
        <v>182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18</v>
      </c>
      <c r="C15" s="10" t="s">
        <v>19</v>
      </c>
      <c r="D15" s="9" t="s">
        <v>187</v>
      </c>
      <c r="E15" s="12">
        <v>45565</v>
      </c>
      <c r="F15" s="24" t="s">
        <v>188</v>
      </c>
      <c r="G15" s="25"/>
      <c r="H15" s="26" t="s">
        <v>189</v>
      </c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4"/>
      <c r="G16" s="17"/>
      <c r="H16" s="26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4"/>
      <c r="G17" s="25"/>
      <c r="H17" s="29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12"/>
      <c r="F18" s="24"/>
      <c r="G18" s="25"/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/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1"/>
      <c r="G20" s="25"/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H14">
    <sortCondition ref="E7:E14"/>
    <sortCondition ref="D7:D14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9" sqref="F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SUMIF(F7:F35,"Elimination*",G7:G35)</f>
        <v>1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SUMIF(F7:F35,"NB*",G7:G35)</f>
        <v>7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SUMIF(F7:F35,"Ve*",G7:G35)</f>
        <v>0</v>
      </c>
    </row>
    <row r="5" spans="1:11" ht="15.75" x14ac:dyDescent="0.25">
      <c r="A5" s="33" t="s">
        <v>191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8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18</v>
      </c>
      <c r="C7" s="10" t="s">
        <v>19</v>
      </c>
      <c r="D7" s="9" t="s">
        <v>196</v>
      </c>
      <c r="E7" s="12">
        <v>45581</v>
      </c>
      <c r="F7" s="24" t="s">
        <v>217</v>
      </c>
      <c r="G7" s="25">
        <v>1</v>
      </c>
      <c r="H7" s="26" t="s">
        <v>203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18</v>
      </c>
      <c r="C8" s="10" t="s">
        <v>19</v>
      </c>
      <c r="D8" s="9" t="s">
        <v>197</v>
      </c>
      <c r="E8" s="12">
        <v>45581</v>
      </c>
      <c r="F8" s="24" t="s">
        <v>213</v>
      </c>
      <c r="G8" s="25">
        <v>1</v>
      </c>
      <c r="H8" s="28" t="s">
        <v>204</v>
      </c>
      <c r="I8" s="2"/>
      <c r="J8" s="2"/>
      <c r="K8" s="1"/>
    </row>
    <row r="9" spans="1:11" ht="15" customHeight="1" x14ac:dyDescent="0.25">
      <c r="A9" s="15">
        <f t="shared" ref="A9:A46" si="0">+A8+1</f>
        <v>3</v>
      </c>
      <c r="B9" s="13" t="s">
        <v>209</v>
      </c>
      <c r="C9" s="10" t="s">
        <v>19</v>
      </c>
      <c r="D9" s="9" t="s">
        <v>198</v>
      </c>
      <c r="E9" s="12">
        <v>45581</v>
      </c>
      <c r="F9" s="21" t="s">
        <v>92</v>
      </c>
      <c r="G9" s="17">
        <v>1</v>
      </c>
      <c r="H9" s="26" t="s">
        <v>205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18</v>
      </c>
      <c r="C10" s="10" t="s">
        <v>19</v>
      </c>
      <c r="D10" s="9" t="s">
        <v>195</v>
      </c>
      <c r="E10" s="12">
        <v>45582</v>
      </c>
      <c r="F10" s="24" t="s">
        <v>212</v>
      </c>
      <c r="G10" s="25">
        <v>1</v>
      </c>
      <c r="H10" s="28" t="s">
        <v>202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18</v>
      </c>
      <c r="C11" s="10" t="s">
        <v>19</v>
      </c>
      <c r="D11" s="9" t="s">
        <v>194</v>
      </c>
      <c r="E11" s="12">
        <v>45582</v>
      </c>
      <c r="F11" s="24" t="s">
        <v>214</v>
      </c>
      <c r="G11" s="17">
        <v>1</v>
      </c>
      <c r="H11" s="26" t="s">
        <v>201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18</v>
      </c>
      <c r="C12" s="10" t="s">
        <v>19</v>
      </c>
      <c r="D12" s="9" t="s">
        <v>192</v>
      </c>
      <c r="E12" s="12">
        <v>45582</v>
      </c>
      <c r="F12" s="24" t="s">
        <v>216</v>
      </c>
      <c r="G12" s="25">
        <v>1</v>
      </c>
      <c r="H12" s="28" t="s">
        <v>199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18</v>
      </c>
      <c r="C13" s="10" t="s">
        <v>19</v>
      </c>
      <c r="D13" s="9" t="s">
        <v>193</v>
      </c>
      <c r="E13" s="12">
        <v>45582</v>
      </c>
      <c r="F13" s="24" t="s">
        <v>215</v>
      </c>
      <c r="G13" s="17">
        <v>1</v>
      </c>
      <c r="H13" s="26" t="s">
        <v>200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18</v>
      </c>
      <c r="C14" s="10" t="s">
        <v>19</v>
      </c>
      <c r="D14" s="9" t="s">
        <v>206</v>
      </c>
      <c r="E14" s="12">
        <v>45594</v>
      </c>
      <c r="F14" s="24" t="s">
        <v>208</v>
      </c>
      <c r="G14" s="25">
        <v>1</v>
      </c>
      <c r="H14" s="29" t="s">
        <v>207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4"/>
      <c r="G15" s="25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4"/>
      <c r="G16" s="17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12"/>
      <c r="F18" s="24"/>
      <c r="G18" s="25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1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0"/>
      <c r="D21" s="23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x14ac:dyDescent="0.25">
      <c r="A36" s="15">
        <f t="shared" si="0"/>
        <v>30</v>
      </c>
      <c r="B36" s="12"/>
      <c r="C36" s="10"/>
      <c r="D36" s="9"/>
      <c r="E36" s="12"/>
      <c r="F36" s="21"/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</row>
  </sheetData>
  <sortState ref="B7:H13">
    <sortCondition ref="E7:E13"/>
    <sortCondition ref="D7:D1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topLeftCell="A46" workbookViewId="0">
      <selection activeCell="K52" sqref="K5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22.42578125" customWidth="1"/>
    <col min="7" max="7" width="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SUMIF(F7:F305,"Elimination*",G7:G305)</f>
        <v>41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SUMIF(F7:F305,"NB*",G7:G305)</f>
        <v>6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SUMIF(F7:F305,"Ve*",G7:G305)</f>
        <v>0</v>
      </c>
    </row>
    <row r="5" spans="1:11" ht="15.75" x14ac:dyDescent="0.25">
      <c r="A5" s="33" t="s">
        <v>218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47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229</v>
      </c>
      <c r="C7" s="10" t="s">
        <v>19</v>
      </c>
      <c r="D7" s="9" t="s">
        <v>230</v>
      </c>
      <c r="E7" s="12">
        <v>45610</v>
      </c>
      <c r="F7" s="21" t="s">
        <v>92</v>
      </c>
      <c r="G7" s="25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235</v>
      </c>
      <c r="C8" s="10" t="s">
        <v>19</v>
      </c>
      <c r="D8" s="9" t="s">
        <v>236</v>
      </c>
      <c r="E8" s="12">
        <v>45610</v>
      </c>
      <c r="F8" s="21" t="s">
        <v>92</v>
      </c>
      <c r="G8" s="25">
        <v>1</v>
      </c>
      <c r="H8" s="28"/>
      <c r="I8" s="2"/>
      <c r="J8" s="2"/>
      <c r="K8" s="1"/>
    </row>
    <row r="9" spans="1:11" ht="15" customHeight="1" x14ac:dyDescent="0.25">
      <c r="A9" s="15">
        <f t="shared" ref="A9:A72" si="0">+A8+1</f>
        <v>3</v>
      </c>
      <c r="B9" s="13" t="s">
        <v>232</v>
      </c>
      <c r="C9" s="10" t="s">
        <v>19</v>
      </c>
      <c r="D9" s="9" t="s">
        <v>231</v>
      </c>
      <c r="E9" s="12">
        <v>45610</v>
      </c>
      <c r="F9" s="21" t="s">
        <v>92</v>
      </c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225</v>
      </c>
      <c r="C10" s="10" t="s">
        <v>19</v>
      </c>
      <c r="D10" s="9" t="s">
        <v>226</v>
      </c>
      <c r="E10" s="12">
        <v>45610</v>
      </c>
      <c r="F10" s="21" t="s">
        <v>92</v>
      </c>
      <c r="G10" s="25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227</v>
      </c>
      <c r="C11" s="10" t="s">
        <v>19</v>
      </c>
      <c r="D11" s="9" t="s">
        <v>228</v>
      </c>
      <c r="E11" s="12">
        <v>45610</v>
      </c>
      <c r="F11" s="21" t="s">
        <v>92</v>
      </c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219</v>
      </c>
      <c r="C12" s="10" t="s">
        <v>19</v>
      </c>
      <c r="D12" s="9" t="s">
        <v>220</v>
      </c>
      <c r="E12" s="12">
        <v>45610</v>
      </c>
      <c r="F12" s="21" t="s">
        <v>92</v>
      </c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223</v>
      </c>
      <c r="C13" s="10" t="s">
        <v>19</v>
      </c>
      <c r="D13" s="9" t="s">
        <v>224</v>
      </c>
      <c r="E13" s="12">
        <v>45610</v>
      </c>
      <c r="F13" s="21" t="s">
        <v>92</v>
      </c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234</v>
      </c>
      <c r="C14" s="10" t="s">
        <v>19</v>
      </c>
      <c r="D14" s="9" t="s">
        <v>233</v>
      </c>
      <c r="E14" s="12">
        <v>45610</v>
      </c>
      <c r="F14" s="21" t="s">
        <v>92</v>
      </c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238</v>
      </c>
      <c r="C15" s="10" t="s">
        <v>19</v>
      </c>
      <c r="D15" s="9" t="s">
        <v>237</v>
      </c>
      <c r="E15" s="12">
        <v>45610</v>
      </c>
      <c r="F15" s="21" t="s">
        <v>92</v>
      </c>
      <c r="G15" s="25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 t="s">
        <v>221</v>
      </c>
      <c r="C16" s="10" t="s">
        <v>19</v>
      </c>
      <c r="D16" s="9" t="s">
        <v>222</v>
      </c>
      <c r="E16" s="12">
        <v>45610</v>
      </c>
      <c r="F16" s="21" t="s">
        <v>92</v>
      </c>
      <c r="G16" s="17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13" t="s">
        <v>249</v>
      </c>
      <c r="C17" s="10" t="s">
        <v>19</v>
      </c>
      <c r="D17" s="9" t="s">
        <v>250</v>
      </c>
      <c r="E17" s="12">
        <v>45616</v>
      </c>
      <c r="F17" s="24" t="s">
        <v>92</v>
      </c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 t="s">
        <v>266</v>
      </c>
      <c r="C18" s="10" t="s">
        <v>19</v>
      </c>
      <c r="D18" s="9" t="s">
        <v>267</v>
      </c>
      <c r="E18" s="12">
        <v>45616</v>
      </c>
      <c r="F18" s="24" t="s">
        <v>92</v>
      </c>
      <c r="G18" s="25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13" t="s">
        <v>274</v>
      </c>
      <c r="C19" s="10" t="s">
        <v>19</v>
      </c>
      <c r="D19" s="9" t="s">
        <v>275</v>
      </c>
      <c r="E19" s="12">
        <v>45616</v>
      </c>
      <c r="F19" s="24" t="s">
        <v>92</v>
      </c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3" t="s">
        <v>247</v>
      </c>
      <c r="C20" s="10" t="s">
        <v>19</v>
      </c>
      <c r="D20" s="9" t="s">
        <v>248</v>
      </c>
      <c r="E20" s="12">
        <v>45616</v>
      </c>
      <c r="F20" s="24" t="s">
        <v>92</v>
      </c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3" t="s">
        <v>241</v>
      </c>
      <c r="C21" s="10" t="s">
        <v>19</v>
      </c>
      <c r="D21" s="9" t="s">
        <v>242</v>
      </c>
      <c r="E21" s="12">
        <v>45616</v>
      </c>
      <c r="F21" s="24" t="s">
        <v>92</v>
      </c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 t="s">
        <v>256</v>
      </c>
      <c r="C22" s="10" t="s">
        <v>19</v>
      </c>
      <c r="D22" s="9" t="s">
        <v>255</v>
      </c>
      <c r="E22" s="12">
        <v>45616</v>
      </c>
      <c r="F22" s="24" t="s">
        <v>92</v>
      </c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3" t="s">
        <v>239</v>
      </c>
      <c r="C23" s="10" t="s">
        <v>19</v>
      </c>
      <c r="D23" s="9" t="s">
        <v>240</v>
      </c>
      <c r="E23" s="12">
        <v>45616</v>
      </c>
      <c r="F23" s="24" t="s">
        <v>92</v>
      </c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3" t="s">
        <v>257</v>
      </c>
      <c r="C24" s="10" t="s">
        <v>19</v>
      </c>
      <c r="D24" s="9" t="s">
        <v>258</v>
      </c>
      <c r="E24" s="12">
        <v>45616</v>
      </c>
      <c r="F24" s="24" t="s">
        <v>92</v>
      </c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 t="s">
        <v>272</v>
      </c>
      <c r="C25" s="10" t="s">
        <v>19</v>
      </c>
      <c r="D25" s="9" t="s">
        <v>273</v>
      </c>
      <c r="E25" s="12">
        <v>45616</v>
      </c>
      <c r="F25" s="24" t="s">
        <v>92</v>
      </c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 t="s">
        <v>251</v>
      </c>
      <c r="C26" s="10" t="s">
        <v>19</v>
      </c>
      <c r="D26" s="9" t="s">
        <v>252</v>
      </c>
      <c r="E26" s="12">
        <v>45616</v>
      </c>
      <c r="F26" s="24" t="s">
        <v>92</v>
      </c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3" t="s">
        <v>314</v>
      </c>
      <c r="C27" s="10" t="s">
        <v>19</v>
      </c>
      <c r="D27" s="9" t="s">
        <v>259</v>
      </c>
      <c r="E27" s="12">
        <v>45616</v>
      </c>
      <c r="F27" s="24" t="s">
        <v>92</v>
      </c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 t="s">
        <v>253</v>
      </c>
      <c r="C28" s="10" t="s">
        <v>19</v>
      </c>
      <c r="D28" s="9" t="s">
        <v>254</v>
      </c>
      <c r="E28" s="12">
        <v>45616</v>
      </c>
      <c r="F28" s="24" t="s">
        <v>92</v>
      </c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 t="s">
        <v>276</v>
      </c>
      <c r="C29" s="10" t="s">
        <v>19</v>
      </c>
      <c r="D29" s="9" t="s">
        <v>277</v>
      </c>
      <c r="E29" s="12">
        <v>45616</v>
      </c>
      <c r="F29" s="24" t="s">
        <v>92</v>
      </c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3" t="s">
        <v>243</v>
      </c>
      <c r="C30" s="10" t="s">
        <v>19</v>
      </c>
      <c r="D30" s="9" t="s">
        <v>244</v>
      </c>
      <c r="E30" s="12">
        <v>45616</v>
      </c>
      <c r="F30" s="24" t="s">
        <v>92</v>
      </c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3" t="s">
        <v>264</v>
      </c>
      <c r="C31" s="10" t="s">
        <v>19</v>
      </c>
      <c r="D31" s="9" t="s">
        <v>265</v>
      </c>
      <c r="E31" s="12">
        <v>45616</v>
      </c>
      <c r="F31" s="24" t="s">
        <v>92</v>
      </c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3" t="s">
        <v>245</v>
      </c>
      <c r="C32" s="10" t="s">
        <v>19</v>
      </c>
      <c r="D32" s="9" t="s">
        <v>246</v>
      </c>
      <c r="E32" s="12">
        <v>45616</v>
      </c>
      <c r="F32" s="24" t="s">
        <v>92</v>
      </c>
      <c r="G32" s="25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3" t="s">
        <v>270</v>
      </c>
      <c r="C33" s="10" t="s">
        <v>19</v>
      </c>
      <c r="D33" s="9" t="s">
        <v>271</v>
      </c>
      <c r="E33" s="12">
        <v>45616</v>
      </c>
      <c r="F33" s="24" t="s">
        <v>92</v>
      </c>
      <c r="G33" s="25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3" t="s">
        <v>260</v>
      </c>
      <c r="C34" s="10" t="s">
        <v>19</v>
      </c>
      <c r="D34" s="9" t="s">
        <v>261</v>
      </c>
      <c r="E34" s="12">
        <v>45616</v>
      </c>
      <c r="F34" s="24" t="s">
        <v>92</v>
      </c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3" t="s">
        <v>262</v>
      </c>
      <c r="C35" s="10" t="s">
        <v>19</v>
      </c>
      <c r="D35" s="9" t="s">
        <v>263</v>
      </c>
      <c r="E35" s="12">
        <v>45616</v>
      </c>
      <c r="F35" s="24" t="s">
        <v>92</v>
      </c>
      <c r="G35" s="25">
        <v>1</v>
      </c>
      <c r="H35" s="1"/>
      <c r="I35" s="1"/>
      <c r="J35" s="1"/>
    </row>
    <row r="36" spans="1:10" x14ac:dyDescent="0.25">
      <c r="A36" s="15">
        <f t="shared" si="0"/>
        <v>30</v>
      </c>
      <c r="B36" s="13" t="s">
        <v>268</v>
      </c>
      <c r="C36" s="10" t="s">
        <v>19</v>
      </c>
      <c r="D36" s="9" t="s">
        <v>269</v>
      </c>
      <c r="E36" s="12">
        <v>45616</v>
      </c>
      <c r="F36" s="24" t="s">
        <v>92</v>
      </c>
      <c r="G36" s="25">
        <v>1</v>
      </c>
    </row>
    <row r="37" spans="1:10" x14ac:dyDescent="0.25">
      <c r="A37" s="15">
        <f t="shared" si="0"/>
        <v>31</v>
      </c>
      <c r="B37" s="12" t="s">
        <v>298</v>
      </c>
      <c r="C37" s="10" t="s">
        <v>19</v>
      </c>
      <c r="D37" s="9" t="s">
        <v>299</v>
      </c>
      <c r="E37" s="12">
        <v>45617</v>
      </c>
      <c r="F37" s="21" t="s">
        <v>92</v>
      </c>
      <c r="G37" s="25">
        <v>1</v>
      </c>
    </row>
    <row r="38" spans="1:10" x14ac:dyDescent="0.25">
      <c r="A38" s="15">
        <f t="shared" si="0"/>
        <v>32</v>
      </c>
      <c r="B38" s="12" t="s">
        <v>284</v>
      </c>
      <c r="C38" s="10" t="s">
        <v>19</v>
      </c>
      <c r="D38" s="9" t="s">
        <v>285</v>
      </c>
      <c r="E38" s="12">
        <v>45617</v>
      </c>
      <c r="F38" s="21" t="s">
        <v>92</v>
      </c>
      <c r="G38" s="25">
        <v>1</v>
      </c>
    </row>
    <row r="39" spans="1:10" x14ac:dyDescent="0.25">
      <c r="A39" s="15">
        <f t="shared" si="0"/>
        <v>33</v>
      </c>
      <c r="B39" s="12" t="s">
        <v>292</v>
      </c>
      <c r="C39" s="10" t="s">
        <v>19</v>
      </c>
      <c r="D39" s="9" t="s">
        <v>293</v>
      </c>
      <c r="E39" s="12">
        <v>45617</v>
      </c>
      <c r="F39" s="21" t="s">
        <v>92</v>
      </c>
      <c r="G39" s="25">
        <v>1</v>
      </c>
    </row>
    <row r="40" spans="1:10" x14ac:dyDescent="0.25">
      <c r="A40" s="15">
        <f t="shared" si="0"/>
        <v>34</v>
      </c>
      <c r="B40" s="12" t="s">
        <v>290</v>
      </c>
      <c r="C40" s="10" t="s">
        <v>19</v>
      </c>
      <c r="D40" s="9" t="s">
        <v>291</v>
      </c>
      <c r="E40" s="12">
        <v>45617</v>
      </c>
      <c r="F40" s="21" t="s">
        <v>92</v>
      </c>
      <c r="G40" s="25">
        <v>1</v>
      </c>
    </row>
    <row r="41" spans="1:10" x14ac:dyDescent="0.25">
      <c r="A41" s="15">
        <f t="shared" si="0"/>
        <v>35</v>
      </c>
      <c r="B41" s="12" t="s">
        <v>294</v>
      </c>
      <c r="C41" s="10" t="s">
        <v>19</v>
      </c>
      <c r="D41" s="9" t="s">
        <v>295</v>
      </c>
      <c r="E41" s="12">
        <v>45617</v>
      </c>
      <c r="F41" s="21" t="s">
        <v>92</v>
      </c>
      <c r="G41" s="25">
        <v>1</v>
      </c>
    </row>
    <row r="42" spans="1:10" x14ac:dyDescent="0.25">
      <c r="A42" s="15">
        <f t="shared" si="0"/>
        <v>36</v>
      </c>
      <c r="B42" s="12" t="s">
        <v>286</v>
      </c>
      <c r="C42" s="10" t="s">
        <v>19</v>
      </c>
      <c r="D42" s="9" t="s">
        <v>287</v>
      </c>
      <c r="E42" s="12">
        <v>45617</v>
      </c>
      <c r="F42" s="21" t="s">
        <v>92</v>
      </c>
      <c r="G42" s="25">
        <v>1</v>
      </c>
    </row>
    <row r="43" spans="1:10" x14ac:dyDescent="0.25">
      <c r="A43" s="15">
        <f t="shared" si="0"/>
        <v>37</v>
      </c>
      <c r="B43" s="12" t="s">
        <v>288</v>
      </c>
      <c r="C43" s="10" t="s">
        <v>19</v>
      </c>
      <c r="D43" s="9" t="s">
        <v>289</v>
      </c>
      <c r="E43" s="12">
        <v>45617</v>
      </c>
      <c r="F43" s="21" t="s">
        <v>92</v>
      </c>
      <c r="G43" s="25">
        <v>1</v>
      </c>
    </row>
    <row r="44" spans="1:10" x14ac:dyDescent="0.25">
      <c r="A44" s="15">
        <f t="shared" si="0"/>
        <v>38</v>
      </c>
      <c r="B44" s="12" t="s">
        <v>18</v>
      </c>
      <c r="C44" s="10" t="s">
        <v>19</v>
      </c>
      <c r="D44" s="9" t="s">
        <v>281</v>
      </c>
      <c r="E44" s="12">
        <v>45617</v>
      </c>
      <c r="F44" s="21" t="s">
        <v>283</v>
      </c>
      <c r="G44" s="25">
        <v>1</v>
      </c>
      <c r="H44" t="s">
        <v>282</v>
      </c>
    </row>
    <row r="45" spans="1:10" x14ac:dyDescent="0.25">
      <c r="A45" s="15">
        <f t="shared" si="0"/>
        <v>39</v>
      </c>
      <c r="B45" s="12" t="s">
        <v>296</v>
      </c>
      <c r="C45" s="10" t="s">
        <v>19</v>
      </c>
      <c r="D45" s="9" t="s">
        <v>297</v>
      </c>
      <c r="E45" s="12">
        <v>45617</v>
      </c>
      <c r="F45" s="21" t="s">
        <v>92</v>
      </c>
      <c r="G45" s="25">
        <v>1</v>
      </c>
    </row>
    <row r="46" spans="1:10" x14ac:dyDescent="0.25">
      <c r="A46" s="15">
        <f t="shared" si="0"/>
        <v>40</v>
      </c>
      <c r="B46" s="12" t="s">
        <v>18</v>
      </c>
      <c r="C46" s="10" t="s">
        <v>19</v>
      </c>
      <c r="D46" s="9" t="s">
        <v>278</v>
      </c>
      <c r="E46" s="12">
        <v>45617</v>
      </c>
      <c r="F46" s="21" t="s">
        <v>279</v>
      </c>
      <c r="G46" s="25">
        <v>1</v>
      </c>
      <c r="H46" t="s">
        <v>280</v>
      </c>
    </row>
    <row r="47" spans="1:10" x14ac:dyDescent="0.25">
      <c r="A47" s="15">
        <f t="shared" si="0"/>
        <v>41</v>
      </c>
      <c r="B47" s="12" t="s">
        <v>18</v>
      </c>
      <c r="C47" s="10" t="s">
        <v>19</v>
      </c>
      <c r="D47" s="9" t="s">
        <v>302</v>
      </c>
      <c r="E47" s="12">
        <v>45623</v>
      </c>
      <c r="F47" s="21" t="s">
        <v>110</v>
      </c>
      <c r="G47" s="25">
        <v>1</v>
      </c>
      <c r="H47" t="s">
        <v>306</v>
      </c>
    </row>
    <row r="48" spans="1:10" x14ac:dyDescent="0.25">
      <c r="A48" s="15">
        <f t="shared" si="0"/>
        <v>42</v>
      </c>
      <c r="B48" s="12" t="s">
        <v>18</v>
      </c>
      <c r="C48" s="10" t="s">
        <v>19</v>
      </c>
      <c r="D48" s="9" t="s">
        <v>301</v>
      </c>
      <c r="E48" s="12">
        <v>45623</v>
      </c>
      <c r="F48" s="21" t="s">
        <v>110</v>
      </c>
      <c r="G48" s="25">
        <v>1</v>
      </c>
      <c r="H48" t="s">
        <v>305</v>
      </c>
    </row>
    <row r="49" spans="1:8" x14ac:dyDescent="0.25">
      <c r="A49" s="15">
        <f t="shared" si="0"/>
        <v>43</v>
      </c>
      <c r="B49" s="12" t="s">
        <v>18</v>
      </c>
      <c r="C49" s="10" t="s">
        <v>19</v>
      </c>
      <c r="D49" s="9" t="s">
        <v>300</v>
      </c>
      <c r="E49" s="12">
        <v>45623</v>
      </c>
      <c r="F49" s="21" t="s">
        <v>110</v>
      </c>
      <c r="G49" s="25">
        <v>1</v>
      </c>
      <c r="H49" t="s">
        <v>304</v>
      </c>
    </row>
    <row r="50" spans="1:8" x14ac:dyDescent="0.25">
      <c r="A50" s="15">
        <f t="shared" si="0"/>
        <v>44</v>
      </c>
      <c r="B50" s="12" t="s">
        <v>312</v>
      </c>
      <c r="C50" s="10" t="s">
        <v>19</v>
      </c>
      <c r="D50" s="9" t="s">
        <v>313</v>
      </c>
      <c r="E50" s="12">
        <v>45623</v>
      </c>
      <c r="F50" s="21" t="s">
        <v>92</v>
      </c>
      <c r="G50" s="25">
        <v>1</v>
      </c>
    </row>
    <row r="51" spans="1:8" x14ac:dyDescent="0.25">
      <c r="A51" s="15">
        <f t="shared" si="0"/>
        <v>45</v>
      </c>
      <c r="B51" s="12" t="s">
        <v>310</v>
      </c>
      <c r="C51" s="10" t="s">
        <v>19</v>
      </c>
      <c r="D51" s="9" t="s">
        <v>311</v>
      </c>
      <c r="E51" s="12">
        <v>45623</v>
      </c>
      <c r="F51" s="21" t="s">
        <v>92</v>
      </c>
      <c r="G51" s="25">
        <v>1</v>
      </c>
    </row>
    <row r="52" spans="1:8" x14ac:dyDescent="0.25">
      <c r="A52" s="15">
        <f t="shared" si="0"/>
        <v>46</v>
      </c>
      <c r="B52" s="12" t="s">
        <v>308</v>
      </c>
      <c r="C52" s="10" t="s">
        <v>19</v>
      </c>
      <c r="D52" s="9" t="s">
        <v>309</v>
      </c>
      <c r="E52" s="12">
        <v>45623</v>
      </c>
      <c r="F52" s="21" t="s">
        <v>92</v>
      </c>
      <c r="G52" s="25">
        <v>1</v>
      </c>
    </row>
    <row r="53" spans="1:8" x14ac:dyDescent="0.25">
      <c r="A53" s="15">
        <f t="shared" si="0"/>
        <v>47</v>
      </c>
      <c r="B53" s="12" t="s">
        <v>18</v>
      </c>
      <c r="C53" s="10" t="s">
        <v>19</v>
      </c>
      <c r="D53" s="9" t="s">
        <v>303</v>
      </c>
      <c r="E53" s="12">
        <v>45623</v>
      </c>
      <c r="F53" s="21" t="s">
        <v>110</v>
      </c>
      <c r="G53" s="25">
        <v>1</v>
      </c>
      <c r="H53" t="s">
        <v>307</v>
      </c>
    </row>
    <row r="54" spans="1:8" x14ac:dyDescent="0.25">
      <c r="A54" s="15">
        <f t="shared" si="0"/>
        <v>48</v>
      </c>
      <c r="B54" s="12"/>
      <c r="C54" s="10"/>
      <c r="D54" s="9"/>
      <c r="E54" s="12"/>
      <c r="F54" s="21"/>
      <c r="G54" s="25">
        <v>1</v>
      </c>
    </row>
    <row r="55" spans="1:8" x14ac:dyDescent="0.25">
      <c r="A55" s="15">
        <f t="shared" si="0"/>
        <v>49</v>
      </c>
      <c r="B55" s="12"/>
      <c r="C55" s="10"/>
      <c r="D55" s="9"/>
      <c r="E55" s="12"/>
      <c r="F55" s="21"/>
      <c r="G55" s="25">
        <v>1</v>
      </c>
    </row>
    <row r="56" spans="1:8" x14ac:dyDescent="0.25">
      <c r="A56" s="15">
        <f t="shared" si="0"/>
        <v>50</v>
      </c>
      <c r="B56" s="12"/>
      <c r="C56" s="10"/>
      <c r="D56" s="9"/>
      <c r="E56" s="12"/>
      <c r="F56" s="21"/>
      <c r="G56" s="25">
        <v>1</v>
      </c>
    </row>
    <row r="57" spans="1:8" x14ac:dyDescent="0.25">
      <c r="A57" s="15">
        <f t="shared" si="0"/>
        <v>51</v>
      </c>
      <c r="B57" s="12"/>
      <c r="C57" s="10"/>
      <c r="D57" s="9"/>
      <c r="E57" s="12"/>
      <c r="F57" s="21"/>
      <c r="G57" s="25">
        <v>1</v>
      </c>
    </row>
    <row r="58" spans="1:8" x14ac:dyDescent="0.25">
      <c r="A58" s="15">
        <f t="shared" si="0"/>
        <v>52</v>
      </c>
      <c r="B58" s="12"/>
      <c r="C58" s="10"/>
      <c r="D58" s="9"/>
      <c r="E58" s="12"/>
      <c r="F58" s="21"/>
      <c r="G58" s="25">
        <v>1</v>
      </c>
    </row>
    <row r="59" spans="1:8" x14ac:dyDescent="0.25">
      <c r="A59" s="15">
        <f t="shared" si="0"/>
        <v>53</v>
      </c>
      <c r="B59" s="12"/>
      <c r="C59" s="10"/>
      <c r="D59" s="9"/>
      <c r="E59" s="12"/>
      <c r="F59" s="21"/>
    </row>
    <row r="60" spans="1:8" x14ac:dyDescent="0.25">
      <c r="A60" s="15">
        <f t="shared" si="0"/>
        <v>54</v>
      </c>
      <c r="B60" s="12"/>
      <c r="C60" s="10"/>
      <c r="D60" s="9"/>
      <c r="E60" s="12"/>
      <c r="F60" s="21"/>
    </row>
    <row r="61" spans="1:8" x14ac:dyDescent="0.25">
      <c r="A61" s="15">
        <f t="shared" si="0"/>
        <v>55</v>
      </c>
      <c r="B61" s="12"/>
      <c r="C61" s="10"/>
      <c r="D61" s="9"/>
      <c r="E61" s="12"/>
      <c r="F61" s="21"/>
    </row>
    <row r="62" spans="1:8" x14ac:dyDescent="0.25">
      <c r="A62" s="15">
        <f t="shared" si="0"/>
        <v>56</v>
      </c>
      <c r="B62" s="12"/>
      <c r="C62" s="10"/>
      <c r="D62" s="9"/>
      <c r="E62" s="12"/>
      <c r="F62" s="21"/>
    </row>
    <row r="63" spans="1:8" x14ac:dyDescent="0.25">
      <c r="A63" s="15">
        <f t="shared" si="0"/>
        <v>57</v>
      </c>
      <c r="B63" s="12"/>
      <c r="C63" s="10"/>
      <c r="D63" s="9"/>
      <c r="E63" s="12"/>
      <c r="F63" s="21"/>
    </row>
    <row r="64" spans="1:8" x14ac:dyDescent="0.25">
      <c r="A64" s="15">
        <f t="shared" si="0"/>
        <v>58</v>
      </c>
      <c r="B64" s="12"/>
      <c r="C64" s="10"/>
      <c r="D64" s="9"/>
      <c r="E64" s="12"/>
      <c r="F64" s="21"/>
    </row>
    <row r="65" spans="1:6" x14ac:dyDescent="0.25">
      <c r="A65" s="15">
        <f t="shared" si="0"/>
        <v>59</v>
      </c>
      <c r="B65" s="12"/>
      <c r="C65" s="10"/>
      <c r="D65" s="9"/>
      <c r="E65" s="12"/>
      <c r="F65" s="21"/>
    </row>
    <row r="66" spans="1:6" x14ac:dyDescent="0.25">
      <c r="A66" s="15">
        <f t="shared" si="0"/>
        <v>60</v>
      </c>
      <c r="B66" s="12"/>
      <c r="C66" s="10"/>
      <c r="D66" s="9"/>
      <c r="E66" s="12"/>
      <c r="F66" s="21"/>
    </row>
    <row r="67" spans="1:6" x14ac:dyDescent="0.25">
      <c r="A67" s="15">
        <f t="shared" si="0"/>
        <v>61</v>
      </c>
      <c r="B67" s="12"/>
      <c r="C67" s="10"/>
      <c r="D67" s="9"/>
      <c r="E67" s="12"/>
      <c r="F67" s="21"/>
    </row>
    <row r="68" spans="1:6" x14ac:dyDescent="0.25">
      <c r="A68" s="15">
        <f t="shared" si="0"/>
        <v>62</v>
      </c>
      <c r="B68" s="12"/>
      <c r="C68" s="10"/>
      <c r="D68" s="9"/>
      <c r="E68" s="12"/>
      <c r="F68" s="21"/>
    </row>
    <row r="69" spans="1:6" x14ac:dyDescent="0.25">
      <c r="A69" s="15">
        <f t="shared" si="0"/>
        <v>63</v>
      </c>
      <c r="B69" s="12"/>
      <c r="C69" s="10"/>
      <c r="D69" s="9"/>
      <c r="E69" s="12"/>
      <c r="F69" s="21"/>
    </row>
    <row r="70" spans="1:6" x14ac:dyDescent="0.25">
      <c r="A70" s="15">
        <f t="shared" si="0"/>
        <v>64</v>
      </c>
      <c r="B70" s="12"/>
      <c r="C70" s="10"/>
      <c r="D70" s="9"/>
      <c r="E70" s="12"/>
      <c r="F70" s="21"/>
    </row>
    <row r="71" spans="1:6" x14ac:dyDescent="0.25">
      <c r="A71" s="15">
        <f t="shared" si="0"/>
        <v>65</v>
      </c>
      <c r="B71" s="12"/>
      <c r="C71" s="10"/>
      <c r="D71" s="9"/>
      <c r="E71" s="12"/>
      <c r="F71" s="21"/>
    </row>
    <row r="72" spans="1:6" x14ac:dyDescent="0.25">
      <c r="A72" s="15">
        <f t="shared" si="0"/>
        <v>66</v>
      </c>
      <c r="B72" s="12"/>
      <c r="C72" s="10"/>
      <c r="D72" s="9"/>
      <c r="E72" s="12"/>
      <c r="F72" s="21"/>
    </row>
    <row r="73" spans="1:6" x14ac:dyDescent="0.25">
      <c r="A73" s="15">
        <f t="shared" ref="A73:A86" si="1">+A72+1</f>
        <v>67</v>
      </c>
      <c r="B73" s="12"/>
      <c r="C73" s="10"/>
      <c r="D73" s="9"/>
      <c r="E73" s="12"/>
      <c r="F73" s="21"/>
    </row>
    <row r="74" spans="1:6" x14ac:dyDescent="0.25">
      <c r="A74" s="15">
        <f t="shared" si="1"/>
        <v>68</v>
      </c>
      <c r="B74" s="12"/>
      <c r="C74" s="10"/>
      <c r="D74" s="9"/>
      <c r="E74" s="12"/>
      <c r="F74" s="21"/>
    </row>
    <row r="75" spans="1:6" x14ac:dyDescent="0.25">
      <c r="A75" s="15">
        <f t="shared" si="1"/>
        <v>69</v>
      </c>
      <c r="B75" s="12"/>
      <c r="C75" s="10"/>
      <c r="D75" s="9"/>
      <c r="E75" s="12"/>
      <c r="F75" s="21"/>
    </row>
    <row r="76" spans="1:6" x14ac:dyDescent="0.25">
      <c r="A76" s="15">
        <f t="shared" si="1"/>
        <v>70</v>
      </c>
      <c r="B76" s="12"/>
      <c r="C76" s="10"/>
      <c r="D76" s="9"/>
      <c r="E76" s="12"/>
      <c r="F76" s="21"/>
    </row>
    <row r="77" spans="1:6" x14ac:dyDescent="0.25">
      <c r="A77" s="15">
        <f t="shared" si="1"/>
        <v>71</v>
      </c>
      <c r="B77" s="12"/>
      <c r="C77" s="10"/>
      <c r="D77" s="9"/>
      <c r="E77" s="12"/>
      <c r="F77" s="21"/>
    </row>
    <row r="78" spans="1:6" x14ac:dyDescent="0.25">
      <c r="A78" s="15">
        <f t="shared" si="1"/>
        <v>72</v>
      </c>
      <c r="B78" s="12"/>
      <c r="C78" s="10"/>
      <c r="D78" s="9"/>
      <c r="E78" s="12"/>
      <c r="F78" s="21"/>
    </row>
    <row r="79" spans="1:6" x14ac:dyDescent="0.25">
      <c r="A79" s="15">
        <f t="shared" si="1"/>
        <v>73</v>
      </c>
      <c r="B79" s="12"/>
      <c r="C79" s="10"/>
      <c r="D79" s="9"/>
      <c r="E79" s="12"/>
      <c r="F79" s="21"/>
    </row>
    <row r="80" spans="1:6" x14ac:dyDescent="0.25">
      <c r="A80" s="15">
        <f t="shared" si="1"/>
        <v>74</v>
      </c>
      <c r="B80" s="12"/>
      <c r="C80" s="10"/>
      <c r="D80" s="9"/>
      <c r="E80" s="12"/>
      <c r="F80" s="21"/>
    </row>
    <row r="81" spans="1:6" x14ac:dyDescent="0.25">
      <c r="A81" s="15">
        <f t="shared" si="1"/>
        <v>75</v>
      </c>
      <c r="B81" s="12"/>
      <c r="C81" s="10"/>
      <c r="D81" s="9"/>
      <c r="E81" s="12"/>
      <c r="F81" s="21"/>
    </row>
    <row r="82" spans="1:6" x14ac:dyDescent="0.25">
      <c r="A82" s="15">
        <f t="shared" si="1"/>
        <v>76</v>
      </c>
      <c r="B82" s="12"/>
      <c r="C82" s="10"/>
      <c r="D82" s="9"/>
      <c r="E82" s="12"/>
      <c r="F82" s="21"/>
    </row>
    <row r="83" spans="1:6" x14ac:dyDescent="0.25">
      <c r="A83" s="15">
        <f t="shared" si="1"/>
        <v>77</v>
      </c>
      <c r="B83" s="12"/>
      <c r="C83" s="10"/>
      <c r="D83" s="9"/>
      <c r="E83" s="12"/>
      <c r="F83" s="21"/>
    </row>
    <row r="84" spans="1:6" x14ac:dyDescent="0.25">
      <c r="A84" s="15">
        <f t="shared" si="1"/>
        <v>78</v>
      </c>
      <c r="B84" s="12"/>
      <c r="C84" s="10"/>
      <c r="D84" s="9"/>
      <c r="E84" s="12"/>
      <c r="F84" s="21"/>
    </row>
    <row r="85" spans="1:6" x14ac:dyDescent="0.25">
      <c r="A85" s="15">
        <f t="shared" si="1"/>
        <v>79</v>
      </c>
      <c r="B85" s="12"/>
      <c r="C85" s="10"/>
      <c r="D85" s="9"/>
      <c r="E85" s="12"/>
      <c r="F85" s="21"/>
    </row>
    <row r="86" spans="1:6" x14ac:dyDescent="0.25">
      <c r="A86" s="15">
        <f t="shared" si="1"/>
        <v>80</v>
      </c>
      <c r="B86" s="12"/>
      <c r="C86" s="10"/>
      <c r="D86" s="9"/>
      <c r="E86" s="12"/>
      <c r="F86" s="21"/>
    </row>
  </sheetData>
  <sortState ref="B7:H53">
    <sortCondition ref="E7:E53"/>
    <sortCondition ref="D7:D5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tabSelected="1" workbookViewId="0">
      <selection activeCell="E27" sqref="E2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22.42578125" customWidth="1"/>
    <col min="7" max="7" width="5" hidden="1" customWidth="1"/>
    <col min="8" max="8" width="29.85546875" customWidth="1"/>
  </cols>
  <sheetData>
    <row r="1" spans="1:11" ht="18" x14ac:dyDescent="0.25">
      <c r="A1" s="30" t="s">
        <v>0</v>
      </c>
      <c r="B1" s="30"/>
      <c r="C1" s="30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4" t="s">
        <v>2</v>
      </c>
      <c r="B2" s="34"/>
      <c r="C2" s="34"/>
      <c r="D2" s="6"/>
      <c r="E2" s="35" t="s">
        <v>3</v>
      </c>
      <c r="F2" s="35"/>
      <c r="G2" s="4"/>
      <c r="H2" s="4"/>
      <c r="I2" s="31" t="s">
        <v>4</v>
      </c>
      <c r="J2" s="32"/>
      <c r="K2" s="18">
        <f>SUMIF(F7:F305,"Elimination*",G7:G305)</f>
        <v>0</v>
      </c>
    </row>
    <row r="3" spans="1:11" x14ac:dyDescent="0.25">
      <c r="A3" s="35" t="s">
        <v>5</v>
      </c>
      <c r="B3" s="35"/>
      <c r="C3" s="35"/>
      <c r="D3" s="5"/>
      <c r="E3" s="35" t="s">
        <v>16</v>
      </c>
      <c r="F3" s="35"/>
      <c r="G3" s="4"/>
      <c r="H3" s="4"/>
      <c r="I3" s="31" t="s">
        <v>6</v>
      </c>
      <c r="J3" s="32"/>
      <c r="K3" s="18">
        <f>SUMIF(F7:F305,"NB*",G7:G305)</f>
        <v>5</v>
      </c>
    </row>
    <row r="4" spans="1:11" ht="18" x14ac:dyDescent="0.25">
      <c r="A4" s="30" t="s">
        <v>7</v>
      </c>
      <c r="B4" s="30"/>
      <c r="C4" s="30"/>
      <c r="D4" s="30"/>
      <c r="E4" s="30"/>
      <c r="F4" s="30"/>
      <c r="G4" s="4"/>
      <c r="H4" s="4"/>
      <c r="I4" s="31" t="s">
        <v>8</v>
      </c>
      <c r="J4" s="32"/>
      <c r="K4" s="18">
        <f>SUMIF(F7:F305,"Ve*",G7:G305)</f>
        <v>0</v>
      </c>
    </row>
    <row r="5" spans="1:11" ht="15.75" x14ac:dyDescent="0.25">
      <c r="A5" s="33" t="s">
        <v>315</v>
      </c>
      <c r="B5" s="33"/>
      <c r="C5" s="33"/>
      <c r="D5" s="33"/>
      <c r="E5" s="33"/>
      <c r="F5" s="33"/>
      <c r="G5" s="19"/>
      <c r="H5" s="19"/>
      <c r="I5" s="31" t="s">
        <v>9</v>
      </c>
      <c r="J5" s="32"/>
      <c r="K5" s="20">
        <f>SUM(K2:K4)</f>
        <v>5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18</v>
      </c>
      <c r="C7" s="10" t="s">
        <v>19</v>
      </c>
      <c r="D7" s="9" t="s">
        <v>316</v>
      </c>
      <c r="E7" s="12">
        <v>45627</v>
      </c>
      <c r="F7" s="21" t="s">
        <v>317</v>
      </c>
      <c r="G7" s="25">
        <v>1</v>
      </c>
      <c r="H7" s="26" t="s">
        <v>318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18</v>
      </c>
      <c r="C8" s="10" t="s">
        <v>19</v>
      </c>
      <c r="D8" s="9" t="s">
        <v>319</v>
      </c>
      <c r="E8" s="12">
        <v>45627</v>
      </c>
      <c r="F8" s="21" t="s">
        <v>321</v>
      </c>
      <c r="G8" s="25">
        <v>1</v>
      </c>
      <c r="H8" s="28" t="s">
        <v>320</v>
      </c>
      <c r="I8" s="2"/>
      <c r="J8" s="2"/>
      <c r="K8" s="1"/>
    </row>
    <row r="9" spans="1:11" ht="15" customHeight="1" x14ac:dyDescent="0.25">
      <c r="A9" s="15">
        <f t="shared" ref="A9:A58" si="0">+A8+1</f>
        <v>3</v>
      </c>
      <c r="B9" s="13" t="s">
        <v>18</v>
      </c>
      <c r="C9" s="10" t="s">
        <v>19</v>
      </c>
      <c r="D9" s="9" t="s">
        <v>322</v>
      </c>
      <c r="E9" s="12">
        <v>45645</v>
      </c>
      <c r="F9" s="21" t="s">
        <v>323</v>
      </c>
      <c r="G9" s="17">
        <v>1</v>
      </c>
      <c r="H9" s="26" t="s">
        <v>324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18</v>
      </c>
      <c r="C10" s="10" t="s">
        <v>19</v>
      </c>
      <c r="D10" s="9" t="s">
        <v>325</v>
      </c>
      <c r="E10" s="12">
        <v>45657</v>
      </c>
      <c r="F10" s="21" t="s">
        <v>329</v>
      </c>
      <c r="G10" s="25">
        <v>1</v>
      </c>
      <c r="H10" s="28" t="s">
        <v>328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18</v>
      </c>
      <c r="C11" s="10" t="s">
        <v>19</v>
      </c>
      <c r="D11" s="9" t="s">
        <v>326</v>
      </c>
      <c r="E11" s="12">
        <v>45657</v>
      </c>
      <c r="F11" s="21" t="s">
        <v>110</v>
      </c>
      <c r="G11" s="17">
        <v>1</v>
      </c>
      <c r="H11" s="26" t="s">
        <v>327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9"/>
      <c r="E14" s="12"/>
      <c r="F14" s="21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9"/>
      <c r="E15" s="12"/>
      <c r="F15" s="21"/>
      <c r="G15" s="25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9"/>
      <c r="E16" s="12"/>
      <c r="F16" s="21"/>
      <c r="G16" s="17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4"/>
      <c r="G18" s="25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13"/>
      <c r="C19" s="10"/>
      <c r="D19" s="9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9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3"/>
      <c r="C21" s="10"/>
      <c r="D21" s="9"/>
      <c r="E21" s="12"/>
      <c r="F21" s="24"/>
      <c r="G21" s="25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4"/>
      <c r="G22" s="25">
        <v>1</v>
      </c>
      <c r="H22" s="28"/>
      <c r="I22" s="2"/>
      <c r="J22" s="2"/>
    </row>
    <row r="23" spans="1:10" ht="15" customHeight="1" x14ac:dyDescent="0.25">
      <c r="A23" s="15">
        <f t="shared" si="0"/>
        <v>17</v>
      </c>
      <c r="B23" s="13"/>
      <c r="C23" s="10"/>
      <c r="D23" s="9"/>
      <c r="E23" s="12"/>
      <c r="F23" s="24"/>
      <c r="G23" s="25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3"/>
      <c r="C24" s="10"/>
      <c r="D24" s="9"/>
      <c r="E24" s="12"/>
      <c r="F24" s="24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4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0"/>
      <c r="D26" s="9"/>
      <c r="E26" s="12"/>
      <c r="F26" s="24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3"/>
      <c r="C27" s="10"/>
      <c r="D27" s="9"/>
      <c r="E27" s="12"/>
      <c r="F27" s="24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4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4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3"/>
      <c r="C30" s="10"/>
      <c r="D30" s="9"/>
      <c r="E30" s="12"/>
      <c r="F30" s="24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3"/>
      <c r="C31" s="10"/>
      <c r="D31" s="9"/>
      <c r="E31" s="12"/>
      <c r="F31" s="24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3"/>
      <c r="C32" s="10"/>
      <c r="D32" s="9"/>
      <c r="E32" s="12"/>
      <c r="F32" s="24"/>
      <c r="G32" s="25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3"/>
      <c r="C33" s="10"/>
      <c r="D33" s="9"/>
      <c r="E33" s="12"/>
      <c r="F33" s="24"/>
      <c r="G33" s="25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3"/>
      <c r="C34" s="10"/>
      <c r="D34" s="9"/>
      <c r="E34" s="12"/>
      <c r="F34" s="24"/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3"/>
      <c r="C35" s="10"/>
      <c r="D35" s="9"/>
      <c r="E35" s="12"/>
      <c r="F35" s="24"/>
      <c r="G35" s="25">
        <v>1</v>
      </c>
      <c r="H35" s="1"/>
      <c r="I35" s="1"/>
      <c r="J35" s="1"/>
    </row>
    <row r="36" spans="1:10" x14ac:dyDescent="0.25">
      <c r="A36" s="15">
        <f t="shared" si="0"/>
        <v>30</v>
      </c>
      <c r="B36" s="13"/>
      <c r="C36" s="10"/>
      <c r="D36" s="9"/>
      <c r="E36" s="12"/>
      <c r="F36" s="24"/>
      <c r="G36" s="25">
        <v>1</v>
      </c>
    </row>
    <row r="37" spans="1:10" x14ac:dyDescent="0.25">
      <c r="A37" s="15">
        <f t="shared" si="0"/>
        <v>31</v>
      </c>
      <c r="B37" s="12"/>
      <c r="C37" s="10"/>
      <c r="D37" s="9"/>
      <c r="E37" s="12"/>
      <c r="F37" s="21"/>
      <c r="G37" s="25">
        <v>1</v>
      </c>
    </row>
    <row r="38" spans="1:10" x14ac:dyDescent="0.25">
      <c r="A38" s="15">
        <f t="shared" si="0"/>
        <v>32</v>
      </c>
      <c r="B38" s="12"/>
      <c r="C38" s="10"/>
      <c r="D38" s="9"/>
      <c r="E38" s="12"/>
      <c r="F38" s="21"/>
      <c r="G38" s="25">
        <v>1</v>
      </c>
    </row>
    <row r="39" spans="1:10" x14ac:dyDescent="0.25">
      <c r="A39" s="15">
        <f t="shared" si="0"/>
        <v>33</v>
      </c>
      <c r="B39" s="12"/>
      <c r="C39" s="10"/>
      <c r="D39" s="9"/>
      <c r="E39" s="12"/>
      <c r="F39" s="21"/>
      <c r="G39" s="25">
        <v>1</v>
      </c>
    </row>
    <row r="40" spans="1:10" x14ac:dyDescent="0.25">
      <c r="A40" s="15">
        <f t="shared" si="0"/>
        <v>34</v>
      </c>
      <c r="B40" s="12"/>
      <c r="C40" s="10"/>
      <c r="D40" s="9"/>
      <c r="E40" s="12"/>
      <c r="F40" s="21"/>
      <c r="G40" s="25">
        <v>1</v>
      </c>
    </row>
    <row r="41" spans="1:10" x14ac:dyDescent="0.25">
      <c r="A41" s="15">
        <f t="shared" si="0"/>
        <v>35</v>
      </c>
      <c r="B41" s="12"/>
      <c r="C41" s="10"/>
      <c r="D41" s="9"/>
      <c r="E41" s="12"/>
      <c r="F41" s="21"/>
      <c r="G41" s="25">
        <v>1</v>
      </c>
    </row>
    <row r="42" spans="1:10" x14ac:dyDescent="0.25">
      <c r="A42" s="15">
        <f t="shared" si="0"/>
        <v>36</v>
      </c>
      <c r="B42" s="12"/>
      <c r="C42" s="10"/>
      <c r="D42" s="9"/>
      <c r="E42" s="12"/>
      <c r="F42" s="21"/>
      <c r="G42" s="25">
        <v>1</v>
      </c>
    </row>
    <row r="43" spans="1:10" x14ac:dyDescent="0.25">
      <c r="A43" s="15">
        <f t="shared" si="0"/>
        <v>37</v>
      </c>
      <c r="B43" s="12"/>
      <c r="C43" s="10"/>
      <c r="D43" s="9"/>
      <c r="E43" s="12"/>
      <c r="F43" s="21"/>
      <c r="G43" s="25">
        <v>1</v>
      </c>
    </row>
    <row r="44" spans="1:10" x14ac:dyDescent="0.25">
      <c r="A44" s="15">
        <f t="shared" si="0"/>
        <v>38</v>
      </c>
      <c r="B44" s="12"/>
      <c r="C44" s="10"/>
      <c r="D44" s="9"/>
      <c r="E44" s="12"/>
      <c r="F44" s="21"/>
      <c r="G44" s="25">
        <v>1</v>
      </c>
    </row>
    <row r="45" spans="1:10" x14ac:dyDescent="0.25">
      <c r="A45" s="15">
        <f t="shared" si="0"/>
        <v>39</v>
      </c>
      <c r="B45" s="12"/>
      <c r="C45" s="10"/>
      <c r="D45" s="9"/>
      <c r="E45" s="12"/>
      <c r="F45" s="21"/>
      <c r="G45" s="25">
        <v>1</v>
      </c>
    </row>
    <row r="46" spans="1:10" x14ac:dyDescent="0.25">
      <c r="A46" s="15">
        <f t="shared" si="0"/>
        <v>40</v>
      </c>
      <c r="B46" s="12"/>
      <c r="C46" s="10"/>
      <c r="D46" s="9"/>
      <c r="E46" s="12"/>
      <c r="F46" s="21"/>
      <c r="G46" s="25">
        <v>1</v>
      </c>
    </row>
    <row r="47" spans="1:10" x14ac:dyDescent="0.25">
      <c r="A47" s="15">
        <f t="shared" si="0"/>
        <v>41</v>
      </c>
      <c r="B47" s="12"/>
      <c r="C47" s="10"/>
      <c r="D47" s="9"/>
      <c r="E47" s="12"/>
      <c r="F47" s="21"/>
      <c r="G47" s="25">
        <v>1</v>
      </c>
    </row>
    <row r="48" spans="1:10" x14ac:dyDescent="0.25">
      <c r="A48" s="15">
        <f t="shared" si="0"/>
        <v>42</v>
      </c>
      <c r="B48" s="12"/>
      <c r="C48" s="10"/>
      <c r="D48" s="9"/>
      <c r="E48" s="12"/>
      <c r="F48" s="21"/>
      <c r="G48" s="25">
        <v>1</v>
      </c>
    </row>
    <row r="49" spans="1:7" x14ac:dyDescent="0.25">
      <c r="A49" s="15">
        <f t="shared" si="0"/>
        <v>43</v>
      </c>
      <c r="B49" s="12"/>
      <c r="C49" s="10"/>
      <c r="D49" s="9"/>
      <c r="E49" s="12"/>
      <c r="F49" s="21"/>
      <c r="G49" s="25">
        <v>1</v>
      </c>
    </row>
    <row r="50" spans="1:7" x14ac:dyDescent="0.25">
      <c r="A50" s="15">
        <f t="shared" si="0"/>
        <v>44</v>
      </c>
      <c r="B50" s="12"/>
      <c r="C50" s="10"/>
      <c r="D50" s="9"/>
      <c r="E50" s="12"/>
      <c r="F50" s="21"/>
      <c r="G50" s="25">
        <v>1</v>
      </c>
    </row>
    <row r="51" spans="1:7" x14ac:dyDescent="0.25">
      <c r="A51" s="15">
        <f t="shared" si="0"/>
        <v>45</v>
      </c>
      <c r="B51" s="12"/>
      <c r="C51" s="10"/>
      <c r="D51" s="9"/>
      <c r="E51" s="12"/>
      <c r="F51" s="21"/>
      <c r="G51" s="25">
        <v>1</v>
      </c>
    </row>
    <row r="52" spans="1:7" x14ac:dyDescent="0.25">
      <c r="A52" s="15">
        <f t="shared" si="0"/>
        <v>46</v>
      </c>
      <c r="B52" s="12"/>
      <c r="C52" s="10"/>
      <c r="D52" s="9"/>
      <c r="E52" s="12"/>
      <c r="F52" s="21"/>
      <c r="G52" s="25">
        <v>1</v>
      </c>
    </row>
    <row r="53" spans="1:7" x14ac:dyDescent="0.25">
      <c r="A53" s="15">
        <f t="shared" si="0"/>
        <v>47</v>
      </c>
      <c r="B53" s="12"/>
      <c r="C53" s="10"/>
      <c r="D53" s="9"/>
      <c r="E53" s="12"/>
      <c r="F53" s="21"/>
      <c r="G53" s="25">
        <v>1</v>
      </c>
    </row>
    <row r="54" spans="1:7" x14ac:dyDescent="0.25">
      <c r="A54" s="15">
        <f t="shared" si="0"/>
        <v>48</v>
      </c>
      <c r="B54" s="12"/>
      <c r="C54" s="10"/>
      <c r="D54" s="9"/>
      <c r="E54" s="12"/>
      <c r="F54" s="21"/>
      <c r="G54" s="25">
        <v>1</v>
      </c>
    </row>
    <row r="55" spans="1:7" x14ac:dyDescent="0.25">
      <c r="A55" s="15">
        <f t="shared" si="0"/>
        <v>49</v>
      </c>
      <c r="B55" s="12"/>
      <c r="C55" s="10"/>
      <c r="D55" s="9"/>
      <c r="E55" s="12"/>
      <c r="F55" s="21"/>
      <c r="G55" s="25">
        <v>1</v>
      </c>
    </row>
    <row r="56" spans="1:7" x14ac:dyDescent="0.25">
      <c r="A56" s="15">
        <f t="shared" si="0"/>
        <v>50</v>
      </c>
      <c r="B56" s="12"/>
      <c r="C56" s="10"/>
      <c r="D56" s="9"/>
      <c r="E56" s="12"/>
      <c r="F56" s="21"/>
      <c r="G56" s="25">
        <v>1</v>
      </c>
    </row>
    <row r="57" spans="1:7" x14ac:dyDescent="0.25">
      <c r="A57" s="15">
        <f t="shared" si="0"/>
        <v>51</v>
      </c>
      <c r="B57" s="12"/>
      <c r="C57" s="10"/>
      <c r="D57" s="9"/>
      <c r="E57" s="12"/>
      <c r="F57" s="21"/>
      <c r="G57" s="25">
        <v>1</v>
      </c>
    </row>
    <row r="58" spans="1:7" x14ac:dyDescent="0.25">
      <c r="A58" s="15">
        <f t="shared" si="0"/>
        <v>52</v>
      </c>
      <c r="B58" s="12"/>
      <c r="C58" s="10"/>
      <c r="D58" s="9"/>
      <c r="E58" s="12"/>
      <c r="F58" s="21"/>
      <c r="G58" s="25">
        <v>1</v>
      </c>
    </row>
    <row r="1048576" spans="3:3" x14ac:dyDescent="0.25">
      <c r="C1048576" s="1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2024</vt:lpstr>
      <vt:lpstr>Février 2024</vt:lpstr>
      <vt:lpstr>Mars 2024</vt:lpstr>
      <vt:lpstr>Avril 2024</vt:lpstr>
      <vt:lpstr>Mai 2024</vt:lpstr>
      <vt:lpstr>Juin 2024</vt:lpstr>
      <vt:lpstr>Juillet 2024</vt:lpstr>
      <vt:lpstr>Aout 2024</vt:lpstr>
      <vt:lpstr>SEPTEMBRE 2024</vt:lpstr>
      <vt:lpstr>OCTOBRE 2024</vt:lpstr>
      <vt:lpstr>NOVREMBRE 2024</vt:lpstr>
      <vt:lpstr>DECEMBRE 2024</vt:lpstr>
      <vt:lpstr>'Aout 2024'!Impression_des_titres</vt:lpstr>
      <vt:lpstr>'Avril 2024'!Impression_des_titres</vt:lpstr>
      <vt:lpstr>'DECEMBRE 2024'!Impression_des_titres</vt:lpstr>
      <vt:lpstr>'Février 2024'!Impression_des_titres</vt:lpstr>
      <vt:lpstr>'Janvier 2024'!Impression_des_titres</vt:lpstr>
      <vt:lpstr>'Juillet 2024'!Impression_des_titres</vt:lpstr>
      <vt:lpstr>'Juin 2024'!Impression_des_titres</vt:lpstr>
      <vt:lpstr>'Mai 2024'!Impression_des_titres</vt:lpstr>
      <vt:lpstr>'Mars 2024'!Impression_des_titres</vt:lpstr>
      <vt:lpstr>'NOVREMBRE 2024'!Impression_des_titres</vt:lpstr>
      <vt:lpstr>'OCTOBRE 2024'!Impression_des_titres</vt:lpstr>
      <vt:lpstr>'SEPTEMBRE 2024'!Impression_des_titres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2025-01-05T10:53:16Z</cp:lastPrinted>
  <dcterms:created xsi:type="dcterms:W3CDTF">2014-12-31T15:00:30Z</dcterms:created>
  <dcterms:modified xsi:type="dcterms:W3CDTF">2025-01-05T10:53:29Z</dcterms:modified>
</cp:coreProperties>
</file>