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24\Gestion de Stock Robeia\"/>
    </mc:Choice>
  </mc:AlternateContent>
  <bookViews>
    <workbookView xWindow="315" yWindow="195" windowWidth="6900" windowHeight="2025" firstSheet="7" activeTab="11"/>
  </bookViews>
  <sheets>
    <sheet name="JANVIER 2024" sheetId="12" r:id="rId1"/>
    <sheet name="FEVRIER 2024" sheetId="13" r:id="rId2"/>
    <sheet name="MARS 2024" sheetId="14" r:id="rId3"/>
    <sheet name="AVRIL 2024" sheetId="15" r:id="rId4"/>
    <sheet name="MAI 2024" sheetId="16" r:id="rId5"/>
    <sheet name="JUIN 2024" sheetId="17" r:id="rId6"/>
    <sheet name="JUILLET 2024" sheetId="18" r:id="rId7"/>
    <sheet name="AOUT 2024" sheetId="20" r:id="rId8"/>
    <sheet name="SEPTEMBRE 2024" sheetId="21" r:id="rId9"/>
    <sheet name="OCTOBRE 2024" sheetId="22" r:id="rId10"/>
    <sheet name="NOVEMBRE 2024" sheetId="23" r:id="rId11"/>
    <sheet name="DECEMBRE 2024" sheetId="24" r:id="rId12"/>
  </sheets>
  <definedNames>
    <definedName name="_xlnm.Print_Titles" localSheetId="7">'AOUT 2024'!$1:$6</definedName>
    <definedName name="_xlnm.Print_Titles" localSheetId="3">'AVRIL 2024'!$1:$6</definedName>
    <definedName name="_xlnm.Print_Titles" localSheetId="11">'DECEMBRE 2024'!$1:$6</definedName>
    <definedName name="_xlnm.Print_Titles" localSheetId="1">'FEVRIER 2024'!$1:$6</definedName>
    <definedName name="_xlnm.Print_Titles" localSheetId="0">'JANVIER 2024'!$1:$6</definedName>
    <definedName name="_xlnm.Print_Titles" localSheetId="6">'JUILLET 2024'!$1:$6</definedName>
    <definedName name="_xlnm.Print_Titles" localSheetId="5">'JUIN 2024'!$1:$6</definedName>
    <definedName name="_xlnm.Print_Titles" localSheetId="4">'MAI 2024'!$1:$6</definedName>
    <definedName name="_xlnm.Print_Titles" localSheetId="2">'MARS 2024'!$1:$6</definedName>
    <definedName name="_xlnm.Print_Titles" localSheetId="10">'NOVEMBRE 2024'!$1:$6</definedName>
    <definedName name="_xlnm.Print_Titles" localSheetId="9">'OCTOBRE 2024'!$1:$6</definedName>
    <definedName name="_xlnm.Print_Titles" localSheetId="8">'SEPTEMBRE 2024'!$1:$6</definedName>
  </definedNames>
  <calcPr calcId="162913"/>
</workbook>
</file>

<file path=xl/calcChain.xml><?xml version="1.0" encoding="utf-8"?>
<calcChain xmlns="http://schemas.openxmlformats.org/spreadsheetml/2006/main">
  <c r="A8" i="24" l="1"/>
  <c r="A9" i="24" s="1"/>
  <c r="A10" i="24" s="1"/>
  <c r="A11" i="24" s="1"/>
  <c r="A12" i="24" s="1"/>
  <c r="A13" i="24" s="1"/>
  <c r="A14" i="24" s="1"/>
  <c r="A15" i="24" s="1"/>
  <c r="A16" i="24" s="1"/>
  <c r="A17" i="24" s="1"/>
  <c r="A18" i="24" s="1"/>
  <c r="A19" i="24" s="1"/>
  <c r="A20" i="24" s="1"/>
  <c r="A21" i="24" s="1"/>
  <c r="A22" i="24" s="1"/>
  <c r="A23" i="24" s="1"/>
  <c r="A24" i="24" s="1"/>
  <c r="A25" i="24" s="1"/>
  <c r="A26" i="24" s="1"/>
  <c r="A27" i="24" s="1"/>
  <c r="A28" i="24" s="1"/>
  <c r="A29" i="24" s="1"/>
  <c r="A30" i="24" s="1"/>
  <c r="A31" i="24" s="1"/>
  <c r="A32" i="24" s="1"/>
  <c r="A33" i="24" s="1"/>
  <c r="A34" i="24" s="1"/>
  <c r="A35" i="24" s="1"/>
  <c r="A36" i="24" s="1"/>
  <c r="A37" i="24" s="1"/>
  <c r="A38" i="24" s="1"/>
  <c r="A39" i="24" s="1"/>
  <c r="A40" i="24" s="1"/>
  <c r="A41" i="24" s="1"/>
  <c r="A42" i="24" s="1"/>
  <c r="A43" i="24" s="1"/>
  <c r="A44" i="24" s="1"/>
  <c r="A45" i="24" s="1"/>
  <c r="A46" i="24" s="1"/>
  <c r="K4" i="24"/>
  <c r="K3" i="24"/>
  <c r="K2" i="24"/>
  <c r="K5" i="24" l="1"/>
  <c r="K4" i="23"/>
  <c r="K3" i="23"/>
  <c r="K2" i="23"/>
  <c r="A8" i="23"/>
  <c r="A9" i="23" s="1"/>
  <c r="A10" i="23" s="1"/>
  <c r="A11" i="23" s="1"/>
  <c r="A12" i="23" s="1"/>
  <c r="A13" i="23" s="1"/>
  <c r="A14" i="23" s="1"/>
  <c r="A15" i="23" s="1"/>
  <c r="A16" i="23" s="1"/>
  <c r="A17" i="23" s="1"/>
  <c r="A18" i="23" s="1"/>
  <c r="A19" i="23" s="1"/>
  <c r="A20" i="23" s="1"/>
  <c r="A21" i="23" s="1"/>
  <c r="A22" i="23" s="1"/>
  <c r="A23" i="23" s="1"/>
  <c r="A24" i="23" s="1"/>
  <c r="A25" i="23" s="1"/>
  <c r="A26" i="23" s="1"/>
  <c r="A27" i="23" s="1"/>
  <c r="A28" i="23" s="1"/>
  <c r="A29" i="23" s="1"/>
  <c r="A30" i="23" s="1"/>
  <c r="A31" i="23" s="1"/>
  <c r="A32" i="23" s="1"/>
  <c r="A33" i="23" s="1"/>
  <c r="A34" i="23" s="1"/>
  <c r="A35" i="23" s="1"/>
  <c r="A36" i="23" s="1"/>
  <c r="A37" i="23" s="1"/>
  <c r="A38" i="23" s="1"/>
  <c r="A39" i="23" s="1"/>
  <c r="A40" i="23" s="1"/>
  <c r="A41" i="23" s="1"/>
  <c r="A42" i="23" s="1"/>
  <c r="A43" i="23" s="1"/>
  <c r="A44" i="23" s="1"/>
  <c r="A45" i="23" s="1"/>
  <c r="A46" i="23" s="1"/>
  <c r="K5" i="23" l="1"/>
  <c r="A8" i="22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A36" i="22" s="1"/>
  <c r="A37" i="22" s="1"/>
  <c r="A38" i="22" s="1"/>
  <c r="A39" i="22" s="1"/>
  <c r="A40" i="22" s="1"/>
  <c r="A41" i="22" s="1"/>
  <c r="A42" i="22" s="1"/>
  <c r="A43" i="22" s="1"/>
  <c r="A44" i="22" s="1"/>
  <c r="A45" i="22" s="1"/>
  <c r="A46" i="22" s="1"/>
  <c r="K4" i="22"/>
  <c r="K3" i="22"/>
  <c r="K2" i="22"/>
  <c r="K5" i="22" s="1"/>
  <c r="A8" i="21" l="1"/>
  <c r="A9" i="21" s="1"/>
  <c r="A10" i="21" s="1"/>
  <c r="A11" i="21" s="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2" i="21" s="1"/>
  <c r="A33" i="21" s="1"/>
  <c r="A34" i="21" s="1"/>
  <c r="A35" i="21" s="1"/>
  <c r="A36" i="21" s="1"/>
  <c r="A37" i="21" s="1"/>
  <c r="A38" i="21" s="1"/>
  <c r="A39" i="21" s="1"/>
  <c r="A40" i="21" s="1"/>
  <c r="A41" i="21" s="1"/>
  <c r="A42" i="21" s="1"/>
  <c r="A43" i="21" s="1"/>
  <c r="A44" i="21" s="1"/>
  <c r="A45" i="21" s="1"/>
  <c r="A46" i="21" s="1"/>
  <c r="K4" i="21"/>
  <c r="K3" i="21"/>
  <c r="K2" i="21"/>
  <c r="K5" i="21" s="1"/>
  <c r="A8" i="20" l="1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A39" i="20" s="1"/>
  <c r="A40" i="20" s="1"/>
  <c r="A41" i="20" s="1"/>
  <c r="A42" i="20" s="1"/>
  <c r="A43" i="20" s="1"/>
  <c r="A44" i="20" s="1"/>
  <c r="A45" i="20" s="1"/>
  <c r="A46" i="20" s="1"/>
  <c r="K4" i="20"/>
  <c r="K3" i="20"/>
  <c r="K2" i="20"/>
  <c r="K5" i="20" s="1"/>
  <c r="A8" i="18" l="1"/>
  <c r="A9" i="18" s="1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A37" i="18" s="1"/>
  <c r="A38" i="18" s="1"/>
  <c r="A39" i="18" s="1"/>
  <c r="A40" i="18" s="1"/>
  <c r="A41" i="18" s="1"/>
  <c r="A42" i="18" s="1"/>
  <c r="A43" i="18" s="1"/>
  <c r="A44" i="18" s="1"/>
  <c r="A45" i="18" s="1"/>
  <c r="A46" i="18" s="1"/>
  <c r="K4" i="18"/>
  <c r="K3" i="18"/>
  <c r="K2" i="18"/>
  <c r="K5" i="18" s="1"/>
  <c r="A8" i="17" l="1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K4" i="17"/>
  <c r="K3" i="17"/>
  <c r="K2" i="17"/>
  <c r="K5" i="17" s="1"/>
  <c r="A8" i="16" l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K4" i="16"/>
  <c r="K3" i="16"/>
  <c r="K2" i="16"/>
  <c r="K5" i="16" l="1"/>
  <c r="A8" i="15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K4" i="15"/>
  <c r="K3" i="15"/>
  <c r="K2" i="15"/>
  <c r="K5" i="15" s="1"/>
  <c r="A8" i="14" l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K4" i="14"/>
  <c r="K3" i="14"/>
  <c r="K2" i="14"/>
  <c r="K5" i="14" l="1"/>
  <c r="A8" i="13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K5" i="13"/>
  <c r="K4" i="13"/>
  <c r="K3" i="13"/>
  <c r="K2" i="13"/>
  <c r="A8" i="12" l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K4" i="12"/>
  <c r="K3" i="12"/>
  <c r="K2" i="12"/>
  <c r="K5" i="12" l="1"/>
</calcChain>
</file>

<file path=xl/sharedStrings.xml><?xml version="1.0" encoding="utf-8"?>
<sst xmlns="http://schemas.openxmlformats.org/spreadsheetml/2006/main" count="551" uniqueCount="175">
  <si>
    <t>Algérienne des Eaux</t>
  </si>
  <si>
    <t>Centre de : Berrouaghia</t>
  </si>
  <si>
    <t>Zone d'Alger</t>
  </si>
  <si>
    <r>
      <t>Agence de</t>
    </r>
    <r>
      <rPr>
        <sz val="10"/>
        <rFont val="Arial"/>
        <family val="2"/>
      </rPr>
      <t xml:space="preserve"> : </t>
    </r>
    <r>
      <rPr>
        <b/>
        <sz val="10"/>
        <rFont val="Arial"/>
        <family val="2"/>
      </rPr>
      <t xml:space="preserve">Berrouaghia </t>
    </r>
  </si>
  <si>
    <t>Nbr Elémination de mois</t>
  </si>
  <si>
    <t>Unité de Médéa</t>
  </si>
  <si>
    <t>Nouveau Branchement</t>
  </si>
  <si>
    <t xml:space="preserve">Suivi Pose Compteurs  </t>
  </si>
  <si>
    <t>Vente Compteur</t>
  </si>
  <si>
    <t>Total Compteurs</t>
  </si>
  <si>
    <t>N° d'ordre</t>
  </si>
  <si>
    <t>N° de Concession</t>
  </si>
  <si>
    <t>Diamètre de compteur</t>
  </si>
  <si>
    <t xml:space="preserve">N° de Série de compteur </t>
  </si>
  <si>
    <t>Date d'installation</t>
  </si>
  <si>
    <t>Observation</t>
  </si>
  <si>
    <t>Antenne Robeia</t>
  </si>
  <si>
    <t>cc</t>
  </si>
  <si>
    <t>Mois de JANVIER  2024</t>
  </si>
  <si>
    <t>Mois de FEVRIER 2024</t>
  </si>
  <si>
    <t>Mois de MARS 2024</t>
  </si>
  <si>
    <t>BO</t>
  </si>
  <si>
    <t>15/21</t>
  </si>
  <si>
    <t>2024023856</t>
  </si>
  <si>
    <t>NB(713/2023)</t>
  </si>
  <si>
    <t>Bessam med</t>
  </si>
  <si>
    <t>2024023853</t>
  </si>
  <si>
    <t>NB(586/2023)</t>
  </si>
  <si>
    <t>Bouferra mohamed</t>
  </si>
  <si>
    <t>2024023854</t>
  </si>
  <si>
    <t>Yahi med</t>
  </si>
  <si>
    <t>NB(234/2023)</t>
  </si>
  <si>
    <t>2024023852</t>
  </si>
  <si>
    <t>NB(402/2023)</t>
  </si>
  <si>
    <t>Aouadj redouane</t>
  </si>
  <si>
    <t>Mois de AVRIL 2024</t>
  </si>
  <si>
    <t>08/05/2024</t>
  </si>
  <si>
    <t>19006106</t>
  </si>
  <si>
    <t>Elimination Forfait</t>
  </si>
  <si>
    <t>Mois de MAI 2024</t>
  </si>
  <si>
    <t>BO0331</t>
  </si>
  <si>
    <t>BO0698</t>
  </si>
  <si>
    <t>19005116</t>
  </si>
  <si>
    <t>BO0611</t>
  </si>
  <si>
    <t>024083721</t>
  </si>
  <si>
    <t>024083722</t>
  </si>
  <si>
    <t>NB</t>
  </si>
  <si>
    <t>Boumali billel</t>
  </si>
  <si>
    <t>agent ade</t>
  </si>
  <si>
    <t>Mois de JUIN 2024</t>
  </si>
  <si>
    <t>BO0024</t>
  </si>
  <si>
    <t>2024083807</t>
  </si>
  <si>
    <t>25/06/2024</t>
  </si>
  <si>
    <t>Mois de JUILLET 2024</t>
  </si>
  <si>
    <t>Mois de AOUT 2024</t>
  </si>
  <si>
    <t>Mois de SEPTEMBRE 2024</t>
  </si>
  <si>
    <t>Mois de OCTOBRE 2024</t>
  </si>
  <si>
    <t>Mois de NOVEMBRE 2024</t>
  </si>
  <si>
    <t>2024218735</t>
  </si>
  <si>
    <t>19/11/2024</t>
  </si>
  <si>
    <t>BO0549</t>
  </si>
  <si>
    <t>BO0552</t>
  </si>
  <si>
    <t>2024218734</t>
  </si>
  <si>
    <t>BO0555</t>
  </si>
  <si>
    <t>2024218733</t>
  </si>
  <si>
    <t>BO0556</t>
  </si>
  <si>
    <t>2024218732</t>
  </si>
  <si>
    <t>BO0558</t>
  </si>
  <si>
    <t>2024218731</t>
  </si>
  <si>
    <t>BO0561</t>
  </si>
  <si>
    <t>2024218737</t>
  </si>
  <si>
    <t>BO0563</t>
  </si>
  <si>
    <t>2024218736</t>
  </si>
  <si>
    <t>BO0579</t>
  </si>
  <si>
    <t>2024218738</t>
  </si>
  <si>
    <t>BO0580</t>
  </si>
  <si>
    <t>2024218739</t>
  </si>
  <si>
    <t>BO0606</t>
  </si>
  <si>
    <t>2024218740</t>
  </si>
  <si>
    <t>BO0608</t>
  </si>
  <si>
    <t>2024219724</t>
  </si>
  <si>
    <t>BO0609</t>
  </si>
  <si>
    <t>2024219725</t>
  </si>
  <si>
    <t>BO0610</t>
  </si>
  <si>
    <t>2024219726</t>
  </si>
  <si>
    <t>BO0614</t>
  </si>
  <si>
    <t>BO0618</t>
  </si>
  <si>
    <t>BO0619</t>
  </si>
  <si>
    <t>2024219727</t>
  </si>
  <si>
    <t>2024219728</t>
  </si>
  <si>
    <t>2024219729</t>
  </si>
  <si>
    <t>BO0624</t>
  </si>
  <si>
    <t>2024219721</t>
  </si>
  <si>
    <t>BO0625</t>
  </si>
  <si>
    <t>2024219723</t>
  </si>
  <si>
    <t>BO0638</t>
  </si>
  <si>
    <t>2024219722</t>
  </si>
  <si>
    <t>BO0658</t>
  </si>
  <si>
    <t>2024219730</t>
  </si>
  <si>
    <t>BO0707</t>
  </si>
  <si>
    <t>2024219977</t>
  </si>
  <si>
    <t>BO0069</t>
  </si>
  <si>
    <t>2024219978</t>
  </si>
  <si>
    <t>BO0081</t>
  </si>
  <si>
    <t>2024219972</t>
  </si>
  <si>
    <t>BO0102</t>
  </si>
  <si>
    <t>2024210316</t>
  </si>
  <si>
    <t>2024210317</t>
  </si>
  <si>
    <t>BO0120</t>
  </si>
  <si>
    <t>BO0122</t>
  </si>
  <si>
    <t>2024210319</t>
  </si>
  <si>
    <t>2024219979</t>
  </si>
  <si>
    <t>BO0134</t>
  </si>
  <si>
    <t>BO0158</t>
  </si>
  <si>
    <t>2024219975</t>
  </si>
  <si>
    <t>BO0221</t>
  </si>
  <si>
    <t>2024219974</t>
  </si>
  <si>
    <t>BO0509</t>
  </si>
  <si>
    <t>2024219980</t>
  </si>
  <si>
    <t>BO0060</t>
  </si>
  <si>
    <t>2024219973</t>
  </si>
  <si>
    <t>BO0393</t>
  </si>
  <si>
    <t>2024219971</t>
  </si>
  <si>
    <t>BO0386</t>
  </si>
  <si>
    <t>2024210318</t>
  </si>
  <si>
    <t>BO0665</t>
  </si>
  <si>
    <t>2024210320</t>
  </si>
  <si>
    <t>BO0674</t>
  </si>
  <si>
    <t>2024210311</t>
  </si>
  <si>
    <t>BO0675</t>
  </si>
  <si>
    <t>2024210312</t>
  </si>
  <si>
    <t>BO0676</t>
  </si>
  <si>
    <t>2024210315</t>
  </si>
  <si>
    <t>BO0677</t>
  </si>
  <si>
    <t>2024210313</t>
  </si>
  <si>
    <t>BO0686</t>
  </si>
  <si>
    <t>2024210314</t>
  </si>
  <si>
    <t>BO0687</t>
  </si>
  <si>
    <t>2024219976</t>
  </si>
  <si>
    <t>Mois de DECEMBRE 2024</t>
  </si>
  <si>
    <t>2024220456</t>
  </si>
  <si>
    <t>01/12/2024</t>
  </si>
  <si>
    <t>NB(557/2024)</t>
  </si>
  <si>
    <t>Ferrane a/azziz</t>
  </si>
  <si>
    <t>BO0193</t>
  </si>
  <si>
    <t>2024218995</t>
  </si>
  <si>
    <t>31/12/2024</t>
  </si>
  <si>
    <t>BO0207</t>
  </si>
  <si>
    <t>2024220435</t>
  </si>
  <si>
    <t>BO0229</t>
  </si>
  <si>
    <t>2024220434</t>
  </si>
  <si>
    <t>BO0244</t>
  </si>
  <si>
    <t>2024220433</t>
  </si>
  <si>
    <t>BO0298</t>
  </si>
  <si>
    <t>2024218998</t>
  </si>
  <si>
    <t>BO0299</t>
  </si>
  <si>
    <t>2024218999</t>
  </si>
  <si>
    <t>2024218997</t>
  </si>
  <si>
    <t>BO0308</t>
  </si>
  <si>
    <t>2024219000</t>
  </si>
  <si>
    <t>BO0375</t>
  </si>
  <si>
    <t>2024218996</t>
  </si>
  <si>
    <t>BO0390</t>
  </si>
  <si>
    <t>2024218994</t>
  </si>
  <si>
    <t>BO0400</t>
  </si>
  <si>
    <t>2024218991</t>
  </si>
  <si>
    <t>BO0460</t>
  </si>
  <si>
    <t>2024220432</t>
  </si>
  <si>
    <t>BO0488</t>
  </si>
  <si>
    <t>2024218993</t>
  </si>
  <si>
    <t>BO0496</t>
  </si>
  <si>
    <t>BO0501</t>
  </si>
  <si>
    <t>2024218992</t>
  </si>
  <si>
    <t>BO0532</t>
  </si>
  <si>
    <t>2024220476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</si>
</sst>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* #,##0.00\ &quot;€&quot;_-;\-* #,##0.00\ &quot;€&quot;_-;_-* &quot;-&quot;??\ &quot;€&quot;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1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8" fillId="0" borderId="0"/>
    <xf numFmtId="0" fontId="1" fillId="0" borderId="0"/>
  </cellStyleXfs>
  <cellXfs count="37">
    <xf numFmtId="0" fontId="0" fillId="0" borderId="0" xfId="0"/>
    <xf numFmtId="0" fontId="1" fillId="0" borderId="0" xfId="1"/>
    <xf numFmtId="0" fontId="1" fillId="0" borderId="0" xfId="1" applyAlignment="1">
      <alignment vertical="center" wrapText="1"/>
    </xf>
    <xf numFmtId="0" fontId="1" fillId="0" borderId="0" xfId="1" applyAlignment="1">
      <alignment horizontal="center" vertical="center" wrapText="1"/>
    </xf>
    <xf numFmtId="0" fontId="1" fillId="0" borderId="0" xfId="1" applyAlignment="1">
      <alignment vertical="center"/>
    </xf>
    <xf numFmtId="0" fontId="2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1" fillId="0" borderId="1" xfId="1" applyBorder="1" applyAlignment="1">
      <alignment horizontal="center" vertical="center" wrapText="1"/>
    </xf>
    <xf numFmtId="49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49" fontId="8" fillId="0" borderId="0" xfId="1" applyNumberFormat="1" applyFont="1" applyAlignment="1">
      <alignment vertical="center" wrapText="1"/>
    </xf>
    <xf numFmtId="14" fontId="6" fillId="0" borderId="1" xfId="1" applyNumberFormat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9" fillId="0" borderId="1" xfId="1" applyFont="1" applyFill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" xfId="1" applyFont="1" applyBorder="1" applyAlignment="1">
      <alignment horizontal="right" vertical="center" wrapText="1"/>
    </xf>
    <xf numFmtId="0" fontId="2" fillId="2" borderId="1" xfId="1" applyFont="1" applyFill="1" applyBorder="1" applyAlignment="1">
      <alignment horizontal="center"/>
    </xf>
    <xf numFmtId="0" fontId="8" fillId="0" borderId="0" xfId="3" applyAlignment="1">
      <alignment vertical="center"/>
    </xf>
    <xf numFmtId="0" fontId="10" fillId="2" borderId="1" xfId="3" applyFont="1" applyFill="1" applyBorder="1" applyAlignment="1">
      <alignment horizontal="center" vertical="center"/>
    </xf>
    <xf numFmtId="49" fontId="7" fillId="0" borderId="1" xfId="1" applyNumberFormat="1" applyFont="1" applyBorder="1" applyAlignment="1">
      <alignment horizontal="center" vertical="top" wrapText="1"/>
    </xf>
    <xf numFmtId="49" fontId="1" fillId="0" borderId="0" xfId="1" applyNumberFormat="1" applyFont="1" applyAlignment="1">
      <alignment vertical="center" wrapText="1"/>
    </xf>
    <xf numFmtId="49" fontId="6" fillId="0" borderId="1" xfId="1" applyNumberFormat="1" applyFont="1" applyFill="1" applyBorder="1" applyAlignment="1">
      <alignment horizontal="center" vertical="center" wrapText="1"/>
    </xf>
    <xf numFmtId="49" fontId="7" fillId="0" borderId="1" xfId="1" applyNumberFormat="1" applyFont="1" applyFill="1" applyBorder="1" applyAlignment="1">
      <alignment horizontal="center" vertical="top" wrapText="1"/>
    </xf>
    <xf numFmtId="0" fontId="1" fillId="0" borderId="0" xfId="1" applyFont="1" applyFill="1" applyAlignment="1">
      <alignment vertical="center" wrapText="1"/>
    </xf>
    <xf numFmtId="49" fontId="8" fillId="0" borderId="0" xfId="1" applyNumberFormat="1" applyFont="1" applyFill="1" applyAlignment="1">
      <alignment vertical="center" wrapText="1"/>
    </xf>
    <xf numFmtId="49" fontId="1" fillId="0" borderId="0" xfId="1" applyNumberFormat="1" applyFont="1" applyFill="1" applyAlignment="1">
      <alignment vertical="center" wrapText="1"/>
    </xf>
    <xf numFmtId="0" fontId="1" fillId="0" borderId="0" xfId="1" applyFill="1" applyAlignment="1">
      <alignment vertical="center" wrapText="1"/>
    </xf>
    <xf numFmtId="20" fontId="3" fillId="3" borderId="1" xfId="1" applyNumberFormat="1" applyFont="1" applyFill="1" applyBorder="1" applyAlignment="1">
      <alignment horizontal="center" vertical="center" wrapText="1"/>
    </xf>
    <xf numFmtId="0" fontId="1" fillId="0" borderId="0" xfId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1" fillId="0" borderId="0" xfId="1" applyAlignment="1">
      <alignment horizontal="left" vertical="center"/>
    </xf>
    <xf numFmtId="0" fontId="1" fillId="0" borderId="2" xfId="1" applyBorder="1" applyAlignment="1">
      <alignment horizontal="left" vertical="center"/>
    </xf>
    <xf numFmtId="0" fontId="5" fillId="0" borderId="3" xfId="3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</cellXfs>
  <cellStyles count="5">
    <cellStyle name="Euro" xfId="2"/>
    <cellStyle name="Normal" xfId="0" builtinId="0"/>
    <cellStyle name="Normal 2" xfId="3"/>
    <cellStyle name="Normal 2 2" xfId="4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28575</xdr:rowOff>
    </xdr:from>
    <xdr:to>
      <xdr:col>5</xdr:col>
      <xdr:colOff>1304925</xdr:colOff>
      <xdr:row>45</xdr:row>
      <xdr:rowOff>152400</xdr:rowOff>
    </xdr:to>
    <xdr:cxnSp macro="">
      <xdr:nvCxnSpPr>
        <xdr:cNvPr id="2" name="Straight Connector 1"/>
        <xdr:cNvCxnSpPr/>
      </xdr:nvCxnSpPr>
      <xdr:spPr>
        <a:xfrm flipH="1">
          <a:off x="590550" y="1343025"/>
          <a:ext cx="4552950" cy="75533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28575</xdr:rowOff>
    </xdr:from>
    <xdr:to>
      <xdr:col>5</xdr:col>
      <xdr:colOff>1304925</xdr:colOff>
      <xdr:row>45</xdr:row>
      <xdr:rowOff>152400</xdr:rowOff>
    </xdr:to>
    <xdr:cxnSp macro="">
      <xdr:nvCxnSpPr>
        <xdr:cNvPr id="2" name="Straight Connector 1"/>
        <xdr:cNvCxnSpPr/>
      </xdr:nvCxnSpPr>
      <xdr:spPr>
        <a:xfrm flipH="1">
          <a:off x="590550" y="1343025"/>
          <a:ext cx="4552950" cy="75533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47625</xdr:rowOff>
    </xdr:from>
    <xdr:to>
      <xdr:col>6</xdr:col>
      <xdr:colOff>0</xdr:colOff>
      <xdr:row>45</xdr:row>
      <xdr:rowOff>152400</xdr:rowOff>
    </xdr:to>
    <xdr:cxnSp macro="">
      <xdr:nvCxnSpPr>
        <xdr:cNvPr id="2" name="Straight Connector 1"/>
        <xdr:cNvCxnSpPr/>
      </xdr:nvCxnSpPr>
      <xdr:spPr>
        <a:xfrm flipH="1">
          <a:off x="590550" y="2695575"/>
          <a:ext cx="4562475" cy="62007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6</xdr:row>
      <xdr:rowOff>9525</xdr:rowOff>
    </xdr:from>
    <xdr:to>
      <xdr:col>5</xdr:col>
      <xdr:colOff>1276350</xdr:colOff>
      <xdr:row>45</xdr:row>
      <xdr:rowOff>152400</xdr:rowOff>
    </xdr:to>
    <xdr:cxnSp macro="">
      <xdr:nvCxnSpPr>
        <xdr:cNvPr id="2" name="Straight Connector 1"/>
        <xdr:cNvCxnSpPr/>
      </xdr:nvCxnSpPr>
      <xdr:spPr>
        <a:xfrm flipH="1">
          <a:off x="590551" y="1323975"/>
          <a:ext cx="4524374" cy="75723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</xdr:colOff>
      <xdr:row>10</xdr:row>
      <xdr:rowOff>28575</xdr:rowOff>
    </xdr:from>
    <xdr:to>
      <xdr:col>5</xdr:col>
      <xdr:colOff>1295400</xdr:colOff>
      <xdr:row>45</xdr:row>
      <xdr:rowOff>152400</xdr:rowOff>
    </xdr:to>
    <xdr:cxnSp macro="">
      <xdr:nvCxnSpPr>
        <xdr:cNvPr id="2" name="Straight Connector 1"/>
        <xdr:cNvCxnSpPr/>
      </xdr:nvCxnSpPr>
      <xdr:spPr>
        <a:xfrm flipH="1">
          <a:off x="590552" y="2105025"/>
          <a:ext cx="4543423" cy="67913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</xdr:colOff>
      <xdr:row>7</xdr:row>
      <xdr:rowOff>19050</xdr:rowOff>
    </xdr:from>
    <xdr:to>
      <xdr:col>5</xdr:col>
      <xdr:colOff>1285875</xdr:colOff>
      <xdr:row>45</xdr:row>
      <xdr:rowOff>152400</xdr:rowOff>
    </xdr:to>
    <xdr:cxnSp macro="">
      <xdr:nvCxnSpPr>
        <xdr:cNvPr id="2" name="Straight Connector 1"/>
        <xdr:cNvCxnSpPr/>
      </xdr:nvCxnSpPr>
      <xdr:spPr>
        <a:xfrm flipH="1">
          <a:off x="590553" y="1524000"/>
          <a:ext cx="4533897" cy="7372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</xdr:colOff>
      <xdr:row>6</xdr:row>
      <xdr:rowOff>19050</xdr:rowOff>
    </xdr:from>
    <xdr:to>
      <xdr:col>5</xdr:col>
      <xdr:colOff>1285875</xdr:colOff>
      <xdr:row>45</xdr:row>
      <xdr:rowOff>152400</xdr:rowOff>
    </xdr:to>
    <xdr:cxnSp macro="">
      <xdr:nvCxnSpPr>
        <xdr:cNvPr id="2" name="Straight Connector 1"/>
        <xdr:cNvCxnSpPr/>
      </xdr:nvCxnSpPr>
      <xdr:spPr>
        <a:xfrm flipH="1">
          <a:off x="590554" y="1333500"/>
          <a:ext cx="4533896" cy="75628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</xdr:colOff>
      <xdr:row>6</xdr:row>
      <xdr:rowOff>19050</xdr:rowOff>
    </xdr:from>
    <xdr:to>
      <xdr:col>5</xdr:col>
      <xdr:colOff>1285875</xdr:colOff>
      <xdr:row>45</xdr:row>
      <xdr:rowOff>152400</xdr:rowOff>
    </xdr:to>
    <xdr:cxnSp macro="">
      <xdr:nvCxnSpPr>
        <xdr:cNvPr id="2" name="Straight Connector 1"/>
        <xdr:cNvCxnSpPr/>
      </xdr:nvCxnSpPr>
      <xdr:spPr>
        <a:xfrm flipH="1">
          <a:off x="590554" y="1333500"/>
          <a:ext cx="4533896" cy="75628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</xdr:colOff>
      <xdr:row>6</xdr:row>
      <xdr:rowOff>19050</xdr:rowOff>
    </xdr:from>
    <xdr:to>
      <xdr:col>5</xdr:col>
      <xdr:colOff>1285875</xdr:colOff>
      <xdr:row>45</xdr:row>
      <xdr:rowOff>152400</xdr:rowOff>
    </xdr:to>
    <xdr:cxnSp macro="">
      <xdr:nvCxnSpPr>
        <xdr:cNvPr id="2" name="Straight Connector 1"/>
        <xdr:cNvCxnSpPr/>
      </xdr:nvCxnSpPr>
      <xdr:spPr>
        <a:xfrm flipH="1">
          <a:off x="590554" y="1333500"/>
          <a:ext cx="4533896" cy="75628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</xdr:colOff>
      <xdr:row>6</xdr:row>
      <xdr:rowOff>19050</xdr:rowOff>
    </xdr:from>
    <xdr:to>
      <xdr:col>5</xdr:col>
      <xdr:colOff>1285875</xdr:colOff>
      <xdr:row>45</xdr:row>
      <xdr:rowOff>152400</xdr:rowOff>
    </xdr:to>
    <xdr:cxnSp macro="">
      <xdr:nvCxnSpPr>
        <xdr:cNvPr id="2" name="Straight Connector 1"/>
        <xdr:cNvCxnSpPr/>
      </xdr:nvCxnSpPr>
      <xdr:spPr>
        <a:xfrm flipH="1">
          <a:off x="590554" y="1333500"/>
          <a:ext cx="4533896" cy="75628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22</xdr:row>
      <xdr:rowOff>0</xdr:rowOff>
    </xdr:from>
    <xdr:to>
      <xdr:col>5</xdr:col>
      <xdr:colOff>1266825</xdr:colOff>
      <xdr:row>45</xdr:row>
      <xdr:rowOff>161925</xdr:rowOff>
    </xdr:to>
    <xdr:cxnSp macro="">
      <xdr:nvCxnSpPr>
        <xdr:cNvPr id="3" name="Connecteur droit 2"/>
        <xdr:cNvCxnSpPr/>
      </xdr:nvCxnSpPr>
      <xdr:spPr>
        <a:xfrm flipV="1">
          <a:off x="571500" y="4362450"/>
          <a:ext cx="4533900" cy="45434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A5" sqref="A5:F5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42578125" hidden="1" customWidth="1"/>
    <col min="8" max="8" width="29.85546875" customWidth="1"/>
  </cols>
  <sheetData>
    <row r="1" spans="1:11" ht="18" x14ac:dyDescent="0.25">
      <c r="A1" s="31" t="s">
        <v>0</v>
      </c>
      <c r="B1" s="31"/>
      <c r="C1" s="3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5" t="s">
        <v>2</v>
      </c>
      <c r="B2" s="35"/>
      <c r="C2" s="35"/>
      <c r="D2" s="6"/>
      <c r="E2" s="36" t="s">
        <v>3</v>
      </c>
      <c r="F2" s="36"/>
      <c r="G2" s="4"/>
      <c r="H2" s="4"/>
      <c r="I2" s="32" t="s">
        <v>4</v>
      </c>
      <c r="J2" s="33"/>
      <c r="K2" s="18">
        <f>SUMIF(F7:F38,"Elimination*",G7:G38)</f>
        <v>0</v>
      </c>
    </row>
    <row r="3" spans="1:11" x14ac:dyDescent="0.25">
      <c r="A3" s="36" t="s">
        <v>5</v>
      </c>
      <c r="B3" s="36"/>
      <c r="C3" s="36"/>
      <c r="D3" s="5"/>
      <c r="E3" s="36" t="s">
        <v>16</v>
      </c>
      <c r="F3" s="36"/>
      <c r="G3" s="4"/>
      <c r="H3" s="4"/>
      <c r="I3" s="32" t="s">
        <v>6</v>
      </c>
      <c r="J3" s="33"/>
      <c r="K3" s="18">
        <f>SUMIF(F7:F38,"NB*",G7:G38)</f>
        <v>0</v>
      </c>
    </row>
    <row r="4" spans="1:11" ht="18" x14ac:dyDescent="0.25">
      <c r="A4" s="31" t="s">
        <v>7</v>
      </c>
      <c r="B4" s="31"/>
      <c r="C4" s="31"/>
      <c r="D4" s="31"/>
      <c r="E4" s="31"/>
      <c r="F4" s="31"/>
      <c r="G4" s="4"/>
      <c r="H4" s="4"/>
      <c r="I4" s="32" t="s">
        <v>8</v>
      </c>
      <c r="J4" s="33"/>
      <c r="K4" s="18">
        <f>SUMIF(F7:F38,"Ve*",G7:G38)</f>
        <v>0</v>
      </c>
    </row>
    <row r="5" spans="1:11" ht="15.75" x14ac:dyDescent="0.25">
      <c r="A5" s="34" t="s">
        <v>18</v>
      </c>
      <c r="B5" s="34"/>
      <c r="C5" s="34"/>
      <c r="D5" s="34"/>
      <c r="E5" s="34"/>
      <c r="F5" s="34"/>
      <c r="G5" s="19"/>
      <c r="H5" s="19"/>
      <c r="I5" s="32" t="s">
        <v>9</v>
      </c>
      <c r="J5" s="33"/>
      <c r="K5" s="20">
        <f>SUM(K2:K4)</f>
        <v>0</v>
      </c>
    </row>
    <row r="6" spans="1:11" ht="21.6" customHeight="1" x14ac:dyDescent="0.25">
      <c r="A6" s="29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0" t="s">
        <v>17</v>
      </c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12"/>
      <c r="F7" s="21"/>
      <c r="G7" s="17">
        <v>1</v>
      </c>
      <c r="H7" s="27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17">
        <v>1</v>
      </c>
      <c r="H8" s="27"/>
      <c r="I8" s="2"/>
      <c r="J8" s="2"/>
      <c r="K8" s="1"/>
    </row>
    <row r="9" spans="1:11" ht="15" customHeight="1" x14ac:dyDescent="0.25">
      <c r="A9" s="15">
        <f t="shared" ref="A9:A46" si="0">+A8+1</f>
        <v>3</v>
      </c>
      <c r="B9" s="13"/>
      <c r="C9" s="10"/>
      <c r="D9" s="9"/>
      <c r="E9" s="12"/>
      <c r="F9" s="21"/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9"/>
      <c r="E10" s="12"/>
      <c r="F10" s="21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9"/>
      <c r="E11" s="12"/>
      <c r="F11" s="21"/>
      <c r="G11" s="17">
        <v>1</v>
      </c>
      <c r="H11" s="25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9"/>
      <c r="E12" s="12"/>
      <c r="F12" s="21"/>
      <c r="G12" s="17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9"/>
      <c r="E13" s="12"/>
      <c r="F13" s="21"/>
      <c r="G13" s="17"/>
      <c r="H13" s="25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3"/>
      <c r="D14" s="23"/>
      <c r="E14" s="12"/>
      <c r="F14" s="24"/>
      <c r="G14" s="17">
        <v>1</v>
      </c>
      <c r="H14" s="27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3"/>
      <c r="D15" s="23"/>
      <c r="E15" s="12"/>
      <c r="F15" s="24"/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/>
      <c r="C16" s="13"/>
      <c r="D16" s="23"/>
      <c r="E16" s="12"/>
      <c r="F16" s="24"/>
      <c r="G16" s="17">
        <v>1</v>
      </c>
      <c r="H16" s="28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17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17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17">
        <v>1</v>
      </c>
      <c r="H22" s="27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>
        <v>1</v>
      </c>
      <c r="H29" s="22"/>
      <c r="I29" s="2"/>
      <c r="J29" s="2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ht="15" customHeight="1" x14ac:dyDescent="0.25">
      <c r="A36" s="15">
        <f t="shared" si="0"/>
        <v>30</v>
      </c>
      <c r="B36" s="12"/>
      <c r="C36" s="10"/>
      <c r="D36" s="9"/>
      <c r="E36" s="12"/>
      <c r="F36" s="21"/>
      <c r="G36" s="17"/>
      <c r="H36" s="1"/>
      <c r="I36" s="1"/>
      <c r="J36" s="1"/>
    </row>
    <row r="37" spans="1:10" ht="15" customHeight="1" x14ac:dyDescent="0.25">
      <c r="A37" s="15">
        <f t="shared" si="0"/>
        <v>31</v>
      </c>
      <c r="B37" s="12"/>
      <c r="C37" s="10"/>
      <c r="D37" s="9"/>
      <c r="E37" s="12"/>
      <c r="F37" s="21"/>
      <c r="G37" s="17"/>
      <c r="H37" s="1"/>
      <c r="I37" s="1"/>
      <c r="J37" s="1"/>
    </row>
    <row r="38" spans="1:10" ht="15" customHeight="1" x14ac:dyDescent="0.25">
      <c r="A38" s="15">
        <f t="shared" si="0"/>
        <v>32</v>
      </c>
      <c r="B38" s="12"/>
      <c r="C38" s="10"/>
      <c r="D38" s="9"/>
      <c r="E38" s="12"/>
      <c r="F38" s="21"/>
      <c r="G38" s="17"/>
      <c r="H38" s="1"/>
      <c r="I38" s="1"/>
      <c r="J38" s="1"/>
    </row>
    <row r="39" spans="1:10" x14ac:dyDescent="0.25">
      <c r="A39" s="15">
        <f t="shared" si="0"/>
        <v>33</v>
      </c>
      <c r="B39" s="12"/>
      <c r="C39" s="10"/>
      <c r="D39" s="9"/>
      <c r="E39" s="12"/>
      <c r="F39" s="21"/>
    </row>
    <row r="40" spans="1:10" x14ac:dyDescent="0.25">
      <c r="A40" s="15">
        <f t="shared" si="0"/>
        <v>34</v>
      </c>
      <c r="B40" s="12"/>
      <c r="C40" s="10"/>
      <c r="D40" s="9"/>
      <c r="E40" s="12"/>
      <c r="F40" s="21"/>
    </row>
    <row r="41" spans="1:10" x14ac:dyDescent="0.25">
      <c r="A41" s="15">
        <f t="shared" si="0"/>
        <v>35</v>
      </c>
      <c r="B41" s="12"/>
      <c r="C41" s="10"/>
      <c r="D41" s="9"/>
      <c r="E41" s="12"/>
      <c r="F41" s="21"/>
    </row>
    <row r="42" spans="1:10" x14ac:dyDescent="0.25">
      <c r="A42" s="15">
        <f t="shared" si="0"/>
        <v>36</v>
      </c>
      <c r="B42" s="12"/>
      <c r="C42" s="10"/>
      <c r="D42" s="9"/>
      <c r="E42" s="12"/>
      <c r="F42" s="21"/>
    </row>
    <row r="43" spans="1:10" x14ac:dyDescent="0.25">
      <c r="A43" s="15">
        <f t="shared" si="0"/>
        <v>37</v>
      </c>
      <c r="B43" s="12"/>
      <c r="C43" s="10"/>
      <c r="D43" s="9"/>
      <c r="E43" s="12"/>
      <c r="F43" s="21"/>
    </row>
    <row r="44" spans="1:10" x14ac:dyDescent="0.25">
      <c r="A44" s="15">
        <f t="shared" si="0"/>
        <v>38</v>
      </c>
      <c r="B44" s="12"/>
      <c r="C44" s="10"/>
      <c r="D44" s="9"/>
      <c r="E44" s="12"/>
      <c r="F44" s="21"/>
    </row>
    <row r="45" spans="1:10" x14ac:dyDescent="0.25">
      <c r="A45" s="15">
        <f t="shared" si="0"/>
        <v>39</v>
      </c>
      <c r="B45" s="12"/>
      <c r="C45" s="10"/>
      <c r="D45" s="9"/>
      <c r="E45" s="12"/>
      <c r="F45" s="21"/>
    </row>
    <row r="46" spans="1:10" x14ac:dyDescent="0.25">
      <c r="A46" s="15">
        <f t="shared" si="0"/>
        <v>40</v>
      </c>
      <c r="B46" s="12"/>
      <c r="C46" s="10"/>
      <c r="D46" s="9"/>
      <c r="E46" s="12"/>
      <c r="F46" s="2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42578125" hidden="1" customWidth="1"/>
    <col min="8" max="8" width="29.85546875" customWidth="1"/>
  </cols>
  <sheetData>
    <row r="1" spans="1:11" ht="18" x14ac:dyDescent="0.25">
      <c r="A1" s="31" t="s">
        <v>0</v>
      </c>
      <c r="B1" s="31"/>
      <c r="C1" s="3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5" t="s">
        <v>2</v>
      </c>
      <c r="B2" s="35"/>
      <c r="C2" s="35"/>
      <c r="D2" s="6"/>
      <c r="E2" s="36" t="s">
        <v>3</v>
      </c>
      <c r="F2" s="36"/>
      <c r="G2" s="4"/>
      <c r="H2" s="4"/>
      <c r="I2" s="32" t="s">
        <v>4</v>
      </c>
      <c r="J2" s="33"/>
      <c r="K2" s="18">
        <f>SUMIF(F7:F38,"Elimination*",G7:G38)</f>
        <v>0</v>
      </c>
    </row>
    <row r="3" spans="1:11" x14ac:dyDescent="0.25">
      <c r="A3" s="36" t="s">
        <v>5</v>
      </c>
      <c r="B3" s="36"/>
      <c r="C3" s="36"/>
      <c r="D3" s="5"/>
      <c r="E3" s="36" t="s">
        <v>16</v>
      </c>
      <c r="F3" s="36"/>
      <c r="G3" s="4"/>
      <c r="H3" s="4"/>
      <c r="I3" s="32" t="s">
        <v>6</v>
      </c>
      <c r="J3" s="33"/>
      <c r="K3" s="18">
        <f>SUMIF(F7:F38,"NB*",G7:G38)</f>
        <v>0</v>
      </c>
    </row>
    <row r="4" spans="1:11" ht="18" x14ac:dyDescent="0.25">
      <c r="A4" s="31" t="s">
        <v>7</v>
      </c>
      <c r="B4" s="31"/>
      <c r="C4" s="31"/>
      <c r="D4" s="31"/>
      <c r="E4" s="31"/>
      <c r="F4" s="31"/>
      <c r="G4" s="4"/>
      <c r="H4" s="4"/>
      <c r="I4" s="32" t="s">
        <v>8</v>
      </c>
      <c r="J4" s="33"/>
      <c r="K4" s="18">
        <f>SUMIF(F7:F38,"Ve*",G7:G38)</f>
        <v>0</v>
      </c>
    </row>
    <row r="5" spans="1:11" ht="15.75" x14ac:dyDescent="0.25">
      <c r="A5" s="34" t="s">
        <v>19</v>
      </c>
      <c r="B5" s="34"/>
      <c r="C5" s="34"/>
      <c r="D5" s="34"/>
      <c r="E5" s="34"/>
      <c r="F5" s="34"/>
      <c r="G5" s="19"/>
      <c r="H5" s="19"/>
      <c r="I5" s="32" t="s">
        <v>9</v>
      </c>
      <c r="J5" s="33"/>
      <c r="K5" s="20">
        <f>SUM(K2:K4)</f>
        <v>0</v>
      </c>
    </row>
    <row r="6" spans="1:11" ht="21.6" customHeight="1" x14ac:dyDescent="0.25">
      <c r="A6" s="29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0" t="s">
        <v>17</v>
      </c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12"/>
      <c r="F7" s="21"/>
      <c r="G7" s="17">
        <v>1</v>
      </c>
      <c r="H7" s="27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17">
        <v>1</v>
      </c>
      <c r="H8" s="27"/>
      <c r="I8" s="2"/>
      <c r="J8" s="2"/>
      <c r="K8" s="1"/>
    </row>
    <row r="9" spans="1:11" ht="15" customHeight="1" x14ac:dyDescent="0.25">
      <c r="A9" s="15">
        <f t="shared" ref="A9:A46" si="0">+A8+1</f>
        <v>3</v>
      </c>
      <c r="B9" s="13"/>
      <c r="C9" s="10"/>
      <c r="D9" s="9"/>
      <c r="E9" s="12"/>
      <c r="F9" s="21"/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9"/>
      <c r="E10" s="12"/>
      <c r="F10" s="21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9"/>
      <c r="E11" s="12"/>
      <c r="F11" s="21"/>
      <c r="G11" s="17">
        <v>1</v>
      </c>
      <c r="H11" s="25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9"/>
      <c r="E12" s="12"/>
      <c r="F12" s="21"/>
      <c r="G12" s="17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9"/>
      <c r="E13" s="12"/>
      <c r="F13" s="21"/>
      <c r="G13" s="17"/>
      <c r="H13" s="25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3"/>
      <c r="D14" s="23"/>
      <c r="E14" s="12"/>
      <c r="F14" s="24"/>
      <c r="G14" s="17">
        <v>1</v>
      </c>
      <c r="H14" s="27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3"/>
      <c r="D15" s="23"/>
      <c r="E15" s="12"/>
      <c r="F15" s="24"/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/>
      <c r="C16" s="13"/>
      <c r="D16" s="23"/>
      <c r="E16" s="12"/>
      <c r="F16" s="24"/>
      <c r="G16" s="17">
        <v>1</v>
      </c>
      <c r="H16" s="28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17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17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17">
        <v>1</v>
      </c>
      <c r="H22" s="27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>
        <v>1</v>
      </c>
      <c r="H29" s="22"/>
      <c r="I29" s="2"/>
      <c r="J29" s="2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ht="15" customHeight="1" x14ac:dyDescent="0.25">
      <c r="A36" s="15">
        <f t="shared" si="0"/>
        <v>30</v>
      </c>
      <c r="B36" s="12"/>
      <c r="C36" s="10"/>
      <c r="D36" s="9"/>
      <c r="E36" s="12"/>
      <c r="F36" s="21"/>
      <c r="G36" s="17"/>
      <c r="H36" s="1"/>
      <c r="I36" s="1"/>
      <c r="J36" s="1"/>
    </row>
    <row r="37" spans="1:10" ht="15" customHeight="1" x14ac:dyDescent="0.25">
      <c r="A37" s="15">
        <f t="shared" si="0"/>
        <v>31</v>
      </c>
      <c r="B37" s="12"/>
      <c r="C37" s="10"/>
      <c r="D37" s="9"/>
      <c r="E37" s="12"/>
      <c r="F37" s="21"/>
      <c r="G37" s="17"/>
      <c r="H37" s="1"/>
      <c r="I37" s="1"/>
      <c r="J37" s="1"/>
    </row>
    <row r="38" spans="1:10" ht="15" customHeight="1" x14ac:dyDescent="0.25">
      <c r="A38" s="15">
        <f t="shared" si="0"/>
        <v>32</v>
      </c>
      <c r="B38" s="12"/>
      <c r="C38" s="10"/>
      <c r="D38" s="9"/>
      <c r="E38" s="12"/>
      <c r="F38" s="21"/>
      <c r="G38" s="17"/>
      <c r="H38" s="1"/>
      <c r="I38" s="1"/>
      <c r="J38" s="1"/>
    </row>
    <row r="39" spans="1:10" x14ac:dyDescent="0.25">
      <c r="A39" s="15">
        <f t="shared" si="0"/>
        <v>33</v>
      </c>
      <c r="B39" s="12"/>
      <c r="C39" s="10"/>
      <c r="D39" s="9"/>
      <c r="E39" s="12"/>
      <c r="F39" s="21"/>
    </row>
    <row r="40" spans="1:10" x14ac:dyDescent="0.25">
      <c r="A40" s="15">
        <f t="shared" si="0"/>
        <v>34</v>
      </c>
      <c r="B40" s="12"/>
      <c r="C40" s="10"/>
      <c r="D40" s="9"/>
      <c r="E40" s="12"/>
      <c r="F40" s="21"/>
    </row>
    <row r="41" spans="1:10" x14ac:dyDescent="0.25">
      <c r="A41" s="15">
        <f t="shared" si="0"/>
        <v>35</v>
      </c>
      <c r="B41" s="12"/>
      <c r="C41" s="10"/>
      <c r="D41" s="9"/>
      <c r="E41" s="12"/>
      <c r="F41" s="21"/>
    </row>
    <row r="42" spans="1:10" x14ac:dyDescent="0.25">
      <c r="A42" s="15">
        <f t="shared" si="0"/>
        <v>36</v>
      </c>
      <c r="B42" s="12"/>
      <c r="C42" s="10"/>
      <c r="D42" s="9"/>
      <c r="E42" s="12"/>
      <c r="F42" s="21"/>
    </row>
    <row r="43" spans="1:10" x14ac:dyDescent="0.25">
      <c r="A43" s="15">
        <f t="shared" si="0"/>
        <v>37</v>
      </c>
      <c r="B43" s="12"/>
      <c r="C43" s="10"/>
      <c r="D43" s="9"/>
      <c r="E43" s="12"/>
      <c r="F43" s="21"/>
    </row>
    <row r="44" spans="1:10" x14ac:dyDescent="0.25">
      <c r="A44" s="15">
        <f t="shared" si="0"/>
        <v>38</v>
      </c>
      <c r="B44" s="12"/>
      <c r="C44" s="10"/>
      <c r="D44" s="9"/>
      <c r="E44" s="12"/>
      <c r="F44" s="21"/>
    </row>
    <row r="45" spans="1:10" x14ac:dyDescent="0.25">
      <c r="A45" s="15">
        <f t="shared" si="0"/>
        <v>39</v>
      </c>
      <c r="B45" s="12"/>
      <c r="C45" s="10"/>
      <c r="D45" s="9"/>
      <c r="E45" s="12"/>
      <c r="F45" s="21"/>
    </row>
    <row r="46" spans="1:10" x14ac:dyDescent="0.25">
      <c r="A46" s="15">
        <f t="shared" si="0"/>
        <v>40</v>
      </c>
      <c r="B46" s="12"/>
      <c r="C46" s="10"/>
      <c r="D46" s="9"/>
      <c r="E46" s="12"/>
      <c r="F46" s="2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I10" sqref="I10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42578125" hidden="1" customWidth="1"/>
    <col min="8" max="8" width="29.85546875" customWidth="1"/>
  </cols>
  <sheetData>
    <row r="1" spans="1:11" ht="18" x14ac:dyDescent="0.25">
      <c r="A1" s="31" t="s">
        <v>0</v>
      </c>
      <c r="B1" s="31"/>
      <c r="C1" s="3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5" t="s">
        <v>2</v>
      </c>
      <c r="B2" s="35"/>
      <c r="C2" s="35"/>
      <c r="D2" s="6"/>
      <c r="E2" s="36" t="s">
        <v>3</v>
      </c>
      <c r="F2" s="36"/>
      <c r="G2" s="4"/>
      <c r="H2" s="4"/>
      <c r="I2" s="32" t="s">
        <v>4</v>
      </c>
      <c r="J2" s="33"/>
      <c r="K2" s="18">
        <f>SUMIF(F7:F38,"Elimination*",G7:G38)</f>
        <v>0</v>
      </c>
    </row>
    <row r="3" spans="1:11" x14ac:dyDescent="0.25">
      <c r="A3" s="36" t="s">
        <v>5</v>
      </c>
      <c r="B3" s="36"/>
      <c r="C3" s="36"/>
      <c r="D3" s="5"/>
      <c r="E3" s="36" t="s">
        <v>16</v>
      </c>
      <c r="F3" s="36"/>
      <c r="G3" s="4"/>
      <c r="H3" s="4"/>
      <c r="I3" s="32" t="s">
        <v>6</v>
      </c>
      <c r="J3" s="33"/>
      <c r="K3" s="18">
        <f>SUMIF(F7:F38,"NB*",G7:G38)</f>
        <v>4</v>
      </c>
    </row>
    <row r="4" spans="1:11" ht="18" x14ac:dyDescent="0.25">
      <c r="A4" s="31" t="s">
        <v>7</v>
      </c>
      <c r="B4" s="31"/>
      <c r="C4" s="31"/>
      <c r="D4" s="31"/>
      <c r="E4" s="31"/>
      <c r="F4" s="31"/>
      <c r="G4" s="4"/>
      <c r="H4" s="4"/>
      <c r="I4" s="32" t="s">
        <v>8</v>
      </c>
      <c r="J4" s="33"/>
      <c r="K4" s="18">
        <f>SUMIF(F7:F38,"Ve*",G7:G38)</f>
        <v>0</v>
      </c>
    </row>
    <row r="5" spans="1:11" ht="15.75" x14ac:dyDescent="0.25">
      <c r="A5" s="34" t="s">
        <v>20</v>
      </c>
      <c r="B5" s="34"/>
      <c r="C5" s="34"/>
      <c r="D5" s="34"/>
      <c r="E5" s="34"/>
      <c r="F5" s="34"/>
      <c r="G5" s="19"/>
      <c r="H5" s="19"/>
      <c r="I5" s="32" t="s">
        <v>9</v>
      </c>
      <c r="J5" s="33"/>
      <c r="K5" s="20">
        <f>SUM(K2:K4)</f>
        <v>4</v>
      </c>
    </row>
    <row r="6" spans="1:11" ht="21.6" customHeight="1" x14ac:dyDescent="0.25">
      <c r="A6" s="29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0" t="s">
        <v>17</v>
      </c>
      <c r="I6" s="3"/>
      <c r="J6" s="3"/>
      <c r="K6" s="1"/>
    </row>
    <row r="7" spans="1:11" ht="15" customHeight="1" x14ac:dyDescent="0.25">
      <c r="A7" s="15">
        <v>1</v>
      </c>
      <c r="B7" s="13" t="s">
        <v>21</v>
      </c>
      <c r="C7" s="10" t="s">
        <v>22</v>
      </c>
      <c r="D7" s="23" t="s">
        <v>32</v>
      </c>
      <c r="E7" s="12">
        <v>45354</v>
      </c>
      <c r="F7" s="21" t="s">
        <v>33</v>
      </c>
      <c r="G7" s="17">
        <v>1</v>
      </c>
      <c r="H7" s="25" t="s">
        <v>34</v>
      </c>
      <c r="I7" s="16"/>
      <c r="J7" s="16"/>
      <c r="K7" s="1"/>
    </row>
    <row r="8" spans="1:11" ht="15" customHeight="1" x14ac:dyDescent="0.25">
      <c r="A8" s="15">
        <f>+A7+1</f>
        <v>2</v>
      </c>
      <c r="B8" s="13" t="s">
        <v>21</v>
      </c>
      <c r="C8" s="10" t="s">
        <v>22</v>
      </c>
      <c r="D8" s="23" t="s">
        <v>26</v>
      </c>
      <c r="E8" s="12">
        <v>45354</v>
      </c>
      <c r="F8" s="21" t="s">
        <v>27</v>
      </c>
      <c r="G8" s="17">
        <v>1</v>
      </c>
      <c r="H8" s="27" t="s">
        <v>28</v>
      </c>
      <c r="I8" s="2"/>
      <c r="J8" s="2"/>
      <c r="K8" s="1"/>
    </row>
    <row r="9" spans="1:11" ht="15" customHeight="1" x14ac:dyDescent="0.25">
      <c r="A9" s="15">
        <f t="shared" ref="A9:A46" si="0">+A8+1</f>
        <v>3</v>
      </c>
      <c r="B9" s="13" t="s">
        <v>21</v>
      </c>
      <c r="C9" s="10" t="s">
        <v>22</v>
      </c>
      <c r="D9" s="23" t="s">
        <v>29</v>
      </c>
      <c r="E9" s="12">
        <v>45354</v>
      </c>
      <c r="F9" s="21" t="s">
        <v>31</v>
      </c>
      <c r="G9" s="17">
        <v>1</v>
      </c>
      <c r="H9" s="25" t="s">
        <v>30</v>
      </c>
      <c r="I9" s="2"/>
      <c r="J9" s="2"/>
      <c r="K9" s="1"/>
    </row>
    <row r="10" spans="1:11" ht="15" customHeight="1" x14ac:dyDescent="0.25">
      <c r="A10" s="15">
        <f t="shared" si="0"/>
        <v>4</v>
      </c>
      <c r="B10" s="13" t="s">
        <v>21</v>
      </c>
      <c r="C10" s="10" t="s">
        <v>22</v>
      </c>
      <c r="D10" s="23" t="s">
        <v>23</v>
      </c>
      <c r="E10" s="12">
        <v>45354</v>
      </c>
      <c r="F10" s="21" t="s">
        <v>24</v>
      </c>
      <c r="G10" s="17">
        <v>1</v>
      </c>
      <c r="H10" s="27" t="s">
        <v>25</v>
      </c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9"/>
      <c r="E11" s="12"/>
      <c r="F11" s="21"/>
      <c r="G11" s="17">
        <v>1</v>
      </c>
      <c r="H11" s="25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9"/>
      <c r="E12" s="12"/>
      <c r="F12" s="21"/>
      <c r="G12" s="17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9"/>
      <c r="E13" s="12"/>
      <c r="F13" s="21"/>
      <c r="G13" s="17"/>
      <c r="H13" s="25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3"/>
      <c r="D14" s="23"/>
      <c r="E14" s="12"/>
      <c r="F14" s="24"/>
      <c r="G14" s="17">
        <v>1</v>
      </c>
      <c r="H14" s="27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3"/>
      <c r="D15" s="23"/>
      <c r="E15" s="12"/>
      <c r="F15" s="24"/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/>
      <c r="C16" s="13"/>
      <c r="D16" s="23"/>
      <c r="E16" s="12"/>
      <c r="F16" s="24"/>
      <c r="G16" s="17">
        <v>1</v>
      </c>
      <c r="H16" s="28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17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17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17">
        <v>1</v>
      </c>
      <c r="H22" s="27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>
        <v>1</v>
      </c>
      <c r="H29" s="22"/>
      <c r="I29" s="2"/>
      <c r="J29" s="2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ht="15" customHeight="1" x14ac:dyDescent="0.25">
      <c r="A36" s="15">
        <f t="shared" si="0"/>
        <v>30</v>
      </c>
      <c r="B36" s="12"/>
      <c r="C36" s="10"/>
      <c r="D36" s="9"/>
      <c r="E36" s="12"/>
      <c r="F36" s="21"/>
      <c r="G36" s="17"/>
      <c r="H36" s="1"/>
      <c r="I36" s="1"/>
      <c r="J36" s="1"/>
    </row>
    <row r="37" spans="1:10" ht="15" customHeight="1" x14ac:dyDescent="0.25">
      <c r="A37" s="15">
        <f t="shared" si="0"/>
        <v>31</v>
      </c>
      <c r="B37" s="12"/>
      <c r="C37" s="10"/>
      <c r="D37" s="9"/>
      <c r="E37" s="12"/>
      <c r="F37" s="21"/>
      <c r="G37" s="17"/>
      <c r="H37" s="1"/>
      <c r="I37" s="1"/>
      <c r="J37" s="1"/>
    </row>
    <row r="38" spans="1:10" ht="15" customHeight="1" x14ac:dyDescent="0.25">
      <c r="A38" s="15">
        <f t="shared" si="0"/>
        <v>32</v>
      </c>
      <c r="B38" s="12"/>
      <c r="C38" s="10"/>
      <c r="D38" s="9"/>
      <c r="E38" s="12"/>
      <c r="F38" s="21"/>
      <c r="G38" s="17"/>
      <c r="H38" s="1"/>
      <c r="I38" s="1"/>
      <c r="J38" s="1"/>
    </row>
    <row r="39" spans="1:10" x14ac:dyDescent="0.25">
      <c r="A39" s="15">
        <f t="shared" si="0"/>
        <v>33</v>
      </c>
      <c r="B39" s="12"/>
      <c r="C39" s="10"/>
      <c r="D39" s="9"/>
      <c r="E39" s="12"/>
      <c r="F39" s="21"/>
    </row>
    <row r="40" spans="1:10" x14ac:dyDescent="0.25">
      <c r="A40" s="15">
        <f t="shared" si="0"/>
        <v>34</v>
      </c>
      <c r="B40" s="12"/>
      <c r="C40" s="10"/>
      <c r="D40" s="9"/>
      <c r="E40" s="12"/>
      <c r="F40" s="21"/>
    </row>
    <row r="41" spans="1:10" x14ac:dyDescent="0.25">
      <c r="A41" s="15">
        <f t="shared" si="0"/>
        <v>35</v>
      </c>
      <c r="B41" s="12"/>
      <c r="C41" s="10"/>
      <c r="D41" s="9"/>
      <c r="E41" s="12"/>
      <c r="F41" s="21"/>
    </row>
    <row r="42" spans="1:10" x14ac:dyDescent="0.25">
      <c r="A42" s="15">
        <f t="shared" si="0"/>
        <v>36</v>
      </c>
      <c r="B42" s="12"/>
      <c r="C42" s="10"/>
      <c r="D42" s="9"/>
      <c r="E42" s="12"/>
      <c r="F42" s="21"/>
    </row>
    <row r="43" spans="1:10" x14ac:dyDescent="0.25">
      <c r="A43" s="15">
        <f t="shared" si="0"/>
        <v>37</v>
      </c>
      <c r="B43" s="12"/>
      <c r="C43" s="10"/>
      <c r="D43" s="9"/>
      <c r="E43" s="12"/>
      <c r="F43" s="21"/>
    </row>
    <row r="44" spans="1:10" x14ac:dyDescent="0.25">
      <c r="A44" s="15">
        <f t="shared" si="0"/>
        <v>38</v>
      </c>
      <c r="B44" s="12"/>
      <c r="C44" s="10"/>
      <c r="D44" s="9"/>
      <c r="E44" s="12"/>
      <c r="F44" s="21"/>
    </row>
    <row r="45" spans="1:10" x14ac:dyDescent="0.25">
      <c r="A45" s="15">
        <f t="shared" si="0"/>
        <v>39</v>
      </c>
      <c r="B45" s="12"/>
      <c r="C45" s="10"/>
      <c r="D45" s="9"/>
      <c r="E45" s="12"/>
      <c r="F45" s="21"/>
    </row>
    <row r="46" spans="1:10" x14ac:dyDescent="0.25">
      <c r="A46" s="15">
        <f t="shared" si="0"/>
        <v>40</v>
      </c>
      <c r="B46" s="12"/>
      <c r="C46" s="10"/>
      <c r="D46" s="9"/>
      <c r="E46" s="12"/>
      <c r="F46" s="21"/>
    </row>
  </sheetData>
  <sortState ref="B7:H10">
    <sortCondition ref="E7:E10"/>
    <sortCondition ref="D7:D10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F24" sqref="F24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42578125" hidden="1" customWidth="1"/>
    <col min="8" max="8" width="29.85546875" customWidth="1"/>
  </cols>
  <sheetData>
    <row r="1" spans="1:11" ht="18" x14ac:dyDescent="0.25">
      <c r="A1" s="31" t="s">
        <v>0</v>
      </c>
      <c r="B1" s="31"/>
      <c r="C1" s="3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5" t="s">
        <v>2</v>
      </c>
      <c r="B2" s="35"/>
      <c r="C2" s="35"/>
      <c r="D2" s="6"/>
      <c r="E2" s="36" t="s">
        <v>3</v>
      </c>
      <c r="F2" s="36"/>
      <c r="G2" s="4"/>
      <c r="H2" s="4"/>
      <c r="I2" s="32" t="s">
        <v>4</v>
      </c>
      <c r="J2" s="33"/>
      <c r="K2" s="18">
        <f>SUMIF(F7:F38,"Elimination*",G7:G38)</f>
        <v>0</v>
      </c>
    </row>
    <row r="3" spans="1:11" x14ac:dyDescent="0.25">
      <c r="A3" s="36" t="s">
        <v>5</v>
      </c>
      <c r="B3" s="36"/>
      <c r="C3" s="36"/>
      <c r="D3" s="5"/>
      <c r="E3" s="36" t="s">
        <v>16</v>
      </c>
      <c r="F3" s="36"/>
      <c r="G3" s="4"/>
      <c r="H3" s="4"/>
      <c r="I3" s="32" t="s">
        <v>6</v>
      </c>
      <c r="J3" s="33"/>
      <c r="K3" s="18">
        <f>SUMIF(F7:F38,"NB*",G7:G38)</f>
        <v>0</v>
      </c>
    </row>
    <row r="4" spans="1:11" ht="18" x14ac:dyDescent="0.25">
      <c r="A4" s="31" t="s">
        <v>7</v>
      </c>
      <c r="B4" s="31"/>
      <c r="C4" s="31"/>
      <c r="D4" s="31"/>
      <c r="E4" s="31"/>
      <c r="F4" s="31"/>
      <c r="G4" s="4"/>
      <c r="H4" s="4"/>
      <c r="I4" s="32" t="s">
        <v>8</v>
      </c>
      <c r="J4" s="33"/>
      <c r="K4" s="18">
        <f>SUMIF(F7:F38,"Ve*",G7:G38)</f>
        <v>0</v>
      </c>
    </row>
    <row r="5" spans="1:11" ht="15.75" x14ac:dyDescent="0.25">
      <c r="A5" s="34" t="s">
        <v>35</v>
      </c>
      <c r="B5" s="34"/>
      <c r="C5" s="34"/>
      <c r="D5" s="34"/>
      <c r="E5" s="34"/>
      <c r="F5" s="34"/>
      <c r="G5" s="19"/>
      <c r="H5" s="19"/>
      <c r="I5" s="32" t="s">
        <v>9</v>
      </c>
      <c r="J5" s="33"/>
      <c r="K5" s="20">
        <f>SUM(K2:K4)</f>
        <v>0</v>
      </c>
    </row>
    <row r="6" spans="1:11" ht="21.6" customHeight="1" x14ac:dyDescent="0.25">
      <c r="A6" s="29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0" t="s">
        <v>17</v>
      </c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12"/>
      <c r="F7" s="21"/>
      <c r="G7" s="17">
        <v>1</v>
      </c>
      <c r="H7" s="25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17">
        <v>1</v>
      </c>
      <c r="H8" s="27"/>
      <c r="I8" s="2"/>
      <c r="J8" s="2"/>
      <c r="K8" s="1"/>
    </row>
    <row r="9" spans="1:11" ht="15" customHeight="1" x14ac:dyDescent="0.25">
      <c r="A9" s="15">
        <f t="shared" ref="A9:A46" si="0">+A8+1</f>
        <v>3</v>
      </c>
      <c r="B9" s="13"/>
      <c r="C9" s="10"/>
      <c r="D9" s="23"/>
      <c r="E9" s="12"/>
      <c r="F9" s="21"/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1"/>
      <c r="G10" s="17">
        <v>1</v>
      </c>
      <c r="H10" s="27"/>
      <c r="I10" s="2">
        <v>19005116</v>
      </c>
      <c r="J10" s="2">
        <v>80</v>
      </c>
      <c r="K10" s="1"/>
    </row>
    <row r="11" spans="1:11" ht="15" customHeight="1" x14ac:dyDescent="0.25">
      <c r="A11" s="15">
        <f t="shared" si="0"/>
        <v>5</v>
      </c>
      <c r="B11" s="13"/>
      <c r="C11" s="10"/>
      <c r="D11" s="9"/>
      <c r="E11" s="12"/>
      <c r="F11" s="21"/>
      <c r="G11" s="17">
        <v>1</v>
      </c>
      <c r="H11" s="25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9"/>
      <c r="E12" s="12"/>
      <c r="F12" s="21"/>
      <c r="G12" s="17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9"/>
      <c r="E13" s="12"/>
      <c r="F13" s="21"/>
      <c r="G13" s="17"/>
      <c r="H13" s="25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3"/>
      <c r="D14" s="23"/>
      <c r="E14" s="12"/>
      <c r="F14" s="24"/>
      <c r="G14" s="17">
        <v>1</v>
      </c>
      <c r="H14" s="27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3"/>
      <c r="D15" s="23"/>
      <c r="E15" s="12"/>
      <c r="F15" s="24"/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/>
      <c r="C16" s="13"/>
      <c r="D16" s="23"/>
      <c r="E16" s="12"/>
      <c r="F16" s="24"/>
      <c r="G16" s="17">
        <v>1</v>
      </c>
      <c r="H16" s="28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17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17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17">
        <v>1</v>
      </c>
      <c r="H22" s="27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>
        <v>1</v>
      </c>
      <c r="H29" s="22"/>
      <c r="I29" s="2"/>
      <c r="J29" s="2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ht="15" customHeight="1" x14ac:dyDescent="0.25">
      <c r="A36" s="15">
        <f t="shared" si="0"/>
        <v>30</v>
      </c>
      <c r="B36" s="12"/>
      <c r="C36" s="10"/>
      <c r="D36" s="9"/>
      <c r="E36" s="12"/>
      <c r="F36" s="21"/>
      <c r="G36" s="17"/>
      <c r="H36" s="1"/>
      <c r="I36" s="1"/>
      <c r="J36" s="1"/>
    </row>
    <row r="37" spans="1:10" ht="15" customHeight="1" x14ac:dyDescent="0.25">
      <c r="A37" s="15">
        <f t="shared" si="0"/>
        <v>31</v>
      </c>
      <c r="B37" s="12"/>
      <c r="C37" s="10"/>
      <c r="D37" s="9"/>
      <c r="E37" s="12"/>
      <c r="F37" s="21"/>
      <c r="G37" s="17"/>
      <c r="H37" s="1"/>
      <c r="I37" s="1"/>
      <c r="J37" s="1"/>
    </row>
    <row r="38" spans="1:10" ht="15" customHeight="1" x14ac:dyDescent="0.25">
      <c r="A38" s="15">
        <f t="shared" si="0"/>
        <v>32</v>
      </c>
      <c r="B38" s="12"/>
      <c r="C38" s="10"/>
      <c r="D38" s="9"/>
      <c r="E38" s="12"/>
      <c r="F38" s="21"/>
      <c r="G38" s="17"/>
      <c r="H38" s="1"/>
      <c r="I38" s="1"/>
      <c r="J38" s="1"/>
    </row>
    <row r="39" spans="1:10" x14ac:dyDescent="0.25">
      <c r="A39" s="15">
        <f t="shared" si="0"/>
        <v>33</v>
      </c>
      <c r="B39" s="12"/>
      <c r="C39" s="10"/>
      <c r="D39" s="9"/>
      <c r="E39" s="12"/>
      <c r="F39" s="21"/>
    </row>
    <row r="40" spans="1:10" x14ac:dyDescent="0.25">
      <c r="A40" s="15">
        <f t="shared" si="0"/>
        <v>34</v>
      </c>
      <c r="B40" s="12"/>
      <c r="C40" s="10"/>
      <c r="D40" s="9"/>
      <c r="E40" s="12"/>
      <c r="F40" s="21"/>
    </row>
    <row r="41" spans="1:10" x14ac:dyDescent="0.25">
      <c r="A41" s="15">
        <f t="shared" si="0"/>
        <v>35</v>
      </c>
      <c r="B41" s="12"/>
      <c r="C41" s="10"/>
      <c r="D41" s="9"/>
      <c r="E41" s="12"/>
      <c r="F41" s="21"/>
    </row>
    <row r="42" spans="1:10" x14ac:dyDescent="0.25">
      <c r="A42" s="15">
        <f t="shared" si="0"/>
        <v>36</v>
      </c>
      <c r="B42" s="12"/>
      <c r="C42" s="10"/>
      <c r="D42" s="9"/>
      <c r="E42" s="12"/>
      <c r="F42" s="21"/>
    </row>
    <row r="43" spans="1:10" x14ac:dyDescent="0.25">
      <c r="A43" s="15">
        <f t="shared" si="0"/>
        <v>37</v>
      </c>
      <c r="B43" s="12"/>
      <c r="C43" s="10"/>
      <c r="D43" s="9"/>
      <c r="E43" s="12"/>
      <c r="F43" s="21"/>
    </row>
    <row r="44" spans="1:10" x14ac:dyDescent="0.25">
      <c r="A44" s="15">
        <f t="shared" si="0"/>
        <v>38</v>
      </c>
      <c r="B44" s="12"/>
      <c r="C44" s="10"/>
      <c r="D44" s="9"/>
      <c r="E44" s="12"/>
      <c r="F44" s="21"/>
    </row>
    <row r="45" spans="1:10" x14ac:dyDescent="0.25">
      <c r="A45" s="15">
        <f t="shared" si="0"/>
        <v>39</v>
      </c>
      <c r="B45" s="12"/>
      <c r="C45" s="10"/>
      <c r="D45" s="9"/>
      <c r="E45" s="12"/>
      <c r="F45" s="21"/>
    </row>
    <row r="46" spans="1:10" x14ac:dyDescent="0.25">
      <c r="A46" s="15">
        <f t="shared" si="0"/>
        <v>40</v>
      </c>
      <c r="B46" s="12"/>
      <c r="C46" s="10"/>
      <c r="D46" s="9"/>
      <c r="E46" s="12"/>
      <c r="F46" s="2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F8" sqref="F8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42578125" hidden="1" customWidth="1"/>
    <col min="8" max="8" width="29.85546875" customWidth="1"/>
  </cols>
  <sheetData>
    <row r="1" spans="1:11" ht="18" x14ac:dyDescent="0.25">
      <c r="A1" s="31" t="s">
        <v>0</v>
      </c>
      <c r="B1" s="31"/>
      <c r="C1" s="3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5" t="s">
        <v>2</v>
      </c>
      <c r="B2" s="35"/>
      <c r="C2" s="35"/>
      <c r="D2" s="6"/>
      <c r="E2" s="36" t="s">
        <v>3</v>
      </c>
      <c r="F2" s="36"/>
      <c r="G2" s="4"/>
      <c r="H2" s="4"/>
      <c r="I2" s="32" t="s">
        <v>4</v>
      </c>
      <c r="J2" s="33"/>
      <c r="K2" s="18">
        <f>SUMIF(F7:F38,"Elimination*",G7:G38)</f>
        <v>3</v>
      </c>
    </row>
    <row r="3" spans="1:11" x14ac:dyDescent="0.25">
      <c r="A3" s="36" t="s">
        <v>5</v>
      </c>
      <c r="B3" s="36"/>
      <c r="C3" s="36"/>
      <c r="D3" s="5"/>
      <c r="E3" s="36" t="s">
        <v>16</v>
      </c>
      <c r="F3" s="36"/>
      <c r="G3" s="4"/>
      <c r="H3" s="4"/>
      <c r="I3" s="32" t="s">
        <v>6</v>
      </c>
      <c r="J3" s="33"/>
      <c r="K3" s="18">
        <f>SUMIF(F7:F38,"NB*",G7:G38)</f>
        <v>1</v>
      </c>
    </row>
    <row r="4" spans="1:11" ht="18" x14ac:dyDescent="0.25">
      <c r="A4" s="31" t="s">
        <v>7</v>
      </c>
      <c r="B4" s="31"/>
      <c r="C4" s="31"/>
      <c r="D4" s="31"/>
      <c r="E4" s="31"/>
      <c r="F4" s="31"/>
      <c r="G4" s="4"/>
      <c r="H4" s="4"/>
      <c r="I4" s="32" t="s">
        <v>8</v>
      </c>
      <c r="J4" s="33"/>
      <c r="K4" s="18">
        <f>SUMIF(F7:F38,"Ve*",G7:G38)</f>
        <v>0</v>
      </c>
    </row>
    <row r="5" spans="1:11" ht="15.75" x14ac:dyDescent="0.25">
      <c r="A5" s="34" t="s">
        <v>39</v>
      </c>
      <c r="B5" s="34"/>
      <c r="C5" s="34"/>
      <c r="D5" s="34"/>
      <c r="E5" s="34"/>
      <c r="F5" s="34"/>
      <c r="G5" s="19"/>
      <c r="H5" s="19"/>
      <c r="I5" s="32" t="s">
        <v>9</v>
      </c>
      <c r="J5" s="33"/>
      <c r="K5" s="20">
        <f>SUM(K2:K4)</f>
        <v>4</v>
      </c>
    </row>
    <row r="6" spans="1:11" ht="21.6" customHeight="1" x14ac:dyDescent="0.25">
      <c r="A6" s="29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0" t="s">
        <v>17</v>
      </c>
      <c r="I6" s="3"/>
      <c r="J6" s="3"/>
      <c r="K6" s="1"/>
    </row>
    <row r="7" spans="1:11" ht="15" customHeight="1" x14ac:dyDescent="0.25">
      <c r="A7" s="15">
        <v>1</v>
      </c>
      <c r="B7" s="13" t="s">
        <v>40</v>
      </c>
      <c r="C7" s="10">
        <v>65</v>
      </c>
      <c r="D7" s="23" t="s">
        <v>37</v>
      </c>
      <c r="E7" s="23" t="s">
        <v>36</v>
      </c>
      <c r="F7" s="21" t="s">
        <v>38</v>
      </c>
      <c r="G7" s="17">
        <v>1</v>
      </c>
      <c r="H7" s="25"/>
      <c r="I7" s="16"/>
      <c r="J7" s="16"/>
      <c r="K7" s="1"/>
    </row>
    <row r="8" spans="1:11" ht="15" customHeight="1" x14ac:dyDescent="0.25">
      <c r="A8" s="15">
        <f>+A7+1</f>
        <v>2</v>
      </c>
      <c r="B8" s="13" t="s">
        <v>41</v>
      </c>
      <c r="C8" s="10">
        <v>80</v>
      </c>
      <c r="D8" s="23" t="s">
        <v>42</v>
      </c>
      <c r="E8" s="12">
        <v>45433</v>
      </c>
      <c r="F8" s="21" t="s">
        <v>38</v>
      </c>
      <c r="G8" s="17">
        <v>1</v>
      </c>
      <c r="H8" s="27"/>
      <c r="I8" s="2"/>
      <c r="J8" s="2"/>
      <c r="K8" s="1"/>
    </row>
    <row r="9" spans="1:11" ht="15" customHeight="1" x14ac:dyDescent="0.25">
      <c r="A9" s="15">
        <f t="shared" ref="A9:A46" si="0">+A8+1</f>
        <v>3</v>
      </c>
      <c r="B9" s="13" t="s">
        <v>43</v>
      </c>
      <c r="C9" s="10" t="s">
        <v>22</v>
      </c>
      <c r="D9" s="23" t="s">
        <v>44</v>
      </c>
      <c r="E9" s="12">
        <v>45435</v>
      </c>
      <c r="F9" s="21" t="s">
        <v>38</v>
      </c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 t="s">
        <v>21</v>
      </c>
      <c r="C10" s="10" t="s">
        <v>22</v>
      </c>
      <c r="D10" s="23" t="s">
        <v>45</v>
      </c>
      <c r="E10" s="12">
        <v>45435</v>
      </c>
      <c r="F10" s="21" t="s">
        <v>46</v>
      </c>
      <c r="G10" s="17">
        <v>1</v>
      </c>
      <c r="H10" s="27" t="s">
        <v>47</v>
      </c>
      <c r="I10" s="2" t="s">
        <v>48</v>
      </c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9"/>
      <c r="E11" s="12"/>
      <c r="F11" s="21"/>
      <c r="G11" s="17">
        <v>1</v>
      </c>
      <c r="H11" s="25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9"/>
      <c r="E12" s="12"/>
      <c r="F12" s="21"/>
      <c r="G12" s="17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9"/>
      <c r="E13" s="12"/>
      <c r="F13" s="21"/>
      <c r="G13" s="17"/>
      <c r="H13" s="25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3"/>
      <c r="D14" s="23"/>
      <c r="E14" s="12"/>
      <c r="F14" s="24"/>
      <c r="G14" s="17">
        <v>1</v>
      </c>
      <c r="H14" s="27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3"/>
      <c r="D15" s="23"/>
      <c r="E15" s="12"/>
      <c r="F15" s="24"/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/>
      <c r="C16" s="13"/>
      <c r="D16" s="23"/>
      <c r="E16" s="12"/>
      <c r="F16" s="24"/>
      <c r="G16" s="17">
        <v>1</v>
      </c>
      <c r="H16" s="28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17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17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17">
        <v>1</v>
      </c>
      <c r="H22" s="27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>
        <v>1</v>
      </c>
      <c r="H29" s="22"/>
      <c r="I29" s="2"/>
      <c r="J29" s="2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ht="15" customHeight="1" x14ac:dyDescent="0.25">
      <c r="A36" s="15">
        <f t="shared" si="0"/>
        <v>30</v>
      </c>
      <c r="B36" s="12"/>
      <c r="C36" s="10"/>
      <c r="D36" s="9"/>
      <c r="E36" s="12"/>
      <c r="F36" s="21"/>
      <c r="G36" s="17"/>
      <c r="H36" s="1"/>
      <c r="I36" s="1"/>
      <c r="J36" s="1"/>
    </row>
    <row r="37" spans="1:10" ht="15" customHeight="1" x14ac:dyDescent="0.25">
      <c r="A37" s="15">
        <f t="shared" si="0"/>
        <v>31</v>
      </c>
      <c r="B37" s="12"/>
      <c r="C37" s="10"/>
      <c r="D37" s="9"/>
      <c r="E37" s="12"/>
      <c r="F37" s="21"/>
      <c r="G37" s="17"/>
      <c r="H37" s="1"/>
      <c r="I37" s="1"/>
      <c r="J37" s="1"/>
    </row>
    <row r="38" spans="1:10" ht="15" customHeight="1" x14ac:dyDescent="0.25">
      <c r="A38" s="15">
        <f t="shared" si="0"/>
        <v>32</v>
      </c>
      <c r="B38" s="12"/>
      <c r="C38" s="10"/>
      <c r="D38" s="9"/>
      <c r="E38" s="12"/>
      <c r="F38" s="21"/>
      <c r="G38" s="17"/>
      <c r="H38" s="1"/>
      <c r="I38" s="1"/>
      <c r="J38" s="1"/>
    </row>
    <row r="39" spans="1:10" x14ac:dyDescent="0.25">
      <c r="A39" s="15">
        <f t="shared" si="0"/>
        <v>33</v>
      </c>
      <c r="B39" s="12"/>
      <c r="C39" s="10"/>
      <c r="D39" s="9"/>
      <c r="E39" s="12"/>
      <c r="F39" s="21"/>
    </row>
    <row r="40" spans="1:10" x14ac:dyDescent="0.25">
      <c r="A40" s="15">
        <f t="shared" si="0"/>
        <v>34</v>
      </c>
      <c r="B40" s="12"/>
      <c r="C40" s="10"/>
      <c r="D40" s="9"/>
      <c r="E40" s="12"/>
      <c r="F40" s="21"/>
    </row>
    <row r="41" spans="1:10" x14ac:dyDescent="0.25">
      <c r="A41" s="15">
        <f t="shared" si="0"/>
        <v>35</v>
      </c>
      <c r="B41" s="12"/>
      <c r="C41" s="10"/>
      <c r="D41" s="9"/>
      <c r="E41" s="12"/>
      <c r="F41" s="21"/>
    </row>
    <row r="42" spans="1:10" x14ac:dyDescent="0.25">
      <c r="A42" s="15">
        <f t="shared" si="0"/>
        <v>36</v>
      </c>
      <c r="B42" s="12"/>
      <c r="C42" s="10"/>
      <c r="D42" s="9"/>
      <c r="E42" s="12"/>
      <c r="F42" s="21"/>
    </row>
    <row r="43" spans="1:10" x14ac:dyDescent="0.25">
      <c r="A43" s="15">
        <f t="shared" si="0"/>
        <v>37</v>
      </c>
      <c r="B43" s="12"/>
      <c r="C43" s="10"/>
      <c r="D43" s="9"/>
      <c r="E43" s="12"/>
      <c r="F43" s="21"/>
    </row>
    <row r="44" spans="1:10" x14ac:dyDescent="0.25">
      <c r="A44" s="15">
        <f t="shared" si="0"/>
        <v>38</v>
      </c>
      <c r="B44" s="12"/>
      <c r="C44" s="10"/>
      <c r="D44" s="9"/>
      <c r="E44" s="12"/>
      <c r="F44" s="21"/>
    </row>
    <row r="45" spans="1:10" x14ac:dyDescent="0.25">
      <c r="A45" s="15">
        <f t="shared" si="0"/>
        <v>39</v>
      </c>
      <c r="B45" s="12"/>
      <c r="C45" s="10"/>
      <c r="D45" s="9"/>
      <c r="E45" s="12"/>
      <c r="F45" s="21"/>
    </row>
    <row r="46" spans="1:10" x14ac:dyDescent="0.25">
      <c r="A46" s="15">
        <f t="shared" si="0"/>
        <v>40</v>
      </c>
      <c r="B46" s="12"/>
      <c r="C46" s="10"/>
      <c r="D46" s="9"/>
      <c r="E46" s="12"/>
      <c r="F46" s="2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F13" sqref="F13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42578125" hidden="1" customWidth="1"/>
    <col min="8" max="8" width="29.85546875" customWidth="1"/>
  </cols>
  <sheetData>
    <row r="1" spans="1:11" ht="18" x14ac:dyDescent="0.25">
      <c r="A1" s="31" t="s">
        <v>0</v>
      </c>
      <c r="B1" s="31"/>
      <c r="C1" s="3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5" t="s">
        <v>2</v>
      </c>
      <c r="B2" s="35"/>
      <c r="C2" s="35"/>
      <c r="D2" s="6"/>
      <c r="E2" s="36" t="s">
        <v>3</v>
      </c>
      <c r="F2" s="36"/>
      <c r="G2" s="4"/>
      <c r="H2" s="4"/>
      <c r="I2" s="32" t="s">
        <v>4</v>
      </c>
      <c r="J2" s="33"/>
      <c r="K2" s="18">
        <f>SUMIF(F7:F38,"Elimination*",G7:G38)</f>
        <v>1</v>
      </c>
    </row>
    <row r="3" spans="1:11" x14ac:dyDescent="0.25">
      <c r="A3" s="36" t="s">
        <v>5</v>
      </c>
      <c r="B3" s="36"/>
      <c r="C3" s="36"/>
      <c r="D3" s="5"/>
      <c r="E3" s="36" t="s">
        <v>16</v>
      </c>
      <c r="F3" s="36"/>
      <c r="G3" s="4"/>
      <c r="H3" s="4"/>
      <c r="I3" s="32" t="s">
        <v>6</v>
      </c>
      <c r="J3" s="33"/>
      <c r="K3" s="18">
        <f>SUMIF(F7:F38,"NB*",G7:G38)</f>
        <v>0</v>
      </c>
    </row>
    <row r="4" spans="1:11" ht="18" x14ac:dyDescent="0.25">
      <c r="A4" s="31" t="s">
        <v>7</v>
      </c>
      <c r="B4" s="31"/>
      <c r="C4" s="31"/>
      <c r="D4" s="31"/>
      <c r="E4" s="31"/>
      <c r="F4" s="31"/>
      <c r="G4" s="4"/>
      <c r="H4" s="4"/>
      <c r="I4" s="32" t="s">
        <v>8</v>
      </c>
      <c r="J4" s="33"/>
      <c r="K4" s="18">
        <f>SUMIF(F7:F38,"Ve*",G7:G38)</f>
        <v>0</v>
      </c>
    </row>
    <row r="5" spans="1:11" ht="15.75" x14ac:dyDescent="0.25">
      <c r="A5" s="34" t="s">
        <v>49</v>
      </c>
      <c r="B5" s="34"/>
      <c r="C5" s="34"/>
      <c r="D5" s="34"/>
      <c r="E5" s="34"/>
      <c r="F5" s="34"/>
      <c r="G5" s="19"/>
      <c r="H5" s="19"/>
      <c r="I5" s="32" t="s">
        <v>9</v>
      </c>
      <c r="J5" s="33"/>
      <c r="K5" s="20">
        <f>SUM(K2:K4)</f>
        <v>1</v>
      </c>
    </row>
    <row r="6" spans="1:11" ht="21.6" customHeight="1" x14ac:dyDescent="0.25">
      <c r="A6" s="29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0" t="s">
        <v>17</v>
      </c>
      <c r="I6" s="3"/>
      <c r="J6" s="3"/>
      <c r="K6" s="1"/>
    </row>
    <row r="7" spans="1:11" ht="15" customHeight="1" x14ac:dyDescent="0.25">
      <c r="A7" s="15">
        <v>1</v>
      </c>
      <c r="B7" s="13" t="s">
        <v>50</v>
      </c>
      <c r="C7" s="10" t="s">
        <v>22</v>
      </c>
      <c r="D7" s="23" t="s">
        <v>51</v>
      </c>
      <c r="E7" s="23" t="s">
        <v>52</v>
      </c>
      <c r="F7" s="21" t="s">
        <v>38</v>
      </c>
      <c r="G7" s="17">
        <v>1</v>
      </c>
      <c r="H7" s="25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17">
        <v>1</v>
      </c>
      <c r="H8" s="27"/>
      <c r="I8" s="2"/>
      <c r="J8" s="2"/>
      <c r="K8" s="1"/>
    </row>
    <row r="9" spans="1:11" ht="15" customHeight="1" x14ac:dyDescent="0.25">
      <c r="A9" s="15">
        <f t="shared" ref="A9:A46" si="0">+A8+1</f>
        <v>3</v>
      </c>
      <c r="B9" s="13"/>
      <c r="C9" s="10"/>
      <c r="D9" s="23"/>
      <c r="E9" s="12"/>
      <c r="F9" s="21"/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1"/>
      <c r="G10" s="17">
        <v>1</v>
      </c>
      <c r="H10" s="27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9"/>
      <c r="E11" s="12"/>
      <c r="F11" s="21"/>
      <c r="G11" s="17">
        <v>1</v>
      </c>
      <c r="H11" s="25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9"/>
      <c r="E12" s="12"/>
      <c r="F12" s="21"/>
      <c r="G12" s="17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9"/>
      <c r="E13" s="12"/>
      <c r="F13" s="21"/>
      <c r="G13" s="17"/>
      <c r="H13" s="25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3"/>
      <c r="D14" s="23"/>
      <c r="E14" s="12"/>
      <c r="F14" s="24"/>
      <c r="G14" s="17">
        <v>1</v>
      </c>
      <c r="H14" s="27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3"/>
      <c r="D15" s="23"/>
      <c r="E15" s="12"/>
      <c r="F15" s="24"/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/>
      <c r="C16" s="13"/>
      <c r="D16" s="23"/>
      <c r="E16" s="12"/>
      <c r="F16" s="24"/>
      <c r="G16" s="17">
        <v>1</v>
      </c>
      <c r="H16" s="28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17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17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17">
        <v>1</v>
      </c>
      <c r="H22" s="27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>
        <v>1</v>
      </c>
      <c r="H29" s="22"/>
      <c r="I29" s="2"/>
      <c r="J29" s="2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ht="15" customHeight="1" x14ac:dyDescent="0.25">
      <c r="A36" s="15">
        <f t="shared" si="0"/>
        <v>30</v>
      </c>
      <c r="B36" s="12"/>
      <c r="C36" s="10"/>
      <c r="D36" s="9"/>
      <c r="E36" s="12"/>
      <c r="F36" s="21"/>
      <c r="G36" s="17"/>
      <c r="H36" s="1"/>
      <c r="I36" s="1"/>
      <c r="J36" s="1"/>
    </row>
    <row r="37" spans="1:10" ht="15" customHeight="1" x14ac:dyDescent="0.25">
      <c r="A37" s="15">
        <f t="shared" si="0"/>
        <v>31</v>
      </c>
      <c r="B37" s="12"/>
      <c r="C37" s="10"/>
      <c r="D37" s="9"/>
      <c r="E37" s="12"/>
      <c r="F37" s="21"/>
      <c r="G37" s="17"/>
      <c r="H37" s="1"/>
      <c r="I37" s="1"/>
      <c r="J37" s="1"/>
    </row>
    <row r="38" spans="1:10" ht="15" customHeight="1" x14ac:dyDescent="0.25">
      <c r="A38" s="15">
        <f t="shared" si="0"/>
        <v>32</v>
      </c>
      <c r="B38" s="12"/>
      <c r="C38" s="10"/>
      <c r="D38" s="9"/>
      <c r="E38" s="12"/>
      <c r="F38" s="21"/>
      <c r="G38" s="17"/>
      <c r="H38" s="1"/>
      <c r="I38" s="1"/>
      <c r="J38" s="1"/>
    </row>
    <row r="39" spans="1:10" x14ac:dyDescent="0.25">
      <c r="A39" s="15">
        <f t="shared" si="0"/>
        <v>33</v>
      </c>
      <c r="B39" s="12"/>
      <c r="C39" s="10"/>
      <c r="D39" s="9"/>
      <c r="E39" s="12"/>
      <c r="F39" s="21"/>
    </row>
    <row r="40" spans="1:10" x14ac:dyDescent="0.25">
      <c r="A40" s="15">
        <f t="shared" si="0"/>
        <v>34</v>
      </c>
      <c r="B40" s="12"/>
      <c r="C40" s="10"/>
      <c r="D40" s="9"/>
      <c r="E40" s="12"/>
      <c r="F40" s="21"/>
    </row>
    <row r="41" spans="1:10" x14ac:dyDescent="0.25">
      <c r="A41" s="15">
        <f t="shared" si="0"/>
        <v>35</v>
      </c>
      <c r="B41" s="12"/>
      <c r="C41" s="10"/>
      <c r="D41" s="9"/>
      <c r="E41" s="12"/>
      <c r="F41" s="21"/>
    </row>
    <row r="42" spans="1:10" x14ac:dyDescent="0.25">
      <c r="A42" s="15">
        <f t="shared" si="0"/>
        <v>36</v>
      </c>
      <c r="B42" s="12"/>
      <c r="C42" s="10"/>
      <c r="D42" s="9"/>
      <c r="E42" s="12"/>
      <c r="F42" s="21"/>
    </row>
    <row r="43" spans="1:10" x14ac:dyDescent="0.25">
      <c r="A43" s="15">
        <f t="shared" si="0"/>
        <v>37</v>
      </c>
      <c r="B43" s="12"/>
      <c r="C43" s="10"/>
      <c r="D43" s="9"/>
      <c r="E43" s="12"/>
      <c r="F43" s="21"/>
    </row>
    <row r="44" spans="1:10" x14ac:dyDescent="0.25">
      <c r="A44" s="15">
        <f t="shared" si="0"/>
        <v>38</v>
      </c>
      <c r="B44" s="12"/>
      <c r="C44" s="10"/>
      <c r="D44" s="9"/>
      <c r="E44" s="12"/>
      <c r="F44" s="21"/>
    </row>
    <row r="45" spans="1:10" x14ac:dyDescent="0.25">
      <c r="A45" s="15">
        <f t="shared" si="0"/>
        <v>39</v>
      </c>
      <c r="B45" s="12"/>
      <c r="C45" s="10"/>
      <c r="D45" s="9"/>
      <c r="E45" s="12"/>
      <c r="F45" s="21"/>
    </row>
    <row r="46" spans="1:10" x14ac:dyDescent="0.25">
      <c r="A46" s="15">
        <f t="shared" si="0"/>
        <v>40</v>
      </c>
      <c r="B46" s="12"/>
      <c r="C46" s="10"/>
      <c r="D46" s="9"/>
      <c r="E46" s="12"/>
      <c r="F46" s="2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H10" sqref="H10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42578125" hidden="1" customWidth="1"/>
    <col min="8" max="8" width="29.85546875" customWidth="1"/>
  </cols>
  <sheetData>
    <row r="1" spans="1:11" ht="18" x14ac:dyDescent="0.25">
      <c r="A1" s="31" t="s">
        <v>0</v>
      </c>
      <c r="B1" s="31"/>
      <c r="C1" s="3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5" t="s">
        <v>2</v>
      </c>
      <c r="B2" s="35"/>
      <c r="C2" s="35"/>
      <c r="D2" s="6"/>
      <c r="E2" s="36" t="s">
        <v>3</v>
      </c>
      <c r="F2" s="36"/>
      <c r="G2" s="4"/>
      <c r="H2" s="4"/>
      <c r="I2" s="32" t="s">
        <v>4</v>
      </c>
      <c r="J2" s="33"/>
      <c r="K2" s="18">
        <f>SUMIF(F7:F38,"Elimination*",G7:G38)</f>
        <v>0</v>
      </c>
    </row>
    <row r="3" spans="1:11" x14ac:dyDescent="0.25">
      <c r="A3" s="36" t="s">
        <v>5</v>
      </c>
      <c r="B3" s="36"/>
      <c r="C3" s="36"/>
      <c r="D3" s="5"/>
      <c r="E3" s="36" t="s">
        <v>16</v>
      </c>
      <c r="F3" s="36"/>
      <c r="G3" s="4"/>
      <c r="H3" s="4"/>
      <c r="I3" s="32" t="s">
        <v>6</v>
      </c>
      <c r="J3" s="33"/>
      <c r="K3" s="18">
        <f>SUMIF(F7:F38,"NB*",G7:G38)</f>
        <v>0</v>
      </c>
    </row>
    <row r="4" spans="1:11" ht="18" x14ac:dyDescent="0.25">
      <c r="A4" s="31" t="s">
        <v>7</v>
      </c>
      <c r="B4" s="31"/>
      <c r="C4" s="31"/>
      <c r="D4" s="31"/>
      <c r="E4" s="31"/>
      <c r="F4" s="31"/>
      <c r="G4" s="4"/>
      <c r="H4" s="4"/>
      <c r="I4" s="32" t="s">
        <v>8</v>
      </c>
      <c r="J4" s="33"/>
      <c r="K4" s="18">
        <f>SUMIF(F7:F38,"Ve*",G7:G38)</f>
        <v>0</v>
      </c>
    </row>
    <row r="5" spans="1:11" ht="15.75" x14ac:dyDescent="0.25">
      <c r="A5" s="34" t="s">
        <v>53</v>
      </c>
      <c r="B5" s="34"/>
      <c r="C5" s="34"/>
      <c r="D5" s="34"/>
      <c r="E5" s="34"/>
      <c r="F5" s="34"/>
      <c r="G5" s="19"/>
      <c r="H5" s="19"/>
      <c r="I5" s="32" t="s">
        <v>9</v>
      </c>
      <c r="J5" s="33"/>
      <c r="K5" s="20">
        <f>SUM(K2:K4)</f>
        <v>0</v>
      </c>
    </row>
    <row r="6" spans="1:11" ht="21.6" customHeight="1" x14ac:dyDescent="0.25">
      <c r="A6" s="29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0" t="s">
        <v>17</v>
      </c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23"/>
      <c r="F7" s="21"/>
      <c r="G7" s="17">
        <v>1</v>
      </c>
      <c r="H7" s="25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17">
        <v>1</v>
      </c>
      <c r="H8" s="27"/>
      <c r="I8" s="2"/>
      <c r="J8" s="2"/>
      <c r="K8" s="1"/>
    </row>
    <row r="9" spans="1:11" ht="15" customHeight="1" x14ac:dyDescent="0.25">
      <c r="A9" s="15">
        <f t="shared" ref="A9:A46" si="0">+A8+1</f>
        <v>3</v>
      </c>
      <c r="B9" s="13"/>
      <c r="C9" s="10"/>
      <c r="D9" s="23"/>
      <c r="E9" s="12"/>
      <c r="F9" s="21"/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1"/>
      <c r="G10" s="17">
        <v>1</v>
      </c>
      <c r="H10" s="27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9"/>
      <c r="E11" s="12"/>
      <c r="F11" s="21"/>
      <c r="G11" s="17">
        <v>1</v>
      </c>
      <c r="H11" s="25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9"/>
      <c r="E12" s="12"/>
      <c r="F12" s="21"/>
      <c r="G12" s="17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9"/>
      <c r="E13" s="12"/>
      <c r="F13" s="21"/>
      <c r="G13" s="17"/>
      <c r="H13" s="25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3"/>
      <c r="D14" s="23"/>
      <c r="E14" s="12"/>
      <c r="F14" s="24"/>
      <c r="G14" s="17">
        <v>1</v>
      </c>
      <c r="H14" s="27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3"/>
      <c r="D15" s="23"/>
      <c r="E15" s="12"/>
      <c r="F15" s="24"/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/>
      <c r="C16" s="13"/>
      <c r="D16" s="23"/>
      <c r="E16" s="12"/>
      <c r="F16" s="24"/>
      <c r="G16" s="17">
        <v>1</v>
      </c>
      <c r="H16" s="28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17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17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17">
        <v>1</v>
      </c>
      <c r="H22" s="27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>
        <v>1</v>
      </c>
      <c r="H29" s="22"/>
      <c r="I29" s="2"/>
      <c r="J29" s="2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ht="15" customHeight="1" x14ac:dyDescent="0.25">
      <c r="A36" s="15">
        <f t="shared" si="0"/>
        <v>30</v>
      </c>
      <c r="B36" s="12"/>
      <c r="C36" s="10"/>
      <c r="D36" s="9"/>
      <c r="E36" s="12"/>
      <c r="F36" s="21"/>
      <c r="G36" s="17"/>
      <c r="H36" s="1"/>
      <c r="I36" s="1"/>
      <c r="J36" s="1"/>
    </row>
    <row r="37" spans="1:10" ht="15" customHeight="1" x14ac:dyDescent="0.25">
      <c r="A37" s="15">
        <f t="shared" si="0"/>
        <v>31</v>
      </c>
      <c r="B37" s="12"/>
      <c r="C37" s="10"/>
      <c r="D37" s="9"/>
      <c r="E37" s="12"/>
      <c r="F37" s="21"/>
      <c r="G37" s="17"/>
      <c r="H37" s="1"/>
      <c r="I37" s="1"/>
      <c r="J37" s="1"/>
    </row>
    <row r="38" spans="1:10" ht="15" customHeight="1" x14ac:dyDescent="0.25">
      <c r="A38" s="15">
        <f t="shared" si="0"/>
        <v>32</v>
      </c>
      <c r="B38" s="12"/>
      <c r="C38" s="10"/>
      <c r="D38" s="9"/>
      <c r="E38" s="12"/>
      <c r="F38" s="21"/>
      <c r="G38" s="17"/>
      <c r="H38" s="1"/>
      <c r="I38" s="1"/>
      <c r="J38" s="1"/>
    </row>
    <row r="39" spans="1:10" x14ac:dyDescent="0.25">
      <c r="A39" s="15">
        <f t="shared" si="0"/>
        <v>33</v>
      </c>
      <c r="B39" s="12"/>
      <c r="C39" s="10"/>
      <c r="D39" s="9"/>
      <c r="E39" s="12"/>
      <c r="F39" s="21"/>
    </row>
    <row r="40" spans="1:10" x14ac:dyDescent="0.25">
      <c r="A40" s="15">
        <f t="shared" si="0"/>
        <v>34</v>
      </c>
      <c r="B40" s="12"/>
      <c r="C40" s="10"/>
      <c r="D40" s="9"/>
      <c r="E40" s="12"/>
      <c r="F40" s="21"/>
    </row>
    <row r="41" spans="1:10" x14ac:dyDescent="0.25">
      <c r="A41" s="15">
        <f t="shared" si="0"/>
        <v>35</v>
      </c>
      <c r="B41" s="12"/>
      <c r="C41" s="10"/>
      <c r="D41" s="9"/>
      <c r="E41" s="12"/>
      <c r="F41" s="21"/>
    </row>
    <row r="42" spans="1:10" x14ac:dyDescent="0.25">
      <c r="A42" s="15">
        <f t="shared" si="0"/>
        <v>36</v>
      </c>
      <c r="B42" s="12"/>
      <c r="C42" s="10"/>
      <c r="D42" s="9"/>
      <c r="E42" s="12"/>
      <c r="F42" s="21"/>
    </row>
    <row r="43" spans="1:10" x14ac:dyDescent="0.25">
      <c r="A43" s="15">
        <f t="shared" si="0"/>
        <v>37</v>
      </c>
      <c r="B43" s="12"/>
      <c r="C43" s="10"/>
      <c r="D43" s="9"/>
      <c r="E43" s="12"/>
      <c r="F43" s="21"/>
    </row>
    <row r="44" spans="1:10" x14ac:dyDescent="0.25">
      <c r="A44" s="15">
        <f t="shared" si="0"/>
        <v>38</v>
      </c>
      <c r="B44" s="12"/>
      <c r="C44" s="10"/>
      <c r="D44" s="9"/>
      <c r="E44" s="12"/>
      <c r="F44" s="21"/>
    </row>
    <row r="45" spans="1:10" x14ac:dyDescent="0.25">
      <c r="A45" s="15">
        <f t="shared" si="0"/>
        <v>39</v>
      </c>
      <c r="B45" s="12"/>
      <c r="C45" s="10"/>
      <c r="D45" s="9"/>
      <c r="E45" s="12"/>
      <c r="F45" s="21"/>
    </row>
    <row r="46" spans="1:10" x14ac:dyDescent="0.25">
      <c r="A46" s="15">
        <f t="shared" si="0"/>
        <v>40</v>
      </c>
      <c r="B46" s="12"/>
      <c r="C46" s="10"/>
      <c r="D46" s="9"/>
      <c r="E46" s="12"/>
      <c r="F46" s="2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I8" sqref="I8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42578125" hidden="1" customWidth="1"/>
    <col min="8" max="8" width="29.85546875" customWidth="1"/>
  </cols>
  <sheetData>
    <row r="1" spans="1:11" ht="18" x14ac:dyDescent="0.25">
      <c r="A1" s="31" t="s">
        <v>0</v>
      </c>
      <c r="B1" s="31"/>
      <c r="C1" s="3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5" t="s">
        <v>2</v>
      </c>
      <c r="B2" s="35"/>
      <c r="C2" s="35"/>
      <c r="D2" s="6"/>
      <c r="E2" s="36" t="s">
        <v>3</v>
      </c>
      <c r="F2" s="36"/>
      <c r="G2" s="4"/>
      <c r="H2" s="4"/>
      <c r="I2" s="32" t="s">
        <v>4</v>
      </c>
      <c r="J2" s="33"/>
      <c r="K2" s="18">
        <f>SUMIF(F7:F38,"Elimination*",G7:G38)</f>
        <v>0</v>
      </c>
    </row>
    <row r="3" spans="1:11" x14ac:dyDescent="0.25">
      <c r="A3" s="36" t="s">
        <v>5</v>
      </c>
      <c r="B3" s="36"/>
      <c r="C3" s="36"/>
      <c r="D3" s="5"/>
      <c r="E3" s="36" t="s">
        <v>16</v>
      </c>
      <c r="F3" s="36"/>
      <c r="G3" s="4"/>
      <c r="H3" s="4"/>
      <c r="I3" s="32" t="s">
        <v>6</v>
      </c>
      <c r="J3" s="33"/>
      <c r="K3" s="18">
        <f>SUMIF(F7:F38,"NB*",G7:G38)</f>
        <v>0</v>
      </c>
    </row>
    <row r="4" spans="1:11" ht="18" x14ac:dyDescent="0.25">
      <c r="A4" s="31" t="s">
        <v>7</v>
      </c>
      <c r="B4" s="31"/>
      <c r="C4" s="31"/>
      <c r="D4" s="31"/>
      <c r="E4" s="31"/>
      <c r="F4" s="31"/>
      <c r="G4" s="4"/>
      <c r="H4" s="4"/>
      <c r="I4" s="32" t="s">
        <v>8</v>
      </c>
      <c r="J4" s="33"/>
      <c r="K4" s="18">
        <f>SUMIF(F7:F38,"Ve*",G7:G38)</f>
        <v>0</v>
      </c>
    </row>
    <row r="5" spans="1:11" ht="15.75" x14ac:dyDescent="0.25">
      <c r="A5" s="34" t="s">
        <v>54</v>
      </c>
      <c r="B5" s="34"/>
      <c r="C5" s="34"/>
      <c r="D5" s="34"/>
      <c r="E5" s="34"/>
      <c r="F5" s="34"/>
      <c r="G5" s="19"/>
      <c r="H5" s="19"/>
      <c r="I5" s="32" t="s">
        <v>9</v>
      </c>
      <c r="J5" s="33"/>
      <c r="K5" s="20">
        <f>SUM(K2:K4)</f>
        <v>0</v>
      </c>
    </row>
    <row r="6" spans="1:11" ht="21.6" customHeight="1" x14ac:dyDescent="0.25">
      <c r="A6" s="29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0" t="s">
        <v>17</v>
      </c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23"/>
      <c r="F7" s="21"/>
      <c r="G7" s="17">
        <v>1</v>
      </c>
      <c r="H7" s="25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17">
        <v>1</v>
      </c>
      <c r="H8" s="27"/>
      <c r="I8" s="2"/>
      <c r="J8" s="2"/>
      <c r="K8" s="1"/>
    </row>
    <row r="9" spans="1:11" ht="15" customHeight="1" x14ac:dyDescent="0.25">
      <c r="A9" s="15">
        <f t="shared" ref="A9:A46" si="0">+A8+1</f>
        <v>3</v>
      </c>
      <c r="B9" s="13"/>
      <c r="C9" s="10"/>
      <c r="D9" s="23"/>
      <c r="E9" s="12"/>
      <c r="F9" s="21"/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1"/>
      <c r="G10" s="17">
        <v>1</v>
      </c>
      <c r="H10" s="27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9"/>
      <c r="E11" s="12"/>
      <c r="F11" s="21"/>
      <c r="G11" s="17">
        <v>1</v>
      </c>
      <c r="H11" s="25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9"/>
      <c r="E12" s="12"/>
      <c r="F12" s="21"/>
      <c r="G12" s="17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9"/>
      <c r="E13" s="12"/>
      <c r="F13" s="21"/>
      <c r="G13" s="17"/>
      <c r="H13" s="25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3"/>
      <c r="D14" s="23"/>
      <c r="E14" s="12"/>
      <c r="F14" s="24"/>
      <c r="G14" s="17">
        <v>1</v>
      </c>
      <c r="H14" s="27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3"/>
      <c r="D15" s="23"/>
      <c r="E15" s="12"/>
      <c r="F15" s="24"/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/>
      <c r="C16" s="13"/>
      <c r="D16" s="23"/>
      <c r="E16" s="12"/>
      <c r="F16" s="24"/>
      <c r="G16" s="17">
        <v>1</v>
      </c>
      <c r="H16" s="28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17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17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17">
        <v>1</v>
      </c>
      <c r="H22" s="27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>
        <v>1</v>
      </c>
      <c r="H29" s="22"/>
      <c r="I29" s="2"/>
      <c r="J29" s="2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ht="15" customHeight="1" x14ac:dyDescent="0.25">
      <c r="A36" s="15">
        <f t="shared" si="0"/>
        <v>30</v>
      </c>
      <c r="B36" s="12"/>
      <c r="C36" s="10"/>
      <c r="D36" s="9"/>
      <c r="E36" s="12"/>
      <c r="F36" s="21"/>
      <c r="G36" s="17"/>
      <c r="H36" s="1"/>
      <c r="I36" s="1"/>
      <c r="J36" s="1"/>
    </row>
    <row r="37" spans="1:10" ht="15" customHeight="1" x14ac:dyDescent="0.25">
      <c r="A37" s="15">
        <f t="shared" si="0"/>
        <v>31</v>
      </c>
      <c r="B37" s="12"/>
      <c r="C37" s="10"/>
      <c r="D37" s="9"/>
      <c r="E37" s="12"/>
      <c r="F37" s="21"/>
      <c r="G37" s="17"/>
      <c r="H37" s="1"/>
      <c r="I37" s="1"/>
      <c r="J37" s="1"/>
    </row>
    <row r="38" spans="1:10" ht="15" customHeight="1" x14ac:dyDescent="0.25">
      <c r="A38" s="15">
        <f t="shared" si="0"/>
        <v>32</v>
      </c>
      <c r="B38" s="12"/>
      <c r="C38" s="10"/>
      <c r="D38" s="9"/>
      <c r="E38" s="12"/>
      <c r="F38" s="21"/>
      <c r="G38" s="17"/>
      <c r="H38" s="1"/>
      <c r="I38" s="1"/>
      <c r="J38" s="1"/>
    </row>
    <row r="39" spans="1:10" x14ac:dyDescent="0.25">
      <c r="A39" s="15">
        <f t="shared" si="0"/>
        <v>33</v>
      </c>
      <c r="B39" s="12"/>
      <c r="C39" s="10"/>
      <c r="D39" s="9"/>
      <c r="E39" s="12"/>
      <c r="F39" s="21"/>
    </row>
    <row r="40" spans="1:10" x14ac:dyDescent="0.25">
      <c r="A40" s="15">
        <f t="shared" si="0"/>
        <v>34</v>
      </c>
      <c r="B40" s="12"/>
      <c r="C40" s="10"/>
      <c r="D40" s="9"/>
      <c r="E40" s="12"/>
      <c r="F40" s="21"/>
    </row>
    <row r="41" spans="1:10" x14ac:dyDescent="0.25">
      <c r="A41" s="15">
        <f t="shared" si="0"/>
        <v>35</v>
      </c>
      <c r="B41" s="12"/>
      <c r="C41" s="10"/>
      <c r="D41" s="9"/>
      <c r="E41" s="12"/>
      <c r="F41" s="21"/>
    </row>
    <row r="42" spans="1:10" x14ac:dyDescent="0.25">
      <c r="A42" s="15">
        <f t="shared" si="0"/>
        <v>36</v>
      </c>
      <c r="B42" s="12"/>
      <c r="C42" s="10"/>
      <c r="D42" s="9"/>
      <c r="E42" s="12"/>
      <c r="F42" s="21"/>
    </row>
    <row r="43" spans="1:10" x14ac:dyDescent="0.25">
      <c r="A43" s="15">
        <f t="shared" si="0"/>
        <v>37</v>
      </c>
      <c r="B43" s="12"/>
      <c r="C43" s="10"/>
      <c r="D43" s="9"/>
      <c r="E43" s="12"/>
      <c r="F43" s="21"/>
    </row>
    <row r="44" spans="1:10" x14ac:dyDescent="0.25">
      <c r="A44" s="15">
        <f t="shared" si="0"/>
        <v>38</v>
      </c>
      <c r="B44" s="12"/>
      <c r="C44" s="10"/>
      <c r="D44" s="9"/>
      <c r="E44" s="12"/>
      <c r="F44" s="21"/>
    </row>
    <row r="45" spans="1:10" x14ac:dyDescent="0.25">
      <c r="A45" s="15">
        <f t="shared" si="0"/>
        <v>39</v>
      </c>
      <c r="B45" s="12"/>
      <c r="C45" s="10"/>
      <c r="D45" s="9"/>
      <c r="E45" s="12"/>
      <c r="F45" s="21"/>
    </row>
    <row r="46" spans="1:10" x14ac:dyDescent="0.25">
      <c r="A46" s="15">
        <f t="shared" si="0"/>
        <v>40</v>
      </c>
      <c r="B46" s="12"/>
      <c r="C46" s="10"/>
      <c r="D46" s="9"/>
      <c r="E46" s="12"/>
      <c r="F46" s="2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42578125" hidden="1" customWidth="1"/>
    <col min="8" max="8" width="29.85546875" customWidth="1"/>
  </cols>
  <sheetData>
    <row r="1" spans="1:11" ht="18" x14ac:dyDescent="0.25">
      <c r="A1" s="31" t="s">
        <v>0</v>
      </c>
      <c r="B1" s="31"/>
      <c r="C1" s="3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5" t="s">
        <v>2</v>
      </c>
      <c r="B2" s="35"/>
      <c r="C2" s="35"/>
      <c r="D2" s="6"/>
      <c r="E2" s="36" t="s">
        <v>3</v>
      </c>
      <c r="F2" s="36"/>
      <c r="G2" s="4"/>
      <c r="H2" s="4"/>
      <c r="I2" s="32" t="s">
        <v>4</v>
      </c>
      <c r="J2" s="33"/>
      <c r="K2" s="18">
        <f>SUMIF(F7:F38,"Elimination*",G7:G38)</f>
        <v>0</v>
      </c>
    </row>
    <row r="3" spans="1:11" x14ac:dyDescent="0.25">
      <c r="A3" s="36" t="s">
        <v>5</v>
      </c>
      <c r="B3" s="36"/>
      <c r="C3" s="36"/>
      <c r="D3" s="5"/>
      <c r="E3" s="36" t="s">
        <v>16</v>
      </c>
      <c r="F3" s="36"/>
      <c r="G3" s="4"/>
      <c r="H3" s="4"/>
      <c r="I3" s="32" t="s">
        <v>6</v>
      </c>
      <c r="J3" s="33"/>
      <c r="K3" s="18">
        <f>SUMIF(F7:F38,"NB*",G7:G38)</f>
        <v>0</v>
      </c>
    </row>
    <row r="4" spans="1:11" ht="18" x14ac:dyDescent="0.25">
      <c r="A4" s="31" t="s">
        <v>7</v>
      </c>
      <c r="B4" s="31"/>
      <c r="C4" s="31"/>
      <c r="D4" s="31"/>
      <c r="E4" s="31"/>
      <c r="F4" s="31"/>
      <c r="G4" s="4"/>
      <c r="H4" s="4"/>
      <c r="I4" s="32" t="s">
        <v>8</v>
      </c>
      <c r="J4" s="33"/>
      <c r="K4" s="18">
        <f>SUMIF(F7:F38,"Ve*",G7:G38)</f>
        <v>0</v>
      </c>
    </row>
    <row r="5" spans="1:11" ht="15.75" x14ac:dyDescent="0.25">
      <c r="A5" s="34" t="s">
        <v>55</v>
      </c>
      <c r="B5" s="34"/>
      <c r="C5" s="34"/>
      <c r="D5" s="34"/>
      <c r="E5" s="34"/>
      <c r="F5" s="34"/>
      <c r="G5" s="19"/>
      <c r="H5" s="19"/>
      <c r="I5" s="32" t="s">
        <v>9</v>
      </c>
      <c r="J5" s="33"/>
      <c r="K5" s="20">
        <f>SUM(K2:K4)</f>
        <v>0</v>
      </c>
    </row>
    <row r="6" spans="1:11" ht="21.6" customHeight="1" x14ac:dyDescent="0.25">
      <c r="A6" s="29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0" t="s">
        <v>17</v>
      </c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23"/>
      <c r="F7" s="21"/>
      <c r="G7" s="17">
        <v>1</v>
      </c>
      <c r="H7" s="25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17">
        <v>1</v>
      </c>
      <c r="H8" s="27"/>
      <c r="I8" s="2"/>
      <c r="J8" s="2"/>
      <c r="K8" s="1"/>
    </row>
    <row r="9" spans="1:11" ht="15" customHeight="1" x14ac:dyDescent="0.25">
      <c r="A9" s="15">
        <f t="shared" ref="A9:A46" si="0">+A8+1</f>
        <v>3</v>
      </c>
      <c r="B9" s="13"/>
      <c r="C9" s="10"/>
      <c r="D9" s="23"/>
      <c r="E9" s="12"/>
      <c r="F9" s="21"/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1"/>
      <c r="G10" s="17">
        <v>1</v>
      </c>
      <c r="H10" s="27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9"/>
      <c r="E11" s="12"/>
      <c r="F11" s="21"/>
      <c r="G11" s="17">
        <v>1</v>
      </c>
      <c r="H11" s="25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9"/>
      <c r="E12" s="12"/>
      <c r="F12" s="21"/>
      <c r="G12" s="17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9"/>
      <c r="E13" s="12"/>
      <c r="F13" s="21"/>
      <c r="G13" s="17"/>
      <c r="H13" s="25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3"/>
      <c r="D14" s="23"/>
      <c r="E14" s="12"/>
      <c r="F14" s="24"/>
      <c r="G14" s="17">
        <v>1</v>
      </c>
      <c r="H14" s="27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3"/>
      <c r="D15" s="23"/>
      <c r="E15" s="12"/>
      <c r="F15" s="24"/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/>
      <c r="C16" s="13"/>
      <c r="D16" s="23"/>
      <c r="E16" s="12"/>
      <c r="F16" s="24"/>
      <c r="G16" s="17">
        <v>1</v>
      </c>
      <c r="H16" s="28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17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17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17">
        <v>1</v>
      </c>
      <c r="H22" s="27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>
        <v>1</v>
      </c>
      <c r="H29" s="22"/>
      <c r="I29" s="2"/>
      <c r="J29" s="2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ht="15" customHeight="1" x14ac:dyDescent="0.25">
      <c r="A36" s="15">
        <f t="shared" si="0"/>
        <v>30</v>
      </c>
      <c r="B36" s="12"/>
      <c r="C36" s="10"/>
      <c r="D36" s="9"/>
      <c r="E36" s="12"/>
      <c r="F36" s="21"/>
      <c r="G36" s="17"/>
      <c r="H36" s="1"/>
      <c r="I36" s="1"/>
      <c r="J36" s="1"/>
    </row>
    <row r="37" spans="1:10" ht="15" customHeight="1" x14ac:dyDescent="0.25">
      <c r="A37" s="15">
        <f t="shared" si="0"/>
        <v>31</v>
      </c>
      <c r="B37" s="12"/>
      <c r="C37" s="10"/>
      <c r="D37" s="9"/>
      <c r="E37" s="12"/>
      <c r="F37" s="21"/>
      <c r="G37" s="17"/>
      <c r="H37" s="1"/>
      <c r="I37" s="1"/>
      <c r="J37" s="1"/>
    </row>
    <row r="38" spans="1:10" ht="15" customHeight="1" x14ac:dyDescent="0.25">
      <c r="A38" s="15">
        <f t="shared" si="0"/>
        <v>32</v>
      </c>
      <c r="B38" s="12"/>
      <c r="C38" s="10"/>
      <c r="D38" s="9"/>
      <c r="E38" s="12"/>
      <c r="F38" s="21"/>
      <c r="G38" s="17"/>
      <c r="H38" s="1"/>
      <c r="I38" s="1"/>
      <c r="J38" s="1"/>
    </row>
    <row r="39" spans="1:10" x14ac:dyDescent="0.25">
      <c r="A39" s="15">
        <f t="shared" si="0"/>
        <v>33</v>
      </c>
      <c r="B39" s="12"/>
      <c r="C39" s="10"/>
      <c r="D39" s="9"/>
      <c r="E39" s="12"/>
      <c r="F39" s="21"/>
    </row>
    <row r="40" spans="1:10" x14ac:dyDescent="0.25">
      <c r="A40" s="15">
        <f t="shared" si="0"/>
        <v>34</v>
      </c>
      <c r="B40" s="12"/>
      <c r="C40" s="10"/>
      <c r="D40" s="9"/>
      <c r="E40" s="12"/>
      <c r="F40" s="21"/>
    </row>
    <row r="41" spans="1:10" x14ac:dyDescent="0.25">
      <c r="A41" s="15">
        <f t="shared" si="0"/>
        <v>35</v>
      </c>
      <c r="B41" s="12"/>
      <c r="C41" s="10"/>
      <c r="D41" s="9"/>
      <c r="E41" s="12"/>
      <c r="F41" s="21"/>
    </row>
    <row r="42" spans="1:10" x14ac:dyDescent="0.25">
      <c r="A42" s="15">
        <f t="shared" si="0"/>
        <v>36</v>
      </c>
      <c r="B42" s="12"/>
      <c r="C42" s="10"/>
      <c r="D42" s="9"/>
      <c r="E42" s="12"/>
      <c r="F42" s="21"/>
    </row>
    <row r="43" spans="1:10" x14ac:dyDescent="0.25">
      <c r="A43" s="15">
        <f t="shared" si="0"/>
        <v>37</v>
      </c>
      <c r="B43" s="12"/>
      <c r="C43" s="10"/>
      <c r="D43" s="9"/>
      <c r="E43" s="12"/>
      <c r="F43" s="21"/>
    </row>
    <row r="44" spans="1:10" x14ac:dyDescent="0.25">
      <c r="A44" s="15">
        <f t="shared" si="0"/>
        <v>38</v>
      </c>
      <c r="B44" s="12"/>
      <c r="C44" s="10"/>
      <c r="D44" s="9"/>
      <c r="E44" s="12"/>
      <c r="F44" s="21"/>
    </row>
    <row r="45" spans="1:10" x14ac:dyDescent="0.25">
      <c r="A45" s="15">
        <f t="shared" si="0"/>
        <v>39</v>
      </c>
      <c r="B45" s="12"/>
      <c r="C45" s="10"/>
      <c r="D45" s="9"/>
      <c r="E45" s="12"/>
      <c r="F45" s="21"/>
    </row>
    <row r="46" spans="1:10" x14ac:dyDescent="0.25">
      <c r="A46" s="15">
        <f t="shared" si="0"/>
        <v>40</v>
      </c>
      <c r="B46" s="12"/>
      <c r="C46" s="10"/>
      <c r="D46" s="9"/>
      <c r="E46" s="12"/>
      <c r="F46" s="2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42578125" hidden="1" customWidth="1"/>
    <col min="8" max="8" width="29.85546875" customWidth="1"/>
  </cols>
  <sheetData>
    <row r="1" spans="1:11" ht="18" x14ac:dyDescent="0.25">
      <c r="A1" s="31" t="s">
        <v>0</v>
      </c>
      <c r="B1" s="31"/>
      <c r="C1" s="3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5" t="s">
        <v>2</v>
      </c>
      <c r="B2" s="35"/>
      <c r="C2" s="35"/>
      <c r="D2" s="6"/>
      <c r="E2" s="36" t="s">
        <v>3</v>
      </c>
      <c r="F2" s="36"/>
      <c r="G2" s="4"/>
      <c r="H2" s="4"/>
      <c r="I2" s="32" t="s">
        <v>4</v>
      </c>
      <c r="J2" s="33"/>
      <c r="K2" s="18">
        <f>SUMIF(F7:F38,"Elimination*",G7:G38)</f>
        <v>0</v>
      </c>
    </row>
    <row r="3" spans="1:11" x14ac:dyDescent="0.25">
      <c r="A3" s="36" t="s">
        <v>5</v>
      </c>
      <c r="B3" s="36"/>
      <c r="C3" s="36"/>
      <c r="D3" s="5"/>
      <c r="E3" s="36" t="s">
        <v>16</v>
      </c>
      <c r="F3" s="36"/>
      <c r="G3" s="4"/>
      <c r="H3" s="4"/>
      <c r="I3" s="32" t="s">
        <v>6</v>
      </c>
      <c r="J3" s="33"/>
      <c r="K3" s="18">
        <f>SUMIF(F7:F38,"NB*",G7:G38)</f>
        <v>0</v>
      </c>
    </row>
    <row r="4" spans="1:11" ht="18" x14ac:dyDescent="0.25">
      <c r="A4" s="31" t="s">
        <v>7</v>
      </c>
      <c r="B4" s="31"/>
      <c r="C4" s="31"/>
      <c r="D4" s="31"/>
      <c r="E4" s="31"/>
      <c r="F4" s="31"/>
      <c r="G4" s="4"/>
      <c r="H4" s="4"/>
      <c r="I4" s="32" t="s">
        <v>8</v>
      </c>
      <c r="J4" s="33"/>
      <c r="K4" s="18">
        <f>SUMIF(F7:F38,"Ve*",G7:G38)</f>
        <v>0</v>
      </c>
    </row>
    <row r="5" spans="1:11" ht="15.75" x14ac:dyDescent="0.25">
      <c r="A5" s="34" t="s">
        <v>56</v>
      </c>
      <c r="B5" s="34"/>
      <c r="C5" s="34"/>
      <c r="D5" s="34"/>
      <c r="E5" s="34"/>
      <c r="F5" s="34"/>
      <c r="G5" s="19"/>
      <c r="H5" s="19"/>
      <c r="I5" s="32" t="s">
        <v>9</v>
      </c>
      <c r="J5" s="33"/>
      <c r="K5" s="20">
        <f>SUM(K2:K4)</f>
        <v>0</v>
      </c>
    </row>
    <row r="6" spans="1:11" ht="21.6" customHeight="1" x14ac:dyDescent="0.25">
      <c r="A6" s="29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0" t="s">
        <v>17</v>
      </c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23"/>
      <c r="F7" s="21"/>
      <c r="G7" s="17">
        <v>1</v>
      </c>
      <c r="H7" s="25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17">
        <v>1</v>
      </c>
      <c r="H8" s="27"/>
      <c r="I8" s="2"/>
      <c r="J8" s="2"/>
      <c r="K8" s="1"/>
    </row>
    <row r="9" spans="1:11" ht="15" customHeight="1" x14ac:dyDescent="0.25">
      <c r="A9" s="15">
        <f t="shared" ref="A9:A46" si="0">+A8+1</f>
        <v>3</v>
      </c>
      <c r="B9" s="13"/>
      <c r="C9" s="10"/>
      <c r="D9" s="23"/>
      <c r="E9" s="12"/>
      <c r="F9" s="21"/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1"/>
      <c r="G10" s="17">
        <v>1</v>
      </c>
      <c r="H10" s="27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9"/>
      <c r="E11" s="12"/>
      <c r="F11" s="21"/>
      <c r="G11" s="17">
        <v>1</v>
      </c>
      <c r="H11" s="25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9"/>
      <c r="E12" s="12"/>
      <c r="F12" s="21"/>
      <c r="G12" s="17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9"/>
      <c r="E13" s="12"/>
      <c r="F13" s="21"/>
      <c r="G13" s="17"/>
      <c r="H13" s="25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3"/>
      <c r="D14" s="23"/>
      <c r="E14" s="12"/>
      <c r="F14" s="24"/>
      <c r="G14" s="17">
        <v>1</v>
      </c>
      <c r="H14" s="27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3"/>
      <c r="D15" s="23"/>
      <c r="E15" s="12"/>
      <c r="F15" s="24"/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/>
      <c r="C16" s="13"/>
      <c r="D16" s="23"/>
      <c r="E16" s="12"/>
      <c r="F16" s="24"/>
      <c r="G16" s="17">
        <v>1</v>
      </c>
      <c r="H16" s="28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17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17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17">
        <v>1</v>
      </c>
      <c r="H22" s="27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>
        <v>1</v>
      </c>
      <c r="H29" s="22"/>
      <c r="I29" s="2"/>
      <c r="J29" s="2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ht="15" customHeight="1" x14ac:dyDescent="0.25">
      <c r="A36" s="15">
        <f t="shared" si="0"/>
        <v>30</v>
      </c>
      <c r="B36" s="12"/>
      <c r="C36" s="10"/>
      <c r="D36" s="9"/>
      <c r="E36" s="12"/>
      <c r="F36" s="21"/>
      <c r="G36" s="17"/>
      <c r="H36" s="1"/>
      <c r="I36" s="1"/>
      <c r="J36" s="1"/>
    </row>
    <row r="37" spans="1:10" ht="15" customHeight="1" x14ac:dyDescent="0.25">
      <c r="A37" s="15">
        <f t="shared" si="0"/>
        <v>31</v>
      </c>
      <c r="B37" s="12"/>
      <c r="C37" s="10"/>
      <c r="D37" s="9"/>
      <c r="E37" s="12"/>
      <c r="F37" s="21"/>
      <c r="G37" s="17"/>
      <c r="H37" s="1"/>
      <c r="I37" s="1"/>
      <c r="J37" s="1"/>
    </row>
    <row r="38" spans="1:10" ht="15" customHeight="1" x14ac:dyDescent="0.25">
      <c r="A38" s="15">
        <f t="shared" si="0"/>
        <v>32</v>
      </c>
      <c r="B38" s="12"/>
      <c r="C38" s="10"/>
      <c r="D38" s="9"/>
      <c r="E38" s="12"/>
      <c r="F38" s="21"/>
      <c r="G38" s="17"/>
      <c r="H38" s="1"/>
      <c r="I38" s="1"/>
      <c r="J38" s="1"/>
    </row>
    <row r="39" spans="1:10" x14ac:dyDescent="0.25">
      <c r="A39" s="15">
        <f t="shared" si="0"/>
        <v>33</v>
      </c>
      <c r="B39" s="12"/>
      <c r="C39" s="10"/>
      <c r="D39" s="9"/>
      <c r="E39" s="12"/>
      <c r="F39" s="21"/>
    </row>
    <row r="40" spans="1:10" x14ac:dyDescent="0.25">
      <c r="A40" s="15">
        <f t="shared" si="0"/>
        <v>34</v>
      </c>
      <c r="B40" s="12"/>
      <c r="C40" s="10"/>
      <c r="D40" s="9"/>
      <c r="E40" s="12"/>
      <c r="F40" s="21"/>
    </row>
    <row r="41" spans="1:10" x14ac:dyDescent="0.25">
      <c r="A41" s="15">
        <f t="shared" si="0"/>
        <v>35</v>
      </c>
      <c r="B41" s="12"/>
      <c r="C41" s="10"/>
      <c r="D41" s="9"/>
      <c r="E41" s="12"/>
      <c r="F41" s="21"/>
    </row>
    <row r="42" spans="1:10" x14ac:dyDescent="0.25">
      <c r="A42" s="15">
        <f t="shared" si="0"/>
        <v>36</v>
      </c>
      <c r="B42" s="12"/>
      <c r="C42" s="10"/>
      <c r="D42" s="9"/>
      <c r="E42" s="12"/>
      <c r="F42" s="21"/>
    </row>
    <row r="43" spans="1:10" x14ac:dyDescent="0.25">
      <c r="A43" s="15">
        <f t="shared" si="0"/>
        <v>37</v>
      </c>
      <c r="B43" s="12"/>
      <c r="C43" s="10"/>
      <c r="D43" s="9"/>
      <c r="E43" s="12"/>
      <c r="F43" s="21"/>
    </row>
    <row r="44" spans="1:10" x14ac:dyDescent="0.25">
      <c r="A44" s="15">
        <f t="shared" si="0"/>
        <v>38</v>
      </c>
      <c r="B44" s="12"/>
      <c r="C44" s="10"/>
      <c r="D44" s="9"/>
      <c r="E44" s="12"/>
      <c r="F44" s="21"/>
    </row>
    <row r="45" spans="1:10" x14ac:dyDescent="0.25">
      <c r="A45" s="15">
        <f t="shared" si="0"/>
        <v>39</v>
      </c>
      <c r="B45" s="12"/>
      <c r="C45" s="10"/>
      <c r="D45" s="9"/>
      <c r="E45" s="12"/>
      <c r="F45" s="21"/>
    </row>
    <row r="46" spans="1:10" x14ac:dyDescent="0.25">
      <c r="A46" s="15">
        <f t="shared" si="0"/>
        <v>40</v>
      </c>
      <c r="B46" s="12"/>
      <c r="C46" s="10"/>
      <c r="D46" s="9"/>
      <c r="E46" s="12"/>
      <c r="F46" s="2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topLeftCell="A26" workbookViewId="0">
      <selection activeCell="F40" sqref="F40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140625" hidden="1" customWidth="1"/>
    <col min="8" max="8" width="29.85546875" customWidth="1"/>
  </cols>
  <sheetData>
    <row r="1" spans="1:11" ht="18" x14ac:dyDescent="0.25">
      <c r="A1" s="31" t="s">
        <v>0</v>
      </c>
      <c r="B1" s="31"/>
      <c r="C1" s="3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5" t="s">
        <v>2</v>
      </c>
      <c r="B2" s="35"/>
      <c r="C2" s="35"/>
      <c r="D2" s="6"/>
      <c r="E2" s="36" t="s">
        <v>3</v>
      </c>
      <c r="F2" s="36"/>
      <c r="G2" s="4"/>
      <c r="H2" s="4"/>
      <c r="I2" s="32" t="s">
        <v>4</v>
      </c>
      <c r="J2" s="33"/>
      <c r="K2" s="18">
        <f>SUMIF(F7:F380,"Elimination*",G7:G380)</f>
        <v>40</v>
      </c>
    </row>
    <row r="3" spans="1:11" x14ac:dyDescent="0.25">
      <c r="A3" s="36" t="s">
        <v>5</v>
      </c>
      <c r="B3" s="36"/>
      <c r="C3" s="36"/>
      <c r="D3" s="5"/>
      <c r="E3" s="36" t="s">
        <v>16</v>
      </c>
      <c r="F3" s="36"/>
      <c r="G3" s="4"/>
      <c r="H3" s="4"/>
      <c r="I3" s="32" t="s">
        <v>6</v>
      </c>
      <c r="J3" s="33"/>
      <c r="K3" s="18">
        <f>SUMIF(F7:F380,"NB*",G7:G380)</f>
        <v>0</v>
      </c>
    </row>
    <row r="4" spans="1:11" ht="18" x14ac:dyDescent="0.25">
      <c r="A4" s="31" t="s">
        <v>7</v>
      </c>
      <c r="B4" s="31"/>
      <c r="C4" s="31"/>
      <c r="D4" s="31"/>
      <c r="E4" s="31"/>
      <c r="F4" s="31"/>
      <c r="G4" s="4"/>
      <c r="H4" s="4"/>
      <c r="I4" s="32" t="s">
        <v>8</v>
      </c>
      <c r="J4" s="33"/>
      <c r="K4" s="18">
        <f>SUMIF(F7:F380,"Ve*",G7:G380)</f>
        <v>0</v>
      </c>
    </row>
    <row r="5" spans="1:11" ht="15.75" x14ac:dyDescent="0.25">
      <c r="A5" s="34" t="s">
        <v>57</v>
      </c>
      <c r="B5" s="34"/>
      <c r="C5" s="34"/>
      <c r="D5" s="34"/>
      <c r="E5" s="34"/>
      <c r="F5" s="34"/>
      <c r="G5" s="19"/>
      <c r="H5" s="19"/>
      <c r="I5" s="32" t="s">
        <v>9</v>
      </c>
      <c r="J5" s="33"/>
      <c r="K5" s="20">
        <f>SUM(K2:K4)</f>
        <v>40</v>
      </c>
    </row>
    <row r="6" spans="1:11" ht="21.6" customHeight="1" x14ac:dyDescent="0.25">
      <c r="A6" s="29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0" t="s">
        <v>17</v>
      </c>
      <c r="I6" s="3"/>
      <c r="J6" s="3"/>
      <c r="K6" s="1"/>
    </row>
    <row r="7" spans="1:11" ht="15" customHeight="1" x14ac:dyDescent="0.25">
      <c r="A7" s="15">
        <v>1</v>
      </c>
      <c r="B7" s="12" t="s">
        <v>127</v>
      </c>
      <c r="C7" s="10" t="s">
        <v>22</v>
      </c>
      <c r="D7" s="23" t="s">
        <v>128</v>
      </c>
      <c r="E7" s="23" t="s">
        <v>59</v>
      </c>
      <c r="F7" s="21" t="s">
        <v>38</v>
      </c>
      <c r="G7" s="17">
        <v>1</v>
      </c>
      <c r="H7" s="25"/>
      <c r="I7" s="16"/>
      <c r="J7" s="16"/>
      <c r="K7" s="1"/>
    </row>
    <row r="8" spans="1:11" ht="15" customHeight="1" x14ac:dyDescent="0.25">
      <c r="A8" s="15">
        <f>+A7+1</f>
        <v>2</v>
      </c>
      <c r="B8" s="12" t="s">
        <v>129</v>
      </c>
      <c r="C8" s="10" t="s">
        <v>22</v>
      </c>
      <c r="D8" s="23" t="s">
        <v>130</v>
      </c>
      <c r="E8" s="23" t="s">
        <v>59</v>
      </c>
      <c r="F8" s="21" t="s">
        <v>38</v>
      </c>
      <c r="G8" s="17">
        <v>1</v>
      </c>
      <c r="H8" s="27"/>
      <c r="I8" s="2"/>
      <c r="J8" s="2"/>
      <c r="K8" s="1"/>
    </row>
    <row r="9" spans="1:11" ht="15" customHeight="1" x14ac:dyDescent="0.25">
      <c r="A9" s="15">
        <f t="shared" ref="A9:A46" si="0">+A8+1</f>
        <v>3</v>
      </c>
      <c r="B9" s="12" t="s">
        <v>133</v>
      </c>
      <c r="C9" s="10" t="s">
        <v>22</v>
      </c>
      <c r="D9" s="23" t="s">
        <v>134</v>
      </c>
      <c r="E9" s="23" t="s">
        <v>59</v>
      </c>
      <c r="F9" s="21" t="s">
        <v>38</v>
      </c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2" t="s">
        <v>135</v>
      </c>
      <c r="C10" s="10" t="s">
        <v>22</v>
      </c>
      <c r="D10" s="23" t="s">
        <v>136</v>
      </c>
      <c r="E10" s="23" t="s">
        <v>59</v>
      </c>
      <c r="F10" s="21" t="s">
        <v>38</v>
      </c>
      <c r="G10" s="17">
        <v>1</v>
      </c>
      <c r="H10" s="27"/>
      <c r="I10" s="2"/>
      <c r="J10" s="2"/>
      <c r="K10" s="1"/>
    </row>
    <row r="11" spans="1:11" ht="15" customHeight="1" x14ac:dyDescent="0.25">
      <c r="A11" s="15">
        <f t="shared" si="0"/>
        <v>5</v>
      </c>
      <c r="B11" s="12" t="s">
        <v>131</v>
      </c>
      <c r="C11" s="10" t="s">
        <v>22</v>
      </c>
      <c r="D11" s="23" t="s">
        <v>132</v>
      </c>
      <c r="E11" s="23" t="s">
        <v>59</v>
      </c>
      <c r="F11" s="21" t="s">
        <v>38</v>
      </c>
      <c r="G11" s="17">
        <v>1</v>
      </c>
      <c r="H11" s="25"/>
      <c r="I11" s="2"/>
      <c r="J11" s="2"/>
      <c r="K11" s="1"/>
    </row>
    <row r="12" spans="1:11" ht="15" customHeight="1" x14ac:dyDescent="0.25">
      <c r="A12" s="15">
        <f t="shared" si="0"/>
        <v>6</v>
      </c>
      <c r="B12" s="12" t="s">
        <v>108</v>
      </c>
      <c r="C12" s="10" t="s">
        <v>22</v>
      </c>
      <c r="D12" s="23" t="s">
        <v>106</v>
      </c>
      <c r="E12" s="23" t="s">
        <v>59</v>
      </c>
      <c r="F12" s="21" t="s">
        <v>38</v>
      </c>
      <c r="G12" s="17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12" t="s">
        <v>105</v>
      </c>
      <c r="C13" s="10" t="s">
        <v>22</v>
      </c>
      <c r="D13" s="23" t="s">
        <v>107</v>
      </c>
      <c r="E13" s="23" t="s">
        <v>59</v>
      </c>
      <c r="F13" s="21" t="s">
        <v>38</v>
      </c>
      <c r="G13" s="17">
        <v>1</v>
      </c>
      <c r="H13" s="25"/>
      <c r="I13" s="2"/>
      <c r="J13" s="2"/>
      <c r="K13" s="1"/>
    </row>
    <row r="14" spans="1:11" ht="15" customHeight="1" x14ac:dyDescent="0.25">
      <c r="A14" s="15">
        <f t="shared" si="0"/>
        <v>8</v>
      </c>
      <c r="B14" s="12" t="s">
        <v>123</v>
      </c>
      <c r="C14" s="10" t="s">
        <v>22</v>
      </c>
      <c r="D14" s="23" t="s">
        <v>124</v>
      </c>
      <c r="E14" s="23" t="s">
        <v>59</v>
      </c>
      <c r="F14" s="21" t="s">
        <v>38</v>
      </c>
      <c r="G14" s="17">
        <v>1</v>
      </c>
      <c r="H14" s="27"/>
      <c r="I14" s="2"/>
      <c r="J14" s="2"/>
      <c r="K14" s="1"/>
    </row>
    <row r="15" spans="1:11" ht="15" customHeight="1" x14ac:dyDescent="0.25">
      <c r="A15" s="15">
        <f t="shared" si="0"/>
        <v>9</v>
      </c>
      <c r="B15" s="12" t="s">
        <v>109</v>
      </c>
      <c r="C15" s="10" t="s">
        <v>22</v>
      </c>
      <c r="D15" s="23" t="s">
        <v>110</v>
      </c>
      <c r="E15" s="23" t="s">
        <v>59</v>
      </c>
      <c r="F15" s="21" t="s">
        <v>38</v>
      </c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2" t="s">
        <v>125</v>
      </c>
      <c r="C16" s="10" t="s">
        <v>22</v>
      </c>
      <c r="D16" s="23" t="s">
        <v>126</v>
      </c>
      <c r="E16" s="23" t="s">
        <v>59</v>
      </c>
      <c r="F16" s="21" t="s">
        <v>38</v>
      </c>
      <c r="G16" s="17">
        <v>1</v>
      </c>
      <c r="H16" s="28"/>
      <c r="I16" s="2"/>
      <c r="J16" s="2"/>
    </row>
    <row r="17" spans="1:10" ht="15" customHeight="1" x14ac:dyDescent="0.25">
      <c r="A17" s="15">
        <f t="shared" si="0"/>
        <v>11</v>
      </c>
      <c r="B17" s="13" t="s">
        <v>67</v>
      </c>
      <c r="C17" s="10" t="s">
        <v>22</v>
      </c>
      <c r="D17" s="23" t="s">
        <v>68</v>
      </c>
      <c r="E17" s="23" t="s">
        <v>59</v>
      </c>
      <c r="F17" s="21" t="s">
        <v>38</v>
      </c>
      <c r="G17" s="17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13" t="s">
        <v>65</v>
      </c>
      <c r="C18" s="10" t="s">
        <v>22</v>
      </c>
      <c r="D18" s="23" t="s">
        <v>66</v>
      </c>
      <c r="E18" s="23" t="s">
        <v>59</v>
      </c>
      <c r="F18" s="21" t="s">
        <v>38</v>
      </c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13" t="s">
        <v>63</v>
      </c>
      <c r="C19" s="10" t="s">
        <v>22</v>
      </c>
      <c r="D19" s="23" t="s">
        <v>64</v>
      </c>
      <c r="E19" s="23" t="s">
        <v>59</v>
      </c>
      <c r="F19" s="21" t="s">
        <v>38</v>
      </c>
      <c r="G19" s="17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13" t="s">
        <v>61</v>
      </c>
      <c r="C20" s="10" t="s">
        <v>22</v>
      </c>
      <c r="D20" s="23" t="s">
        <v>62</v>
      </c>
      <c r="E20" s="23" t="s">
        <v>59</v>
      </c>
      <c r="F20" s="21" t="s">
        <v>38</v>
      </c>
      <c r="G20" s="17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13" t="s">
        <v>60</v>
      </c>
      <c r="C21" s="10" t="s">
        <v>22</v>
      </c>
      <c r="D21" s="23" t="s">
        <v>58</v>
      </c>
      <c r="E21" s="23" t="s">
        <v>59</v>
      </c>
      <c r="F21" s="21" t="s">
        <v>38</v>
      </c>
      <c r="G21" s="17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13" t="s">
        <v>71</v>
      </c>
      <c r="C22" s="10" t="s">
        <v>22</v>
      </c>
      <c r="D22" s="23" t="s">
        <v>72</v>
      </c>
      <c r="E22" s="23" t="s">
        <v>59</v>
      </c>
      <c r="F22" s="21" t="s">
        <v>38</v>
      </c>
      <c r="G22" s="17">
        <v>1</v>
      </c>
      <c r="H22" s="27"/>
      <c r="I22" s="2"/>
      <c r="J22" s="2"/>
    </row>
    <row r="23" spans="1:10" ht="15" customHeight="1" x14ac:dyDescent="0.25">
      <c r="A23" s="15">
        <f t="shared" si="0"/>
        <v>17</v>
      </c>
      <c r="B23" s="13" t="s">
        <v>69</v>
      </c>
      <c r="C23" s="10" t="s">
        <v>22</v>
      </c>
      <c r="D23" s="23" t="s">
        <v>70</v>
      </c>
      <c r="E23" s="23" t="s">
        <v>59</v>
      </c>
      <c r="F23" s="21" t="s">
        <v>38</v>
      </c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3" t="s">
        <v>73</v>
      </c>
      <c r="C24" s="10" t="s">
        <v>22</v>
      </c>
      <c r="D24" s="23" t="s">
        <v>74</v>
      </c>
      <c r="E24" s="23" t="s">
        <v>59</v>
      </c>
      <c r="F24" s="21" t="s">
        <v>38</v>
      </c>
      <c r="G24" s="17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 t="s">
        <v>75</v>
      </c>
      <c r="C25" s="10" t="s">
        <v>22</v>
      </c>
      <c r="D25" s="23" t="s">
        <v>76</v>
      </c>
      <c r="E25" s="23" t="s">
        <v>59</v>
      </c>
      <c r="F25" s="21" t="s">
        <v>38</v>
      </c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3" t="s">
        <v>77</v>
      </c>
      <c r="C26" s="10" t="s">
        <v>22</v>
      </c>
      <c r="D26" s="23" t="s">
        <v>78</v>
      </c>
      <c r="E26" s="23" t="s">
        <v>59</v>
      </c>
      <c r="F26" s="21" t="s">
        <v>38</v>
      </c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3" t="s">
        <v>91</v>
      </c>
      <c r="C27" s="10" t="s">
        <v>22</v>
      </c>
      <c r="D27" s="23" t="s">
        <v>92</v>
      </c>
      <c r="E27" s="23" t="s">
        <v>59</v>
      </c>
      <c r="F27" s="21" t="s">
        <v>38</v>
      </c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3" t="s">
        <v>95</v>
      </c>
      <c r="C28" s="10" t="s">
        <v>22</v>
      </c>
      <c r="D28" s="23" t="s">
        <v>96</v>
      </c>
      <c r="E28" s="23" t="s">
        <v>59</v>
      </c>
      <c r="F28" s="21" t="s">
        <v>38</v>
      </c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3" t="s">
        <v>93</v>
      </c>
      <c r="C29" s="10" t="s">
        <v>22</v>
      </c>
      <c r="D29" s="23" t="s">
        <v>94</v>
      </c>
      <c r="E29" s="23" t="s">
        <v>59</v>
      </c>
      <c r="F29" s="21" t="s">
        <v>38</v>
      </c>
      <c r="G29" s="17">
        <v>1</v>
      </c>
      <c r="H29" s="22"/>
      <c r="I29" s="2"/>
      <c r="J29" s="2"/>
    </row>
    <row r="30" spans="1:10" ht="15" customHeight="1" x14ac:dyDescent="0.25">
      <c r="A30" s="15">
        <f t="shared" si="0"/>
        <v>24</v>
      </c>
      <c r="B30" s="13" t="s">
        <v>79</v>
      </c>
      <c r="C30" s="10" t="s">
        <v>22</v>
      </c>
      <c r="D30" s="23" t="s">
        <v>80</v>
      </c>
      <c r="E30" s="23" t="s">
        <v>59</v>
      </c>
      <c r="F30" s="21" t="s">
        <v>38</v>
      </c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3" t="s">
        <v>81</v>
      </c>
      <c r="C31" s="10" t="s">
        <v>22</v>
      </c>
      <c r="D31" s="23" t="s">
        <v>82</v>
      </c>
      <c r="E31" s="23" t="s">
        <v>59</v>
      </c>
      <c r="F31" s="21" t="s">
        <v>38</v>
      </c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3" t="s">
        <v>83</v>
      </c>
      <c r="C32" s="10" t="s">
        <v>22</v>
      </c>
      <c r="D32" s="23" t="s">
        <v>84</v>
      </c>
      <c r="E32" s="23" t="s">
        <v>59</v>
      </c>
      <c r="F32" s="21" t="s">
        <v>38</v>
      </c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3" t="s">
        <v>85</v>
      </c>
      <c r="C33" s="10" t="s">
        <v>22</v>
      </c>
      <c r="D33" s="23" t="s">
        <v>88</v>
      </c>
      <c r="E33" s="23" t="s">
        <v>59</v>
      </c>
      <c r="F33" s="21" t="s">
        <v>38</v>
      </c>
      <c r="G33" s="17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13" t="s">
        <v>86</v>
      </c>
      <c r="C34" s="10" t="s">
        <v>22</v>
      </c>
      <c r="D34" s="23" t="s">
        <v>89</v>
      </c>
      <c r="E34" s="23" t="s">
        <v>59</v>
      </c>
      <c r="F34" s="21" t="s">
        <v>38</v>
      </c>
      <c r="G34" s="17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13" t="s">
        <v>87</v>
      </c>
      <c r="C35" s="10" t="s">
        <v>22</v>
      </c>
      <c r="D35" s="23" t="s">
        <v>90</v>
      </c>
      <c r="E35" s="23" t="s">
        <v>59</v>
      </c>
      <c r="F35" s="21" t="s">
        <v>38</v>
      </c>
      <c r="G35" s="17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13" t="s">
        <v>97</v>
      </c>
      <c r="C36" s="10" t="s">
        <v>22</v>
      </c>
      <c r="D36" s="23" t="s">
        <v>98</v>
      </c>
      <c r="E36" s="23" t="s">
        <v>59</v>
      </c>
      <c r="F36" s="21" t="s">
        <v>38</v>
      </c>
      <c r="G36" s="17">
        <v>1</v>
      </c>
      <c r="H36" s="1"/>
      <c r="I36" s="1"/>
      <c r="J36" s="1"/>
    </row>
    <row r="37" spans="1:10" ht="15" customHeight="1" x14ac:dyDescent="0.25">
      <c r="A37" s="15">
        <f t="shared" si="0"/>
        <v>31</v>
      </c>
      <c r="B37" s="12" t="s">
        <v>121</v>
      </c>
      <c r="C37" s="10" t="s">
        <v>22</v>
      </c>
      <c r="D37" s="23" t="s">
        <v>122</v>
      </c>
      <c r="E37" s="23" t="s">
        <v>59</v>
      </c>
      <c r="F37" s="21" t="s">
        <v>38</v>
      </c>
      <c r="G37" s="17">
        <v>1</v>
      </c>
      <c r="H37" s="1"/>
      <c r="I37" s="1"/>
      <c r="J37" s="1"/>
    </row>
    <row r="38" spans="1:10" ht="15" customHeight="1" x14ac:dyDescent="0.25">
      <c r="A38" s="15">
        <f t="shared" si="0"/>
        <v>32</v>
      </c>
      <c r="B38" s="12" t="s">
        <v>112</v>
      </c>
      <c r="C38" s="10" t="s">
        <v>22</v>
      </c>
      <c r="D38" s="23" t="s">
        <v>104</v>
      </c>
      <c r="E38" s="23" t="s">
        <v>59</v>
      </c>
      <c r="F38" s="21" t="s">
        <v>38</v>
      </c>
      <c r="G38" s="17">
        <v>1</v>
      </c>
      <c r="H38" s="1"/>
      <c r="I38" s="1"/>
      <c r="J38" s="1"/>
    </row>
    <row r="39" spans="1:10" x14ac:dyDescent="0.25">
      <c r="A39" s="15">
        <f t="shared" si="0"/>
        <v>33</v>
      </c>
      <c r="B39" s="12" t="s">
        <v>119</v>
      </c>
      <c r="C39" s="10" t="s">
        <v>22</v>
      </c>
      <c r="D39" s="23" t="s">
        <v>120</v>
      </c>
      <c r="E39" s="23" t="s">
        <v>59</v>
      </c>
      <c r="F39" s="21" t="s">
        <v>38</v>
      </c>
      <c r="G39" s="17">
        <v>1</v>
      </c>
    </row>
    <row r="40" spans="1:10" x14ac:dyDescent="0.25">
      <c r="A40" s="15">
        <f t="shared" si="0"/>
        <v>34</v>
      </c>
      <c r="B40" s="12" t="s">
        <v>115</v>
      </c>
      <c r="C40" s="10" t="s">
        <v>22</v>
      </c>
      <c r="D40" s="23" t="s">
        <v>116</v>
      </c>
      <c r="E40" s="23" t="s">
        <v>59</v>
      </c>
      <c r="F40" s="21" t="s">
        <v>38</v>
      </c>
      <c r="G40" s="17">
        <v>1</v>
      </c>
    </row>
    <row r="41" spans="1:10" x14ac:dyDescent="0.25">
      <c r="A41" s="15">
        <f t="shared" si="0"/>
        <v>35</v>
      </c>
      <c r="B41" s="12" t="s">
        <v>113</v>
      </c>
      <c r="C41" s="10" t="s">
        <v>22</v>
      </c>
      <c r="D41" s="23" t="s">
        <v>114</v>
      </c>
      <c r="E41" s="23" t="s">
        <v>59</v>
      </c>
      <c r="F41" s="21" t="s">
        <v>38</v>
      </c>
      <c r="G41" s="17">
        <v>1</v>
      </c>
    </row>
    <row r="42" spans="1:10" x14ac:dyDescent="0.25">
      <c r="A42" s="15">
        <f t="shared" si="0"/>
        <v>36</v>
      </c>
      <c r="B42" s="12" t="s">
        <v>137</v>
      </c>
      <c r="C42" s="10" t="s">
        <v>22</v>
      </c>
      <c r="D42" s="9" t="s">
        <v>138</v>
      </c>
      <c r="E42" s="23" t="s">
        <v>59</v>
      </c>
      <c r="F42" s="21" t="s">
        <v>38</v>
      </c>
      <c r="G42" s="17">
        <v>1</v>
      </c>
    </row>
    <row r="43" spans="1:10" x14ac:dyDescent="0.25">
      <c r="A43" s="15">
        <f t="shared" si="0"/>
        <v>37</v>
      </c>
      <c r="B43" s="12" t="s">
        <v>99</v>
      </c>
      <c r="C43" s="10" t="s">
        <v>22</v>
      </c>
      <c r="D43" s="23" t="s">
        <v>100</v>
      </c>
      <c r="E43" s="23" t="s">
        <v>59</v>
      </c>
      <c r="F43" s="21" t="s">
        <v>38</v>
      </c>
      <c r="G43" s="17">
        <v>1</v>
      </c>
    </row>
    <row r="44" spans="1:10" x14ac:dyDescent="0.25">
      <c r="A44" s="15">
        <f t="shared" si="0"/>
        <v>38</v>
      </c>
      <c r="B44" s="12" t="s">
        <v>101</v>
      </c>
      <c r="C44" s="10" t="s">
        <v>22</v>
      </c>
      <c r="D44" s="23" t="s">
        <v>102</v>
      </c>
      <c r="E44" s="23" t="s">
        <v>59</v>
      </c>
      <c r="F44" s="21" t="s">
        <v>38</v>
      </c>
      <c r="G44" s="17">
        <v>1</v>
      </c>
    </row>
    <row r="45" spans="1:10" x14ac:dyDescent="0.25">
      <c r="A45" s="15">
        <f t="shared" si="0"/>
        <v>39</v>
      </c>
      <c r="B45" s="12" t="s">
        <v>103</v>
      </c>
      <c r="C45" s="10" t="s">
        <v>22</v>
      </c>
      <c r="D45" s="23" t="s">
        <v>111</v>
      </c>
      <c r="E45" s="23" t="s">
        <v>59</v>
      </c>
      <c r="F45" s="21" t="s">
        <v>38</v>
      </c>
      <c r="G45" s="17">
        <v>1</v>
      </c>
    </row>
    <row r="46" spans="1:10" x14ac:dyDescent="0.25">
      <c r="A46" s="15">
        <f t="shared" si="0"/>
        <v>40</v>
      </c>
      <c r="B46" s="12" t="s">
        <v>117</v>
      </c>
      <c r="C46" s="10" t="s">
        <v>22</v>
      </c>
      <c r="D46" s="23" t="s">
        <v>118</v>
      </c>
      <c r="E46" s="23" t="s">
        <v>59</v>
      </c>
      <c r="F46" s="21" t="s">
        <v>38</v>
      </c>
      <c r="G46" s="17">
        <v>1</v>
      </c>
    </row>
  </sheetData>
  <sortState ref="B7:F46">
    <sortCondition ref="E7:E46"/>
    <sortCondition ref="D7:D46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tabSelected="1" workbookViewId="0">
      <selection activeCell="F46" sqref="A1:F4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140625" hidden="1" customWidth="1"/>
    <col min="8" max="8" width="29.85546875" customWidth="1"/>
  </cols>
  <sheetData>
    <row r="1" spans="1:11" ht="18" x14ac:dyDescent="0.25">
      <c r="A1" s="31" t="s">
        <v>0</v>
      </c>
      <c r="B1" s="31"/>
      <c r="C1" s="3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5" t="s">
        <v>2</v>
      </c>
      <c r="B2" s="35"/>
      <c r="C2" s="35"/>
      <c r="D2" s="6"/>
      <c r="E2" s="36" t="s">
        <v>3</v>
      </c>
      <c r="F2" s="36"/>
      <c r="G2" s="4"/>
      <c r="H2" s="4"/>
      <c r="I2" s="32" t="s">
        <v>4</v>
      </c>
      <c r="J2" s="33"/>
      <c r="K2" s="18">
        <f>SUMIF(F7:F380,"Elimination*",G7:G380)</f>
        <v>15</v>
      </c>
    </row>
    <row r="3" spans="1:11" x14ac:dyDescent="0.25">
      <c r="A3" s="36" t="s">
        <v>5</v>
      </c>
      <c r="B3" s="36"/>
      <c r="C3" s="36"/>
      <c r="D3" s="5"/>
      <c r="E3" s="36" t="s">
        <v>16</v>
      </c>
      <c r="F3" s="36"/>
      <c r="G3" s="4"/>
      <c r="H3" s="4"/>
      <c r="I3" s="32" t="s">
        <v>6</v>
      </c>
      <c r="J3" s="33"/>
      <c r="K3" s="18">
        <f>SUMIF(F7:F380,"NB*",G7:G380)</f>
        <v>1</v>
      </c>
    </row>
    <row r="4" spans="1:11" ht="18" x14ac:dyDescent="0.25">
      <c r="A4" s="31" t="s">
        <v>7</v>
      </c>
      <c r="B4" s="31"/>
      <c r="C4" s="31"/>
      <c r="D4" s="31"/>
      <c r="E4" s="31"/>
      <c r="F4" s="31"/>
      <c r="G4" s="4"/>
      <c r="H4" s="4"/>
      <c r="I4" s="32" t="s">
        <v>8</v>
      </c>
      <c r="J4" s="33"/>
      <c r="K4" s="18">
        <f>SUMIF(F7:F380,"Ve*",G7:G380)</f>
        <v>0</v>
      </c>
    </row>
    <row r="5" spans="1:11" ht="15.75" x14ac:dyDescent="0.25">
      <c r="A5" s="34" t="s">
        <v>139</v>
      </c>
      <c r="B5" s="34"/>
      <c r="C5" s="34"/>
      <c r="D5" s="34"/>
      <c r="E5" s="34"/>
      <c r="F5" s="34"/>
      <c r="G5" s="19"/>
      <c r="H5" s="19"/>
      <c r="I5" s="32" t="s">
        <v>9</v>
      </c>
      <c r="J5" s="33"/>
      <c r="K5" s="20">
        <f>SUM(K2:K4)</f>
        <v>16</v>
      </c>
    </row>
    <row r="6" spans="1:11" ht="21.6" customHeight="1" x14ac:dyDescent="0.25">
      <c r="A6" s="29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0" t="s">
        <v>17</v>
      </c>
      <c r="I6" s="3"/>
      <c r="J6" s="3"/>
      <c r="K6" s="1"/>
    </row>
    <row r="7" spans="1:11" ht="15" customHeight="1" x14ac:dyDescent="0.25">
      <c r="A7" s="15">
        <v>1</v>
      </c>
      <c r="B7" s="12" t="s">
        <v>21</v>
      </c>
      <c r="C7" s="10" t="s">
        <v>22</v>
      </c>
      <c r="D7" s="23" t="s">
        <v>140</v>
      </c>
      <c r="E7" s="23" t="s">
        <v>141</v>
      </c>
      <c r="F7" s="21" t="s">
        <v>142</v>
      </c>
      <c r="G7" s="17">
        <v>1</v>
      </c>
      <c r="H7" s="25" t="s">
        <v>143</v>
      </c>
      <c r="I7" s="16"/>
      <c r="J7" s="16"/>
      <c r="K7" s="1"/>
    </row>
    <row r="8" spans="1:11" ht="15" customHeight="1" x14ac:dyDescent="0.25">
      <c r="A8" s="15">
        <f>+A7+1</f>
        <v>2</v>
      </c>
      <c r="B8" s="13" t="s">
        <v>164</v>
      </c>
      <c r="C8" s="10" t="s">
        <v>22</v>
      </c>
      <c r="D8" s="23" t="s">
        <v>165</v>
      </c>
      <c r="E8" s="23" t="s">
        <v>146</v>
      </c>
      <c r="F8" s="21" t="s">
        <v>38</v>
      </c>
      <c r="G8" s="17">
        <v>1</v>
      </c>
      <c r="H8" s="27"/>
      <c r="I8" s="2"/>
      <c r="J8" s="2"/>
      <c r="K8" s="1"/>
    </row>
    <row r="9" spans="1:11" ht="15" customHeight="1" x14ac:dyDescent="0.25">
      <c r="A9" s="15">
        <f t="shared" ref="A9:A46" si="0">+A8+1</f>
        <v>3</v>
      </c>
      <c r="B9" s="13" t="s">
        <v>171</v>
      </c>
      <c r="C9" s="10" t="s">
        <v>22</v>
      </c>
      <c r="D9" s="23" t="s">
        <v>172</v>
      </c>
      <c r="E9" s="23" t="s">
        <v>146</v>
      </c>
      <c r="F9" s="21" t="s">
        <v>38</v>
      </c>
      <c r="G9" s="17">
        <v>1</v>
      </c>
      <c r="H9" s="26"/>
      <c r="I9" s="2"/>
      <c r="J9" s="2"/>
      <c r="K9" s="1"/>
    </row>
    <row r="10" spans="1:11" ht="15" customHeight="1" x14ac:dyDescent="0.25">
      <c r="A10" s="15">
        <f t="shared" si="0"/>
        <v>4</v>
      </c>
      <c r="B10" s="13" t="s">
        <v>168</v>
      </c>
      <c r="C10" s="10" t="s">
        <v>22</v>
      </c>
      <c r="D10" s="23" t="s">
        <v>169</v>
      </c>
      <c r="E10" s="23" t="s">
        <v>146</v>
      </c>
      <c r="F10" s="21" t="s">
        <v>38</v>
      </c>
      <c r="G10" s="17">
        <v>1</v>
      </c>
      <c r="H10" s="26"/>
      <c r="I10" s="2"/>
      <c r="J10" s="2"/>
      <c r="K10" s="1"/>
    </row>
    <row r="11" spans="1:11" ht="15" customHeight="1" x14ac:dyDescent="0.25">
      <c r="A11" s="15">
        <f t="shared" si="0"/>
        <v>5</v>
      </c>
      <c r="B11" s="12" t="s">
        <v>162</v>
      </c>
      <c r="C11" s="10" t="s">
        <v>22</v>
      </c>
      <c r="D11" s="23" t="s">
        <v>163</v>
      </c>
      <c r="E11" s="23" t="s">
        <v>146</v>
      </c>
      <c r="F11" s="21" t="s">
        <v>38</v>
      </c>
      <c r="G11" s="17">
        <v>1</v>
      </c>
      <c r="H11" s="28"/>
      <c r="I11" s="2"/>
      <c r="J11" s="2"/>
      <c r="K11" s="1"/>
    </row>
    <row r="12" spans="1:11" ht="15" customHeight="1" x14ac:dyDescent="0.25">
      <c r="A12" s="15">
        <f t="shared" si="0"/>
        <v>6</v>
      </c>
      <c r="B12" s="12" t="s">
        <v>144</v>
      </c>
      <c r="C12" s="10" t="s">
        <v>22</v>
      </c>
      <c r="D12" s="23" t="s">
        <v>145</v>
      </c>
      <c r="E12" s="23" t="s">
        <v>146</v>
      </c>
      <c r="F12" s="21" t="s">
        <v>38</v>
      </c>
      <c r="G12" s="17">
        <v>1</v>
      </c>
      <c r="H12" s="27"/>
      <c r="I12" s="2"/>
      <c r="J12" s="2"/>
      <c r="K12" s="1"/>
    </row>
    <row r="13" spans="1:11" ht="15" customHeight="1" x14ac:dyDescent="0.25">
      <c r="A13" s="15">
        <f t="shared" si="0"/>
        <v>7</v>
      </c>
      <c r="B13" s="12" t="s">
        <v>160</v>
      </c>
      <c r="C13" s="10" t="s">
        <v>22</v>
      </c>
      <c r="D13" s="23" t="s">
        <v>161</v>
      </c>
      <c r="E13" s="23" t="s">
        <v>146</v>
      </c>
      <c r="F13" s="21" t="s">
        <v>38</v>
      </c>
      <c r="G13" s="17">
        <v>1</v>
      </c>
      <c r="H13" s="28"/>
      <c r="I13" s="2"/>
      <c r="J13" s="2"/>
      <c r="K13" s="1"/>
    </row>
    <row r="14" spans="1:11" ht="15" customHeight="1" x14ac:dyDescent="0.25">
      <c r="A14" s="15">
        <f t="shared" si="0"/>
        <v>8</v>
      </c>
      <c r="B14" s="12" t="s">
        <v>155</v>
      </c>
      <c r="C14" s="10" t="s">
        <v>22</v>
      </c>
      <c r="D14" s="23" t="s">
        <v>157</v>
      </c>
      <c r="E14" s="23" t="s">
        <v>146</v>
      </c>
      <c r="F14" s="21" t="s">
        <v>38</v>
      </c>
      <c r="G14" s="17">
        <v>1</v>
      </c>
      <c r="H14" s="25"/>
      <c r="I14" s="2"/>
      <c r="J14" s="2"/>
      <c r="K14" s="1"/>
    </row>
    <row r="15" spans="1:11" ht="15" customHeight="1" x14ac:dyDescent="0.25">
      <c r="A15" s="15">
        <f t="shared" si="0"/>
        <v>9</v>
      </c>
      <c r="B15" s="12" t="s">
        <v>153</v>
      </c>
      <c r="C15" s="10" t="s">
        <v>22</v>
      </c>
      <c r="D15" s="23" t="s">
        <v>154</v>
      </c>
      <c r="E15" s="23" t="s">
        <v>146</v>
      </c>
      <c r="F15" s="21" t="s">
        <v>38</v>
      </c>
      <c r="G15" s="17">
        <v>1</v>
      </c>
      <c r="H15" s="25"/>
      <c r="I15" s="2"/>
      <c r="J15" s="2"/>
    </row>
    <row r="16" spans="1:11" ht="15" customHeight="1" x14ac:dyDescent="0.25">
      <c r="A16" s="15">
        <f t="shared" si="0"/>
        <v>10</v>
      </c>
      <c r="B16" s="13" t="s">
        <v>170</v>
      </c>
      <c r="C16" s="10" t="s">
        <v>22</v>
      </c>
      <c r="D16" s="23" t="s">
        <v>156</v>
      </c>
      <c r="E16" s="23" t="s">
        <v>146</v>
      </c>
      <c r="F16" s="21" t="s">
        <v>38</v>
      </c>
      <c r="G16" s="17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12" t="s">
        <v>158</v>
      </c>
      <c r="C17" s="10" t="s">
        <v>22</v>
      </c>
      <c r="D17" s="23" t="s">
        <v>159</v>
      </c>
      <c r="E17" s="23" t="s">
        <v>146</v>
      </c>
      <c r="F17" s="21" t="s">
        <v>38</v>
      </c>
      <c r="G17" s="17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13" t="s">
        <v>166</v>
      </c>
      <c r="C18" s="10" t="s">
        <v>22</v>
      </c>
      <c r="D18" s="23" t="s">
        <v>167</v>
      </c>
      <c r="E18" s="23" t="s">
        <v>146</v>
      </c>
      <c r="F18" s="21" t="s">
        <v>38</v>
      </c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12" t="s">
        <v>151</v>
      </c>
      <c r="C19" s="10" t="s">
        <v>22</v>
      </c>
      <c r="D19" s="23" t="s">
        <v>152</v>
      </c>
      <c r="E19" s="23" t="s">
        <v>146</v>
      </c>
      <c r="F19" s="21" t="s">
        <v>38</v>
      </c>
      <c r="G19" s="17">
        <v>1</v>
      </c>
      <c r="H19" s="25"/>
      <c r="I19" s="2"/>
      <c r="J19" s="2"/>
    </row>
    <row r="20" spans="1:10" ht="15" customHeight="1" x14ac:dyDescent="0.25">
      <c r="A20" s="15">
        <f t="shared" si="0"/>
        <v>14</v>
      </c>
      <c r="B20" s="12" t="s">
        <v>149</v>
      </c>
      <c r="C20" s="10" t="s">
        <v>22</v>
      </c>
      <c r="D20" s="23" t="s">
        <v>150</v>
      </c>
      <c r="E20" s="23" t="s">
        <v>146</v>
      </c>
      <c r="F20" s="21" t="s">
        <v>38</v>
      </c>
      <c r="G20" s="17">
        <v>1</v>
      </c>
      <c r="H20" s="27"/>
      <c r="I20" s="2"/>
      <c r="J20" s="2"/>
    </row>
    <row r="21" spans="1:10" ht="15" customHeight="1" x14ac:dyDescent="0.25">
      <c r="A21" s="15">
        <f t="shared" si="0"/>
        <v>15</v>
      </c>
      <c r="B21" s="12" t="s">
        <v>147</v>
      </c>
      <c r="C21" s="10" t="s">
        <v>22</v>
      </c>
      <c r="D21" s="23" t="s">
        <v>148</v>
      </c>
      <c r="E21" s="23" t="s">
        <v>146</v>
      </c>
      <c r="F21" s="21" t="s">
        <v>38</v>
      </c>
      <c r="G21" s="17">
        <v>1</v>
      </c>
      <c r="H21" s="25"/>
      <c r="I21" s="2"/>
      <c r="J21" s="2"/>
    </row>
    <row r="22" spans="1:10" ht="15" customHeight="1" x14ac:dyDescent="0.25">
      <c r="A22" s="15">
        <f t="shared" si="0"/>
        <v>16</v>
      </c>
      <c r="B22" s="13" t="s">
        <v>173</v>
      </c>
      <c r="C22" s="10" t="s">
        <v>22</v>
      </c>
      <c r="D22" s="23" t="s">
        <v>174</v>
      </c>
      <c r="E22" s="23" t="s">
        <v>146</v>
      </c>
      <c r="F22" s="21" t="s">
        <v>38</v>
      </c>
      <c r="G22" s="17">
        <v>1</v>
      </c>
      <c r="H22" s="27"/>
      <c r="I22" s="2"/>
      <c r="J22" s="2"/>
    </row>
    <row r="23" spans="1:10" ht="15" customHeight="1" x14ac:dyDescent="0.25">
      <c r="A23" s="15">
        <f t="shared" si="0"/>
        <v>17</v>
      </c>
      <c r="B23" s="13"/>
      <c r="C23" s="10"/>
      <c r="D23" s="23"/>
      <c r="E23" s="23"/>
      <c r="F23" s="21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3"/>
      <c r="C24" s="10"/>
      <c r="D24" s="23"/>
      <c r="E24" s="23"/>
      <c r="F24" s="21"/>
      <c r="G24" s="17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23"/>
      <c r="E25" s="23"/>
      <c r="F25" s="21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3"/>
      <c r="C26" s="10"/>
      <c r="D26" s="23"/>
      <c r="E26" s="23"/>
      <c r="F26" s="21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3"/>
      <c r="C27" s="10"/>
      <c r="D27" s="23"/>
      <c r="E27" s="23"/>
      <c r="F27" s="21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3"/>
      <c r="C28" s="10"/>
      <c r="D28" s="23"/>
      <c r="E28" s="23"/>
      <c r="F28" s="21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3"/>
      <c r="C29" s="10"/>
      <c r="D29" s="23"/>
      <c r="E29" s="23"/>
      <c r="F29" s="21"/>
      <c r="G29" s="17">
        <v>1</v>
      </c>
      <c r="H29" s="22"/>
      <c r="I29" s="2"/>
      <c r="J29" s="2"/>
    </row>
    <row r="30" spans="1:10" ht="15" customHeight="1" x14ac:dyDescent="0.25">
      <c r="A30" s="15">
        <f t="shared" si="0"/>
        <v>24</v>
      </c>
      <c r="B30" s="13"/>
      <c r="C30" s="10"/>
      <c r="D30" s="23"/>
      <c r="E30" s="23"/>
      <c r="F30" s="21"/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3"/>
      <c r="C31" s="10"/>
      <c r="D31" s="23"/>
      <c r="E31" s="23"/>
      <c r="F31" s="21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3"/>
      <c r="C32" s="10"/>
      <c r="D32" s="23"/>
      <c r="E32" s="23"/>
      <c r="F32" s="21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3"/>
      <c r="C33" s="10"/>
      <c r="D33" s="23"/>
      <c r="E33" s="23"/>
      <c r="F33" s="21"/>
      <c r="G33" s="17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13"/>
      <c r="C34" s="10"/>
      <c r="D34" s="23"/>
      <c r="E34" s="23"/>
      <c r="F34" s="21"/>
      <c r="G34" s="17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13"/>
      <c r="C35" s="10"/>
      <c r="D35" s="23"/>
      <c r="E35" s="23"/>
      <c r="F35" s="21"/>
      <c r="G35" s="17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13"/>
      <c r="C36" s="10"/>
      <c r="D36" s="23"/>
      <c r="E36" s="23"/>
      <c r="F36" s="21"/>
      <c r="G36" s="17">
        <v>1</v>
      </c>
      <c r="H36" s="1"/>
      <c r="I36" s="1"/>
      <c r="J36" s="1"/>
    </row>
    <row r="37" spans="1:10" ht="15" customHeight="1" x14ac:dyDescent="0.25">
      <c r="A37" s="15">
        <f t="shared" si="0"/>
        <v>31</v>
      </c>
      <c r="B37" s="12"/>
      <c r="C37" s="10"/>
      <c r="D37" s="23"/>
      <c r="E37" s="23"/>
      <c r="F37" s="21"/>
      <c r="G37" s="17">
        <v>1</v>
      </c>
      <c r="H37" s="1"/>
      <c r="I37" s="1"/>
      <c r="J37" s="1"/>
    </row>
    <row r="38" spans="1:10" ht="15" customHeight="1" x14ac:dyDescent="0.25">
      <c r="A38" s="15">
        <f t="shared" si="0"/>
        <v>32</v>
      </c>
      <c r="B38" s="12"/>
      <c r="C38" s="10"/>
      <c r="D38" s="23"/>
      <c r="E38" s="23"/>
      <c r="F38" s="21"/>
      <c r="G38" s="17">
        <v>1</v>
      </c>
      <c r="H38" s="1"/>
      <c r="I38" s="1"/>
      <c r="J38" s="1"/>
    </row>
    <row r="39" spans="1:10" x14ac:dyDescent="0.25">
      <c r="A39" s="15">
        <f t="shared" si="0"/>
        <v>33</v>
      </c>
      <c r="B39" s="12"/>
      <c r="C39" s="10"/>
      <c r="D39" s="23"/>
      <c r="E39" s="23"/>
      <c r="F39" s="21"/>
      <c r="G39" s="17">
        <v>1</v>
      </c>
    </row>
    <row r="40" spans="1:10" x14ac:dyDescent="0.25">
      <c r="A40" s="15">
        <f t="shared" si="0"/>
        <v>34</v>
      </c>
      <c r="B40" s="12"/>
      <c r="C40" s="10"/>
      <c r="D40" s="23"/>
      <c r="E40" s="23"/>
      <c r="F40" s="21"/>
      <c r="G40" s="17">
        <v>1</v>
      </c>
    </row>
    <row r="41" spans="1:10" x14ac:dyDescent="0.25">
      <c r="A41" s="15">
        <f t="shared" si="0"/>
        <v>35</v>
      </c>
      <c r="B41" s="12"/>
      <c r="C41" s="10"/>
      <c r="D41" s="23"/>
      <c r="E41" s="23"/>
      <c r="F41" s="21"/>
      <c r="G41" s="17">
        <v>1</v>
      </c>
    </row>
    <row r="42" spans="1:10" x14ac:dyDescent="0.25">
      <c r="A42" s="15">
        <f t="shared" si="0"/>
        <v>36</v>
      </c>
      <c r="B42" s="12"/>
      <c r="C42" s="10"/>
      <c r="D42" s="9"/>
      <c r="E42" s="23"/>
      <c r="F42" s="21"/>
      <c r="G42" s="17">
        <v>1</v>
      </c>
    </row>
    <row r="43" spans="1:10" x14ac:dyDescent="0.25">
      <c r="A43" s="15">
        <f t="shared" si="0"/>
        <v>37</v>
      </c>
      <c r="B43" s="12"/>
      <c r="C43" s="10"/>
      <c r="D43" s="23"/>
      <c r="E43" s="23"/>
      <c r="F43" s="21"/>
      <c r="G43" s="17">
        <v>1</v>
      </c>
    </row>
    <row r="44" spans="1:10" x14ac:dyDescent="0.25">
      <c r="A44" s="15">
        <f t="shared" si="0"/>
        <v>38</v>
      </c>
      <c r="B44" s="12"/>
      <c r="C44" s="10"/>
      <c r="D44" s="23"/>
      <c r="E44" s="23"/>
      <c r="F44" s="21"/>
      <c r="G44" s="17">
        <v>1</v>
      </c>
    </row>
    <row r="45" spans="1:10" x14ac:dyDescent="0.25">
      <c r="A45" s="15">
        <f t="shared" si="0"/>
        <v>39</v>
      </c>
      <c r="B45" s="12"/>
      <c r="C45" s="10"/>
      <c r="D45" s="23"/>
      <c r="E45" s="23"/>
      <c r="F45" s="21"/>
      <c r="G45" s="17">
        <v>1</v>
      </c>
    </row>
    <row r="46" spans="1:10" x14ac:dyDescent="0.25">
      <c r="A46" s="15">
        <f t="shared" si="0"/>
        <v>40</v>
      </c>
      <c r="B46" s="12"/>
      <c r="C46" s="10"/>
      <c r="D46" s="23"/>
      <c r="E46" s="23"/>
      <c r="F46" s="21"/>
      <c r="G46" s="17">
        <v>1</v>
      </c>
    </row>
  </sheetData>
  <sortState ref="B7:H22">
    <sortCondition ref="E7:E22"/>
    <sortCondition ref="D7:D22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12</vt:i4>
      </vt:variant>
    </vt:vector>
  </HeadingPairs>
  <TitlesOfParts>
    <vt:vector size="24" baseType="lpstr">
      <vt:lpstr>JANVIER 2024</vt:lpstr>
      <vt:lpstr>FEVRIER 2024</vt:lpstr>
      <vt:lpstr>MARS 2024</vt:lpstr>
      <vt:lpstr>AVRIL 2024</vt:lpstr>
      <vt:lpstr>MAI 2024</vt:lpstr>
      <vt:lpstr>JUIN 2024</vt:lpstr>
      <vt:lpstr>JUILLET 2024</vt:lpstr>
      <vt:lpstr>AOUT 2024</vt:lpstr>
      <vt:lpstr>SEPTEMBRE 2024</vt:lpstr>
      <vt:lpstr>OCTOBRE 2024</vt:lpstr>
      <vt:lpstr>NOVEMBRE 2024</vt:lpstr>
      <vt:lpstr>DECEMBRE 2024</vt:lpstr>
      <vt:lpstr>'AOUT 2024'!Impression_des_titres</vt:lpstr>
      <vt:lpstr>'AVRIL 2024'!Impression_des_titres</vt:lpstr>
      <vt:lpstr>'DECEMBRE 2024'!Impression_des_titres</vt:lpstr>
      <vt:lpstr>'FEVRIER 2024'!Impression_des_titres</vt:lpstr>
      <vt:lpstr>'JANVIER 2024'!Impression_des_titres</vt:lpstr>
      <vt:lpstr>'JUILLET 2024'!Impression_des_titres</vt:lpstr>
      <vt:lpstr>'JUIN 2024'!Impression_des_titres</vt:lpstr>
      <vt:lpstr>'MAI 2024'!Impression_des_titres</vt:lpstr>
      <vt:lpstr>'MARS 2024'!Impression_des_titres</vt:lpstr>
      <vt:lpstr>'NOVEMBRE 2024'!Impression_des_titres</vt:lpstr>
      <vt:lpstr>'OCTOBRE 2024'!Impression_des_titres</vt:lpstr>
      <vt:lpstr>'SEPTEMBRE 2024'!Impression_des_titres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Lounnaci</cp:lastModifiedBy>
  <cp:lastPrinted>2025-01-05T10:56:12Z</cp:lastPrinted>
  <dcterms:created xsi:type="dcterms:W3CDTF">2014-12-31T15:00:30Z</dcterms:created>
  <dcterms:modified xsi:type="dcterms:W3CDTF">2025-01-05T10:56:25Z</dcterms:modified>
</cp:coreProperties>
</file>